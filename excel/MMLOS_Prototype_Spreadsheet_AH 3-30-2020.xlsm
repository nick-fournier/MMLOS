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8E3A6F32-0CA4-4A34-83A2-F1559CA34EA0}" xr6:coauthVersionLast="45" xr6:coauthVersionMax="45" xr10:uidLastSave="{00000000-0000-0000-0000-000000000000}"/>
  <bookViews>
    <workbookView xWindow="-7020" yWindow="855" windowWidth="14085" windowHeight="15405" tabRatio="769" activeTab="3" xr2:uid="{00000000-000D-0000-FFFF-FFFF00000000}"/>
  </bookViews>
  <sheets>
    <sheet name="Report" sheetId="9" r:id="rId1"/>
    <sheet name="Segments" sheetId="11" r:id="rId2"/>
    <sheet name="Links" sheetId="2" r:id="rId3"/>
    <sheet name="Intersections (2)" sheetId="15" r:id="rId4"/>
    <sheet name="Intersections" sheetId="3" r:id="rId5"/>
    <sheet name="Variables" sheetId="4" r:id="rId6"/>
    <sheet name="Pavement Condition Rating" sheetId="5" r:id="rId7"/>
    <sheet name="Sheet1" sheetId="14" r:id="rId8"/>
  </sheets>
  <functionGroups builtInGroupCount="19"/>
  <definedNames>
    <definedName name="_xlnm.Print_Area" localSheetId="3">'Intersections (2)'!$A$1:$CH$126</definedName>
  </definedNames>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E67" i="15" l="1"/>
  <c r="E62" i="15"/>
  <c r="E44" i="15"/>
  <c r="E59" i="15" s="1"/>
  <c r="E32" i="15"/>
  <c r="E31" i="15"/>
  <c r="E23" i="15"/>
  <c r="E22" i="15"/>
  <c r="E19" i="15"/>
  <c r="E15" i="15"/>
  <c r="E13" i="15" s="1"/>
  <c r="E12" i="15"/>
  <c r="E107" i="15"/>
  <c r="E106" i="15"/>
  <c r="E105" i="15"/>
  <c r="E101" i="15"/>
  <c r="E100" i="15"/>
  <c r="E91" i="15"/>
  <c r="E90" i="15"/>
  <c r="E80" i="15"/>
  <c r="E79" i="15"/>
  <c r="E77" i="15"/>
  <c r="E72" i="15"/>
  <c r="E65" i="15"/>
  <c r="E61" i="15"/>
  <c r="E58" i="15"/>
  <c r="E52" i="15"/>
  <c r="E50" i="15"/>
  <c r="E66" i="15"/>
  <c r="E14" i="15" l="1"/>
  <c r="E16" i="15" s="1"/>
  <c r="E18" i="15"/>
  <c r="E110" i="15"/>
  <c r="E74" i="15"/>
  <c r="E75" i="15" s="1"/>
  <c r="E108" i="15"/>
  <c r="E109" i="15" s="1"/>
  <c r="E93" i="15"/>
  <c r="E102" i="15"/>
  <c r="E82" i="15"/>
  <c r="E17" i="15" l="1"/>
  <c r="E78" i="15" s="1"/>
  <c r="E86" i="15" s="1"/>
  <c r="E51" i="15"/>
  <c r="E54" i="15" s="1"/>
  <c r="E53" i="15" s="1"/>
  <c r="E55" i="15" s="1"/>
  <c r="E56" i="15" s="1"/>
  <c r="E57" i="15" s="1"/>
  <c r="E103" i="15"/>
  <c r="E63" i="15"/>
  <c r="E83" i="15"/>
  <c r="E84" i="15" s="1"/>
  <c r="E85" i="15" s="1"/>
  <c r="E92" i="15"/>
  <c r="E111" i="15"/>
  <c r="E112" i="15" s="1"/>
  <c r="E87" i="15"/>
  <c r="E88" i="15" a="1"/>
  <c r="E99" i="15" a="1"/>
  <c r="E99" i="15" l="1"/>
  <c r="E88" i="15"/>
  <c r="E94" i="15"/>
  <c r="E95" i="15" s="1"/>
  <c r="E96" i="15" s="1"/>
  <c r="E64" i="15"/>
  <c r="E68" i="15" s="1"/>
  <c r="E69" i="15" s="1"/>
  <c r="E97" i="15"/>
  <c r="E60" i="15"/>
  <c r="E98" i="15"/>
  <c r="E81" i="15"/>
  <c r="F105" i="3" l="1"/>
  <c r="E80" i="3"/>
  <c r="F17" i="3"/>
  <c r="G16" i="3"/>
  <c r="H16" i="3"/>
  <c r="F16" i="3"/>
  <c r="F51" i="3" s="1"/>
  <c r="I16" i="3"/>
  <c r="G17" i="3" s="1"/>
  <c r="F78" i="3"/>
  <c r="CK88" i="3" a="1"/>
  <c r="CK88" i="3" s="1"/>
  <c r="CJ88" i="3" a="1"/>
  <c r="CJ88" i="3" s="1"/>
  <c r="CI88" i="3" a="1"/>
  <c r="CI88" i="3" s="1"/>
  <c r="CH88" i="3" a="1"/>
  <c r="CH88" i="3" s="1"/>
  <c r="CG88" i="3" a="1"/>
  <c r="CG88" i="3" s="1"/>
  <c r="CF88" i="3" a="1"/>
  <c r="CF88" i="3" s="1"/>
  <c r="CE88" i="3" a="1"/>
  <c r="CE88" i="3" s="1"/>
  <c r="CD88" i="3" a="1"/>
  <c r="CD88" i="3" s="1"/>
  <c r="CC88" i="3" a="1"/>
  <c r="CC88" i="3" s="1"/>
  <c r="CB88" i="3" a="1"/>
  <c r="CB88" i="3" s="1"/>
  <c r="CA88" i="3" a="1"/>
  <c r="CA88" i="3" s="1"/>
  <c r="BZ88" i="3" a="1"/>
  <c r="BZ88" i="3" s="1"/>
  <c r="BY88" i="3" a="1"/>
  <c r="BY88" i="3" s="1"/>
  <c r="BX88" i="3" a="1"/>
  <c r="BX88" i="3" s="1"/>
  <c r="BW88" i="3" a="1"/>
  <c r="BW88" i="3" s="1"/>
  <c r="BV88" i="3" a="1"/>
  <c r="BV88" i="3" s="1"/>
  <c r="BU88" i="3" a="1"/>
  <c r="BU88" i="3" s="1"/>
  <c r="BT88" i="3" a="1"/>
  <c r="BT88" i="3" s="1"/>
  <c r="BS88" i="3" a="1"/>
  <c r="BS88" i="3" s="1"/>
  <c r="BR88" i="3" a="1"/>
  <c r="BR88" i="3" s="1"/>
  <c r="BQ88" i="3" a="1"/>
  <c r="BQ88" i="3" s="1"/>
  <c r="BP88" i="3" a="1"/>
  <c r="BP88" i="3" s="1"/>
  <c r="BO88" i="3" a="1"/>
  <c r="BO88" i="3" s="1"/>
  <c r="BN88" i="3" a="1"/>
  <c r="BN88" i="3" s="1"/>
  <c r="BM88" i="3" a="1"/>
  <c r="BM88" i="3" s="1"/>
  <c r="BL88" i="3" a="1"/>
  <c r="BL88" i="3" s="1"/>
  <c r="BK88" i="3" a="1"/>
  <c r="BK88" i="3" s="1"/>
  <c r="BJ88" i="3" a="1"/>
  <c r="BJ88" i="3" s="1"/>
  <c r="BI88" i="3" a="1"/>
  <c r="BI88" i="3" s="1"/>
  <c r="BH88" i="3" a="1"/>
  <c r="BH88" i="3" s="1"/>
  <c r="BG88" i="3" a="1"/>
  <c r="BG88" i="3" s="1"/>
  <c r="BF88" i="3" a="1"/>
  <c r="BF88" i="3" s="1"/>
  <c r="BE88" i="3" a="1"/>
  <c r="BE88" i="3" s="1"/>
  <c r="BD88" i="3" a="1"/>
  <c r="BD88" i="3" s="1"/>
  <c r="BC88" i="3" a="1"/>
  <c r="BC88" i="3" s="1"/>
  <c r="BB88" i="3" a="1"/>
  <c r="BB88" i="3" s="1"/>
  <c r="BA88" i="3" a="1"/>
  <c r="BA88" i="3" s="1"/>
  <c r="AZ88" i="3" a="1"/>
  <c r="AZ88" i="3" s="1"/>
  <c r="AY88" i="3" a="1"/>
  <c r="AY88" i="3" s="1"/>
  <c r="AX88" i="3" a="1"/>
  <c r="AX88" i="3" s="1"/>
  <c r="AW88" i="3" a="1"/>
  <c r="AW88" i="3" s="1"/>
  <c r="AV88" i="3" a="1"/>
  <c r="AV88" i="3" s="1"/>
  <c r="AU88" i="3" a="1"/>
  <c r="AU88" i="3" s="1"/>
  <c r="AT88" i="3" a="1"/>
  <c r="AT88" i="3" s="1"/>
  <c r="AS88" i="3" a="1"/>
  <c r="AS88" i="3" s="1"/>
  <c r="AR88" i="3" a="1"/>
  <c r="AR88" i="3" s="1"/>
  <c r="AQ88" i="3" a="1"/>
  <c r="AQ88" i="3" s="1"/>
  <c r="AP88" i="3" a="1"/>
  <c r="AP88" i="3" s="1"/>
  <c r="AO88" i="3" a="1"/>
  <c r="AO88" i="3" s="1"/>
  <c r="AN88" i="3" a="1"/>
  <c r="AN88" i="3" s="1"/>
  <c r="AM88" i="3" a="1"/>
  <c r="AM88" i="3" s="1"/>
  <c r="AL88" i="3" a="1"/>
  <c r="AL88" i="3" s="1"/>
  <c r="AK88" i="3" a="1"/>
  <c r="AK88" i="3" s="1"/>
  <c r="AJ88" i="3" a="1"/>
  <c r="AJ88" i="3" s="1"/>
  <c r="AI88" i="3" a="1"/>
  <c r="AI88" i="3" s="1"/>
  <c r="AH88" i="3" a="1"/>
  <c r="AH88" i="3" s="1"/>
  <c r="AG88" i="3" a="1"/>
  <c r="AG88" i="3" s="1"/>
  <c r="AF88" i="3" a="1"/>
  <c r="AF88" i="3" s="1"/>
  <c r="AE88" i="3" a="1"/>
  <c r="AE88" i="3" s="1"/>
  <c r="AD88" i="3" a="1"/>
  <c r="AD88" i="3" s="1"/>
  <c r="AC88" i="3" a="1"/>
  <c r="AC88" i="3" s="1"/>
  <c r="AB88" i="3" a="1"/>
  <c r="AB88" i="3" s="1"/>
  <c r="AA88" i="3" a="1"/>
  <c r="AA88" i="3" s="1"/>
  <c r="Z88" i="3" a="1"/>
  <c r="Z88" i="3" s="1"/>
  <c r="Y88" i="3" a="1"/>
  <c r="Y88" i="3" s="1"/>
  <c r="X88" i="3" a="1"/>
  <c r="X88" i="3" s="1"/>
  <c r="W88" i="3" a="1"/>
  <c r="W88" i="3" s="1"/>
  <c r="V88" i="3" a="1"/>
  <c r="V88" i="3" s="1"/>
  <c r="S88" i="3" a="1"/>
  <c r="S88" i="3" s="1"/>
  <c r="R88" i="3" a="1"/>
  <c r="R88" i="3" s="1"/>
  <c r="Q88" i="3" a="1"/>
  <c r="Q88" i="3" s="1"/>
  <c r="P88" i="3" a="1"/>
  <c r="P88" i="3" s="1"/>
  <c r="O88" i="3" a="1"/>
  <c r="O88" i="3" s="1"/>
  <c r="N88" i="3" a="1"/>
  <c r="N88" i="3" s="1"/>
  <c r="K88" i="3" a="1"/>
  <c r="K88" i="3" s="1"/>
  <c r="J88" i="3" a="1"/>
  <c r="J88" i="3" s="1"/>
  <c r="I88" i="3" a="1"/>
  <c r="I88" i="3" s="1"/>
  <c r="H88" i="3" a="1"/>
  <c r="H88" i="3" s="1"/>
  <c r="G88" i="3" a="1"/>
  <c r="G88" i="3" s="1"/>
  <c r="F88" i="3" a="1"/>
  <c r="F88" i="3" s="1"/>
  <c r="E66" i="3"/>
  <c r="CK66" i="3"/>
  <c r="CJ66" i="3"/>
  <c r="CI66" i="3"/>
  <c r="CH66" i="3"/>
  <c r="CG66" i="3"/>
  <c r="CF66" i="3"/>
  <c r="CE66" i="3"/>
  <c r="CD66" i="3"/>
  <c r="CC66" i="3"/>
  <c r="CB66" i="3"/>
  <c r="CA66" i="3"/>
  <c r="BZ66" i="3"/>
  <c r="BY66" i="3"/>
  <c r="BX66" i="3"/>
  <c r="BW66" i="3"/>
  <c r="BV66" i="3"/>
  <c r="BU66" i="3"/>
  <c r="BT66" i="3"/>
  <c r="BS66" i="3"/>
  <c r="BR66" i="3"/>
  <c r="BQ66" i="3"/>
  <c r="BP66" i="3"/>
  <c r="BO66" i="3"/>
  <c r="BN66" i="3"/>
  <c r="BM66" i="3"/>
  <c r="BL66" i="3"/>
  <c r="BK66" i="3"/>
  <c r="BJ66" i="3"/>
  <c r="BI66" i="3"/>
  <c r="BH66" i="3"/>
  <c r="BG66" i="3"/>
  <c r="BF66" i="3"/>
  <c r="BE66" i="3"/>
  <c r="BD66" i="3"/>
  <c r="BC66" i="3"/>
  <c r="BB66" i="3"/>
  <c r="BA66" i="3"/>
  <c r="AZ66" i="3"/>
  <c r="AY66" i="3"/>
  <c r="AX66" i="3"/>
  <c r="AW66" i="3"/>
  <c r="AV66" i="3"/>
  <c r="AU66" i="3"/>
  <c r="AT66" i="3"/>
  <c r="AS66" i="3"/>
  <c r="AR66" i="3"/>
  <c r="AQ66" i="3"/>
  <c r="AP66" i="3"/>
  <c r="AO66" i="3"/>
  <c r="AN66" i="3"/>
  <c r="AM66" i="3"/>
  <c r="AL66" i="3"/>
  <c r="AE66" i="3"/>
  <c r="AA66" i="3"/>
  <c r="W66" i="3"/>
  <c r="S66" i="3"/>
  <c r="R66" i="3"/>
  <c r="K66" i="3"/>
  <c r="J66" i="3"/>
  <c r="F50" i="3"/>
  <c r="CK50" i="3"/>
  <c r="CJ50" i="3"/>
  <c r="CI50" i="3"/>
  <c r="CH50" i="3"/>
  <c r="CG50" i="3"/>
  <c r="CF50" i="3"/>
  <c r="CE50" i="3"/>
  <c r="CD50" i="3"/>
  <c r="CC50" i="3"/>
  <c r="CB50" i="3"/>
  <c r="CA50" i="3"/>
  <c r="BZ50" i="3"/>
  <c r="BY50" i="3"/>
  <c r="BX50" i="3"/>
  <c r="BW50" i="3"/>
  <c r="BV50" i="3"/>
  <c r="BU50" i="3"/>
  <c r="BT50" i="3"/>
  <c r="BS50" i="3"/>
  <c r="BR50" i="3"/>
  <c r="BQ50" i="3"/>
  <c r="BP50" i="3"/>
  <c r="BO50" i="3"/>
  <c r="BN50" i="3"/>
  <c r="BM50" i="3"/>
  <c r="BL50" i="3"/>
  <c r="BK50" i="3"/>
  <c r="BJ50" i="3"/>
  <c r="BI50" i="3"/>
  <c r="BH50" i="3"/>
  <c r="BG50" i="3"/>
  <c r="BF50" i="3"/>
  <c r="BE50" i="3"/>
  <c r="BD50" i="3"/>
  <c r="BC50" i="3"/>
  <c r="BB50" i="3"/>
  <c r="BA50" i="3"/>
  <c r="AZ50" i="3"/>
  <c r="AY50" i="3"/>
  <c r="AX50" i="3"/>
  <c r="AW50" i="3"/>
  <c r="AV50" i="3"/>
  <c r="AU50" i="3"/>
  <c r="AT50" i="3"/>
  <c r="AS50" i="3"/>
  <c r="AR50" i="3"/>
  <c r="AQ50" i="3"/>
  <c r="AP50" i="3"/>
  <c r="AO50" i="3"/>
  <c r="AN50" i="3"/>
  <c r="AM50" i="3"/>
  <c r="AL50" i="3"/>
  <c r="AK50" i="3"/>
  <c r="AJ50" i="3"/>
  <c r="AI50" i="3"/>
  <c r="AH50" i="3"/>
  <c r="AG50" i="3"/>
  <c r="AF50" i="3"/>
  <c r="AE50" i="3"/>
  <c r="AD50" i="3"/>
  <c r="AC50" i="3"/>
  <c r="AB50" i="3"/>
  <c r="AA50" i="3"/>
  <c r="Z50" i="3"/>
  <c r="Y50" i="3"/>
  <c r="X50" i="3"/>
  <c r="W50" i="3"/>
  <c r="V50" i="3"/>
  <c r="U50" i="3"/>
  <c r="T50" i="3"/>
  <c r="S50" i="3"/>
  <c r="R50" i="3"/>
  <c r="Q50" i="3"/>
  <c r="P50" i="3"/>
  <c r="O50" i="3"/>
  <c r="N50" i="3"/>
  <c r="M50" i="3"/>
  <c r="L50" i="3"/>
  <c r="K50" i="3"/>
  <c r="J50" i="3"/>
  <c r="I50" i="3"/>
  <c r="H50" i="3"/>
  <c r="G50" i="3"/>
  <c r="E50" i="3"/>
  <c r="CK79" i="3"/>
  <c r="CJ79" i="3"/>
  <c r="CI79" i="3"/>
  <c r="CH79" i="3"/>
  <c r="CG79" i="3"/>
  <c r="CF79" i="3"/>
  <c r="CE79" i="3"/>
  <c r="CD79" i="3"/>
  <c r="CC79" i="3"/>
  <c r="CB79" i="3"/>
  <c r="CA79" i="3"/>
  <c r="BZ79" i="3"/>
  <c r="BY79" i="3"/>
  <c r="BX79" i="3"/>
  <c r="BW79" i="3"/>
  <c r="BV79" i="3"/>
  <c r="BU79" i="3"/>
  <c r="BT79" i="3"/>
  <c r="BS79" i="3"/>
  <c r="BR79" i="3"/>
  <c r="BQ79" i="3"/>
  <c r="BP79" i="3"/>
  <c r="BO79" i="3"/>
  <c r="BN79" i="3"/>
  <c r="BM79" i="3"/>
  <c r="BL79" i="3"/>
  <c r="BK79" i="3"/>
  <c r="BJ79" i="3"/>
  <c r="BI79" i="3"/>
  <c r="BH79" i="3"/>
  <c r="BG79" i="3"/>
  <c r="BF79" i="3"/>
  <c r="BE79" i="3"/>
  <c r="BD79" i="3"/>
  <c r="BC79" i="3"/>
  <c r="BB79" i="3"/>
  <c r="BA79" i="3"/>
  <c r="AZ79" i="3"/>
  <c r="AY79" i="3"/>
  <c r="AX79" i="3"/>
  <c r="AW79" i="3"/>
  <c r="AV79" i="3"/>
  <c r="AU79" i="3"/>
  <c r="AT79" i="3"/>
  <c r="AS79" i="3"/>
  <c r="AR79" i="3"/>
  <c r="AQ79" i="3"/>
  <c r="AP79" i="3"/>
  <c r="AO79" i="3"/>
  <c r="AN79" i="3"/>
  <c r="AM79" i="3"/>
  <c r="AL79" i="3"/>
  <c r="AG79" i="3"/>
  <c r="AF79" i="3"/>
  <c r="AE79" i="3"/>
  <c r="AD79" i="3"/>
  <c r="AC79" i="3"/>
  <c r="AB79" i="3"/>
  <c r="AA79" i="3"/>
  <c r="Z79" i="3"/>
  <c r="Y79" i="3"/>
  <c r="X79" i="3"/>
  <c r="W79" i="3"/>
  <c r="V79" i="3"/>
  <c r="U79" i="3"/>
  <c r="T79" i="3"/>
  <c r="S79" i="3"/>
  <c r="R79" i="3"/>
  <c r="Q79" i="3"/>
  <c r="O79" i="3"/>
  <c r="N79" i="3"/>
  <c r="M79" i="3"/>
  <c r="K79" i="3"/>
  <c r="E79" i="3"/>
  <c r="W99" i="3" a="1"/>
  <c r="K99" i="3" a="1"/>
  <c r="AN99" i="3" a="1"/>
  <c r="CK99" i="3" a="1"/>
  <c r="CC99" i="3" a="1"/>
  <c r="BU99" i="3" a="1"/>
  <c r="BM99" i="3" a="1"/>
  <c r="BE99" i="3" a="1"/>
  <c r="AU99" i="3" a="1"/>
  <c r="AM99" i="3" a="1"/>
  <c r="AC99" i="3" a="1"/>
  <c r="AX99" i="3" a="1"/>
  <c r="X99" i="3" a="1"/>
  <c r="CH99" i="3" a="1"/>
  <c r="BZ99" i="3" a="1"/>
  <c r="BR99" i="3" a="1"/>
  <c r="BJ99" i="3" a="1"/>
  <c r="BB99" i="3" a="1"/>
  <c r="AB99" i="3" a="1"/>
  <c r="J99" i="3" a="1"/>
  <c r="I99" i="3" a="1"/>
  <c r="E99" i="3" a="1"/>
  <c r="BA99" i="3" a="1"/>
  <c r="U99" i="3" a="1"/>
  <c r="AZ99" i="3" a="1"/>
  <c r="AH99" i="3" a="1"/>
  <c r="CI99" i="3" a="1"/>
  <c r="CA99" i="3" a="1"/>
  <c r="BS99" i="3" a="1"/>
  <c r="BK99" i="3" a="1"/>
  <c r="BC99" i="3" a="1"/>
  <c r="AS99" i="3" a="1"/>
  <c r="AK99" i="3" a="1"/>
  <c r="Y99" i="3" a="1"/>
  <c r="AP99" i="3" a="1"/>
  <c r="T99" i="3" a="1"/>
  <c r="CF99" i="3" a="1"/>
  <c r="BX99" i="3" a="1"/>
  <c r="BP99" i="3" a="1"/>
  <c r="BH99" i="3" a="1"/>
  <c r="AV99" i="3" a="1"/>
  <c r="AG99" i="3" a="1"/>
  <c r="Q99" i="3" a="1"/>
  <c r="AT99" i="3" a="1"/>
  <c r="Z99" i="3" a="1"/>
  <c r="CG99" i="3" a="1"/>
  <c r="BY99" i="3" a="1"/>
  <c r="BQ99" i="3" a="1"/>
  <c r="BI99" i="3" a="1"/>
  <c r="AY99" i="3" a="1"/>
  <c r="AQ99" i="3" a="1"/>
  <c r="AI99" i="3" a="1"/>
  <c r="S99" i="3" a="1"/>
  <c r="AJ99" i="3" a="1"/>
  <c r="N99" i="3" a="1"/>
  <c r="CD99" i="3" a="1"/>
  <c r="BV99" i="3" a="1"/>
  <c r="BN99" i="3" a="1"/>
  <c r="BF99" i="3" a="1"/>
  <c r="AL99" i="3" a="1"/>
  <c r="R99" i="3" a="1"/>
  <c r="F99" i="3" a="1"/>
  <c r="V99" i="3" a="1"/>
  <c r="AA99" i="3" a="1"/>
  <c r="M99" i="3" a="1"/>
  <c r="AR99" i="3" a="1"/>
  <c r="L99" i="3" a="1"/>
  <c r="CE99" i="3" a="1"/>
  <c r="BW99" i="3" a="1"/>
  <c r="BO99" i="3" a="1"/>
  <c r="BG99" i="3" a="1"/>
  <c r="AW99" i="3" a="1"/>
  <c r="AO99" i="3" a="1"/>
  <c r="AE99" i="3" a="1"/>
  <c r="O99" i="3" a="1"/>
  <c r="AD99" i="3" a="1"/>
  <c r="CJ99" i="3" a="1"/>
  <c r="CB99" i="3" a="1"/>
  <c r="BT99" i="3" a="1"/>
  <c r="BL99" i="3" a="1"/>
  <c r="BD99" i="3" a="1"/>
  <c r="AF99" i="3" a="1"/>
  <c r="P99" i="3" a="1"/>
  <c r="H99" i="3" a="1"/>
  <c r="G99" i="3" a="1"/>
  <c r="J99" i="3" l="1"/>
  <c r="P99" i="3"/>
  <c r="R99" i="3"/>
  <c r="V99" i="3"/>
  <c r="AB99" i="3"/>
  <c r="AF99" i="3"/>
  <c r="AL99" i="3"/>
  <c r="AV99" i="3"/>
  <c r="BB99" i="3"/>
  <c r="BD99" i="3"/>
  <c r="BF99" i="3"/>
  <c r="BH99" i="3"/>
  <c r="BJ99" i="3"/>
  <c r="BL99" i="3"/>
  <c r="BN99" i="3"/>
  <c r="BP99" i="3"/>
  <c r="BR99" i="3"/>
  <c r="BT99" i="3"/>
  <c r="BV99" i="3"/>
  <c r="BX99" i="3"/>
  <c r="BZ99" i="3"/>
  <c r="CB99" i="3"/>
  <c r="CD99" i="3"/>
  <c r="CF99" i="3"/>
  <c r="CH99" i="3"/>
  <c r="CJ99" i="3"/>
  <c r="N99" i="3"/>
  <c r="T99" i="3"/>
  <c r="X99" i="3"/>
  <c r="AD99" i="3"/>
  <c r="AJ99" i="3"/>
  <c r="AP99" i="3"/>
  <c r="AX99" i="3"/>
  <c r="O99" i="3"/>
  <c r="S99" i="3"/>
  <c r="Y99" i="3"/>
  <c r="AC99" i="3"/>
  <c r="AE99" i="3"/>
  <c r="AI99" i="3"/>
  <c r="AK99" i="3"/>
  <c r="AM99" i="3"/>
  <c r="AO99" i="3"/>
  <c r="AQ99" i="3"/>
  <c r="AS99" i="3"/>
  <c r="AU99" i="3"/>
  <c r="AW99" i="3"/>
  <c r="AY99" i="3"/>
  <c r="BC99" i="3"/>
  <c r="BE99" i="3"/>
  <c r="BG99" i="3"/>
  <c r="BI99" i="3"/>
  <c r="BK99" i="3"/>
  <c r="BM99" i="3"/>
  <c r="BO99" i="3"/>
  <c r="BQ99" i="3"/>
  <c r="BS99" i="3"/>
  <c r="BU99" i="3"/>
  <c r="BW99" i="3"/>
  <c r="BY99" i="3"/>
  <c r="CA99" i="3"/>
  <c r="CC99" i="3"/>
  <c r="CE99" i="3"/>
  <c r="CG99" i="3"/>
  <c r="CI99" i="3"/>
  <c r="CK99" i="3"/>
  <c r="L99" i="3"/>
  <c r="Z99" i="3"/>
  <c r="AH99" i="3"/>
  <c r="AN99" i="3"/>
  <c r="AR99" i="3"/>
  <c r="AT99" i="3"/>
  <c r="AZ99" i="3"/>
  <c r="K99" i="3"/>
  <c r="M99" i="3"/>
  <c r="Q99" i="3"/>
  <c r="U99" i="3"/>
  <c r="W99" i="3"/>
  <c r="AA99" i="3"/>
  <c r="AG99" i="3"/>
  <c r="BA99" i="3"/>
  <c r="G99" i="3"/>
  <c r="F99" i="3"/>
  <c r="H99" i="3"/>
  <c r="I99" i="3"/>
  <c r="E99" i="3"/>
  <c r="I17" i="3"/>
  <c r="J113" i="3" l="1"/>
  <c r="AG26" i="3" l="1"/>
  <c r="AG29" i="3" s="1"/>
  <c r="AF26" i="3"/>
  <c r="AF29" i="3" s="1"/>
  <c r="AD26" i="3"/>
  <c r="AD29" i="3" s="1"/>
  <c r="I8" i="11"/>
  <c r="K8" i="11"/>
  <c r="M8" i="11"/>
  <c r="O8" i="11"/>
  <c r="Q8" i="11"/>
  <c r="S8" i="11"/>
  <c r="G8" i="11"/>
  <c r="E8" i="11"/>
  <c r="N55" i="2"/>
  <c r="O55" i="2"/>
  <c r="P55" i="2"/>
  <c r="Q55" i="2"/>
  <c r="R55" i="2"/>
  <c r="S55" i="2"/>
  <c r="J55" i="2"/>
  <c r="K55" i="2"/>
  <c r="L55" i="2"/>
  <c r="M55" i="2"/>
  <c r="I55" i="2"/>
  <c r="H55" i="2"/>
  <c r="H22" i="3"/>
  <c r="F22" i="3"/>
  <c r="G22" i="3"/>
  <c r="I22" i="3"/>
  <c r="F23" i="3"/>
  <c r="G23" i="3"/>
  <c r="H23" i="3"/>
  <c r="I23" i="3"/>
  <c r="AI22" i="3"/>
  <c r="AJ22" i="3"/>
  <c r="AK22" i="3"/>
  <c r="AI23" i="3"/>
  <c r="AJ23" i="3"/>
  <c r="AK23" i="3"/>
  <c r="AH23" i="3"/>
  <c r="AH22" i="3"/>
  <c r="G21" i="3"/>
  <c r="G79" i="3" s="1"/>
  <c r="I21" i="3"/>
  <c r="I79" i="3" s="1"/>
  <c r="F21" i="3"/>
  <c r="F79" i="3" s="1"/>
  <c r="F20" i="3"/>
  <c r="G20" i="3"/>
  <c r="H20" i="3"/>
  <c r="I20" i="3"/>
  <c r="AI21" i="3"/>
  <c r="AI79" i="3" s="1"/>
  <c r="AJ21" i="3"/>
  <c r="AJ79" i="3" s="1"/>
  <c r="AK21" i="3"/>
  <c r="AK79" i="3" s="1"/>
  <c r="AH21" i="3"/>
  <c r="AH79" i="3" s="1"/>
  <c r="P21" i="3"/>
  <c r="P79" i="3" s="1"/>
  <c r="L21" i="3"/>
  <c r="L79" i="3" s="1"/>
  <c r="J21" i="3"/>
  <c r="J79" i="3" s="1"/>
  <c r="V20" i="3"/>
  <c r="J18" i="3"/>
  <c r="L18" i="3"/>
  <c r="M18" i="3"/>
  <c r="N18" i="3"/>
  <c r="O18" i="3"/>
  <c r="P18" i="3"/>
  <c r="Q18" i="3"/>
  <c r="R18" i="3"/>
  <c r="T18" i="3"/>
  <c r="U18" i="3"/>
  <c r="X18" i="3"/>
  <c r="Y18" i="3"/>
  <c r="Z18" i="3"/>
  <c r="AB18" i="3"/>
  <c r="AC18" i="3"/>
  <c r="AD18" i="3"/>
  <c r="AF18" i="3"/>
  <c r="AG18" i="3"/>
  <c r="AH18" i="3"/>
  <c r="AI18" i="3"/>
  <c r="AJ18" i="3"/>
  <c r="AK18" i="3"/>
  <c r="J19" i="3"/>
  <c r="L19" i="3"/>
  <c r="M19" i="3"/>
  <c r="N19" i="3"/>
  <c r="O19" i="3"/>
  <c r="P19" i="3"/>
  <c r="Q19" i="3"/>
  <c r="R19" i="3"/>
  <c r="T19" i="3"/>
  <c r="U19" i="3"/>
  <c r="V19" i="3"/>
  <c r="X19" i="3"/>
  <c r="Y19" i="3"/>
  <c r="Z19" i="3"/>
  <c r="AB19" i="3"/>
  <c r="AC19" i="3"/>
  <c r="AD19" i="3"/>
  <c r="AF19" i="3"/>
  <c r="AG19" i="3"/>
  <c r="AH19" i="3"/>
  <c r="AI19" i="3"/>
  <c r="AJ19" i="3"/>
  <c r="AK19" i="3"/>
  <c r="G19" i="3"/>
  <c r="H19" i="3"/>
  <c r="I19" i="3"/>
  <c r="F19" i="3"/>
  <c r="H18" i="3"/>
  <c r="I18" i="3"/>
  <c r="F18" i="3"/>
  <c r="G18" i="3"/>
  <c r="H21" i="3" l="1"/>
  <c r="H79" i="3" s="1"/>
  <c r="F70" i="3"/>
  <c r="AK26" i="3"/>
  <c r="AJ26" i="3"/>
  <c r="AI26" i="3"/>
  <c r="AH26" i="3"/>
  <c r="AC26" i="3"/>
  <c r="AC29" i="3" s="1"/>
  <c r="AB26" i="3"/>
  <c r="AB29" i="3" s="1"/>
  <c r="Z26" i="3"/>
  <c r="Z29" i="3" s="1"/>
  <c r="Y26" i="3"/>
  <c r="Y29" i="3" s="1"/>
  <c r="X26" i="3"/>
  <c r="X29" i="3" s="1"/>
  <c r="V26" i="3"/>
  <c r="V29" i="3" s="1"/>
  <c r="Q26" i="3"/>
  <c r="P26" i="3"/>
  <c r="O26" i="3"/>
  <c r="N26" i="3"/>
  <c r="N29" i="3" s="1"/>
  <c r="G26" i="3"/>
  <c r="F26" i="3"/>
  <c r="F29" i="3" s="1"/>
  <c r="I28" i="3"/>
  <c r="H28" i="3"/>
  <c r="G28" i="3"/>
  <c r="Y16" i="3"/>
  <c r="V13" i="3"/>
  <c r="V18" i="3" s="1"/>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AC16" i="3"/>
  <c r="AB16" i="3"/>
  <c r="Z17" i="3" s="1"/>
  <c r="Z16" i="3"/>
  <c r="AC17" i="3" s="1"/>
  <c r="AC10" i="3"/>
  <c r="AB10" i="3"/>
  <c r="Z10" i="3"/>
  <c r="X10" i="3"/>
  <c r="V10" i="3"/>
  <c r="Y37" i="3"/>
  <c r="X37" i="3"/>
  <c r="V37" i="3"/>
  <c r="X32" i="3"/>
  <c r="V32" i="3"/>
  <c r="X16" i="3"/>
  <c r="V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7" i="3"/>
  <c r="M16" i="3"/>
  <c r="L16" i="3"/>
  <c r="J17" i="3" s="1"/>
  <c r="J16" i="3"/>
  <c r="L17" i="3" s="1"/>
  <c r="L10" i="3"/>
  <c r="J10" i="3"/>
  <c r="M10" i="3"/>
  <c r="I10" i="3"/>
  <c r="H10" i="3"/>
  <c r="G10" i="3"/>
  <c r="F10" i="3"/>
  <c r="I37" i="3"/>
  <c r="H37" i="3"/>
  <c r="I36" i="3"/>
  <c r="H36" i="3"/>
  <c r="I35" i="3"/>
  <c r="H35" i="3"/>
  <c r="I34" i="3"/>
  <c r="H34" i="3"/>
  <c r="I33" i="3"/>
  <c r="H33" i="3"/>
  <c r="I32" i="3"/>
  <c r="H32" i="3"/>
  <c r="G32" i="3"/>
  <c r="F32" i="3"/>
  <c r="V16" i="3" l="1"/>
  <c r="X17" i="3" s="1"/>
  <c r="AJ101" i="3"/>
  <c r="AJ29" i="3"/>
  <c r="AI101" i="3"/>
  <c r="AI29" i="3"/>
  <c r="AK29" i="3"/>
  <c r="AK101" i="3"/>
  <c r="AH29" i="3"/>
  <c r="AH101" i="3"/>
  <c r="AF17" i="3"/>
  <c r="AB17" i="3"/>
  <c r="T17" i="3"/>
  <c r="G11" i="11"/>
  <c r="H11" i="11"/>
  <c r="G12" i="11"/>
  <c r="H12" i="11"/>
  <c r="G13" i="11"/>
  <c r="H13" i="11"/>
  <c r="Y17" i="3" l="1"/>
  <c r="AQ53" i="11"/>
  <c r="AO53" i="11"/>
  <c r="AM53" i="11"/>
  <c r="AK53" i="11"/>
  <c r="AI53" i="11"/>
  <c r="AG53" i="11"/>
  <c r="AE53" i="11"/>
  <c r="AC53" i="11"/>
  <c r="AA53" i="11"/>
  <c r="Y53" i="11"/>
  <c r="W53" i="11"/>
  <c r="U53" i="11"/>
  <c r="S53" i="11"/>
  <c r="Q53" i="11"/>
  <c r="O53" i="11"/>
  <c r="M53" i="11"/>
  <c r="K53" i="11"/>
  <c r="I53" i="11"/>
  <c r="G53" i="11"/>
  <c r="E53" i="11"/>
  <c r="CJ67" i="3"/>
  <c r="CH67" i="3"/>
  <c r="CG67" i="3"/>
  <c r="CF67" i="3"/>
  <c r="CD67" i="3"/>
  <c r="CC67" i="3"/>
  <c r="BZ67" i="3"/>
  <c r="BY67" i="3"/>
  <c r="BX67" i="3"/>
  <c r="BV67" i="3"/>
  <c r="BU67" i="3"/>
  <c r="BT67" i="3"/>
  <c r="BR67" i="3"/>
  <c r="BQ67" i="3"/>
  <c r="BP67" i="3"/>
  <c r="BN67" i="3"/>
  <c r="BM67" i="3"/>
  <c r="BL67" i="3"/>
  <c r="BK67" i="3"/>
  <c r="BJ67" i="3"/>
  <c r="BI67" i="3"/>
  <c r="BH67" i="3"/>
  <c r="BF67" i="3"/>
  <c r="BE67" i="3"/>
  <c r="BD67" i="3"/>
  <c r="BC67" i="3"/>
  <c r="BA67" i="3"/>
  <c r="AX67" i="3"/>
  <c r="AW67" i="3"/>
  <c r="AV67" i="3"/>
  <c r="AU67" i="3"/>
  <c r="AT67" i="3"/>
  <c r="AS67" i="3"/>
  <c r="AR67" i="3"/>
  <c r="AP67" i="3"/>
  <c r="AN67" i="3"/>
  <c r="AM67" i="3"/>
  <c r="AL67" i="3"/>
  <c r="AE67" i="3"/>
  <c r="AA67" i="3"/>
  <c r="W67" i="3"/>
  <c r="S67" i="3"/>
  <c r="R67" i="3"/>
  <c r="K67" i="3"/>
  <c r="CH120" i="3"/>
  <c r="CH121" i="3" s="1"/>
  <c r="CH117" i="3"/>
  <c r="CH118" i="3" s="1"/>
  <c r="CH115" i="3"/>
  <c r="CH113" i="3"/>
  <c r="CK111" i="3"/>
  <c r="CK112" i="3" s="1"/>
  <c r="CJ111" i="3"/>
  <c r="CJ112" i="3" s="1"/>
  <c r="CI111" i="3"/>
  <c r="CI112" i="3" s="1"/>
  <c r="CH111" i="3"/>
  <c r="CH112" i="3" s="1"/>
  <c r="CK110" i="3"/>
  <c r="CJ110" i="3"/>
  <c r="CI110" i="3"/>
  <c r="CH110" i="3"/>
  <c r="CK107" i="3"/>
  <c r="CJ107" i="3"/>
  <c r="CI107" i="3"/>
  <c r="CH107" i="3"/>
  <c r="CK106" i="3"/>
  <c r="CK108" i="3" s="1"/>
  <c r="CK109" i="3" s="1"/>
  <c r="CJ106" i="3"/>
  <c r="CJ108" i="3" s="1"/>
  <c r="CJ109" i="3" s="1"/>
  <c r="CI106" i="3"/>
  <c r="CI108" i="3" s="1"/>
  <c r="CI109" i="3" s="1"/>
  <c r="CH106" i="3"/>
  <c r="CH108" i="3" s="1"/>
  <c r="CH109" i="3" s="1"/>
  <c r="CK105" i="3"/>
  <c r="CJ105" i="3"/>
  <c r="CI105" i="3"/>
  <c r="CH105" i="3"/>
  <c r="CK101" i="3"/>
  <c r="CJ101" i="3"/>
  <c r="CI101" i="3"/>
  <c r="CH101" i="3"/>
  <c r="CK100" i="3"/>
  <c r="CK102" i="3" s="1"/>
  <c r="CJ100" i="3"/>
  <c r="CJ102" i="3" s="1"/>
  <c r="CI100" i="3"/>
  <c r="CI102" i="3" s="1"/>
  <c r="CH100" i="3"/>
  <c r="CH102" i="3" s="1"/>
  <c r="CK91" i="3"/>
  <c r="CJ91" i="3"/>
  <c r="CI91" i="3"/>
  <c r="CH91" i="3"/>
  <c r="CK90" i="3"/>
  <c r="CK93" i="3" s="1"/>
  <c r="CJ90" i="3"/>
  <c r="CJ93" i="3" s="1"/>
  <c r="CI90" i="3"/>
  <c r="CI93" i="3" s="1"/>
  <c r="CH90" i="3"/>
  <c r="CH93" i="3" s="1"/>
  <c r="CK80" i="3"/>
  <c r="CJ80" i="3"/>
  <c r="CI80" i="3"/>
  <c r="CH80" i="3"/>
  <c r="CK78" i="3"/>
  <c r="CJ78" i="3"/>
  <c r="CI78" i="3"/>
  <c r="CH78" i="3"/>
  <c r="CK77" i="3"/>
  <c r="CK82" i="3" s="1"/>
  <c r="CK83" i="3" s="1"/>
  <c r="CK84" i="3" s="1"/>
  <c r="CJ77" i="3"/>
  <c r="CJ81" i="3" s="1"/>
  <c r="CI77" i="3"/>
  <c r="CI82" i="3" s="1"/>
  <c r="CI83" i="3" s="1"/>
  <c r="CI84" i="3" s="1"/>
  <c r="CH77" i="3"/>
  <c r="CH82" i="3" s="1"/>
  <c r="CH83" i="3" s="1"/>
  <c r="CH84" i="3" s="1"/>
  <c r="CK72" i="3"/>
  <c r="CK74" i="3" s="1"/>
  <c r="CK75" i="3" s="1"/>
  <c r="CK103" i="3" s="1"/>
  <c r="CJ72" i="3"/>
  <c r="CJ74" i="3" s="1"/>
  <c r="CJ75" i="3" s="1"/>
  <c r="CJ103" i="3" s="1"/>
  <c r="CI72" i="3"/>
  <c r="CI74" i="3" s="1"/>
  <c r="CI75" i="3" s="1"/>
  <c r="CI103" i="3" s="1"/>
  <c r="CH72" i="3"/>
  <c r="CH74" i="3" s="1"/>
  <c r="CH75" i="3" s="1"/>
  <c r="CH103" i="3" s="1"/>
  <c r="CD120" i="3"/>
  <c r="CD121" i="3" s="1"/>
  <c r="CD117" i="3"/>
  <c r="CD118" i="3" s="1"/>
  <c r="CD115" i="3"/>
  <c r="CD113" i="3"/>
  <c r="CG111" i="3"/>
  <c r="CG112" i="3" s="1"/>
  <c r="CF111" i="3"/>
  <c r="CF112" i="3" s="1"/>
  <c r="CE111" i="3"/>
  <c r="CE112" i="3" s="1"/>
  <c r="CD111" i="3"/>
  <c r="CD112" i="3" s="1"/>
  <c r="CG110" i="3"/>
  <c r="CF110" i="3"/>
  <c r="CE110" i="3"/>
  <c r="CD110" i="3"/>
  <c r="CG107" i="3"/>
  <c r="CF107" i="3"/>
  <c r="CE107" i="3"/>
  <c r="CD107" i="3"/>
  <c r="CG106" i="3"/>
  <c r="CG108" i="3" s="1"/>
  <c r="CG109" i="3" s="1"/>
  <c r="CF106" i="3"/>
  <c r="CF108" i="3" s="1"/>
  <c r="CF109" i="3" s="1"/>
  <c r="CE106" i="3"/>
  <c r="CE108" i="3" s="1"/>
  <c r="CE109" i="3" s="1"/>
  <c r="CD106" i="3"/>
  <c r="CD108" i="3" s="1"/>
  <c r="CD109" i="3" s="1"/>
  <c r="CG105" i="3"/>
  <c r="CF105" i="3"/>
  <c r="CE105" i="3"/>
  <c r="CD105" i="3"/>
  <c r="CG101" i="3"/>
  <c r="CF101" i="3"/>
  <c r="CE101" i="3"/>
  <c r="CD101" i="3"/>
  <c r="CG100" i="3"/>
  <c r="CG102" i="3" s="1"/>
  <c r="CF100" i="3"/>
  <c r="CF102" i="3" s="1"/>
  <c r="CE100" i="3"/>
  <c r="CE102" i="3" s="1"/>
  <c r="CD100" i="3"/>
  <c r="CD102" i="3" s="1"/>
  <c r="CG91" i="3"/>
  <c r="CF91" i="3"/>
  <c r="CE91" i="3"/>
  <c r="CD91" i="3"/>
  <c r="CG90" i="3"/>
  <c r="CG93" i="3" s="1"/>
  <c r="CF90" i="3"/>
  <c r="CF93" i="3" s="1"/>
  <c r="CE90" i="3"/>
  <c r="CE93" i="3" s="1"/>
  <c r="CD90" i="3"/>
  <c r="CD93" i="3" s="1"/>
  <c r="CG80" i="3"/>
  <c r="CF80" i="3"/>
  <c r="CE80" i="3"/>
  <c r="CD80" i="3"/>
  <c r="CG78" i="3"/>
  <c r="CF78" i="3"/>
  <c r="CE78" i="3"/>
  <c r="CD78" i="3"/>
  <c r="CG77" i="3"/>
  <c r="CG82" i="3" s="1"/>
  <c r="CG83" i="3" s="1"/>
  <c r="CG84" i="3" s="1"/>
  <c r="CF77" i="3"/>
  <c r="CF81" i="3" s="1"/>
  <c r="CE77" i="3"/>
  <c r="CE82" i="3" s="1"/>
  <c r="CE83" i="3" s="1"/>
  <c r="CE84" i="3" s="1"/>
  <c r="CD77" i="3"/>
  <c r="CD82" i="3" s="1"/>
  <c r="CD83" i="3" s="1"/>
  <c r="CD84" i="3" s="1"/>
  <c r="CG72" i="3"/>
  <c r="CG74" i="3" s="1"/>
  <c r="CG75" i="3" s="1"/>
  <c r="CG103" i="3" s="1"/>
  <c r="CF72" i="3"/>
  <c r="CF74" i="3" s="1"/>
  <c r="CF75" i="3" s="1"/>
  <c r="CF103" i="3" s="1"/>
  <c r="CE72" i="3"/>
  <c r="CE74" i="3" s="1"/>
  <c r="CE75" i="3" s="1"/>
  <c r="CE103" i="3" s="1"/>
  <c r="CD72" i="3"/>
  <c r="CD74" i="3" s="1"/>
  <c r="CD75" i="3" s="1"/>
  <c r="CD103" i="3" s="1"/>
  <c r="BZ120" i="3"/>
  <c r="BZ121" i="3" s="1"/>
  <c r="BZ117" i="3"/>
  <c r="BZ118" i="3" s="1"/>
  <c r="BZ115" i="3"/>
  <c r="BZ113" i="3"/>
  <c r="CB112" i="3"/>
  <c r="CC111" i="3"/>
  <c r="CC112" i="3" s="1"/>
  <c r="CB111" i="3"/>
  <c r="CA111" i="3"/>
  <c r="CA112" i="3" s="1"/>
  <c r="BZ111" i="3"/>
  <c r="BZ112" i="3" s="1"/>
  <c r="CC110" i="3"/>
  <c r="CB110" i="3"/>
  <c r="CA110" i="3"/>
  <c r="BZ110" i="3"/>
  <c r="CC107" i="3"/>
  <c r="CB107" i="3"/>
  <c r="CA107" i="3"/>
  <c r="BZ107" i="3"/>
  <c r="CC106" i="3"/>
  <c r="CC108" i="3" s="1"/>
  <c r="CC109" i="3" s="1"/>
  <c r="CB106" i="3"/>
  <c r="CB108" i="3" s="1"/>
  <c r="CB109" i="3" s="1"/>
  <c r="CA106" i="3"/>
  <c r="CA108" i="3" s="1"/>
  <c r="CA109" i="3" s="1"/>
  <c r="BZ106" i="3"/>
  <c r="BZ108" i="3" s="1"/>
  <c r="BZ109" i="3" s="1"/>
  <c r="CC105" i="3"/>
  <c r="CB105" i="3"/>
  <c r="CA105" i="3"/>
  <c r="BZ105" i="3"/>
  <c r="CC101" i="3"/>
  <c r="CB101" i="3"/>
  <c r="CA101" i="3"/>
  <c r="BZ101" i="3"/>
  <c r="CC100" i="3"/>
  <c r="CC102" i="3" s="1"/>
  <c r="CB100" i="3"/>
  <c r="CB102" i="3" s="1"/>
  <c r="CA100" i="3"/>
  <c r="CA102" i="3" s="1"/>
  <c r="BZ100" i="3"/>
  <c r="BZ102" i="3" s="1"/>
  <c r="CC91" i="3"/>
  <c r="CB91" i="3"/>
  <c r="CA91" i="3"/>
  <c r="BZ91" i="3"/>
  <c r="CC90" i="3"/>
  <c r="CC93" i="3" s="1"/>
  <c r="CB90" i="3"/>
  <c r="CA90" i="3"/>
  <c r="CA93" i="3" s="1"/>
  <c r="BZ90" i="3"/>
  <c r="BZ93" i="3" s="1"/>
  <c r="CC80" i="3"/>
  <c r="CB80" i="3"/>
  <c r="CA80" i="3"/>
  <c r="BZ80" i="3"/>
  <c r="CC78" i="3"/>
  <c r="CB78" i="3"/>
  <c r="CA78" i="3"/>
  <c r="BZ78" i="3"/>
  <c r="CC77" i="3"/>
  <c r="CC82" i="3" s="1"/>
  <c r="CC83" i="3" s="1"/>
  <c r="CC84" i="3" s="1"/>
  <c r="CB77" i="3"/>
  <c r="CB82" i="3" s="1"/>
  <c r="CB83" i="3" s="1"/>
  <c r="CB84" i="3" s="1"/>
  <c r="CA77" i="3"/>
  <c r="CA82" i="3" s="1"/>
  <c r="CA83" i="3" s="1"/>
  <c r="CA84" i="3" s="1"/>
  <c r="BZ77" i="3"/>
  <c r="BZ82" i="3" s="1"/>
  <c r="BZ83" i="3" s="1"/>
  <c r="BZ84" i="3" s="1"/>
  <c r="CC72" i="3"/>
  <c r="CC74" i="3" s="1"/>
  <c r="CC75" i="3" s="1"/>
  <c r="CC103" i="3" s="1"/>
  <c r="CB72" i="3"/>
  <c r="CB74" i="3" s="1"/>
  <c r="CB75" i="3" s="1"/>
  <c r="CB103" i="3" s="1"/>
  <c r="CA72" i="3"/>
  <c r="CA74" i="3" s="1"/>
  <c r="CA75" i="3" s="1"/>
  <c r="CA103" i="3" s="1"/>
  <c r="BZ72" i="3"/>
  <c r="BZ74" i="3" s="1"/>
  <c r="BZ75" i="3" s="1"/>
  <c r="BZ103" i="3" s="1"/>
  <c r="BV120" i="3"/>
  <c r="BV121" i="3" s="1"/>
  <c r="BV117" i="3"/>
  <c r="BV118" i="3" s="1"/>
  <c r="BV115" i="3"/>
  <c r="BV113" i="3"/>
  <c r="BY111" i="3"/>
  <c r="BY112" i="3" s="1"/>
  <c r="BX111" i="3"/>
  <c r="BX112" i="3" s="1"/>
  <c r="BW111" i="3"/>
  <c r="BW112" i="3" s="1"/>
  <c r="BV111" i="3"/>
  <c r="BV112" i="3" s="1"/>
  <c r="BY110" i="3"/>
  <c r="BX110" i="3"/>
  <c r="BW110" i="3"/>
  <c r="BV110" i="3"/>
  <c r="BY107" i="3"/>
  <c r="BX107" i="3"/>
  <c r="BW107" i="3"/>
  <c r="BV107" i="3"/>
  <c r="BY106" i="3"/>
  <c r="BY108" i="3" s="1"/>
  <c r="BY109" i="3" s="1"/>
  <c r="BX106" i="3"/>
  <c r="BX108" i="3" s="1"/>
  <c r="BX109" i="3" s="1"/>
  <c r="BW106" i="3"/>
  <c r="BW108" i="3" s="1"/>
  <c r="BW109" i="3" s="1"/>
  <c r="BV106" i="3"/>
  <c r="BV108" i="3" s="1"/>
  <c r="BV109" i="3" s="1"/>
  <c r="BY105" i="3"/>
  <c r="BX105" i="3"/>
  <c r="BW105" i="3"/>
  <c r="BV105" i="3"/>
  <c r="BY101" i="3"/>
  <c r="BX101" i="3"/>
  <c r="BW101" i="3"/>
  <c r="BV101" i="3"/>
  <c r="BY100" i="3"/>
  <c r="BY102" i="3" s="1"/>
  <c r="BX100" i="3"/>
  <c r="BX102" i="3" s="1"/>
  <c r="BW100" i="3"/>
  <c r="BW102" i="3" s="1"/>
  <c r="BV100" i="3"/>
  <c r="BV102" i="3" s="1"/>
  <c r="BY91" i="3"/>
  <c r="BX91" i="3"/>
  <c r="BW91" i="3"/>
  <c r="BV91" i="3"/>
  <c r="BY90" i="3"/>
  <c r="BY93" i="3" s="1"/>
  <c r="BX90" i="3"/>
  <c r="BX93" i="3" s="1"/>
  <c r="BW90" i="3"/>
  <c r="BW93" i="3" s="1"/>
  <c r="BV90" i="3"/>
  <c r="BV93" i="3" s="1"/>
  <c r="BY80" i="3"/>
  <c r="BX80" i="3"/>
  <c r="BW80" i="3"/>
  <c r="BV80" i="3"/>
  <c r="BY78" i="3"/>
  <c r="BX78" i="3"/>
  <c r="BW78" i="3"/>
  <c r="BV78" i="3"/>
  <c r="BY77" i="3"/>
  <c r="BY82" i="3" s="1"/>
  <c r="BY83" i="3" s="1"/>
  <c r="BY84" i="3" s="1"/>
  <c r="BX77" i="3"/>
  <c r="BX81" i="3" s="1"/>
  <c r="BW77" i="3"/>
  <c r="BW82" i="3" s="1"/>
  <c r="BW83" i="3" s="1"/>
  <c r="BW84" i="3" s="1"/>
  <c r="BV77" i="3"/>
  <c r="BV82" i="3" s="1"/>
  <c r="BV83" i="3" s="1"/>
  <c r="BV84" i="3" s="1"/>
  <c r="BY72" i="3"/>
  <c r="BY74" i="3" s="1"/>
  <c r="BY75" i="3" s="1"/>
  <c r="BY103" i="3" s="1"/>
  <c r="BX72" i="3"/>
  <c r="BX74" i="3" s="1"/>
  <c r="BX75" i="3" s="1"/>
  <c r="BX103" i="3" s="1"/>
  <c r="BW72" i="3"/>
  <c r="BW74" i="3" s="1"/>
  <c r="BW75" i="3" s="1"/>
  <c r="BW103" i="3" s="1"/>
  <c r="BV72" i="3"/>
  <c r="BV74" i="3" s="1"/>
  <c r="BV75" i="3" s="1"/>
  <c r="BV103" i="3" s="1"/>
  <c r="BR120" i="3"/>
  <c r="BR121" i="3" s="1"/>
  <c r="BR117" i="3"/>
  <c r="BR118" i="3" s="1"/>
  <c r="BR115" i="3"/>
  <c r="BR113" i="3"/>
  <c r="BU111" i="3"/>
  <c r="BU112" i="3" s="1"/>
  <c r="BT111" i="3"/>
  <c r="BT112" i="3" s="1"/>
  <c r="BS111" i="3"/>
  <c r="BS112" i="3" s="1"/>
  <c r="BR111" i="3"/>
  <c r="BR112" i="3" s="1"/>
  <c r="BU110" i="3"/>
  <c r="BT110" i="3"/>
  <c r="BS110" i="3"/>
  <c r="BR110" i="3"/>
  <c r="BU107" i="3"/>
  <c r="BT107" i="3"/>
  <c r="BS107" i="3"/>
  <c r="BR107" i="3"/>
  <c r="BU106" i="3"/>
  <c r="BU108" i="3" s="1"/>
  <c r="BU109" i="3" s="1"/>
  <c r="BT106" i="3"/>
  <c r="BT108" i="3" s="1"/>
  <c r="BT109" i="3" s="1"/>
  <c r="BS106" i="3"/>
  <c r="BS108" i="3" s="1"/>
  <c r="BS109" i="3" s="1"/>
  <c r="BR106" i="3"/>
  <c r="BR108" i="3" s="1"/>
  <c r="BR109" i="3" s="1"/>
  <c r="BU105" i="3"/>
  <c r="BT105" i="3"/>
  <c r="BS105" i="3"/>
  <c r="BR105" i="3"/>
  <c r="BU101" i="3"/>
  <c r="BT101" i="3"/>
  <c r="BS101" i="3"/>
  <c r="BR101" i="3"/>
  <c r="BU100" i="3"/>
  <c r="BU102" i="3" s="1"/>
  <c r="BT100" i="3"/>
  <c r="BT102" i="3" s="1"/>
  <c r="BS100" i="3"/>
  <c r="BS102" i="3" s="1"/>
  <c r="BR100" i="3"/>
  <c r="BR102" i="3" s="1"/>
  <c r="BU91" i="3"/>
  <c r="BT91" i="3"/>
  <c r="BS91" i="3"/>
  <c r="BR91" i="3"/>
  <c r="BU90" i="3"/>
  <c r="BU93" i="3" s="1"/>
  <c r="BT90" i="3"/>
  <c r="BS90" i="3"/>
  <c r="BS93" i="3" s="1"/>
  <c r="BR90" i="3"/>
  <c r="BR93" i="3" s="1"/>
  <c r="BU80" i="3"/>
  <c r="BT80" i="3"/>
  <c r="BS80" i="3"/>
  <c r="BR80" i="3"/>
  <c r="BU78" i="3"/>
  <c r="BT78" i="3"/>
  <c r="BS78" i="3"/>
  <c r="BR78" i="3"/>
  <c r="BU77" i="3"/>
  <c r="BU81" i="3" s="1"/>
  <c r="BT77" i="3"/>
  <c r="BT82" i="3" s="1"/>
  <c r="BT83" i="3" s="1"/>
  <c r="BT84" i="3" s="1"/>
  <c r="BS77" i="3"/>
  <c r="BS82" i="3" s="1"/>
  <c r="BS83" i="3" s="1"/>
  <c r="BS84" i="3" s="1"/>
  <c r="BR77" i="3"/>
  <c r="BR82" i="3" s="1"/>
  <c r="BR83" i="3" s="1"/>
  <c r="BR84" i="3" s="1"/>
  <c r="BU72" i="3"/>
  <c r="BU74" i="3" s="1"/>
  <c r="BU75" i="3" s="1"/>
  <c r="BU103" i="3" s="1"/>
  <c r="BT72" i="3"/>
  <c r="BT74" i="3" s="1"/>
  <c r="BT75" i="3" s="1"/>
  <c r="BT103" i="3" s="1"/>
  <c r="BS72" i="3"/>
  <c r="BS74" i="3" s="1"/>
  <c r="BS75" i="3" s="1"/>
  <c r="BS103" i="3" s="1"/>
  <c r="BR72" i="3"/>
  <c r="BR74" i="3" s="1"/>
  <c r="BR75" i="3" s="1"/>
  <c r="BR103" i="3" s="1"/>
  <c r="BN120" i="3"/>
  <c r="BN121" i="3" s="1"/>
  <c r="BN117" i="3"/>
  <c r="BN118" i="3" s="1"/>
  <c r="BN115" i="3"/>
  <c r="BN113" i="3"/>
  <c r="BQ111" i="3"/>
  <c r="BQ112" i="3" s="1"/>
  <c r="BP111" i="3"/>
  <c r="BP112" i="3" s="1"/>
  <c r="BO111" i="3"/>
  <c r="BO112" i="3" s="1"/>
  <c r="BN111" i="3"/>
  <c r="BN112" i="3" s="1"/>
  <c r="BQ110" i="3"/>
  <c r="BP110" i="3"/>
  <c r="BO110" i="3"/>
  <c r="BN110" i="3"/>
  <c r="BQ107" i="3"/>
  <c r="BP107" i="3"/>
  <c r="BO107" i="3"/>
  <c r="BN107" i="3"/>
  <c r="BQ106" i="3"/>
  <c r="BQ108" i="3" s="1"/>
  <c r="BQ109" i="3" s="1"/>
  <c r="BP106" i="3"/>
  <c r="BP108" i="3" s="1"/>
  <c r="BP109" i="3" s="1"/>
  <c r="BO106" i="3"/>
  <c r="BO108" i="3" s="1"/>
  <c r="BO109" i="3" s="1"/>
  <c r="BN106" i="3"/>
  <c r="BN108" i="3" s="1"/>
  <c r="BN109" i="3" s="1"/>
  <c r="BQ105" i="3"/>
  <c r="BP105" i="3"/>
  <c r="BO105" i="3"/>
  <c r="BN105" i="3"/>
  <c r="BQ101" i="3"/>
  <c r="BP101" i="3"/>
  <c r="BO101" i="3"/>
  <c r="BN101" i="3"/>
  <c r="BQ100" i="3"/>
  <c r="BQ102" i="3" s="1"/>
  <c r="BP100" i="3"/>
  <c r="BO100" i="3"/>
  <c r="BN100" i="3"/>
  <c r="BQ91" i="3"/>
  <c r="BP91" i="3"/>
  <c r="BO91" i="3"/>
  <c r="BN91" i="3"/>
  <c r="BQ90" i="3"/>
  <c r="BQ93" i="3" s="1"/>
  <c r="BP90" i="3"/>
  <c r="BP93" i="3" s="1"/>
  <c r="BO90" i="3"/>
  <c r="BO93" i="3" s="1"/>
  <c r="BN90" i="3"/>
  <c r="BN93" i="3" s="1"/>
  <c r="BQ80" i="3"/>
  <c r="BP80" i="3"/>
  <c r="BO80" i="3"/>
  <c r="BN80" i="3"/>
  <c r="BQ78" i="3"/>
  <c r="BP78" i="3"/>
  <c r="BO78" i="3"/>
  <c r="BN78" i="3"/>
  <c r="BQ77" i="3"/>
  <c r="BQ82" i="3" s="1"/>
  <c r="BQ83" i="3" s="1"/>
  <c r="BQ84" i="3" s="1"/>
  <c r="BP77" i="3"/>
  <c r="BP82" i="3" s="1"/>
  <c r="BP83" i="3" s="1"/>
  <c r="BP84" i="3" s="1"/>
  <c r="BO77" i="3"/>
  <c r="BO82" i="3" s="1"/>
  <c r="BO83" i="3" s="1"/>
  <c r="BO84" i="3" s="1"/>
  <c r="BN77" i="3"/>
  <c r="BN82" i="3" s="1"/>
  <c r="BN83" i="3" s="1"/>
  <c r="BN84" i="3" s="1"/>
  <c r="BQ72" i="3"/>
  <c r="BQ74" i="3" s="1"/>
  <c r="BQ75" i="3" s="1"/>
  <c r="BQ103" i="3" s="1"/>
  <c r="BP72" i="3"/>
  <c r="BP74" i="3" s="1"/>
  <c r="BP75" i="3" s="1"/>
  <c r="BO72" i="3"/>
  <c r="BO74" i="3" s="1"/>
  <c r="BO75" i="3" s="1"/>
  <c r="BN72" i="3"/>
  <c r="BN74" i="3" s="1"/>
  <c r="BN75" i="3" s="1"/>
  <c r="BJ120" i="3"/>
  <c r="AE31" i="11" s="1"/>
  <c r="BJ117" i="3"/>
  <c r="BJ118" i="3" s="1"/>
  <c r="BJ115" i="3"/>
  <c r="BJ113" i="3"/>
  <c r="BM111" i="3"/>
  <c r="BM112" i="3" s="1"/>
  <c r="BL111" i="3"/>
  <c r="BL112" i="3" s="1"/>
  <c r="BK111" i="3"/>
  <c r="BK112" i="3" s="1"/>
  <c r="BJ111" i="3"/>
  <c r="BJ112" i="3" s="1"/>
  <c r="BM110" i="3"/>
  <c r="BL110" i="3"/>
  <c r="BK110" i="3"/>
  <c r="BJ110" i="3"/>
  <c r="BM107" i="3"/>
  <c r="BL107" i="3"/>
  <c r="BK107" i="3"/>
  <c r="BJ107" i="3"/>
  <c r="BM106" i="3"/>
  <c r="BM108" i="3" s="1"/>
  <c r="BM109" i="3" s="1"/>
  <c r="BL106" i="3"/>
  <c r="BL108" i="3" s="1"/>
  <c r="BL109" i="3" s="1"/>
  <c r="BK106" i="3"/>
  <c r="BK108" i="3" s="1"/>
  <c r="BK109" i="3" s="1"/>
  <c r="BJ106" i="3"/>
  <c r="BJ108" i="3" s="1"/>
  <c r="BJ109" i="3" s="1"/>
  <c r="BM105" i="3"/>
  <c r="BL105" i="3"/>
  <c r="BK105" i="3"/>
  <c r="BJ105" i="3"/>
  <c r="BM101" i="3"/>
  <c r="BL101" i="3"/>
  <c r="BK101" i="3"/>
  <c r="BJ101" i="3"/>
  <c r="BM100" i="3"/>
  <c r="BL100" i="3"/>
  <c r="BL102" i="3" s="1"/>
  <c r="BK100" i="3"/>
  <c r="BK102" i="3" s="1"/>
  <c r="BJ100" i="3"/>
  <c r="BJ102" i="3" s="1"/>
  <c r="BM91" i="3"/>
  <c r="BL91" i="3"/>
  <c r="BK91" i="3"/>
  <c r="BJ91" i="3"/>
  <c r="BM90" i="3"/>
  <c r="BM93" i="3" s="1"/>
  <c r="BL90" i="3"/>
  <c r="BL93" i="3" s="1"/>
  <c r="BK90" i="3"/>
  <c r="BK93" i="3" s="1"/>
  <c r="BJ90" i="3"/>
  <c r="BJ93" i="3" s="1"/>
  <c r="BM80" i="3"/>
  <c r="BL80" i="3"/>
  <c r="BK80" i="3"/>
  <c r="BJ80" i="3"/>
  <c r="BM78" i="3"/>
  <c r="BL78" i="3"/>
  <c r="BK78" i="3"/>
  <c r="BJ78" i="3"/>
  <c r="BM77" i="3"/>
  <c r="BM82" i="3" s="1"/>
  <c r="BM83" i="3" s="1"/>
  <c r="BM84" i="3" s="1"/>
  <c r="BL77" i="3"/>
  <c r="BL81" i="3" s="1"/>
  <c r="BK77" i="3"/>
  <c r="BK82" i="3" s="1"/>
  <c r="BK83" i="3" s="1"/>
  <c r="BK84" i="3" s="1"/>
  <c r="BJ77" i="3"/>
  <c r="BJ82" i="3" s="1"/>
  <c r="BJ83" i="3" s="1"/>
  <c r="BJ84" i="3" s="1"/>
  <c r="BM72" i="3"/>
  <c r="BM74" i="3" s="1"/>
  <c r="BM75" i="3" s="1"/>
  <c r="BL72" i="3"/>
  <c r="BL74" i="3" s="1"/>
  <c r="BL75" i="3" s="1"/>
  <c r="BL103" i="3" s="1"/>
  <c r="BK72" i="3"/>
  <c r="BK74" i="3" s="1"/>
  <c r="BK75" i="3" s="1"/>
  <c r="BK103" i="3" s="1"/>
  <c r="BJ72" i="3"/>
  <c r="BJ74" i="3" s="1"/>
  <c r="BJ75" i="3" s="1"/>
  <c r="BJ103" i="3" s="1"/>
  <c r="BF120" i="3"/>
  <c r="BF121" i="3" s="1"/>
  <c r="BF117" i="3"/>
  <c r="BF118" i="3" s="1"/>
  <c r="BF115" i="3"/>
  <c r="BF113" i="3"/>
  <c r="BI111" i="3"/>
  <c r="BI112" i="3" s="1"/>
  <c r="BH111" i="3"/>
  <c r="BH112" i="3" s="1"/>
  <c r="BG111" i="3"/>
  <c r="BG112" i="3" s="1"/>
  <c r="BF111" i="3"/>
  <c r="BF112" i="3" s="1"/>
  <c r="BI110" i="3"/>
  <c r="BH110" i="3"/>
  <c r="BG110" i="3"/>
  <c r="BF110" i="3"/>
  <c r="BI107" i="3"/>
  <c r="BH107" i="3"/>
  <c r="BG107" i="3"/>
  <c r="BF107" i="3"/>
  <c r="BI106" i="3"/>
  <c r="BI108" i="3" s="1"/>
  <c r="BI109" i="3" s="1"/>
  <c r="BH106" i="3"/>
  <c r="BH108" i="3" s="1"/>
  <c r="BH109" i="3" s="1"/>
  <c r="BG106" i="3"/>
  <c r="BG108" i="3" s="1"/>
  <c r="BG109" i="3" s="1"/>
  <c r="BF106" i="3"/>
  <c r="BF108" i="3" s="1"/>
  <c r="BF109" i="3" s="1"/>
  <c r="BI105" i="3"/>
  <c r="BH105" i="3"/>
  <c r="BG105" i="3"/>
  <c r="BF105" i="3"/>
  <c r="BI101" i="3"/>
  <c r="BH101" i="3"/>
  <c r="BG101" i="3"/>
  <c r="BF101" i="3"/>
  <c r="BI100" i="3"/>
  <c r="BH100" i="3"/>
  <c r="BH102" i="3" s="1"/>
  <c r="BG100" i="3"/>
  <c r="BG102" i="3" s="1"/>
  <c r="BF100" i="3"/>
  <c r="BF102" i="3" s="1"/>
  <c r="BI91" i="3"/>
  <c r="BH91" i="3"/>
  <c r="BG91" i="3"/>
  <c r="BF91" i="3"/>
  <c r="BI90" i="3"/>
  <c r="BI93" i="3" s="1"/>
  <c r="BH90" i="3"/>
  <c r="BH93" i="3" s="1"/>
  <c r="BG90" i="3"/>
  <c r="BG93" i="3" s="1"/>
  <c r="BF90" i="3"/>
  <c r="BF93" i="3" s="1"/>
  <c r="BI80" i="3"/>
  <c r="BH80" i="3"/>
  <c r="BG80" i="3"/>
  <c r="BF80" i="3"/>
  <c r="BI78" i="3"/>
  <c r="BH78" i="3"/>
  <c r="BG78" i="3"/>
  <c r="BF78" i="3"/>
  <c r="BI77" i="3"/>
  <c r="BI82" i="3" s="1"/>
  <c r="BI83" i="3" s="1"/>
  <c r="BI84" i="3" s="1"/>
  <c r="BH77" i="3"/>
  <c r="BH82" i="3" s="1"/>
  <c r="BH83" i="3" s="1"/>
  <c r="BH84" i="3" s="1"/>
  <c r="BG77" i="3"/>
  <c r="BG82" i="3" s="1"/>
  <c r="BG83" i="3" s="1"/>
  <c r="BG84" i="3" s="1"/>
  <c r="BF77" i="3"/>
  <c r="BF82" i="3" s="1"/>
  <c r="BF83" i="3" s="1"/>
  <c r="BF84" i="3" s="1"/>
  <c r="BI72" i="3"/>
  <c r="BI74" i="3" s="1"/>
  <c r="BI75" i="3" s="1"/>
  <c r="BH72" i="3"/>
  <c r="BH74" i="3" s="1"/>
  <c r="BH75" i="3" s="1"/>
  <c r="BH103" i="3" s="1"/>
  <c r="BG72" i="3"/>
  <c r="BG74" i="3" s="1"/>
  <c r="BG75" i="3" s="1"/>
  <c r="BG103" i="3" s="1"/>
  <c r="BF72" i="3"/>
  <c r="BF74" i="3" s="1"/>
  <c r="BF75" i="3" s="1"/>
  <c r="BF103" i="3" s="1"/>
  <c r="BB120" i="3"/>
  <c r="BB121" i="3" s="1"/>
  <c r="BB117" i="3"/>
  <c r="BB118" i="3" s="1"/>
  <c r="BB115" i="3"/>
  <c r="BB113" i="3"/>
  <c r="BE111" i="3"/>
  <c r="BE112" i="3" s="1"/>
  <c r="BD111" i="3"/>
  <c r="BD112" i="3" s="1"/>
  <c r="BC111" i="3"/>
  <c r="BC112" i="3" s="1"/>
  <c r="BB111" i="3"/>
  <c r="BB112" i="3" s="1"/>
  <c r="BE110" i="3"/>
  <c r="BD110" i="3"/>
  <c r="BC110" i="3"/>
  <c r="BB110" i="3"/>
  <c r="BE107" i="3"/>
  <c r="BD107" i="3"/>
  <c r="BC107" i="3"/>
  <c r="BB107" i="3"/>
  <c r="BE106" i="3"/>
  <c r="BE108" i="3" s="1"/>
  <c r="BE109" i="3" s="1"/>
  <c r="BD106" i="3"/>
  <c r="BD108" i="3" s="1"/>
  <c r="BD109" i="3" s="1"/>
  <c r="BC106" i="3"/>
  <c r="BC108" i="3" s="1"/>
  <c r="BC109" i="3" s="1"/>
  <c r="BB106" i="3"/>
  <c r="BB108" i="3" s="1"/>
  <c r="BB109" i="3" s="1"/>
  <c r="BE105" i="3"/>
  <c r="BD105" i="3"/>
  <c r="BC105" i="3"/>
  <c r="BB105" i="3"/>
  <c r="BE101" i="3"/>
  <c r="BD101" i="3"/>
  <c r="BC101" i="3"/>
  <c r="BB101" i="3"/>
  <c r="BE100" i="3"/>
  <c r="BD100" i="3"/>
  <c r="BD102" i="3" s="1"/>
  <c r="BC100" i="3"/>
  <c r="BC102" i="3" s="1"/>
  <c r="BB100" i="3"/>
  <c r="BB102" i="3" s="1"/>
  <c r="BE91" i="3"/>
  <c r="BD91" i="3"/>
  <c r="BC91" i="3"/>
  <c r="BB91" i="3"/>
  <c r="BE90" i="3"/>
  <c r="BE93" i="3" s="1"/>
  <c r="BD90" i="3"/>
  <c r="BD93" i="3" s="1"/>
  <c r="BC90" i="3"/>
  <c r="BC93" i="3" s="1"/>
  <c r="BB90" i="3"/>
  <c r="BB93" i="3" s="1"/>
  <c r="BE80" i="3"/>
  <c r="BD80" i="3"/>
  <c r="BC80" i="3"/>
  <c r="BB80" i="3"/>
  <c r="BE78" i="3"/>
  <c r="BD78" i="3"/>
  <c r="BC78" i="3"/>
  <c r="BB78" i="3"/>
  <c r="BE77" i="3"/>
  <c r="BE82" i="3" s="1"/>
  <c r="BE83" i="3" s="1"/>
  <c r="BE84" i="3" s="1"/>
  <c r="BD77" i="3"/>
  <c r="BD82" i="3" s="1"/>
  <c r="BD83" i="3" s="1"/>
  <c r="BD84" i="3" s="1"/>
  <c r="BC77" i="3"/>
  <c r="BC82" i="3" s="1"/>
  <c r="BC83" i="3" s="1"/>
  <c r="BC84" i="3" s="1"/>
  <c r="BB77" i="3"/>
  <c r="BB82" i="3" s="1"/>
  <c r="BB83" i="3" s="1"/>
  <c r="BB84" i="3" s="1"/>
  <c r="BE72" i="3"/>
  <c r="BE74" i="3" s="1"/>
  <c r="BE75" i="3" s="1"/>
  <c r="BD72" i="3"/>
  <c r="BD74" i="3" s="1"/>
  <c r="BD75" i="3" s="1"/>
  <c r="BD103" i="3" s="1"/>
  <c r="BC72" i="3"/>
  <c r="BC74" i="3" s="1"/>
  <c r="BC75" i="3" s="1"/>
  <c r="BC103" i="3" s="1"/>
  <c r="BB72" i="3"/>
  <c r="BB74" i="3" s="1"/>
  <c r="BB75" i="3" s="1"/>
  <c r="BB103" i="3" s="1"/>
  <c r="AX120" i="3"/>
  <c r="AX121" i="3" s="1"/>
  <c r="AX117" i="3"/>
  <c r="AX118" i="3" s="1"/>
  <c r="AX115" i="3"/>
  <c r="AX113" i="3"/>
  <c r="BA111" i="3"/>
  <c r="BA112" i="3" s="1"/>
  <c r="AZ111" i="3"/>
  <c r="AZ112" i="3" s="1"/>
  <c r="AY111" i="3"/>
  <c r="AY112" i="3" s="1"/>
  <c r="AX111" i="3"/>
  <c r="AX112" i="3" s="1"/>
  <c r="BA110" i="3"/>
  <c r="AZ110" i="3"/>
  <c r="AY110" i="3"/>
  <c r="AX110" i="3"/>
  <c r="BA107" i="3"/>
  <c r="AZ107" i="3"/>
  <c r="AY107" i="3"/>
  <c r="AX107" i="3"/>
  <c r="BA106" i="3"/>
  <c r="BA108" i="3" s="1"/>
  <c r="BA109" i="3" s="1"/>
  <c r="AZ106" i="3"/>
  <c r="AZ108" i="3" s="1"/>
  <c r="AZ109" i="3" s="1"/>
  <c r="AY106" i="3"/>
  <c r="AY108" i="3" s="1"/>
  <c r="AY109" i="3" s="1"/>
  <c r="AX106" i="3"/>
  <c r="AX108" i="3" s="1"/>
  <c r="AX109" i="3" s="1"/>
  <c r="BA105" i="3"/>
  <c r="AZ105" i="3"/>
  <c r="AY105" i="3"/>
  <c r="AX105" i="3"/>
  <c r="BA101" i="3"/>
  <c r="AZ101" i="3"/>
  <c r="AY101" i="3"/>
  <c r="AX101" i="3"/>
  <c r="BA100" i="3"/>
  <c r="AZ100" i="3"/>
  <c r="AZ102" i="3" s="1"/>
  <c r="AY100" i="3"/>
  <c r="AY102" i="3" s="1"/>
  <c r="AX100" i="3"/>
  <c r="AX102" i="3" s="1"/>
  <c r="BA91" i="3"/>
  <c r="AZ91" i="3"/>
  <c r="AY91" i="3"/>
  <c r="AX91" i="3"/>
  <c r="BA90" i="3"/>
  <c r="BA93" i="3" s="1"/>
  <c r="AZ90" i="3"/>
  <c r="AY90" i="3"/>
  <c r="AY93" i="3" s="1"/>
  <c r="AX90" i="3"/>
  <c r="AX93" i="3" s="1"/>
  <c r="BA80" i="3"/>
  <c r="AZ80" i="3"/>
  <c r="AY80" i="3"/>
  <c r="AX80" i="3"/>
  <c r="BA78" i="3"/>
  <c r="AZ78" i="3"/>
  <c r="AY78" i="3"/>
  <c r="AX78" i="3"/>
  <c r="BA77" i="3"/>
  <c r="BA82" i="3" s="1"/>
  <c r="BA83" i="3" s="1"/>
  <c r="BA84" i="3" s="1"/>
  <c r="AZ77" i="3"/>
  <c r="AZ82" i="3" s="1"/>
  <c r="AZ83" i="3" s="1"/>
  <c r="AZ84" i="3" s="1"/>
  <c r="AY77" i="3"/>
  <c r="AY82" i="3" s="1"/>
  <c r="AY83" i="3" s="1"/>
  <c r="AY84" i="3" s="1"/>
  <c r="AX77" i="3"/>
  <c r="AX82" i="3" s="1"/>
  <c r="AX83" i="3" s="1"/>
  <c r="AX84" i="3" s="1"/>
  <c r="BA72" i="3"/>
  <c r="BA74" i="3" s="1"/>
  <c r="BA75" i="3" s="1"/>
  <c r="AZ72" i="3"/>
  <c r="AZ74" i="3" s="1"/>
  <c r="AZ75" i="3" s="1"/>
  <c r="AZ103" i="3" s="1"/>
  <c r="AY72" i="3"/>
  <c r="AY74" i="3" s="1"/>
  <c r="AY75" i="3" s="1"/>
  <c r="AY103" i="3" s="1"/>
  <c r="AX72" i="3"/>
  <c r="AX74" i="3" s="1"/>
  <c r="AX75" i="3" s="1"/>
  <c r="AX103" i="3" s="1"/>
  <c r="AT121" i="3"/>
  <c r="AT120" i="3"/>
  <c r="W31" i="11" s="1"/>
  <c r="AT117" i="3"/>
  <c r="AT118" i="3" s="1"/>
  <c r="AT115" i="3"/>
  <c r="AT113" i="3"/>
  <c r="AW111" i="3"/>
  <c r="AW112" i="3" s="1"/>
  <c r="AV111" i="3"/>
  <c r="AV112" i="3" s="1"/>
  <c r="AU111" i="3"/>
  <c r="AU112" i="3" s="1"/>
  <c r="AT111" i="3"/>
  <c r="AT112" i="3" s="1"/>
  <c r="AW110" i="3"/>
  <c r="AV110" i="3"/>
  <c r="AU110" i="3"/>
  <c r="AT110" i="3"/>
  <c r="AW107" i="3"/>
  <c r="AV107" i="3"/>
  <c r="AU107" i="3"/>
  <c r="AT107" i="3"/>
  <c r="AW106" i="3"/>
  <c r="AW108" i="3" s="1"/>
  <c r="AW109" i="3" s="1"/>
  <c r="AV106" i="3"/>
  <c r="AV108" i="3" s="1"/>
  <c r="AV109" i="3" s="1"/>
  <c r="AU106" i="3"/>
  <c r="AU108" i="3" s="1"/>
  <c r="AU109" i="3" s="1"/>
  <c r="AT106" i="3"/>
  <c r="AT108" i="3" s="1"/>
  <c r="AT109" i="3" s="1"/>
  <c r="AW105" i="3"/>
  <c r="AV105" i="3"/>
  <c r="AU105" i="3"/>
  <c r="AT105" i="3"/>
  <c r="AW101" i="3"/>
  <c r="AV101" i="3"/>
  <c r="AU101" i="3"/>
  <c r="AT101" i="3"/>
  <c r="AW100" i="3"/>
  <c r="AW102" i="3" s="1"/>
  <c r="AV100" i="3"/>
  <c r="AV102" i="3" s="1"/>
  <c r="AU100" i="3"/>
  <c r="AU102" i="3" s="1"/>
  <c r="AT100" i="3"/>
  <c r="AW91" i="3"/>
  <c r="AV91" i="3"/>
  <c r="AU91" i="3"/>
  <c r="AT91" i="3"/>
  <c r="AW90" i="3"/>
  <c r="AW93" i="3" s="1"/>
  <c r="AV90" i="3"/>
  <c r="AU90" i="3"/>
  <c r="AU93" i="3" s="1"/>
  <c r="AT90" i="3"/>
  <c r="AT93" i="3" s="1"/>
  <c r="AW80" i="3"/>
  <c r="AV80" i="3"/>
  <c r="AU80" i="3"/>
  <c r="AT80" i="3"/>
  <c r="AW78" i="3"/>
  <c r="AV78" i="3"/>
  <c r="AU78" i="3"/>
  <c r="AT78" i="3"/>
  <c r="AW77" i="3"/>
  <c r="AW82" i="3" s="1"/>
  <c r="AW83" i="3" s="1"/>
  <c r="AW84" i="3" s="1"/>
  <c r="AV77" i="3"/>
  <c r="AV81" i="3" s="1"/>
  <c r="AU77" i="3"/>
  <c r="AU82" i="3" s="1"/>
  <c r="AU83" i="3" s="1"/>
  <c r="AU84" i="3" s="1"/>
  <c r="AT77" i="3"/>
  <c r="AT82" i="3" s="1"/>
  <c r="AT83" i="3" s="1"/>
  <c r="AT84" i="3" s="1"/>
  <c r="AW72" i="3"/>
  <c r="AW74" i="3" s="1"/>
  <c r="AW75" i="3" s="1"/>
  <c r="AW103" i="3" s="1"/>
  <c r="AV72" i="3"/>
  <c r="AV74" i="3" s="1"/>
  <c r="AV75" i="3" s="1"/>
  <c r="AV103" i="3" s="1"/>
  <c r="AU72" i="3"/>
  <c r="AU74" i="3" s="1"/>
  <c r="AU75" i="3" s="1"/>
  <c r="AU103" i="3" s="1"/>
  <c r="AT72" i="3"/>
  <c r="AT74" i="3" s="1"/>
  <c r="AT75" i="3" s="1"/>
  <c r="AP120" i="3"/>
  <c r="AP121" i="3" s="1"/>
  <c r="AP117" i="3"/>
  <c r="AP118" i="3" s="1"/>
  <c r="AP115" i="3"/>
  <c r="AP113" i="3"/>
  <c r="AS111" i="3"/>
  <c r="AS112" i="3" s="1"/>
  <c r="AR111" i="3"/>
  <c r="AR112" i="3" s="1"/>
  <c r="AQ111" i="3"/>
  <c r="AQ112" i="3" s="1"/>
  <c r="AP111" i="3"/>
  <c r="AP112" i="3" s="1"/>
  <c r="AS110" i="3"/>
  <c r="AR110" i="3"/>
  <c r="AQ110" i="3"/>
  <c r="AP110" i="3"/>
  <c r="AS107" i="3"/>
  <c r="AR107" i="3"/>
  <c r="AQ107" i="3"/>
  <c r="AP107" i="3"/>
  <c r="AS106" i="3"/>
  <c r="AS108" i="3" s="1"/>
  <c r="AS109" i="3" s="1"/>
  <c r="AR106" i="3"/>
  <c r="AR108" i="3" s="1"/>
  <c r="AR109" i="3" s="1"/>
  <c r="AQ106" i="3"/>
  <c r="AQ108" i="3" s="1"/>
  <c r="AQ109" i="3" s="1"/>
  <c r="AP106" i="3"/>
  <c r="AP108" i="3" s="1"/>
  <c r="AP109" i="3" s="1"/>
  <c r="AS105" i="3"/>
  <c r="AR105" i="3"/>
  <c r="AQ105" i="3"/>
  <c r="AP105" i="3"/>
  <c r="AS101" i="3"/>
  <c r="AR101" i="3"/>
  <c r="AQ101" i="3"/>
  <c r="AP101" i="3"/>
  <c r="AS100" i="3"/>
  <c r="AS102" i="3" s="1"/>
  <c r="AR100" i="3"/>
  <c r="AR102" i="3" s="1"/>
  <c r="AQ100" i="3"/>
  <c r="AQ102" i="3" s="1"/>
  <c r="AP100" i="3"/>
  <c r="AS91" i="3"/>
  <c r="AR91" i="3"/>
  <c r="AQ91" i="3"/>
  <c r="AP91" i="3"/>
  <c r="AS90" i="3"/>
  <c r="AS93" i="3" s="1"/>
  <c r="AR90" i="3"/>
  <c r="AR93" i="3" s="1"/>
  <c r="AQ90" i="3"/>
  <c r="AQ93" i="3" s="1"/>
  <c r="AP90" i="3"/>
  <c r="AP93" i="3" s="1"/>
  <c r="AS80" i="3"/>
  <c r="AR80" i="3"/>
  <c r="AQ80" i="3"/>
  <c r="AP80" i="3"/>
  <c r="AS78" i="3"/>
  <c r="AR78" i="3"/>
  <c r="AQ78" i="3"/>
  <c r="AP78" i="3"/>
  <c r="AS77" i="3"/>
  <c r="AS82" i="3" s="1"/>
  <c r="AS83" i="3" s="1"/>
  <c r="AS84" i="3" s="1"/>
  <c r="AR77" i="3"/>
  <c r="AR81" i="3" s="1"/>
  <c r="AQ77" i="3"/>
  <c r="AQ82" i="3" s="1"/>
  <c r="AQ83" i="3" s="1"/>
  <c r="AQ84" i="3" s="1"/>
  <c r="AP77" i="3"/>
  <c r="AP82" i="3" s="1"/>
  <c r="AP83" i="3" s="1"/>
  <c r="AP84" i="3" s="1"/>
  <c r="AS72" i="3"/>
  <c r="AS74" i="3" s="1"/>
  <c r="AS75" i="3" s="1"/>
  <c r="AS103" i="3" s="1"/>
  <c r="AR29" i="11" s="1"/>
  <c r="AR72" i="3"/>
  <c r="AR74" i="3" s="1"/>
  <c r="AR75" i="3" s="1"/>
  <c r="AR103" i="3" s="1"/>
  <c r="AQ29" i="11" s="1"/>
  <c r="AQ72" i="3"/>
  <c r="AQ74" i="3" s="1"/>
  <c r="AQ75" i="3" s="1"/>
  <c r="AQ103" i="3" s="1"/>
  <c r="AP29" i="11" s="1"/>
  <c r="AP72" i="3"/>
  <c r="AP74" i="3" s="1"/>
  <c r="AP75" i="3" s="1"/>
  <c r="AL120" i="3"/>
  <c r="AL121" i="3" s="1"/>
  <c r="AL117" i="3"/>
  <c r="AL118" i="3" s="1"/>
  <c r="AL115" i="3"/>
  <c r="AL113" i="3"/>
  <c r="AO111" i="3"/>
  <c r="AO112" i="3" s="1"/>
  <c r="AN111" i="3"/>
  <c r="AN112" i="3" s="1"/>
  <c r="AM111" i="3"/>
  <c r="AM112" i="3" s="1"/>
  <c r="AL111" i="3"/>
  <c r="AL112" i="3" s="1"/>
  <c r="AO110" i="3"/>
  <c r="AN110" i="3"/>
  <c r="AM110" i="3"/>
  <c r="AL110" i="3"/>
  <c r="AO107" i="3"/>
  <c r="AN107" i="3"/>
  <c r="AM107" i="3"/>
  <c r="AL107" i="3"/>
  <c r="AO106" i="3"/>
  <c r="AO108" i="3" s="1"/>
  <c r="AO109" i="3" s="1"/>
  <c r="AN106" i="3"/>
  <c r="AN108" i="3" s="1"/>
  <c r="AN109" i="3" s="1"/>
  <c r="AM106" i="3"/>
  <c r="AM108" i="3" s="1"/>
  <c r="AM109" i="3" s="1"/>
  <c r="AL106" i="3"/>
  <c r="AL108" i="3" s="1"/>
  <c r="AL109" i="3" s="1"/>
  <c r="AO105" i="3"/>
  <c r="AN105" i="3"/>
  <c r="AM105" i="3"/>
  <c r="AL105" i="3"/>
  <c r="AO101" i="3"/>
  <c r="AN101" i="3"/>
  <c r="AM101" i="3"/>
  <c r="AL101" i="3"/>
  <c r="AO100" i="3"/>
  <c r="AO102" i="3" s="1"/>
  <c r="AN100" i="3"/>
  <c r="AN102" i="3" s="1"/>
  <c r="AM100" i="3"/>
  <c r="AM102" i="3" s="1"/>
  <c r="AL100" i="3"/>
  <c r="AL102" i="3" s="1"/>
  <c r="AO91" i="3"/>
  <c r="AN91" i="3"/>
  <c r="AM91" i="3"/>
  <c r="AL91" i="3"/>
  <c r="AO90" i="3"/>
  <c r="AO93" i="3" s="1"/>
  <c r="AN90" i="3"/>
  <c r="AM90" i="3"/>
  <c r="AM93" i="3" s="1"/>
  <c r="AL90" i="3"/>
  <c r="AL93" i="3" s="1"/>
  <c r="AO80" i="3"/>
  <c r="AN80" i="3"/>
  <c r="AM80" i="3"/>
  <c r="AL80" i="3"/>
  <c r="AO78" i="3"/>
  <c r="AN78" i="3"/>
  <c r="AM78" i="3"/>
  <c r="AL78" i="3"/>
  <c r="AO77" i="3"/>
  <c r="AO82" i="3" s="1"/>
  <c r="AO83" i="3" s="1"/>
  <c r="AO84" i="3" s="1"/>
  <c r="AN77" i="3"/>
  <c r="AN81" i="3" s="1"/>
  <c r="AM77" i="3"/>
  <c r="AM82" i="3" s="1"/>
  <c r="AM83" i="3" s="1"/>
  <c r="AM84" i="3" s="1"/>
  <c r="AL77" i="3"/>
  <c r="AL82" i="3" s="1"/>
  <c r="AL83" i="3" s="1"/>
  <c r="AL84" i="3" s="1"/>
  <c r="AO72" i="3"/>
  <c r="AO74" i="3" s="1"/>
  <c r="AO75" i="3" s="1"/>
  <c r="AO103" i="3" s="1"/>
  <c r="AN29" i="11" s="1"/>
  <c r="AN72" i="3"/>
  <c r="AN74" i="3" s="1"/>
  <c r="AN75" i="3" s="1"/>
  <c r="AN103" i="3" s="1"/>
  <c r="AM29" i="11" s="1"/>
  <c r="AM72" i="3"/>
  <c r="AM74" i="3" s="1"/>
  <c r="AM75" i="3" s="1"/>
  <c r="AM103" i="3" s="1"/>
  <c r="AL29" i="11" s="1"/>
  <c r="AL72" i="3"/>
  <c r="AL74" i="3" s="1"/>
  <c r="AL75" i="3" s="1"/>
  <c r="AL103" i="3" s="1"/>
  <c r="AK29" i="11" s="1"/>
  <c r="AH115" i="3"/>
  <c r="AH113" i="3"/>
  <c r="AK110" i="3"/>
  <c r="AJ110" i="3"/>
  <c r="AI110" i="3"/>
  <c r="AH110" i="3"/>
  <c r="AK107" i="3"/>
  <c r="AJ107" i="3"/>
  <c r="AI107" i="3"/>
  <c r="AH107" i="3"/>
  <c r="AK106" i="3"/>
  <c r="AK108" i="3" s="1"/>
  <c r="AK109" i="3" s="1"/>
  <c r="AJ106" i="3"/>
  <c r="AI106" i="3"/>
  <c r="AH106" i="3"/>
  <c r="AJ100" i="3"/>
  <c r="AJ102" i="3" s="1"/>
  <c r="AI100" i="3"/>
  <c r="AI102" i="3" s="1"/>
  <c r="AH100" i="3"/>
  <c r="AH102" i="3" s="1"/>
  <c r="AK91" i="3"/>
  <c r="AJ91" i="3"/>
  <c r="AI91" i="3"/>
  <c r="AK90" i="3"/>
  <c r="AJ90" i="3"/>
  <c r="AI90" i="3"/>
  <c r="AH90" i="3"/>
  <c r="AK80" i="3"/>
  <c r="AJ80" i="3"/>
  <c r="AI80" i="3"/>
  <c r="AK78" i="3"/>
  <c r="AJ78" i="3"/>
  <c r="AI78" i="3"/>
  <c r="AH78" i="3"/>
  <c r="AK77" i="3"/>
  <c r="AJ77" i="3"/>
  <c r="AI77" i="3"/>
  <c r="AH77" i="3"/>
  <c r="AK72" i="3"/>
  <c r="AK74" i="3" s="1"/>
  <c r="AK75" i="3" s="1"/>
  <c r="AJ72" i="3"/>
  <c r="AI72" i="3"/>
  <c r="AH72" i="3"/>
  <c r="AD115" i="3"/>
  <c r="AD113" i="3"/>
  <c r="AE111" i="3"/>
  <c r="AE112" i="3" s="1"/>
  <c r="AG110" i="3"/>
  <c r="AF110" i="3"/>
  <c r="AE110" i="3"/>
  <c r="AD110" i="3"/>
  <c r="AG107" i="3"/>
  <c r="AF107" i="3"/>
  <c r="AE107" i="3"/>
  <c r="AD107" i="3"/>
  <c r="AG106" i="3"/>
  <c r="AG108" i="3" s="1"/>
  <c r="AG109" i="3" s="1"/>
  <c r="AF106" i="3"/>
  <c r="AF108" i="3" s="1"/>
  <c r="AF109" i="3" s="1"/>
  <c r="AF111" i="3" s="1"/>
  <c r="AF112" i="3" s="1"/>
  <c r="AE106" i="3"/>
  <c r="AD106" i="3"/>
  <c r="AE105" i="3"/>
  <c r="AG101" i="3"/>
  <c r="AF101" i="3"/>
  <c r="AE101" i="3"/>
  <c r="AD101" i="3"/>
  <c r="AG100" i="3"/>
  <c r="AF100" i="3"/>
  <c r="AE100" i="3"/>
  <c r="AE102" i="3" s="1"/>
  <c r="AD100" i="3"/>
  <c r="AD102" i="3" s="1"/>
  <c r="AE91" i="3"/>
  <c r="AD91" i="3"/>
  <c r="AG90" i="3"/>
  <c r="AF90" i="3"/>
  <c r="AE90" i="3"/>
  <c r="AD90" i="3"/>
  <c r="AD93" i="3" s="1"/>
  <c r="AE80" i="3"/>
  <c r="AD80" i="3"/>
  <c r="AG78" i="3"/>
  <c r="AF78" i="3"/>
  <c r="AE78" i="3"/>
  <c r="AD78" i="3"/>
  <c r="AG77" i="3"/>
  <c r="AF77" i="3"/>
  <c r="AE77" i="3"/>
  <c r="AD77" i="3"/>
  <c r="AG72" i="3"/>
  <c r="AG74" i="3" s="1"/>
  <c r="AG75" i="3" s="1"/>
  <c r="AF72" i="3"/>
  <c r="AF74" i="3" s="1"/>
  <c r="AF75" i="3" s="1"/>
  <c r="AE72" i="3"/>
  <c r="AE74" i="3" s="1"/>
  <c r="AE75" i="3" s="1"/>
  <c r="AD72" i="3"/>
  <c r="AD74" i="3" s="1"/>
  <c r="AD75" i="3" s="1"/>
  <c r="Z115" i="3"/>
  <c r="Z113" i="3"/>
  <c r="AA111" i="3"/>
  <c r="AA112" i="3" s="1"/>
  <c r="AC110" i="3"/>
  <c r="AB110" i="3"/>
  <c r="AA110" i="3"/>
  <c r="Z110" i="3"/>
  <c r="AC107" i="3"/>
  <c r="AB107" i="3"/>
  <c r="AA107" i="3"/>
  <c r="Z107" i="3"/>
  <c r="AC106" i="3"/>
  <c r="AC108" i="3" s="1"/>
  <c r="AC109" i="3" s="1"/>
  <c r="AB106" i="3"/>
  <c r="AA106" i="3"/>
  <c r="Z106" i="3"/>
  <c r="Z108" i="3" s="1"/>
  <c r="Z109" i="3" s="1"/>
  <c r="AA105" i="3"/>
  <c r="AC101" i="3"/>
  <c r="AB101" i="3"/>
  <c r="AA101" i="3"/>
  <c r="Z101" i="3"/>
  <c r="AC100" i="3"/>
  <c r="AB100" i="3"/>
  <c r="AA100" i="3"/>
  <c r="Z100" i="3"/>
  <c r="AA91" i="3"/>
  <c r="Z91" i="3"/>
  <c r="AC90" i="3"/>
  <c r="AB90" i="3"/>
  <c r="AA90" i="3"/>
  <c r="Z90" i="3"/>
  <c r="AA80" i="3"/>
  <c r="Z80" i="3"/>
  <c r="AC78" i="3"/>
  <c r="AB78" i="3"/>
  <c r="AA78" i="3"/>
  <c r="Z78" i="3"/>
  <c r="AC77" i="3"/>
  <c r="AB77" i="3"/>
  <c r="AA77" i="3"/>
  <c r="AA82" i="3" s="1"/>
  <c r="Z77" i="3"/>
  <c r="AC72" i="3"/>
  <c r="AC74" i="3" s="1"/>
  <c r="AC75" i="3" s="1"/>
  <c r="AB72" i="3"/>
  <c r="AB74" i="3" s="1"/>
  <c r="AB75" i="3" s="1"/>
  <c r="AA72" i="3"/>
  <c r="AA74" i="3" s="1"/>
  <c r="AA75" i="3" s="1"/>
  <c r="Z72" i="3"/>
  <c r="Z74" i="3" s="1"/>
  <c r="Z75" i="3" s="1"/>
  <c r="V115" i="3"/>
  <c r="V113" i="3"/>
  <c r="W111" i="3"/>
  <c r="W112" i="3" s="1"/>
  <c r="Y110" i="3"/>
  <c r="X110" i="3"/>
  <c r="W110" i="3"/>
  <c r="V110" i="3"/>
  <c r="Y107" i="3"/>
  <c r="X107" i="3"/>
  <c r="W107" i="3"/>
  <c r="V107" i="3"/>
  <c r="Y106" i="3"/>
  <c r="Y108" i="3" s="1"/>
  <c r="Y109" i="3" s="1"/>
  <c r="X106" i="3"/>
  <c r="X108" i="3" s="1"/>
  <c r="X109" i="3" s="1"/>
  <c r="W106" i="3"/>
  <c r="W108" i="3" s="1"/>
  <c r="W109" i="3" s="1"/>
  <c r="V106" i="3"/>
  <c r="V108" i="3" s="1"/>
  <c r="V109" i="3" s="1"/>
  <c r="W105" i="3"/>
  <c r="Y101" i="3"/>
  <c r="X101" i="3"/>
  <c r="W101" i="3"/>
  <c r="V101" i="3"/>
  <c r="Y100" i="3"/>
  <c r="X100" i="3"/>
  <c r="W100" i="3"/>
  <c r="V100" i="3"/>
  <c r="W91" i="3"/>
  <c r="V91" i="3"/>
  <c r="Y90" i="3"/>
  <c r="X90" i="3"/>
  <c r="W90" i="3"/>
  <c r="V90" i="3"/>
  <c r="W80" i="3"/>
  <c r="V80" i="3"/>
  <c r="Y78" i="3"/>
  <c r="X78" i="3"/>
  <c r="W78" i="3"/>
  <c r="V78" i="3"/>
  <c r="Y77" i="3"/>
  <c r="X77" i="3"/>
  <c r="W77" i="3"/>
  <c r="V77" i="3"/>
  <c r="V82" i="3" s="1"/>
  <c r="Y72" i="3"/>
  <c r="Y74" i="3" s="1"/>
  <c r="Y75" i="3" s="1"/>
  <c r="X72" i="3"/>
  <c r="X74" i="3" s="1"/>
  <c r="X75" i="3" s="1"/>
  <c r="W72" i="3"/>
  <c r="W74" i="3" s="1"/>
  <c r="W75" i="3" s="1"/>
  <c r="V72" i="3"/>
  <c r="V74" i="3" s="1"/>
  <c r="V75" i="3" s="1"/>
  <c r="R115" i="3"/>
  <c r="R113" i="3"/>
  <c r="S111" i="3"/>
  <c r="S112" i="3" s="1"/>
  <c r="U110" i="3"/>
  <c r="T110" i="3"/>
  <c r="S110" i="3"/>
  <c r="R110" i="3"/>
  <c r="U107" i="3"/>
  <c r="T107" i="3"/>
  <c r="S107" i="3"/>
  <c r="R107" i="3"/>
  <c r="U106" i="3"/>
  <c r="T106" i="3"/>
  <c r="T108" i="3" s="1"/>
  <c r="T109" i="3" s="1"/>
  <c r="S106" i="3"/>
  <c r="R106" i="3"/>
  <c r="U105" i="3"/>
  <c r="T105" i="3"/>
  <c r="S105" i="3"/>
  <c r="U101" i="3"/>
  <c r="T101" i="3"/>
  <c r="S101" i="3"/>
  <c r="R101" i="3"/>
  <c r="U100" i="3"/>
  <c r="U102" i="3" s="1"/>
  <c r="T100" i="3"/>
  <c r="S100" i="3"/>
  <c r="R100" i="3"/>
  <c r="S91" i="3"/>
  <c r="R91" i="3"/>
  <c r="U90" i="3"/>
  <c r="T90" i="3"/>
  <c r="S90" i="3"/>
  <c r="R90" i="3"/>
  <c r="S80" i="3"/>
  <c r="R80" i="3"/>
  <c r="U78" i="3"/>
  <c r="T78" i="3"/>
  <c r="S78" i="3"/>
  <c r="R78" i="3"/>
  <c r="U77" i="3"/>
  <c r="T77" i="3"/>
  <c r="S77" i="3"/>
  <c r="S82" i="3" s="1"/>
  <c r="S83" i="3" s="1"/>
  <c r="S84" i="3" s="1"/>
  <c r="R77" i="3"/>
  <c r="U72" i="3"/>
  <c r="U74" i="3" s="1"/>
  <c r="U75" i="3" s="1"/>
  <c r="T72" i="3"/>
  <c r="T74" i="3" s="1"/>
  <c r="T75" i="3" s="1"/>
  <c r="S72" i="3"/>
  <c r="S74" i="3" s="1"/>
  <c r="S75" i="3" s="1"/>
  <c r="R72" i="3"/>
  <c r="R74" i="3" s="1"/>
  <c r="R75" i="3" s="1"/>
  <c r="N115" i="3"/>
  <c r="N113" i="3"/>
  <c r="Q110" i="3"/>
  <c r="P110" i="3"/>
  <c r="O110" i="3"/>
  <c r="N110" i="3"/>
  <c r="Q107" i="3"/>
  <c r="P107" i="3"/>
  <c r="O107" i="3"/>
  <c r="N107" i="3"/>
  <c r="Q106" i="3"/>
  <c r="P106" i="3"/>
  <c r="P108" i="3" s="1"/>
  <c r="P109" i="3" s="1"/>
  <c r="O106" i="3"/>
  <c r="O108" i="3" s="1"/>
  <c r="O109" i="3" s="1"/>
  <c r="N106" i="3"/>
  <c r="Q101" i="3"/>
  <c r="P101" i="3"/>
  <c r="O101" i="3"/>
  <c r="N101" i="3"/>
  <c r="Q100" i="3"/>
  <c r="P100" i="3"/>
  <c r="O100" i="3"/>
  <c r="N100" i="3"/>
  <c r="O91" i="3"/>
  <c r="Q90" i="3"/>
  <c r="P90" i="3"/>
  <c r="O90" i="3"/>
  <c r="N90" i="3"/>
  <c r="O80" i="3"/>
  <c r="Q78" i="3"/>
  <c r="P78" i="3"/>
  <c r="O78" i="3"/>
  <c r="N78" i="3"/>
  <c r="Q77" i="3"/>
  <c r="P77" i="3"/>
  <c r="O77" i="3"/>
  <c r="N77" i="3"/>
  <c r="Q72" i="3"/>
  <c r="Q74" i="3" s="1"/>
  <c r="Q75" i="3" s="1"/>
  <c r="P72" i="3"/>
  <c r="P74" i="3" s="1"/>
  <c r="P75" i="3" s="1"/>
  <c r="O72" i="3"/>
  <c r="O74" i="3" s="1"/>
  <c r="O75" i="3" s="1"/>
  <c r="N72" i="3"/>
  <c r="N74" i="3" s="1"/>
  <c r="N75" i="3" s="1"/>
  <c r="CH70" i="3"/>
  <c r="CK68" i="3"/>
  <c r="CK69" i="3" s="1"/>
  <c r="CJ68" i="3"/>
  <c r="CJ69" i="3" s="1"/>
  <c r="CI68" i="3"/>
  <c r="CI69" i="3" s="1"/>
  <c r="CH68" i="3"/>
  <c r="CH69" i="3" s="1"/>
  <c r="CK67" i="3"/>
  <c r="CI67" i="3"/>
  <c r="CK65" i="3"/>
  <c r="CJ65" i="3"/>
  <c r="CI65" i="3"/>
  <c r="CH65" i="3"/>
  <c r="CK62" i="3"/>
  <c r="CK64" i="3" s="1"/>
  <c r="CJ62" i="3"/>
  <c r="CJ64" i="3" s="1"/>
  <c r="CI62" i="3"/>
  <c r="CI64" i="3" s="1"/>
  <c r="CH62" i="3"/>
  <c r="CH64" i="3" s="1"/>
  <c r="CK61" i="3"/>
  <c r="CJ61" i="3"/>
  <c r="CI61" i="3"/>
  <c r="CH61" i="3"/>
  <c r="CK59" i="3"/>
  <c r="CJ59" i="3"/>
  <c r="CI59" i="3"/>
  <c r="CH59" i="3"/>
  <c r="CK58" i="3"/>
  <c r="CJ58" i="3"/>
  <c r="CI58" i="3"/>
  <c r="CH58" i="3"/>
  <c r="CK52" i="3"/>
  <c r="CJ52" i="3"/>
  <c r="CI52" i="3"/>
  <c r="CH52" i="3"/>
  <c r="CK51" i="3"/>
  <c r="CJ51" i="3"/>
  <c r="CI51" i="3"/>
  <c r="CH51" i="3"/>
  <c r="CH60" i="3" s="1"/>
  <c r="CD70" i="3"/>
  <c r="AQ9" i="11" s="1"/>
  <c r="CG68" i="3"/>
  <c r="CG69" i="3" s="1"/>
  <c r="CF68" i="3"/>
  <c r="CF69" i="3" s="1"/>
  <c r="CE68" i="3"/>
  <c r="CE69" i="3" s="1"/>
  <c r="CD68" i="3"/>
  <c r="CD69" i="3" s="1"/>
  <c r="CE67" i="3"/>
  <c r="CG65" i="3"/>
  <c r="CF65" i="3"/>
  <c r="CE65" i="3"/>
  <c r="CD65" i="3"/>
  <c r="CG62" i="3"/>
  <c r="CG64" i="3" s="1"/>
  <c r="CF62" i="3"/>
  <c r="CF64" i="3" s="1"/>
  <c r="CE62" i="3"/>
  <c r="CE64" i="3" s="1"/>
  <c r="CD62" i="3"/>
  <c r="CD64" i="3" s="1"/>
  <c r="CG61" i="3"/>
  <c r="CF61" i="3"/>
  <c r="CE61" i="3"/>
  <c r="CD61" i="3"/>
  <c r="CG59" i="3"/>
  <c r="CF59" i="3"/>
  <c r="CE59" i="3"/>
  <c r="CD59" i="3"/>
  <c r="CG58" i="3"/>
  <c r="CF58" i="3"/>
  <c r="CE58" i="3"/>
  <c r="CD58" i="3"/>
  <c r="CG52" i="3"/>
  <c r="CF52" i="3"/>
  <c r="CE52" i="3"/>
  <c r="CD52" i="3"/>
  <c r="CG51" i="3"/>
  <c r="CF51" i="3"/>
  <c r="CE51" i="3"/>
  <c r="CD51" i="3"/>
  <c r="CD60" i="3" s="1"/>
  <c r="BZ70" i="3"/>
  <c r="AO9" i="11" s="1"/>
  <c r="CC68" i="3"/>
  <c r="CC69" i="3" s="1"/>
  <c r="CB68" i="3"/>
  <c r="CB69" i="3" s="1"/>
  <c r="CA68" i="3"/>
  <c r="CA69" i="3" s="1"/>
  <c r="BZ68" i="3"/>
  <c r="BZ69" i="3" s="1"/>
  <c r="CB67" i="3"/>
  <c r="CA67" i="3"/>
  <c r="CC65" i="3"/>
  <c r="CB65" i="3"/>
  <c r="CA65" i="3"/>
  <c r="BZ65" i="3"/>
  <c r="CC62" i="3"/>
  <c r="CC64" i="3" s="1"/>
  <c r="CB62" i="3"/>
  <c r="CB64" i="3" s="1"/>
  <c r="CA62" i="3"/>
  <c r="CA64" i="3" s="1"/>
  <c r="BZ62" i="3"/>
  <c r="BZ64" i="3" s="1"/>
  <c r="CC61" i="3"/>
  <c r="CB61" i="3"/>
  <c r="CA61" i="3"/>
  <c r="BZ61" i="3"/>
  <c r="CC59" i="3"/>
  <c r="CB59" i="3"/>
  <c r="CA59" i="3"/>
  <c r="BZ59" i="3"/>
  <c r="CC58" i="3"/>
  <c r="CB58" i="3"/>
  <c r="CA58" i="3"/>
  <c r="BZ58" i="3"/>
  <c r="CC52" i="3"/>
  <c r="CB52" i="3"/>
  <c r="CA52" i="3"/>
  <c r="BZ52" i="3"/>
  <c r="CC51" i="3"/>
  <c r="CB51" i="3"/>
  <c r="CA51" i="3"/>
  <c r="BZ51" i="3"/>
  <c r="BZ60" i="3" s="1"/>
  <c r="BV70" i="3"/>
  <c r="AM9" i="11" s="1"/>
  <c r="BY68" i="3"/>
  <c r="BY69" i="3" s="1"/>
  <c r="BX68" i="3"/>
  <c r="BX69" i="3" s="1"/>
  <c r="BW68" i="3"/>
  <c r="BW69" i="3" s="1"/>
  <c r="BV68" i="3"/>
  <c r="BV69" i="3" s="1"/>
  <c r="BW67" i="3"/>
  <c r="BY65" i="3"/>
  <c r="BX65" i="3"/>
  <c r="BW65" i="3"/>
  <c r="BV65" i="3"/>
  <c r="BY62" i="3"/>
  <c r="BY64" i="3" s="1"/>
  <c r="BX62" i="3"/>
  <c r="BX64" i="3" s="1"/>
  <c r="BW62" i="3"/>
  <c r="BW63" i="3" s="1"/>
  <c r="BV62" i="3"/>
  <c r="BV64" i="3" s="1"/>
  <c r="BY61" i="3"/>
  <c r="BX61" i="3"/>
  <c r="BW61" i="3"/>
  <c r="BV61" i="3"/>
  <c r="BY59" i="3"/>
  <c r="BX59" i="3"/>
  <c r="BW59" i="3"/>
  <c r="BV59" i="3"/>
  <c r="BY58" i="3"/>
  <c r="BX58" i="3"/>
  <c r="BW58" i="3"/>
  <c r="BV58" i="3"/>
  <c r="BY52" i="3"/>
  <c r="BX52" i="3"/>
  <c r="BW52" i="3"/>
  <c r="BV52" i="3"/>
  <c r="BY51" i="3"/>
  <c r="BX51" i="3"/>
  <c r="BW51" i="3"/>
  <c r="BV51" i="3"/>
  <c r="BV60" i="3" s="1"/>
  <c r="BR70" i="3"/>
  <c r="AK9" i="11" s="1"/>
  <c r="BU68" i="3"/>
  <c r="BU69" i="3" s="1"/>
  <c r="BT68" i="3"/>
  <c r="BT69" i="3" s="1"/>
  <c r="BS68" i="3"/>
  <c r="BS69" i="3" s="1"/>
  <c r="BR68" i="3"/>
  <c r="BR69" i="3" s="1"/>
  <c r="BS67" i="3"/>
  <c r="BU65" i="3"/>
  <c r="BT65" i="3"/>
  <c r="BS65" i="3"/>
  <c r="BR65" i="3"/>
  <c r="BU62" i="3"/>
  <c r="BU64" i="3" s="1"/>
  <c r="BT62" i="3"/>
  <c r="BT64" i="3" s="1"/>
  <c r="BS62" i="3"/>
  <c r="BS64" i="3" s="1"/>
  <c r="BR62" i="3"/>
  <c r="BR64" i="3" s="1"/>
  <c r="BU61" i="3"/>
  <c r="BT61" i="3"/>
  <c r="BS61" i="3"/>
  <c r="BR61" i="3"/>
  <c r="BU59" i="3"/>
  <c r="BT59" i="3"/>
  <c r="BS59" i="3"/>
  <c r="BR59" i="3"/>
  <c r="BU58" i="3"/>
  <c r="BT58" i="3"/>
  <c r="BS58" i="3"/>
  <c r="BR58" i="3"/>
  <c r="BU52" i="3"/>
  <c r="BT52" i="3"/>
  <c r="BS52" i="3"/>
  <c r="BR52" i="3"/>
  <c r="BU51" i="3"/>
  <c r="BT51" i="3"/>
  <c r="BS51" i="3"/>
  <c r="BR51" i="3"/>
  <c r="BR60" i="3" s="1"/>
  <c r="BN70" i="3"/>
  <c r="AI9" i="11" s="1"/>
  <c r="BQ68" i="3"/>
  <c r="BQ69" i="3" s="1"/>
  <c r="BP68" i="3"/>
  <c r="BP69" i="3" s="1"/>
  <c r="BO68" i="3"/>
  <c r="BO69" i="3" s="1"/>
  <c r="BN68" i="3"/>
  <c r="BN69" i="3" s="1"/>
  <c r="BO67" i="3"/>
  <c r="BQ65" i="3"/>
  <c r="BP65" i="3"/>
  <c r="BO65" i="3"/>
  <c r="BN65" i="3"/>
  <c r="BQ62" i="3"/>
  <c r="BQ64" i="3" s="1"/>
  <c r="BP62" i="3"/>
  <c r="BP64" i="3" s="1"/>
  <c r="BO62" i="3"/>
  <c r="BO64" i="3" s="1"/>
  <c r="BN62" i="3"/>
  <c r="BN63" i="3" s="1"/>
  <c r="BQ61" i="3"/>
  <c r="BP61" i="3"/>
  <c r="BO61" i="3"/>
  <c r="BN61" i="3"/>
  <c r="BQ59" i="3"/>
  <c r="BP59" i="3"/>
  <c r="BO59" i="3"/>
  <c r="BN59" i="3"/>
  <c r="BQ58" i="3"/>
  <c r="BP58" i="3"/>
  <c r="BO58" i="3"/>
  <c r="BN58" i="3"/>
  <c r="BQ52" i="3"/>
  <c r="BP52" i="3"/>
  <c r="BO52" i="3"/>
  <c r="BN52" i="3"/>
  <c r="BQ51" i="3"/>
  <c r="BP51" i="3"/>
  <c r="BO51" i="3"/>
  <c r="BN51" i="3"/>
  <c r="BN60" i="3" s="1"/>
  <c r="BJ70" i="3"/>
  <c r="AG9" i="11" s="1"/>
  <c r="BM68" i="3"/>
  <c r="BM69" i="3" s="1"/>
  <c r="BL68" i="3"/>
  <c r="BL69" i="3" s="1"/>
  <c r="BK68" i="3"/>
  <c r="BK69" i="3" s="1"/>
  <c r="BJ68" i="3"/>
  <c r="BJ69" i="3" s="1"/>
  <c r="BM65" i="3"/>
  <c r="BL65" i="3"/>
  <c r="BK65" i="3"/>
  <c r="BJ65" i="3"/>
  <c r="BM62" i="3"/>
  <c r="BM64" i="3" s="1"/>
  <c r="BL62" i="3"/>
  <c r="BL64" i="3" s="1"/>
  <c r="BK62" i="3"/>
  <c r="BK64" i="3" s="1"/>
  <c r="BJ62" i="3"/>
  <c r="BJ64" i="3" s="1"/>
  <c r="BM61" i="3"/>
  <c r="BL61" i="3"/>
  <c r="BK61" i="3"/>
  <c r="BJ61" i="3"/>
  <c r="BM59" i="3"/>
  <c r="BL59" i="3"/>
  <c r="BK59" i="3"/>
  <c r="BJ59" i="3"/>
  <c r="BM58" i="3"/>
  <c r="BL58" i="3"/>
  <c r="BK58" i="3"/>
  <c r="BJ58" i="3"/>
  <c r="BM52" i="3"/>
  <c r="BL52" i="3"/>
  <c r="BK52" i="3"/>
  <c r="BJ52" i="3"/>
  <c r="BM51" i="3"/>
  <c r="BL51" i="3"/>
  <c r="BK51" i="3"/>
  <c r="BJ51" i="3"/>
  <c r="BJ60" i="3" s="1"/>
  <c r="BF70" i="3"/>
  <c r="AE9" i="11" s="1"/>
  <c r="BI68" i="3"/>
  <c r="BI69" i="3" s="1"/>
  <c r="BH68" i="3"/>
  <c r="BH69" i="3" s="1"/>
  <c r="BG68" i="3"/>
  <c r="BG69" i="3" s="1"/>
  <c r="BF68" i="3"/>
  <c r="BF69" i="3" s="1"/>
  <c r="BG67" i="3"/>
  <c r="BI65" i="3"/>
  <c r="BH65" i="3"/>
  <c r="BG65" i="3"/>
  <c r="BF65" i="3"/>
  <c r="BI62" i="3"/>
  <c r="BI64" i="3" s="1"/>
  <c r="BH62" i="3"/>
  <c r="BH64" i="3" s="1"/>
  <c r="BG62" i="3"/>
  <c r="BG64" i="3" s="1"/>
  <c r="BF62" i="3"/>
  <c r="BF64" i="3" s="1"/>
  <c r="BI61" i="3"/>
  <c r="BH61" i="3"/>
  <c r="BG61" i="3"/>
  <c r="BF61" i="3"/>
  <c r="BI59" i="3"/>
  <c r="BH59" i="3"/>
  <c r="BG59" i="3"/>
  <c r="BF59" i="3"/>
  <c r="BI58" i="3"/>
  <c r="BH58" i="3"/>
  <c r="BG58" i="3"/>
  <c r="BF58" i="3"/>
  <c r="BI52" i="3"/>
  <c r="BH52" i="3"/>
  <c r="BG52" i="3"/>
  <c r="BF52" i="3"/>
  <c r="BI51" i="3"/>
  <c r="BH51" i="3"/>
  <c r="BG51" i="3"/>
  <c r="BF51" i="3"/>
  <c r="BF60" i="3" s="1"/>
  <c r="BB70" i="3"/>
  <c r="AC9" i="11" s="1"/>
  <c r="BE68" i="3"/>
  <c r="BE69" i="3" s="1"/>
  <c r="BD68" i="3"/>
  <c r="BD69" i="3" s="1"/>
  <c r="BC68" i="3"/>
  <c r="BC69" i="3" s="1"/>
  <c r="BB68" i="3"/>
  <c r="BB69" i="3" s="1"/>
  <c r="BB67" i="3"/>
  <c r="BE65" i="3"/>
  <c r="BD65" i="3"/>
  <c r="BC65" i="3"/>
  <c r="BB65" i="3"/>
  <c r="BE62" i="3"/>
  <c r="BE64" i="3" s="1"/>
  <c r="BD62" i="3"/>
  <c r="BD64" i="3" s="1"/>
  <c r="BC62" i="3"/>
  <c r="BC64" i="3" s="1"/>
  <c r="BB62" i="3"/>
  <c r="BB64" i="3" s="1"/>
  <c r="BE61" i="3"/>
  <c r="BD61" i="3"/>
  <c r="BC61" i="3"/>
  <c r="BB61" i="3"/>
  <c r="BE59" i="3"/>
  <c r="BD59" i="3"/>
  <c r="BC59" i="3"/>
  <c r="BB59" i="3"/>
  <c r="BE58" i="3"/>
  <c r="BD58" i="3"/>
  <c r="BC58" i="3"/>
  <c r="BB58" i="3"/>
  <c r="BE52" i="3"/>
  <c r="BD52" i="3"/>
  <c r="BC52" i="3"/>
  <c r="BB52" i="3"/>
  <c r="BE51" i="3"/>
  <c r="BD51" i="3"/>
  <c r="BC51" i="3"/>
  <c r="BB51" i="3"/>
  <c r="BB60" i="3" s="1"/>
  <c r="AX70" i="3"/>
  <c r="AA9" i="11" s="1"/>
  <c r="BA68" i="3"/>
  <c r="BA69" i="3" s="1"/>
  <c r="AZ68" i="3"/>
  <c r="AZ69" i="3" s="1"/>
  <c r="AY68" i="3"/>
  <c r="AY69" i="3" s="1"/>
  <c r="AX68" i="3"/>
  <c r="AX69" i="3" s="1"/>
  <c r="AY67" i="3"/>
  <c r="AZ67" i="3"/>
  <c r="BA65" i="3"/>
  <c r="AZ65" i="3"/>
  <c r="AY65" i="3"/>
  <c r="AX65" i="3"/>
  <c r="BA62" i="3"/>
  <c r="BA64" i="3" s="1"/>
  <c r="AZ62" i="3"/>
  <c r="AZ64" i="3" s="1"/>
  <c r="AY62" i="3"/>
  <c r="AY64" i="3" s="1"/>
  <c r="AX62" i="3"/>
  <c r="AX64" i="3" s="1"/>
  <c r="BA61" i="3"/>
  <c r="AZ61" i="3"/>
  <c r="AY61" i="3"/>
  <c r="AX61" i="3"/>
  <c r="BA59" i="3"/>
  <c r="AZ59" i="3"/>
  <c r="AY59" i="3"/>
  <c r="AX59" i="3"/>
  <c r="BA58" i="3"/>
  <c r="AZ58" i="3"/>
  <c r="AY58" i="3"/>
  <c r="AX58" i="3"/>
  <c r="BA52" i="3"/>
  <c r="AZ52" i="3"/>
  <c r="AY52" i="3"/>
  <c r="AX52" i="3"/>
  <c r="BA51" i="3"/>
  <c r="AZ51" i="3"/>
  <c r="AY51" i="3"/>
  <c r="AX51" i="3"/>
  <c r="AX60" i="3" s="1"/>
  <c r="AT70" i="3"/>
  <c r="Y9" i="11" s="1"/>
  <c r="AW68" i="3"/>
  <c r="AW69" i="3" s="1"/>
  <c r="AV68" i="3"/>
  <c r="AV69" i="3" s="1"/>
  <c r="AU68" i="3"/>
  <c r="AU69" i="3" s="1"/>
  <c r="AT68" i="3"/>
  <c r="AT69" i="3" s="1"/>
  <c r="AW65" i="3"/>
  <c r="AV65" i="3"/>
  <c r="AU65" i="3"/>
  <c r="AT65" i="3"/>
  <c r="AU64" i="3"/>
  <c r="AW62" i="3"/>
  <c r="AW64" i="3" s="1"/>
  <c r="AV62" i="3"/>
  <c r="AV64" i="3" s="1"/>
  <c r="AU62" i="3"/>
  <c r="AU63" i="3" s="1"/>
  <c r="AT62" i="3"/>
  <c r="AT64" i="3" s="1"/>
  <c r="AW61" i="3"/>
  <c r="AV61" i="3"/>
  <c r="AU61" i="3"/>
  <c r="AT61" i="3"/>
  <c r="AW59" i="3"/>
  <c r="AV59" i="3"/>
  <c r="AU59" i="3"/>
  <c r="AT59" i="3"/>
  <c r="AW58" i="3"/>
  <c r="AV58" i="3"/>
  <c r="AU58" i="3"/>
  <c r="AT58" i="3"/>
  <c r="AW52" i="3"/>
  <c r="AV52" i="3"/>
  <c r="AU52" i="3"/>
  <c r="AT52" i="3"/>
  <c r="AW51" i="3"/>
  <c r="AV51" i="3"/>
  <c r="AU51" i="3"/>
  <c r="AT51" i="3"/>
  <c r="AT60" i="3" s="1"/>
  <c r="AP70" i="3"/>
  <c r="W9" i="11" s="1"/>
  <c r="AS68" i="3"/>
  <c r="AS69" i="3" s="1"/>
  <c r="AR68" i="3"/>
  <c r="AR69" i="3" s="1"/>
  <c r="AQ68" i="3"/>
  <c r="AQ69" i="3" s="1"/>
  <c r="AP68" i="3"/>
  <c r="AP69" i="3" s="1"/>
  <c r="AQ67" i="3"/>
  <c r="AS65" i="3"/>
  <c r="AR65" i="3"/>
  <c r="AQ65" i="3"/>
  <c r="AP65" i="3"/>
  <c r="AS62" i="3"/>
  <c r="AS64" i="3" s="1"/>
  <c r="AR62" i="3"/>
  <c r="AR64" i="3" s="1"/>
  <c r="AQ62" i="3"/>
  <c r="AQ64" i="3" s="1"/>
  <c r="AP62" i="3"/>
  <c r="AP64" i="3" s="1"/>
  <c r="AS61" i="3"/>
  <c r="AR61" i="3"/>
  <c r="AQ61" i="3"/>
  <c r="AP61" i="3"/>
  <c r="AS59" i="3"/>
  <c r="AR59" i="3"/>
  <c r="AQ59" i="3"/>
  <c r="AP59" i="3"/>
  <c r="AS58" i="3"/>
  <c r="AR58" i="3"/>
  <c r="AQ58" i="3"/>
  <c r="AP58" i="3"/>
  <c r="AS52" i="3"/>
  <c r="AR52" i="3"/>
  <c r="AQ52" i="3"/>
  <c r="AP52" i="3"/>
  <c r="AS51" i="3"/>
  <c r="AR51" i="3"/>
  <c r="AQ51" i="3"/>
  <c r="AP51" i="3"/>
  <c r="AP60" i="3" s="1"/>
  <c r="AL70" i="3"/>
  <c r="U9" i="11" s="1"/>
  <c r="AO68" i="3"/>
  <c r="AO69" i="3" s="1"/>
  <c r="AN68" i="3"/>
  <c r="AN69" i="3" s="1"/>
  <c r="AM68" i="3"/>
  <c r="AM69" i="3" s="1"/>
  <c r="AL68" i="3"/>
  <c r="AL69" i="3" s="1"/>
  <c r="AO67" i="3"/>
  <c r="AO65" i="3"/>
  <c r="AN65" i="3"/>
  <c r="AM65" i="3"/>
  <c r="AL65" i="3"/>
  <c r="AO62" i="3"/>
  <c r="AO64" i="3" s="1"/>
  <c r="AN62" i="3"/>
  <c r="AN64" i="3" s="1"/>
  <c r="AM62" i="3"/>
  <c r="AM64" i="3" s="1"/>
  <c r="AL62" i="3"/>
  <c r="AL64" i="3" s="1"/>
  <c r="AO61" i="3"/>
  <c r="AN61" i="3"/>
  <c r="AM61" i="3"/>
  <c r="AL61" i="3"/>
  <c r="AO59" i="3"/>
  <c r="AN59" i="3"/>
  <c r="AM59" i="3"/>
  <c r="AL59" i="3"/>
  <c r="AO58" i="3"/>
  <c r="AN58" i="3"/>
  <c r="AM58" i="3"/>
  <c r="AL58" i="3"/>
  <c r="AO52" i="3"/>
  <c r="AN52" i="3"/>
  <c r="AM52" i="3"/>
  <c r="AL52" i="3"/>
  <c r="AO51" i="3"/>
  <c r="AN51" i="3"/>
  <c r="AM51" i="3"/>
  <c r="AL51" i="3"/>
  <c r="AL60" i="3" s="1"/>
  <c r="AH70" i="3"/>
  <c r="S9" i="11" s="1"/>
  <c r="AK65" i="3"/>
  <c r="AK66" i="3" s="1"/>
  <c r="AJ65" i="3"/>
  <c r="AJ66" i="3" s="1"/>
  <c r="AI65" i="3"/>
  <c r="AI66" i="3" s="1"/>
  <c r="AH65" i="3"/>
  <c r="AH66" i="3" s="1"/>
  <c r="AK62" i="3"/>
  <c r="AK64" i="3" s="1"/>
  <c r="AJ62" i="3"/>
  <c r="AJ64" i="3" s="1"/>
  <c r="AI62" i="3"/>
  <c r="AI64" i="3" s="1"/>
  <c r="AH62" i="3"/>
  <c r="AH64" i="3" s="1"/>
  <c r="AK61" i="3"/>
  <c r="AJ61" i="3"/>
  <c r="AI61" i="3"/>
  <c r="AH61" i="3"/>
  <c r="AK59" i="3"/>
  <c r="AJ59" i="3"/>
  <c r="AI59" i="3"/>
  <c r="AH59" i="3"/>
  <c r="AK58" i="3"/>
  <c r="AJ58" i="3"/>
  <c r="AI58" i="3"/>
  <c r="AH58" i="3"/>
  <c r="AK52" i="3"/>
  <c r="AJ52" i="3"/>
  <c r="AI52" i="3"/>
  <c r="AH52" i="3"/>
  <c r="AK51" i="3"/>
  <c r="AJ51" i="3"/>
  <c r="AI51" i="3"/>
  <c r="AH51" i="3"/>
  <c r="AH60" i="3" s="1"/>
  <c r="AD70" i="3"/>
  <c r="Q9" i="11" s="1"/>
  <c r="AE68" i="3"/>
  <c r="AE69" i="3" s="1"/>
  <c r="AG65" i="3"/>
  <c r="AG66" i="3" s="1"/>
  <c r="AF65" i="3"/>
  <c r="AF66" i="3" s="1"/>
  <c r="AE65" i="3"/>
  <c r="AD65" i="3"/>
  <c r="AG62" i="3"/>
  <c r="AG64" i="3" s="1"/>
  <c r="AF62" i="3"/>
  <c r="AF64" i="3" s="1"/>
  <c r="AE62" i="3"/>
  <c r="AE64" i="3" s="1"/>
  <c r="AD62" i="3"/>
  <c r="AD64" i="3" s="1"/>
  <c r="AG61" i="3"/>
  <c r="AF61" i="3"/>
  <c r="AE61" i="3"/>
  <c r="AD61" i="3"/>
  <c r="AE59" i="3"/>
  <c r="AD59" i="3"/>
  <c r="AE58" i="3"/>
  <c r="AD58" i="3"/>
  <c r="AG52" i="3"/>
  <c r="AF52" i="3"/>
  <c r="AE52" i="3"/>
  <c r="AD52" i="3"/>
  <c r="AG51" i="3"/>
  <c r="AF51" i="3"/>
  <c r="AE51" i="3"/>
  <c r="AD51" i="3"/>
  <c r="AD60" i="3" s="1"/>
  <c r="Z70" i="3"/>
  <c r="O9" i="11" s="1"/>
  <c r="AA68" i="3"/>
  <c r="AA69" i="3" s="1"/>
  <c r="AC65" i="3"/>
  <c r="AC66" i="3" s="1"/>
  <c r="AB65" i="3"/>
  <c r="AB66" i="3" s="1"/>
  <c r="AA65" i="3"/>
  <c r="Z65" i="3"/>
  <c r="AC62" i="3"/>
  <c r="AC64" i="3" s="1"/>
  <c r="AB62" i="3"/>
  <c r="AB64" i="3" s="1"/>
  <c r="AA62" i="3"/>
  <c r="AA64" i="3" s="1"/>
  <c r="Z62" i="3"/>
  <c r="Z64" i="3" s="1"/>
  <c r="AC61" i="3"/>
  <c r="AB61" i="3"/>
  <c r="AA61" i="3"/>
  <c r="Z61" i="3"/>
  <c r="AB59" i="3"/>
  <c r="AA59" i="3"/>
  <c r="Z59" i="3"/>
  <c r="AA58" i="3"/>
  <c r="Z58" i="3"/>
  <c r="AC52" i="3"/>
  <c r="AB52" i="3"/>
  <c r="AA52" i="3"/>
  <c r="Z52" i="3"/>
  <c r="AC51" i="3"/>
  <c r="AB51" i="3"/>
  <c r="AA51" i="3"/>
  <c r="Z51" i="3"/>
  <c r="Z60" i="3" s="1"/>
  <c r="V70" i="3"/>
  <c r="M9" i="11" s="1"/>
  <c r="W68" i="3"/>
  <c r="W69" i="3" s="1"/>
  <c r="Y65" i="3"/>
  <c r="Y66" i="3" s="1"/>
  <c r="X65" i="3"/>
  <c r="X66" i="3" s="1"/>
  <c r="W65" i="3"/>
  <c r="V65" i="3"/>
  <c r="Y62" i="3"/>
  <c r="Y64" i="3" s="1"/>
  <c r="X62" i="3"/>
  <c r="X64" i="3" s="1"/>
  <c r="W62" i="3"/>
  <c r="W64" i="3" s="1"/>
  <c r="V62" i="3"/>
  <c r="V64" i="3" s="1"/>
  <c r="Y61" i="3"/>
  <c r="X61" i="3"/>
  <c r="W61" i="3"/>
  <c r="V61" i="3"/>
  <c r="W59" i="3"/>
  <c r="V59" i="3"/>
  <c r="W58" i="3"/>
  <c r="V58" i="3"/>
  <c r="Y52" i="3"/>
  <c r="X52" i="3"/>
  <c r="W52" i="3"/>
  <c r="V52" i="3"/>
  <c r="Y51" i="3"/>
  <c r="X51" i="3"/>
  <c r="W51" i="3"/>
  <c r="V51" i="3"/>
  <c r="V60" i="3" s="1"/>
  <c r="R70" i="3"/>
  <c r="K9" i="11" s="1"/>
  <c r="S68" i="3"/>
  <c r="S69" i="3" s="1"/>
  <c r="U65" i="3"/>
  <c r="T65" i="3"/>
  <c r="S65" i="3"/>
  <c r="R65" i="3"/>
  <c r="U62" i="3"/>
  <c r="U64" i="3" s="1"/>
  <c r="T62" i="3"/>
  <c r="T64" i="3" s="1"/>
  <c r="S62" i="3"/>
  <c r="S64" i="3" s="1"/>
  <c r="R62" i="3"/>
  <c r="R64" i="3" s="1"/>
  <c r="U61" i="3"/>
  <c r="T61" i="3"/>
  <c r="S61" i="3"/>
  <c r="R61" i="3"/>
  <c r="S59" i="3"/>
  <c r="R59" i="3"/>
  <c r="S58" i="3"/>
  <c r="R58" i="3"/>
  <c r="U52" i="3"/>
  <c r="T52" i="3"/>
  <c r="S52" i="3"/>
  <c r="R52" i="3"/>
  <c r="U51" i="3"/>
  <c r="T51" i="3"/>
  <c r="S51" i="3"/>
  <c r="R51" i="3"/>
  <c r="R60" i="3" s="1"/>
  <c r="N70" i="3"/>
  <c r="I9" i="11" s="1"/>
  <c r="Q65" i="3"/>
  <c r="Q66" i="3" s="1"/>
  <c r="P65" i="3"/>
  <c r="P66" i="3" s="1"/>
  <c r="O65" i="3"/>
  <c r="N65" i="3"/>
  <c r="Q62" i="3"/>
  <c r="Q64" i="3" s="1"/>
  <c r="P62" i="3"/>
  <c r="P64" i="3" s="1"/>
  <c r="O62" i="3"/>
  <c r="O63" i="3" s="1"/>
  <c r="N62" i="3"/>
  <c r="N64" i="3" s="1"/>
  <c r="Q61" i="3"/>
  <c r="P61" i="3"/>
  <c r="O61" i="3"/>
  <c r="N61" i="3"/>
  <c r="Q59" i="3"/>
  <c r="P59" i="3"/>
  <c r="O59" i="3"/>
  <c r="N59" i="3"/>
  <c r="Q58" i="3"/>
  <c r="P58" i="3"/>
  <c r="O58" i="3"/>
  <c r="N58" i="3"/>
  <c r="Q52" i="3"/>
  <c r="P52" i="3"/>
  <c r="O52" i="3"/>
  <c r="N52" i="3"/>
  <c r="Q51" i="3"/>
  <c r="P51" i="3"/>
  <c r="O51" i="3"/>
  <c r="N51" i="3"/>
  <c r="N60" i="3" s="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R13" i="11"/>
  <c r="Q13" i="11"/>
  <c r="R12" i="11"/>
  <c r="Q12" i="11"/>
  <c r="R11" i="11"/>
  <c r="Q11" i="11"/>
  <c r="R10" i="11"/>
  <c r="Q10" i="11"/>
  <c r="P13" i="11"/>
  <c r="O13" i="11"/>
  <c r="P12" i="11"/>
  <c r="O12" i="11"/>
  <c r="P11" i="11"/>
  <c r="O11" i="11"/>
  <c r="P10" i="11"/>
  <c r="O10" i="11"/>
  <c r="N13" i="11"/>
  <c r="M13" i="11"/>
  <c r="N12" i="11"/>
  <c r="M12" i="11"/>
  <c r="N11" i="11"/>
  <c r="M11" i="11"/>
  <c r="N10" i="11"/>
  <c r="M10" i="11"/>
  <c r="L13" i="11"/>
  <c r="K13" i="11"/>
  <c r="L12" i="11"/>
  <c r="K12" i="11"/>
  <c r="L11" i="11"/>
  <c r="K11" i="11"/>
  <c r="L10" i="11"/>
  <c r="L16" i="11" s="1"/>
  <c r="L17" i="11" s="1"/>
  <c r="L24" i="11" s="1"/>
  <c r="K10" i="11"/>
  <c r="J13" i="11"/>
  <c r="I13" i="11"/>
  <c r="J12" i="11"/>
  <c r="I12" i="11"/>
  <c r="J11" i="11"/>
  <c r="I11" i="11"/>
  <c r="J10" i="11"/>
  <c r="J16" i="11" s="1"/>
  <c r="I10" i="11"/>
  <c r="H10" i="11"/>
  <c r="H16" i="11" s="1"/>
  <c r="H17" i="11" s="1"/>
  <c r="H24" i="11" s="1"/>
  <c r="G10" i="11"/>
  <c r="F10" i="11"/>
  <c r="E10" i="11"/>
  <c r="E16" i="11" s="1"/>
  <c r="F13" i="11"/>
  <c r="F12" i="11"/>
  <c r="E13" i="11"/>
  <c r="E12" i="11"/>
  <c r="F11" i="11"/>
  <c r="E11" i="11"/>
  <c r="U66" i="3"/>
  <c r="AP20" i="11"/>
  <c r="W20" i="11"/>
  <c r="AG20" i="11"/>
  <c r="AJ20" i="11"/>
  <c r="Y20" i="11"/>
  <c r="AF20" i="11"/>
  <c r="AR20" i="11"/>
  <c r="T66" i="3"/>
  <c r="AI20" i="11"/>
  <c r="U20" i="11"/>
  <c r="AB20" i="11"/>
  <c r="AK20" i="11"/>
  <c r="S20" i="11"/>
  <c r="AA20" i="11"/>
  <c r="AO20" i="11"/>
  <c r="AE20" i="11"/>
  <c r="T20" i="11"/>
  <c r="X20" i="11"/>
  <c r="AO19" i="11"/>
  <c r="U88" i="3" a="1"/>
  <c r="AD20" i="11"/>
  <c r="AN20" i="11"/>
  <c r="Z20" i="11"/>
  <c r="AC20" i="11"/>
  <c r="AM20" i="11"/>
  <c r="V20" i="11"/>
  <c r="T88" i="3" a="1"/>
  <c r="AQ20" i="11"/>
  <c r="AL20" i="11"/>
  <c r="AH20" i="11"/>
  <c r="U88" i="3" l="1"/>
  <c r="T88" i="3"/>
  <c r="BH86" i="3"/>
  <c r="AD66" i="3"/>
  <c r="AD67" i="3" s="1"/>
  <c r="Z66" i="3"/>
  <c r="Z67" i="3" s="1"/>
  <c r="AN93" i="3"/>
  <c r="AN98" i="3" s="1"/>
  <c r="AR86" i="3"/>
  <c r="V66" i="3"/>
  <c r="V67" i="3" s="1"/>
  <c r="N66" i="3"/>
  <c r="N67" i="3" s="1"/>
  <c r="O66" i="3"/>
  <c r="O67" i="3" s="1"/>
  <c r="BJ121" i="3"/>
  <c r="BU86" i="3"/>
  <c r="CJ86" i="3"/>
  <c r="N108" i="3"/>
  <c r="N109" i="3" s="1"/>
  <c r="F16" i="11"/>
  <c r="W60" i="3"/>
  <c r="AJ67" i="3"/>
  <c r="AM60" i="3"/>
  <c r="AM54" i="3"/>
  <c r="AM53" i="3" s="1"/>
  <c r="AM55" i="3" s="1"/>
  <c r="AM56" i="3" s="1"/>
  <c r="AM57" i="3" s="1"/>
  <c r="AR60" i="3"/>
  <c r="AR54" i="3"/>
  <c r="AR53" i="3" s="1"/>
  <c r="AR55" i="3" s="1"/>
  <c r="AR56" i="3" s="1"/>
  <c r="AR57" i="3" s="1"/>
  <c r="AW60" i="3"/>
  <c r="AW54" i="3"/>
  <c r="AW53" i="3" s="1"/>
  <c r="AW55" i="3" s="1"/>
  <c r="AW56" i="3" s="1"/>
  <c r="AW57" i="3" s="1"/>
  <c r="BA60" i="3"/>
  <c r="BA54" i="3"/>
  <c r="BA53" i="3" s="1"/>
  <c r="BA55" i="3" s="1"/>
  <c r="BA56" i="3" s="1"/>
  <c r="BA57" i="3" s="1"/>
  <c r="BE60" i="3"/>
  <c r="BE54" i="3"/>
  <c r="BE53" i="3" s="1"/>
  <c r="BE55" i="3" s="1"/>
  <c r="BE56" i="3" s="1"/>
  <c r="BE57" i="3" s="1"/>
  <c r="BF54" i="3"/>
  <c r="BF53" i="3" s="1"/>
  <c r="BF55" i="3" s="1"/>
  <c r="BF56" i="3" s="1"/>
  <c r="BF57" i="3" s="1"/>
  <c r="BK60" i="3"/>
  <c r="BK54" i="3"/>
  <c r="BK53" i="3" s="1"/>
  <c r="BK55" i="3" s="1"/>
  <c r="BK56" i="3" s="1"/>
  <c r="BK57" i="3" s="1"/>
  <c r="BQ60" i="3"/>
  <c r="BQ54" i="3"/>
  <c r="BQ53" i="3" s="1"/>
  <c r="BQ55" i="3" s="1"/>
  <c r="BQ56" i="3" s="1"/>
  <c r="BQ57" i="3" s="1"/>
  <c r="BR54" i="3"/>
  <c r="BR53" i="3" s="1"/>
  <c r="BR55" i="3" s="1"/>
  <c r="BR56" i="3" s="1"/>
  <c r="BR57" i="3" s="1"/>
  <c r="BW60" i="3"/>
  <c r="BW54" i="3"/>
  <c r="BW53" i="3" s="1"/>
  <c r="BW55" i="3" s="1"/>
  <c r="BW56" i="3" s="1"/>
  <c r="BW57" i="3" s="1"/>
  <c r="CA60" i="3"/>
  <c r="CA54" i="3"/>
  <c r="CA53" i="3" s="1"/>
  <c r="CA55" i="3" s="1"/>
  <c r="CA56" i="3" s="1"/>
  <c r="CA57" i="3" s="1"/>
  <c r="CD54" i="3"/>
  <c r="CD53" i="3" s="1"/>
  <c r="CD55" i="3" s="1"/>
  <c r="CD56" i="3" s="1"/>
  <c r="CD57" i="3" s="1"/>
  <c r="CI60" i="3"/>
  <c r="CI54" i="3"/>
  <c r="CI53" i="3" s="1"/>
  <c r="CI55" i="3" s="1"/>
  <c r="CI56" i="3" s="1"/>
  <c r="CI57" i="3" s="1"/>
  <c r="AE60" i="3"/>
  <c r="AK67" i="3"/>
  <c r="AN60" i="3"/>
  <c r="AN54" i="3"/>
  <c r="AN53" i="3" s="1"/>
  <c r="AN55" i="3" s="1"/>
  <c r="AN56" i="3" s="1"/>
  <c r="AN57" i="3" s="1"/>
  <c r="AS60" i="3"/>
  <c r="AS54" i="3"/>
  <c r="AS53" i="3" s="1"/>
  <c r="AS55" i="3" s="1"/>
  <c r="AS56" i="3" s="1"/>
  <c r="AS57" i="3" s="1"/>
  <c r="AT54" i="3"/>
  <c r="AT53" i="3" s="1"/>
  <c r="AT55" i="3" s="1"/>
  <c r="AT56" i="3" s="1"/>
  <c r="AT57" i="3" s="1"/>
  <c r="AX54" i="3"/>
  <c r="AX53" i="3" s="1"/>
  <c r="AX55" i="3" s="1"/>
  <c r="AX56" i="3" s="1"/>
  <c r="AX57" i="3" s="1"/>
  <c r="BB54" i="3"/>
  <c r="BB53" i="3" s="1"/>
  <c r="BB55" i="3" s="1"/>
  <c r="BB56" i="3" s="1"/>
  <c r="BB57" i="3" s="1"/>
  <c r="BG60" i="3"/>
  <c r="BG54" i="3"/>
  <c r="BG53" i="3" s="1"/>
  <c r="BG55" i="3" s="1"/>
  <c r="BG56" i="3" s="1"/>
  <c r="BG57" i="3" s="1"/>
  <c r="BL60" i="3"/>
  <c r="BL54" i="3"/>
  <c r="BL53" i="3" s="1"/>
  <c r="BL55" i="3" s="1"/>
  <c r="BL56" i="3" s="1"/>
  <c r="BL57" i="3" s="1"/>
  <c r="BN54" i="3"/>
  <c r="BN53" i="3" s="1"/>
  <c r="BN55" i="3" s="1"/>
  <c r="BN56" i="3" s="1"/>
  <c r="BN57" i="3" s="1"/>
  <c r="BS60" i="3"/>
  <c r="BS54" i="3"/>
  <c r="BS53" i="3" s="1"/>
  <c r="BS55" i="3" s="1"/>
  <c r="BS56" i="3" s="1"/>
  <c r="BS57" i="3" s="1"/>
  <c r="BX60" i="3"/>
  <c r="BX54" i="3"/>
  <c r="BX53" i="3" s="1"/>
  <c r="BX55" i="3" s="1"/>
  <c r="BX56" i="3" s="1"/>
  <c r="BX57" i="3" s="1"/>
  <c r="CB60" i="3"/>
  <c r="CB54" i="3"/>
  <c r="CB53" i="3" s="1"/>
  <c r="CB55" i="3" s="1"/>
  <c r="CB56" i="3" s="1"/>
  <c r="CB57" i="3" s="1"/>
  <c r="CE60" i="3"/>
  <c r="CE54" i="3"/>
  <c r="CE53" i="3" s="1"/>
  <c r="CE55" i="3" s="1"/>
  <c r="CE56" i="3" s="1"/>
  <c r="CE57" i="3" s="1"/>
  <c r="CJ60" i="3"/>
  <c r="CJ54" i="3"/>
  <c r="CJ53" i="3" s="1"/>
  <c r="CJ55" i="3" s="1"/>
  <c r="CJ56" i="3" s="1"/>
  <c r="CJ57" i="3" s="1"/>
  <c r="P67" i="3"/>
  <c r="L56" i="2"/>
  <c r="K15" i="11" s="1"/>
  <c r="N56" i="2"/>
  <c r="M15" i="11" s="1"/>
  <c r="AF60" i="3"/>
  <c r="AH67" i="3"/>
  <c r="AO60" i="3"/>
  <c r="AO54" i="3"/>
  <c r="AO53" i="3" s="1"/>
  <c r="AO55" i="3" s="1"/>
  <c r="AO56" i="3" s="1"/>
  <c r="AO57" i="3" s="1"/>
  <c r="AP54" i="3"/>
  <c r="AP53" i="3" s="1"/>
  <c r="AP55" i="3" s="1"/>
  <c r="AP56" i="3" s="1"/>
  <c r="AP57" i="3" s="1"/>
  <c r="AU60" i="3"/>
  <c r="AU54" i="3"/>
  <c r="AU53" i="3" s="1"/>
  <c r="AU55" i="3" s="1"/>
  <c r="AU56" i="3" s="1"/>
  <c r="AU57" i="3" s="1"/>
  <c r="AY60" i="3"/>
  <c r="AY54" i="3"/>
  <c r="AY53" i="3" s="1"/>
  <c r="BC60" i="3"/>
  <c r="BC54" i="3"/>
  <c r="BC53" i="3" s="1"/>
  <c r="BC55" i="3" s="1"/>
  <c r="BC56" i="3" s="1"/>
  <c r="BC57" i="3" s="1"/>
  <c r="BH60" i="3"/>
  <c r="BH54" i="3"/>
  <c r="BH53" i="3" s="1"/>
  <c r="BH55" i="3" s="1"/>
  <c r="BH56" i="3" s="1"/>
  <c r="BH57" i="3" s="1"/>
  <c r="BM60" i="3"/>
  <c r="BM54" i="3"/>
  <c r="BM53" i="3" s="1"/>
  <c r="BM55" i="3" s="1"/>
  <c r="BM56" i="3" s="1"/>
  <c r="BM57" i="3" s="1"/>
  <c r="BO60" i="3"/>
  <c r="BO54" i="3"/>
  <c r="BO53" i="3" s="1"/>
  <c r="BT60" i="3"/>
  <c r="BT54" i="3"/>
  <c r="BT53" i="3" s="1"/>
  <c r="BT55" i="3" s="1"/>
  <c r="BT56" i="3" s="1"/>
  <c r="BT57" i="3" s="1"/>
  <c r="BY60" i="3"/>
  <c r="BY54" i="3"/>
  <c r="BY53" i="3" s="1"/>
  <c r="BY55" i="3" s="1"/>
  <c r="BY56" i="3" s="1"/>
  <c r="BY57" i="3" s="1"/>
  <c r="CC60" i="3"/>
  <c r="CC54" i="3"/>
  <c r="CC53" i="3" s="1"/>
  <c r="CC55" i="3" s="1"/>
  <c r="CC56" i="3" s="1"/>
  <c r="CC57" i="3" s="1"/>
  <c r="CG60" i="3"/>
  <c r="CG54" i="3"/>
  <c r="CG53" i="3" s="1"/>
  <c r="CG55" i="3" s="1"/>
  <c r="CG56" i="3" s="1"/>
  <c r="CG57" i="3" s="1"/>
  <c r="CH54" i="3"/>
  <c r="CH53" i="3" s="1"/>
  <c r="CH55" i="3" s="1"/>
  <c r="CH56" i="3" s="1"/>
  <c r="CH57" i="3" s="1"/>
  <c r="Q67" i="3"/>
  <c r="O56" i="2"/>
  <c r="N15" i="11" s="1"/>
  <c r="M56" i="2"/>
  <c r="L15" i="11" s="1"/>
  <c r="T59" i="3"/>
  <c r="AI67" i="3"/>
  <c r="AL54" i="3"/>
  <c r="AL53" i="3" s="1"/>
  <c r="AL55" i="3" s="1"/>
  <c r="AL56" i="3" s="1"/>
  <c r="AL57" i="3" s="1"/>
  <c r="AQ60" i="3"/>
  <c r="AQ54" i="3"/>
  <c r="AQ53" i="3" s="1"/>
  <c r="AQ55" i="3" s="1"/>
  <c r="AQ56" i="3" s="1"/>
  <c r="AQ57" i="3" s="1"/>
  <c r="AV60" i="3"/>
  <c r="AV54" i="3"/>
  <c r="AV53" i="3" s="1"/>
  <c r="AV55" i="3" s="1"/>
  <c r="AV56" i="3" s="1"/>
  <c r="AV57" i="3" s="1"/>
  <c r="AZ60" i="3"/>
  <c r="AZ54" i="3"/>
  <c r="AZ53" i="3" s="1"/>
  <c r="AZ55" i="3" s="1"/>
  <c r="AZ56" i="3" s="1"/>
  <c r="AZ57" i="3" s="1"/>
  <c r="BD60" i="3"/>
  <c r="BD54" i="3"/>
  <c r="BD53" i="3" s="1"/>
  <c r="BD55" i="3" s="1"/>
  <c r="BD56" i="3" s="1"/>
  <c r="BD57" i="3" s="1"/>
  <c r="BI60" i="3"/>
  <c r="BI54" i="3"/>
  <c r="BI53" i="3" s="1"/>
  <c r="BI55" i="3" s="1"/>
  <c r="BI56" i="3" s="1"/>
  <c r="BI57" i="3" s="1"/>
  <c r="BJ54" i="3"/>
  <c r="BJ53" i="3" s="1"/>
  <c r="BJ55" i="3" s="1"/>
  <c r="BJ56" i="3" s="1"/>
  <c r="BJ57" i="3" s="1"/>
  <c r="BP60" i="3"/>
  <c r="BP54" i="3"/>
  <c r="BP53" i="3" s="1"/>
  <c r="BP55" i="3" s="1"/>
  <c r="BP56" i="3" s="1"/>
  <c r="BP57" i="3" s="1"/>
  <c r="BU60" i="3"/>
  <c r="BU54" i="3"/>
  <c r="BU53" i="3" s="1"/>
  <c r="BU55" i="3" s="1"/>
  <c r="BU56" i="3" s="1"/>
  <c r="BU57" i="3" s="1"/>
  <c r="BV54" i="3"/>
  <c r="BV53" i="3" s="1"/>
  <c r="BV55" i="3" s="1"/>
  <c r="BV56" i="3" s="1"/>
  <c r="BV57" i="3" s="1"/>
  <c r="BZ54" i="3"/>
  <c r="BZ53" i="3" s="1"/>
  <c r="BZ55" i="3" s="1"/>
  <c r="BZ56" i="3" s="1"/>
  <c r="BZ57" i="3" s="1"/>
  <c r="CF60" i="3"/>
  <c r="CF54" i="3"/>
  <c r="CF53" i="3" s="1"/>
  <c r="CF55" i="3" s="1"/>
  <c r="CF56" i="3" s="1"/>
  <c r="CF57" i="3" s="1"/>
  <c r="CK55" i="3"/>
  <c r="CK56" i="3" s="1"/>
  <c r="CK57" i="3" s="1"/>
  <c r="CK60" i="3"/>
  <c r="CK54" i="3"/>
  <c r="CK53" i="3" s="1"/>
  <c r="AJ74" i="3"/>
  <c r="AJ75" i="3" s="1"/>
  <c r="AJ103" i="3" s="1"/>
  <c r="AM31" i="11"/>
  <c r="AZ92" i="3"/>
  <c r="AK31" i="11"/>
  <c r="AC31" i="11"/>
  <c r="U31" i="11"/>
  <c r="AH74" i="3"/>
  <c r="AH75" i="3" s="1"/>
  <c r="AH103" i="3" s="1"/>
  <c r="AQ31" i="11"/>
  <c r="AI31" i="11"/>
  <c r="AA31" i="11"/>
  <c r="S31" i="11"/>
  <c r="AI74" i="3"/>
  <c r="AI75" i="3" s="1"/>
  <c r="AI103" i="3" s="1"/>
  <c r="AV92" i="3"/>
  <c r="BT92" i="3"/>
  <c r="CB92" i="3"/>
  <c r="AO31" i="11"/>
  <c r="AG31" i="11"/>
  <c r="Y31" i="11"/>
  <c r="AD82" i="3"/>
  <c r="AD83" i="3" s="1"/>
  <c r="AD84" i="3" s="1"/>
  <c r="AD85" i="3" s="1"/>
  <c r="AE93" i="3"/>
  <c r="AE82" i="3"/>
  <c r="AE83" i="3" s="1"/>
  <c r="AE84" i="3" s="1"/>
  <c r="AE85" i="3" s="1"/>
  <c r="AA83" i="3"/>
  <c r="AA84" i="3" s="1"/>
  <c r="AA85" i="3" s="1"/>
  <c r="W81" i="3"/>
  <c r="Z102" i="3"/>
  <c r="AF102" i="3"/>
  <c r="AF103" i="3" s="1"/>
  <c r="BN102" i="3"/>
  <c r="BN103" i="3" s="1"/>
  <c r="BA102" i="3"/>
  <c r="BA103" i="3" s="1"/>
  <c r="BE102" i="3"/>
  <c r="BE103" i="3" s="1"/>
  <c r="BI102" i="3"/>
  <c r="BI103" i="3" s="1"/>
  <c r="BM102" i="3"/>
  <c r="BM103" i="3" s="1"/>
  <c r="BO102" i="3"/>
  <c r="BO103" i="3" s="1"/>
  <c r="W23" i="11"/>
  <c r="W41" i="11" s="1"/>
  <c r="AB102" i="3"/>
  <c r="AB103" i="3" s="1"/>
  <c r="AB105" i="3" s="1"/>
  <c r="BP102" i="3"/>
  <c r="BP103" i="3" s="1"/>
  <c r="AP102" i="3"/>
  <c r="AP103" i="3" s="1"/>
  <c r="AO29" i="11" s="1"/>
  <c r="AT102" i="3"/>
  <c r="AT103" i="3" s="1"/>
  <c r="AD103" i="3"/>
  <c r="AE103" i="3"/>
  <c r="AD29" i="11" s="1"/>
  <c r="AC102" i="3"/>
  <c r="Z103" i="3"/>
  <c r="U103" i="3"/>
  <c r="T29" i="11" s="1"/>
  <c r="AI82" i="3"/>
  <c r="AI83" i="3" s="1"/>
  <c r="AI84" i="3" s="1"/>
  <c r="AI85" i="3" s="1"/>
  <c r="AC59" i="3"/>
  <c r="Z82" i="3"/>
  <c r="Z83" i="3" s="1"/>
  <c r="Z84" i="3" s="1"/>
  <c r="Z85" i="3" s="1"/>
  <c r="V83" i="3"/>
  <c r="V84" i="3" s="1"/>
  <c r="V85" i="3" s="1"/>
  <c r="X81" i="3"/>
  <c r="X80" i="3" s="1"/>
  <c r="R82" i="3"/>
  <c r="R83" i="3" s="1"/>
  <c r="R84" i="3" s="1"/>
  <c r="AJ108" i="3"/>
  <c r="AJ109" i="3" s="1"/>
  <c r="AJ111" i="3" s="1"/>
  <c r="AJ112" i="3" s="1"/>
  <c r="AI108" i="3"/>
  <c r="AI109" i="3" s="1"/>
  <c r="AI111" i="3" s="1"/>
  <c r="AI112" i="3" s="1"/>
  <c r="AK111" i="3"/>
  <c r="AK112" i="3" s="1"/>
  <c r="AK82" i="3"/>
  <c r="AK83" i="3" s="1"/>
  <c r="AK84" i="3" s="1"/>
  <c r="AK85" i="3" s="1"/>
  <c r="AJ82" i="3"/>
  <c r="AJ83" i="3" s="1"/>
  <c r="AJ84" i="3" s="1"/>
  <c r="AJ85" i="3" s="1"/>
  <c r="AI93" i="3"/>
  <c r="AI97" i="3" s="1"/>
  <c r="AI60" i="3"/>
  <c r="AJ92" i="3"/>
  <c r="AJ60" i="3"/>
  <c r="AK93" i="3"/>
  <c r="AK97" i="3" s="1"/>
  <c r="AK54" i="3"/>
  <c r="AK53" i="3" s="1"/>
  <c r="AK55" i="3" s="1"/>
  <c r="AK56" i="3" s="1"/>
  <c r="AK57" i="3" s="1"/>
  <c r="AK60" i="3"/>
  <c r="AH108" i="3"/>
  <c r="AH109" i="3" s="1"/>
  <c r="AH111" i="3" s="1"/>
  <c r="AH54" i="3"/>
  <c r="AH53" i="3" s="1"/>
  <c r="AH55" i="3" s="1"/>
  <c r="AH56" i="3" s="1"/>
  <c r="AH57" i="3" s="1"/>
  <c r="AI54" i="3"/>
  <c r="AI53" i="3" s="1"/>
  <c r="AI55" i="3" s="1"/>
  <c r="AI56" i="3" s="1"/>
  <c r="AI57" i="3" s="1"/>
  <c r="AJ54" i="3"/>
  <c r="AJ53" i="3" s="1"/>
  <c r="AJ55" i="3" s="1"/>
  <c r="AJ56" i="3" s="1"/>
  <c r="AJ57" i="3" s="1"/>
  <c r="AG111" i="3"/>
  <c r="AG112" i="3" s="1"/>
  <c r="AG60" i="3"/>
  <c r="AD54" i="3"/>
  <c r="AD53" i="3" s="1"/>
  <c r="AD55" i="3" s="1"/>
  <c r="AD56" i="3" s="1"/>
  <c r="AD57" i="3" s="1"/>
  <c r="AF92" i="3"/>
  <c r="AF91" i="3" s="1"/>
  <c r="AF93" i="3" s="1"/>
  <c r="AE54" i="3"/>
  <c r="AE53" i="3" s="1"/>
  <c r="AE55" i="3" s="1"/>
  <c r="AE56" i="3" s="1"/>
  <c r="AE57" i="3" s="1"/>
  <c r="AG102" i="3"/>
  <c r="AG103" i="3" s="1"/>
  <c r="AF54" i="3"/>
  <c r="AF53" i="3" s="1"/>
  <c r="AF55" i="3" s="1"/>
  <c r="AF59" i="3"/>
  <c r="AD108" i="3"/>
  <c r="AD109" i="3" s="1"/>
  <c r="AD111" i="3" s="1"/>
  <c r="AG54" i="3"/>
  <c r="AG53" i="3" s="1"/>
  <c r="AG55" i="3" s="1"/>
  <c r="AG59" i="3"/>
  <c r="AE108" i="3"/>
  <c r="AE109" i="3" s="1"/>
  <c r="AF81" i="3"/>
  <c r="AF80" i="3" s="1"/>
  <c r="AF82" i="3" s="1"/>
  <c r="AF83" i="3" s="1"/>
  <c r="AF84" i="3" s="1"/>
  <c r="AF85" i="3" s="1"/>
  <c r="AC111" i="3"/>
  <c r="AC112" i="3" s="1"/>
  <c r="Z93" i="3"/>
  <c r="Z94" i="3" s="1"/>
  <c r="Z95" i="3" s="1"/>
  <c r="Z96" i="3" s="1"/>
  <c r="Z111" i="3"/>
  <c r="Z112" i="3" s="1"/>
  <c r="AA60" i="3"/>
  <c r="AB54" i="3"/>
  <c r="AB53" i="3" s="1"/>
  <c r="AB55" i="3" s="1"/>
  <c r="AB56" i="3" s="1"/>
  <c r="AB57" i="3" s="1"/>
  <c r="AC103" i="3"/>
  <c r="AC105" i="3" s="1"/>
  <c r="AB60" i="3"/>
  <c r="AA108" i="3"/>
  <c r="AA109" i="3" s="1"/>
  <c r="AC60" i="3"/>
  <c r="AB108" i="3"/>
  <c r="AB109" i="3" s="1"/>
  <c r="AB111" i="3" s="1"/>
  <c r="AB112" i="3" s="1"/>
  <c r="AC54" i="3"/>
  <c r="AC53" i="3" s="1"/>
  <c r="AC55" i="3" s="1"/>
  <c r="AC56" i="3" s="1"/>
  <c r="AC57" i="3" s="1"/>
  <c r="Z54" i="3"/>
  <c r="Z53" i="3" s="1"/>
  <c r="Z55" i="3" s="1"/>
  <c r="Z56" i="3" s="1"/>
  <c r="Z57" i="3" s="1"/>
  <c r="AA54" i="3"/>
  <c r="AA53" i="3" s="1"/>
  <c r="AA55" i="3" s="1"/>
  <c r="AA56" i="3" s="1"/>
  <c r="AA57" i="3" s="1"/>
  <c r="AA93" i="3"/>
  <c r="AA86" i="3" s="1"/>
  <c r="AA102" i="3"/>
  <c r="AA103" i="3" s="1"/>
  <c r="Z29" i="11" s="1"/>
  <c r="X111" i="3"/>
  <c r="X112" i="3" s="1"/>
  <c r="Y111" i="3"/>
  <c r="Y112" i="3" s="1"/>
  <c r="V111" i="3"/>
  <c r="V112" i="3" s="1"/>
  <c r="X60" i="3"/>
  <c r="Y60" i="3"/>
  <c r="V54" i="3"/>
  <c r="V53" i="3" s="1"/>
  <c r="W54" i="3"/>
  <c r="W53" i="3" s="1"/>
  <c r="W55" i="3" s="1"/>
  <c r="W56" i="3" s="1"/>
  <c r="W57" i="3" s="1"/>
  <c r="V93" i="3"/>
  <c r="V94" i="3" s="1"/>
  <c r="V95" i="3" s="1"/>
  <c r="V96" i="3" s="1"/>
  <c r="V102" i="3"/>
  <c r="V103" i="3" s="1"/>
  <c r="U29" i="11" s="1"/>
  <c r="X54" i="3"/>
  <c r="X53" i="3" s="1"/>
  <c r="X55" i="3" s="1"/>
  <c r="X56" i="3" s="1"/>
  <c r="X57" i="3" s="1"/>
  <c r="X59" i="3"/>
  <c r="W92" i="3"/>
  <c r="W102" i="3"/>
  <c r="W103" i="3" s="1"/>
  <c r="V29" i="11" s="1"/>
  <c r="Y54" i="3"/>
  <c r="Y53" i="3" s="1"/>
  <c r="Y55" i="3" s="1"/>
  <c r="Y59" i="3"/>
  <c r="X102" i="3"/>
  <c r="X103" i="3" s="1"/>
  <c r="X105" i="3" s="1"/>
  <c r="Y102" i="3"/>
  <c r="Y103" i="3" s="1"/>
  <c r="Y105" i="3" s="1"/>
  <c r="R108" i="3"/>
  <c r="R109" i="3" s="1"/>
  <c r="R111" i="3" s="1"/>
  <c r="R112" i="3" s="1"/>
  <c r="T111" i="3"/>
  <c r="T112" i="3" s="1"/>
  <c r="S108" i="3"/>
  <c r="S109" i="3" s="1"/>
  <c r="T54" i="3"/>
  <c r="T53" i="3" s="1"/>
  <c r="T55" i="3" s="1"/>
  <c r="U54" i="3"/>
  <c r="U53" i="3" s="1"/>
  <c r="U55" i="3" s="1"/>
  <c r="U59" i="3"/>
  <c r="S60" i="3"/>
  <c r="U108" i="3"/>
  <c r="U109" i="3" s="1"/>
  <c r="U111" i="3" s="1"/>
  <c r="U112" i="3" s="1"/>
  <c r="T60" i="3"/>
  <c r="R93" i="3"/>
  <c r="R86" i="3" s="1"/>
  <c r="R102" i="3"/>
  <c r="R103" i="3" s="1"/>
  <c r="Q29" i="11" s="1"/>
  <c r="U60" i="3"/>
  <c r="S93" i="3"/>
  <c r="S98" i="3" s="1"/>
  <c r="S102" i="3"/>
  <c r="S103" i="3" s="1"/>
  <c r="R29" i="11" s="1"/>
  <c r="S54" i="3"/>
  <c r="S53" i="3" s="1"/>
  <c r="S55" i="3" s="1"/>
  <c r="S56" i="3" s="1"/>
  <c r="S57" i="3" s="1"/>
  <c r="R54" i="3"/>
  <c r="R53" i="3" s="1"/>
  <c r="R55" i="3" s="1"/>
  <c r="R56" i="3" s="1"/>
  <c r="R57" i="3" s="1"/>
  <c r="T102" i="3"/>
  <c r="T103" i="3" s="1"/>
  <c r="S29" i="11" s="1"/>
  <c r="Q108" i="3"/>
  <c r="Q109" i="3" s="1"/>
  <c r="Q111" i="3" s="1"/>
  <c r="Q112" i="3" s="1"/>
  <c r="Q60" i="3"/>
  <c r="P111" i="3"/>
  <c r="P112" i="3" s="1"/>
  <c r="P60" i="3"/>
  <c r="O111" i="3"/>
  <c r="O112" i="3" s="1"/>
  <c r="N111" i="3"/>
  <c r="N112" i="3" s="1"/>
  <c r="O82" i="3"/>
  <c r="O87" i="3" s="1"/>
  <c r="N54" i="3"/>
  <c r="N53" i="3" s="1"/>
  <c r="N55" i="3" s="1"/>
  <c r="N56" i="3" s="1"/>
  <c r="N57" i="3" s="1"/>
  <c r="O54" i="3"/>
  <c r="O53" i="3" s="1"/>
  <c r="O55" i="3" s="1"/>
  <c r="O56" i="3" s="1"/>
  <c r="O57" i="3" s="1"/>
  <c r="N102" i="3"/>
  <c r="N103" i="3" s="1"/>
  <c r="J17" i="11"/>
  <c r="P54" i="3"/>
  <c r="P53" i="3" s="1"/>
  <c r="P55" i="3" s="1"/>
  <c r="P56" i="3" s="1"/>
  <c r="P57" i="3" s="1"/>
  <c r="O93" i="3"/>
  <c r="O98" i="3" s="1"/>
  <c r="O102" i="3"/>
  <c r="O103" i="3" s="1"/>
  <c r="Q54" i="3"/>
  <c r="Q53" i="3" s="1"/>
  <c r="Q55" i="3" s="1"/>
  <c r="Q56" i="3" s="1"/>
  <c r="Q57" i="3" s="1"/>
  <c r="P102" i="3"/>
  <c r="P103" i="3" s="1"/>
  <c r="Q102" i="3"/>
  <c r="Q103" i="3" s="1"/>
  <c r="O60" i="3"/>
  <c r="AK47" i="11"/>
  <c r="AK48" i="11" s="1"/>
  <c r="Q16" i="11"/>
  <c r="U40" i="11"/>
  <c r="AM42" i="11"/>
  <c r="I18" i="11"/>
  <c r="K16" i="11"/>
  <c r="K17" i="11" s="1"/>
  <c r="AG16" i="11"/>
  <c r="AG17" i="11" s="1"/>
  <c r="AC40" i="11"/>
  <c r="Y18" i="11"/>
  <c r="I16" i="11"/>
  <c r="I17" i="11" s="1"/>
  <c r="N16" i="11"/>
  <c r="N17" i="11" s="1"/>
  <c r="N24" i="11" s="1"/>
  <c r="O16" i="11"/>
  <c r="O17"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P16" i="11"/>
  <c r="P17" i="11" s="1"/>
  <c r="P24"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AC18" i="11"/>
  <c r="G16" i="11"/>
  <c r="G17" i="11" s="1"/>
  <c r="Y16" i="11"/>
  <c r="Y17" i="11" s="1"/>
  <c r="AB24" i="11"/>
  <c r="AB25" i="11" s="1"/>
  <c r="AR24" i="11"/>
  <c r="AR25" i="11" s="1"/>
  <c r="W42" i="11"/>
  <c r="U46" i="11"/>
  <c r="AC47"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R24"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M17" i="11" s="1"/>
  <c r="AF24" i="11"/>
  <c r="AF25" i="11" s="1"/>
  <c r="AE42" i="11"/>
  <c r="U47" i="11"/>
  <c r="AK45" i="11"/>
  <c r="AO47" i="1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7" i="3"/>
  <c r="CI87" i="3"/>
  <c r="CI98" i="3"/>
  <c r="CI97" i="3"/>
  <c r="CI94" i="3"/>
  <c r="CI95" i="3" s="1"/>
  <c r="CI96" i="3" s="1"/>
  <c r="CJ98" i="3"/>
  <c r="CJ96" i="3"/>
  <c r="CJ97" i="3"/>
  <c r="CJ94" i="3"/>
  <c r="CJ95" i="3" s="1"/>
  <c r="CH98" i="3"/>
  <c r="CH97" i="3"/>
  <c r="CH94" i="3"/>
  <c r="CH95" i="3" s="1"/>
  <c r="CH96" i="3" s="1"/>
  <c r="CK87" i="3"/>
  <c r="CK98" i="3"/>
  <c r="CK97" i="3"/>
  <c r="CK94" i="3"/>
  <c r="CK95" i="3" s="1"/>
  <c r="CK96" i="3" s="1"/>
  <c r="CJ82" i="3"/>
  <c r="CJ83" i="3" s="1"/>
  <c r="CJ84" i="3" s="1"/>
  <c r="CJ85" i="3" s="1"/>
  <c r="CK81" i="3"/>
  <c r="CK85" i="3"/>
  <c r="CK86" i="3"/>
  <c r="CK92" i="3"/>
  <c r="CJ92" i="3"/>
  <c r="CH81" i="3"/>
  <c r="CH85" i="3"/>
  <c r="CH86" i="3"/>
  <c r="CH92" i="3"/>
  <c r="CI81" i="3"/>
  <c r="CI85" i="3"/>
  <c r="CI86" i="3"/>
  <c r="CI92" i="3"/>
  <c r="CD87" i="3"/>
  <c r="CE87" i="3"/>
  <c r="CE98" i="3"/>
  <c r="CE97" i="3"/>
  <c r="CE94" i="3"/>
  <c r="CE95" i="3" s="1"/>
  <c r="CE96" i="3" s="1"/>
  <c r="CF98" i="3"/>
  <c r="CF94" i="3"/>
  <c r="CF95" i="3" s="1"/>
  <c r="CF96" i="3" s="1"/>
  <c r="CF97" i="3"/>
  <c r="CD98" i="3"/>
  <c r="CD97" i="3"/>
  <c r="CD94" i="3"/>
  <c r="CD95" i="3" s="1"/>
  <c r="CD96" i="3" s="1"/>
  <c r="CG87" i="3"/>
  <c r="CG98" i="3"/>
  <c r="CG97" i="3"/>
  <c r="CG94" i="3"/>
  <c r="CG95" i="3" s="1"/>
  <c r="CG96" i="3" s="1"/>
  <c r="CF82" i="3"/>
  <c r="CF83" i="3" s="1"/>
  <c r="CF84" i="3" s="1"/>
  <c r="CF86" i="3"/>
  <c r="CF92" i="3"/>
  <c r="CG81" i="3"/>
  <c r="CG85" i="3"/>
  <c r="CG86" i="3"/>
  <c r="CG92" i="3"/>
  <c r="CD81" i="3"/>
  <c r="CD85" i="3"/>
  <c r="CD86" i="3"/>
  <c r="CD92" i="3"/>
  <c r="CF85" i="3"/>
  <c r="CE81" i="3"/>
  <c r="CE85" i="3"/>
  <c r="CE86" i="3"/>
  <c r="CE92" i="3"/>
  <c r="CA87" i="3"/>
  <c r="CC87" i="3"/>
  <c r="CC98" i="3"/>
  <c r="CC97" i="3"/>
  <c r="CC94" i="3"/>
  <c r="CC95" i="3" s="1"/>
  <c r="CC96" i="3" s="1"/>
  <c r="CA98" i="3"/>
  <c r="CA97" i="3"/>
  <c r="CA94" i="3"/>
  <c r="CA95" i="3" s="1"/>
  <c r="CA96" i="3" s="1"/>
  <c r="BZ87" i="3"/>
  <c r="BZ98" i="3"/>
  <c r="BZ97" i="3"/>
  <c r="BZ94" i="3"/>
  <c r="BZ95" i="3" s="1"/>
  <c r="BZ96" i="3" s="1"/>
  <c r="CB85" i="3"/>
  <c r="CB87" i="3"/>
  <c r="CC81" i="3"/>
  <c r="CC85" i="3"/>
  <c r="CC86" i="3"/>
  <c r="CC92" i="3"/>
  <c r="CB81" i="3"/>
  <c r="CB93" i="3"/>
  <c r="CB86" i="3" s="1"/>
  <c r="BZ81" i="3"/>
  <c r="BZ85" i="3"/>
  <c r="BZ86" i="3"/>
  <c r="BZ92" i="3"/>
  <c r="CA81" i="3"/>
  <c r="CA85" i="3"/>
  <c r="CA86" i="3"/>
  <c r="CA92" i="3"/>
  <c r="BW87" i="3"/>
  <c r="BW98" i="3"/>
  <c r="BW97" i="3"/>
  <c r="BW96" i="3"/>
  <c r="BW94" i="3"/>
  <c r="BW95" i="3" s="1"/>
  <c r="BV87" i="3"/>
  <c r="BX98" i="3"/>
  <c r="BX94" i="3"/>
  <c r="BX95" i="3" s="1"/>
  <c r="BX97" i="3"/>
  <c r="BX96" i="3"/>
  <c r="BV98" i="3"/>
  <c r="BV97" i="3"/>
  <c r="BV94" i="3"/>
  <c r="BV95" i="3" s="1"/>
  <c r="BV96" i="3" s="1"/>
  <c r="BY87" i="3"/>
  <c r="BY98" i="3"/>
  <c r="BY97" i="3"/>
  <c r="BY94" i="3"/>
  <c r="BY95" i="3" s="1"/>
  <c r="BY96" i="3" s="1"/>
  <c r="BX82" i="3"/>
  <c r="BX83" i="3" s="1"/>
  <c r="BX84" i="3" s="1"/>
  <c r="BX85" i="3" s="1"/>
  <c r="BX92" i="3"/>
  <c r="BY81" i="3"/>
  <c r="BY85" i="3"/>
  <c r="BY86" i="3"/>
  <c r="BY92" i="3"/>
  <c r="BX86" i="3"/>
  <c r="BV81" i="3"/>
  <c r="BV85" i="3"/>
  <c r="BV86" i="3"/>
  <c r="BV92" i="3"/>
  <c r="BW81" i="3"/>
  <c r="BW85" i="3"/>
  <c r="BW86" i="3"/>
  <c r="BW92" i="3"/>
  <c r="BR87" i="3"/>
  <c r="BR98" i="3"/>
  <c r="BR97" i="3"/>
  <c r="BR94" i="3"/>
  <c r="BR95" i="3" s="1"/>
  <c r="BR96" i="3" s="1"/>
  <c r="BT87" i="3"/>
  <c r="BS87" i="3"/>
  <c r="BS98" i="3"/>
  <c r="BS97" i="3"/>
  <c r="BS94" i="3"/>
  <c r="BS95" i="3" s="1"/>
  <c r="BS96" i="3" s="1"/>
  <c r="BU94" i="3"/>
  <c r="BU95" i="3" s="1"/>
  <c r="BU96" i="3" s="1"/>
  <c r="BU98" i="3"/>
  <c r="BU97" i="3"/>
  <c r="BT93" i="3"/>
  <c r="BU82" i="3"/>
  <c r="BU83" i="3" s="1"/>
  <c r="BU84" i="3" s="1"/>
  <c r="BU85" i="3" s="1"/>
  <c r="BU92" i="3"/>
  <c r="BR81" i="3"/>
  <c r="BR85" i="3"/>
  <c r="BR86" i="3"/>
  <c r="BR92" i="3"/>
  <c r="BT81" i="3"/>
  <c r="BT85" i="3"/>
  <c r="BS81" i="3"/>
  <c r="BS85" i="3"/>
  <c r="BS86" i="3"/>
  <c r="BS92" i="3"/>
  <c r="BN87" i="3"/>
  <c r="BO87" i="3"/>
  <c r="BO98" i="3"/>
  <c r="BO97" i="3"/>
  <c r="BO94" i="3"/>
  <c r="BO95" i="3" s="1"/>
  <c r="BO96" i="3" s="1"/>
  <c r="BP85" i="3"/>
  <c r="BP98" i="3"/>
  <c r="BP94" i="3"/>
  <c r="BP95" i="3" s="1"/>
  <c r="BP96" i="3" s="1"/>
  <c r="BP97" i="3"/>
  <c r="BN98" i="3"/>
  <c r="BN97" i="3"/>
  <c r="BN94" i="3"/>
  <c r="BN95" i="3" s="1"/>
  <c r="BN96" i="3" s="1"/>
  <c r="BQ87" i="3"/>
  <c r="BQ98" i="3"/>
  <c r="BQ97" i="3"/>
  <c r="BQ94" i="3"/>
  <c r="BQ95" i="3" s="1"/>
  <c r="BQ96" i="3" s="1"/>
  <c r="BP87" i="3"/>
  <c r="BQ81" i="3"/>
  <c r="BQ85" i="3"/>
  <c r="BQ86" i="3"/>
  <c r="BQ92" i="3"/>
  <c r="BP81" i="3"/>
  <c r="BP86" i="3"/>
  <c r="BN81" i="3"/>
  <c r="BN85" i="3"/>
  <c r="BN86" i="3"/>
  <c r="BN92" i="3"/>
  <c r="BP92" i="3"/>
  <c r="BO81" i="3"/>
  <c r="BO85" i="3"/>
  <c r="BO86" i="3"/>
  <c r="BO92" i="3"/>
  <c r="BM87" i="3"/>
  <c r="BM98" i="3"/>
  <c r="BM97" i="3"/>
  <c r="BM94" i="3"/>
  <c r="BM95" i="3" s="1"/>
  <c r="BM96" i="3" s="1"/>
  <c r="BJ87" i="3"/>
  <c r="BJ98" i="3"/>
  <c r="BJ97" i="3"/>
  <c r="BJ94" i="3"/>
  <c r="BJ95" i="3" s="1"/>
  <c r="BJ96" i="3" s="1"/>
  <c r="BL98" i="3"/>
  <c r="BL97" i="3"/>
  <c r="BL94" i="3"/>
  <c r="BL95" i="3" s="1"/>
  <c r="BL96" i="3" s="1"/>
  <c r="BK87" i="3"/>
  <c r="BK98" i="3"/>
  <c r="BK97" i="3"/>
  <c r="BK94" i="3"/>
  <c r="BK95" i="3" s="1"/>
  <c r="BK96" i="3" s="1"/>
  <c r="BL82" i="3"/>
  <c r="BL83" i="3" s="1"/>
  <c r="BL84" i="3" s="1"/>
  <c r="BL85" i="3" s="1"/>
  <c r="BL86" i="3"/>
  <c r="BM81" i="3"/>
  <c r="BM85" i="3"/>
  <c r="BM86" i="3"/>
  <c r="BM92" i="3"/>
  <c r="BL92" i="3"/>
  <c r="BJ81" i="3"/>
  <c r="BJ85" i="3"/>
  <c r="BJ86" i="3"/>
  <c r="BJ92" i="3"/>
  <c r="BK81" i="3"/>
  <c r="BK85" i="3"/>
  <c r="BK86" i="3"/>
  <c r="BK92" i="3"/>
  <c r="BG87" i="3"/>
  <c r="BG98" i="3"/>
  <c r="BG97" i="3"/>
  <c r="BG94" i="3"/>
  <c r="BG95" i="3" s="1"/>
  <c r="BG96" i="3" s="1"/>
  <c r="BF87" i="3"/>
  <c r="BH98" i="3"/>
  <c r="BH97" i="3"/>
  <c r="BH94" i="3"/>
  <c r="BH95" i="3" s="1"/>
  <c r="BH96" i="3" s="1"/>
  <c r="BF98" i="3"/>
  <c r="BF97" i="3"/>
  <c r="BF94" i="3"/>
  <c r="BF95" i="3" s="1"/>
  <c r="BF96" i="3" s="1"/>
  <c r="BI87" i="3"/>
  <c r="BI98" i="3"/>
  <c r="BI97" i="3"/>
  <c r="BI94" i="3"/>
  <c r="BI95" i="3" s="1"/>
  <c r="BI96" i="3" s="1"/>
  <c r="BH81" i="3"/>
  <c r="BH85" i="3"/>
  <c r="BH87" i="3"/>
  <c r="BH92" i="3"/>
  <c r="BI81" i="3"/>
  <c r="BI85" i="3"/>
  <c r="BI86" i="3"/>
  <c r="BI92" i="3"/>
  <c r="BF81" i="3"/>
  <c r="BF85" i="3"/>
  <c r="BF86" i="3"/>
  <c r="BF92" i="3"/>
  <c r="BG81" i="3"/>
  <c r="BG85" i="3"/>
  <c r="BG86" i="3"/>
  <c r="BG92" i="3"/>
  <c r="BB87" i="3"/>
  <c r="BB98" i="3"/>
  <c r="BB97" i="3"/>
  <c r="BB94" i="3"/>
  <c r="BB95" i="3" s="1"/>
  <c r="BB96" i="3" s="1"/>
  <c r="BC87" i="3"/>
  <c r="BC98" i="3"/>
  <c r="BC97" i="3"/>
  <c r="BC94" i="3"/>
  <c r="BC95" i="3" s="1"/>
  <c r="BC96" i="3" s="1"/>
  <c r="BD87" i="3"/>
  <c r="BD98" i="3"/>
  <c r="BD97" i="3"/>
  <c r="BD94" i="3"/>
  <c r="BD95" i="3" s="1"/>
  <c r="BD96" i="3" s="1"/>
  <c r="BE87" i="3"/>
  <c r="BE98" i="3"/>
  <c r="BE97" i="3"/>
  <c r="BE94" i="3"/>
  <c r="BE95" i="3" s="1"/>
  <c r="BE96" i="3" s="1"/>
  <c r="BD81" i="3"/>
  <c r="BD85" i="3"/>
  <c r="BD86" i="3"/>
  <c r="BD92" i="3"/>
  <c r="BE81" i="3"/>
  <c r="BE85" i="3"/>
  <c r="BE86" i="3"/>
  <c r="BE92" i="3"/>
  <c r="BB81" i="3"/>
  <c r="BB85" i="3"/>
  <c r="BB86" i="3"/>
  <c r="BB92" i="3"/>
  <c r="BC81" i="3"/>
  <c r="BC85" i="3"/>
  <c r="BC86" i="3"/>
  <c r="BC92" i="3"/>
  <c r="AX98" i="3"/>
  <c r="AX97" i="3"/>
  <c r="AX94" i="3"/>
  <c r="AX95" i="3" s="1"/>
  <c r="AX96" i="3" s="1"/>
  <c r="AY87" i="3"/>
  <c r="AY98" i="3"/>
  <c r="AY97" i="3"/>
  <c r="AY94" i="3"/>
  <c r="AY95" i="3" s="1"/>
  <c r="AY96" i="3" s="1"/>
  <c r="AZ87" i="3"/>
  <c r="AX87" i="3"/>
  <c r="BA87" i="3"/>
  <c r="BA98" i="3"/>
  <c r="BA97" i="3"/>
  <c r="BA94" i="3"/>
  <c r="BA95" i="3" s="1"/>
  <c r="BA96" i="3" s="1"/>
  <c r="AZ81" i="3"/>
  <c r="AZ93" i="3"/>
  <c r="AZ86" i="3" s="1"/>
  <c r="BA81" i="3"/>
  <c r="BA85" i="3"/>
  <c r="BA86" i="3"/>
  <c r="BA92" i="3"/>
  <c r="AZ85" i="3"/>
  <c r="AX81" i="3"/>
  <c r="AX85" i="3"/>
  <c r="AX86" i="3"/>
  <c r="AX92" i="3"/>
  <c r="AY81" i="3"/>
  <c r="AY85" i="3"/>
  <c r="AY86" i="3"/>
  <c r="AY92" i="3"/>
  <c r="AW87" i="3"/>
  <c r="AW98" i="3"/>
  <c r="AW97" i="3"/>
  <c r="AW94" i="3"/>
  <c r="AW95" i="3" s="1"/>
  <c r="AW96" i="3" s="1"/>
  <c r="AT87" i="3"/>
  <c r="AT98" i="3"/>
  <c r="AT97" i="3"/>
  <c r="AT94" i="3"/>
  <c r="AT95" i="3" s="1"/>
  <c r="AT96" i="3" s="1"/>
  <c r="AU87" i="3"/>
  <c r="AU98" i="3"/>
  <c r="AU97" i="3"/>
  <c r="AU94" i="3"/>
  <c r="AU95" i="3" s="1"/>
  <c r="AU96" i="3" s="1"/>
  <c r="AV82" i="3"/>
  <c r="AV83" i="3" s="1"/>
  <c r="AV84" i="3" s="1"/>
  <c r="AV85" i="3" s="1"/>
  <c r="AV93" i="3"/>
  <c r="AV86" i="3" s="1"/>
  <c r="AW81" i="3"/>
  <c r="AW85" i="3"/>
  <c r="AW86" i="3"/>
  <c r="AW92" i="3"/>
  <c r="AT81" i="3"/>
  <c r="AT85" i="3"/>
  <c r="AT86" i="3"/>
  <c r="AT92" i="3"/>
  <c r="AU81" i="3"/>
  <c r="AU85" i="3"/>
  <c r="AU86" i="3"/>
  <c r="AU92" i="3"/>
  <c r="AP87" i="3"/>
  <c r="AQ87" i="3"/>
  <c r="AQ98" i="3"/>
  <c r="AQ97" i="3"/>
  <c r="AQ94" i="3"/>
  <c r="AQ95" i="3" s="1"/>
  <c r="AQ96" i="3" s="1"/>
  <c r="AP98" i="3"/>
  <c r="AP97" i="3"/>
  <c r="AP94" i="3"/>
  <c r="AP95" i="3" s="1"/>
  <c r="AP96" i="3" s="1"/>
  <c r="AR97" i="3"/>
  <c r="AR94" i="3"/>
  <c r="AR95" i="3" s="1"/>
  <c r="AR96" i="3" s="1"/>
  <c r="AR98" i="3"/>
  <c r="AS87" i="3"/>
  <c r="AS98" i="3"/>
  <c r="AS97" i="3"/>
  <c r="AS94" i="3"/>
  <c r="AS95" i="3" s="1"/>
  <c r="AS96" i="3" s="1"/>
  <c r="AR82" i="3"/>
  <c r="AR83" i="3" s="1"/>
  <c r="AR84" i="3" s="1"/>
  <c r="AR85" i="3" s="1"/>
  <c r="AR92" i="3"/>
  <c r="AS81" i="3"/>
  <c r="AS85" i="3"/>
  <c r="AS86" i="3"/>
  <c r="AS92" i="3"/>
  <c r="AP81" i="3"/>
  <c r="AP85" i="3"/>
  <c r="AP86" i="3"/>
  <c r="AP92" i="3"/>
  <c r="AQ81" i="3"/>
  <c r="AQ85" i="3"/>
  <c r="AQ86" i="3"/>
  <c r="AQ92" i="3"/>
  <c r="AM87" i="3"/>
  <c r="AM98" i="3"/>
  <c r="AM97" i="3"/>
  <c r="AM94" i="3"/>
  <c r="AM95" i="3" s="1"/>
  <c r="AM96" i="3" s="1"/>
  <c r="AL87" i="3"/>
  <c r="AN94" i="3"/>
  <c r="AN95" i="3" s="1"/>
  <c r="AN96" i="3" s="1"/>
  <c r="AL98" i="3"/>
  <c r="AL97" i="3"/>
  <c r="AL94" i="3"/>
  <c r="AL95" i="3" s="1"/>
  <c r="AL96" i="3" s="1"/>
  <c r="AO87" i="3"/>
  <c r="AO97" i="3"/>
  <c r="AO98" i="3"/>
  <c r="AO94" i="3"/>
  <c r="AO95" i="3" s="1"/>
  <c r="AO96" i="3" s="1"/>
  <c r="AN82" i="3"/>
  <c r="AN83" i="3" s="1"/>
  <c r="AN84" i="3" s="1"/>
  <c r="AN85" i="3" s="1"/>
  <c r="AN92" i="3"/>
  <c r="AO81" i="3"/>
  <c r="AO85" i="3"/>
  <c r="AO86" i="3"/>
  <c r="AO92" i="3"/>
  <c r="AL81" i="3"/>
  <c r="AL85" i="3"/>
  <c r="AL86" i="3"/>
  <c r="AL92" i="3"/>
  <c r="AM81" i="3"/>
  <c r="AM85" i="3"/>
  <c r="AM86" i="3"/>
  <c r="AM92" i="3"/>
  <c r="AI98" i="3"/>
  <c r="AJ81" i="3"/>
  <c r="AK81" i="3"/>
  <c r="AK92" i="3"/>
  <c r="AJ93" i="3"/>
  <c r="AH81" i="3"/>
  <c r="AH80" i="3" s="1"/>
  <c r="AH82" i="3" s="1"/>
  <c r="AH92" i="3"/>
  <c r="AH91" i="3" s="1"/>
  <c r="AH93" i="3" s="1"/>
  <c r="AH98" i="3" s="1"/>
  <c r="AI81" i="3"/>
  <c r="AI92" i="3"/>
  <c r="AD87" i="3"/>
  <c r="AE98" i="3"/>
  <c r="AE97" i="3"/>
  <c r="AE94" i="3"/>
  <c r="AE95" i="3" s="1"/>
  <c r="AE96" i="3" s="1"/>
  <c r="AD98" i="3"/>
  <c r="AD97" i="3"/>
  <c r="AD94" i="3"/>
  <c r="AD95" i="3" s="1"/>
  <c r="AD96" i="3" s="1"/>
  <c r="AG81" i="3"/>
  <c r="AG80" i="3" s="1"/>
  <c r="AG82" i="3" s="1"/>
  <c r="AG92" i="3"/>
  <c r="AG91" i="3" s="1"/>
  <c r="AG93" i="3" s="1"/>
  <c r="AG86" i="3" s="1"/>
  <c r="AD81" i="3"/>
  <c r="AD86" i="3"/>
  <c r="AD92" i="3"/>
  <c r="AE81" i="3"/>
  <c r="AE86" i="3"/>
  <c r="AE92" i="3"/>
  <c r="AA87" i="3"/>
  <c r="Z98" i="3"/>
  <c r="Z97" i="3"/>
  <c r="AB81" i="3"/>
  <c r="AB80" i="3" s="1"/>
  <c r="AB82" i="3" s="1"/>
  <c r="AB83" i="3" s="1"/>
  <c r="AB84" i="3" s="1"/>
  <c r="AB85" i="3" s="1"/>
  <c r="AB92" i="3"/>
  <c r="AB91" i="3" s="1"/>
  <c r="AB93" i="3" s="1"/>
  <c r="AB98" i="3" s="1"/>
  <c r="AC81" i="3"/>
  <c r="AC80" i="3" s="1"/>
  <c r="AC82" i="3" s="1"/>
  <c r="AC92" i="3"/>
  <c r="AC91" i="3" s="1"/>
  <c r="AC93" i="3" s="1"/>
  <c r="Z81" i="3"/>
  <c r="Z86" i="3"/>
  <c r="Z92" i="3"/>
  <c r="AA81" i="3"/>
  <c r="AA92" i="3"/>
  <c r="V87" i="3"/>
  <c r="W82" i="3"/>
  <c r="W83" i="3" s="1"/>
  <c r="W84" i="3" s="1"/>
  <c r="W85" i="3" s="1"/>
  <c r="W93" i="3"/>
  <c r="W86" i="3" s="1"/>
  <c r="X82" i="3"/>
  <c r="X83" i="3" s="1"/>
  <c r="X84" i="3" s="1"/>
  <c r="X85" i="3" s="1"/>
  <c r="X92" i="3"/>
  <c r="X91" i="3" s="1"/>
  <c r="X93" i="3" s="1"/>
  <c r="Y81" i="3"/>
  <c r="Y80" i="3" s="1"/>
  <c r="Y82" i="3" s="1"/>
  <c r="Y92" i="3"/>
  <c r="Y91" i="3" s="1"/>
  <c r="Y93" i="3" s="1"/>
  <c r="V81" i="3"/>
  <c r="V92" i="3"/>
  <c r="R87" i="3"/>
  <c r="S87" i="3"/>
  <c r="T81" i="3"/>
  <c r="T80" i="3" s="1"/>
  <c r="T82" i="3" s="1"/>
  <c r="T83" i="3" s="1"/>
  <c r="T84" i="3" s="1"/>
  <c r="T85" i="3" s="1"/>
  <c r="T92" i="3"/>
  <c r="T91" i="3" s="1"/>
  <c r="T93" i="3" s="1"/>
  <c r="T97" i="3" s="1"/>
  <c r="U81" i="3"/>
  <c r="U80" i="3" s="1"/>
  <c r="U82" i="3" s="1"/>
  <c r="U92" i="3"/>
  <c r="U91" i="3" s="1"/>
  <c r="U93" i="3" s="1"/>
  <c r="R81" i="3"/>
  <c r="R85" i="3"/>
  <c r="R92" i="3"/>
  <c r="S81" i="3"/>
  <c r="S85" i="3"/>
  <c r="S92" i="3"/>
  <c r="P81" i="3"/>
  <c r="P80" i="3" s="1"/>
  <c r="P82" i="3" s="1"/>
  <c r="P92" i="3"/>
  <c r="P91" i="3" s="1"/>
  <c r="P93" i="3" s="1"/>
  <c r="P86" i="3" s="1"/>
  <c r="Q81" i="3"/>
  <c r="Q80" i="3" s="1"/>
  <c r="Q82" i="3" s="1"/>
  <c r="Q92" i="3"/>
  <c r="Q91" i="3" s="1"/>
  <c r="Q93" i="3" s="1"/>
  <c r="Q98" i="3" s="1"/>
  <c r="N81" i="3"/>
  <c r="N80" i="3" s="1"/>
  <c r="N82" i="3" s="1"/>
  <c r="N92" i="3"/>
  <c r="N91" i="3" s="1"/>
  <c r="N93" i="3" s="1"/>
  <c r="N98" i="3" s="1"/>
  <c r="O81" i="3"/>
  <c r="O92" i="3"/>
  <c r="CI63" i="3"/>
  <c r="CJ63" i="3"/>
  <c r="CK63" i="3"/>
  <c r="CH63" i="3"/>
  <c r="CE63" i="3"/>
  <c r="CF63" i="3"/>
  <c r="CG63" i="3"/>
  <c r="CD63" i="3"/>
  <c r="AO21" i="11"/>
  <c r="CA63" i="3"/>
  <c r="CB63" i="3"/>
  <c r="CC63" i="3"/>
  <c r="BZ63" i="3"/>
  <c r="BW64" i="3"/>
  <c r="BX63" i="3"/>
  <c r="BY63" i="3"/>
  <c r="BV63" i="3"/>
  <c r="BS63" i="3"/>
  <c r="BT63" i="3"/>
  <c r="BU63" i="3"/>
  <c r="BR63" i="3"/>
  <c r="BO55" i="3"/>
  <c r="BO56" i="3" s="1"/>
  <c r="BO57" i="3" s="1"/>
  <c r="BN64" i="3"/>
  <c r="BO63" i="3"/>
  <c r="BP63" i="3"/>
  <c r="BQ63" i="3"/>
  <c r="BL63" i="3"/>
  <c r="BM63" i="3"/>
  <c r="BK63" i="3"/>
  <c r="BJ63" i="3"/>
  <c r="BG63" i="3"/>
  <c r="BH63" i="3"/>
  <c r="BI63" i="3"/>
  <c r="BF63" i="3"/>
  <c r="BD63" i="3"/>
  <c r="BE63" i="3"/>
  <c r="BC63" i="3"/>
  <c r="BB63" i="3"/>
  <c r="AY55" i="3"/>
  <c r="AY56" i="3" s="1"/>
  <c r="AY57" i="3" s="1"/>
  <c r="AY63" i="3"/>
  <c r="AZ63" i="3"/>
  <c r="BA63" i="3"/>
  <c r="AX63" i="3"/>
  <c r="AV63" i="3"/>
  <c r="AW63" i="3"/>
  <c r="AT63" i="3"/>
  <c r="AS63" i="3"/>
  <c r="AQ63" i="3"/>
  <c r="AR63" i="3"/>
  <c r="AP63" i="3"/>
  <c r="AM63" i="3"/>
  <c r="AN63" i="3"/>
  <c r="AO63" i="3"/>
  <c r="AL63" i="3"/>
  <c r="AI63" i="3"/>
  <c r="AJ63" i="3"/>
  <c r="AK63" i="3"/>
  <c r="AH63" i="3"/>
  <c r="AF63" i="3"/>
  <c r="AE63" i="3"/>
  <c r="AG63" i="3"/>
  <c r="AD63" i="3"/>
  <c r="AA63" i="3"/>
  <c r="AB63" i="3"/>
  <c r="AC63" i="3"/>
  <c r="Z63" i="3"/>
  <c r="V55" i="3"/>
  <c r="V56" i="3" s="1"/>
  <c r="V57" i="3" s="1"/>
  <c r="W63" i="3"/>
  <c r="X63" i="3"/>
  <c r="Y63" i="3"/>
  <c r="V63" i="3"/>
  <c r="S63" i="3"/>
  <c r="T63" i="3"/>
  <c r="U63" i="3"/>
  <c r="R63" i="3"/>
  <c r="R68" i="3" s="1"/>
  <c r="O64" i="3"/>
  <c r="P63" i="3"/>
  <c r="Q63" i="3"/>
  <c r="N63" i="3"/>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G49" i="2" s="1"/>
  <c r="H48" i="2"/>
  <c r="H49" i="2" s="1"/>
  <c r="I48" i="2"/>
  <c r="I49" i="2" s="1"/>
  <c r="J48" i="2"/>
  <c r="J49" i="2" s="1"/>
  <c r="K48" i="2"/>
  <c r="K49" i="2" s="1"/>
  <c r="L48" i="2"/>
  <c r="L49" i="2" s="1"/>
  <c r="M48" i="2"/>
  <c r="M49" i="2" s="1"/>
  <c r="N48" i="2"/>
  <c r="N49" i="2" s="1"/>
  <c r="O48" i="2"/>
  <c r="P48" i="2"/>
  <c r="P49" i="2" s="1"/>
  <c r="Q48" i="2"/>
  <c r="Q49" i="2" s="1"/>
  <c r="R48" i="2"/>
  <c r="R49" i="2" s="1"/>
  <c r="S48" i="2"/>
  <c r="S49" i="2" s="1"/>
  <c r="T48" i="2"/>
  <c r="U48" i="2"/>
  <c r="V48" i="2"/>
  <c r="V49" i="2" s="1"/>
  <c r="W48" i="2"/>
  <c r="X48" i="2"/>
  <c r="X49" i="2" s="1"/>
  <c r="Y48" i="2"/>
  <c r="Y49" i="2" s="1"/>
  <c r="Z48" i="2"/>
  <c r="Z49" i="2" s="1"/>
  <c r="AA48" i="2"/>
  <c r="AB48" i="2"/>
  <c r="AB49" i="2" s="1"/>
  <c r="AC48" i="2"/>
  <c r="AC49" i="2" s="1"/>
  <c r="AD48" i="2"/>
  <c r="AD49" i="2" s="1"/>
  <c r="AE48" i="2"/>
  <c r="AF48" i="2"/>
  <c r="AG48" i="2"/>
  <c r="AG49" i="2" s="1"/>
  <c r="AH48" i="2"/>
  <c r="AH49" i="2" s="1"/>
  <c r="AI48" i="2"/>
  <c r="AJ48" i="2"/>
  <c r="AK48" i="2"/>
  <c r="AL48" i="2"/>
  <c r="AL49" i="2" s="1"/>
  <c r="AM48" i="2"/>
  <c r="AN48" i="2"/>
  <c r="AN49" i="2" s="1"/>
  <c r="AO48" i="2"/>
  <c r="AO49" i="2" s="1"/>
  <c r="AP48" i="2"/>
  <c r="AP49" i="2" s="1"/>
  <c r="AQ48" i="2"/>
  <c r="AR48" i="2"/>
  <c r="AR49" i="2" s="1"/>
  <c r="AS48" i="2"/>
  <c r="AS49" i="2" s="1"/>
  <c r="O49" i="2"/>
  <c r="T49" i="2"/>
  <c r="U49" i="2"/>
  <c r="W49" i="2"/>
  <c r="AA49" i="2"/>
  <c r="AE49" i="2"/>
  <c r="AF49" i="2"/>
  <c r="AI49" i="2"/>
  <c r="AJ49" i="2"/>
  <c r="AK49" i="2"/>
  <c r="AM49" i="2"/>
  <c r="AQ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K20" i="11"/>
  <c r="AN19" i="11"/>
  <c r="AM19" i="11"/>
  <c r="N20" i="11"/>
  <c r="V19" i="11"/>
  <c r="AA19" i="11"/>
  <c r="M20" i="11"/>
  <c r="AE19" i="11"/>
  <c r="AI19" i="11"/>
  <c r="L20" i="11"/>
  <c r="Q17" i="11" l="1"/>
  <c r="N68" i="3"/>
  <c r="Z68" i="3"/>
  <c r="AD68" i="3"/>
  <c r="AN97" i="3"/>
  <c r="V68" i="3"/>
  <c r="AN86" i="3"/>
  <c r="BU87" i="3"/>
  <c r="O68" i="3"/>
  <c r="O69" i="3" s="1"/>
  <c r="AK86" i="3"/>
  <c r="AE87" i="3"/>
  <c r="AP19" i="11"/>
  <c r="AK19" i="11"/>
  <c r="AD19" i="11"/>
  <c r="Y19" i="11"/>
  <c r="AL19" i="11"/>
  <c r="AG19" i="11"/>
  <c r="J19" i="11"/>
  <c r="Z19" i="11"/>
  <c r="U19" i="11"/>
  <c r="AQ19" i="11"/>
  <c r="AR19" i="11"/>
  <c r="AH19" i="11"/>
  <c r="I19" i="11"/>
  <c r="AJ19" i="11"/>
  <c r="AF19" i="11"/>
  <c r="S19" i="11"/>
  <c r="AB19" i="11"/>
  <c r="X19" i="11"/>
  <c r="AC19" i="11"/>
  <c r="W19" i="11"/>
  <c r="T19" i="11"/>
  <c r="R24" i="9" l="1"/>
  <c r="S24" i="9" s="1"/>
  <c r="P68" i="3"/>
  <c r="P69" i="3" s="1"/>
  <c r="AJ87" i="3"/>
  <c r="AH68" i="3"/>
  <c r="AH69" i="3" s="1"/>
  <c r="AK68" i="3"/>
  <c r="AK69" i="3" s="1"/>
  <c r="AG29" i="11"/>
  <c r="AJ68" i="3"/>
  <c r="AJ69" i="3" s="1"/>
  <c r="Q68" i="3"/>
  <c r="Q69" i="3" s="1"/>
  <c r="AN87" i="3"/>
  <c r="CF87" i="3"/>
  <c r="BX87" i="3"/>
  <c r="AI68" i="3"/>
  <c r="AI69" i="3" s="1"/>
  <c r="Z87" i="3"/>
  <c r="V120" i="3"/>
  <c r="V121" i="3" s="1"/>
  <c r="AC29" i="11"/>
  <c r="AK87" i="3"/>
  <c r="AI87" i="3"/>
  <c r="AF29" i="11"/>
  <c r="AG105" i="3"/>
  <c r="AE29" i="11"/>
  <c r="AF105" i="3"/>
  <c r="Q83" i="3"/>
  <c r="Q84" i="3" s="1"/>
  <c r="Q85" i="3" s="1"/>
  <c r="Q87" i="3"/>
  <c r="N83" i="3"/>
  <c r="N84" i="3" s="1"/>
  <c r="N85" i="3" s="1"/>
  <c r="N87" i="3"/>
  <c r="AB29" i="11"/>
  <c r="AH105" i="3"/>
  <c r="W29" i="11"/>
  <c r="AA29" i="11"/>
  <c r="AA94" i="3"/>
  <c r="AA95" i="3" s="1"/>
  <c r="AA96" i="3" s="1"/>
  <c r="AA98" i="3"/>
  <c r="AA97" i="3"/>
  <c r="Y29" i="11"/>
  <c r="X29" i="11"/>
  <c r="AK98" i="3"/>
  <c r="U94" i="3"/>
  <c r="U95" i="3" s="1"/>
  <c r="U96" i="3" s="1"/>
  <c r="U98" i="3"/>
  <c r="U86" i="3"/>
  <c r="U97" i="3"/>
  <c r="T94" i="3"/>
  <c r="T95" i="3" s="1"/>
  <c r="T96" i="3" s="1"/>
  <c r="T98" i="3"/>
  <c r="T86" i="3"/>
  <c r="T87" i="3"/>
  <c r="AH83" i="3"/>
  <c r="AH84" i="3" s="1"/>
  <c r="AH85" i="3" s="1"/>
  <c r="AH87" i="3"/>
  <c r="AI29" i="11"/>
  <c r="AJ105" i="3"/>
  <c r="AI105" i="3"/>
  <c r="AH86" i="3"/>
  <c r="AH97" i="3"/>
  <c r="AH94" i="3"/>
  <c r="AH95" i="3" s="1"/>
  <c r="AH96" i="3" s="1"/>
  <c r="AH112" i="3"/>
  <c r="AH120" i="3"/>
  <c r="AK94" i="3"/>
  <c r="AK95" i="3" s="1"/>
  <c r="AK96" i="3" s="1"/>
  <c r="AI94" i="3"/>
  <c r="AI95" i="3" s="1"/>
  <c r="AI96" i="3" s="1"/>
  <c r="AI86" i="3"/>
  <c r="U87" i="3"/>
  <c r="U83" i="3"/>
  <c r="U84" i="3" s="1"/>
  <c r="U85" i="3" s="1"/>
  <c r="AD105" i="3"/>
  <c r="AD69" i="3"/>
  <c r="AG83" i="3"/>
  <c r="AG84" i="3" s="1"/>
  <c r="AG85" i="3" s="1"/>
  <c r="AG87" i="3"/>
  <c r="AF56" i="3"/>
  <c r="AF57" i="3" s="1"/>
  <c r="AF58" i="3"/>
  <c r="AG56" i="3"/>
  <c r="AG57" i="3" s="1"/>
  <c r="AG58" i="3" s="1"/>
  <c r="AG94" i="3"/>
  <c r="AG95" i="3" s="1"/>
  <c r="AG96" i="3" s="1"/>
  <c r="AF87" i="3"/>
  <c r="AG98" i="3"/>
  <c r="AG97" i="3"/>
  <c r="AD112" i="3"/>
  <c r="AD120" i="3"/>
  <c r="N14" i="9" s="1"/>
  <c r="O14" i="9" s="1"/>
  <c r="Z105" i="3"/>
  <c r="AC86" i="3"/>
  <c r="AC98" i="3"/>
  <c r="AC97" i="3"/>
  <c r="AC94" i="3"/>
  <c r="AC95" i="3" s="1"/>
  <c r="AC96" i="3" s="1"/>
  <c r="AC83" i="3"/>
  <c r="AC84" i="3" s="1"/>
  <c r="AC85" i="3" s="1"/>
  <c r="AC87" i="3"/>
  <c r="AB87" i="3"/>
  <c r="AB94" i="3"/>
  <c r="AB95" i="3" s="1"/>
  <c r="AB96" i="3" s="1"/>
  <c r="AB86" i="3"/>
  <c r="AB58" i="3"/>
  <c r="AB97" i="3"/>
  <c r="Z69" i="3"/>
  <c r="AC58" i="3"/>
  <c r="Z120" i="3"/>
  <c r="Y97" i="3"/>
  <c r="Y98" i="3"/>
  <c r="V98" i="3"/>
  <c r="V97" i="3"/>
  <c r="Y83" i="3"/>
  <c r="Y84" i="3" s="1"/>
  <c r="Y85" i="3" s="1"/>
  <c r="Y87" i="3"/>
  <c r="X98" i="3"/>
  <c r="X86" i="3"/>
  <c r="X97" i="3"/>
  <c r="X94" i="3"/>
  <c r="X95" i="3" s="1"/>
  <c r="X96" i="3" s="1"/>
  <c r="Y56" i="3"/>
  <c r="Y57" i="3" s="1"/>
  <c r="Y58" i="3" s="1"/>
  <c r="V69" i="3"/>
  <c r="X58" i="3"/>
  <c r="V86" i="3"/>
  <c r="K31" i="11"/>
  <c r="K46" i="11" s="1"/>
  <c r="Y94" i="3"/>
  <c r="Y95" i="3" s="1"/>
  <c r="Y96" i="3" s="1"/>
  <c r="Y86" i="3"/>
  <c r="R94" i="3"/>
  <c r="R95" i="3" s="1"/>
  <c r="R96" i="3" s="1"/>
  <c r="R97" i="3"/>
  <c r="R98" i="3"/>
  <c r="O83" i="3"/>
  <c r="O84" i="3" s="1"/>
  <c r="O85" i="3" s="1"/>
  <c r="R105" i="3"/>
  <c r="U56" i="3"/>
  <c r="U57" i="3" s="1"/>
  <c r="U58" i="3" s="1"/>
  <c r="R69" i="3"/>
  <c r="T56" i="3"/>
  <c r="T57" i="3" s="1"/>
  <c r="T58" i="3" s="1"/>
  <c r="S94" i="3"/>
  <c r="S95" i="3" s="1"/>
  <c r="S96" i="3" s="1"/>
  <c r="S86" i="3"/>
  <c r="S97" i="3"/>
  <c r="R120" i="3"/>
  <c r="R121" i="3" s="1"/>
  <c r="O94" i="3"/>
  <c r="O95" i="3" s="1"/>
  <c r="O96" i="3" s="1"/>
  <c r="O97" i="3"/>
  <c r="O86" i="3"/>
  <c r="N86" i="3"/>
  <c r="N120" i="3"/>
  <c r="N121" i="3" s="1"/>
  <c r="Q86" i="3"/>
  <c r="Q94" i="3"/>
  <c r="Q95" i="3" s="1"/>
  <c r="Q96" i="3" s="1"/>
  <c r="Q97" i="3"/>
  <c r="N94" i="3"/>
  <c r="N95" i="3" s="1"/>
  <c r="N96" i="3" s="1"/>
  <c r="N97" i="3"/>
  <c r="P105" i="3"/>
  <c r="O29" i="11"/>
  <c r="M29" i="11"/>
  <c r="N105" i="3"/>
  <c r="P83" i="3"/>
  <c r="P84" i="3" s="1"/>
  <c r="P85" i="3" s="1"/>
  <c r="P87" i="3"/>
  <c r="N29" i="11"/>
  <c r="O105" i="3"/>
  <c r="N69" i="3"/>
  <c r="P94" i="3"/>
  <c r="P95" i="3" s="1"/>
  <c r="P96" i="3" s="1"/>
  <c r="P97" i="3"/>
  <c r="P98" i="3"/>
  <c r="Q105" i="3"/>
  <c r="P29" i="11"/>
  <c r="Y21" i="11"/>
  <c r="AK21" i="11"/>
  <c r="AI21" i="11"/>
  <c r="U21" i="11"/>
  <c r="AL21" i="11"/>
  <c r="T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7" i="3"/>
  <c r="CB97" i="3"/>
  <c r="CB98" i="3"/>
  <c r="CB94" i="3"/>
  <c r="CB95" i="3" s="1"/>
  <c r="CB96" i="3" s="1"/>
  <c r="BT98" i="3"/>
  <c r="BT97" i="3"/>
  <c r="BT94" i="3"/>
  <c r="BT95" i="3" s="1"/>
  <c r="BT96" i="3" s="1"/>
  <c r="BT86" i="3"/>
  <c r="BL87" i="3"/>
  <c r="AZ97" i="3"/>
  <c r="AZ94" i="3"/>
  <c r="AZ95" i="3" s="1"/>
  <c r="AZ96" i="3" s="1"/>
  <c r="AZ98" i="3"/>
  <c r="AV98" i="3"/>
  <c r="AV97" i="3"/>
  <c r="AV94" i="3"/>
  <c r="AV95" i="3" s="1"/>
  <c r="AV96" i="3" s="1"/>
  <c r="AV87" i="3"/>
  <c r="AR87" i="3"/>
  <c r="AJ97" i="3"/>
  <c r="AJ98" i="3"/>
  <c r="AJ94" i="3"/>
  <c r="AJ95" i="3" s="1"/>
  <c r="AJ96" i="3" s="1"/>
  <c r="AJ86" i="3"/>
  <c r="AF98" i="3"/>
  <c r="AF97" i="3"/>
  <c r="AF94" i="3"/>
  <c r="AF95" i="3" s="1"/>
  <c r="AF96" i="3" s="1"/>
  <c r="AF86" i="3"/>
  <c r="W98" i="3"/>
  <c r="W97" i="3"/>
  <c r="W94" i="3"/>
  <c r="W95" i="3" s="1"/>
  <c r="W96" i="3"/>
  <c r="X87" i="3"/>
  <c r="W87" i="3"/>
  <c r="AS38" i="11"/>
  <c r="AQ38" i="11"/>
  <c r="AO38" i="11"/>
  <c r="AM38" i="11"/>
  <c r="AK38" i="11"/>
  <c r="AI38" i="11"/>
  <c r="AG38" i="11"/>
  <c r="AE38" i="11"/>
  <c r="AC38" i="11"/>
  <c r="AA38" i="11"/>
  <c r="Y38" i="11"/>
  <c r="W38" i="11"/>
  <c r="U38" i="11"/>
  <c r="S38" i="11"/>
  <c r="Q38" i="11"/>
  <c r="O38" i="11"/>
  <c r="M38" i="11"/>
  <c r="K38" i="11"/>
  <c r="I38" i="11"/>
  <c r="G38" i="11"/>
  <c r="M78" i="3"/>
  <c r="J78" i="3"/>
  <c r="E78" i="3"/>
  <c r="H17" i="3"/>
  <c r="H78" i="3" s="1"/>
  <c r="M110" i="3"/>
  <c r="L110" i="3"/>
  <c r="K110" i="3"/>
  <c r="J110" i="3"/>
  <c r="M107" i="3"/>
  <c r="L107" i="3"/>
  <c r="K107" i="3"/>
  <c r="J107" i="3"/>
  <c r="M106" i="3"/>
  <c r="L106" i="3"/>
  <c r="K106" i="3"/>
  <c r="K108" i="3" s="1"/>
  <c r="K109" i="3" s="1"/>
  <c r="J106" i="3"/>
  <c r="M105" i="3"/>
  <c r="L105" i="3"/>
  <c r="M101" i="3"/>
  <c r="L101" i="3"/>
  <c r="K101" i="3"/>
  <c r="J101" i="3"/>
  <c r="M100" i="3"/>
  <c r="L100" i="3"/>
  <c r="K100" i="3"/>
  <c r="J100" i="3"/>
  <c r="J102" i="3" s="1"/>
  <c r="K91" i="3"/>
  <c r="J91" i="3"/>
  <c r="M90" i="3"/>
  <c r="L90" i="3"/>
  <c r="K90" i="3"/>
  <c r="J90" i="3"/>
  <c r="K80" i="3"/>
  <c r="J80" i="3"/>
  <c r="M77" i="3"/>
  <c r="L77" i="3"/>
  <c r="K77" i="3"/>
  <c r="J77" i="3"/>
  <c r="M72" i="3"/>
  <c r="M74" i="3" s="1"/>
  <c r="M75" i="3" s="1"/>
  <c r="L72" i="3"/>
  <c r="L74" i="3" s="1"/>
  <c r="L75" i="3" s="1"/>
  <c r="K72" i="3"/>
  <c r="K74" i="3" s="1"/>
  <c r="K75" i="3" s="1"/>
  <c r="J72" i="3"/>
  <c r="J74" i="3" s="1"/>
  <c r="J75" i="3" s="1"/>
  <c r="E105" i="3"/>
  <c r="I77" i="3"/>
  <c r="H77" i="3"/>
  <c r="G80" i="3"/>
  <c r="G77" i="3"/>
  <c r="F80" i="3"/>
  <c r="F77" i="3"/>
  <c r="E77" i="3"/>
  <c r="F91" i="3"/>
  <c r="E90" i="3"/>
  <c r="F65" i="3"/>
  <c r="F62" i="3"/>
  <c r="F64" i="3" s="1"/>
  <c r="F61" i="3"/>
  <c r="F59" i="3"/>
  <c r="F58" i="3"/>
  <c r="G91" i="3"/>
  <c r="I78" i="3"/>
  <c r="I110" i="3"/>
  <c r="I107" i="3"/>
  <c r="I106" i="3"/>
  <c r="I101" i="3"/>
  <c r="I100" i="3"/>
  <c r="I90" i="3"/>
  <c r="I72" i="3"/>
  <c r="I74" i="3" s="1"/>
  <c r="I75" i="3" s="1"/>
  <c r="H110" i="3"/>
  <c r="H107" i="3"/>
  <c r="H106" i="3"/>
  <c r="H101" i="3"/>
  <c r="H100" i="3"/>
  <c r="H90" i="3"/>
  <c r="H72" i="3"/>
  <c r="H74" i="3" s="1"/>
  <c r="H75" i="3" s="1"/>
  <c r="G110" i="3"/>
  <c r="G107" i="3"/>
  <c r="G106" i="3"/>
  <c r="G101" i="3"/>
  <c r="G100" i="3"/>
  <c r="G90" i="3"/>
  <c r="G72" i="3"/>
  <c r="G74" i="3" s="1"/>
  <c r="G75" i="3" s="1"/>
  <c r="E72" i="3"/>
  <c r="E74" i="3" s="1"/>
  <c r="E75" i="3" s="1"/>
  <c r="F72" i="3"/>
  <c r="F74" i="3" s="1"/>
  <c r="F75" i="3" s="1"/>
  <c r="F101" i="3"/>
  <c r="F100" i="3"/>
  <c r="F90"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2" i="9"/>
  <c r="O12"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97" i="2"/>
  <c r="T98" i="2" s="1"/>
  <c r="V97" i="2"/>
  <c r="V98" i="2" s="1"/>
  <c r="X97" i="2"/>
  <c r="X98" i="2" s="1"/>
  <c r="Z97" i="2"/>
  <c r="I18" i="9" s="1"/>
  <c r="J18" i="9" s="1"/>
  <c r="AB97" i="2"/>
  <c r="I19" i="9" s="1"/>
  <c r="J19" i="9" s="1"/>
  <c r="AD97" i="2"/>
  <c r="AD98" i="2" s="1"/>
  <c r="AF97" i="2"/>
  <c r="AF98" i="2" s="1"/>
  <c r="AH97" i="2"/>
  <c r="AH98" i="2" s="1"/>
  <c r="AJ97" i="2"/>
  <c r="AJ98" i="2" s="1"/>
  <c r="AL97" i="2"/>
  <c r="AL98" i="2" s="1"/>
  <c r="AN97" i="2"/>
  <c r="I25" i="9" s="1"/>
  <c r="J25" i="9" s="1"/>
  <c r="AP97" i="2"/>
  <c r="AP98" i="2" s="1"/>
  <c r="AR97" i="2"/>
  <c r="AR98" i="2" s="1"/>
  <c r="Z98" i="2"/>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I22" i="9"/>
  <c r="J22" i="9" s="1"/>
  <c r="E15" i="9"/>
  <c r="F15" i="9" s="1"/>
  <c r="E101" i="3"/>
  <c r="E100" i="3"/>
  <c r="K58" i="3"/>
  <c r="E51" i="3"/>
  <c r="E88" i="3" a="1"/>
  <c r="J104" i="2"/>
  <c r="M88" i="3" a="1"/>
  <c r="N117" i="3" l="1"/>
  <c r="E88" i="3"/>
  <c r="M88" i="3"/>
  <c r="F66" i="3"/>
  <c r="E17" i="11" s="1"/>
  <c r="AH117" i="3"/>
  <c r="L15" i="9" s="1"/>
  <c r="M15" i="9" s="1"/>
  <c r="P56" i="2" l="1"/>
  <c r="O15" i="11" s="1"/>
  <c r="R56" i="2"/>
  <c r="Q15" i="11" s="1"/>
  <c r="I23" i="9"/>
  <c r="J23" i="9" s="1"/>
  <c r="Q56" i="2"/>
  <c r="P15" i="11" s="1"/>
  <c r="S56" i="2"/>
  <c r="R15" i="11" s="1"/>
  <c r="G22" i="9"/>
  <c r="H22" i="9" s="1"/>
  <c r="M102" i="3"/>
  <c r="M103" i="3" s="1"/>
  <c r="L29" i="11" s="1"/>
  <c r="L102" i="3"/>
  <c r="L103" i="3" s="1"/>
  <c r="K29" i="11" s="1"/>
  <c r="AH121" i="3"/>
  <c r="Q31" i="11"/>
  <c r="Q46" i="11" s="1"/>
  <c r="AH118" i="3"/>
  <c r="S23" i="11"/>
  <c r="S41" i="11" s="1"/>
  <c r="AG67" i="3"/>
  <c r="AG68" i="3" s="1"/>
  <c r="AG69" i="3" s="1"/>
  <c r="R18" i="11"/>
  <c r="AF67" i="3"/>
  <c r="AF68" i="3" s="1"/>
  <c r="Q18" i="11"/>
  <c r="AD121" i="3"/>
  <c r="O31" i="11"/>
  <c r="O46" i="11" s="1"/>
  <c r="AB67" i="3"/>
  <c r="AB68" i="3" s="1"/>
  <c r="O18" i="11"/>
  <c r="AC67" i="3"/>
  <c r="AC68" i="3" s="1"/>
  <c r="AC69" i="3" s="1"/>
  <c r="P18" i="11"/>
  <c r="Z121" i="3"/>
  <c r="M31" i="11"/>
  <c r="M46" i="11" s="1"/>
  <c r="N13" i="9"/>
  <c r="O13" i="9" s="1"/>
  <c r="Y67" i="3"/>
  <c r="Y68" i="3" s="1"/>
  <c r="Y69" i="3" s="1"/>
  <c r="N18" i="11"/>
  <c r="X67" i="3"/>
  <c r="X68" i="3" s="1"/>
  <c r="M18" i="11"/>
  <c r="V105" i="3"/>
  <c r="N11" i="9"/>
  <c r="O11" i="9" s="1"/>
  <c r="J108" i="3"/>
  <c r="J109" i="3" s="1"/>
  <c r="J111" i="3" s="1"/>
  <c r="J112" i="3" s="1"/>
  <c r="T67" i="3"/>
  <c r="T68" i="3" s="1"/>
  <c r="K18" i="11"/>
  <c r="U67" i="3"/>
  <c r="U68" i="3" s="1"/>
  <c r="U69" i="3" s="1"/>
  <c r="L18" i="11"/>
  <c r="I31" i="11"/>
  <c r="I46" i="11" s="1"/>
  <c r="N118" i="3"/>
  <c r="I23" i="11"/>
  <c r="I41" i="11" s="1"/>
  <c r="L108" i="3"/>
  <c r="L109" i="3" s="1"/>
  <c r="L111" i="3" s="1"/>
  <c r="L112" i="3" s="1"/>
  <c r="M108" i="3"/>
  <c r="M109" i="3" s="1"/>
  <c r="M111" i="3" s="1"/>
  <c r="M112" i="3" s="1"/>
  <c r="J103" i="3"/>
  <c r="I29" i="11" s="1"/>
  <c r="K102" i="3"/>
  <c r="K103" i="3" s="1"/>
  <c r="J29" i="11" s="1"/>
  <c r="J82" i="3"/>
  <c r="J83" i="3" s="1"/>
  <c r="J84" i="3" s="1"/>
  <c r="J93" i="3"/>
  <c r="J86" i="3" s="1"/>
  <c r="K93" i="3"/>
  <c r="AM43" i="11"/>
  <c r="P25" i="9"/>
  <c r="Q25" i="9" s="1"/>
  <c r="AC43" i="11"/>
  <c r="P20" i="9"/>
  <c r="Q20" i="9" s="1"/>
  <c r="AI43" i="11"/>
  <c r="P23" i="9"/>
  <c r="Q23" i="9" s="1"/>
  <c r="U43" i="11"/>
  <c r="P16" i="9"/>
  <c r="Q16" i="9" s="1"/>
  <c r="W43" i="11"/>
  <c r="P17" i="9"/>
  <c r="Q17" i="9" s="1"/>
  <c r="S43" i="11"/>
  <c r="P15" i="9"/>
  <c r="Q15" i="9" s="1"/>
  <c r="F102" i="3"/>
  <c r="F103" i="3" s="1"/>
  <c r="G108" i="3"/>
  <c r="G109" i="3" s="1"/>
  <c r="I102" i="3"/>
  <c r="I103" i="3" s="1"/>
  <c r="F67" i="3"/>
  <c r="K111" i="3"/>
  <c r="K112" i="3" s="1"/>
  <c r="K82" i="3"/>
  <c r="M81" i="3"/>
  <c r="M80" i="3" s="1"/>
  <c r="M82" i="3" s="1"/>
  <c r="M83" i="3" s="1"/>
  <c r="M84" i="3" s="1"/>
  <c r="J81" i="3"/>
  <c r="G82" i="3"/>
  <c r="E81" i="3"/>
  <c r="E82" i="3" s="1"/>
  <c r="E92" i="3"/>
  <c r="E91" i="3" s="1"/>
  <c r="E93" i="3" s="1"/>
  <c r="E86" i="3" s="1"/>
  <c r="G111" i="3"/>
  <c r="F82" i="3"/>
  <c r="H102" i="3"/>
  <c r="H103" i="3" s="1"/>
  <c r="F63" i="3"/>
  <c r="E102" i="3"/>
  <c r="E103" i="3" s="1"/>
  <c r="G102" i="3"/>
  <c r="G103" i="3" s="1"/>
  <c r="N10" i="9"/>
  <c r="O10" i="9" s="1"/>
  <c r="H108" i="3"/>
  <c r="H109" i="3" s="1"/>
  <c r="H111" i="3" s="1"/>
  <c r="H112" i="3" s="1"/>
  <c r="I108" i="3"/>
  <c r="I109" i="3" s="1"/>
  <c r="I111" i="3" s="1"/>
  <c r="I112" i="3" s="1"/>
  <c r="L10" i="9"/>
  <c r="M10" i="9" s="1"/>
  <c r="G17" i="9"/>
  <c r="H17" i="9" s="1"/>
  <c r="AB92" i="2"/>
  <c r="E24" i="9"/>
  <c r="F24" i="9" s="1"/>
  <c r="I27" i="9"/>
  <c r="J27" i="9" s="1"/>
  <c r="AB98" i="2"/>
  <c r="G23" i="9"/>
  <c r="H23" i="9" s="1"/>
  <c r="E26" i="9"/>
  <c r="F26" i="9" s="1"/>
  <c r="G27" i="9"/>
  <c r="H27" i="9" s="1"/>
  <c r="I15" i="9"/>
  <c r="J15" i="9" s="1"/>
  <c r="Z92" i="2"/>
  <c r="G16" i="9"/>
  <c r="H16" i="9" s="1"/>
  <c r="AL95" i="2"/>
  <c r="E27" i="9"/>
  <c r="F27" i="9" s="1"/>
  <c r="AN92" i="2"/>
  <c r="G20" i="9"/>
  <c r="H20" i="9" s="1"/>
  <c r="AJ92" i="2"/>
  <c r="I26" i="9"/>
  <c r="J26" i="9" s="1"/>
  <c r="X92" i="2"/>
  <c r="I21" i="9"/>
  <c r="J21" i="9" s="1"/>
  <c r="K35" i="9"/>
  <c r="K36" i="9" s="1"/>
  <c r="K37" i="9"/>
  <c r="K38" i="9" s="1"/>
  <c r="I40" i="9"/>
  <c r="K40" i="9" s="1"/>
  <c r="I17" i="9"/>
  <c r="J17" i="9" s="1"/>
  <c r="AN98" i="2"/>
  <c r="AN95" i="2"/>
  <c r="AF95" i="2"/>
  <c r="E16" i="9"/>
  <c r="F16" i="9" s="1"/>
  <c r="I16" i="9"/>
  <c r="J16" i="9" s="1"/>
  <c r="I20" i="9"/>
  <c r="J20" i="9" s="1"/>
  <c r="I24" i="9"/>
  <c r="J24" i="9" s="1"/>
  <c r="G15" i="9"/>
  <c r="H15" i="9" s="1"/>
  <c r="G19" i="9"/>
  <c r="H19" i="9" s="1"/>
  <c r="G26" i="9"/>
  <c r="H26" i="9" s="1"/>
  <c r="E22" i="9"/>
  <c r="F22" i="9" s="1"/>
  <c r="E21" i="9"/>
  <c r="F21" i="9" s="1"/>
  <c r="E20" i="9"/>
  <c r="F20" i="9" s="1"/>
  <c r="M19" i="11"/>
  <c r="R19" i="11"/>
  <c r="P19" i="11"/>
  <c r="Q20" i="11"/>
  <c r="O19" i="11"/>
  <c r="K19" i="11"/>
  <c r="P20" i="11"/>
  <c r="Q19" i="11"/>
  <c r="O20" i="11"/>
  <c r="L19" i="11"/>
  <c r="N19" i="11"/>
  <c r="R20" i="11"/>
  <c r="AD117" i="3" l="1"/>
  <c r="R21" i="11"/>
  <c r="Q21" i="11"/>
  <c r="AF69" i="3"/>
  <c r="P21" i="11"/>
  <c r="O21" i="11"/>
  <c r="AB69" i="3"/>
  <c r="Z117" i="3"/>
  <c r="M21" i="11"/>
  <c r="N21" i="11"/>
  <c r="X69" i="3"/>
  <c r="V117" i="3"/>
  <c r="K21" i="11"/>
  <c r="L21" i="11"/>
  <c r="T69" i="3"/>
  <c r="R117" i="3"/>
  <c r="J87" i="3"/>
  <c r="M87" i="3"/>
  <c r="I105" i="3"/>
  <c r="H29" i="11"/>
  <c r="H105" i="3"/>
  <c r="G29" i="11"/>
  <c r="G105" i="3"/>
  <c r="F29" i="11"/>
  <c r="E29" i="11"/>
  <c r="AE43" i="11"/>
  <c r="P21" i="9"/>
  <c r="Q21" i="9" s="1"/>
  <c r="E87" i="3"/>
  <c r="E83" i="3"/>
  <c r="E84" i="3" s="1"/>
  <c r="E85" i="3" s="1"/>
  <c r="E94" i="3"/>
  <c r="J120" i="3"/>
  <c r="F93" i="3"/>
  <c r="G93" i="3"/>
  <c r="G112" i="3"/>
  <c r="E110" i="3"/>
  <c r="E59" i="3"/>
  <c r="G59" i="3"/>
  <c r="H59" i="3"/>
  <c r="I59" i="3"/>
  <c r="K59" i="3"/>
  <c r="J59" i="3"/>
  <c r="AD118" i="3" l="1"/>
  <c r="Q23" i="11"/>
  <c r="Q41" i="11" s="1"/>
  <c r="L14" i="9"/>
  <c r="M14" i="9" s="1"/>
  <c r="Z118" i="3"/>
  <c r="O23" i="11"/>
  <c r="O41" i="11" s="1"/>
  <c r="L13" i="9"/>
  <c r="M13" i="9" s="1"/>
  <c r="V118" i="3"/>
  <c r="M23" i="11"/>
  <c r="M41" i="11" s="1"/>
  <c r="N25" i="11" s="1"/>
  <c r="L12" i="9"/>
  <c r="M12" i="9" s="1"/>
  <c r="R118" i="3"/>
  <c r="K23" i="11"/>
  <c r="K41" i="11" s="1"/>
  <c r="L25" i="11" s="1"/>
  <c r="L11" i="9"/>
  <c r="M11" i="9" s="1"/>
  <c r="J121" i="3"/>
  <c r="G31" i="11"/>
  <c r="G46" i="11" s="1"/>
  <c r="N9" i="9"/>
  <c r="O9" i="9" s="1"/>
  <c r="E97" i="3"/>
  <c r="E98" i="3"/>
  <c r="E95" i="3"/>
  <c r="E96" i="3" s="1"/>
  <c r="L78" i="3"/>
  <c r="M52" i="3"/>
  <c r="L52" i="3"/>
  <c r="J67" i="3"/>
  <c r="K78" i="3"/>
  <c r="M62" i="3"/>
  <c r="M63" i="3" s="1"/>
  <c r="L62" i="3"/>
  <c r="L63" i="3" s="1"/>
  <c r="K62" i="3"/>
  <c r="K63" i="3" s="1"/>
  <c r="J62" i="3"/>
  <c r="J63" i="3" s="1"/>
  <c r="M61" i="3"/>
  <c r="L61" i="3"/>
  <c r="K61" i="3"/>
  <c r="J61" i="3"/>
  <c r="J51" i="3"/>
  <c r="J58" i="3"/>
  <c r="K52" i="3"/>
  <c r="J52" i="3"/>
  <c r="I58" i="3"/>
  <c r="H58" i="3"/>
  <c r="G58" i="3"/>
  <c r="E58" i="3"/>
  <c r="E52" i="3"/>
  <c r="F60" i="3"/>
  <c r="F52" i="3"/>
  <c r="I65" i="3"/>
  <c r="I66" i="3" s="1"/>
  <c r="H65" i="3"/>
  <c r="G65" i="3"/>
  <c r="J65" i="3"/>
  <c r="E61" i="3"/>
  <c r="E62" i="3"/>
  <c r="E64" i="3" s="1"/>
  <c r="E65" i="3"/>
  <c r="I52" i="3"/>
  <c r="G52" i="3"/>
  <c r="H52" i="3"/>
  <c r="G61" i="3"/>
  <c r="G62" i="3"/>
  <c r="G64" i="3" s="1"/>
  <c r="K65" i="3"/>
  <c r="L65" i="3"/>
  <c r="M65" i="3"/>
  <c r="H61" i="3"/>
  <c r="H62" i="3"/>
  <c r="H64" i="3" s="1"/>
  <c r="I61" i="3"/>
  <c r="I62" i="3"/>
  <c r="I63" i="3" s="1"/>
  <c r="E9" i="11"/>
  <c r="J70" i="3"/>
  <c r="G9" i="11" s="1"/>
  <c r="E57" i="2"/>
  <c r="F110" i="3"/>
  <c r="F106" i="3"/>
  <c r="F107" i="3"/>
  <c r="F66" i="2"/>
  <c r="F65" i="2"/>
  <c r="G63" i="2"/>
  <c r="G64" i="2" s="1"/>
  <c r="G66" i="2"/>
  <c r="G65" i="2"/>
  <c r="CL115" i="3"/>
  <c r="F113" i="3"/>
  <c r="E68" i="2"/>
  <c r="AS68" i="2"/>
  <c r="AR68" i="2"/>
  <c r="AQ68" i="2"/>
  <c r="AP68" i="2"/>
  <c r="AP69" i="2" s="1"/>
  <c r="AP70" i="2" s="1"/>
  <c r="AO68" i="2"/>
  <c r="AN68" i="2"/>
  <c r="AM68" i="2"/>
  <c r="AL68" i="2"/>
  <c r="AK68" i="2"/>
  <c r="AJ68" i="2"/>
  <c r="AI68" i="2"/>
  <c r="AH68" i="2"/>
  <c r="AH71" i="2" s="1"/>
  <c r="AG68" i="2"/>
  <c r="AF68" i="2"/>
  <c r="AE68" i="2"/>
  <c r="AD68" i="2"/>
  <c r="AC68" i="2"/>
  <c r="AB68" i="2"/>
  <c r="AA68" i="2"/>
  <c r="Z68" i="2"/>
  <c r="Y68" i="2"/>
  <c r="X68" i="2"/>
  <c r="W68" i="2"/>
  <c r="V68" i="2"/>
  <c r="V71" i="2" s="1"/>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6" i="3"/>
  <c r="E107" i="3"/>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N71" i="2"/>
  <c r="AB71" i="2"/>
  <c r="AB69" i="2"/>
  <c r="AB70" i="2" s="1"/>
  <c r="G60" i="2"/>
  <c r="H77" i="2"/>
  <c r="H78" i="2" s="1"/>
  <c r="H83" i="2"/>
  <c r="H79" i="2"/>
  <c r="H81" i="2"/>
  <c r="H80" i="2"/>
  <c r="H66" i="2"/>
  <c r="H65" i="2"/>
  <c r="H60"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5" i="3"/>
  <c r="F115" i="3"/>
  <c r="AT89" i="2"/>
  <c r="AL89" i="2"/>
  <c r="AN89" i="2"/>
  <c r="AP89" i="2"/>
  <c r="AR89" i="2"/>
  <c r="AF89" i="2"/>
  <c r="AH89" i="2"/>
  <c r="AJ89" i="2"/>
  <c r="X89" i="2"/>
  <c r="Z89" i="2"/>
  <c r="AB89" i="2"/>
  <c r="AD89" i="2"/>
  <c r="T89" i="2"/>
  <c r="V89" i="2"/>
  <c r="L89" i="2"/>
  <c r="N89" i="2"/>
  <c r="P89" i="2"/>
  <c r="R89" i="2"/>
  <c r="H89" i="2"/>
  <c r="J89" i="2"/>
  <c r="F89" i="2"/>
  <c r="L88" i="3" a="1"/>
  <c r="L88" i="3" l="1"/>
  <c r="G66" i="3"/>
  <c r="F17" i="11" s="1"/>
  <c r="H66" i="3"/>
  <c r="F56" i="2" s="1"/>
  <c r="E15" i="11" s="1"/>
  <c r="L85" i="3"/>
  <c r="U75" i="2"/>
  <c r="T30" i="11"/>
  <c r="T32" i="11" s="1"/>
  <c r="T33" i="11" s="1"/>
  <c r="AO75" i="2"/>
  <c r="AN30" i="11"/>
  <c r="AN32" i="11" s="1"/>
  <c r="AN33" i="11" s="1"/>
  <c r="AQ87" i="2"/>
  <c r="AP35" i="11"/>
  <c r="AP36" i="11" s="1"/>
  <c r="Y75" i="2"/>
  <c r="X30" i="11"/>
  <c r="X32" i="11" s="1"/>
  <c r="X33" i="11" s="1"/>
  <c r="AG75" i="2"/>
  <c r="AF30" i="11"/>
  <c r="AF32" i="11" s="1"/>
  <c r="AF33" i="11" s="1"/>
  <c r="AS75" i="2"/>
  <c r="AR30" i="11"/>
  <c r="AR32" i="11" s="1"/>
  <c r="AR33" i="11" s="1"/>
  <c r="AA87" i="2"/>
  <c r="Z35" i="11"/>
  <c r="Z36" i="11" s="1"/>
  <c r="AI87" i="2"/>
  <c r="AH35" i="11"/>
  <c r="AH36"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V87" i="2"/>
  <c r="U35" i="11"/>
  <c r="U36" i="11" s="1"/>
  <c r="Z87" i="2"/>
  <c r="Y35" i="11"/>
  <c r="Y36" i="11" s="1"/>
  <c r="AD87" i="2"/>
  <c r="AC35" i="11"/>
  <c r="AC36" i="11" s="1"/>
  <c r="AH87" i="2"/>
  <c r="AG35" i="11"/>
  <c r="AG36" i="11" s="1"/>
  <c r="AL87" i="2"/>
  <c r="AK35" i="11"/>
  <c r="AK36" i="11" s="1"/>
  <c r="AP87" i="2"/>
  <c r="AO35" i="11"/>
  <c r="AO36" i="11" s="1"/>
  <c r="V69" i="2"/>
  <c r="V70" i="2" s="1"/>
  <c r="AC75" i="2"/>
  <c r="AB30" i="11"/>
  <c r="AB32" i="11" s="1"/>
  <c r="AB33" i="11" s="1"/>
  <c r="AK75" i="2"/>
  <c r="AJ30" i="11"/>
  <c r="AJ32" i="11" s="1"/>
  <c r="AJ33" i="11" s="1"/>
  <c r="W87" i="2"/>
  <c r="V35" i="11"/>
  <c r="V36" i="11" s="1"/>
  <c r="AE87" i="2"/>
  <c r="AD35" i="11"/>
  <c r="AD36" i="11" s="1"/>
  <c r="AM87" i="2"/>
  <c r="AL35" i="11"/>
  <c r="AL36"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U87" i="2"/>
  <c r="T35" i="11"/>
  <c r="T36" i="11" s="1"/>
  <c r="Y87" i="2"/>
  <c r="X35" i="11"/>
  <c r="X36" i="11" s="1"/>
  <c r="AC87" i="2"/>
  <c r="AB35" i="11"/>
  <c r="AB36" i="11" s="1"/>
  <c r="AG87" i="2"/>
  <c r="AF35" i="11"/>
  <c r="AF36" i="11" s="1"/>
  <c r="AK87" i="2"/>
  <c r="AJ35" i="11"/>
  <c r="AJ36" i="11" s="1"/>
  <c r="AO87" i="2"/>
  <c r="AN35" i="11"/>
  <c r="AN36" i="11" s="1"/>
  <c r="AS87" i="2"/>
  <c r="AR35" i="11"/>
  <c r="AR36" i="11" s="1"/>
  <c r="G78" i="3"/>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X87" i="2"/>
  <c r="W35" i="11"/>
  <c r="W36" i="11" s="1"/>
  <c r="AB87" i="2"/>
  <c r="AA35" i="11"/>
  <c r="AA36" i="11" s="1"/>
  <c r="AF87" i="2"/>
  <c r="AE35" i="11"/>
  <c r="AE36" i="11" s="1"/>
  <c r="AJ87" i="2"/>
  <c r="AI35" i="11"/>
  <c r="AI36" i="11" s="1"/>
  <c r="AN87" i="2"/>
  <c r="AM35" i="11"/>
  <c r="AM36" i="11" s="1"/>
  <c r="AR87" i="2"/>
  <c r="AQ35" i="11"/>
  <c r="AQ36" i="11" s="1"/>
  <c r="R25" i="11"/>
  <c r="P25" i="11"/>
  <c r="F18" i="11"/>
  <c r="L64" i="3"/>
  <c r="T87" i="2"/>
  <c r="S35" i="11"/>
  <c r="S36" i="11" s="1"/>
  <c r="J98" i="3"/>
  <c r="J85" i="3"/>
  <c r="J97" i="3"/>
  <c r="J94" i="3"/>
  <c r="J95" i="3" s="1"/>
  <c r="J96" i="3" s="1"/>
  <c r="J92" i="3"/>
  <c r="M64" i="3"/>
  <c r="F81" i="3"/>
  <c r="F83" i="3"/>
  <c r="F84" i="3" s="1"/>
  <c r="F85" i="3" s="1"/>
  <c r="F87" i="3"/>
  <c r="F94" i="3"/>
  <c r="F95" i="3" s="1"/>
  <c r="F96" i="3" s="1"/>
  <c r="L81" i="3"/>
  <c r="L80" i="3" s="1"/>
  <c r="L82" i="3" s="1"/>
  <c r="L83" i="3" s="1"/>
  <c r="L84" i="3" s="1"/>
  <c r="K81" i="3"/>
  <c r="K86" i="3"/>
  <c r="K83" i="3"/>
  <c r="K84" i="3" s="1"/>
  <c r="K87" i="3"/>
  <c r="F86"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M57"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4" i="2" s="1"/>
  <c r="W53" i="2"/>
  <c r="AA52" i="2"/>
  <c r="AA53" i="2"/>
  <c r="AE52" i="2"/>
  <c r="AE54" i="2" s="1"/>
  <c r="AE53" i="2"/>
  <c r="AI52" i="2"/>
  <c r="AI53" i="2"/>
  <c r="AM52" i="2"/>
  <c r="AM54" i="2" s="1"/>
  <c r="AM53" i="2"/>
  <c r="AQ52" i="2"/>
  <c r="AQ53" i="2"/>
  <c r="AE69" i="2"/>
  <c r="AE70" i="2" s="1"/>
  <c r="F71" i="2"/>
  <c r="F53" i="2"/>
  <c r="F52" i="2"/>
  <c r="J53" i="2"/>
  <c r="J52" i="2"/>
  <c r="N53" i="2"/>
  <c r="N52" i="2"/>
  <c r="R53" i="2"/>
  <c r="R52" i="2"/>
  <c r="V53" i="2"/>
  <c r="V52" i="2"/>
  <c r="V54" i="2" s="1"/>
  <c r="Z53" i="2"/>
  <c r="Z52" i="2"/>
  <c r="AD53" i="2"/>
  <c r="AD52" i="2"/>
  <c r="AD54" i="2" s="1"/>
  <c r="AH53" i="2"/>
  <c r="AH52" i="2"/>
  <c r="AL71" i="2"/>
  <c r="AL53" i="2"/>
  <c r="AL52" i="2"/>
  <c r="AL54" i="2" s="1"/>
  <c r="AP71" i="2"/>
  <c r="AP53" i="2"/>
  <c r="AP52" i="2"/>
  <c r="AP54" i="2" s="1"/>
  <c r="E69" i="2"/>
  <c r="E70" i="2" s="1"/>
  <c r="E53" i="2"/>
  <c r="E52" i="2"/>
  <c r="AQ58" i="2"/>
  <c r="AI58" i="2"/>
  <c r="AA58" i="2"/>
  <c r="W58" i="2"/>
  <c r="AL58" i="2"/>
  <c r="AD58" i="2"/>
  <c r="V58" i="2"/>
  <c r="AE58" i="2"/>
  <c r="I71" i="2"/>
  <c r="AL69" i="2"/>
  <c r="AL70" i="2" s="1"/>
  <c r="AL72" i="2" s="1"/>
  <c r="AL73" i="2" s="1"/>
  <c r="AS58" i="2"/>
  <c r="AO58" i="2"/>
  <c r="AK58" i="2"/>
  <c r="AG58" i="2"/>
  <c r="AC58" i="2"/>
  <c r="Y58" i="2"/>
  <c r="U58" i="2"/>
  <c r="AM58" i="2"/>
  <c r="AP58" i="2"/>
  <c r="AH58" i="2"/>
  <c r="Z58" i="2"/>
  <c r="E71" i="2"/>
  <c r="AR58" i="2"/>
  <c r="AN58" i="2"/>
  <c r="AJ58" i="2"/>
  <c r="AF58" i="2"/>
  <c r="AB58" i="2"/>
  <c r="X58" i="2"/>
  <c r="T58" i="2"/>
  <c r="E58" i="2"/>
  <c r="I51" i="3"/>
  <c r="I92" i="3" s="1"/>
  <c r="I91" i="3" s="1"/>
  <c r="I93" i="3" s="1"/>
  <c r="M51" i="3"/>
  <c r="L51" i="3"/>
  <c r="H81" i="3"/>
  <c r="H80" i="3" s="1"/>
  <c r="H82" i="3" s="1"/>
  <c r="H83" i="3" s="1"/>
  <c r="H84" i="3" s="1"/>
  <c r="K51" i="3"/>
  <c r="K54" i="3" s="1"/>
  <c r="K53" i="3" s="1"/>
  <c r="K55" i="3" s="1"/>
  <c r="K56" i="3" s="1"/>
  <c r="K57" i="3" s="1"/>
  <c r="G86" i="3"/>
  <c r="H51" i="3"/>
  <c r="G51" i="3"/>
  <c r="G60" i="3" s="1"/>
  <c r="J60" i="3"/>
  <c r="F92" i="3"/>
  <c r="F98" i="3"/>
  <c r="F97" i="3"/>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7" i="3"/>
  <c r="I67"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F72" i="2" s="1"/>
  <c r="F73"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AP72" i="2"/>
  <c r="AP73" i="2" s="1"/>
  <c r="G71" i="2"/>
  <c r="AA71" i="2"/>
  <c r="AE71" i="2"/>
  <c r="AI71" i="2"/>
  <c r="AM71" i="2"/>
  <c r="AQ71" i="2"/>
  <c r="H28" i="9"/>
  <c r="E63" i="3"/>
  <c r="J54" i="3"/>
  <c r="J53" i="3" s="1"/>
  <c r="J55" i="3" s="1"/>
  <c r="J56" i="3" s="1"/>
  <c r="J57" i="3" s="1"/>
  <c r="E67" i="3"/>
  <c r="H63" i="3"/>
  <c r="J64" i="3"/>
  <c r="J68" i="3" s="1"/>
  <c r="J69" i="3" s="1"/>
  <c r="I64" i="3"/>
  <c r="F108" i="3"/>
  <c r="F109" i="3" s="1"/>
  <c r="F111" i="3" s="1"/>
  <c r="F120" i="3" s="1"/>
  <c r="E31" i="11" s="1"/>
  <c r="E46" i="11" s="1"/>
  <c r="AS46" i="11" s="1"/>
  <c r="E108" i="3"/>
  <c r="E109" i="3" s="1"/>
  <c r="E111" i="3" s="1"/>
  <c r="E112" i="3" s="1"/>
  <c r="E60" i="3"/>
  <c r="K64" i="3"/>
  <c r="K68" i="3" s="1"/>
  <c r="F54" i="3"/>
  <c r="F53" i="3" s="1"/>
  <c r="F55" i="3" s="1"/>
  <c r="F56" i="3" s="1"/>
  <c r="F57" i="3" s="1"/>
  <c r="E54" i="3"/>
  <c r="E53" i="3" s="1"/>
  <c r="E55" i="3" s="1"/>
  <c r="E56" i="3" s="1"/>
  <c r="E57" i="3" s="1"/>
  <c r="G63" i="3"/>
  <c r="L59" i="3"/>
  <c r="F19" i="11"/>
  <c r="L66" i="3"/>
  <c r="M66" i="3"/>
  <c r="E20" i="11"/>
  <c r="E18" i="11" l="1"/>
  <c r="L60" i="3"/>
  <c r="G87" i="3"/>
  <c r="H87" i="3"/>
  <c r="G81" i="3"/>
  <c r="G83" i="3"/>
  <c r="G84" i="3" s="1"/>
  <c r="G85" i="3" s="1"/>
  <c r="AO54" i="2"/>
  <c r="G56" i="2"/>
  <c r="F15" i="11" s="1"/>
  <c r="L87" i="3"/>
  <c r="J105" i="3"/>
  <c r="Q54" i="2"/>
  <c r="Q57" i="2" s="1"/>
  <c r="Q58" i="2" s="1"/>
  <c r="N54" i="2"/>
  <c r="N57" i="2" s="1"/>
  <c r="K54" i="2"/>
  <c r="K57" i="2" s="1"/>
  <c r="E54" i="2"/>
  <c r="I72" i="2"/>
  <c r="I73" i="2" s="1"/>
  <c r="I74" i="2" s="1"/>
  <c r="H30" i="11" s="1"/>
  <c r="H32" i="11" s="1"/>
  <c r="H33" i="11" s="1"/>
  <c r="I54" i="2"/>
  <c r="I57" i="2" s="1"/>
  <c r="H22" i="11" s="1"/>
  <c r="I60" i="3"/>
  <c r="I94" i="3"/>
  <c r="I95" i="3" s="1"/>
  <c r="I96" i="3" s="1"/>
  <c r="L22" i="11"/>
  <c r="M86" i="2"/>
  <c r="M58" i="2"/>
  <c r="J22" i="11"/>
  <c r="K86" i="2"/>
  <c r="K58" i="2"/>
  <c r="F74" i="2"/>
  <c r="E30" i="11" s="1"/>
  <c r="E32" i="11" s="1"/>
  <c r="G72" i="2"/>
  <c r="G73" i="2" s="1"/>
  <c r="G74" i="2" s="1"/>
  <c r="K60" i="3"/>
  <c r="I54" i="3"/>
  <c r="I53" i="3" s="1"/>
  <c r="I55" i="3" s="1"/>
  <c r="I56" i="3" s="1"/>
  <c r="I57" i="3" s="1"/>
  <c r="I98" i="3"/>
  <c r="I97" i="3"/>
  <c r="K85" i="3"/>
  <c r="M92" i="3"/>
  <c r="M91" i="3" s="1"/>
  <c r="M93" i="3" s="1"/>
  <c r="M86" i="3" s="1"/>
  <c r="M94" i="3"/>
  <c r="M95" i="3" s="1"/>
  <c r="M96" i="3" s="1"/>
  <c r="M85" i="3"/>
  <c r="E68" i="3"/>
  <c r="E69" i="3" s="1"/>
  <c r="K98" i="3"/>
  <c r="K94" i="3"/>
  <c r="K95" i="3" s="1"/>
  <c r="K96" i="3" s="1"/>
  <c r="K92" i="3"/>
  <c r="K97" i="3"/>
  <c r="M59" i="3"/>
  <c r="M60" i="3"/>
  <c r="H54" i="3"/>
  <c r="H53" i="3" s="1"/>
  <c r="H55" i="3" s="1"/>
  <c r="H56" i="3" s="1"/>
  <c r="H57" i="3" s="1"/>
  <c r="H85" i="3"/>
  <c r="L92" i="3"/>
  <c r="L91" i="3" s="1"/>
  <c r="L93" i="3" s="1"/>
  <c r="L86" i="3" s="1"/>
  <c r="E72" i="2"/>
  <c r="E73" i="2" s="1"/>
  <c r="F54" i="2"/>
  <c r="F57" i="2" s="1"/>
  <c r="E22" i="11" s="1"/>
  <c r="W72" i="2"/>
  <c r="W73" i="2" s="1"/>
  <c r="AG54" i="2"/>
  <c r="AK54" i="2"/>
  <c r="AR54" i="2"/>
  <c r="AJ54" i="2"/>
  <c r="AB54" i="2"/>
  <c r="T54" i="2"/>
  <c r="L54" i="2"/>
  <c r="L57" i="2" s="1"/>
  <c r="L91" i="2" s="1"/>
  <c r="AQ72" i="2"/>
  <c r="AQ73" i="2" s="1"/>
  <c r="AQ54" i="2"/>
  <c r="AI54" i="2"/>
  <c r="AA54" i="2"/>
  <c r="S54" i="2"/>
  <c r="S57" i="2" s="1"/>
  <c r="G54" i="2"/>
  <c r="G57" i="2" s="1"/>
  <c r="AE72" i="2"/>
  <c r="AE73" i="2" s="1"/>
  <c r="AF72" i="2"/>
  <c r="AF73" i="2" s="1"/>
  <c r="L72" i="2"/>
  <c r="L73" i="2" s="1"/>
  <c r="L74" i="2" s="1"/>
  <c r="R72" i="2"/>
  <c r="R73" i="2" s="1"/>
  <c r="R74" i="2" s="1"/>
  <c r="AH54" i="2"/>
  <c r="Z54" i="2"/>
  <c r="R54" i="2"/>
  <c r="R57" i="2" s="1"/>
  <c r="R91" i="2" s="1"/>
  <c r="J54" i="2"/>
  <c r="J57" i="2" s="1"/>
  <c r="J91" i="2" s="1"/>
  <c r="Y54" i="2"/>
  <c r="O54" i="2"/>
  <c r="O57" i="2" s="1"/>
  <c r="AN54" i="2"/>
  <c r="AF54" i="2"/>
  <c r="X54" i="2"/>
  <c r="P54" i="2"/>
  <c r="P57" i="2" s="1"/>
  <c r="H54" i="2"/>
  <c r="H57" i="2" s="1"/>
  <c r="M54" i="3"/>
  <c r="M53" i="3" s="1"/>
  <c r="M55" i="3" s="1"/>
  <c r="M56" i="3" s="1"/>
  <c r="M57" i="3" s="1"/>
  <c r="I81" i="3"/>
  <c r="I80" i="3" s="1"/>
  <c r="I82" i="3" s="1"/>
  <c r="I83" i="3" s="1"/>
  <c r="I84" i="3" s="1"/>
  <c r="I85" i="3" s="1"/>
  <c r="I86" i="3"/>
  <c r="L54" i="3"/>
  <c r="L53" i="3" s="1"/>
  <c r="L55" i="3" s="1"/>
  <c r="L56" i="3" s="1"/>
  <c r="L57" i="3" s="1"/>
  <c r="H60" i="3"/>
  <c r="G92" i="3"/>
  <c r="G94" i="3"/>
  <c r="G95" i="3" s="1"/>
  <c r="G96" i="3" s="1"/>
  <c r="G97" i="3"/>
  <c r="G54" i="3"/>
  <c r="G53" i="3" s="1"/>
  <c r="G55" i="3" s="1"/>
  <c r="G56" i="3" s="1"/>
  <c r="G57" i="3" s="1"/>
  <c r="G98" i="3"/>
  <c r="H92" i="3"/>
  <c r="H91" i="3" s="1"/>
  <c r="H93" i="3" s="1"/>
  <c r="H86" i="3" s="1"/>
  <c r="H68" i="3"/>
  <c r="H69" i="3" s="1"/>
  <c r="G67" i="3"/>
  <c r="G68" i="3" s="1"/>
  <c r="G69" i="3" s="1"/>
  <c r="F68" i="3"/>
  <c r="N8" i="9"/>
  <c r="O8" i="9" s="1"/>
  <c r="F121" i="3"/>
  <c r="AM72" i="2"/>
  <c r="AM73" i="2" s="1"/>
  <c r="M72" i="2"/>
  <c r="M73" i="2" s="1"/>
  <c r="M74" i="2" s="1"/>
  <c r="AD72" i="2"/>
  <c r="AD73" i="2" s="1"/>
  <c r="O72" i="2"/>
  <c r="O73" i="2" s="1"/>
  <c r="O74" i="2" s="1"/>
  <c r="S72" i="2"/>
  <c r="S73" i="2" s="1"/>
  <c r="S74" i="2" s="1"/>
  <c r="J72" i="2"/>
  <c r="J73" i="2" s="1"/>
  <c r="J74" i="2" s="1"/>
  <c r="J94" i="2" s="1"/>
  <c r="H72" i="2"/>
  <c r="H73" i="2" s="1"/>
  <c r="H74" i="2" s="1"/>
  <c r="Q72" i="2"/>
  <c r="Q73" i="2" s="1"/>
  <c r="Q74" i="2" s="1"/>
  <c r="AR72" i="2"/>
  <c r="AR73" i="2" s="1"/>
  <c r="T72" i="2"/>
  <c r="T73" i="2" s="1"/>
  <c r="AI72" i="2"/>
  <c r="AI73" i="2" s="1"/>
  <c r="Y72" i="2"/>
  <c r="Y73" i="2" s="1"/>
  <c r="P72" i="2"/>
  <c r="P73" i="2" s="1"/>
  <c r="P74" i="2" s="1"/>
  <c r="AC72" i="2"/>
  <c r="AC73" i="2" s="1"/>
  <c r="X72" i="2"/>
  <c r="X73" i="2" s="1"/>
  <c r="I68" i="3"/>
  <c r="I69" i="3" s="1"/>
  <c r="AK72" i="2"/>
  <c r="AK73" i="2" s="1"/>
  <c r="AJ72" i="2"/>
  <c r="AJ73" i="2" s="1"/>
  <c r="K72" i="2"/>
  <c r="K73" i="2" s="1"/>
  <c r="K74" i="2" s="1"/>
  <c r="N72" i="2"/>
  <c r="N73" i="2" s="1"/>
  <c r="N74" i="2" s="1"/>
  <c r="AA72" i="2"/>
  <c r="AA73" i="2" s="1"/>
  <c r="AG72" i="2"/>
  <c r="AG73" i="2" s="1"/>
  <c r="Z72" i="2"/>
  <c r="Z73" i="2" s="1"/>
  <c r="AO72" i="2"/>
  <c r="AO73" i="2" s="1"/>
  <c r="AS72" i="2"/>
  <c r="AS73" i="2" s="1"/>
  <c r="K69" i="3"/>
  <c r="F112" i="3"/>
  <c r="E19" i="11"/>
  <c r="F20" i="11"/>
  <c r="E21" i="11" l="1"/>
  <c r="I87" i="3"/>
  <c r="H94" i="3"/>
  <c r="H95" i="3" s="1"/>
  <c r="H96" i="3" s="1"/>
  <c r="F21" i="11"/>
  <c r="J92" i="2"/>
  <c r="E10" i="9"/>
  <c r="F10" i="9" s="1"/>
  <c r="R94" i="2"/>
  <c r="H98" i="3"/>
  <c r="R92" i="2"/>
  <c r="E14" i="9"/>
  <c r="F14" i="9" s="1"/>
  <c r="P91" i="2"/>
  <c r="L92" i="2"/>
  <c r="E11" i="9"/>
  <c r="F11" i="9" s="1"/>
  <c r="N58" i="2"/>
  <c r="N91" i="2"/>
  <c r="H97" i="3"/>
  <c r="L94" i="3"/>
  <c r="L95" i="3" s="1"/>
  <c r="L96" i="3" s="1"/>
  <c r="L97" i="3"/>
  <c r="L98" i="3"/>
  <c r="M97" i="3"/>
  <c r="M98" i="3"/>
  <c r="L58" i="3"/>
  <c r="R95" i="2"/>
  <c r="G14" i="9"/>
  <c r="H14" i="9" s="1"/>
  <c r="P94" i="2"/>
  <c r="P95" i="2" s="1"/>
  <c r="N94" i="2"/>
  <c r="N95" i="2" s="1"/>
  <c r="G13" i="9"/>
  <c r="H13" i="9" s="1"/>
  <c r="L94" i="2"/>
  <c r="L95" i="2" s="1"/>
  <c r="J95" i="2"/>
  <c r="G10" i="9"/>
  <c r="H10" i="9" s="1"/>
  <c r="P22" i="11"/>
  <c r="Q86" i="2"/>
  <c r="Q87" i="2" s="1"/>
  <c r="N86" i="2"/>
  <c r="M22" i="11"/>
  <c r="I75" i="2"/>
  <c r="I58" i="2"/>
  <c r="I86" i="2"/>
  <c r="I87" i="2" s="1"/>
  <c r="F75" i="2"/>
  <c r="S75" i="2"/>
  <c r="R30" i="11"/>
  <c r="R32" i="11" s="1"/>
  <c r="R33" i="11" s="1"/>
  <c r="R22" i="11"/>
  <c r="S86" i="2"/>
  <c r="S58" i="2"/>
  <c r="Q22" i="11"/>
  <c r="R86" i="2"/>
  <c r="R58" i="2"/>
  <c r="R75" i="2"/>
  <c r="Q30" i="11"/>
  <c r="Q75" i="2"/>
  <c r="P30" i="11"/>
  <c r="P32" i="11" s="1"/>
  <c r="P33" i="11" s="1"/>
  <c r="O22" i="11"/>
  <c r="P86" i="2"/>
  <c r="P97" i="2" s="1"/>
  <c r="P58" i="2"/>
  <c r="P75" i="2"/>
  <c r="O30" i="11"/>
  <c r="N22" i="11"/>
  <c r="O86" i="2"/>
  <c r="O58" i="2"/>
  <c r="O75" i="2"/>
  <c r="N30" i="11"/>
  <c r="N32" i="11" s="1"/>
  <c r="N33" i="11" s="1"/>
  <c r="N75" i="2"/>
  <c r="M30" i="11"/>
  <c r="M75" i="2"/>
  <c r="L30" i="11"/>
  <c r="L32" i="11" s="1"/>
  <c r="L33" i="11" s="1"/>
  <c r="M87" i="2"/>
  <c r="L35" i="11"/>
  <c r="L36" i="11" s="1"/>
  <c r="K22" i="11"/>
  <c r="L86" i="2"/>
  <c r="L97" i="2" s="1"/>
  <c r="L58" i="2"/>
  <c r="L75" i="2"/>
  <c r="K30" i="11"/>
  <c r="K75" i="2"/>
  <c r="J30" i="11"/>
  <c r="J32" i="11" s="1"/>
  <c r="J33" i="11" s="1"/>
  <c r="K87" i="2"/>
  <c r="J35" i="11"/>
  <c r="J36" i="11" s="1"/>
  <c r="I22" i="11"/>
  <c r="J86" i="2"/>
  <c r="J97" i="2" s="1"/>
  <c r="J58" i="2"/>
  <c r="J75" i="2"/>
  <c r="I30" i="11"/>
  <c r="H75" i="2"/>
  <c r="G30" i="11"/>
  <c r="H94" i="2"/>
  <c r="G22" i="11"/>
  <c r="H91" i="2"/>
  <c r="H86" i="2"/>
  <c r="H58" i="2"/>
  <c r="G75" i="2"/>
  <c r="F30" i="11"/>
  <c r="E33" i="11"/>
  <c r="F69" i="3"/>
  <c r="F117" i="3"/>
  <c r="M58" i="3"/>
  <c r="K105" i="3"/>
  <c r="F58" i="2"/>
  <c r="F91" i="2"/>
  <c r="E8" i="9" s="1"/>
  <c r="F22" i="11"/>
  <c r="F86" i="2"/>
  <c r="F94" i="2"/>
  <c r="F95" i="2" s="1"/>
  <c r="G58" i="2"/>
  <c r="G86" i="2"/>
  <c r="CL120" i="3"/>
  <c r="I56" i="2" l="1"/>
  <c r="H15" i="11" s="1"/>
  <c r="K56" i="2"/>
  <c r="J15" i="11" s="1"/>
  <c r="R97" i="2"/>
  <c r="I40" i="11"/>
  <c r="Q40" i="11"/>
  <c r="Q24" i="11"/>
  <c r="N92" i="2"/>
  <c r="E12" i="9"/>
  <c r="F12" i="9" s="1"/>
  <c r="M40" i="11"/>
  <c r="M24" i="11"/>
  <c r="J56" i="2"/>
  <c r="I15" i="11" s="1"/>
  <c r="H56" i="2"/>
  <c r="G15" i="11" s="1"/>
  <c r="K40" i="11"/>
  <c r="K24" i="11"/>
  <c r="O40" i="11"/>
  <c r="O24" i="11"/>
  <c r="G12" i="9"/>
  <c r="H12" i="9" s="1"/>
  <c r="E13" i="9"/>
  <c r="F13" i="9" s="1"/>
  <c r="P92" i="2"/>
  <c r="H18" i="11"/>
  <c r="M67" i="3"/>
  <c r="M68" i="3" s="1"/>
  <c r="M69" i="3" s="1"/>
  <c r="G18" i="11"/>
  <c r="L67" i="3"/>
  <c r="L68" i="3" s="1"/>
  <c r="Q32" i="11"/>
  <c r="Q33" i="11" s="1"/>
  <c r="Q45" i="11"/>
  <c r="O32" i="11"/>
  <c r="O47" i="11" s="1"/>
  <c r="O45" i="11"/>
  <c r="M32" i="11"/>
  <c r="M33" i="11" s="1"/>
  <c r="M45" i="11"/>
  <c r="G11" i="9"/>
  <c r="H11" i="9" s="1"/>
  <c r="K32" i="11"/>
  <c r="K33" i="11" s="1"/>
  <c r="K45" i="11"/>
  <c r="I32" i="11"/>
  <c r="I33" i="11" s="1"/>
  <c r="I45" i="11"/>
  <c r="R98" i="2"/>
  <c r="I14" i="9"/>
  <c r="J14" i="9" s="1"/>
  <c r="P98" i="2"/>
  <c r="I13" i="9"/>
  <c r="J13" i="9" s="1"/>
  <c r="N87" i="2"/>
  <c r="N97" i="2"/>
  <c r="L98" i="2"/>
  <c r="I11" i="9"/>
  <c r="J11" i="9" s="1"/>
  <c r="I10" i="9"/>
  <c r="J10" i="9" s="1"/>
  <c r="J98" i="2"/>
  <c r="H97" i="2"/>
  <c r="H35" i="11"/>
  <c r="H36" i="11" s="1"/>
  <c r="P35" i="11"/>
  <c r="P36" i="11" s="1"/>
  <c r="M35" i="11"/>
  <c r="M36" i="11" s="1"/>
  <c r="G32" i="11"/>
  <c r="G45" i="11"/>
  <c r="G40" i="11"/>
  <c r="F97" i="2"/>
  <c r="E50" i="11" s="1"/>
  <c r="AS50" i="11" s="1"/>
  <c r="AS53" i="11" s="1"/>
  <c r="N29" i="9"/>
  <c r="O29" i="9" s="1"/>
  <c r="S87" i="2"/>
  <c r="R35" i="11"/>
  <c r="R36" i="11" s="1"/>
  <c r="R87" i="2"/>
  <c r="Q35" i="11"/>
  <c r="Q36" i="11" s="1"/>
  <c r="P87" i="2"/>
  <c r="O35" i="11"/>
  <c r="O36" i="11" s="1"/>
  <c r="O87" i="2"/>
  <c r="N35" i="11"/>
  <c r="N36" i="11" s="1"/>
  <c r="L87" i="2"/>
  <c r="K35" i="11"/>
  <c r="K36" i="11" s="1"/>
  <c r="J87" i="2"/>
  <c r="I35" i="11"/>
  <c r="I36" i="11" s="1"/>
  <c r="AT91" i="2"/>
  <c r="H87" i="2"/>
  <c r="G35" i="11"/>
  <c r="G36" i="11" s="1"/>
  <c r="H95" i="2"/>
  <c r="G9" i="9"/>
  <c r="H9" i="9" s="1"/>
  <c r="H92" i="2"/>
  <c r="E9" i="9"/>
  <c r="F9" i="9" s="1"/>
  <c r="F32" i="11"/>
  <c r="E45" i="11"/>
  <c r="G8" i="9"/>
  <c r="H8" i="9" s="1"/>
  <c r="G87" i="2"/>
  <c r="F35" i="11"/>
  <c r="F36" i="11" s="1"/>
  <c r="F87" i="2"/>
  <c r="E35" i="11"/>
  <c r="E36" i="11" s="1"/>
  <c r="E40" i="11"/>
  <c r="E23" i="11"/>
  <c r="E41" i="11" s="1"/>
  <c r="E24" i="11" s="1"/>
  <c r="L8" i="9"/>
  <c r="M8" i="9" s="1"/>
  <c r="AT94" i="2"/>
  <c r="G29" i="9" s="1"/>
  <c r="H29" i="9" s="1"/>
  <c r="F118" i="3"/>
  <c r="F8" i="9"/>
  <c r="F92" i="2"/>
  <c r="CL121" i="3"/>
  <c r="I20" i="11"/>
  <c r="H19" i="11"/>
  <c r="G20" i="11"/>
  <c r="H20" i="11"/>
  <c r="G19" i="11"/>
  <c r="J20" i="11"/>
  <c r="I21" i="11" l="1"/>
  <c r="I24" i="11" s="1"/>
  <c r="I25" i="11" s="1"/>
  <c r="J21" i="11"/>
  <c r="J24" i="11" s="1"/>
  <c r="J25" i="11" s="1"/>
  <c r="K42" i="11"/>
  <c r="K25" i="11"/>
  <c r="M25" i="11"/>
  <c r="M42" i="11"/>
  <c r="Q25" i="11"/>
  <c r="Q42" i="11"/>
  <c r="O25" i="11"/>
  <c r="O42" i="11"/>
  <c r="F24" i="11"/>
  <c r="F25" i="11" s="1"/>
  <c r="M47" i="11"/>
  <c r="R12" i="9" s="1"/>
  <c r="S12" i="9" s="1"/>
  <c r="Q47" i="11"/>
  <c r="Q48" i="11" s="1"/>
  <c r="O33" i="11"/>
  <c r="J117" i="3"/>
  <c r="G23" i="11" s="1"/>
  <c r="G41" i="11" s="1"/>
  <c r="AS41" i="11" s="1"/>
  <c r="K47" i="11"/>
  <c r="K48" i="11" s="1"/>
  <c r="L69" i="3"/>
  <c r="H21" i="11"/>
  <c r="G21" i="11"/>
  <c r="I47" i="11"/>
  <c r="I48" i="11" s="1"/>
  <c r="AS45" i="11"/>
  <c r="AS47" i="11" s="1"/>
  <c r="AS48" i="11" s="1"/>
  <c r="N98" i="2"/>
  <c r="I12" i="9"/>
  <c r="J12" i="9" s="1"/>
  <c r="H98" i="2"/>
  <c r="I9" i="9"/>
  <c r="J9" i="9" s="1"/>
  <c r="O48" i="11"/>
  <c r="R13" i="9"/>
  <c r="S13" i="9" s="1"/>
  <c r="G33" i="11"/>
  <c r="G47" i="11"/>
  <c r="AS40" i="11"/>
  <c r="AT97" i="2"/>
  <c r="AT98" i="2" s="1"/>
  <c r="F98" i="2"/>
  <c r="I8" i="9"/>
  <c r="J8" i="9" s="1"/>
  <c r="E25" i="11"/>
  <c r="F33" i="11"/>
  <c r="E47" i="11"/>
  <c r="AT95" i="2"/>
  <c r="J28" i="9"/>
  <c r="E29" i="9"/>
  <c r="F29" i="9" s="1"/>
  <c r="AT92" i="2"/>
  <c r="I42" i="11" l="1"/>
  <c r="I43" i="11" s="1"/>
  <c r="G24" i="11"/>
  <c r="O43" i="11"/>
  <c r="P13" i="9"/>
  <c r="Q13" i="9" s="1"/>
  <c r="M43" i="11"/>
  <c r="P12" i="9"/>
  <c r="Q12" i="9" s="1"/>
  <c r="P14" i="9"/>
  <c r="Q14" i="9" s="1"/>
  <c r="Q43" i="11"/>
  <c r="P10" i="9"/>
  <c r="Q10" i="9" s="1"/>
  <c r="P11" i="9"/>
  <c r="Q11" i="9" s="1"/>
  <c r="K43" i="11"/>
  <c r="M48" i="11"/>
  <c r="R14" i="9"/>
  <c r="S14" i="9" s="1"/>
  <c r="CL117" i="3"/>
  <c r="R11" i="9"/>
  <c r="S11" i="9" s="1"/>
  <c r="H25" i="11"/>
  <c r="J118" i="3"/>
  <c r="L9" i="9"/>
  <c r="M9" i="9" s="1"/>
  <c r="R10" i="9"/>
  <c r="S10" i="9" s="1"/>
  <c r="R29" i="9"/>
  <c r="S29" i="9" s="1"/>
  <c r="R9" i="9"/>
  <c r="S9" i="9" s="1"/>
  <c r="G48" i="11"/>
  <c r="AS42" i="11"/>
  <c r="AS43" i="11" s="1"/>
  <c r="I29" i="9"/>
  <c r="J29" i="9" s="1"/>
  <c r="E48" i="11"/>
  <c r="R8" i="9"/>
  <c r="S8" i="9" s="1"/>
  <c r="E42" i="11"/>
  <c r="G25" i="11" l="1"/>
  <c r="G42" i="11"/>
  <c r="P9" i="9" s="1"/>
  <c r="Q9" i="9" s="1"/>
  <c r="L29" i="9"/>
  <c r="M29" i="9" s="1"/>
  <c r="CL118" i="3"/>
  <c r="P29" i="9"/>
  <c r="Q29" i="9" s="1"/>
  <c r="P8" i="9"/>
  <c r="Q8" i="9" s="1"/>
  <c r="E43" i="11"/>
  <c r="G43" i="11" l="1"/>
  <c r="AQ43" i="11" l="1"/>
  <c r="Q27" i="9"/>
  <c r="AK100" i="3" l="1"/>
  <c r="AK102" i="3" s="1"/>
  <c r="AK103" i="3" s="1"/>
  <c r="AH29" i="11" s="1"/>
  <c r="AK105" i="3" l="1"/>
  <c r="AJ2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tc={CEC18792-9151-D148-978E-62E1CA92974B}</author>
    <author>Microsoft Office User</author>
  </authors>
  <commentList>
    <comment ref="D9" authorId="0" shapeId="0" xr:uid="{CEC18792-9151-D148-978E-62E1CA92974B}">
      <text>
        <t>[Threaded comment]
Your version of Excel allows you to read this threaded comment; however, any edits to it will get removed if the file is opened in a newer version of Excel. Learn more: https://go.microsoft.com/fwlink/?linkid=870924
Comment:
    Intersection west of segment</t>
      </text>
    </comment>
    <comment ref="D50" authorId="1" shapeId="0" xr:uid="{2B325E65-A84D-4AC4-8C96-089586149EE9}">
      <text>
        <r>
          <rPr>
            <sz val="12"/>
            <color indexed="81"/>
            <rFont val="Times New Roman"/>
            <family val="1"/>
          </rPr>
          <t>Edited in V3</t>
        </r>
        <r>
          <rPr>
            <sz val="10"/>
            <color indexed="81"/>
            <rFont val="Calibri"/>
            <family val="2"/>
          </rPr>
          <t xml:space="preserve">
</t>
        </r>
      </text>
    </comment>
    <comment ref="D51" authorId="1" shapeId="0" xr:uid="{74C268A3-B538-4BB2-AF30-1A3E0FAE73AD}">
      <text>
        <r>
          <rPr>
            <sz val="12"/>
            <color indexed="81"/>
            <rFont val="Times New Roman"/>
            <family val="1"/>
          </rPr>
          <t>Edited in V3</t>
        </r>
        <r>
          <rPr>
            <sz val="10"/>
            <color indexed="81"/>
            <rFont val="Calibri"/>
            <family val="2"/>
          </rPr>
          <t xml:space="preserve">
</t>
        </r>
      </text>
    </comment>
    <comment ref="D52" authorId="1"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8"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0" authorId="1" shapeId="0" xr:uid="{00000000-0006-0000-0100-000001000000}">
      <text>
        <r>
          <rPr>
            <sz val="14"/>
            <color rgb="FF000000"/>
            <rFont val="Times New Roman"/>
            <family val="1"/>
          </rPr>
          <t>Includes the curb width if present.</t>
        </r>
      </text>
    </comment>
    <comment ref="D24" authorId="1" shapeId="0" xr:uid="{00000000-0006-0000-0100-000002000000}">
      <text>
        <r>
          <rPr>
            <sz val="14"/>
            <color rgb="FF000000"/>
            <rFont val="Times New Roman"/>
            <family val="1"/>
          </rPr>
          <t>Included in Annex 1, showed at the end of this sheet.</t>
        </r>
      </text>
    </comment>
    <comment ref="D30" authorId="1" shapeId="0" xr:uid="{00000000-0006-0000-0100-000003000000}">
      <text>
        <r>
          <rPr>
            <sz val="12"/>
            <color rgb="FF000000"/>
            <rFont val="Times New Roman"/>
            <family val="1"/>
          </rPr>
          <t>Added in V2</t>
        </r>
      </text>
    </comment>
    <comment ref="D31" authorId="1" shapeId="0" xr:uid="{00000000-0006-0000-0100-000004000000}">
      <text>
        <r>
          <rPr>
            <sz val="12"/>
            <color rgb="FF000000"/>
            <rFont val="Times New Roman"/>
            <family val="1"/>
          </rPr>
          <t>Added in V3</t>
        </r>
      </text>
    </comment>
    <comment ref="D32"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8"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1" shapeId="0" xr:uid="{00000000-0006-0000-0100-000007000000}">
      <text>
        <r>
          <rPr>
            <sz val="12"/>
            <color indexed="81"/>
            <rFont val="Times New Roman"/>
            <family val="1"/>
          </rPr>
          <t>Added in V3</t>
        </r>
      </text>
    </comment>
    <comment ref="D50" authorId="1" shapeId="0" xr:uid="{00000000-0006-0000-0100-000008000000}">
      <text>
        <r>
          <rPr>
            <sz val="12"/>
            <color indexed="81"/>
            <rFont val="Times New Roman"/>
            <family val="1"/>
          </rPr>
          <t>Added in V3</t>
        </r>
      </text>
    </comment>
    <comment ref="D52" authorId="1" shapeId="0" xr:uid="{00000000-0006-0000-0100-000009000000}">
      <text>
        <r>
          <rPr>
            <sz val="12"/>
            <color indexed="81"/>
            <rFont val="Times New Roman"/>
            <family val="1"/>
          </rPr>
          <t>Edited in V3</t>
        </r>
      </text>
    </comment>
    <comment ref="D53" authorId="1" shapeId="0" xr:uid="{00000000-0006-0000-0100-00000A000000}">
      <text>
        <r>
          <rPr>
            <sz val="12"/>
            <color indexed="81"/>
            <rFont val="Times New Roman"/>
            <family val="1"/>
          </rPr>
          <t>Edited in V3</t>
        </r>
      </text>
    </comment>
    <comment ref="D54" authorId="1" shapeId="0" xr:uid="{00000000-0006-0000-0100-00000B000000}">
      <text>
        <r>
          <rPr>
            <sz val="12"/>
            <color indexed="81"/>
            <rFont val="Times New Roman"/>
            <family val="1"/>
          </rPr>
          <t>Edited in V3</t>
        </r>
      </text>
    </comment>
    <comment ref="D73"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9" authorId="0" shapeId="0" xr:uid="{E290205C-F546-4247-9615-98B3CE02BEA1}">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38251B83-5D8F-4C83-9D30-9F0104B77BF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3C4CA60F-09E3-4CBE-A2D5-1B26F235C3B3}">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6" authorId="0" shapeId="0" xr:uid="{D1EC5167-59E5-457A-8A14-6A41D058E2C0}">
      <text>
        <r>
          <rPr>
            <sz val="12"/>
            <color indexed="81"/>
            <rFont val="Times New Roman"/>
            <family val="1"/>
          </rPr>
          <t>Added in V3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tc={6F6315D0-657F-164E-81F9-5A570810DD2F}</author>
    <author>tc={5741E6DE-48D6-9446-9B74-68C4B2459BA0}</author>
    <author>tc={BD972E46-E5B9-8444-B7D1-7CFB95647515}</author>
    <author>tc={BC3DB4BD-2F13-8542-B655-32BE7DE4B41D}</author>
    <author>tc={293AF5B7-EF3E-CB4A-8CDD-71451BC5E88B}</author>
    <author>tc={D9CA49C9-F8AC-C54F-A57D-022A56EFD7D8}</author>
    <author>tc={42C92738-68DC-CB4A-B7FE-2864369BF899}</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F20" authorId="1" shapeId="0" xr:uid="{6F6315D0-657F-164E-81F9-5A570810DD2F}">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F21" authorId="2" shapeId="0" xr:uid="{5741E6DE-48D6-9446-9B74-68C4B2459BA0}">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1" authorId="3" shapeId="0" xr:uid="{BD972E46-E5B9-8444-B7D1-7CFB95647515}">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2" authorId="4" shapeId="0" xr:uid="{BC3DB4BD-2F13-8542-B655-32BE7DE4B41D}">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2" authorId="5" shapeId="0" xr:uid="{293AF5B7-EF3E-CB4A-8CDD-71451BC5E88B}">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3" authorId="6" shapeId="0" xr:uid="{D9CA49C9-F8AC-C54F-A57D-022A56EFD7D8}">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3" authorId="7" shapeId="0" xr:uid="{42C92738-68DC-CB4A-B7FE-2864369BF899}">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D29" authorId="0" shapeId="0" xr:uid="{00000000-0006-0000-0200-000002000000}">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6" authorId="0" shapeId="0" xr:uid="{00000000-0006-0000-0200-000005000000}">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<sst xmlns="http://schemas.openxmlformats.org/spreadsheetml/2006/main" count="1421" uniqueCount="474">
  <si>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</si>
  <si>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</si>
  <si>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</si>
  <si>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</si>
  <si>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</si>
  <si>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</si>
  <si>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</si>
  <si>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</si>
  <si>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</si>
  <si>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</si>
  <si>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</si>
  <si>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</si>
  <si>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</si>
  <si>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</si>
  <si>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</si>
  <si>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</si>
  <si>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</si>
  <si>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</si>
  <si>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</si>
  <si>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</si>
  <si>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</si>
  <si>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</si>
  <si>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</si>
  <si>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</si>
  <si>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</si>
  <si>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</si>
  <si>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</si>
  <si>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</si>
  <si>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</si>
  <si>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</si>
  <si>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</si>
  <si>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</si>
  <si>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</si>
  <si>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</si>
  <si>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</si>
  <si>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</si>
  <si>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</si>
  <si>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</si>
  <si>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</si>
  <si>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</si>
  <si>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</si>
  <si>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</si>
  <si>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</si>
  <si>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</si>
  <si>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</si>
  <si>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</si>
  <si>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</si>
  <si>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</si>
  <si>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</si>
  <si>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</si>
  <si>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</si>
  <si>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</si>
  <si>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</si>
  <si>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</si>
  <si>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</si>
  <si>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</si>
  <si>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</si>
  <si>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</si>
  <si>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</si>
  <si>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</si>
  <si>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</si>
  <si>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</si>
  <si>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</si>
  <si>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</si>
  <si>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</si>
  <si>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</si>
  <si>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</si>
  <si>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</si>
  <si>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</si>
  <si>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</si>
  <si>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</si>
  <si>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</si>
  <si>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</si>
  <si>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</si>
  <si>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</si>
  <si>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</si>
  <si>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</si>
  <si>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</si>
  <si>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</si>
  <si>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</si>
  <si>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</si>
  <si>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</si>
  <si>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</si>
  <si>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</si>
  <si>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</si>
  <si>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</si>
  <si>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</si>
  <si>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</si>
  <si>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</si>
  <si>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</si>
  <si>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</si>
  <si>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</si>
  <si>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</si>
  <si>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</si>
  <si>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</si>
  <si>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</si>
  <si>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</si>
  <si>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</si>
  <si>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</si>
  <si>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</si>
  <si>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</si>
  <si>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</si>
  <si>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</si>
  <si>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</si>
  <si>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</si>
  <si>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</si>
  <si>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</si>
  <si>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</si>
  <si>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</si>
  <si>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</si>
  <si>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</si>
  <si>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</si>
  <si>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</si>
  <si>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</si>
  <si>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</si>
  <si>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</si>
  <si>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</si>
  <si>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</si>
  <si>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</si>
  <si>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</si>
  <si>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</si>
  <si>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</si>
  <si>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</si>
  <si>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</si>
  <si>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</si>
  <si>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</si>
  <si>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</si>
  <si>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</si>
  <si>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</si>
  <si>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</si>
  <si>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</si>
  <si>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</si>
  <si>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</si>
  <si>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</si>
  <si>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</si>
  <si>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</si>
  <si>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</si>
  <si>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</si>
  <si>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</si>
  <si>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</si>
  <si>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</si>
  <si>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</si>
  <si>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</si>
  <si>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</si>
  <si>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</si>
  <si>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</si>
  <si>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</si>
  <si>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</si>
  <si>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</si>
  <si>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</si>
  <si>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</si>
  <si>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</si>
  <si>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</si>
  <si>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</si>
  <si>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</si>
  <si>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</si>
  <si>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</si>
  <si>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</si>
  <si>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</si>
  <si>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</si>
  <si>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</si>
  <si>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</si>
  <si>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</si>
  <si>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</si>
  <si>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</si>
  <si>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</si>
  <si>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</si>
  <si>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</si>
  <si>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</si>
  <si>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</si>
  <si>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</si>
  <si>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</si>
  <si>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</si>
  <si>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</si>
  <si>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</si>
  <si>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</si>
  <si>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</si>
  <si>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</si>
  <si>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</si>
  <si>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</si>
  <si>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</si>
  <si>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</si>
  <si>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</si>
  <si>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</si>
  <si>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</si>
  <si>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</si>
  <si>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</si>
  <si>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</si>
  <si>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</si>
  <si>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</si>
  <si>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</si>
  <si>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</si>
  <si>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</si>
  <si>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</si>
  <si>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</si>
  <si>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</si>
  <si>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</si>
  <si>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</si>
  <si>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</si>
  <si>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</si>
  <si>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</si>
  <si>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</si>
  <si>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</si>
  <si>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</si>
  <si>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</si>
  <si>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</si>
  <si>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</si>
  <si>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</si>
  <si>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</si>
  <si>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</si>
  <si>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</si>
  <si>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</si>
  <si>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</si>
  <si>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</si>
  <si>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</si>
  <si>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</si>
  <si>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</si>
  <si>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</si>
  <si>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</si>
  <si>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</si>
  <si>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</si>
  <si>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</si>
  <si>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</si>
  <si>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</si>
  <si>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</si>
  <si>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</si>
  <si>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</si>
  <si>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</si>
  <si>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</si>
  <si>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</si>
  <si>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</si>
  <si>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</si>
  <si>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</si>
  <si>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</si>
  <si>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</si>
  <si>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</si>
  <si>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</si>
  <si>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</si>
  <si>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</si>
  <si>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</si>
  <si>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</si>
  <si>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</si>
  <si>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</si>
  <si>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</si>
  <si>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</si>
  <si>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</si>
  <si>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</si>
  <si>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</si>
  <si>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</si>
  <si>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</si>
  <si>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</si>
  <si>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</si>
  <si>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</si>
  <si>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</si>
  <si>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</si>
  <si>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</si>
  <si>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</si>
  <si>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</si>
  <si>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</si>
  <si>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</si>
  <si>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</si>
  <si>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</si>
  <si>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</si>
  <si>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</si>
  <si>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</si>
  <si>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</si>
  <si>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</si>
  <si>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</si>
  <si>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</si>
  <si>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</si>
  <si>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</si>
  <si>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</si>
  <si>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</si>
  <si>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</si>
  <si>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</si>
  <si>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</si>
  <si>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</si>
  <si>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</si>
  <si>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</si>
  <si>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</si>
  <si>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</si>
  <si>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</si>
  <si>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</si>
  <si>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</si>
  <si>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</si>
  <si>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</si>
  <si>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</si>
  <si>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</si>
  <si>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</si>
  <si>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</si>
  <si>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</si>
  <si>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</si>
  <si>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</si>
  <si>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</si>
  <si>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</si>
  <si>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</si>
  <si>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</si>
  <si>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</si>
  <si>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</si>
  <si>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</si>
  <si>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</si>
  <si>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</si>
  <si>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</si>
  <si>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</si>
  <si>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</si>
  <si>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</si>
  <si>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</si>
  <si>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</si>
  <si>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</si>
  <si>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</si>
  <si>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</si>
  <si>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</si>
  <si>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</si>
  <si>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</si>
  <si>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</si>
  <si>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</si>
  <si>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</si>
  <si>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</si>
  <si>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</si>
  <si>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</si>
  <si>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</si>
  <si>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</si>
  <si>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</si>
  <si>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</si>
  <si>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</si>
  <si>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</si>
  <si>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</si>
  <si>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</si>
  <si>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</si>
  <si>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</si>
  <si>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</si>
  <si>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</si>
  <si>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</si>
  <si>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</si>
  <si>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</si>
  <si>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</si>
  <si>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</si>
  <si>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</si>
  <si>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</si>
  <si>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</si>
  <si>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</si>
  <si>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</si>
  <si>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</si>
  <si>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</si>
  <si>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</si>
  <si>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</si>
  <si>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</si>
  <si>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</si>
  <si>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</si>
  <si>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</si>
  <si>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</si>
  <si>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</si>
  <si>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</si>
  <si>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</si>
  <si>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</si>
  <si>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</si>
  <si>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</si>
  <si>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</si>
  <si>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</si>
  <si>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</si>
  <si>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</si>
  <si>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</si>
  <si>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</si>
  <si>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</si>
  <si>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</si>
  <si>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</si>
  <si>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</si>
  <si>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</si>
  <si>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</si>
  <si>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</si>
  <si>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</si>
  <si>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</si>
  <si>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</si>
  <si>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</si>
  <si>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</si>
  <si>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</si>
  <si>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</si>
  <si>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</si>
  <si>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</si>
  <si>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</si>
  <si>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</si>
  <si>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</si>
  <si>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</si>
  <si>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</si>
  <si>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</si>
  <si>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</si>
  <si>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</si>
  <si>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</si>
  <si>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</si>
  <si>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</si>
  <si>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</si>
  <si>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</si>
  <si>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</si>
  <si>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</si>
  <si>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</si>
  <si>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</si>
  <si>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</si>
  <si>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</si>
  <si>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</si>
  <si>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</si>
  <si>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</si>
  <si>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</si>
  <si>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</si>
  <si>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</si>
  <si>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</si>
  <si>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</si>
  <si>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</si>
  <si>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</si>
  <si>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</si>
  <si>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</si>
  <si>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</si>
  <si>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</si>
  <si>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</si>
  <si>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</si>
  <si>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</si>
  <si>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</si>
  <si>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</si>
  <si>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</si>
  <si>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</si>
  <si>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</si>
  <si>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</si>
  <si>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</si>
  <si>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</si>
  <si>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</si>
  <si>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</si>
  <si>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</si>
  <si>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</si>
  <si>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</si>
  <si>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</si>
  <si>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</si>
  <si>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</si>
  <si>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</si>
  <si>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</si>
  <si>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</si>
  <si>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</si>
  <si>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</si>
  <si>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</si>
  <si>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</si>
  <si>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</si>
  <si>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</si>
  <si>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</si>
  <si>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</si>
  <si>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</si>
  <si>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</si>
  <si>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</si>
  <si>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Shattuck-Walnut</t>
  </si>
  <si>
    <t>Walnut-Oxford</t>
  </si>
  <si>
    <t>Oxford-Spruce</t>
  </si>
  <si>
    <t>Spruce-Arch/Le Conte</t>
  </si>
  <si>
    <t>Arch/Le Conte-Euclid</t>
  </si>
  <si>
    <t>Euclid-Le Roy</t>
  </si>
  <si>
    <t>Le Roy-La Loma</t>
  </si>
  <si>
    <t>Bike lane -- 5ft</t>
  </si>
  <si>
    <t>0.0 if N/A  Parking</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</si>
  <si>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</si>
  <si>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</si>
  <si>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</si>
  <si>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</si>
  <si>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</si>
  <si>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</si>
  <si>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</si>
  <si>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</si>
  <si>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</si>
  <si>
    <t>Towards Shattuck -- West ; Towards Peidmont -- East</t>
  </si>
  <si>
    <t>Corridor Name: Hearst Avenue</t>
  </si>
  <si>
    <r>
      <t>t</t>
    </r>
    <r>
      <rPr>
        <vertAlign val="subscript"/>
        <sz val="10"/>
        <color theme="1"/>
        <rFont val="Times New Roman"/>
        <family val="1"/>
      </rPr>
      <t>sp</t>
    </r>
  </si>
  <si>
    <t>Bicycle start-up and clearance time (s)</t>
  </si>
  <si>
    <t>Pedestrian start-up and clearance time (s)</t>
  </si>
  <si>
    <t>Bicycle flow rate (bikes/s)</t>
  </si>
  <si>
    <t>Pedestrian crossing speed (ft/s)</t>
  </si>
  <si>
    <t>Volume</t>
  </si>
  <si>
    <t>Speed</t>
  </si>
  <si>
    <t>Lanes</t>
  </si>
  <si>
    <t>Signal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</si>
</sst>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
  </numFmts>
  <fonts count="36"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imes New Roman"/>
      <family val="1"/>
    </font>
    <font>
      <sz val="10"/>
      <color rgb="FF000000"/>
      <name val="Calibri"/>
      <family val="2"/>
    </font>
  </fonts>
  <fills count="12">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E2EFDA"/>
        <bgColor rgb="FF000000"/>
      </patternFill>
    </fill>
    <fill>
      <patternFill patternType="solid">
        <fgColor theme="0" tint="-0.249977111117893"/>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18">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4" fillId="10" borderId="1" xfId="0" applyFont="1" applyFill="1" applyBorder="1" applyAlignment="1">
      <alignment horizontal="center" vertical="center"/>
    </xf>
    <xf numFmtId="0" fontId="34" fillId="10" borderId="3" xfId="0" applyFont="1" applyFill="1" applyBorder="1" applyAlignment="1">
      <alignment horizontal="center" vertical="center"/>
    </xf>
    <xf numFmtId="9" fontId="34" fillId="10" borderId="1" xfId="0" applyNumberFormat="1" applyFont="1" applyFill="1" applyBorder="1" applyAlignment="1">
      <alignment horizontal="center" vertical="center"/>
    </xf>
    <xf numFmtId="9" fontId="34" fillId="10"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1" borderId="1" xfId="1" applyNumberFormat="1" applyFont="1" applyFill="1" applyBorder="1" applyAlignment="1">
      <alignment horizontal="center" vertical="center"/>
    </xf>
    <xf numFmtId="1" fontId="3" fillId="11" borderId="0" xfId="1" applyNumberFormat="1" applyFont="1" applyFill="1" applyBorder="1" applyAlignment="1">
      <alignment horizontal="center" vertical="center"/>
    </xf>
    <xf numFmtId="1" fontId="3" fillId="11" borderId="3" xfId="1"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9" fontId="21" fillId="7" borderId="1" xfId="1" applyNumberFormat="1" applyFont="1" applyFill="1" applyBorder="1" applyAlignment="1">
      <alignment horizontal="center" vertical="center"/>
    </xf>
    <xf numFmtId="164" fontId="3" fillId="2" borderId="0" xfId="0" applyNumberFormat="1"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165" fontId="21" fillId="8" borderId="1"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 xfId="0" applyNumberFormat="1" applyFont="1" applyFill="1" applyBorder="1" applyAlignment="1">
      <alignment horizontal="center" vertical="center"/>
    </xf>
    <xf numFmtId="165" fontId="3" fillId="5"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5" fillId="3" borderId="3" xfId="0"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14" fillId="3" borderId="1"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5</xdr:col>
      <xdr:colOff>191000</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581026</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3-23T19:31:14.23" personId="{8EC583E6-9280-5C44-8085-B3CE4CF73D09}" id="{CEC18792-9151-D148-978E-62E1CA92974B}">
    <text>Intersection west of segment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N18" dT="2020-03-16T08:35:37.75" personId="{8EC583E6-9280-5C44-8085-B3CE4CF73D09}" id="{0E3395E6-1C09-D04A-824C-44CD71497391}">
    <text>bikelane + 2 ft buffer</text>
  </threadedComment>
</ThreadedComments>
</file>

<file path=xl/threadedComments/threadedComment3.xml><?xml version="1.0" encoding="utf-8"?>
<ThreadedComments xmlns="http://schemas.microsoft.com/office/spreadsheetml/2018/threadedcomments" xmlns:x="http://schemas.openxmlformats.org/spreadsheetml/2006/main">
  <threadedComment ref="F20" dT="2020-03-23T19:08:35.59" personId="{8EC583E6-9280-5C44-8085-B3CE4CF73D09}" id="{6F6315D0-657F-164E-81F9-5A570810DD2F}">
    <text>110% of Oxford, similar usage</text>
  </threadedComment>
  <threadedComment ref="F21" dT="2020-03-23T19:10:29.59" personId="{8EC583E6-9280-5C44-8085-B3CE4CF73D09}" id="{5741E6DE-48D6-9446-9B74-68C4B2459BA0}">
    <text>110% of Oxford, similar usage</text>
  </threadedComment>
  <threadedComment ref="AH21" dT="2020-03-23T19:08:05.04" personId="{8EC583E6-9280-5C44-8085-B3CE4CF73D09}" id="{BD972E46-E5B9-8444-B7D1-7CFB95647515}">
    <text>110% of Euclid, similar usage</text>
  </threadedComment>
  <threadedComment ref="F22" dT="2020-03-23T19:15:07.72" personId="{8EC583E6-9280-5C44-8085-B3CE4CF73D09}" id="{BC3DB4BD-2F13-8542-B655-32BE7DE4B41D}">
    <text>110% of Oxford, similar usage</text>
  </threadedComment>
  <threadedComment ref="AH22" dT="2020-03-23T19:14:29.68" personId="{8EC583E6-9280-5C44-8085-B3CE4CF73D09}" id="{293AF5B7-EF3E-CB4A-8CDD-71451BC5E88B}">
    <text>110% of Euclid, similar usage</text>
  </threadedComment>
  <threadedComment ref="F23" dT="2020-03-23T19:15:12.57" personId="{8EC583E6-9280-5C44-8085-B3CE4CF73D09}" id="{D9CA49C9-F8AC-C54F-A57D-022A56EFD7D8}">
    <text>110% of Oxford, similar usage</text>
  </threadedComment>
  <threadedComment ref="AH23" dT="2020-03-23T19:14:35.15" personId="{8EC583E6-9280-5C44-8085-B3CE4CF73D09}" id="{42C92738-68DC-CB4A-B7FE-2864369BF899}">
    <text>110% of Euclid, similar usage</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zoomScale="120" zoomScaleNormal="120" workbookViewId="0">
      <selection activeCell="A7" sqref="A7:XFD7"/>
    </sheetView>
  </sheetViews>
  <sheetFormatPr defaultColWidth="9" defaultRowHeight="15.75" x14ac:dyDescent="0.25"/>
  <cols>
    <col min="1" max="1" width="2.125" style="183" customWidth="1"/>
    <col min="2" max="2" width="9" style="183"/>
    <col min="3" max="3" width="4.375" style="185" bestFit="1" customWidth="1"/>
    <col min="4" max="4" width="15.875" style="185" bestFit="1" customWidth="1"/>
    <col min="5" max="5" width="10.375" style="183" bestFit="1" customWidth="1"/>
    <col min="6" max="6" width="10.375" style="183" customWidth="1"/>
    <col min="7" max="20" width="9" style="183"/>
    <col min="21" max="21" width="5.5" style="183" customWidth="1"/>
    <col min="22" max="22" width="6.375" style="183" bestFit="1" customWidth="1"/>
    <col min="23" max="23" width="9.625" style="183" bestFit="1" customWidth="1"/>
    <col min="24" max="16384" width="9" style="183"/>
  </cols>
  <sheetData>
    <row r="1" spans="2:28" ht="16.5" thickBot="1" x14ac:dyDescent="0.3"/>
    <row r="2" spans="2:28" x14ac:dyDescent="0.25">
      <c r="B2" s="189"/>
      <c r="C2" s="190"/>
      <c r="D2" s="190"/>
      <c r="E2" s="191"/>
      <c r="F2" s="191"/>
      <c r="G2" s="191"/>
      <c r="H2" s="191"/>
      <c r="I2" s="191"/>
      <c r="J2" s="191"/>
      <c r="K2" s="191"/>
      <c r="L2" s="191"/>
      <c r="M2" s="191"/>
      <c r="N2" s="191"/>
      <c r="O2" s="191"/>
      <c r="P2" s="191"/>
      <c r="Q2" s="191"/>
      <c r="R2" s="191"/>
      <c r="S2" s="191"/>
      <c r="T2" s="192"/>
    </row>
    <row r="3" spans="2:28" x14ac:dyDescent="0.25">
      <c r="B3" s="193"/>
      <c r="C3" s="187"/>
      <c r="D3" s="187"/>
      <c r="E3" s="184"/>
      <c r="F3" s="184"/>
      <c r="G3" s="295" t="s">
        <v>464</v>
      </c>
      <c r="H3" s="295"/>
      <c r="I3" s="295"/>
      <c r="J3" s="295"/>
      <c r="K3" s="295"/>
      <c r="L3" s="295"/>
      <c r="M3" s="184"/>
      <c r="N3" s="184"/>
      <c r="O3" s="184"/>
      <c r="P3" s="184"/>
      <c r="Q3" s="184"/>
      <c r="R3" s="184"/>
      <c r="S3" s="184"/>
      <c r="T3" s="194"/>
    </row>
    <row r="4" spans="2:28" x14ac:dyDescent="0.25">
      <c r="B4" s="193"/>
      <c r="C4" s="187"/>
      <c r="D4" s="187"/>
      <c r="E4" s="184"/>
      <c r="F4" s="184"/>
      <c r="G4" s="184"/>
      <c r="H4" s="184"/>
      <c r="I4" s="184"/>
      <c r="J4" s="184"/>
      <c r="K4" s="184"/>
      <c r="L4" s="184"/>
      <c r="M4" s="184"/>
      <c r="N4" s="184"/>
      <c r="O4" s="184"/>
      <c r="P4" s="184"/>
      <c r="Q4" s="184"/>
      <c r="R4" s="184"/>
      <c r="S4" s="184"/>
      <c r="T4" s="194"/>
    </row>
    <row r="5" spans="2:28" x14ac:dyDescent="0.25">
      <c r="B5" s="193"/>
      <c r="C5" s="199"/>
      <c r="D5" s="199"/>
      <c r="E5" s="296" t="s">
        <v>327</v>
      </c>
      <c r="F5" s="293"/>
      <c r="G5" s="293"/>
      <c r="H5" s="293"/>
      <c r="I5" s="293"/>
      <c r="J5" s="293"/>
      <c r="K5" s="293" t="s">
        <v>328</v>
      </c>
      <c r="L5" s="293"/>
      <c r="M5" s="293"/>
      <c r="N5" s="293"/>
      <c r="O5" s="294"/>
      <c r="P5" s="280" t="s">
        <v>192</v>
      </c>
      <c r="Q5" s="281"/>
      <c r="R5" s="281"/>
      <c r="S5" s="281"/>
      <c r="T5" s="194"/>
    </row>
    <row r="6" spans="2:28" ht="16.5" thickBot="1" x14ac:dyDescent="0.3">
      <c r="B6" s="193"/>
      <c r="C6" s="201"/>
      <c r="D6" s="201" t="s">
        <v>350</v>
      </c>
      <c r="E6" s="296" t="s">
        <v>69</v>
      </c>
      <c r="F6" s="293"/>
      <c r="G6" s="293" t="s">
        <v>70</v>
      </c>
      <c r="H6" s="293"/>
      <c r="I6" s="293" t="s">
        <v>63</v>
      </c>
      <c r="J6" s="294"/>
      <c r="K6" s="220"/>
      <c r="L6" s="293" t="s">
        <v>69</v>
      </c>
      <c r="M6" s="293"/>
      <c r="N6" s="293" t="s">
        <v>70</v>
      </c>
      <c r="O6" s="294"/>
      <c r="P6" s="293" t="s">
        <v>69</v>
      </c>
      <c r="Q6" s="293"/>
      <c r="R6" s="293" t="s">
        <v>70</v>
      </c>
      <c r="S6" s="294"/>
      <c r="T6" s="194"/>
    </row>
    <row r="7" spans="2:28" ht="27.75" thickBot="1" x14ac:dyDescent="0.3">
      <c r="B7" s="193"/>
      <c r="C7" s="214" t="s">
        <v>329</v>
      </c>
      <c r="D7" s="214"/>
      <c r="E7" s="215" t="s">
        <v>338</v>
      </c>
      <c r="F7" s="216" t="s">
        <v>330</v>
      </c>
      <c r="G7" s="217" t="s">
        <v>331</v>
      </c>
      <c r="H7" s="217" t="s">
        <v>330</v>
      </c>
      <c r="I7" s="216" t="s">
        <v>339</v>
      </c>
      <c r="J7" s="218" t="s">
        <v>330</v>
      </c>
      <c r="K7" s="219" t="s">
        <v>367</v>
      </c>
      <c r="L7" s="217" t="s">
        <v>341</v>
      </c>
      <c r="M7" s="217" t="s">
        <v>330</v>
      </c>
      <c r="N7" s="216" t="s">
        <v>340</v>
      </c>
      <c r="O7" s="218" t="s">
        <v>330</v>
      </c>
      <c r="P7" s="221" t="s">
        <v>368</v>
      </c>
      <c r="Q7" s="217" t="s">
        <v>330</v>
      </c>
      <c r="R7" s="216" t="s">
        <v>342</v>
      </c>
      <c r="S7" s="218" t="s">
        <v>330</v>
      </c>
      <c r="T7" s="194"/>
      <c r="V7" s="181" t="s">
        <v>336</v>
      </c>
      <c r="W7" s="182" t="s">
        <v>335</v>
      </c>
    </row>
    <row r="8" spans="2:28" x14ac:dyDescent="0.25">
      <c r="B8" s="193"/>
      <c r="C8" s="109">
        <v>1</v>
      </c>
      <c r="D8" s="109" t="s">
        <v>356</v>
      </c>
      <c r="E8" s="178">
        <f>Links!F91</f>
        <v>1.4003964760236025</v>
      </c>
      <c r="F8" s="179" t="str">
        <f t="shared" ref="F8:F29" si="0">IF(E8="","",IF(E8&lt;=$W$8,$V$8,IF(E8&lt;=$W$9,$V$9,IF(E8&lt;=$W$10,$V$10,IF(E8&lt;=$W$11,$V$11,IF(E8&lt;=$W$12,$V$12,$V$13))))))</f>
        <v>A</v>
      </c>
      <c r="G8" s="171">
        <f>Links!F94</f>
        <v>4.0161952421554714</v>
      </c>
      <c r="H8" s="171" t="str">
        <f t="shared" ref="H8:H29" si="1">IF(G8="","",IF(G8&lt;=$W$8,$V$8,IF(G8&lt;=$W$9,$V$9,IF(G8&lt;=$W$10,$V$10,IF(G8&lt;=$W$11,$V$11,IF(G8&lt;=$W$12,$V$12,$V$13))))))</f>
        <v>D</v>
      </c>
      <c r="I8" s="179">
        <f>Links!F97</f>
        <v>1.7658449627305508</v>
      </c>
      <c r="J8" s="200" t="str">
        <f t="shared" ref="J8:J29" si="2">IF(I8="","",IF(I8&lt;=$W$8,$V$8,IF(I8&lt;=$W$9,$V$9,IF(I8&lt;=$W$10,$V$10,IF(I8&lt;=$W$11,$V$11,IF(I8&lt;=$W$12,$V$12,$V$13))))))</f>
        <v>A</v>
      </c>
      <c r="K8" s="213" t="s">
        <v>359</v>
      </c>
      <c r="L8" s="171">
        <f>Intersections!F117</f>
        <v>2.6137476156342201</v>
      </c>
      <c r="M8" s="171" t="str">
        <f t="shared" ref="M8:M29" si="3">IF(L8="-","-",IF(L8&lt;=$W$8,$V$8,IF(L8&lt;=$W$9,$V$9,IF(L8&lt;=$W$10,$V$10,IF(L8&lt;=$W$11,$V$11,IF(L8&lt;=$W$12,$V$12,$V$13))))))</f>
        <v>B</v>
      </c>
      <c r="N8" s="179">
        <f>Intersections!F120</f>
        <v>2.7107749999999995</v>
      </c>
      <c r="O8" s="200" t="str">
        <f t="shared" ref="O8:O29" si="4">IF(N8="","",IF(N8&lt;=$W$8,$V$8,IF(N8&lt;=$W$9,$V$9,IF(N8&lt;=$W$10,$V$10,IF(N8&lt;=$W$11,$V$11,IF(N8&lt;=$W$12,$V$12,$V$13))))))</f>
        <v>B</v>
      </c>
      <c r="P8" s="168">
        <f>Segments!E42</f>
        <v>1.9213440479363686</v>
      </c>
      <c r="Q8" s="171" t="str">
        <f>IF(P8="","",IF(P8&lt;=$W$8,$V$8,IF(P8&lt;=$W$9,$V$9,IF(P8&lt;=$W$10,$V$10,IF(P8&lt;=$W$11,$V$11,IF(P8&lt;=$W$12,$V$12,$V$13))))))</f>
        <v>A</v>
      </c>
      <c r="R8" s="179">
        <f>Segments!E47</f>
        <v>2.8899496613036053</v>
      </c>
      <c r="S8" s="200" t="str">
        <f>IF(R8="","",IF(R8&lt;=$W$8,$V$8,IF(R8&lt;=$W$9,$V$9,IF(R8&lt;=$W$10,$V$10,IF(R8&lt;=$W$11,$V$11,IF(R8&lt;=$W$12,$V$12,$V$13))))))</f>
        <v>C</v>
      </c>
      <c r="T8" s="194"/>
      <c r="V8" s="209" t="s">
        <v>326</v>
      </c>
      <c r="W8" s="180">
        <v>2</v>
      </c>
      <c r="AB8" s="186"/>
    </row>
    <row r="9" spans="2:28" x14ac:dyDescent="0.25">
      <c r="B9" s="193"/>
      <c r="C9" s="109">
        <v>2</v>
      </c>
      <c r="D9" s="109" t="s">
        <v>357</v>
      </c>
      <c r="E9" s="178">
        <f>Links!H91</f>
        <v>1.514146476023603</v>
      </c>
      <c r="F9" s="179" t="str">
        <f t="shared" si="0"/>
        <v>A</v>
      </c>
      <c r="G9" s="171">
        <f>Links!H94</f>
        <v>4.0877220914732444</v>
      </c>
      <c r="H9" s="171" t="str">
        <f t="shared" si="1"/>
        <v>D</v>
      </c>
      <c r="I9" s="179">
        <f>Links!H97</f>
        <v>1.7829074627305508</v>
      </c>
      <c r="J9" s="200" t="str">
        <f t="shared" si="2"/>
        <v>A</v>
      </c>
      <c r="K9" s="213" t="s">
        <v>360</v>
      </c>
      <c r="L9" s="171">
        <f>Intersections!J117</f>
        <v>2.0399954640252118</v>
      </c>
      <c r="M9" s="171" t="str">
        <f t="shared" si="3"/>
        <v>B</v>
      </c>
      <c r="N9" s="179">
        <f>Intersections!J120</f>
        <v>2.2087249999999994</v>
      </c>
      <c r="O9" s="200" t="str">
        <f t="shared" si="4"/>
        <v>B</v>
      </c>
      <c r="P9" s="168">
        <f>Segments!G42</f>
        <v>1.4253604781503924</v>
      </c>
      <c r="Q9" s="171" t="str">
        <f t="shared" ref="Q9:Q27" si="5">IF(P9="","",IF(P9&lt;=$W$8,$V$8,IF(P9&lt;=$W$9,$V$9,IF(P9&lt;=$W$10,$V$10,IF(P9&lt;=$W$11,$V$11,IF(P9&lt;=$W$12,$V$12,$V$13))))))</f>
        <v>A</v>
      </c>
      <c r="R9" s="179" t="e">
        <f>Segments!G47</f>
        <v>#DIV/0!</v>
      </c>
      <c r="S9" s="200" t="e">
        <f>IF(R9="","",IF(R9&lt;=$W$8,$V$8,IF(R9&lt;=$W$9,$V$9,IF(R9&lt;=$W$10,$V$10,IF(R9&lt;=$W$11,$V$11,IF(R9&lt;=$W$12,$V$12,$V$13))))))</f>
        <v>#DIV/0!</v>
      </c>
      <c r="T9" s="194"/>
      <c r="V9" s="209" t="s">
        <v>325</v>
      </c>
      <c r="W9" s="180">
        <v>2.75</v>
      </c>
    </row>
    <row r="10" spans="2:28" x14ac:dyDescent="0.25">
      <c r="B10" s="193"/>
      <c r="C10" s="109">
        <v>3</v>
      </c>
      <c r="D10" s="109" t="s">
        <v>358</v>
      </c>
      <c r="E10" s="178">
        <f>Links!J91</f>
        <v>2.0178958466638228</v>
      </c>
      <c r="F10" s="179" t="str">
        <f t="shared" si="0"/>
        <v>B</v>
      </c>
      <c r="G10" s="171">
        <f>Links!J94</f>
        <v>4.3456421891764423</v>
      </c>
      <c r="H10" s="171" t="str">
        <f t="shared" si="1"/>
        <v>E</v>
      </c>
      <c r="I10" s="179">
        <f>Links!J97</f>
        <v>1.8584698683265839</v>
      </c>
      <c r="J10" s="200" t="str">
        <f t="shared" si="2"/>
        <v>A</v>
      </c>
      <c r="K10" s="213" t="s">
        <v>361</v>
      </c>
      <c r="L10" s="171">
        <f>Intersections!N117</f>
        <v>2.7298069022034546</v>
      </c>
      <c r="M10" s="171" t="str">
        <f t="shared" si="3"/>
        <v>B</v>
      </c>
      <c r="N10" s="179">
        <f>Intersections!N120</f>
        <v>3.2047249999999998</v>
      </c>
      <c r="O10" s="200" t="str">
        <f t="shared" si="4"/>
        <v>C</v>
      </c>
      <c r="P10" s="168">
        <f>Segments!I42</f>
        <v>2.2972238190438503</v>
      </c>
      <c r="Q10" s="171" t="str">
        <f t="shared" si="5"/>
        <v>B</v>
      </c>
      <c r="R10" s="179" t="e">
        <f>Segments!I47</f>
        <v>#DIV/0!</v>
      </c>
      <c r="S10" s="200" t="e">
        <f t="shared" ref="S10" si="6">IF(R10="","",IF(R10&lt;=$W$8,$V$8,IF(R10&lt;=$W$9,$V$9,IF(R10&lt;=$W$10,$V$10,IF(R10&lt;=$W$11,$V$11,IF(R10&lt;=$W$12,$V$12,$V$13))))))</f>
        <v>#DIV/0!</v>
      </c>
      <c r="T10" s="194"/>
      <c r="V10" s="209" t="s">
        <v>160</v>
      </c>
      <c r="W10" s="180">
        <v>3.5</v>
      </c>
    </row>
    <row r="11" spans="2:28" x14ac:dyDescent="0.25">
      <c r="B11" s="193"/>
      <c r="C11" s="109">
        <v>4</v>
      </c>
      <c r="D11" s="109" t="s">
        <v>355</v>
      </c>
      <c r="E11" s="178">
        <f>Links!L91</f>
        <v>2.0906414342001698</v>
      </c>
      <c r="F11" s="179" t="str">
        <f t="shared" si="0"/>
        <v>B</v>
      </c>
      <c r="G11" s="171">
        <f>Links!L94</f>
        <v>4.0490137569543307</v>
      </c>
      <c r="H11" s="171" t="str">
        <f t="shared" si="1"/>
        <v>D</v>
      </c>
      <c r="I11" s="179">
        <f>Links!L97</f>
        <v>1.8693817064570357</v>
      </c>
      <c r="J11" s="200" t="str">
        <f t="shared" si="2"/>
        <v>A</v>
      </c>
      <c r="K11" s="213" t="s">
        <v>362</v>
      </c>
      <c r="L11" s="171">
        <f>Intersections!R117</f>
        <v>2.2377169516427688</v>
      </c>
      <c r="M11" s="171" t="str">
        <f t="shared" si="3"/>
        <v>B</v>
      </c>
      <c r="N11" s="179">
        <f>Intersections!R120</f>
        <v>2.0597749999999992</v>
      </c>
      <c r="O11" s="200" t="str">
        <f t="shared" si="4"/>
        <v>B</v>
      </c>
      <c r="P11" s="168">
        <f>Segments!K42</f>
        <v>1.8140164483819625</v>
      </c>
      <c r="Q11" s="171" t="str">
        <f t="shared" si="5"/>
        <v>A</v>
      </c>
      <c r="R11" s="179" t="e">
        <f>Segments!K47</f>
        <v>#DIV/0!</v>
      </c>
      <c r="S11" s="200" t="e">
        <f t="shared" ref="S11" si="7">IF(R11="","",IF(R11&lt;=$W$8,$V$8,IF(R11&lt;=$W$9,$V$9,IF(R11&lt;=$W$10,$V$10,IF(R11&lt;=$W$11,$V$11,IF(R11&lt;=$W$12,$V$12,$V$13))))))</f>
        <v>#DIV/0!</v>
      </c>
      <c r="T11" s="194"/>
      <c r="V11" s="209" t="s">
        <v>332</v>
      </c>
      <c r="W11" s="180">
        <v>4.25</v>
      </c>
    </row>
    <row r="12" spans="2:28" x14ac:dyDescent="0.25">
      <c r="B12" s="193"/>
      <c r="C12" s="109">
        <v>5</v>
      </c>
      <c r="D12" s="109" t="s">
        <v>351</v>
      </c>
      <c r="E12" s="178">
        <f>Links!N91</f>
        <v>1.8296513252853428</v>
      </c>
      <c r="F12" s="179" t="str">
        <f t="shared" si="0"/>
        <v>A</v>
      </c>
      <c r="G12" s="171">
        <f>Links!N94</f>
        <v>4.2210550268287879</v>
      </c>
      <c r="H12" s="171" t="str">
        <f t="shared" si="1"/>
        <v>D</v>
      </c>
      <c r="I12" s="179">
        <f>Links!N97</f>
        <v>1.8302331901198117</v>
      </c>
      <c r="J12" s="200" t="str">
        <f t="shared" si="2"/>
        <v>A</v>
      </c>
      <c r="K12" s="213" t="s">
        <v>363</v>
      </c>
      <c r="L12" s="171">
        <f>Intersections!V117</f>
        <v>2.2093809944067542</v>
      </c>
      <c r="M12" s="171" t="str">
        <f t="shared" si="3"/>
        <v>B</v>
      </c>
      <c r="N12" s="179">
        <f>Intersections!V120</f>
        <v>2.7701750000000001</v>
      </c>
      <c r="O12" s="200" t="str">
        <f t="shared" si="4"/>
        <v>C</v>
      </c>
      <c r="P12" s="168">
        <f>Segments!M42</f>
        <v>1.6989884232478407</v>
      </c>
      <c r="Q12" s="171" t="str">
        <f t="shared" si="5"/>
        <v>A</v>
      </c>
      <c r="R12" s="179">
        <f>Segments!M47</f>
        <v>2.9994825296671896</v>
      </c>
      <c r="S12" s="200" t="str">
        <f t="shared" ref="S12" si="8">IF(R12="","",IF(R12&lt;=$W$8,$V$8,IF(R12&lt;=$W$9,$V$9,IF(R12&lt;=$W$10,$V$10,IF(R12&lt;=$W$11,$V$11,IF(R12&lt;=$W$12,$V$12,$V$13))))))</f>
        <v>C</v>
      </c>
      <c r="T12" s="194"/>
      <c r="V12" s="209" t="s">
        <v>230</v>
      </c>
      <c r="W12" s="180">
        <v>5</v>
      </c>
    </row>
    <row r="13" spans="2:28" ht="16.5" thickBot="1" x14ac:dyDescent="0.3">
      <c r="B13" s="193"/>
      <c r="C13" s="109">
        <v>6</v>
      </c>
      <c r="D13" s="109" t="s">
        <v>352</v>
      </c>
      <c r="E13" s="178">
        <f>Links!P91</f>
        <v>1.6124653316123219</v>
      </c>
      <c r="F13" s="179" t="str">
        <f t="shared" si="0"/>
        <v>A</v>
      </c>
      <c r="G13" s="171">
        <f>Links!P94</f>
        <v>4.1905335237873569</v>
      </c>
      <c r="H13" s="171" t="str">
        <f t="shared" si="1"/>
        <v>D</v>
      </c>
      <c r="I13" s="179">
        <f>Links!P97</f>
        <v>1.7976552910688586</v>
      </c>
      <c r="J13" s="200" t="str">
        <f t="shared" si="2"/>
        <v>A</v>
      </c>
      <c r="K13" s="213" t="s">
        <v>364</v>
      </c>
      <c r="L13" s="171">
        <f>Intersections!Z117</f>
        <v>2.1410783676786238</v>
      </c>
      <c r="M13" s="171" t="str">
        <f t="shared" si="3"/>
        <v>B</v>
      </c>
      <c r="N13" s="179">
        <f>Intersections!Z120</f>
        <v>2.2171999999999992</v>
      </c>
      <c r="O13" s="200" t="str">
        <f t="shared" si="4"/>
        <v>B</v>
      </c>
      <c r="P13" s="168">
        <f>Segments!O42</f>
        <v>1.6512962383702037</v>
      </c>
      <c r="Q13" s="171" t="str">
        <f t="shared" si="5"/>
        <v>A</v>
      </c>
      <c r="R13" s="179" t="e">
        <f>Segments!O47</f>
        <v>#DIV/0!</v>
      </c>
      <c r="S13" s="200" t="e">
        <f t="shared" ref="S13" si="9">IF(R13="","",IF(R13&lt;=$W$8,$V$8,IF(R13&lt;=$W$9,$V$9,IF(R13&lt;=$W$10,$V$10,IF(R13&lt;=$W$11,$V$11,IF(R13&lt;=$W$12,$V$12,$V$13))))))</f>
        <v>#DIV/0!</v>
      </c>
      <c r="T13" s="194"/>
      <c r="V13" s="210" t="s">
        <v>333</v>
      </c>
      <c r="W13" s="211" t="s">
        <v>404</v>
      </c>
    </row>
    <row r="14" spans="2:28" x14ac:dyDescent="0.25">
      <c r="B14" s="193"/>
      <c r="C14" s="109">
        <v>7</v>
      </c>
      <c r="D14" s="109" t="s">
        <v>353</v>
      </c>
      <c r="E14" s="178">
        <f>Links!R91</f>
        <v>1.621565331612322</v>
      </c>
      <c r="F14" s="179" t="str">
        <f t="shared" si="0"/>
        <v>A</v>
      </c>
      <c r="G14" s="171">
        <f>Links!R94</f>
        <v>4.1952608307630443</v>
      </c>
      <c r="H14" s="171" t="str">
        <f t="shared" si="1"/>
        <v>D</v>
      </c>
      <c r="I14" s="179">
        <f>Links!R97</f>
        <v>1.7990202910688586</v>
      </c>
      <c r="J14" s="200" t="str">
        <f t="shared" si="2"/>
        <v>A</v>
      </c>
      <c r="K14" s="213" t="s">
        <v>365</v>
      </c>
      <c r="L14" s="171">
        <f>Intersections!AD117</f>
        <v>1.899554646039306</v>
      </c>
      <c r="M14" s="171" t="str">
        <f t="shared" si="3"/>
        <v>A</v>
      </c>
      <c r="N14" s="179">
        <f>Intersections!AD120</f>
        <v>2.3857249999999994</v>
      </c>
      <c r="O14" s="200" t="str">
        <f t="shared" si="4"/>
        <v>B</v>
      </c>
      <c r="P14" s="168">
        <f>Segments!Q42</f>
        <v>1.4642983890727139</v>
      </c>
      <c r="Q14" s="171" t="str">
        <f t="shared" si="5"/>
        <v>A</v>
      </c>
      <c r="R14" s="179" t="e">
        <f>Segments!Q47</f>
        <v>#DIV/0!</v>
      </c>
      <c r="S14" s="200" t="e">
        <f t="shared" ref="S14" si="10">IF(R14="","",IF(R14&lt;=$W$8,$V$8,IF(R14&lt;=$W$9,$V$9,IF(R14&lt;=$W$10,$V$10,IF(R14&lt;=$W$11,$V$11,IF(R14&lt;=$W$12,$V$12,$V$13))))))</f>
        <v>#DIV/0!</v>
      </c>
      <c r="T14" s="194"/>
    </row>
    <row r="15" spans="2:28" x14ac:dyDescent="0.25">
      <c r="B15" s="193"/>
      <c r="C15" s="109">
        <v>8</v>
      </c>
      <c r="D15" s="109" t="s">
        <v>354</v>
      </c>
      <c r="E15" s="178" t="str">
        <f>Links!T91</f>
        <v/>
      </c>
      <c r="F15" s="179" t="str">
        <f t="shared" si="0"/>
        <v/>
      </c>
      <c r="G15" s="171" t="str">
        <f>Links!T94</f>
        <v/>
      </c>
      <c r="H15" s="171" t="str">
        <f t="shared" si="1"/>
        <v/>
      </c>
      <c r="I15" s="179" t="str">
        <f>Links!T97</f>
        <v/>
      </c>
      <c r="J15" s="200" t="str">
        <f t="shared" si="2"/>
        <v/>
      </c>
      <c r="K15" s="213" t="s">
        <v>366</v>
      </c>
      <c r="L15" s="171">
        <f>Intersections!AH117</f>
        <v>2.1093521370504922</v>
      </c>
      <c r="M15" s="171" t="str">
        <f t="shared" si="3"/>
        <v>B</v>
      </c>
      <c r="N15" s="179">
        <f>Intersections!AH120</f>
        <v>2.5933249999999997</v>
      </c>
      <c r="O15" s="200" t="str">
        <f t="shared" si="4"/>
        <v>B</v>
      </c>
      <c r="P15" s="168" t="str">
        <f>Segments!S42</f>
        <v/>
      </c>
      <c r="Q15" s="171" t="str">
        <f t="shared" si="5"/>
        <v/>
      </c>
      <c r="R15" s="179" t="str">
        <f>Segments!S47</f>
        <v/>
      </c>
      <c r="S15" s="200" t="str">
        <f t="shared" ref="S15" si="11">IF(R15="","",IF(R15&lt;=$W$8,$V$8,IF(R15&lt;=$W$9,$V$9,IF(R15&lt;=$W$10,$V$10,IF(R15&lt;=$W$11,$V$11,IF(R15&lt;=$W$12,$V$12,$V$13))))))</f>
        <v/>
      </c>
      <c r="T15" s="194"/>
    </row>
    <row r="16" spans="2:28" x14ac:dyDescent="0.25">
      <c r="B16" s="193"/>
      <c r="C16" s="109">
        <v>9</v>
      </c>
      <c r="D16" s="109"/>
      <c r="E16" s="178" t="str">
        <f>Links!V91</f>
        <v/>
      </c>
      <c r="F16" s="179" t="str">
        <f t="shared" si="0"/>
        <v/>
      </c>
      <c r="G16" s="171" t="str">
        <f>Links!V94</f>
        <v/>
      </c>
      <c r="H16" s="171" t="str">
        <f t="shared" si="1"/>
        <v/>
      </c>
      <c r="I16" s="179" t="str">
        <f>Links!V97</f>
        <v/>
      </c>
      <c r="J16" s="200" t="str">
        <f t="shared" si="2"/>
        <v/>
      </c>
      <c r="K16" s="213"/>
      <c r="L16" s="171"/>
      <c r="M16" s="171"/>
      <c r="N16" s="179" t="str">
        <f>Intersections!AL120</f>
        <v/>
      </c>
      <c r="O16" s="200" t="str">
        <f t="shared" si="4"/>
        <v/>
      </c>
      <c r="P16" s="168" t="str">
        <f>Segments!U42</f>
        <v/>
      </c>
      <c r="Q16" s="171" t="str">
        <f t="shared" si="5"/>
        <v/>
      </c>
      <c r="R16" s="179" t="str">
        <f>Segments!U47</f>
        <v/>
      </c>
      <c r="S16" s="200" t="str">
        <f t="shared" ref="S16" si="12">IF(R16="","",IF(R16&lt;=$W$8,$V$8,IF(R16&lt;=$W$9,$V$9,IF(R16&lt;=$W$10,$V$10,IF(R16&lt;=$W$11,$V$11,IF(R16&lt;=$W$12,$V$12,$V$13))))))</f>
        <v/>
      </c>
      <c r="T16" s="194"/>
    </row>
    <row r="17" spans="2:24" x14ac:dyDescent="0.25">
      <c r="B17" s="193"/>
      <c r="C17" s="109">
        <v>10</v>
      </c>
      <c r="D17" s="109"/>
      <c r="E17" s="178" t="str">
        <f>Links!X91</f>
        <v/>
      </c>
      <c r="F17" s="179" t="str">
        <f t="shared" si="0"/>
        <v/>
      </c>
      <c r="G17" s="171" t="str">
        <f>Links!X94</f>
        <v/>
      </c>
      <c r="H17" s="171" t="str">
        <f t="shared" si="1"/>
        <v/>
      </c>
      <c r="I17" s="179" t="str">
        <f>Links!X97</f>
        <v/>
      </c>
      <c r="J17" s="200" t="str">
        <f t="shared" si="2"/>
        <v/>
      </c>
      <c r="K17" s="213"/>
      <c r="L17" s="171"/>
      <c r="M17" s="171"/>
      <c r="N17" s="179" t="str">
        <f>Intersections!AP120</f>
        <v/>
      </c>
      <c r="O17" s="200" t="str">
        <f t="shared" si="4"/>
        <v/>
      </c>
      <c r="P17" s="168" t="str">
        <f>Segments!W42</f>
        <v/>
      </c>
      <c r="Q17" s="171" t="str">
        <f t="shared" si="5"/>
        <v/>
      </c>
      <c r="R17" s="179" t="str">
        <f>Segments!W47</f>
        <v/>
      </c>
      <c r="S17" s="200" t="str">
        <f t="shared" ref="S17" si="13">IF(R17="","",IF(R17&lt;=$W$8,$V$8,IF(R17&lt;=$W$9,$V$9,IF(R17&lt;=$W$10,$V$10,IF(R17&lt;=$W$11,$V$11,IF(R17&lt;=$W$12,$V$12,$V$13))))))</f>
        <v/>
      </c>
      <c r="T17" s="194"/>
    </row>
    <row r="18" spans="2:24" x14ac:dyDescent="0.25">
      <c r="B18" s="193"/>
      <c r="C18" s="109">
        <v>11</v>
      </c>
      <c r="D18" s="109"/>
      <c r="E18" s="178" t="str">
        <f>Links!Z91</f>
        <v/>
      </c>
      <c r="F18" s="179" t="str">
        <f t="shared" si="0"/>
        <v/>
      </c>
      <c r="G18" s="171" t="str">
        <f>Links!Z94</f>
        <v/>
      </c>
      <c r="H18" s="171" t="str">
        <f t="shared" si="1"/>
        <v/>
      </c>
      <c r="I18" s="179" t="str">
        <f>Links!Z97</f>
        <v/>
      </c>
      <c r="J18" s="200" t="str">
        <f t="shared" si="2"/>
        <v/>
      </c>
      <c r="K18" s="213"/>
      <c r="L18" s="171"/>
      <c r="M18" s="171"/>
      <c r="N18" s="179" t="str">
        <f>Intersections!AT120</f>
        <v/>
      </c>
      <c r="O18" s="200" t="str">
        <f t="shared" si="4"/>
        <v/>
      </c>
      <c r="P18" s="168" t="str">
        <f>Segments!Y42</f>
        <v/>
      </c>
      <c r="Q18" s="171" t="str">
        <f t="shared" si="5"/>
        <v/>
      </c>
      <c r="R18" s="179" t="str">
        <f>Segments!Y47</f>
        <v/>
      </c>
      <c r="S18" s="200" t="str">
        <f t="shared" ref="S18" si="14">IF(R18="","",IF(R18&lt;=$W$8,$V$8,IF(R18&lt;=$W$9,$V$9,IF(R18&lt;=$W$10,$V$10,IF(R18&lt;=$W$11,$V$11,IF(R18&lt;=$W$12,$V$12,$V$13))))))</f>
        <v/>
      </c>
      <c r="T18" s="194"/>
    </row>
    <row r="19" spans="2:24" x14ac:dyDescent="0.25">
      <c r="B19" s="193"/>
      <c r="C19" s="109">
        <v>12</v>
      </c>
      <c r="D19" s="109"/>
      <c r="E19" s="178" t="str">
        <f>Links!AB91</f>
        <v/>
      </c>
      <c r="F19" s="179" t="str">
        <f t="shared" si="0"/>
        <v/>
      </c>
      <c r="G19" s="171" t="str">
        <f>Links!AB94</f>
        <v/>
      </c>
      <c r="H19" s="171" t="str">
        <f t="shared" si="1"/>
        <v/>
      </c>
      <c r="I19" s="179" t="str">
        <f>Links!AB97</f>
        <v/>
      </c>
      <c r="J19" s="200" t="str">
        <f t="shared" si="2"/>
        <v/>
      </c>
      <c r="K19" s="213"/>
      <c r="L19" s="171"/>
      <c r="M19" s="171"/>
      <c r="N19" s="179" t="str">
        <f>Intersections!AX120</f>
        <v/>
      </c>
      <c r="O19" s="200" t="str">
        <f t="shared" si="4"/>
        <v/>
      </c>
      <c r="P19" s="168" t="str">
        <f>Segments!AA42</f>
        <v/>
      </c>
      <c r="Q19" s="171" t="str">
        <f t="shared" si="5"/>
        <v/>
      </c>
      <c r="R19" s="179" t="str">
        <f>Segments!AA47</f>
        <v/>
      </c>
      <c r="S19" s="200" t="str">
        <f t="shared" ref="S19" si="15">IF(R19="","",IF(R19&lt;=$W$8,$V$8,IF(R19&lt;=$W$9,$V$9,IF(R19&lt;=$W$10,$V$10,IF(R19&lt;=$W$11,$V$11,IF(R19&lt;=$W$12,$V$12,$V$13))))))</f>
        <v/>
      </c>
      <c r="T19" s="194"/>
    </row>
    <row r="20" spans="2:24" x14ac:dyDescent="0.25">
      <c r="B20" s="193"/>
      <c r="C20" s="109">
        <v>13</v>
      </c>
      <c r="D20" s="109"/>
      <c r="E20" s="178" t="str">
        <f>Links!AD91</f>
        <v/>
      </c>
      <c r="F20" s="179" t="str">
        <f t="shared" si="0"/>
        <v/>
      </c>
      <c r="G20" s="171" t="str">
        <f>Links!AD94</f>
        <v/>
      </c>
      <c r="H20" s="171" t="str">
        <f t="shared" si="1"/>
        <v/>
      </c>
      <c r="I20" s="179" t="str">
        <f>Links!AD97</f>
        <v/>
      </c>
      <c r="J20" s="200" t="str">
        <f t="shared" si="2"/>
        <v/>
      </c>
      <c r="K20" s="213"/>
      <c r="L20" s="171"/>
      <c r="M20" s="171"/>
      <c r="N20" s="179" t="str">
        <f>Intersections!BB120</f>
        <v/>
      </c>
      <c r="O20" s="200" t="str">
        <f t="shared" si="4"/>
        <v/>
      </c>
      <c r="P20" s="168" t="str">
        <f>Segments!AC42</f>
        <v/>
      </c>
      <c r="Q20" s="171" t="str">
        <f t="shared" si="5"/>
        <v/>
      </c>
      <c r="R20" s="179" t="str">
        <f>Segments!AC47</f>
        <v/>
      </c>
      <c r="S20" s="200" t="str">
        <f t="shared" ref="S20" si="16">IF(R20="","",IF(R20&lt;=$W$8,$V$8,IF(R20&lt;=$W$9,$V$9,IF(R20&lt;=$W$10,$V$10,IF(R20&lt;=$W$11,$V$11,IF(R20&lt;=$W$12,$V$12,$V$13))))))</f>
        <v/>
      </c>
      <c r="T20" s="194"/>
    </row>
    <row r="21" spans="2:24" x14ac:dyDescent="0.25">
      <c r="B21" s="193"/>
      <c r="C21" s="109">
        <v>14</v>
      </c>
      <c r="D21" s="109"/>
      <c r="E21" s="178" t="str">
        <f>Links!AF91</f>
        <v/>
      </c>
      <c r="F21" s="179" t="str">
        <f t="shared" si="0"/>
        <v/>
      </c>
      <c r="G21" s="171" t="str">
        <f>Links!AF94</f>
        <v/>
      </c>
      <c r="H21" s="171" t="str">
        <f t="shared" si="1"/>
        <v/>
      </c>
      <c r="I21" s="179" t="str">
        <f>Links!AF97</f>
        <v/>
      </c>
      <c r="J21" s="200" t="str">
        <f t="shared" si="2"/>
        <v/>
      </c>
      <c r="K21" s="213"/>
      <c r="L21" s="171"/>
      <c r="M21" s="171"/>
      <c r="N21" s="179" t="str">
        <f>Intersections!BF120</f>
        <v/>
      </c>
      <c r="O21" s="200" t="str">
        <f t="shared" si="4"/>
        <v/>
      </c>
      <c r="P21" s="168" t="str">
        <f>Segments!AE42</f>
        <v/>
      </c>
      <c r="Q21" s="171" t="str">
        <f t="shared" si="5"/>
        <v/>
      </c>
      <c r="R21" s="179" t="str">
        <f>Segments!AE47</f>
        <v/>
      </c>
      <c r="S21" s="200" t="str">
        <f t="shared" ref="S21" si="17">IF(R21="","",IF(R21&lt;=$W$8,$V$8,IF(R21&lt;=$W$9,$V$9,IF(R21&lt;=$W$10,$V$10,IF(R21&lt;=$W$11,$V$11,IF(R21&lt;=$W$12,$V$12,$V$13))))))</f>
        <v/>
      </c>
      <c r="T21" s="194"/>
    </row>
    <row r="22" spans="2:24" x14ac:dyDescent="0.25">
      <c r="B22" s="193"/>
      <c r="C22" s="109">
        <v>15</v>
      </c>
      <c r="D22" s="109"/>
      <c r="E22" s="178" t="str">
        <f>Links!AH91</f>
        <v/>
      </c>
      <c r="F22" s="179" t="str">
        <f t="shared" si="0"/>
        <v/>
      </c>
      <c r="G22" s="171" t="str">
        <f>Links!AH94</f>
        <v/>
      </c>
      <c r="H22" s="171" t="str">
        <f t="shared" si="1"/>
        <v/>
      </c>
      <c r="I22" s="179" t="str">
        <f>Links!AH97</f>
        <v/>
      </c>
      <c r="J22" s="200" t="str">
        <f t="shared" si="2"/>
        <v/>
      </c>
      <c r="K22" s="213"/>
      <c r="L22" s="171"/>
      <c r="M22" s="171"/>
      <c r="N22" s="179" t="str">
        <f>Intersections!BJ120</f>
        <v/>
      </c>
      <c r="O22" s="200" t="str">
        <f t="shared" si="4"/>
        <v/>
      </c>
      <c r="P22" s="168" t="str">
        <f>Segments!AG42</f>
        <v/>
      </c>
      <c r="Q22" s="171" t="str">
        <f t="shared" si="5"/>
        <v/>
      </c>
      <c r="R22" s="179" t="str">
        <f>Segments!AG47</f>
        <v/>
      </c>
      <c r="S22" s="200" t="str">
        <f t="shared" ref="S22" si="18">IF(R22="","",IF(R22&lt;=$W$8,$V$8,IF(R22&lt;=$W$9,$V$9,IF(R22&lt;=$W$10,$V$10,IF(R22&lt;=$W$11,$V$11,IF(R22&lt;=$W$12,$V$12,$V$13))))))</f>
        <v/>
      </c>
      <c r="T22" s="194"/>
    </row>
    <row r="23" spans="2:24" x14ac:dyDescent="0.25">
      <c r="B23" s="193"/>
      <c r="C23" s="109">
        <v>16</v>
      </c>
      <c r="D23" s="109"/>
      <c r="E23" s="178" t="str">
        <f>Links!AJ91</f>
        <v/>
      </c>
      <c r="F23" s="179" t="str">
        <f t="shared" si="0"/>
        <v/>
      </c>
      <c r="G23" s="171" t="str">
        <f>Links!AJ94</f>
        <v/>
      </c>
      <c r="H23" s="171" t="str">
        <f t="shared" si="1"/>
        <v/>
      </c>
      <c r="I23" s="179" t="str">
        <f>Links!AJ97</f>
        <v/>
      </c>
      <c r="J23" s="200" t="str">
        <f t="shared" si="2"/>
        <v/>
      </c>
      <c r="K23" s="213"/>
      <c r="L23" s="171"/>
      <c r="M23" s="171"/>
      <c r="N23" s="179" t="str">
        <f>Intersections!BN120</f>
        <v/>
      </c>
      <c r="O23" s="200" t="str">
        <f t="shared" si="4"/>
        <v/>
      </c>
      <c r="P23" s="168" t="str">
        <f>Segments!AI42</f>
        <v/>
      </c>
      <c r="Q23" s="171" t="str">
        <f t="shared" si="5"/>
        <v/>
      </c>
      <c r="R23" s="179" t="str">
        <f>Segments!AI47</f>
        <v/>
      </c>
      <c r="S23" s="200" t="str">
        <f t="shared" ref="S23" si="19">IF(R23="","",IF(R23&lt;=$W$8,$V$8,IF(R23&lt;=$W$9,$V$9,IF(R23&lt;=$W$10,$V$10,IF(R23&lt;=$W$11,$V$11,IF(R23&lt;=$W$12,$V$12,$V$13))))))</f>
        <v/>
      </c>
      <c r="T23" s="194"/>
      <c r="U23" s="184"/>
      <c r="W23" s="184"/>
      <c r="X23" s="184"/>
    </row>
    <row r="24" spans="2:24" x14ac:dyDescent="0.25">
      <c r="B24" s="193"/>
      <c r="C24" s="109">
        <v>17</v>
      </c>
      <c r="D24" s="109"/>
      <c r="E24" s="178" t="str">
        <f>Links!AL91</f>
        <v/>
      </c>
      <c r="F24" s="179" t="str">
        <f t="shared" si="0"/>
        <v/>
      </c>
      <c r="G24" s="171" t="str">
        <f>Links!AL94</f>
        <v/>
      </c>
      <c r="H24" s="171" t="str">
        <f t="shared" si="1"/>
        <v/>
      </c>
      <c r="I24" s="179" t="str">
        <f>Links!AL97</f>
        <v/>
      </c>
      <c r="J24" s="200" t="str">
        <f t="shared" si="2"/>
        <v/>
      </c>
      <c r="K24" s="213"/>
      <c r="L24" s="171"/>
      <c r="M24" s="171"/>
      <c r="N24" s="179" t="str">
        <f>Intersections!BR120</f>
        <v/>
      </c>
      <c r="O24" s="200" t="str">
        <f t="shared" si="4"/>
        <v/>
      </c>
      <c r="P24" s="168" t="str">
        <f>Segments!AK42</f>
        <v/>
      </c>
      <c r="Q24" s="171" t="str">
        <f t="shared" si="5"/>
        <v/>
      </c>
      <c r="R24" s="179" t="str">
        <f>Segments!AK47</f>
        <v/>
      </c>
      <c r="S24" s="200" t="str">
        <f t="shared" ref="S24" si="20">IF(R24="","",IF(R24&lt;=$W$8,$V$8,IF(R24&lt;=$W$9,$V$9,IF(R24&lt;=$W$10,$V$10,IF(R24&lt;=$W$11,$V$11,IF(R24&lt;=$W$12,$V$12,$V$13))))))</f>
        <v/>
      </c>
      <c r="T24" s="194"/>
      <c r="U24" s="184"/>
      <c r="W24" s="184"/>
      <c r="X24" s="184"/>
    </row>
    <row r="25" spans="2:24" x14ac:dyDescent="0.25">
      <c r="B25" s="193"/>
      <c r="C25" s="109">
        <v>18</v>
      </c>
      <c r="D25" s="109"/>
      <c r="E25" s="178" t="str">
        <f>Links!AN91</f>
        <v/>
      </c>
      <c r="F25" s="179" t="str">
        <f t="shared" si="0"/>
        <v/>
      </c>
      <c r="G25" s="171" t="str">
        <f>Links!AN94</f>
        <v/>
      </c>
      <c r="H25" s="171" t="str">
        <f t="shared" si="1"/>
        <v/>
      </c>
      <c r="I25" s="179" t="str">
        <f>Links!AN97</f>
        <v/>
      </c>
      <c r="J25" s="200" t="str">
        <f t="shared" si="2"/>
        <v/>
      </c>
      <c r="K25" s="213"/>
      <c r="L25" s="171"/>
      <c r="M25" s="171"/>
      <c r="N25" s="179" t="str">
        <f>Intersections!BV120</f>
        <v/>
      </c>
      <c r="O25" s="200" t="str">
        <f t="shared" si="4"/>
        <v/>
      </c>
      <c r="P25" s="168" t="str">
        <f>Segments!AM42</f>
        <v/>
      </c>
      <c r="Q25" s="171" t="str">
        <f t="shared" si="5"/>
        <v/>
      </c>
      <c r="R25" s="179" t="str">
        <f>Segments!AM47</f>
        <v/>
      </c>
      <c r="S25" s="200" t="str">
        <f t="shared" ref="S25" si="21">IF(R25="","",IF(R25&lt;=$W$8,$V$8,IF(R25&lt;=$W$9,$V$9,IF(R25&lt;=$W$10,$V$10,IF(R25&lt;=$W$11,$V$11,IF(R25&lt;=$W$12,$V$12,$V$13))))))</f>
        <v/>
      </c>
      <c r="T25" s="194"/>
      <c r="U25" s="184"/>
      <c r="W25" s="184"/>
      <c r="X25" s="184"/>
    </row>
    <row r="26" spans="2:24" x14ac:dyDescent="0.25">
      <c r="B26" s="193"/>
      <c r="C26" s="109">
        <v>19</v>
      </c>
      <c r="D26" s="109"/>
      <c r="E26" s="178" t="str">
        <f>Links!AP91</f>
        <v/>
      </c>
      <c r="F26" s="179" t="str">
        <f t="shared" si="0"/>
        <v/>
      </c>
      <c r="G26" s="171" t="str">
        <f>Links!AP94</f>
        <v/>
      </c>
      <c r="H26" s="171" t="str">
        <f t="shared" si="1"/>
        <v/>
      </c>
      <c r="I26" s="179" t="str">
        <f>Links!AP97</f>
        <v/>
      </c>
      <c r="J26" s="200" t="str">
        <f t="shared" si="2"/>
        <v/>
      </c>
      <c r="K26" s="213"/>
      <c r="L26" s="171"/>
      <c r="M26" s="171"/>
      <c r="N26" s="179" t="str">
        <f>Intersections!BZ120</f>
        <v/>
      </c>
      <c r="O26" s="200" t="str">
        <f t="shared" si="4"/>
        <v/>
      </c>
      <c r="P26" s="168" t="str">
        <f>Segments!AO42</f>
        <v/>
      </c>
      <c r="Q26" s="171" t="str">
        <f t="shared" si="5"/>
        <v/>
      </c>
      <c r="R26" s="179" t="str">
        <f>Segments!AO47</f>
        <v/>
      </c>
      <c r="S26" s="200" t="str">
        <f t="shared" ref="S26" si="22">IF(R26="","",IF(R26&lt;=$W$8,$V$8,IF(R26&lt;=$W$9,$V$9,IF(R26&lt;=$W$10,$V$10,IF(R26&lt;=$W$11,$V$11,IF(R26&lt;=$W$12,$V$12,$V$13))))))</f>
        <v/>
      </c>
      <c r="T26" s="194"/>
      <c r="U26" s="184"/>
      <c r="W26" s="184"/>
      <c r="X26" s="184"/>
    </row>
    <row r="27" spans="2:24" x14ac:dyDescent="0.25">
      <c r="B27" s="193"/>
      <c r="C27" s="109">
        <v>20</v>
      </c>
      <c r="D27" s="109"/>
      <c r="E27" s="178" t="str">
        <f>Links!AR91</f>
        <v/>
      </c>
      <c r="F27" s="179" t="str">
        <f t="shared" si="0"/>
        <v/>
      </c>
      <c r="G27" s="171" t="str">
        <f>Links!AR94</f>
        <v/>
      </c>
      <c r="H27" s="171" t="str">
        <f t="shared" si="1"/>
        <v/>
      </c>
      <c r="I27" s="179" t="str">
        <f>Links!AR97</f>
        <v/>
      </c>
      <c r="J27" s="200" t="str">
        <f t="shared" si="2"/>
        <v/>
      </c>
      <c r="K27" s="109"/>
      <c r="L27" s="171"/>
      <c r="M27" s="171"/>
      <c r="N27" s="179" t="str">
        <f>Intersections!CD120</f>
        <v/>
      </c>
      <c r="O27" s="200" t="str">
        <f t="shared" si="4"/>
        <v/>
      </c>
      <c r="P27" s="168" t="str">
        <f>Segments!AQ40</f>
        <v/>
      </c>
      <c r="Q27" s="171" t="str">
        <f t="shared" si="5"/>
        <v/>
      </c>
      <c r="R27" s="179" t="str">
        <f>Segments!AQ47</f>
        <v/>
      </c>
      <c r="S27" s="200" t="str">
        <f t="shared" ref="S27" si="23">IF(R27="","",IF(R27&lt;=$W$8,$V$8,IF(R27&lt;=$W$9,$V$9,IF(R27&lt;=$W$10,$V$10,IF(R27&lt;=$W$11,$V$11,IF(R27&lt;=$W$12,$V$12,$V$13))))))</f>
        <v/>
      </c>
      <c r="T27" s="194"/>
      <c r="U27" s="184"/>
      <c r="W27" s="184"/>
      <c r="X27" s="184"/>
    </row>
    <row r="28" spans="2:24" x14ac:dyDescent="0.25">
      <c r="B28" s="193"/>
      <c r="C28" s="109">
        <v>21</v>
      </c>
      <c r="D28" s="109"/>
      <c r="E28" s="178"/>
      <c r="F28" s="179" t="str">
        <f t="shared" si="0"/>
        <v/>
      </c>
      <c r="G28" s="171"/>
      <c r="H28" s="171" t="str">
        <f t="shared" si="1"/>
        <v/>
      </c>
      <c r="I28" s="179"/>
      <c r="J28" s="200" t="str">
        <f t="shared" si="2"/>
        <v/>
      </c>
      <c r="K28" s="109"/>
      <c r="L28" s="171"/>
      <c r="M28" s="171"/>
      <c r="N28" s="179" t="str">
        <f>Intersections!CH120</f>
        <v/>
      </c>
      <c r="O28" s="200" t="str">
        <f t="shared" si="4"/>
        <v/>
      </c>
      <c r="P28" s="168" t="s">
        <v>97</v>
      </c>
      <c r="Q28" s="171" t="s">
        <v>97</v>
      </c>
      <c r="R28" s="179" t="s">
        <v>97</v>
      </c>
      <c r="S28" s="200" t="s">
        <v>97</v>
      </c>
      <c r="T28" s="194"/>
      <c r="U28" s="184"/>
      <c r="W28" s="184"/>
      <c r="X28" s="184"/>
    </row>
    <row r="29" spans="2:24" x14ac:dyDescent="0.25">
      <c r="B29" s="193"/>
      <c r="C29" s="250" t="s">
        <v>191</v>
      </c>
      <c r="D29" s="250"/>
      <c r="E29" s="251">
        <f>Links!AT91</f>
        <v>1.7590082275291121</v>
      </c>
      <c r="F29" s="252" t="str">
        <f t="shared" si="0"/>
        <v>A</v>
      </c>
      <c r="G29" s="255">
        <f>Links!AT94</f>
        <v>4.1685202148654499</v>
      </c>
      <c r="H29" s="255" t="str">
        <f t="shared" si="1"/>
        <v>D</v>
      </c>
      <c r="I29" s="252">
        <f>Links!AT97</f>
        <v>1.819636725456377</v>
      </c>
      <c r="J29" s="253" t="str">
        <f t="shared" si="2"/>
        <v>A</v>
      </c>
      <c r="K29" s="250" t="s">
        <v>191</v>
      </c>
      <c r="L29" s="255">
        <f>Intersections!CL117</f>
        <v>2.4195345688005991</v>
      </c>
      <c r="M29" s="256" t="str">
        <f t="shared" si="3"/>
        <v>B</v>
      </c>
      <c r="N29" s="252">
        <f>Intersections!CL120</f>
        <v>2.7501651338366502</v>
      </c>
      <c r="O29" s="254" t="str">
        <f t="shared" si="4"/>
        <v>C</v>
      </c>
      <c r="P29" s="257">
        <f>Segments!AS42</f>
        <v>2.0892713981648559</v>
      </c>
      <c r="Q29" s="258" t="str">
        <f>IF(P29="","",IF(P29&lt;=$W$8,$V$8,IF(P29&lt;=$W$9,$V$9,IF(P29&lt;=$W$10,$V$10,IF(P29&lt;=$W$11,$V$11,IF(P29&lt;=$W$12,$V$12,$V$13))))))</f>
        <v>B</v>
      </c>
      <c r="R29" s="252">
        <f>Segments!AS47</f>
        <v>3.1788381770019485</v>
      </c>
      <c r="S29" s="254" t="str">
        <f>IF(R29="","",IF(R29&lt;=$W$8,$V$8,IF(R29&lt;=$W$9,$V$9,IF(R29&lt;=$W$10,$V$10,IF(R29&lt;=$W$11,$V$11,IF(R29&lt;=$W$12,$V$12,$V$13))))))</f>
        <v>C</v>
      </c>
      <c r="T29" s="194"/>
      <c r="U29" s="184"/>
      <c r="W29" s="184"/>
      <c r="X29" s="184"/>
    </row>
    <row r="30" spans="2:24" ht="16.5" thickBot="1" x14ac:dyDescent="0.3">
      <c r="B30" s="195"/>
      <c r="C30" s="196"/>
      <c r="D30" s="196"/>
      <c r="E30" s="197"/>
      <c r="F30" s="197"/>
      <c r="G30" s="197"/>
      <c r="H30" s="197"/>
      <c r="I30" s="197"/>
      <c r="J30" s="197"/>
      <c r="K30" s="197"/>
      <c r="L30" s="197"/>
      <c r="M30" s="197"/>
      <c r="N30" s="197"/>
      <c r="O30" s="197"/>
      <c r="P30" s="197"/>
      <c r="Q30" s="197"/>
      <c r="R30" s="197"/>
      <c r="S30" s="197"/>
      <c r="T30" s="198"/>
      <c r="U30" s="184"/>
      <c r="W30" s="184"/>
      <c r="X30" s="184"/>
    </row>
    <row r="31" spans="2:24" ht="16.5" thickBot="1" x14ac:dyDescent="0.3"/>
    <row r="32" spans="2:24" x14ac:dyDescent="0.25">
      <c r="F32" s="24"/>
      <c r="G32" s="25"/>
      <c r="H32" s="25"/>
      <c r="I32" s="25"/>
      <c r="J32" s="25"/>
      <c r="K32" s="25"/>
      <c r="L32" s="26"/>
    </row>
    <row r="33" spans="6:12" x14ac:dyDescent="0.25">
      <c r="F33" s="27"/>
      <c r="G33" s="282" t="s">
        <v>71</v>
      </c>
      <c r="H33" s="283"/>
      <c r="I33" s="282" t="s">
        <v>68</v>
      </c>
      <c r="J33" s="283"/>
      <c r="K33" s="286"/>
      <c r="L33" s="28"/>
    </row>
    <row r="34" spans="6:12" x14ac:dyDescent="0.25">
      <c r="F34" s="27"/>
      <c r="G34" s="284"/>
      <c r="H34" s="285"/>
      <c r="I34" s="32" t="s">
        <v>95</v>
      </c>
      <c r="J34" s="33" t="s">
        <v>96</v>
      </c>
      <c r="K34" s="34" t="s">
        <v>192</v>
      </c>
      <c r="L34" s="28"/>
    </row>
    <row r="35" spans="6:12" ht="17.25" customHeight="1" x14ac:dyDescent="0.25">
      <c r="F35" s="27"/>
      <c r="G35" s="287" t="s">
        <v>69</v>
      </c>
      <c r="H35" s="36" t="s">
        <v>72</v>
      </c>
      <c r="I35" s="168">
        <f>Links!AU119</f>
        <v>0</v>
      </c>
      <c r="J35" s="171">
        <f>Intersections!CM145</f>
        <v>0</v>
      </c>
      <c r="K35" s="66">
        <f>I35*I47+J35*J47</f>
        <v>0</v>
      </c>
      <c r="L35" s="28"/>
    </row>
    <row r="36" spans="6:12" x14ac:dyDescent="0.25">
      <c r="F36" s="27"/>
      <c r="G36" s="287"/>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287" t="s">
        <v>70</v>
      </c>
      <c r="H37" s="36" t="s">
        <v>72</v>
      </c>
      <c r="I37" s="168">
        <f>Links!AU122</f>
        <v>0</v>
      </c>
      <c r="J37" s="171">
        <f>Intersections!CM148</f>
        <v>0</v>
      </c>
      <c r="K37" s="66">
        <f>I37*I48+J37*J48</f>
        <v>0</v>
      </c>
      <c r="L37" s="28"/>
    </row>
    <row r="38" spans="6:12" x14ac:dyDescent="0.25">
      <c r="F38" s="27"/>
      <c r="G38" s="287"/>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287" t="s">
        <v>63</v>
      </c>
      <c r="H39" s="36" t="s">
        <v>72</v>
      </c>
      <c r="I39" s="168">
        <f>Links!AU125</f>
        <v>0</v>
      </c>
      <c r="J39" s="291" t="s">
        <v>97</v>
      </c>
      <c r="K39" s="66">
        <f>I39</f>
        <v>0</v>
      </c>
      <c r="L39" s="28"/>
    </row>
    <row r="40" spans="6:12" x14ac:dyDescent="0.25">
      <c r="F40" s="27"/>
      <c r="G40" s="289"/>
      <c r="H40" s="202" t="s">
        <v>73</v>
      </c>
      <c r="I40" s="203" t="str">
        <f>IF(I39&lt;=2,"A",IF(I39&lt;=2.75,"B",IF(I39&lt;=3.5,"C",IF(I39&lt;=4.25,"D",IF(I39&lt;=5,"E","F")))))</f>
        <v>A</v>
      </c>
      <c r="J40" s="292"/>
      <c r="K40" s="204"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82" t="s">
        <v>71</v>
      </c>
      <c r="H45" s="283"/>
      <c r="I45" s="282" t="s">
        <v>193</v>
      </c>
      <c r="J45" s="283"/>
      <c r="K45" s="286"/>
      <c r="L45" s="28"/>
    </row>
    <row r="46" spans="6:12" x14ac:dyDescent="0.25">
      <c r="F46" s="27"/>
      <c r="G46" s="284"/>
      <c r="H46" s="285"/>
      <c r="I46" s="32" t="s">
        <v>95</v>
      </c>
      <c r="J46" s="33" t="s">
        <v>96</v>
      </c>
      <c r="K46" s="2" t="s">
        <v>191</v>
      </c>
      <c r="L46" s="28"/>
    </row>
    <row r="47" spans="6:12" x14ac:dyDescent="0.25">
      <c r="F47" s="27"/>
      <c r="G47" s="287" t="s">
        <v>69</v>
      </c>
      <c r="H47" s="288"/>
      <c r="I47" s="103">
        <v>0.7</v>
      </c>
      <c r="J47" s="104">
        <v>0.3</v>
      </c>
      <c r="K47" s="205">
        <f>I47+J47</f>
        <v>1</v>
      </c>
      <c r="L47" s="28"/>
    </row>
    <row r="48" spans="6:12" x14ac:dyDescent="0.25">
      <c r="F48" s="27"/>
      <c r="G48" s="289" t="s">
        <v>70</v>
      </c>
      <c r="H48" s="290"/>
      <c r="I48" s="206">
        <v>0.8</v>
      </c>
      <c r="J48" s="207">
        <v>0.2</v>
      </c>
      <c r="K48" s="208">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88" t="s">
        <v>337</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85"/>
      <c r="O55" s="185"/>
    </row>
  </sheetData>
  <mergeCells count="21">
    <mergeCell ref="G3:L3"/>
    <mergeCell ref="E5:J5"/>
    <mergeCell ref="L6:M6"/>
    <mergeCell ref="G6:H6"/>
    <mergeCell ref="K5:O5"/>
    <mergeCell ref="E6:F6"/>
    <mergeCell ref="N6:O6"/>
    <mergeCell ref="I6:J6"/>
    <mergeCell ref="P5:S5"/>
    <mergeCell ref="G45:H46"/>
    <mergeCell ref="I45:K45"/>
    <mergeCell ref="G47:H47"/>
    <mergeCell ref="G48:H48"/>
    <mergeCell ref="G33:H34"/>
    <mergeCell ref="I33:K33"/>
    <mergeCell ref="G35:G36"/>
    <mergeCell ref="G37:G38"/>
    <mergeCell ref="G39:G40"/>
    <mergeCell ref="J39:J40"/>
    <mergeCell ref="P6:Q6"/>
    <mergeCell ref="R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29" sqref="E29"/>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284" t="s">
        <v>68</v>
      </c>
      <c r="D3" s="302"/>
      <c r="E3" s="284" t="s">
        <v>427</v>
      </c>
      <c r="F3" s="302"/>
      <c r="G3" s="284" t="s">
        <v>123</v>
      </c>
      <c r="H3" s="302"/>
      <c r="I3" s="284" t="s">
        <v>124</v>
      </c>
      <c r="J3" s="302"/>
      <c r="K3" s="284" t="s">
        <v>125</v>
      </c>
      <c r="L3" s="302"/>
      <c r="M3" s="284" t="s">
        <v>126</v>
      </c>
      <c r="N3" s="302"/>
      <c r="O3" s="284" t="s">
        <v>127</v>
      </c>
      <c r="P3" s="302"/>
      <c r="Q3" s="284" t="s">
        <v>128</v>
      </c>
      <c r="R3" s="302"/>
      <c r="S3" s="284" t="s">
        <v>129</v>
      </c>
      <c r="T3" s="302"/>
      <c r="U3" s="284" t="s">
        <v>130</v>
      </c>
      <c r="V3" s="302"/>
      <c r="W3" s="284" t="s">
        <v>131</v>
      </c>
      <c r="X3" s="302"/>
      <c r="Y3" s="284" t="s">
        <v>132</v>
      </c>
      <c r="Z3" s="302"/>
      <c r="AA3" s="284" t="s">
        <v>133</v>
      </c>
      <c r="AB3" s="302"/>
      <c r="AC3" s="284" t="s">
        <v>134</v>
      </c>
      <c r="AD3" s="302"/>
      <c r="AE3" s="284" t="s">
        <v>135</v>
      </c>
      <c r="AF3" s="302"/>
      <c r="AG3" s="284" t="s">
        <v>136</v>
      </c>
      <c r="AH3" s="302"/>
      <c r="AI3" s="284" t="s">
        <v>137</v>
      </c>
      <c r="AJ3" s="302"/>
      <c r="AK3" s="284" t="s">
        <v>138</v>
      </c>
      <c r="AL3" s="302"/>
      <c r="AM3" s="284" t="s">
        <v>139</v>
      </c>
      <c r="AN3" s="302"/>
      <c r="AO3" s="284" t="s">
        <v>140</v>
      </c>
      <c r="AP3" s="302"/>
      <c r="AQ3" s="284" t="s">
        <v>141</v>
      </c>
      <c r="AR3" s="302"/>
      <c r="AS3" s="307" t="s">
        <v>191</v>
      </c>
      <c r="AT3" s="56"/>
    </row>
    <row r="4" spans="1:46" s="21" customFormat="1" ht="13.5" x14ac:dyDescent="0.25">
      <c r="B4" s="57"/>
      <c r="C4" s="284"/>
      <c r="D4" s="302"/>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07"/>
      <c r="AT4" s="58"/>
    </row>
    <row r="5" spans="1:46" s="21" customFormat="1" ht="15.75" customHeight="1" x14ac:dyDescent="0.25">
      <c r="B5" s="57"/>
      <c r="C5" s="280" t="s">
        <v>65</v>
      </c>
      <c r="D5" s="303"/>
      <c r="E5" s="201" t="str">
        <f>Links!F8</f>
        <v>EB</v>
      </c>
      <c r="F5" s="237" t="str">
        <f>Links!G8</f>
        <v>WB</v>
      </c>
      <c r="G5" s="201" t="str">
        <f>Links!H8</f>
        <v>EB</v>
      </c>
      <c r="H5" s="237" t="str">
        <f>Links!I8</f>
        <v>WB</v>
      </c>
      <c r="I5" s="201" t="str">
        <f>Links!J8</f>
        <v>EB</v>
      </c>
      <c r="J5" s="237" t="str">
        <f>Links!K8</f>
        <v>WB</v>
      </c>
      <c r="K5" s="201" t="str">
        <f>Links!L8</f>
        <v>EB</v>
      </c>
      <c r="L5" s="237" t="str">
        <f>Links!M8</f>
        <v>WB</v>
      </c>
      <c r="M5" s="201" t="str">
        <f>Links!N8</f>
        <v>EB</v>
      </c>
      <c r="N5" s="237" t="str">
        <f>Links!O8</f>
        <v>WB</v>
      </c>
      <c r="O5" s="201" t="str">
        <f>Links!P8</f>
        <v>EB</v>
      </c>
      <c r="P5" s="237" t="str">
        <f>Links!Q8</f>
        <v>WB</v>
      </c>
      <c r="Q5" s="201" t="str">
        <f>Links!R8</f>
        <v>EB</v>
      </c>
      <c r="R5" s="237" t="str">
        <f>Links!S8</f>
        <v>WB</v>
      </c>
      <c r="S5" s="201">
        <f>Links!T8</f>
        <v>0</v>
      </c>
      <c r="T5" s="237">
        <f>Links!U8</f>
        <v>0</v>
      </c>
      <c r="U5" s="201">
        <f>Links!V8</f>
        <v>0</v>
      </c>
      <c r="V5" s="237">
        <f>Links!W8</f>
        <v>0</v>
      </c>
      <c r="W5" s="201">
        <f>Links!X8</f>
        <v>0</v>
      </c>
      <c r="X5" s="237">
        <f>Links!Y8</f>
        <v>0</v>
      </c>
      <c r="Y5" s="201">
        <f>Links!Z8</f>
        <v>0</v>
      </c>
      <c r="Z5" s="237">
        <f>Links!AA8</f>
        <v>0</v>
      </c>
      <c r="AA5" s="201">
        <f>Links!AB8</f>
        <v>0</v>
      </c>
      <c r="AB5" s="237">
        <f>Links!AC8</f>
        <v>0</v>
      </c>
      <c r="AC5" s="201">
        <f>Links!AD8</f>
        <v>0</v>
      </c>
      <c r="AD5" s="237">
        <f>Links!AE8</f>
        <v>0</v>
      </c>
      <c r="AE5" s="201">
        <f>Links!AF8</f>
        <v>0</v>
      </c>
      <c r="AF5" s="237">
        <f>Links!AG8</f>
        <v>0</v>
      </c>
      <c r="AG5" s="201">
        <f>Links!AH8</f>
        <v>0</v>
      </c>
      <c r="AH5" s="237">
        <f>Links!AI8</f>
        <v>0</v>
      </c>
      <c r="AI5" s="201">
        <f>Links!AJ8</f>
        <v>0</v>
      </c>
      <c r="AJ5" s="237">
        <f>Links!AK8</f>
        <v>0</v>
      </c>
      <c r="AK5" s="201">
        <f>Links!AL8</f>
        <v>0</v>
      </c>
      <c r="AL5" s="237">
        <f>Links!AM8</f>
        <v>0</v>
      </c>
      <c r="AM5" s="201">
        <f>Links!AN8</f>
        <v>0</v>
      </c>
      <c r="AN5" s="237">
        <f>Links!AO8</f>
        <v>0</v>
      </c>
      <c r="AO5" s="201">
        <f>Links!AP8</f>
        <v>0</v>
      </c>
      <c r="AP5" s="237">
        <f>Links!AQ8</f>
        <v>0</v>
      </c>
      <c r="AQ5" s="201">
        <f>Links!AR8</f>
        <v>0</v>
      </c>
      <c r="AR5" s="237">
        <f>Links!AS8</f>
        <v>0</v>
      </c>
      <c r="AS5" s="50"/>
      <c r="AT5" s="58"/>
    </row>
    <row r="6" spans="1:46" s="22" customFormat="1" x14ac:dyDescent="0.25">
      <c r="B6" s="61"/>
      <c r="C6" s="284" t="s">
        <v>428</v>
      </c>
      <c r="D6" s="302"/>
      <c r="E6" s="175"/>
      <c r="F6" s="176"/>
      <c r="G6" s="284"/>
      <c r="H6" s="302"/>
      <c r="I6" s="284"/>
      <c r="J6" s="302"/>
      <c r="K6" s="284"/>
      <c r="L6" s="302"/>
      <c r="M6" s="284"/>
      <c r="N6" s="302"/>
      <c r="O6" s="284"/>
      <c r="P6" s="302"/>
      <c r="Q6" s="284"/>
      <c r="R6" s="302"/>
      <c r="S6" s="284"/>
      <c r="T6" s="302"/>
      <c r="U6" s="284"/>
      <c r="V6" s="302"/>
      <c r="W6" s="284"/>
      <c r="X6" s="302"/>
      <c r="Y6" s="284"/>
      <c r="Z6" s="302"/>
      <c r="AA6" s="284"/>
      <c r="AB6" s="302"/>
      <c r="AC6" s="284"/>
      <c r="AD6" s="302"/>
      <c r="AE6" s="284"/>
      <c r="AF6" s="302"/>
      <c r="AG6" s="284"/>
      <c r="AH6" s="302"/>
      <c r="AI6" s="284"/>
      <c r="AJ6" s="302"/>
      <c r="AK6" s="284"/>
      <c r="AL6" s="302"/>
      <c r="AM6" s="284"/>
      <c r="AN6" s="302"/>
      <c r="AO6" s="284"/>
      <c r="AP6" s="302"/>
      <c r="AQ6" s="284"/>
      <c r="AR6" s="302"/>
      <c r="AS6" s="50"/>
      <c r="AT6" s="62"/>
    </row>
    <row r="7" spans="1:46" x14ac:dyDescent="0.25">
      <c r="B7" s="55"/>
      <c r="C7" s="4"/>
      <c r="D7" s="8" t="s">
        <v>443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0" customFormat="1" x14ac:dyDescent="0.25">
      <c r="B8" s="241"/>
      <c r="C8" s="238"/>
      <c r="D8" s="242" t="s">
        <v>88</v>
      </c>
      <c r="E8" s="304">
        <f>Links!F7</f>
        <v>240</v>
      </c>
      <c r="F8" s="300"/>
      <c r="G8" s="304">
        <f>Links!H7</f>
        <v>260</v>
      </c>
      <c r="H8" s="300"/>
      <c r="I8" s="304">
        <f>Links!J7</f>
        <v>200</v>
      </c>
      <c r="J8" s="300"/>
      <c r="K8" s="304">
        <f>Links!L7</f>
        <v>400</v>
      </c>
      <c r="L8" s="300"/>
      <c r="M8" s="304">
        <f>Links!N7</f>
        <v>1000</v>
      </c>
      <c r="N8" s="300"/>
      <c r="O8" s="304">
        <f>Links!P7</f>
        <v>475</v>
      </c>
      <c r="P8" s="300"/>
      <c r="Q8" s="304">
        <f>Links!R7</f>
        <v>260</v>
      </c>
      <c r="R8" s="300"/>
      <c r="S8" s="304">
        <f>Links!T7</f>
        <v>0</v>
      </c>
      <c r="T8" s="300"/>
      <c r="U8" s="304">
        <f>Links!V7</f>
        <v>0</v>
      </c>
      <c r="V8" s="300"/>
      <c r="W8" s="304">
        <f>Links!X7</f>
        <v>0</v>
      </c>
      <c r="X8" s="300"/>
      <c r="Y8" s="304">
        <f>Links!Z7</f>
        <v>0</v>
      </c>
      <c r="Z8" s="300"/>
      <c r="AA8" s="304">
        <f>Links!AB7</f>
        <v>0</v>
      </c>
      <c r="AB8" s="300"/>
      <c r="AC8" s="304">
        <f>Links!AD7</f>
        <v>0</v>
      </c>
      <c r="AD8" s="300"/>
      <c r="AE8" s="304">
        <f>Links!AF7</f>
        <v>0</v>
      </c>
      <c r="AF8" s="300"/>
      <c r="AG8" s="304">
        <f>Links!AH7</f>
        <v>0</v>
      </c>
      <c r="AH8" s="300"/>
      <c r="AI8" s="304">
        <f>Links!AJ7</f>
        <v>0</v>
      </c>
      <c r="AJ8" s="300"/>
      <c r="AK8" s="304">
        <f>Links!AL7</f>
        <v>0</v>
      </c>
      <c r="AL8" s="300"/>
      <c r="AM8" s="304">
        <f>Links!AN7</f>
        <v>0</v>
      </c>
      <c r="AN8" s="300"/>
      <c r="AO8" s="304">
        <f>Links!AP7</f>
        <v>0</v>
      </c>
      <c r="AP8" s="300"/>
      <c r="AQ8" s="304">
        <f>Links!AR7</f>
        <v>0</v>
      </c>
      <c r="AR8" s="300"/>
      <c r="AS8" s="243"/>
      <c r="AT8" s="244"/>
    </row>
    <row r="9" spans="1:46" s="240" customFormat="1" x14ac:dyDescent="0.25">
      <c r="B9" s="241"/>
      <c r="C9" s="238"/>
      <c r="D9" s="93" t="s">
        <v>176</v>
      </c>
      <c r="E9" s="299">
        <f>Intersections!F70</f>
        <v>269.39999999999998</v>
      </c>
      <c r="F9" s="300"/>
      <c r="G9" s="299">
        <f>Intersections!J70</f>
        <v>34.799999999999997</v>
      </c>
      <c r="H9" s="300"/>
      <c r="I9" s="299">
        <f>Intersections!N70</f>
        <v>410.4</v>
      </c>
      <c r="J9" s="300"/>
      <c r="K9" s="299">
        <f>Intersections!R70</f>
        <v>57.599999999999994</v>
      </c>
      <c r="L9" s="300"/>
      <c r="M9" s="299">
        <f>Intersections!V70</f>
        <v>105</v>
      </c>
      <c r="N9" s="300"/>
      <c r="O9" s="299">
        <f>Intersections!Z70</f>
        <v>111.89999999999999</v>
      </c>
      <c r="P9" s="300"/>
      <c r="Q9" s="299">
        <f>Intersections!AD70</f>
        <v>26.7</v>
      </c>
      <c r="R9" s="300"/>
      <c r="S9" s="299">
        <f>Intersections!AH70</f>
        <v>286.5</v>
      </c>
      <c r="T9" s="300"/>
      <c r="U9" s="299">
        <f>Intersections!AL70</f>
        <v>0</v>
      </c>
      <c r="V9" s="300"/>
      <c r="W9" s="299">
        <f>Intersections!AP70</f>
        <v>0</v>
      </c>
      <c r="X9" s="300"/>
      <c r="Y9" s="299">
        <f>Intersections!AT70</f>
        <v>0</v>
      </c>
      <c r="Z9" s="300"/>
      <c r="AA9" s="299">
        <f>Intersections!AX70</f>
        <v>0</v>
      </c>
      <c r="AB9" s="300"/>
      <c r="AC9" s="299">
        <f>Intersections!BB70</f>
        <v>0</v>
      </c>
      <c r="AD9" s="300"/>
      <c r="AE9" s="299">
        <f>Intersections!BF70</f>
        <v>0</v>
      </c>
      <c r="AF9" s="300"/>
      <c r="AG9" s="299">
        <f>Intersections!BJ70</f>
        <v>0</v>
      </c>
      <c r="AH9" s="300"/>
      <c r="AI9" s="299">
        <f>Intersections!BN70</f>
        <v>0</v>
      </c>
      <c r="AJ9" s="300"/>
      <c r="AK9" s="299">
        <f>Intersections!BR70</f>
        <v>0</v>
      </c>
      <c r="AL9" s="300"/>
      <c r="AM9" s="299">
        <f>Intersections!BV70</f>
        <v>0</v>
      </c>
      <c r="AN9" s="300"/>
      <c r="AO9" s="299">
        <f>Intersections!BZ70</f>
        <v>0</v>
      </c>
      <c r="AP9" s="300"/>
      <c r="AQ9" s="299">
        <f>Intersections!CD70</f>
        <v>0</v>
      </c>
      <c r="AR9" s="300"/>
      <c r="AS9" s="243"/>
      <c r="AT9" s="244"/>
    </row>
    <row r="10" spans="1:46" s="240" customFormat="1" x14ac:dyDescent="0.25">
      <c r="B10" s="241"/>
      <c r="C10" s="238"/>
      <c r="D10" s="242" t="s">
        <v>65</v>
      </c>
      <c r="E10" s="238" t="str">
        <f>Links!F8</f>
        <v>EB</v>
      </c>
      <c r="F10" s="239" t="str">
        <f>Links!G8</f>
        <v>WB</v>
      </c>
      <c r="G10" s="238" t="str">
        <f>Links!H8</f>
        <v>EB</v>
      </c>
      <c r="H10" s="239" t="str">
        <f>Links!I8</f>
        <v>WB</v>
      </c>
      <c r="I10" s="238" t="str">
        <f>Links!J8</f>
        <v>EB</v>
      </c>
      <c r="J10" s="239" t="str">
        <f>Links!K8</f>
        <v>WB</v>
      </c>
      <c r="K10" s="238" t="str">
        <f>Links!L8</f>
        <v>EB</v>
      </c>
      <c r="L10" s="239" t="str">
        <f>Links!M8</f>
        <v>WB</v>
      </c>
      <c r="M10" s="238" t="str">
        <f>Links!N8</f>
        <v>EB</v>
      </c>
      <c r="N10" s="239" t="str">
        <f>Links!O8</f>
        <v>WB</v>
      </c>
      <c r="O10" s="238" t="str">
        <f>Links!P8</f>
        <v>EB</v>
      </c>
      <c r="P10" s="239" t="str">
        <f>Links!Q8</f>
        <v>WB</v>
      </c>
      <c r="Q10" s="238" t="str">
        <f>Links!R8</f>
        <v>EB</v>
      </c>
      <c r="R10" s="239" t="str">
        <f>Links!S8</f>
        <v>WB</v>
      </c>
      <c r="S10" s="238">
        <f>Links!T8</f>
        <v>0</v>
      </c>
      <c r="T10" s="239">
        <f>Links!U8</f>
        <v>0</v>
      </c>
      <c r="U10" s="238">
        <f>Links!V8</f>
        <v>0</v>
      </c>
      <c r="V10" s="239">
        <f>Links!W8</f>
        <v>0</v>
      </c>
      <c r="W10" s="238">
        <f>Links!X8</f>
        <v>0</v>
      </c>
      <c r="X10" s="239">
        <f>Links!Y8</f>
        <v>0</v>
      </c>
      <c r="Y10" s="238">
        <f>Links!Z8</f>
        <v>0</v>
      </c>
      <c r="Z10" s="239">
        <f>Links!AA8</f>
        <v>0</v>
      </c>
      <c r="AA10" s="238">
        <f>Links!AB8</f>
        <v>0</v>
      </c>
      <c r="AB10" s="239">
        <f>Links!AC8</f>
        <v>0</v>
      </c>
      <c r="AC10" s="238">
        <f>Links!AD8</f>
        <v>0</v>
      </c>
      <c r="AD10" s="239">
        <f>Links!AE8</f>
        <v>0</v>
      </c>
      <c r="AE10" s="238">
        <f>Links!AF8</f>
        <v>0</v>
      </c>
      <c r="AF10" s="239">
        <f>Links!AG8</f>
        <v>0</v>
      </c>
      <c r="AG10" s="238">
        <f>Links!AH8</f>
        <v>0</v>
      </c>
      <c r="AH10" s="239">
        <f>Links!AI8</f>
        <v>0</v>
      </c>
      <c r="AI10" s="238">
        <f>Links!AJ8</f>
        <v>0</v>
      </c>
      <c r="AJ10" s="239">
        <f>Links!AK8</f>
        <v>0</v>
      </c>
      <c r="AK10" s="238">
        <f>Links!AL8</f>
        <v>0</v>
      </c>
      <c r="AL10" s="239">
        <f>Links!AM8</f>
        <v>0</v>
      </c>
      <c r="AM10" s="238">
        <f>Links!AN8</f>
        <v>0</v>
      </c>
      <c r="AN10" s="239">
        <f>Links!AO8</f>
        <v>0</v>
      </c>
      <c r="AO10" s="238">
        <f>Links!AP8</f>
        <v>0</v>
      </c>
      <c r="AP10" s="239">
        <f>Links!AQ8</f>
        <v>0</v>
      </c>
      <c r="AQ10" s="238">
        <f>Links!AR8</f>
        <v>0</v>
      </c>
      <c r="AR10" s="239">
        <f>Links!AS8</f>
        <v>0</v>
      </c>
      <c r="AS10" s="243"/>
      <c r="AT10" s="244"/>
    </row>
    <row r="11" spans="1:46" s="245" customFormat="1" ht="14.25" x14ac:dyDescent="0.25">
      <c r="B11" s="246"/>
      <c r="C11" s="247" t="s">
        <v>370</v>
      </c>
      <c r="D11" s="242" t="s">
        <v>371</v>
      </c>
      <c r="E11" s="238">
        <f>Links!F25</f>
        <v>0.35</v>
      </c>
      <c r="F11" s="239">
        <f>Links!G25</f>
        <v>0.35</v>
      </c>
      <c r="G11" s="168">
        <f>Links!H25</f>
        <v>0.35</v>
      </c>
      <c r="H11" s="239">
        <f>Links!I25</f>
        <v>0.35</v>
      </c>
      <c r="I11" s="238">
        <f>Links!J25</f>
        <v>0.35</v>
      </c>
      <c r="J11" s="239">
        <f>Links!K25</f>
        <v>0.35</v>
      </c>
      <c r="K11" s="238">
        <f>Links!L25</f>
        <v>0.35</v>
      </c>
      <c r="L11" s="239">
        <f>Links!M25</f>
        <v>0.35</v>
      </c>
      <c r="M11" s="238">
        <f>Links!N25</f>
        <v>0.35</v>
      </c>
      <c r="N11" s="239">
        <f>Links!O25</f>
        <v>0.35</v>
      </c>
      <c r="O11" s="238">
        <f>Links!P25</f>
        <v>0.35</v>
      </c>
      <c r="P11" s="239">
        <f>Links!Q25</f>
        <v>0.35</v>
      </c>
      <c r="Q11" s="238">
        <f>Links!R25</f>
        <v>0.35</v>
      </c>
      <c r="R11" s="239">
        <f>Links!S25</f>
        <v>0.35</v>
      </c>
      <c r="S11" s="238">
        <f>Links!T25</f>
        <v>0</v>
      </c>
      <c r="T11" s="239">
        <f>Links!U25</f>
        <v>0</v>
      </c>
      <c r="U11" s="238">
        <f>Links!V25</f>
        <v>0</v>
      </c>
      <c r="V11" s="239">
        <f>Links!W25</f>
        <v>0</v>
      </c>
      <c r="W11" s="238">
        <f>Links!X25</f>
        <v>0</v>
      </c>
      <c r="X11" s="239">
        <f>Links!Y25</f>
        <v>0</v>
      </c>
      <c r="Y11" s="238">
        <f>Links!Z25</f>
        <v>0</v>
      </c>
      <c r="Z11" s="239">
        <f>Links!AA25</f>
        <v>0</v>
      </c>
      <c r="AA11" s="238">
        <f>Links!AB25</f>
        <v>0</v>
      </c>
      <c r="AB11" s="239">
        <f>Links!AC25</f>
        <v>0</v>
      </c>
      <c r="AC11" s="238">
        <f>Links!AD25</f>
        <v>0</v>
      </c>
      <c r="AD11" s="239">
        <f>Links!AE25</f>
        <v>0</v>
      </c>
      <c r="AE11" s="238">
        <f>Links!AF25</f>
        <v>0</v>
      </c>
      <c r="AF11" s="239">
        <f>Links!AG25</f>
        <v>0</v>
      </c>
      <c r="AG11" s="238">
        <f>Links!AH25</f>
        <v>0</v>
      </c>
      <c r="AH11" s="239">
        <f>Links!AI25</f>
        <v>0</v>
      </c>
      <c r="AI11" s="238">
        <f>Links!AJ25</f>
        <v>0</v>
      </c>
      <c r="AJ11" s="239">
        <f>Links!AK25</f>
        <v>0</v>
      </c>
      <c r="AK11" s="238">
        <f>Links!AL25</f>
        <v>0</v>
      </c>
      <c r="AL11" s="239">
        <f>Links!AM25</f>
        <v>0</v>
      </c>
      <c r="AM11" s="238">
        <f>Links!AN25</f>
        <v>0</v>
      </c>
      <c r="AN11" s="239">
        <f>Links!AO25</f>
        <v>0</v>
      </c>
      <c r="AO11" s="238">
        <f>Links!AP25</f>
        <v>0</v>
      </c>
      <c r="AP11" s="239">
        <f>Links!AQ25</f>
        <v>0</v>
      </c>
      <c r="AQ11" s="238">
        <f>Links!AR25</f>
        <v>0</v>
      </c>
      <c r="AR11" s="239">
        <f>Links!AS25</f>
        <v>0</v>
      </c>
      <c r="AS11" s="248"/>
      <c r="AT11" s="249"/>
    </row>
    <row r="12" spans="1:46" s="245" customFormat="1" ht="14.25" x14ac:dyDescent="0.25">
      <c r="B12" s="246"/>
      <c r="C12" s="238" t="s">
        <v>315</v>
      </c>
      <c r="D12" s="242" t="s">
        <v>379</v>
      </c>
      <c r="E12" s="238">
        <f>Links!F14</f>
        <v>3.3</v>
      </c>
      <c r="F12" s="239">
        <f>Links!G14</f>
        <v>3.3</v>
      </c>
      <c r="G12" s="238">
        <f>Links!H14</f>
        <v>3.3</v>
      </c>
      <c r="H12" s="239">
        <f>Links!I14</f>
        <v>3.3</v>
      </c>
      <c r="I12" s="238">
        <f>Links!J14</f>
        <v>3.3</v>
      </c>
      <c r="J12" s="239">
        <f>Links!K14</f>
        <v>3.3</v>
      </c>
      <c r="K12" s="238">
        <f>Links!L14</f>
        <v>3.3</v>
      </c>
      <c r="L12" s="239">
        <f>Links!M14</f>
        <v>3.3</v>
      </c>
      <c r="M12" s="238">
        <f>Links!N14</f>
        <v>3.3</v>
      </c>
      <c r="N12" s="239">
        <f>Links!O14</f>
        <v>3.3</v>
      </c>
      <c r="O12" s="238">
        <f>Links!P14</f>
        <v>3.3</v>
      </c>
      <c r="P12" s="239">
        <f>Links!Q14</f>
        <v>3.3</v>
      </c>
      <c r="Q12" s="238">
        <f>Links!R14</f>
        <v>3.3</v>
      </c>
      <c r="R12" s="239">
        <f>Links!S14</f>
        <v>3.3</v>
      </c>
      <c r="S12" s="238">
        <f>Links!T14</f>
        <v>0</v>
      </c>
      <c r="T12" s="239">
        <f>Links!U14</f>
        <v>0</v>
      </c>
      <c r="U12" s="238">
        <f>Links!V14</f>
        <v>0</v>
      </c>
      <c r="V12" s="239">
        <f>Links!W14</f>
        <v>0</v>
      </c>
      <c r="W12" s="238">
        <f>Links!X14</f>
        <v>0</v>
      </c>
      <c r="X12" s="239">
        <f>Links!Y14</f>
        <v>0</v>
      </c>
      <c r="Y12" s="238">
        <f>Links!Z14</f>
        <v>0</v>
      </c>
      <c r="Z12" s="239">
        <f>Links!AA14</f>
        <v>0</v>
      </c>
      <c r="AA12" s="238">
        <f>Links!AB14</f>
        <v>0</v>
      </c>
      <c r="AB12" s="239">
        <f>Links!AC14</f>
        <v>0</v>
      </c>
      <c r="AC12" s="238">
        <f>Links!AD14</f>
        <v>0</v>
      </c>
      <c r="AD12" s="239">
        <f>Links!AE14</f>
        <v>0</v>
      </c>
      <c r="AE12" s="238">
        <f>Links!AF14</f>
        <v>0</v>
      </c>
      <c r="AF12" s="239">
        <f>Links!AG14</f>
        <v>0</v>
      </c>
      <c r="AG12" s="238">
        <f>Links!AH14</f>
        <v>0</v>
      </c>
      <c r="AH12" s="239">
        <f>Links!AI14</f>
        <v>0</v>
      </c>
      <c r="AI12" s="238">
        <f>Links!AJ14</f>
        <v>0</v>
      </c>
      <c r="AJ12" s="239">
        <f>Links!AK14</f>
        <v>0</v>
      </c>
      <c r="AK12" s="238">
        <f>Links!AL14</f>
        <v>0</v>
      </c>
      <c r="AL12" s="239">
        <f>Links!AM14</f>
        <v>0</v>
      </c>
      <c r="AM12" s="238">
        <f>Links!AN14</f>
        <v>0</v>
      </c>
      <c r="AN12" s="239">
        <f>Links!AO14</f>
        <v>0</v>
      </c>
      <c r="AO12" s="238">
        <f>Links!AP14</f>
        <v>0</v>
      </c>
      <c r="AP12" s="239">
        <f>Links!AQ14</f>
        <v>0</v>
      </c>
      <c r="AQ12" s="238">
        <f>Links!AR14</f>
        <v>0</v>
      </c>
      <c r="AR12" s="239">
        <f>Links!AS14</f>
        <v>0</v>
      </c>
      <c r="AS12" s="248"/>
      <c r="AT12" s="249"/>
    </row>
    <row r="13" spans="1:46" s="245" customFormat="1" ht="14.25" x14ac:dyDescent="0.25">
      <c r="B13" s="246"/>
      <c r="C13" s="238" t="s">
        <v>349</v>
      </c>
      <c r="D13" s="242" t="s">
        <v>369</v>
      </c>
      <c r="E13" s="238">
        <f>Links!F15</f>
        <v>10</v>
      </c>
      <c r="F13" s="239">
        <f>Links!G15</f>
        <v>10</v>
      </c>
      <c r="G13" s="238">
        <f>Links!H15</f>
        <v>10</v>
      </c>
      <c r="H13" s="239">
        <f>Links!I15</f>
        <v>10</v>
      </c>
      <c r="I13" s="238">
        <f>Links!J15</f>
        <v>10</v>
      </c>
      <c r="J13" s="239">
        <f>Links!K15</f>
        <v>10</v>
      </c>
      <c r="K13" s="238">
        <f>Links!L15</f>
        <v>10</v>
      </c>
      <c r="L13" s="239">
        <f>Links!M15</f>
        <v>10</v>
      </c>
      <c r="M13" s="238">
        <f>Links!N15</f>
        <v>10</v>
      </c>
      <c r="N13" s="239">
        <f>Links!O15</f>
        <v>10</v>
      </c>
      <c r="O13" s="238">
        <f>Links!P15</f>
        <v>10</v>
      </c>
      <c r="P13" s="239">
        <f>Links!Q15</f>
        <v>10</v>
      </c>
      <c r="Q13" s="238">
        <f>Links!R15</f>
        <v>10</v>
      </c>
      <c r="R13" s="239">
        <f>Links!S15</f>
        <v>10</v>
      </c>
      <c r="S13" s="238">
        <f>Links!T15</f>
        <v>0</v>
      </c>
      <c r="T13" s="239">
        <f>Links!U15</f>
        <v>0</v>
      </c>
      <c r="U13" s="238">
        <f>Links!V15</f>
        <v>0</v>
      </c>
      <c r="V13" s="239">
        <f>Links!W15</f>
        <v>0</v>
      </c>
      <c r="W13" s="238">
        <f>Links!X15</f>
        <v>0</v>
      </c>
      <c r="X13" s="239">
        <f>Links!Y15</f>
        <v>0</v>
      </c>
      <c r="Y13" s="238">
        <f>Links!Z15</f>
        <v>0</v>
      </c>
      <c r="Z13" s="239">
        <f>Links!AA15</f>
        <v>0</v>
      </c>
      <c r="AA13" s="238">
        <f>Links!AB15</f>
        <v>0</v>
      </c>
      <c r="AB13" s="239">
        <f>Links!AC15</f>
        <v>0</v>
      </c>
      <c r="AC13" s="238">
        <f>Links!AD15</f>
        <v>0</v>
      </c>
      <c r="AD13" s="239">
        <f>Links!AE15</f>
        <v>0</v>
      </c>
      <c r="AE13" s="238">
        <f>Links!AF15</f>
        <v>0</v>
      </c>
      <c r="AF13" s="239">
        <f>Links!AG15</f>
        <v>0</v>
      </c>
      <c r="AG13" s="238">
        <f>Links!AH15</f>
        <v>0</v>
      </c>
      <c r="AH13" s="239">
        <f>Links!AI15</f>
        <v>0</v>
      </c>
      <c r="AI13" s="238">
        <f>Links!AJ15</f>
        <v>0</v>
      </c>
      <c r="AJ13" s="239">
        <f>Links!AK15</f>
        <v>0</v>
      </c>
      <c r="AK13" s="238">
        <f>Links!AL15</f>
        <v>0</v>
      </c>
      <c r="AL13" s="239">
        <f>Links!AM15</f>
        <v>0</v>
      </c>
      <c r="AM13" s="238">
        <f>Links!AN15</f>
        <v>0</v>
      </c>
      <c r="AN13" s="239">
        <f>Links!AO15</f>
        <v>0</v>
      </c>
      <c r="AO13" s="238">
        <f>Links!AP15</f>
        <v>0</v>
      </c>
      <c r="AP13" s="239">
        <f>Links!AQ15</f>
        <v>0</v>
      </c>
      <c r="AQ13" s="238">
        <f>Links!AR15</f>
        <v>0</v>
      </c>
      <c r="AR13" s="239">
        <f>Links!AS15</f>
        <v>0</v>
      </c>
      <c r="AS13" s="248"/>
      <c r="AT13" s="249"/>
    </row>
    <row r="14" spans="1:46" ht="15.75" x14ac:dyDescent="0.25">
      <c r="B14" s="55"/>
      <c r="C14" s="4"/>
      <c r="D14" s="8" t="s">
        <v>195</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429</v>
      </c>
      <c r="D15" s="11" t="s">
        <v>430</v>
      </c>
      <c r="E15" s="168">
        <f>Links!F56</f>
        <v>28.962681818181821</v>
      </c>
      <c r="F15" s="169">
        <f>Links!G56</f>
        <v>28.962681818181821</v>
      </c>
      <c r="G15" s="168">
        <f>Links!H56</f>
        <v>20.505510258971114</v>
      </c>
      <c r="H15" s="169">
        <f>Links!I56</f>
        <v>20.505510258971114</v>
      </c>
      <c r="I15" s="269">
        <f>Links!J56</f>
        <v>17.450964804425659</v>
      </c>
      <c r="J15" s="270">
        <f>Links!K56</f>
        <v>17.450964804425659</v>
      </c>
      <c r="K15" s="269">
        <f>Links!L56</f>
        <v>38.413636363636371</v>
      </c>
      <c r="L15" s="270">
        <f>Links!M56</f>
        <v>25.363636363636367</v>
      </c>
      <c r="M15" s="269">
        <f>Links!N56</f>
        <v>68.959090909090918</v>
      </c>
      <c r="N15" s="270">
        <f>Links!O56</f>
        <v>55.909090909090921</v>
      </c>
      <c r="O15" s="269">
        <f>Links!P56</f>
        <v>32.059343090734956</v>
      </c>
      <c r="P15" s="270">
        <f>Links!Q56</f>
        <v>32.059343090734956</v>
      </c>
      <c r="Q15" s="269">
        <f>Links!R56</f>
        <v>21.11388854528041</v>
      </c>
      <c r="R15" s="270">
        <f>Links!S56</f>
        <v>21.11388854528041</v>
      </c>
      <c r="S15" s="168">
        <f>Links!T56</f>
        <v>0</v>
      </c>
      <c r="T15" s="169">
        <f>Links!U56</f>
        <v>0</v>
      </c>
      <c r="U15" s="168">
        <f>Links!V56</f>
        <v>0</v>
      </c>
      <c r="V15" s="169">
        <f>Links!W56</f>
        <v>0</v>
      </c>
      <c r="W15" s="168">
        <f>Links!X56</f>
        <v>0</v>
      </c>
      <c r="X15" s="169">
        <f>Links!Y56</f>
        <v>0</v>
      </c>
      <c r="Y15" s="168">
        <f>Links!Z56</f>
        <v>0</v>
      </c>
      <c r="Z15" s="169">
        <f>Links!AA56</f>
        <v>0</v>
      </c>
      <c r="AA15" s="168">
        <f>Links!AB56</f>
        <v>0</v>
      </c>
      <c r="AB15" s="169">
        <f>Links!AC56</f>
        <v>0</v>
      </c>
      <c r="AC15" s="168">
        <f>Links!AD56</f>
        <v>0</v>
      </c>
      <c r="AD15" s="169">
        <f>Links!AE56</f>
        <v>0</v>
      </c>
      <c r="AE15" s="168">
        <f>Links!AF56</f>
        <v>0</v>
      </c>
      <c r="AF15" s="169">
        <f>Links!AG56</f>
        <v>0</v>
      </c>
      <c r="AG15" s="168">
        <f>Links!AH56</f>
        <v>0</v>
      </c>
      <c r="AH15" s="169">
        <f>Links!AI56</f>
        <v>0</v>
      </c>
      <c r="AI15" s="168">
        <f>Links!AJ56</f>
        <v>0</v>
      </c>
      <c r="AJ15" s="169">
        <f>Links!AK56</f>
        <v>0</v>
      </c>
      <c r="AK15" s="168">
        <f>Links!AL56</f>
        <v>0</v>
      </c>
      <c r="AL15" s="169">
        <f>Links!AM56</f>
        <v>0</v>
      </c>
      <c r="AM15" s="168">
        <f>Links!AN56</f>
        <v>0</v>
      </c>
      <c r="AN15" s="169">
        <f>Links!AO56</f>
        <v>0</v>
      </c>
      <c r="AO15" s="168">
        <f>Links!AP56</f>
        <v>0</v>
      </c>
      <c r="AP15" s="169">
        <f>Links!AQ56</f>
        <v>0</v>
      </c>
      <c r="AQ15" s="168">
        <f>Links!AR56</f>
        <v>0</v>
      </c>
      <c r="AR15" s="169">
        <f>Links!AS56</f>
        <v>0</v>
      </c>
      <c r="AS15" s="51"/>
      <c r="AT15" s="56"/>
    </row>
    <row r="16" spans="1:46" x14ac:dyDescent="0.25">
      <c r="B16" s="55"/>
      <c r="C16" s="10" t="s">
        <v>97</v>
      </c>
      <c r="D16" s="11" t="s">
        <v>444</v>
      </c>
      <c r="E16" s="168" t="str">
        <f t="shared" ref="E16:AR16" si="0">IF(E10="EB","S",IF(E10="WB","N",IF(E10="NB","E",IF(E10="SB","W","-"))))</f>
        <v>S</v>
      </c>
      <c r="F16" s="169" t="str">
        <f t="shared" si="0"/>
        <v>N</v>
      </c>
      <c r="G16" s="168" t="str">
        <f t="shared" si="0"/>
        <v>S</v>
      </c>
      <c r="H16" s="169" t="str">
        <f t="shared" si="0"/>
        <v>N</v>
      </c>
      <c r="I16" s="168" t="str">
        <f t="shared" si="0"/>
        <v>S</v>
      </c>
      <c r="J16" s="169" t="str">
        <f t="shared" si="0"/>
        <v>N</v>
      </c>
      <c r="K16" s="168" t="str">
        <f t="shared" si="0"/>
        <v>S</v>
      </c>
      <c r="L16" s="169" t="str">
        <f t="shared" si="0"/>
        <v>N</v>
      </c>
      <c r="M16" s="168" t="str">
        <f t="shared" si="0"/>
        <v>S</v>
      </c>
      <c r="N16" s="169" t="str">
        <f t="shared" si="0"/>
        <v>N</v>
      </c>
      <c r="O16" s="168" t="str">
        <f t="shared" si="0"/>
        <v>S</v>
      </c>
      <c r="P16" s="169" t="str">
        <f t="shared" si="0"/>
        <v>N</v>
      </c>
      <c r="Q16" s="168" t="str">
        <f t="shared" si="0"/>
        <v>S</v>
      </c>
      <c r="R16" s="169" t="str">
        <f t="shared" si="0"/>
        <v>N</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433</v>
      </c>
      <c r="D17" s="11" t="s">
        <v>434</v>
      </c>
      <c r="E17" s="168">
        <f>IF(ISNUMBER((INDEX(Intersections!$F66:$I66,1,MATCH(E16,Intersections!$F5:$I5,0))))=FALSE, "", INDEX(Intersections!$F66:$I66,1,MATCH(E16,Intersections!$F5:$I5,0)))</f>
        <v>16.380499999999998</v>
      </c>
      <c r="F17" s="273">
        <f>IF(ISNUMBER((INDEX(Intersections!$F66:$I66,1,MATCH(F16,Intersections!$F5:$I5,0))))=FALSE, "", INDEX(Intersections!$F66:$I66,1,MATCH(F16,Intersections!$F5:$I5,0)))</f>
        <v>16.380499999999998</v>
      </c>
      <c r="G17" s="274">
        <f>IF(ISNUMBER((INDEX(Intersections!J66:M66,1,MATCH(G16,Intersections!J5:M5,0))))=FALSE, "", (INDEX(Intersections!J66:M66,1,MATCH(G16,Intersections!J5:M5,0))))</f>
        <v>1</v>
      </c>
      <c r="H17" s="169" t="str">
        <f>IF(ISNUMBER((INDEX(Intersections!J66:M66,1,MATCH(H16,Intersections!J5:M5,0))))=FALSE, "", (INDEX(Intersections!J66:M66,1,MATCH(H16,Intersections!J5:M5,0))))</f>
        <v/>
      </c>
      <c r="I17" s="168">
        <f>INDEX(Intersections!N66:Q66,1,MATCH(I16,Intersections!N5:Q5,0))</f>
        <v>21.355555555555554</v>
      </c>
      <c r="J17" s="169">
        <f>INDEX(Intersections!N66:Q66,1,MATCH(J16,Intersections!N5:Q5,0))</f>
        <v>21.355555555555554</v>
      </c>
      <c r="K17" s="168">
        <f>IF(ISNUMBER((INDEX(Intersections!$R66:$U66,1,MATCH(K16,Intersections!$R5:$U5,0))))=FALSE, "", INDEX(Intersections!$R66:$U66,1,MATCH(K16,Intersections!$R5:$U5,0)))</f>
        <v>1</v>
      </c>
      <c r="L17" s="273" t="str">
        <f>IF(ISNUMBER((INDEX(Intersections!$R66:$U66,1,MATCH(L16,Intersections!$R5:$U5,0))))=FALSE, "", INDEX(Intersections!$R66:$U66,1,MATCH(L16,Intersections!$R5:$U5,0)))</f>
        <v/>
      </c>
      <c r="M17" s="168">
        <f>IF(ISNUMBER((INDEX(Intersections!$V66:$Y66,1,MATCH(M16,Intersections!$V5:$Y5,0))))=FALSE, "", INDEX(Intersections!$V66:$Y66,1,MATCH(M16,Intersections!$V5:$Y5,0)))</f>
        <v>25.224637681159422</v>
      </c>
      <c r="N17" s="273" t="str">
        <f>IF(ISNUMBER((INDEX(Intersections!$V66:$Y66,1,MATCH(N16,Intersections!$V5:$Y5,0))))=FALSE, "", INDEX(Intersections!$V66:$Y66,1,MATCH(N16,Intersections!$V5:$Y5,0)))</f>
        <v/>
      </c>
      <c r="O17" s="273">
        <f>IF(ISNUMBER((INDEX(Intersections!$Z66:$AC66,1,MATCH(O16,Intersections!$Z5:$AC5,0))))=FALSE, "", INDEX(Intersections!$Z66:$AC66,1,MATCH(O16,Intersections!$Z5:$AC5,0)))</f>
        <v>11.76</v>
      </c>
      <c r="P17" s="273" t="str">
        <f>IF(ISNUMBER((INDEX(Intersections!$Z66:$AC66,1,MATCH(P16,Intersections!$Z5:$AC5,0))))=FALSE, "", INDEX(Intersections!$Z66:$AC66,1,MATCH(P16,Intersections!$Z5:$AC5,0)))</f>
        <v/>
      </c>
      <c r="Q17" s="273">
        <f>IF(ISNUMBER((INDEX(Intersections!$AD66:$AG66,1,MATCH(Q16,Intersections!$AD5:$AG5,0))))=FALSE, "", INDEX(Intersections!$AD66:$AG66,1,MATCH(Q16,Intersections!$AD5:$AGC5,0)))</f>
        <v>12.033333333333333</v>
      </c>
      <c r="R17" s="273" t="str">
        <f>IF(ISNUMBER((INDEX(Intersections!$AD66:$AG66,1,MATCH(R16,Intersections!$AD5:$AG5,0))))=FALSE, "", INDEX(Intersections!$AD66:$AG66,1,MATCH(R16,Intersections!$AD5:$AGC5,0)))</f>
        <v/>
      </c>
      <c r="S17" s="168" t="e">
        <f>INDEX(Intersections!AH66:AK66,1,MATCH(S16,Intersections!AH5:AK5,0))</f>
        <v>#N/A</v>
      </c>
      <c r="T17" s="169" t="e">
        <f>INDEX(Intersections!AH66:AK66,1,MATCH(T16,Intersections!AH5:AK5,0))</f>
        <v>#N/A</v>
      </c>
      <c r="U17" s="168" t="e">
        <f>INDEX(Intersections!AL66:AO66,1,MATCH(U16,Intersections!AL5:AO5,0))</f>
        <v>#N/A</v>
      </c>
      <c r="V17" s="169" t="e">
        <f>INDEX(Intersections!AL66:AO66,1,MATCH(V16,Intersections!AL5:AO5,0))</f>
        <v>#N/A</v>
      </c>
      <c r="W17" s="168" t="e">
        <f>INDEX(Intersections!AP66:AS66,1,MATCH(W16,Intersections!AP5:AS5,0))</f>
        <v>#N/A</v>
      </c>
      <c r="X17" s="169" t="e">
        <f>INDEX(Intersections!AP66:AS66,1,MATCH(X16,Intersections!AP5:AS5,0))</f>
        <v>#N/A</v>
      </c>
      <c r="Y17" s="168" t="e">
        <f>INDEX(Intersections!AT66:AW66,1,MATCH(Y16,Intersections!AT5:AW5,0))</f>
        <v>#N/A</v>
      </c>
      <c r="Z17" s="169" t="e">
        <f>INDEX(Intersections!AT66:AW66,1,MATCH(Z16,Intersections!AT5:AW5,0))</f>
        <v>#N/A</v>
      </c>
      <c r="AA17" s="168" t="e">
        <f>INDEX(Intersections!AX66:BA66,1,MATCH(AA16,Intersections!AX5:BA5,0))</f>
        <v>#N/A</v>
      </c>
      <c r="AB17" s="169" t="e">
        <f>INDEX(Intersections!AX66:BA66,1,MATCH(AB16,Intersections!AX5:BA5,0))</f>
        <v>#N/A</v>
      </c>
      <c r="AC17" s="168" t="e">
        <f>INDEX(Intersections!BB66:BE66,1,MATCH(AC16,Intersections!BB5:BE5,0))</f>
        <v>#N/A</v>
      </c>
      <c r="AD17" s="169" t="e">
        <f>INDEX(Intersections!BB66:BE66,1,MATCH(AD16,Intersections!BB5:BE5,0))</f>
        <v>#N/A</v>
      </c>
      <c r="AE17" s="168" t="e">
        <f>INDEX(Intersections!BF66:BI66,1,MATCH(AE16,Intersections!BF5:BI5,0))</f>
        <v>#N/A</v>
      </c>
      <c r="AF17" s="169" t="e">
        <f>INDEX(Intersections!BF66:BI66,1,MATCH(AF16,Intersections!BF5:BI5,0))</f>
        <v>#N/A</v>
      </c>
      <c r="AG17" s="168" t="e">
        <f>INDEX(Intersections!BJ66:BM66,1,MATCH(AG16,Intersections!BJ5:BM5,0))</f>
        <v>#N/A</v>
      </c>
      <c r="AH17" s="169" t="e">
        <f>INDEX(Intersections!BJ66:BM66,1,MATCH(AH16,Intersections!BJ5:BM5,0))</f>
        <v>#N/A</v>
      </c>
      <c r="AI17" s="168" t="e">
        <f>INDEX(Intersections!BN66:BQ66,1,MATCH(AI16,Intersections!BN5:BQ5,0))</f>
        <v>#N/A</v>
      </c>
      <c r="AJ17" s="169" t="e">
        <f>INDEX(Intersections!BN66:BQ66,1,MATCH(AJ16,Intersections!BN5:BQ5,0))</f>
        <v>#N/A</v>
      </c>
      <c r="AK17" s="168" t="e">
        <f>INDEX(Intersections!BR66:BU66,1,MATCH(AK16,Intersections!BR5:BU5,0))</f>
        <v>#N/A</v>
      </c>
      <c r="AL17" s="169" t="e">
        <f>INDEX(Intersections!BR66:BU66,1,MATCH(AL16,Intersections!BR5:BU5,0))</f>
        <v>#N/A</v>
      </c>
      <c r="AM17" s="168" t="e">
        <f>INDEX(Intersections!BV66:BY66,1,MATCH(AM16,Intersections!BV5:BY5,0))</f>
        <v>#N/A</v>
      </c>
      <c r="AN17" s="169" t="e">
        <f>INDEX(Intersections!BV66:BY66,1,MATCH(AN16,Intersections!BV5:BY5,0))</f>
        <v>#N/A</v>
      </c>
      <c r="AO17" s="168" t="e">
        <f>INDEX(Intersections!BZ66:CC66,1,MATCH(AO16,Intersections!BZ5:CC5,0))</f>
        <v>#N/A</v>
      </c>
      <c r="AP17" s="169" t="e">
        <f>INDEX(Intersections!BZ66:CC66,1,MATCH(AP16,Intersections!BZ5:CC5,0))</f>
        <v>#N/A</v>
      </c>
      <c r="AQ17" s="168" t="e">
        <f>INDEX(Intersections!CD66:CG66,1,MATCH(AQ16,Intersections!CD5:CG5,0))</f>
        <v>#N/A</v>
      </c>
      <c r="AR17" s="169" t="e">
        <f>INDEX(Intersections!CD66:CG66,1,MATCH(AR16,Intersections!CD5:CG5,0))</f>
        <v>#N/A</v>
      </c>
      <c r="AS17" s="51"/>
      <c r="AT17" s="56"/>
    </row>
    <row r="18" spans="2:46" ht="14.25" x14ac:dyDescent="0.25">
      <c r="B18" s="55"/>
      <c r="C18" s="10" t="s">
        <v>441</v>
      </c>
      <c r="D18" s="11" t="s">
        <v>442</v>
      </c>
      <c r="E18" s="168">
        <f>INDEX(Intersections!F66:I66,1,MATCH(LEFT(E10,1),Intersections!F5:I5,0))</f>
        <v>16.744499999999999</v>
      </c>
      <c r="F18" s="273">
        <f>INDEX(Intersections!G66:J66,1,MATCH(LEFT(F10,1),Intersections!G5:J5,0))</f>
        <v>16.744499999999999</v>
      </c>
      <c r="G18" s="168">
        <f>INDEX(Intersections!J66:M66,1,MATCH(LEFT(G10,1),Intersections!J5:M5,0))</f>
        <v>7.269146622607475</v>
      </c>
      <c r="H18" s="169">
        <f>INDEX(Intersections!J66:M66,1,MATCH(LEFT(H10,1),Intersections!J5:M5,0))</f>
        <v>7.269146622607475</v>
      </c>
      <c r="I18" s="168">
        <f>INDEX(Intersections!N66:Q66,1,MATCH(LEFT(I10,1),Intersections!N5:Q5,0))</f>
        <v>18.05</v>
      </c>
      <c r="J18" s="169">
        <f>INDEX(Intersections!N66:Q66,1,MATCH(LEFT(J10,1),Intersections!N5:Q5,0))</f>
        <v>5</v>
      </c>
      <c r="K18" s="168">
        <f>INDEX(Intersections!R66:U66,1,MATCH(LEFT(K10,1),Intersections!R5:U5,0))</f>
        <v>7.8775249089167714</v>
      </c>
      <c r="L18" s="169">
        <f>INDEX(Intersections!R66:U66,1,MATCH(LEFT(L10,1),Intersections!R5:U5,0))</f>
        <v>7.8775249089167714</v>
      </c>
      <c r="M18" s="238">
        <f>INDEX(Intersections!V66:Y66,1,MATCH(LEFT(M10,1),Intersections!V5:Y5,0))</f>
        <v>7.8913043478260869</v>
      </c>
      <c r="N18" s="239">
        <f>INDEX(Intersections!V66:Y66,1,MATCH(LEFT(N10,1),Intersections!V5:Y5,0))</f>
        <v>15.333333333333334</v>
      </c>
      <c r="O18" s="238">
        <f>INDEX(Intersections!Z66:AC66,1,MATCH(LEFT(O10,1),Intersections!Z5:AC5,0))</f>
        <v>10.666666666666666</v>
      </c>
      <c r="P18" s="239">
        <f>INDEX(Intersections!Z66:AC66,1,MATCH(LEFT(P10,1),Intersections!Z5:AC5,0))</f>
        <v>18.726666666666667</v>
      </c>
      <c r="Q18" s="168">
        <f>INDEX(Intersections!AD66:AG66,1,MATCH(LEFT(Q10,1),Intersections!AD5:AG5,0))</f>
        <v>4.0333333333333332</v>
      </c>
      <c r="R18" s="169">
        <f>INDEX(Intersections!AD66:AG66,1,MATCH(LEFT(R10,1),Intersections!AD5:AG5,0))</f>
        <v>4.0333333333333332</v>
      </c>
      <c r="S18" s="168" t="e">
        <f>INDEX(Intersections!AH66:AK66,1,MATCH(LEFT(S10,1),Intersections!AH5:AK5,0))</f>
        <v>#N/A</v>
      </c>
      <c r="T18" s="169" t="e">
        <f>INDEX(Intersections!AH66:AK66,1,MATCH(LEFT(T10,1),Intersections!AH5:AK5,0))</f>
        <v>#N/A</v>
      </c>
      <c r="U18" s="168" t="e">
        <f>INDEX(Intersections!AL66:AO66,1,MATCH(LEFT(U10,1),Intersections!AL5:AO5,0))</f>
        <v>#N/A</v>
      </c>
      <c r="V18" s="169" t="e">
        <f>INDEX(Intersections!AL66:AO66,1,MATCH(LEFT(V10,1),Intersections!AL5:AO5,0))</f>
        <v>#N/A</v>
      </c>
      <c r="W18" s="168" t="e">
        <f>INDEX(Intersections!AP66:AS66,1,MATCH(LEFT(W10,1),Intersections!AP5:AS5,0))</f>
        <v>#N/A</v>
      </c>
      <c r="X18" s="169" t="e">
        <f>INDEX(Intersections!AP66:AS66,1,MATCH(LEFT(X10,1),Intersections!AP5:AS5,0))</f>
        <v>#N/A</v>
      </c>
      <c r="Y18" s="168" t="e">
        <f>INDEX(Intersections!AT66:AW66,1,MATCH(LEFT(Y10,1),Intersections!AT5:AW5,0))</f>
        <v>#N/A</v>
      </c>
      <c r="Z18" s="169" t="e">
        <f>INDEX(Intersections!AT66:AW66,1,MATCH(LEFT(Z10,1),Intersections!AT5:AW5,0))</f>
        <v>#N/A</v>
      </c>
      <c r="AA18" s="168" t="e">
        <f>INDEX(Intersections!AX66:BA66,1,MATCH(LEFT(AA10,1),Intersections!AX5:BA5,0))</f>
        <v>#N/A</v>
      </c>
      <c r="AB18" s="169" t="e">
        <f>INDEX(Intersections!AX66:BA66,1,MATCH(LEFT(AB10,1),Intersections!AX5:BA5,0))</f>
        <v>#N/A</v>
      </c>
      <c r="AC18" s="168" t="e">
        <f>INDEX(Intersections!BB66:BE66,1,MATCH(LEFT(AC10,1),Intersections!BB5:BE5,0))</f>
        <v>#N/A</v>
      </c>
      <c r="AD18" s="169" t="e">
        <f>INDEX(Intersections!BB66:BE66,1,MATCH(LEFT(AD10,1),Intersections!BB5:BE5,0))</f>
        <v>#N/A</v>
      </c>
      <c r="AE18" s="168" t="e">
        <f>INDEX(Intersections!BF66:BI66,1,MATCH(LEFT(AE10,1),Intersections!BF5:BI5,0))</f>
        <v>#N/A</v>
      </c>
      <c r="AF18" s="169" t="e">
        <f>INDEX(Intersections!BF66:BI66,1,MATCH(LEFT(AF10,1),Intersections!BF5:BI5,0))</f>
        <v>#N/A</v>
      </c>
      <c r="AG18" s="168" t="e">
        <f>INDEX(Intersections!BJ66:BM66,1,MATCH(LEFT(AG10,1),Intersections!BJ5:BM5,0))</f>
        <v>#N/A</v>
      </c>
      <c r="AH18" s="169" t="e">
        <f>INDEX(Intersections!BJ66:BM66,1,MATCH(LEFT(AH10,1),Intersections!BJ5:BM5,0))</f>
        <v>#N/A</v>
      </c>
      <c r="AI18" s="168" t="e">
        <f>INDEX(Intersections!BN66:BQ66,1,MATCH(LEFT(AI10,1),Intersections!BN5:BQ5,0))</f>
        <v>#N/A</v>
      </c>
      <c r="AJ18" s="169" t="e">
        <f>INDEX(Intersections!BN66:BQ66,1,MATCH(LEFT(AJ10,1),Intersections!BN5:BQ5,0))</f>
        <v>#N/A</v>
      </c>
      <c r="AK18" s="168" t="e">
        <f>INDEX(Intersections!BR66:BU66,1,MATCH(LEFT(AK10,1),Intersections!BR5:BU5,0))</f>
        <v>#N/A</v>
      </c>
      <c r="AL18" s="169" t="e">
        <f>INDEX(Intersections!BR66:BU66,1,MATCH(LEFT(AL10,1),Intersections!BR5:BU5,0))</f>
        <v>#N/A</v>
      </c>
      <c r="AM18" s="168" t="e">
        <f>INDEX(Intersections!BV66:BY66,1,MATCH(LEFT(AM10,1),Intersections!BV5:BY5,0))</f>
        <v>#N/A</v>
      </c>
      <c r="AN18" s="169" t="e">
        <f>INDEX(Intersections!BV66:BY66,1,MATCH(LEFT(AN10,1),Intersections!BV5:BY5,0))</f>
        <v>#N/A</v>
      </c>
      <c r="AO18" s="168" t="e">
        <f>INDEX(Intersections!BZ66:CC66,1,MATCH(LEFT(AO10,1),Intersections!BZ5:CC5,0))</f>
        <v>#N/A</v>
      </c>
      <c r="AP18" s="169" t="e">
        <f>INDEX(Intersections!BZ66:CC66,1,MATCH(LEFT(AP10,1),Intersections!BZ5:CC5,0))</f>
        <v>#N/A</v>
      </c>
      <c r="AQ18" s="168" t="e">
        <f>INDEX(Intersections!CD66:CG66,1,MATCH(LEFT(AQ10,1),Intersections!CD5:CG5,0))</f>
        <v>#N/A</v>
      </c>
      <c r="AR18" s="169" t="e">
        <f>INDEX(Intersections!CD66:CG66,1,MATCH(LEFT(AR10,1),Intersections!CD5:CG5,0))</f>
        <v>#N/A</v>
      </c>
      <c r="AS18" s="51"/>
      <c r="AT18" s="56"/>
    </row>
    <row r="19" spans="2:46" ht="14.25" x14ac:dyDescent="0.25">
      <c r="B19" s="55"/>
      <c r="C19" s="10" t="s">
        <v>373</v>
      </c>
      <c r="D19" s="11" t="s">
        <v>376</v>
      </c>
      <c r="E19" s="168">
        <f t="shared" ref="E19:AR19" si="1">PEDDELAYLOS(E18)</f>
        <v>2.1744499999999998</v>
      </c>
      <c r="F19" s="169">
        <f t="shared" si="1"/>
        <v>2.1744499999999998</v>
      </c>
      <c r="G19" s="168">
        <f t="shared" si="1"/>
        <v>1.2269146622607474</v>
      </c>
      <c r="H19" s="169">
        <f t="shared" si="1"/>
        <v>1.2269146622607474</v>
      </c>
      <c r="I19" s="168">
        <f t="shared" si="1"/>
        <v>2.3050000000000002</v>
      </c>
      <c r="J19" s="169">
        <f t="shared" si="1"/>
        <v>1</v>
      </c>
      <c r="K19" s="168">
        <f t="shared" si="1"/>
        <v>1.2877524908916773</v>
      </c>
      <c r="L19" s="169">
        <f t="shared" si="1"/>
        <v>1.2877524908916773</v>
      </c>
      <c r="M19" s="168">
        <f t="shared" si="1"/>
        <v>1.2891304347826087</v>
      </c>
      <c r="N19" s="169">
        <f t="shared" si="1"/>
        <v>2.0333333333333332</v>
      </c>
      <c r="O19" s="168">
        <f t="shared" si="1"/>
        <v>1.5666666666666664</v>
      </c>
      <c r="P19" s="169">
        <f t="shared" si="1"/>
        <v>2.3726666666666665</v>
      </c>
      <c r="Q19" s="168">
        <f t="shared" si="1"/>
        <v>0.90333333333333332</v>
      </c>
      <c r="R19" s="169">
        <f t="shared" si="1"/>
        <v>0.90333333333333332</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374</v>
      </c>
      <c r="D20" s="11" t="s">
        <v>375</v>
      </c>
      <c r="E20" s="168">
        <f t="shared" ref="E20:AR20" si="2">PEDDELAYLOS(E15)</f>
        <v>3.3962681818181819</v>
      </c>
      <c r="F20" s="169">
        <f t="shared" si="2"/>
        <v>3.3962681818181819</v>
      </c>
      <c r="G20" s="168">
        <f t="shared" si="2"/>
        <v>2.5505510258971116</v>
      </c>
      <c r="H20" s="169">
        <f t="shared" si="2"/>
        <v>2.5505510258971116</v>
      </c>
      <c r="I20" s="168">
        <f t="shared" si="2"/>
        <v>2.2450964804425659</v>
      </c>
      <c r="J20" s="169">
        <f t="shared" si="2"/>
        <v>2.2450964804425659</v>
      </c>
      <c r="K20" s="168">
        <f t="shared" si="2"/>
        <v>4.3413636363636368</v>
      </c>
      <c r="L20" s="169">
        <f t="shared" si="2"/>
        <v>3.0363636363636366</v>
      </c>
      <c r="M20" s="168">
        <f t="shared" si="2"/>
        <v>5.9479545454545457</v>
      </c>
      <c r="N20" s="169">
        <f t="shared" si="2"/>
        <v>5.2954545454545459</v>
      </c>
      <c r="O20" s="168">
        <f t="shared" si="2"/>
        <v>3.7059343090734957</v>
      </c>
      <c r="P20" s="169">
        <f t="shared" si="2"/>
        <v>3.7059343090734957</v>
      </c>
      <c r="Q20" s="168">
        <f t="shared" si="2"/>
        <v>2.611388854528041</v>
      </c>
      <c r="R20" s="169">
        <f t="shared" si="2"/>
        <v>2.611388854528041</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372</v>
      </c>
      <c r="D21" s="11" t="s">
        <v>381</v>
      </c>
      <c r="E21" s="168">
        <f t="shared" ref="E21:AR21" si="3">MIN(E20,E19,6)</f>
        <v>2.1744499999999998</v>
      </c>
      <c r="F21" s="169">
        <f t="shared" si="3"/>
        <v>2.1744499999999998</v>
      </c>
      <c r="G21" s="168">
        <f t="shared" si="3"/>
        <v>1.2269146622607474</v>
      </c>
      <c r="H21" s="169">
        <f t="shared" si="3"/>
        <v>1.2269146622607474</v>
      </c>
      <c r="I21" s="168">
        <f t="shared" si="3"/>
        <v>2.2450964804425659</v>
      </c>
      <c r="J21" s="169">
        <f t="shared" si="3"/>
        <v>1</v>
      </c>
      <c r="K21" s="168">
        <f t="shared" si="3"/>
        <v>1.2877524908916773</v>
      </c>
      <c r="L21" s="169">
        <f t="shared" si="3"/>
        <v>1.2877524908916773</v>
      </c>
      <c r="M21" s="168">
        <f t="shared" si="3"/>
        <v>1.2891304347826087</v>
      </c>
      <c r="N21" s="169">
        <f t="shared" si="3"/>
        <v>2.0333333333333332</v>
      </c>
      <c r="O21" s="168">
        <f t="shared" si="3"/>
        <v>1.5666666666666664</v>
      </c>
      <c r="P21" s="169">
        <f t="shared" si="3"/>
        <v>2.3726666666666665</v>
      </c>
      <c r="Q21" s="168">
        <f t="shared" si="3"/>
        <v>0.90333333333333332</v>
      </c>
      <c r="R21" s="169">
        <f t="shared" si="3"/>
        <v>0.90333333333333332</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215</v>
      </c>
      <c r="D22" s="11" t="s">
        <v>40</v>
      </c>
      <c r="E22" s="168">
        <f>Links!F57</f>
        <v>1.4003964760236025</v>
      </c>
      <c r="F22" s="169">
        <f>Links!G57</f>
        <v>1.2777898880589023</v>
      </c>
      <c r="G22" s="168">
        <f>Links!H57</f>
        <v>1.514146476023603</v>
      </c>
      <c r="H22" s="169">
        <f>Links!I57</f>
        <v>1.0116148880589018</v>
      </c>
      <c r="I22" s="168">
        <f>Links!J57</f>
        <v>2.0178958466638228</v>
      </c>
      <c r="J22" s="169">
        <f>Links!K57</f>
        <v>1.7068808719747777</v>
      </c>
      <c r="K22" s="168">
        <f>Links!L57</f>
        <v>2.0906414342001698</v>
      </c>
      <c r="L22" s="169">
        <f>Links!M57</f>
        <v>1.4031189231840058</v>
      </c>
      <c r="M22" s="168">
        <f>Links!N57</f>
        <v>1.8296513252853428</v>
      </c>
      <c r="N22" s="169">
        <f>Links!O57</f>
        <v>1.3377308622050625</v>
      </c>
      <c r="O22" s="168">
        <f>Links!P57</f>
        <v>1.6124653316123219</v>
      </c>
      <c r="P22" s="169">
        <f>Links!Q57</f>
        <v>1.1096903316123221</v>
      </c>
      <c r="Q22" s="168">
        <f>Links!R57</f>
        <v>1.621565331612322</v>
      </c>
      <c r="R22" s="169">
        <f>Links!S57</f>
        <v>1.0755653316123217</v>
      </c>
      <c r="S22" s="168">
        <f>Links!T57</f>
        <v>0</v>
      </c>
      <c r="T22" s="169">
        <f>Links!U57</f>
        <v>0</v>
      </c>
      <c r="U22" s="168">
        <f>Links!V57</f>
        <v>0</v>
      </c>
      <c r="V22" s="169">
        <f>Links!W57</f>
        <v>0</v>
      </c>
      <c r="W22" s="168">
        <f>Links!X57</f>
        <v>0</v>
      </c>
      <c r="X22" s="169">
        <f>Links!Y57</f>
        <v>0</v>
      </c>
      <c r="Y22" s="168">
        <f>Links!Z57</f>
        <v>0</v>
      </c>
      <c r="Z22" s="169">
        <f>Links!AA57</f>
        <v>0</v>
      </c>
      <c r="AA22" s="168">
        <f>Links!AB57</f>
        <v>0</v>
      </c>
      <c r="AB22" s="169">
        <f>Links!AC57</f>
        <v>0</v>
      </c>
      <c r="AC22" s="168">
        <f>Links!AD57</f>
        <v>0</v>
      </c>
      <c r="AD22" s="169">
        <f>Links!AE57</f>
        <v>0</v>
      </c>
      <c r="AE22" s="168">
        <f>Links!AF57</f>
        <v>0</v>
      </c>
      <c r="AF22" s="169">
        <f>Links!AG57</f>
        <v>0</v>
      </c>
      <c r="AG22" s="168">
        <f>Links!AH57</f>
        <v>0</v>
      </c>
      <c r="AH22" s="169">
        <f>Links!AI57</f>
        <v>0</v>
      </c>
      <c r="AI22" s="168">
        <f>Links!AJ57</f>
        <v>0</v>
      </c>
      <c r="AJ22" s="169">
        <f>Links!AK57</f>
        <v>0</v>
      </c>
      <c r="AK22" s="168">
        <f>Links!AL57</f>
        <v>0</v>
      </c>
      <c r="AL22" s="169">
        <f>Links!AM57</f>
        <v>0</v>
      </c>
      <c r="AM22" s="168">
        <f>Links!AN57</f>
        <v>0</v>
      </c>
      <c r="AN22" s="169">
        <f>Links!AO57</f>
        <v>0</v>
      </c>
      <c r="AO22" s="168">
        <f>Links!AP57</f>
        <v>0</v>
      </c>
      <c r="AP22" s="169">
        <f>Links!AQ57</f>
        <v>0</v>
      </c>
      <c r="AQ22" s="168">
        <f>Links!AR57</f>
        <v>0</v>
      </c>
      <c r="AR22" s="169">
        <f>Links!AS57</f>
        <v>0</v>
      </c>
      <c r="AS22" s="51"/>
      <c r="AT22" s="56"/>
    </row>
    <row r="23" spans="2:46" ht="15.75" customHeight="1" x14ac:dyDescent="0.25">
      <c r="B23" s="55"/>
      <c r="C23" s="10" t="s">
        <v>213</v>
      </c>
      <c r="D23" s="11" t="s">
        <v>209</v>
      </c>
      <c r="E23" s="297">
        <f>Intersections!F117</f>
        <v>2.6137476156342201</v>
      </c>
      <c r="F23" s="301"/>
      <c r="G23" s="297">
        <f>Intersections!J117</f>
        <v>2.0399954640252118</v>
      </c>
      <c r="H23" s="301"/>
      <c r="I23" s="297">
        <f>Intersections!N117</f>
        <v>2.7298069022034546</v>
      </c>
      <c r="J23" s="301"/>
      <c r="K23" s="297">
        <f>Intersections!R117</f>
        <v>2.2377169516427688</v>
      </c>
      <c r="L23" s="301"/>
      <c r="M23" s="297">
        <f>Intersections!V117</f>
        <v>2.2093809944067542</v>
      </c>
      <c r="N23" s="301"/>
      <c r="O23" s="297">
        <f>Intersections!Z117</f>
        <v>2.1410783676786238</v>
      </c>
      <c r="P23" s="301"/>
      <c r="Q23" s="297">
        <f>Intersections!AD117</f>
        <v>1.899554646039306</v>
      </c>
      <c r="R23" s="301"/>
      <c r="S23" s="297">
        <f>Intersections!AH117</f>
        <v>2.1093521370504922</v>
      </c>
      <c r="T23" s="301"/>
      <c r="U23" s="297" t="str">
        <f>Intersections!AL117</f>
        <v/>
      </c>
      <c r="V23" s="301"/>
      <c r="W23" s="297" t="str">
        <f>Intersections!AP117</f>
        <v/>
      </c>
      <c r="X23" s="301"/>
      <c r="Y23" s="297" t="str">
        <f>Intersections!AT117</f>
        <v/>
      </c>
      <c r="Z23" s="301"/>
      <c r="AA23" s="297" t="str">
        <f>Intersections!AX117</f>
        <v/>
      </c>
      <c r="AB23" s="301"/>
      <c r="AC23" s="297" t="str">
        <f>Intersections!BB117</f>
        <v/>
      </c>
      <c r="AD23" s="301"/>
      <c r="AE23" s="297" t="str">
        <f>Intersections!BF117</f>
        <v/>
      </c>
      <c r="AF23" s="301"/>
      <c r="AG23" s="297" t="str">
        <f>Intersections!BJ117</f>
        <v/>
      </c>
      <c r="AH23" s="301"/>
      <c r="AI23" s="297" t="str">
        <f>Intersections!BN117</f>
        <v/>
      </c>
      <c r="AJ23" s="301"/>
      <c r="AK23" s="297" t="str">
        <f>Intersections!BR117</f>
        <v/>
      </c>
      <c r="AL23" s="301"/>
      <c r="AM23" s="297" t="str">
        <f>Intersections!BV117</f>
        <v/>
      </c>
      <c r="AN23" s="301"/>
      <c r="AO23" s="297" t="str">
        <f>Intersections!BZ117</f>
        <v/>
      </c>
      <c r="AP23" s="301"/>
      <c r="AQ23" s="297" t="str">
        <f>Intersections!CD117</f>
        <v/>
      </c>
      <c r="AR23" s="301"/>
      <c r="AS23" s="51"/>
      <c r="AT23" s="56"/>
    </row>
    <row r="24" spans="2:46" ht="14.25" x14ac:dyDescent="0.25">
      <c r="B24" s="55"/>
      <c r="C24" s="10" t="s">
        <v>431</v>
      </c>
      <c r="D24" s="11" t="s">
        <v>432</v>
      </c>
      <c r="E24" s="273">
        <f>IF(ISNUMBER(E17)=FALSE,"",(((E8/E12)*(E22*(1-E11)+E21*E11)^3+E17*E41^3)/((E8/E12)+E17))^(1/3))</f>
        <v>1.9213440479363686</v>
      </c>
      <c r="F24" s="274">
        <f>IF(ISNUMBER(F17)=FALSE,"",(((E8/F12)*(F22*(1-F11)+F21*F11)^3+F17*E41^3)/((E8/F12)+F17))^(1/3))</f>
        <v>1.8732423712346307</v>
      </c>
      <c r="G24" s="168">
        <f>IF(ISNUMBER(G17)=FALSE,"",(((G8/G12)*(G22*(1-G11)+G21*G11)^3+G17*G41^3)/((G8/G12)+G17))^(1/3))</f>
        <v>1.4253604781503924</v>
      </c>
      <c r="H24" s="169" t="str">
        <f>IF(ISNUMBER(H17)=FALSE,"",(((G8/H12)*(H22*(1-H11)+H21*H11)^3+H17*G41^3)/((G8/H12)+H17))^(1/3))</f>
        <v/>
      </c>
      <c r="I24" s="273">
        <f>IF(ISNUMBER(I17)=FALSE,"",(((I8/I12)*(I22*(1-I11)+I21*I11)^3+I17*I41^3)/((I8/I12)+I17))^(1/3))</f>
        <v>2.2972238190438503</v>
      </c>
      <c r="J24" s="274">
        <f>IF(ISNUMBER(J17)=FALSE,"",(((I8/J12)*(J22*(1-J11)+J21*J11)^3+J17*I41^3)/((I8/J12)+J17))^(1/3))</f>
        <v>1.9660094203571017</v>
      </c>
      <c r="K24" s="273">
        <f>IF(ISNUMBER(K17)=FALSE,"",(((K8/K12)*(K22*(1-K11)+K21*K11)^3+K17*K41^3)/((K8/K12)+K17))^(1/3))</f>
        <v>1.8140164483819625</v>
      </c>
      <c r="L24" s="274" t="str">
        <f>IF(ISNUMBER(L17)=FALSE,"",(((K8/L12)*(L22*(1-L11)+L21*L11)^3+L17*K41^3)/((K8/L12)+L17))^(1/3))</f>
        <v/>
      </c>
      <c r="M24" s="273">
        <f>IF(ISNUMBER(M17)=FALSE,"",(((M8/M12)*(M22*(1-M11)+M21*M11)^3+M17*M41^3)/((M8/M12)+M17))^(1/3))</f>
        <v>1.6989884232478407</v>
      </c>
      <c r="N24" s="274" t="str">
        <f>IF(ISNUMBER(N17)=FALSE,"",(((M8/N12)*(N22*(1-N11)+N21*N11)^3+N17*M41^3)/((M8/N12)+N17))^(1/3))</f>
        <v/>
      </c>
      <c r="O24" s="273">
        <f>IF(ISNUMBER(O17)=FALSE,"",(((O8/O12)*(O22*(1-O11)+O21*O11)^3+O17*O41^3)/((O8/O12)+O17))^(1/3))</f>
        <v>1.6512962383702037</v>
      </c>
      <c r="P24" s="274" t="str">
        <f>IF(ISNUMBER(P17)=FALSE,"",(((O8/P12)*(P22*(1-P11)+P21*P11)^3+P17*O41^3)/((O8/P12)+P17))^(1/3))</f>
        <v/>
      </c>
      <c r="Q24" s="273">
        <f>IF(ISNUMBER(Q17)=FALSE,"",(((Q8/Q12)*(Q22*(1-Q11)+Q21*Q11)^3+Q17*Q41^3)/((Q8/Q12)+Q17))^(1/3))</f>
        <v>1.4642983890727139</v>
      </c>
      <c r="R24" s="273" t="str">
        <f>IF(ISNUMBER(R17)=FALSE,"",(((R8/R12)*(R22*(1-R11)+R21*R11)^3+R17*R41^3)/((R8/R12)+R17))^(1/3))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A</v>
      </c>
      <c r="F25" s="170" t="str">
        <f t="shared" si="4"/>
        <v>A</v>
      </c>
      <c r="G25" s="10" t="str">
        <f t="shared" si="4"/>
        <v>A</v>
      </c>
      <c r="H25" s="170" t="str">
        <f t="shared" si="4"/>
        <v/>
      </c>
      <c r="I25" s="10" t="str">
        <f t="shared" si="4"/>
        <v>B</v>
      </c>
      <c r="J25" s="170" t="str">
        <f t="shared" si="4"/>
        <v>A</v>
      </c>
      <c r="K25" s="10" t="str">
        <f t="shared" si="4"/>
        <v>A</v>
      </c>
      <c r="L25" s="170" t="str">
        <f t="shared" si="4"/>
        <v/>
      </c>
      <c r="M25" s="10" t="str">
        <f t="shared" si="4"/>
        <v>A</v>
      </c>
      <c r="N25" s="170" t="str">
        <f t="shared" si="4"/>
        <v/>
      </c>
      <c r="O25" s="10" t="str">
        <f t="shared" si="4"/>
        <v>A</v>
      </c>
      <c r="P25" s="170" t="str">
        <f t="shared" si="4"/>
        <v/>
      </c>
      <c r="Q25" s="10" t="str">
        <f t="shared" si="4"/>
        <v>A</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196</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345</v>
      </c>
      <c r="D27" s="11" t="s">
        <v>346</v>
      </c>
      <c r="E27" s="168">
        <f>Links!F61</f>
        <v>-0.70000000000000007</v>
      </c>
      <c r="F27" s="171">
        <f>Links!G61</f>
        <v>-0.70000000000000007</v>
      </c>
      <c r="G27" s="168">
        <f>Links!H61</f>
        <v>-0.70000000000000007</v>
      </c>
      <c r="H27" s="171">
        <f>Links!I61</f>
        <v>-0.70000000000000007</v>
      </c>
      <c r="I27" s="168">
        <f>Links!J61</f>
        <v>-0.70000000000000007</v>
      </c>
      <c r="J27" s="171">
        <f>Links!K61</f>
        <v>-0.70000000000000007</v>
      </c>
      <c r="K27" s="168">
        <f>Links!L61</f>
        <v>-0.70000000000000007</v>
      </c>
      <c r="L27" s="171">
        <f>Links!M61</f>
        <v>-0.70000000000000007</v>
      </c>
      <c r="M27" s="168">
        <f>Links!N61</f>
        <v>-0.70000000000000007</v>
      </c>
      <c r="N27" s="171">
        <f>Links!O61</f>
        <v>-0.70000000000000007</v>
      </c>
      <c r="O27" s="168">
        <f>Links!P61</f>
        <v>-0.70000000000000007</v>
      </c>
      <c r="P27" s="171">
        <f>Links!Q61</f>
        <v>-0.70000000000000007</v>
      </c>
      <c r="Q27" s="168">
        <f>Links!R61</f>
        <v>-0.70000000000000007</v>
      </c>
      <c r="R27" s="171">
        <f>Links!S61</f>
        <v>-0.70000000000000007</v>
      </c>
      <c r="S27" s="168" t="e">
        <f>Links!T61</f>
        <v>#DIV/0!</v>
      </c>
      <c r="T27" s="171" t="e">
        <f>Links!U61</f>
        <v>#DIV/0!</v>
      </c>
      <c r="U27" s="168" t="e">
        <f>Links!V61</f>
        <v>#DIV/0!</v>
      </c>
      <c r="V27" s="171" t="e">
        <f>Links!W61</f>
        <v>#DIV/0!</v>
      </c>
      <c r="W27" s="168" t="e">
        <f>Links!X61</f>
        <v>#DIV/0!</v>
      </c>
      <c r="X27" s="171" t="e">
        <f>Links!Y61</f>
        <v>#DIV/0!</v>
      </c>
      <c r="Y27" s="168" t="e">
        <f>Links!Z61</f>
        <v>#DIV/0!</v>
      </c>
      <c r="Z27" s="171" t="e">
        <f>Links!AA61</f>
        <v>#DIV/0!</v>
      </c>
      <c r="AA27" s="168" t="e">
        <f>Links!AB61</f>
        <v>#DIV/0!</v>
      </c>
      <c r="AB27" s="171" t="e">
        <f>Links!AC61</f>
        <v>#DIV/0!</v>
      </c>
      <c r="AC27" s="168" t="e">
        <f>Links!AD61</f>
        <v>#DIV/0!</v>
      </c>
      <c r="AD27" s="171" t="e">
        <f>Links!AE61</f>
        <v>#DIV/0!</v>
      </c>
      <c r="AE27" s="168" t="e">
        <f>Links!AF61</f>
        <v>#DIV/0!</v>
      </c>
      <c r="AF27" s="171" t="e">
        <f>Links!AG61</f>
        <v>#DIV/0!</v>
      </c>
      <c r="AG27" s="168" t="e">
        <f>Links!AH61</f>
        <v>#DIV/0!</v>
      </c>
      <c r="AH27" s="171" t="e">
        <f>Links!AI61</f>
        <v>#DIV/0!</v>
      </c>
      <c r="AI27" s="168" t="e">
        <f>Links!AJ61</f>
        <v>#DIV/0!</v>
      </c>
      <c r="AJ27" s="171" t="e">
        <f>Links!AK61</f>
        <v>#DIV/0!</v>
      </c>
      <c r="AK27" s="168" t="e">
        <f>Links!AL61</f>
        <v>#DIV/0!</v>
      </c>
      <c r="AL27" s="171" t="e">
        <f>Links!AM61</f>
        <v>#DIV/0!</v>
      </c>
      <c r="AM27" s="168" t="e">
        <f>Links!AN61</f>
        <v>#DIV/0!</v>
      </c>
      <c r="AN27" s="171" t="e">
        <f>Links!AO61</f>
        <v>#DIV/0!</v>
      </c>
      <c r="AO27" s="168" t="e">
        <f>Links!AP61</f>
        <v>#DIV/0!</v>
      </c>
      <c r="AP27" s="171" t="e">
        <f>Links!AQ61</f>
        <v>#DIV/0!</v>
      </c>
      <c r="AQ27" s="168" t="e">
        <f>Links!AR61</f>
        <v>#DIV/0!</v>
      </c>
      <c r="AR27" s="171" t="e">
        <f>Links!AS61</f>
        <v>#DIV/0!</v>
      </c>
      <c r="AS27" s="51"/>
      <c r="AT27" s="56"/>
    </row>
    <row r="28" spans="2:46" ht="14.25" x14ac:dyDescent="0.25">
      <c r="B28" s="55"/>
      <c r="C28" s="10" t="s">
        <v>347</v>
      </c>
      <c r="D28" s="11" t="s">
        <v>348</v>
      </c>
      <c r="E28" s="168">
        <f>Links!F62</f>
        <v>16.363636363636363</v>
      </c>
      <c r="F28" s="171">
        <f>Links!G62</f>
        <v>16.363636363636363</v>
      </c>
      <c r="G28" s="168">
        <f>Links!H62</f>
        <v>17.727272727272727</v>
      </c>
      <c r="H28" s="171">
        <f>Links!I62</f>
        <v>17.727272727272727</v>
      </c>
      <c r="I28" s="168">
        <f>Links!J62</f>
        <v>13.636363636363637</v>
      </c>
      <c r="J28" s="171">
        <f>Links!K62</f>
        <v>13.636363636363637</v>
      </c>
      <c r="K28" s="168">
        <f>Links!L62</f>
        <v>27.272727272727273</v>
      </c>
      <c r="L28" s="171">
        <f>Links!M62</f>
        <v>27.272727272727273</v>
      </c>
      <c r="M28" s="168">
        <f>Links!N62</f>
        <v>68.181818181818187</v>
      </c>
      <c r="N28" s="171">
        <f>Links!O62</f>
        <v>68.181818181818187</v>
      </c>
      <c r="O28" s="168">
        <f>Links!P62</f>
        <v>32.386363636363633</v>
      </c>
      <c r="P28" s="171">
        <f>Links!Q62</f>
        <v>32.386363636363633</v>
      </c>
      <c r="Q28" s="168">
        <f>Links!R62</f>
        <v>17.727272727272727</v>
      </c>
      <c r="R28" s="171">
        <f>Links!S62</f>
        <v>17.727272727272727</v>
      </c>
      <c r="S28" s="168" t="e">
        <f>Links!T62</f>
        <v>#DIV/0!</v>
      </c>
      <c r="T28" s="171" t="e">
        <f>Links!U62</f>
        <v>#DIV/0!</v>
      </c>
      <c r="U28" s="168" t="e">
        <f>Links!V62</f>
        <v>#DIV/0!</v>
      </c>
      <c r="V28" s="171" t="e">
        <f>Links!W62</f>
        <v>#DIV/0!</v>
      </c>
      <c r="W28" s="168" t="e">
        <f>Links!X62</f>
        <v>#DIV/0!</v>
      </c>
      <c r="X28" s="171" t="e">
        <f>Links!Y62</f>
        <v>#DIV/0!</v>
      </c>
      <c r="Y28" s="168" t="e">
        <f>Links!Z62</f>
        <v>#DIV/0!</v>
      </c>
      <c r="Z28" s="171" t="e">
        <f>Links!AA62</f>
        <v>#DIV/0!</v>
      </c>
      <c r="AA28" s="168" t="e">
        <f>Links!AB62</f>
        <v>#DIV/0!</v>
      </c>
      <c r="AB28" s="171" t="e">
        <f>Links!AC62</f>
        <v>#DIV/0!</v>
      </c>
      <c r="AC28" s="168" t="e">
        <f>Links!AD62</f>
        <v>#DIV/0!</v>
      </c>
      <c r="AD28" s="171" t="e">
        <f>Links!AE62</f>
        <v>#DIV/0!</v>
      </c>
      <c r="AE28" s="168" t="e">
        <f>Links!AF62</f>
        <v>#DIV/0!</v>
      </c>
      <c r="AF28" s="171" t="e">
        <f>Links!AG62</f>
        <v>#DIV/0!</v>
      </c>
      <c r="AG28" s="168" t="e">
        <f>Links!AH62</f>
        <v>#DIV/0!</v>
      </c>
      <c r="AH28" s="171" t="e">
        <f>Links!AI62</f>
        <v>#DIV/0!</v>
      </c>
      <c r="AI28" s="168" t="e">
        <f>Links!AJ62</f>
        <v>#DIV/0!</v>
      </c>
      <c r="AJ28" s="171" t="e">
        <f>Links!AK62</f>
        <v>#DIV/0!</v>
      </c>
      <c r="AK28" s="168" t="e">
        <f>Links!AL62</f>
        <v>#DIV/0!</v>
      </c>
      <c r="AL28" s="171" t="e">
        <f>Links!AM62</f>
        <v>#DIV/0!</v>
      </c>
      <c r="AM28" s="168" t="e">
        <f>Links!AN62</f>
        <v>#DIV/0!</v>
      </c>
      <c r="AN28" s="171" t="e">
        <f>Links!AO62</f>
        <v>#DIV/0!</v>
      </c>
      <c r="AO28" s="168" t="e">
        <f>Links!AP62</f>
        <v>#DIV/0!</v>
      </c>
      <c r="AP28" s="171" t="e">
        <f>Links!AQ62</f>
        <v>#DIV/0!</v>
      </c>
      <c r="AQ28" s="168" t="e">
        <f>Links!AR62</f>
        <v>#DIV/0!</v>
      </c>
      <c r="AR28" s="171" t="e">
        <f>Links!AS62</f>
        <v>#DIV/0!</v>
      </c>
      <c r="AS28" s="51"/>
      <c r="AT28" s="56"/>
    </row>
    <row r="29" spans="2:46" ht="14.25" x14ac:dyDescent="0.25">
      <c r="B29" s="55"/>
      <c r="C29" s="10" t="s">
        <v>397</v>
      </c>
      <c r="D29" s="11" t="s">
        <v>384</v>
      </c>
      <c r="E29" s="168">
        <f>MAX(Intersections!F103,Intersections!H103)</f>
        <v>62.07238749249484</v>
      </c>
      <c r="F29" s="171">
        <f>MAX(Intersections!G103,Intersections!I103)</f>
        <v>52.851673535381458</v>
      </c>
      <c r="G29" s="168" t="e">
        <f>MAX(Intersections!H103,Intersections!J103)</f>
        <v>#DIV/0!</v>
      </c>
      <c r="H29" s="171" t="e">
        <f>MAX(Intersections!I103,Intersections!K103)</f>
        <v>#DIV/0!</v>
      </c>
      <c r="I29" s="168" t="e">
        <f>MAX(Intersections!J103,Intersections!L103)</f>
        <v>#DIV/0!</v>
      </c>
      <c r="J29" s="171" t="e">
        <f>MAX(Intersections!K103,Intersections!M103)</f>
        <v>#DIV/0!</v>
      </c>
      <c r="K29" s="168" t="e">
        <f>MAX(Intersections!L103,Intersections!N103)</f>
        <v>#DIV/0!</v>
      </c>
      <c r="L29" s="171" t="e">
        <f>MAX(Intersections!M103,Intersections!O103)</f>
        <v>#DIV/0!</v>
      </c>
      <c r="M29" s="168">
        <f>MAX(Intersections!N103,Intersections!P103)</f>
        <v>63.236293335175269</v>
      </c>
      <c r="N29" s="171">
        <f>MAX(Intersections!O103,Intersections!Q103)</f>
        <v>46.559313713233593</v>
      </c>
      <c r="O29" s="168" t="e">
        <f>MAX(Intersections!P103,Intersections!R103)</f>
        <v>#DIV/0!</v>
      </c>
      <c r="P29" s="171" t="e">
        <f>MAX(Intersections!Q103,Intersections!S103)</f>
        <v>#DIV/0!</v>
      </c>
      <c r="Q29" s="168" t="e">
        <f>MAX(Intersections!R103,Intersections!T103)</f>
        <v>#DIV/0!</v>
      </c>
      <c r="R29" s="171" t="e">
        <f>MAX(Intersections!S103,Intersections!U103)</f>
        <v>#DIV/0!</v>
      </c>
      <c r="S29" s="168" t="e">
        <f>MAX(Intersections!T103,Intersections!V103)</f>
        <v>#DIV/0!</v>
      </c>
      <c r="T29" s="171" t="e">
        <f>MAX(Intersections!U103,Intersections!W103)</f>
        <v>#DIV/0!</v>
      </c>
      <c r="U29" s="168">
        <f>MAX(Intersections!V103,Intersections!X103)</f>
        <v>28.892373753889849</v>
      </c>
      <c r="V29" s="171" t="e">
        <f>MAX(Intersections!W103,Intersections!Y103)</f>
        <v>#DIV/0!</v>
      </c>
      <c r="W29" s="168">
        <f>MAX(Intersections!X103,Intersections!Z103)</f>
        <v>17.504788384835454</v>
      </c>
      <c r="X29" s="171" t="e">
        <f>MAX(Intersections!Y103,Intersections!AA103)</f>
        <v>#DIV/0!</v>
      </c>
      <c r="Y29" s="168">
        <f>MAX(Intersections!Z103,Intersections!AB103)</f>
        <v>23.370865063460254</v>
      </c>
      <c r="Z29" s="171" t="e">
        <f>MAX(Intersections!AA103,Intersections!AC103)</f>
        <v>#DIV/0!</v>
      </c>
      <c r="AA29" s="168">
        <f>MAX(Intersections!AB103,Intersections!AD103)</f>
        <v>44.245095718842755</v>
      </c>
      <c r="AB29" s="171" t="e">
        <f>MAX(Intersections!AC103,Intersections!AE103)</f>
        <v>#DIV/0!</v>
      </c>
      <c r="AC29" s="168">
        <f>MAX(Intersections!AD103,Intersections!AF103)</f>
        <v>44.245095718842755</v>
      </c>
      <c r="AD29" s="171" t="e">
        <f>MAX(Intersections!AE103,Intersections!AG103)</f>
        <v>#DIV/0!</v>
      </c>
      <c r="AE29" s="168">
        <f>MAX(Intersections!AF103,Intersections!AH103)</f>
        <v>10.19400850109013</v>
      </c>
      <c r="AF29" s="171">
        <f>MAX(Intersections!AG103,Intersections!AI103)</f>
        <v>20.31110695245194</v>
      </c>
      <c r="AG29" s="168">
        <f>MAX(Intersections!AH103,Intersections!AJ103)</f>
        <v>24.730056226385251</v>
      </c>
      <c r="AH29" s="171">
        <f>MAX(Intersections!AI103,Intersections!AK103)</f>
        <v>14.588086670651977</v>
      </c>
      <c r="AI29" s="168" t="e">
        <f>MAX(Intersections!AJ103,Intersections!AL103)</f>
        <v>#DIV/0!</v>
      </c>
      <c r="AJ29" s="171" t="e">
        <f>MAX(Intersections!AK103,Intersections!AM103)</f>
        <v>#DIV/0!</v>
      </c>
      <c r="AK29" s="168" t="e">
        <f>MAX(Intersections!AL103,Intersections!AN103)</f>
        <v>#DIV/0!</v>
      </c>
      <c r="AL29" s="171" t="e">
        <f>MAX(Intersections!AM103,Intersections!AO103)</f>
        <v>#DIV/0!</v>
      </c>
      <c r="AM29" s="168" t="e">
        <f>MAX(Intersections!AN103,Intersections!AP103)</f>
        <v>#DIV/0!</v>
      </c>
      <c r="AN29" s="171" t="e">
        <f>MAX(Intersections!AO103,Intersections!AQ103)</f>
        <v>#DIV/0!</v>
      </c>
      <c r="AO29" s="168" t="e">
        <f>MAX(Intersections!AP103,Intersections!AR103)</f>
        <v>#DIV/0!</v>
      </c>
      <c r="AP29" s="171" t="e">
        <f>MAX(Intersections!AQ103,Intersections!AS103)</f>
        <v>#DIV/0!</v>
      </c>
      <c r="AQ29" s="168" t="e">
        <f>MAX(Intersections!AR103,Intersections!AT103)</f>
        <v>#DIV/0!</v>
      </c>
      <c r="AR29" s="171" t="e">
        <f>MAX(Intersections!AS103,Intersections!AU103)</f>
        <v>#DIV/0!</v>
      </c>
      <c r="AS29" s="51"/>
      <c r="AT29" s="56"/>
    </row>
    <row r="30" spans="2:46" ht="14.25" x14ac:dyDescent="0.25">
      <c r="B30" s="55"/>
      <c r="C30" s="10" t="s">
        <v>216</v>
      </c>
      <c r="D30" s="11" t="s">
        <v>92</v>
      </c>
      <c r="E30" s="168">
        <f>Links!F74</f>
        <v>4.0161952421554714</v>
      </c>
      <c r="F30" s="169">
        <f>Links!G74</f>
        <v>3.2648373207858734</v>
      </c>
      <c r="G30" s="168">
        <f>Links!H74</f>
        <v>4.0877220914732444</v>
      </c>
      <c r="H30" s="169">
        <f>Links!I74</f>
        <v>3.0523781673022583</v>
      </c>
      <c r="I30" s="168">
        <f>Links!J74</f>
        <v>4.3456421891764423</v>
      </c>
      <c r="J30" s="169">
        <f>Links!K74</f>
        <v>4.1867866661224271</v>
      </c>
      <c r="K30" s="168">
        <f>Links!L74</f>
        <v>3.606447295956503</v>
      </c>
      <c r="L30" s="169">
        <f>Links!M74</f>
        <v>4.0490137569543307</v>
      </c>
      <c r="M30" s="168">
        <f>Links!N74</f>
        <v>4.2210550268287879</v>
      </c>
      <c r="N30" s="169">
        <f>Links!O74</f>
        <v>3.9560435469914426</v>
      </c>
      <c r="O30" s="168">
        <f>Links!P74</f>
        <v>4.1905335237873569</v>
      </c>
      <c r="P30" s="169">
        <f>Links!Q74</f>
        <v>3.8231606412326888</v>
      </c>
      <c r="Q30" s="168">
        <f>Links!R74</f>
        <v>4.1952608307630443</v>
      </c>
      <c r="R30" s="169">
        <f>Links!S74</f>
        <v>3.7848300516760123</v>
      </c>
      <c r="S30" s="168">
        <f>Links!T74</f>
        <v>0</v>
      </c>
      <c r="T30" s="169">
        <f>Links!U74</f>
        <v>0</v>
      </c>
      <c r="U30" s="168">
        <f>Links!V74</f>
        <v>0</v>
      </c>
      <c r="V30" s="169">
        <f>Links!W74</f>
        <v>0</v>
      </c>
      <c r="W30" s="168">
        <f>Links!X74</f>
        <v>0</v>
      </c>
      <c r="X30" s="169">
        <f>Links!Y74</f>
        <v>0</v>
      </c>
      <c r="Y30" s="168">
        <f>Links!Z74</f>
        <v>0</v>
      </c>
      <c r="Z30" s="169">
        <f>Links!AA74</f>
        <v>0</v>
      </c>
      <c r="AA30" s="168">
        <f>Links!AB74</f>
        <v>0</v>
      </c>
      <c r="AB30" s="169">
        <f>Links!AC74</f>
        <v>0</v>
      </c>
      <c r="AC30" s="168">
        <f>Links!AD74</f>
        <v>0</v>
      </c>
      <c r="AD30" s="169">
        <f>Links!AE74</f>
        <v>0</v>
      </c>
      <c r="AE30" s="168">
        <f>Links!AF74</f>
        <v>0</v>
      </c>
      <c r="AF30" s="169">
        <f>Links!AG74</f>
        <v>0</v>
      </c>
      <c r="AG30" s="168">
        <f>Links!AH74</f>
        <v>0</v>
      </c>
      <c r="AH30" s="169">
        <f>Links!AI74</f>
        <v>0</v>
      </c>
      <c r="AI30" s="168">
        <f>Links!AJ74</f>
        <v>0</v>
      </c>
      <c r="AJ30" s="169">
        <f>Links!AK74</f>
        <v>0</v>
      </c>
      <c r="AK30" s="168">
        <f>Links!AL74</f>
        <v>0</v>
      </c>
      <c r="AL30" s="169">
        <f>Links!AM74</f>
        <v>0</v>
      </c>
      <c r="AM30" s="168">
        <f>Links!AN74</f>
        <v>0</v>
      </c>
      <c r="AN30" s="169">
        <f>Links!AO74</f>
        <v>0</v>
      </c>
      <c r="AO30" s="168">
        <f>Links!AP74</f>
        <v>0</v>
      </c>
      <c r="AP30" s="169">
        <f>Links!AQ74</f>
        <v>0</v>
      </c>
      <c r="AQ30" s="168">
        <f>Links!AR74</f>
        <v>0</v>
      </c>
      <c r="AR30" s="169">
        <f>Links!AS74</f>
        <v>0</v>
      </c>
      <c r="AS30" s="51"/>
      <c r="AT30" s="56"/>
    </row>
    <row r="31" spans="2:46" ht="15.75" customHeight="1" x14ac:dyDescent="0.25">
      <c r="B31" s="55"/>
      <c r="C31" s="10" t="s">
        <v>214</v>
      </c>
      <c r="D31" s="11" t="s">
        <v>210</v>
      </c>
      <c r="E31" s="297">
        <f>Intersections!F120</f>
        <v>2.7107749999999995</v>
      </c>
      <c r="F31" s="301"/>
      <c r="G31" s="297">
        <f>Intersections!J120</f>
        <v>2.2087249999999994</v>
      </c>
      <c r="H31" s="301"/>
      <c r="I31" s="297">
        <f>Intersections!N120</f>
        <v>3.2047249999999998</v>
      </c>
      <c r="J31" s="301"/>
      <c r="K31" s="297">
        <f>Intersections!V120</f>
        <v>2.7701750000000001</v>
      </c>
      <c r="L31" s="301"/>
      <c r="M31" s="297">
        <f>Intersections!Z120</f>
        <v>2.2171999999999992</v>
      </c>
      <c r="N31" s="301"/>
      <c r="O31" s="297">
        <f>Intersections!AD120</f>
        <v>2.3857249999999994</v>
      </c>
      <c r="P31" s="301"/>
      <c r="Q31" s="297">
        <f>Intersections!AH120</f>
        <v>2.5933249999999997</v>
      </c>
      <c r="R31" s="301"/>
      <c r="S31" s="297" t="str">
        <f>Intersections!AL120</f>
        <v/>
      </c>
      <c r="T31" s="301"/>
      <c r="U31" s="297" t="str">
        <f>Intersections!AP120</f>
        <v/>
      </c>
      <c r="V31" s="301"/>
      <c r="W31" s="297" t="str">
        <f>Intersections!AT120</f>
        <v/>
      </c>
      <c r="X31" s="301"/>
      <c r="Y31" s="297" t="str">
        <f>Intersections!AX120</f>
        <v/>
      </c>
      <c r="Z31" s="301"/>
      <c r="AA31" s="297" t="str">
        <f>Intersections!BB120</f>
        <v/>
      </c>
      <c r="AB31" s="301"/>
      <c r="AC31" s="297" t="str">
        <f>Intersections!BF120</f>
        <v/>
      </c>
      <c r="AD31" s="301"/>
      <c r="AE31" s="297" t="str">
        <f>Intersections!BJ120</f>
        <v/>
      </c>
      <c r="AF31" s="301"/>
      <c r="AG31" s="297" t="str">
        <f>Intersections!BN120</f>
        <v/>
      </c>
      <c r="AH31" s="301"/>
      <c r="AI31" s="297" t="str">
        <f>Intersections!BR120</f>
        <v/>
      </c>
      <c r="AJ31" s="301"/>
      <c r="AK31" s="297" t="str">
        <f>Intersections!BV120</f>
        <v/>
      </c>
      <c r="AL31" s="301"/>
      <c r="AM31" s="297" t="str">
        <f>Intersections!BZ120</f>
        <v/>
      </c>
      <c r="AN31" s="301"/>
      <c r="AO31" s="297" t="str">
        <f>Intersections!CD120</f>
        <v/>
      </c>
      <c r="AP31" s="301"/>
      <c r="AQ31" s="297" t="str">
        <f>Intersections!CH120</f>
        <v/>
      </c>
      <c r="AR31" s="301"/>
      <c r="AS31" s="51"/>
      <c r="AT31" s="56"/>
    </row>
    <row r="32" spans="2:46" ht="14.25" x14ac:dyDescent="0.25">
      <c r="B32" s="55"/>
      <c r="C32" s="10" t="s">
        <v>435</v>
      </c>
      <c r="D32" s="11" t="s">
        <v>436</v>
      </c>
      <c r="E32" s="168">
        <f>IF(OR(E30=0,E31=0),"",0.75*((E28*(E27+E30+1)^3+E29*(E31+1)^3)/(E28+E29))^(1/3))</f>
        <v>2.8899496613036053</v>
      </c>
      <c r="F32" s="169">
        <f>IF(OR(F30=0,E31=0),"",0.75*((F28*(F27+F30+1)^3+F29*(E31+1)^3)/(F28+F29))^(1/3))</f>
        <v>2.7579833828155227</v>
      </c>
      <c r="G32" s="168" t="e">
        <f>IF(OR(G30=0,G31=0),"",0.75*((G28*(G27+G30+1)^3+G29*(G31+1)^3)/(G28+G29))^(1/3))</f>
        <v>#DIV/0!</v>
      </c>
      <c r="H32" s="169" t="e">
        <f>IF(OR(H30=0,G31=0),"",0.75*((H28*(H27+H30+1)^3+H29*(G31+1)^3)/(H28+H29))^(1/3))</f>
        <v>#DIV/0!</v>
      </c>
      <c r="I32" s="168" t="e">
        <f>IF(OR(I30=0,I31=0),"",0.75*((I28*(I27+I30+1)^3+I29*(I31+1)^3)/(I28+I29))^(1/3))</f>
        <v>#DIV/0!</v>
      </c>
      <c r="J32" s="169" t="e">
        <f>IF(OR(J30=0,I31=0),"",0.75*((J28*(J27+J30+1)^3+J29*(I31+1)^3)/(J28+J29))^(1/3))</f>
        <v>#DIV/0!</v>
      </c>
      <c r="K32" s="168" t="e">
        <f>IF(OR(K30=0,K31=0),"",0.75*((K28*(K27+K30+1)^3+K29*(K31+1)^3)/(K28+K29))^(1/3))</f>
        <v>#DIV/0!</v>
      </c>
      <c r="L32" s="169" t="e">
        <f>IF(OR(L30=0,K31=0),"",0.75*((L28*(L27+L30+1)^3+L29*(K31+1)^3)/(L28+L29))^(1/3))</f>
        <v>#DIV/0!</v>
      </c>
      <c r="M32" s="168">
        <f>IF(OR(M30=0,M31=0),"",0.75*((M28*(M27+M30+1)^3+M29*(M31+1)^3)/(M28+M29))^(1/3))</f>
        <v>2.9994825296671896</v>
      </c>
      <c r="N32" s="169">
        <f>IF(OR(N30=0,M31=0),"",0.75*((N28*(N27+N30+1)^3+N29*(M31+1)^3)/(N28+N29))^(1/3))</f>
        <v>2.9250630581314554</v>
      </c>
      <c r="O32" s="168" t="e">
        <f>IF(OR(O30=0,O31=0),"",0.75*((O28*(O27+O30+1)^3+O29*(O31+1)^3)/(O28+O29))^(1/3))</f>
        <v>#DIV/0!</v>
      </c>
      <c r="P32" s="169" t="e">
        <f>IF(OR(P30=0,O31=0),"",0.75*((P28*(P27+P30+1)^3+P29*(O31+1)^3)/(P28+P29))^(1/3))</f>
        <v>#DIV/0!</v>
      </c>
      <c r="Q32" s="168" t="e">
        <f>IF(OR(Q30=0,Q31=0),"",0.75*((Q28*(Q27+Q30+1)^3+Q29*(Q31+1)^3)/(Q28+Q29))^(1/3))</f>
        <v>#DIV/0!</v>
      </c>
      <c r="R32" s="169" t="e">
        <f>IF(OR(R30=0,Q31=0),"",0.75*((R28*(R27+R30+1)^3+R29*(Q31+1)^3)/(R28+R29))^(1/3))</f>
        <v>#DIV/0!</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e">
        <f t="shared" si="5"/>
        <v>#DIV/0!</v>
      </c>
      <c r="H33" s="170" t="e">
        <f t="shared" si="5"/>
        <v>#DIV/0!</v>
      </c>
      <c r="I33" s="10" t="e">
        <f t="shared" si="5"/>
        <v>#DIV/0!</v>
      </c>
      <c r="J33" s="170" t="e">
        <f t="shared" si="5"/>
        <v>#DIV/0!</v>
      </c>
      <c r="K33" s="10" t="e">
        <f t="shared" si="5"/>
        <v>#DIV/0!</v>
      </c>
      <c r="L33" s="170" t="e">
        <f t="shared" si="5"/>
        <v>#DIV/0!</v>
      </c>
      <c r="M33" s="10" t="str">
        <f t="shared" si="5"/>
        <v>C</v>
      </c>
      <c r="N33" s="170" t="str">
        <f t="shared" si="5"/>
        <v>C</v>
      </c>
      <c r="O33" s="10" t="e">
        <f t="shared" si="5"/>
        <v>#DIV/0!</v>
      </c>
      <c r="P33" s="170" t="e">
        <f t="shared" si="5"/>
        <v>#DIV/0!</v>
      </c>
      <c r="Q33" s="10" t="e">
        <f t="shared" si="5"/>
        <v>#DIV/0!</v>
      </c>
      <c r="R33" s="170" t="e">
        <f t="shared" si="5"/>
        <v>#DIV/0!</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197</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217</v>
      </c>
      <c r="D35" s="11" t="s">
        <v>89</v>
      </c>
      <c r="E35" s="168">
        <f>Links!F86</f>
        <v>1.7658449627305508</v>
      </c>
      <c r="F35" s="169">
        <f>Links!G86</f>
        <v>1.7474539745358457</v>
      </c>
      <c r="G35" s="168">
        <f>Links!H86</f>
        <v>1.7829074627305508</v>
      </c>
      <c r="H35" s="169">
        <f>Links!I86</f>
        <v>1.7075277245358456</v>
      </c>
      <c r="I35" s="168">
        <f>Links!J86</f>
        <v>1.8584698683265839</v>
      </c>
      <c r="J35" s="169">
        <f>Links!K86</f>
        <v>1.8118176221232269</v>
      </c>
      <c r="K35" s="168">
        <f>Links!L86</f>
        <v>1.8693817064570357</v>
      </c>
      <c r="L35" s="169">
        <f>Links!M86</f>
        <v>1.7662533298046112</v>
      </c>
      <c r="M35" s="168">
        <f>Links!N86</f>
        <v>1.8302331901198117</v>
      </c>
      <c r="N35" s="169">
        <f>Links!O86</f>
        <v>1.7564451206577698</v>
      </c>
      <c r="O35" s="168">
        <f>Links!P86</f>
        <v>1.7976552910688586</v>
      </c>
      <c r="P35" s="169">
        <f>Links!Q86</f>
        <v>1.7222390410688586</v>
      </c>
      <c r="Q35" s="168">
        <f>Links!R86</f>
        <v>1.7990202910688586</v>
      </c>
      <c r="R35" s="169">
        <f>Links!S86</f>
        <v>1.7171202910688586</v>
      </c>
      <c r="S35" s="168">
        <f>Links!T86</f>
        <v>0</v>
      </c>
      <c r="T35" s="169">
        <f>Links!U86</f>
        <v>0</v>
      </c>
      <c r="U35" s="168">
        <f>Links!V86</f>
        <v>0</v>
      </c>
      <c r="V35" s="169">
        <f>Links!W86</f>
        <v>0</v>
      </c>
      <c r="W35" s="168">
        <f>Links!X86</f>
        <v>0</v>
      </c>
      <c r="X35" s="169">
        <f>Links!Y86</f>
        <v>0</v>
      </c>
      <c r="Y35" s="168">
        <f>Links!Z86</f>
        <v>0</v>
      </c>
      <c r="Z35" s="169">
        <f>Links!AA86</f>
        <v>0</v>
      </c>
      <c r="AA35" s="168">
        <f>Links!AB86</f>
        <v>0</v>
      </c>
      <c r="AB35" s="169">
        <f>Links!AC86</f>
        <v>0</v>
      </c>
      <c r="AC35" s="168">
        <f>Links!AD86</f>
        <v>0</v>
      </c>
      <c r="AD35" s="169">
        <f>Links!AE86</f>
        <v>0</v>
      </c>
      <c r="AE35" s="168">
        <f>Links!AF86</f>
        <v>0</v>
      </c>
      <c r="AF35" s="169">
        <f>Links!AG86</f>
        <v>0</v>
      </c>
      <c r="AG35" s="168">
        <f>Links!AH86</f>
        <v>0</v>
      </c>
      <c r="AH35" s="169">
        <f>Links!AI86</f>
        <v>0</v>
      </c>
      <c r="AI35" s="168">
        <f>Links!AJ86</f>
        <v>0</v>
      </c>
      <c r="AJ35" s="169">
        <f>Links!AK86</f>
        <v>0</v>
      </c>
      <c r="AK35" s="168">
        <f>Links!AL86</f>
        <v>0</v>
      </c>
      <c r="AL35" s="169">
        <f>Links!AM86</f>
        <v>0</v>
      </c>
      <c r="AM35" s="168">
        <f>Links!AN86</f>
        <v>0</v>
      </c>
      <c r="AN35" s="169">
        <f>Links!AO86</f>
        <v>0</v>
      </c>
      <c r="AO35" s="168">
        <f>Links!AP86</f>
        <v>0</v>
      </c>
      <c r="AP35" s="169">
        <f>Links!AQ86</f>
        <v>0</v>
      </c>
      <c r="AQ35" s="168">
        <f>Links!AR86</f>
        <v>0</v>
      </c>
      <c r="AR35" s="169">
        <f>Links!AS86</f>
        <v>0</v>
      </c>
      <c r="AS35" s="51"/>
      <c r="AT35" s="56"/>
    </row>
    <row r="36" spans="2:46" x14ac:dyDescent="0.25">
      <c r="B36" s="55"/>
      <c r="C36" s="10"/>
      <c r="D36" s="11" t="s">
        <v>52</v>
      </c>
      <c r="E36" s="10" t="str">
        <f t="shared" ref="E36:AR36" si="6">IF(E35&lt;=2,"A",IF(E35&lt;=2.75,"B",IF(E35&lt;=3.5,"C",IF(E35&lt;=4.25,"D",IF(E35&lt;=5,"E","F")))))</f>
        <v>A</v>
      </c>
      <c r="F36" s="170" t="str">
        <f t="shared" si="6"/>
        <v>A</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284" t="s">
        <v>49</v>
      </c>
      <c r="D38" s="302"/>
      <c r="E38" s="284" t="str">
        <f>E3</f>
        <v>Segment 1</v>
      </c>
      <c r="F38" s="302"/>
      <c r="G38" s="284" t="str">
        <f>G3</f>
        <v>Link 2</v>
      </c>
      <c r="H38" s="302"/>
      <c r="I38" s="284" t="str">
        <f>I3</f>
        <v>Link 3</v>
      </c>
      <c r="J38" s="302"/>
      <c r="K38" s="284" t="str">
        <f>K3</f>
        <v>Link 4</v>
      </c>
      <c r="L38" s="302"/>
      <c r="M38" s="284" t="str">
        <f>M3</f>
        <v>Link 5</v>
      </c>
      <c r="N38" s="302"/>
      <c r="O38" s="284" t="str">
        <f>O3</f>
        <v>Link 6</v>
      </c>
      <c r="P38" s="302"/>
      <c r="Q38" s="284" t="str">
        <f>Q3</f>
        <v>Link 7</v>
      </c>
      <c r="R38" s="302"/>
      <c r="S38" s="284" t="str">
        <f>S3</f>
        <v>Link 8</v>
      </c>
      <c r="T38" s="302"/>
      <c r="U38" s="284" t="str">
        <f>U3</f>
        <v>Link 9</v>
      </c>
      <c r="V38" s="302"/>
      <c r="W38" s="284" t="str">
        <f>W3</f>
        <v>Link 10</v>
      </c>
      <c r="X38" s="302"/>
      <c r="Y38" s="284" t="str">
        <f>Y3</f>
        <v>Link 11</v>
      </c>
      <c r="Z38" s="302"/>
      <c r="AA38" s="284" t="str">
        <f>AA3</f>
        <v>Link 12</v>
      </c>
      <c r="AB38" s="302"/>
      <c r="AC38" s="284" t="str">
        <f>AC3</f>
        <v>Link 13</v>
      </c>
      <c r="AD38" s="302"/>
      <c r="AE38" s="284" t="str">
        <f>AE3</f>
        <v>Link 14</v>
      </c>
      <c r="AF38" s="302"/>
      <c r="AG38" s="284" t="str">
        <f>AG3</f>
        <v>Link 15</v>
      </c>
      <c r="AH38" s="302"/>
      <c r="AI38" s="284" t="str">
        <f>AI3</f>
        <v>Link 16</v>
      </c>
      <c r="AJ38" s="302"/>
      <c r="AK38" s="284" t="str">
        <f>AK3</f>
        <v>Link 17</v>
      </c>
      <c r="AL38" s="302"/>
      <c r="AM38" s="284" t="str">
        <f>AM3</f>
        <v>Link 18</v>
      </c>
      <c r="AN38" s="302"/>
      <c r="AO38" s="284" t="str">
        <f>AO3</f>
        <v>Link 19</v>
      </c>
      <c r="AP38" s="302"/>
      <c r="AQ38" s="284" t="str">
        <f>AQ3</f>
        <v>Link 20</v>
      </c>
      <c r="AR38" s="285"/>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215</v>
      </c>
      <c r="D40" s="11" t="s">
        <v>93</v>
      </c>
      <c r="E40" s="297">
        <f>IF(OR(ISBLANK(E8),E8=0),"",MAX(E22:F22))</f>
        <v>1.4003964760236025</v>
      </c>
      <c r="F40" s="301"/>
      <c r="G40" s="297">
        <f>IF(OR(ISBLANK(G8),G8=0),"",MAX(G22:H22))</f>
        <v>1.514146476023603</v>
      </c>
      <c r="H40" s="301"/>
      <c r="I40" s="297">
        <f>IF(OR(ISBLANK(I8),I8=0),"",MAX(I22:J22))</f>
        <v>2.0178958466638228</v>
      </c>
      <c r="J40" s="301"/>
      <c r="K40" s="297">
        <f>IF(OR(ISBLANK(K8),K8=0),"",MAX(K22:L22))</f>
        <v>2.0906414342001698</v>
      </c>
      <c r="L40" s="301"/>
      <c r="M40" s="297">
        <f>IF(OR(ISBLANK(M8),M8=0),"",MAX(M22:N22))</f>
        <v>1.8296513252853428</v>
      </c>
      <c r="N40" s="301"/>
      <c r="O40" s="297">
        <f>IF(OR(ISBLANK(O8),O8=0),"",MAX(O22:P22))</f>
        <v>1.6124653316123219</v>
      </c>
      <c r="P40" s="301"/>
      <c r="Q40" s="297">
        <f>IF(OR(ISBLANK(Q8),Q8=0),"",MAX(Q22:R22))</f>
        <v>1.621565331612322</v>
      </c>
      <c r="R40" s="301"/>
      <c r="S40" s="297" t="str">
        <f>IF(OR(ISBLANK(S8),S8=0),"",MAX(S22:T22))</f>
        <v/>
      </c>
      <c r="T40" s="301"/>
      <c r="U40" s="297" t="str">
        <f>IF(OR(ISBLANK(U8),U8=0),"",MAX(U22:V22))</f>
        <v/>
      </c>
      <c r="V40" s="301"/>
      <c r="W40" s="297" t="str">
        <f>IF(OR(ISBLANK(W8),W8=0),"",MAX(W22:X22))</f>
        <v/>
      </c>
      <c r="X40" s="301"/>
      <c r="Y40" s="297" t="str">
        <f>IF(OR(ISBLANK(Y8),Y8=0),"",MAX(Y22:Z22))</f>
        <v/>
      </c>
      <c r="Z40" s="301"/>
      <c r="AA40" s="297" t="str">
        <f>IF(OR(ISBLANK(AA8),AA8=0),"",MAX(AA22:AB22))</f>
        <v/>
      </c>
      <c r="AB40" s="301"/>
      <c r="AC40" s="297" t="str">
        <f>IF(OR(ISBLANK(AC8),AC8=0),"",MAX(AC22:AD22))</f>
        <v/>
      </c>
      <c r="AD40" s="301"/>
      <c r="AE40" s="297" t="str">
        <f>IF(OR(ISBLANK(AE8),AE8=0),"",MAX(AE22:AF22))</f>
        <v/>
      </c>
      <c r="AF40" s="301"/>
      <c r="AG40" s="297" t="str">
        <f>IF(OR(ISBLANK(AG8),AG8=0),"",MAX(AG22:AH22))</f>
        <v/>
      </c>
      <c r="AH40" s="301"/>
      <c r="AI40" s="297" t="str">
        <f>IF(OR(ISBLANK(AI8),AI8=0),"",MAX(AI22:AJ22))</f>
        <v/>
      </c>
      <c r="AJ40" s="301"/>
      <c r="AK40" s="297" t="str">
        <f>IF(OR(ISBLANK(AK8),AK8=0),"",MAX(AK22:AL22))</f>
        <v/>
      </c>
      <c r="AL40" s="301"/>
      <c r="AM40" s="297" t="str">
        <f>IF(OR(ISBLANK(AM8),AM8=0),"",MAX(AM22:AN22))</f>
        <v/>
      </c>
      <c r="AN40" s="301"/>
      <c r="AO40" s="297" t="str">
        <f>IF(OR(ISBLANK(AO8),AO8=0),"",MAX(AO22:AP22))</f>
        <v/>
      </c>
      <c r="AP40" s="301"/>
      <c r="AQ40" s="297" t="str">
        <f>IF(OR(ISBLANK(AQ8),AQ8=0),"",MAX(AQ22:AR22))</f>
        <v/>
      </c>
      <c r="AR40" s="301"/>
      <c r="AS40" s="67">
        <f>SUMPRODUCT(E40:AR40,$E$8:$AR$8)/SUM($E$8:$AR$8)</f>
        <v>1.7590082275291121</v>
      </c>
      <c r="AT40" s="56"/>
    </row>
    <row r="41" spans="2:46" ht="14.25" x14ac:dyDescent="0.25">
      <c r="B41" s="55"/>
      <c r="C41" s="10" t="s">
        <v>213</v>
      </c>
      <c r="D41" s="11" t="s">
        <v>209</v>
      </c>
      <c r="E41" s="297">
        <f>E23</f>
        <v>2.6137476156342201</v>
      </c>
      <c r="F41" s="301"/>
      <c r="G41" s="297">
        <f>G23</f>
        <v>2.0399954640252118</v>
      </c>
      <c r="H41" s="301"/>
      <c r="I41" s="297">
        <f>I23</f>
        <v>2.7298069022034546</v>
      </c>
      <c r="J41" s="301"/>
      <c r="K41" s="297">
        <f>K23</f>
        <v>2.2377169516427688</v>
      </c>
      <c r="L41" s="301"/>
      <c r="M41" s="297">
        <f>M23</f>
        <v>2.2093809944067542</v>
      </c>
      <c r="N41" s="301"/>
      <c r="O41" s="297">
        <f>O23</f>
        <v>2.1410783676786238</v>
      </c>
      <c r="P41" s="301"/>
      <c r="Q41" s="297">
        <f>Q23</f>
        <v>1.899554646039306</v>
      </c>
      <c r="R41" s="301"/>
      <c r="S41" s="297">
        <f>S23</f>
        <v>2.1093521370504922</v>
      </c>
      <c r="T41" s="301"/>
      <c r="U41" s="297" t="str">
        <f>U23</f>
        <v/>
      </c>
      <c r="V41" s="301"/>
      <c r="W41" s="297" t="str">
        <f>W23</f>
        <v/>
      </c>
      <c r="X41" s="301"/>
      <c r="Y41" s="297" t="str">
        <f>Y23</f>
        <v/>
      </c>
      <c r="Z41" s="301"/>
      <c r="AA41" s="297" t="str">
        <f>AA23</f>
        <v/>
      </c>
      <c r="AB41" s="301"/>
      <c r="AC41" s="297" t="str">
        <f>AC23</f>
        <v/>
      </c>
      <c r="AD41" s="301"/>
      <c r="AE41" s="297" t="str">
        <f>AE23</f>
        <v/>
      </c>
      <c r="AF41" s="301"/>
      <c r="AG41" s="297" t="str">
        <f>AG23</f>
        <v/>
      </c>
      <c r="AH41" s="301"/>
      <c r="AI41" s="297" t="str">
        <f>AI23</f>
        <v/>
      </c>
      <c r="AJ41" s="301"/>
      <c r="AK41" s="297" t="str">
        <f>AK23</f>
        <v/>
      </c>
      <c r="AL41" s="301"/>
      <c r="AM41" s="297" t="str">
        <f>AM23</f>
        <v/>
      </c>
      <c r="AN41" s="301"/>
      <c r="AO41" s="297" t="str">
        <f>AO23</f>
        <v/>
      </c>
      <c r="AP41" s="301"/>
      <c r="AQ41" s="297" t="str">
        <f>AQ23</f>
        <v/>
      </c>
      <c r="AR41" s="301"/>
      <c r="AS41" s="67">
        <f>SUMPRODUCT(E41:AR41,$E$9:$AR$9)/SUM($E$9:$AR$9)</f>
        <v>2.4195345688005991</v>
      </c>
      <c r="AT41" s="56"/>
    </row>
    <row r="42" spans="2:46" ht="14.25" x14ac:dyDescent="0.25">
      <c r="B42" s="55"/>
      <c r="C42" s="10" t="s">
        <v>431</v>
      </c>
      <c r="D42" s="11" t="s">
        <v>432</v>
      </c>
      <c r="E42" s="297">
        <f>IF(OR(ISBLANK(E11),E11=0),"",MAX(E24:F24))</f>
        <v>1.9213440479363686</v>
      </c>
      <c r="F42" s="301"/>
      <c r="G42" s="297">
        <f>IF(OR(ISBLANK(G11),G11=0),"",MAX(G24:H24))</f>
        <v>1.4253604781503924</v>
      </c>
      <c r="H42" s="301"/>
      <c r="I42" s="297">
        <f>IF(OR(ISBLANK(I11),I11=0),"",MAX(I24:J24))</f>
        <v>2.2972238190438503</v>
      </c>
      <c r="J42" s="301"/>
      <c r="K42" s="297">
        <f>IF(OR(ISBLANK(K11),K11=0),"",MAX(K24:L24))</f>
        <v>1.8140164483819625</v>
      </c>
      <c r="L42" s="301"/>
      <c r="M42" s="297">
        <f>IF(OR(ISBLANK(M11),M11=0),"",MAX(M24:N24))</f>
        <v>1.6989884232478407</v>
      </c>
      <c r="N42" s="301"/>
      <c r="O42" s="297">
        <f>IF(OR(ISBLANK(O11),O11=0),"",MAX(O24:P24))</f>
        <v>1.6512962383702037</v>
      </c>
      <c r="P42" s="301"/>
      <c r="Q42" s="297">
        <f>IF(OR(ISBLANK(Q11),Q11=0),"",MAX(Q24:R24))</f>
        <v>1.4642983890727139</v>
      </c>
      <c r="R42" s="301"/>
      <c r="S42" s="297" t="str">
        <f>IF(OR(ISBLANK(S11),S11=0),"",MAX(S24:T24))</f>
        <v/>
      </c>
      <c r="T42" s="301"/>
      <c r="U42" s="297" t="str">
        <f>IF(OR(ISBLANK(U11),U11=0),"",MAX(U24:V24))</f>
        <v/>
      </c>
      <c r="V42" s="301"/>
      <c r="W42" s="297" t="str">
        <f>IF(OR(ISBLANK(W11),W11=0),"",MAX(W24:X24))</f>
        <v/>
      </c>
      <c r="X42" s="301"/>
      <c r="Y42" s="297" t="str">
        <f>IF(OR(ISBLANK(Y11),Y11=0),"",MAX(Y24:Z24))</f>
        <v/>
      </c>
      <c r="Z42" s="301"/>
      <c r="AA42" s="297" t="str">
        <f>IF(OR(ISBLANK(AA11),AA11=0),"",MAX(AA24:AB24))</f>
        <v/>
      </c>
      <c r="AB42" s="301"/>
      <c r="AC42" s="297" t="str">
        <f>IF(OR(ISBLANK(AC11),AC11=0),"",MAX(AC24:AD24))</f>
        <v/>
      </c>
      <c r="AD42" s="301"/>
      <c r="AE42" s="297" t="str">
        <f>IF(OR(ISBLANK(AE11),AE11=0),"",MAX(AE24:AF24))</f>
        <v/>
      </c>
      <c r="AF42" s="301"/>
      <c r="AG42" s="297" t="str">
        <f>IF(OR(ISBLANK(AG11),AG11=0),"",MAX(AG24:AH24))</f>
        <v/>
      </c>
      <c r="AH42" s="301"/>
      <c r="AI42" s="297" t="str">
        <f>IF(OR(ISBLANK(AI11),AI11=0),"",MAX(AI24:AJ24))</f>
        <v/>
      </c>
      <c r="AJ42" s="301"/>
      <c r="AK42" s="297" t="str">
        <f>IF(OR(ISBLANK(AK11),AK11=0),"",MAX(AK24:AL24))</f>
        <v/>
      </c>
      <c r="AL42" s="301"/>
      <c r="AM42" s="297" t="str">
        <f>IF(OR(ISBLANK(AM11),AM11=0),"",MAX(AM24:AN24))</f>
        <v/>
      </c>
      <c r="AN42" s="301"/>
      <c r="AO42" s="297" t="str">
        <f>IF(OR(ISBLANK(AO11),AO11=0),"",MAX(AO24:AP24))</f>
        <v/>
      </c>
      <c r="AP42" s="301"/>
      <c r="AQ42" s="297"/>
      <c r="AR42" s="301"/>
      <c r="AS42" s="67">
        <f>AVERAGE(AS40:AS41)</f>
        <v>2.0892713981648559</v>
      </c>
      <c r="AT42" s="56"/>
    </row>
    <row r="43" spans="2:46" x14ac:dyDescent="0.25">
      <c r="B43" s="55"/>
      <c r="C43" s="10"/>
      <c r="D43" s="11" t="s">
        <v>41</v>
      </c>
      <c r="E43" s="287" t="str">
        <f>IF(E42="","",IF(E42&lt;=2,"A",IF(E42&lt;=2.75,"B",IF(E42&lt;=3.5,"C",IF(E42&lt;=4.25,"D",IF(E42&lt;=5,"E","F"))))))</f>
        <v>A</v>
      </c>
      <c r="F43" s="288"/>
      <c r="G43" s="287" t="str">
        <f>IF(G42="","",IF(G42&lt;=2,"A",IF(G42&lt;=2.75,"B",IF(G42&lt;=3.5,"C",IF(G42&lt;=4.25,"D",IF(G42&lt;=5,"E","F"))))))</f>
        <v>A</v>
      </c>
      <c r="H43" s="288"/>
      <c r="I43" s="287" t="str">
        <f>IF(I42="","",IF(I42&lt;=2,"A",IF(I42&lt;=2.75,"B",IF(I42&lt;=3.5,"C",IF(I42&lt;=4.25,"D",IF(I42&lt;=5,"E","F"))))))</f>
        <v>B</v>
      </c>
      <c r="J43" s="288"/>
      <c r="K43" s="287" t="str">
        <f>IF(K42="","",IF(K42&lt;=2,"A",IF(K42&lt;=2.75,"B",IF(K42&lt;=3.5,"C",IF(K42&lt;=4.25,"D",IF(K42&lt;=5,"E","F"))))))</f>
        <v>A</v>
      </c>
      <c r="L43" s="288"/>
      <c r="M43" s="287" t="str">
        <f>IF(M42="","",IF(M42&lt;=2,"A",IF(M42&lt;=2.75,"B",IF(M42&lt;=3.5,"C",IF(M42&lt;=4.25,"D",IF(M42&lt;=5,"E","F"))))))</f>
        <v>A</v>
      </c>
      <c r="N43" s="288"/>
      <c r="O43" s="287" t="str">
        <f>IF(O42="","",IF(O42&lt;=2,"A",IF(O42&lt;=2.75,"B",IF(O42&lt;=3.5,"C",IF(O42&lt;=4.25,"D",IF(O42&lt;=5,"E","F"))))))</f>
        <v>A</v>
      </c>
      <c r="P43" s="288"/>
      <c r="Q43" s="287" t="str">
        <f>IF(Q42="","",IF(Q42&lt;=2,"A",IF(Q42&lt;=2.75,"B",IF(Q42&lt;=3.5,"C",IF(Q42&lt;=4.25,"D",IF(Q42&lt;=5,"E","F"))))))</f>
        <v>A</v>
      </c>
      <c r="R43" s="288"/>
      <c r="S43" s="287" t="str">
        <f>IF(S42="","",IF(S42&lt;=2,"A",IF(S42&lt;=2.75,"B",IF(S42&lt;=3.5,"C",IF(S42&lt;=4.25,"D",IF(S42&lt;=5,"E","F"))))))</f>
        <v/>
      </c>
      <c r="T43" s="288"/>
      <c r="U43" s="287" t="str">
        <f>IF(U42="","",IF(U42&lt;=2,"A",IF(U42&lt;=2.75,"B",IF(U42&lt;=3.5,"C",IF(U42&lt;=4.25,"D",IF(U42&lt;=5,"E","F"))))))</f>
        <v/>
      </c>
      <c r="V43" s="288"/>
      <c r="W43" s="287" t="str">
        <f>IF(W42="","",IF(W42&lt;=2,"A",IF(W42&lt;=2.75,"B",IF(W42&lt;=3.5,"C",IF(W42&lt;=4.25,"D",IF(W42&lt;=5,"E","F"))))))</f>
        <v/>
      </c>
      <c r="X43" s="288"/>
      <c r="Y43" s="287" t="str">
        <f>IF(Y42="","",IF(Y42&lt;=2,"A",IF(Y42&lt;=2.75,"B",IF(Y42&lt;=3.5,"C",IF(Y42&lt;=4.25,"D",IF(Y42&lt;=5,"E","F"))))))</f>
        <v/>
      </c>
      <c r="Z43" s="288"/>
      <c r="AA43" s="287" t="str">
        <f>IF(AA42="","",IF(AA42&lt;=2,"A",IF(AA42&lt;=2.75,"B",IF(AA42&lt;=3.5,"C",IF(AA42&lt;=4.25,"D",IF(AA42&lt;=5,"E","F"))))))</f>
        <v/>
      </c>
      <c r="AB43" s="288"/>
      <c r="AC43" s="287" t="str">
        <f>IF(AC42="","",IF(AC42&lt;=2,"A",IF(AC42&lt;=2.75,"B",IF(AC42&lt;=3.5,"C",IF(AC42&lt;=4.25,"D",IF(AC42&lt;=5,"E","F"))))))</f>
        <v/>
      </c>
      <c r="AD43" s="288"/>
      <c r="AE43" s="287" t="str">
        <f>IF(AE42="","",IF(AE42&lt;=2,"A",IF(AE42&lt;=2.75,"B",IF(AE42&lt;=3.5,"C",IF(AE42&lt;=4.25,"D",IF(AE42&lt;=5,"E","F"))))))</f>
        <v/>
      </c>
      <c r="AF43" s="288"/>
      <c r="AG43" s="287" t="str">
        <f>IF(AG42="","",IF(AG42&lt;=2,"A",IF(AG42&lt;=2.75,"B",IF(AG42&lt;=3.5,"C",IF(AG42&lt;=4.25,"D",IF(AG42&lt;=5,"E","F"))))))</f>
        <v/>
      </c>
      <c r="AH43" s="288"/>
      <c r="AI43" s="287" t="str">
        <f>IF(AI42="","",IF(AI42&lt;=2,"A",IF(AI42&lt;=2.75,"B",IF(AI42&lt;=3.5,"C",IF(AI42&lt;=4.25,"D",IF(AI42&lt;=5,"E","F"))))))</f>
        <v/>
      </c>
      <c r="AJ43" s="288"/>
      <c r="AK43" s="287" t="str">
        <f>IF(AK42="","",IF(AK42&lt;=2,"A",IF(AK42&lt;=2.75,"B",IF(AK42&lt;=3.5,"C",IF(AK42&lt;=4.25,"D",IF(AK42&lt;=5,"E","F"))))))</f>
        <v/>
      </c>
      <c r="AL43" s="288"/>
      <c r="AM43" s="287" t="str">
        <f>IF(AM42="","",IF(AM42&lt;=2,"A",IF(AM42&lt;=2.75,"B",IF(AM42&lt;=3.5,"C",IF(AM42&lt;=4.25,"D",IF(AM42&lt;=5,"E","F"))))))</f>
        <v/>
      </c>
      <c r="AN43" s="288"/>
      <c r="AO43" s="287" t="str">
        <f>IF(AO42="","",IF(AO42&lt;=2,"A",IF(AO42&lt;=2.75,"B",IF(AO42&lt;=3.5,"C",IF(AO42&lt;=4.25,"D",IF(AO42&lt;=5,"E","F"))))))</f>
        <v/>
      </c>
      <c r="AP43" s="288"/>
      <c r="AQ43" s="287" t="str">
        <f>IF(AQ42="","",IF(AQ42&lt;=2,"A",IF(AQ42&lt;=2.75,"B",IF(AQ42&lt;=3.5,"C",IF(AQ42&lt;=4.25,"D",IF(AQ42&lt;=5,"E","F"))))))</f>
        <v/>
      </c>
      <c r="AR43" s="288"/>
      <c r="AS43" s="68" t="str">
        <f>IF(AS42&lt;=2,"A",IF(AS42&lt;=2.75,"B",IF(AS42&lt;=3.5,"C",IF(AS42&lt;=4.25,"D",IF(AS42&lt;=5,"E","F")))))</f>
        <v>B</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216</v>
      </c>
      <c r="D45" s="11" t="s">
        <v>92</v>
      </c>
      <c r="E45" s="297">
        <f>IF(OR(ISBLANK(E8),E8=0),"",MAX(E30:F30))</f>
        <v>4.0161952421554714</v>
      </c>
      <c r="F45" s="301"/>
      <c r="G45" s="297">
        <f>IF(OR(ISBLANK(G8),G8=0),"",MAX(G30:H30))</f>
        <v>4.0877220914732444</v>
      </c>
      <c r="H45" s="301"/>
      <c r="I45" s="297">
        <f>IF(OR(ISBLANK(I8),I8=0),"",MAX(I30:J30))</f>
        <v>4.3456421891764423</v>
      </c>
      <c r="J45" s="301"/>
      <c r="K45" s="297">
        <f>IF(OR(ISBLANK(K8),K8=0),"",MAX(K30:L30))</f>
        <v>4.0490137569543307</v>
      </c>
      <c r="L45" s="301"/>
      <c r="M45" s="297">
        <f>IF(OR(ISBLANK(M8),M8=0),"",MAX(M30:N30))</f>
        <v>4.2210550268287879</v>
      </c>
      <c r="N45" s="301"/>
      <c r="O45" s="297">
        <f>IF(OR(ISBLANK(O8),O8=0),"",MAX(O30:P30))</f>
        <v>4.1905335237873569</v>
      </c>
      <c r="P45" s="301"/>
      <c r="Q45" s="297">
        <f>IF(OR(ISBLANK(Q8),Q8=0),"",MAX(Q30:R30))</f>
        <v>4.1952608307630443</v>
      </c>
      <c r="R45" s="301"/>
      <c r="S45" s="297" t="str">
        <f>IF(OR(ISBLANK(S8),S8=0),"",MAX(S30:T30))</f>
        <v/>
      </c>
      <c r="T45" s="301"/>
      <c r="U45" s="297" t="str">
        <f>IF(OR(ISBLANK(U8),U8=0),"",MAX(U30:V30))</f>
        <v/>
      </c>
      <c r="V45" s="301"/>
      <c r="W45" s="297" t="str">
        <f>IF(OR(ISBLANK(W8),W8=0),"",MAX(W30:X30))</f>
        <v/>
      </c>
      <c r="X45" s="301"/>
      <c r="Y45" s="297" t="str">
        <f>IF(OR(ISBLANK(Y8),Y8=0),"",MAX(Y30:Z30))</f>
        <v/>
      </c>
      <c r="Z45" s="301"/>
      <c r="AA45" s="297" t="str">
        <f>IF(OR(ISBLANK(AA8),AA8=0),"",MAX(AA30:AB30))</f>
        <v/>
      </c>
      <c r="AB45" s="301"/>
      <c r="AC45" s="297" t="str">
        <f>IF(OR(ISBLANK(AC8),AC8=0),"",MAX(AC30:AD30))</f>
        <v/>
      </c>
      <c r="AD45" s="301"/>
      <c r="AE45" s="297" t="str">
        <f>IF(OR(ISBLANK(AE8),AE8=0),"",MAX(AE30:AF30))</f>
        <v/>
      </c>
      <c r="AF45" s="301"/>
      <c r="AG45" s="297" t="str">
        <f>IF(OR(ISBLANK(AG8),AG8=0),"",MAX(AG30:AH30))</f>
        <v/>
      </c>
      <c r="AH45" s="301"/>
      <c r="AI45" s="297" t="str">
        <f>IF(OR(ISBLANK(AI8),AI8=0),"",MAX(AI30:AJ30))</f>
        <v/>
      </c>
      <c r="AJ45" s="301"/>
      <c r="AK45" s="297" t="str">
        <f>IF(OR(ISBLANK(AK8),AK8=0),"",MAX(AK30:AL30))</f>
        <v/>
      </c>
      <c r="AL45" s="301"/>
      <c r="AM45" s="297" t="str">
        <f>IF(OR(ISBLANK(AM8),AM8=0),"",MAX(AM30:AN30))</f>
        <v/>
      </c>
      <c r="AN45" s="301"/>
      <c r="AO45" s="297" t="str">
        <f>IF(OR(ISBLANK(AO8),AO8=0),"",MAX(AO30:AP30))</f>
        <v/>
      </c>
      <c r="AP45" s="301"/>
      <c r="AQ45" s="297" t="str">
        <f>IF(OR(ISBLANK(AQ8),AQ8=0),"",MAX(AQ30:AR30))</f>
        <v/>
      </c>
      <c r="AR45" s="301"/>
      <c r="AS45" s="67">
        <f>SUMPRODUCT(E45:AR45,$E$8:$AR$8)/SUM($E$8:$AR$8)</f>
        <v>4.1685202148654499</v>
      </c>
      <c r="AT45" s="56"/>
    </row>
    <row r="46" spans="2:46" ht="15.95" customHeight="1" x14ac:dyDescent="0.25">
      <c r="B46" s="55"/>
      <c r="C46" s="10" t="s">
        <v>214</v>
      </c>
      <c r="D46" s="11" t="s">
        <v>210</v>
      </c>
      <c r="E46" s="297">
        <f>IF(ISBLANK(E10),"",MAX(E31:F31))</f>
        <v>2.7107749999999995</v>
      </c>
      <c r="F46" s="301"/>
      <c r="G46" s="297">
        <f>IF(OR(ISBLANK(G10),G10=0),"",MAX(G31:H31))</f>
        <v>2.2087249999999994</v>
      </c>
      <c r="H46" s="301"/>
      <c r="I46" s="297">
        <f>IF(OR(ISBLANK(I10),I10=0),"",MAX(I31:J31))</f>
        <v>3.2047249999999998</v>
      </c>
      <c r="J46" s="301"/>
      <c r="K46" s="297">
        <f>IF(OR(ISBLANK(K10),K10=0),"",MAX(K31:L31))</f>
        <v>2.7701750000000001</v>
      </c>
      <c r="L46" s="301"/>
      <c r="M46" s="297">
        <f>IF(OR(ISBLANK(M10),M10=0),"",MAX(M31:N31))</f>
        <v>2.2171999999999992</v>
      </c>
      <c r="N46" s="301"/>
      <c r="O46" s="297">
        <f>IF(OR(ISBLANK(O10),O10=0),"",MAX(O31:P31))</f>
        <v>2.3857249999999994</v>
      </c>
      <c r="P46" s="301"/>
      <c r="Q46" s="297">
        <f>IF(OR(ISBLANK(Q10),Q10=0),"",MAX(Q31:R31))</f>
        <v>2.5933249999999997</v>
      </c>
      <c r="R46" s="301"/>
      <c r="S46" s="297" t="str">
        <f>IF(OR(ISBLANK(S10),S10=0),"",MAX(S31:T31))</f>
        <v/>
      </c>
      <c r="T46" s="301"/>
      <c r="U46" s="297" t="str">
        <f>IF(OR(ISBLANK(U10),U10=0),"",MAX(U31:V31))</f>
        <v/>
      </c>
      <c r="V46" s="301"/>
      <c r="W46" s="297" t="str">
        <f>IF(OR(ISBLANK(W10),W10=0),"",MAX(W31:X31))</f>
        <v/>
      </c>
      <c r="X46" s="301"/>
      <c r="Y46" s="297" t="str">
        <f>IF(OR(ISBLANK(Y10),Y10=0),"",MAX(Y31:Z31))</f>
        <v/>
      </c>
      <c r="Z46" s="301"/>
      <c r="AA46" s="297" t="str">
        <f>IF(OR(ISBLANK(AA10),AA10=0),"",MAX(AA31:AB31))</f>
        <v/>
      </c>
      <c r="AB46" s="301"/>
      <c r="AC46" s="297" t="str">
        <f>IF(OR(ISBLANK(AC10),AC10=0),"",MAX(AC31:AD31))</f>
        <v/>
      </c>
      <c r="AD46" s="301"/>
      <c r="AE46" s="297" t="str">
        <f>IF(OR(ISBLANK(AE10),AE10=0),"",MAX(AE31:AF31))</f>
        <v/>
      </c>
      <c r="AF46" s="301"/>
      <c r="AG46" s="297" t="str">
        <f>IF(OR(ISBLANK(AG10),AG10=0),"",MAX(AG31:AH31))</f>
        <v/>
      </c>
      <c r="AH46" s="301"/>
      <c r="AI46" s="297" t="str">
        <f>IF(OR(ISBLANK(AI10),AI10=0),"",MAX(AI31:AJ31))</f>
        <v/>
      </c>
      <c r="AJ46" s="301"/>
      <c r="AK46" s="297" t="str">
        <f>IF(OR(ISBLANK(AK10),AK10=0),"",MAX(AK31:AL31))</f>
        <v/>
      </c>
      <c r="AL46" s="301"/>
      <c r="AM46" s="297" t="str">
        <f>IF(OR(ISBLANK(AM10),AM10=0),"",MAX(AM31:AN31))</f>
        <v/>
      </c>
      <c r="AN46" s="301"/>
      <c r="AO46" s="297" t="str">
        <f>IF(OR(ISBLANK(AO10),AO10=0),"",MAX(AO31:AP31))</f>
        <v/>
      </c>
      <c r="AP46" s="301"/>
      <c r="AQ46" s="297" t="str">
        <f>IF(OR(ISBLANK(AQ10),AQ10=0),"",MAX(AQ31:AR31))</f>
        <v/>
      </c>
      <c r="AR46" s="301"/>
      <c r="AS46" s="67">
        <f>SUMPRODUCT(E46:AR46,$E$9:$AR$9)/SUM($E$9:$AR$9)</f>
        <v>2.1891561391384471</v>
      </c>
      <c r="AT46" s="56"/>
    </row>
    <row r="47" spans="2:46" ht="15.95" customHeight="1" x14ac:dyDescent="0.25">
      <c r="B47" s="55"/>
      <c r="C47" s="10" t="s">
        <v>435</v>
      </c>
      <c r="D47" s="11" t="s">
        <v>436</v>
      </c>
      <c r="E47" s="297">
        <f>IF(ISBLANK(E11),"",MAX(E32:F32))</f>
        <v>2.8899496613036053</v>
      </c>
      <c r="F47" s="301"/>
      <c r="G47" s="297" t="e">
        <f>IF(OR(ISBLANK(G11),G11=0),"",MAX(G32:H32))</f>
        <v>#DIV/0!</v>
      </c>
      <c r="H47" s="301"/>
      <c r="I47" s="297" t="e">
        <f>IF(OR(ISBLANK(I11),I11=0),"",MAX(I32:J32))</f>
        <v>#DIV/0!</v>
      </c>
      <c r="J47" s="301"/>
      <c r="K47" s="297" t="e">
        <f>IF(OR(ISBLANK(K11),K11=0),"",MAX(K32:L32))</f>
        <v>#DIV/0!</v>
      </c>
      <c r="L47" s="301"/>
      <c r="M47" s="297">
        <f>IF(OR(ISBLANK(M11),M11=0),"",MAX(M32:N32))</f>
        <v>2.9994825296671896</v>
      </c>
      <c r="N47" s="301"/>
      <c r="O47" s="297" t="e">
        <f>IF(OR(ISBLANK(O11),O11=0),"",MAX(O32:P32))</f>
        <v>#DIV/0!</v>
      </c>
      <c r="P47" s="301"/>
      <c r="Q47" s="297" t="e">
        <f>IF(OR(ISBLANK(Q11),Q11=0),"",MAX(Q32:R32))</f>
        <v>#DIV/0!</v>
      </c>
      <c r="R47" s="301"/>
      <c r="S47" s="297" t="str">
        <f>IF(OR(ISBLANK(S11),S11=0),"",MAX(S32:T32))</f>
        <v/>
      </c>
      <c r="T47" s="301"/>
      <c r="U47" s="297" t="str">
        <f>IF(OR(ISBLANK(U11),U11=0),"",MAX(U32:V32))</f>
        <v/>
      </c>
      <c r="V47" s="301"/>
      <c r="W47" s="297" t="str">
        <f>IF(OR(ISBLANK(W11),W11=0),"",MAX(W32:X32))</f>
        <v/>
      </c>
      <c r="X47" s="301"/>
      <c r="Y47" s="297" t="str">
        <f>IF(OR(ISBLANK(Y11),Y11=0),"",MAX(Y32:Z32))</f>
        <v/>
      </c>
      <c r="Z47" s="301"/>
      <c r="AA47" s="297" t="str">
        <f>IF(OR(ISBLANK(AA11),AA11=0),"",MAX(AA32:AB32))</f>
        <v/>
      </c>
      <c r="AB47" s="301"/>
      <c r="AC47" s="297" t="str">
        <f>IF(OR(ISBLANK(AC11),AC11=0),"",MAX(AC32:AD32))</f>
        <v/>
      </c>
      <c r="AD47" s="301"/>
      <c r="AE47" s="297" t="str">
        <f>IF(OR(ISBLANK(AE11),AE11=0),"",MAX(AE32:AF32))</f>
        <v/>
      </c>
      <c r="AF47" s="301"/>
      <c r="AG47" s="297" t="str">
        <f>IF(OR(ISBLANK(AG11),AG11=0),"",MAX(AG32:AH32))</f>
        <v/>
      </c>
      <c r="AH47" s="301"/>
      <c r="AI47" s="297" t="str">
        <f>IF(OR(ISBLANK(AI11),AI11=0),"",MAX(AI32:AJ32))</f>
        <v/>
      </c>
      <c r="AJ47" s="301"/>
      <c r="AK47" s="297" t="str">
        <f>IF(OR(ISBLANK(AK11),AK11=0),"",MAX(AK32:AL32))</f>
        <v/>
      </c>
      <c r="AL47" s="301"/>
      <c r="AM47" s="297" t="str">
        <f>IF(OR(ISBLANK(AM11),AM11=0),"",MAX(AM32:AN32))</f>
        <v/>
      </c>
      <c r="AN47" s="301"/>
      <c r="AO47" s="297" t="str">
        <f>IF(OR(ISBLANK(AO11),AO11=0),"",MAX(AO32:AP32))</f>
        <v/>
      </c>
      <c r="AP47" s="301"/>
      <c r="AQ47" s="297" t="str">
        <f>IF(OR(ISBLANK(AQ11),AQ11=0),"",MAX(AQ32:AR32))</f>
        <v/>
      </c>
      <c r="AR47" s="301"/>
      <c r="AS47" s="67">
        <f>AVERAGE(AS45:AS46)</f>
        <v>3.1788381770019485</v>
      </c>
      <c r="AT47" s="56"/>
    </row>
    <row r="48" spans="2:46" x14ac:dyDescent="0.25">
      <c r="B48" s="55"/>
      <c r="C48" s="10"/>
      <c r="D48" s="11" t="s">
        <v>51</v>
      </c>
      <c r="E48" s="287" t="str">
        <f>IF(E47="","",IF(E47&lt;=2,"A",IF(E47&lt;=2.75,"B",IF(E47&lt;=3.5,"C",IF(E47&lt;=4.25,"D",IF(E47&lt;=5,"E","F"))))))</f>
        <v>C</v>
      </c>
      <c r="F48" s="288"/>
      <c r="G48" s="287" t="e">
        <f>IF(G47="","",IF(G47&lt;=2,"A",IF(G47&lt;=2.75,"B",IF(G47&lt;=3.5,"C",IF(G47&lt;=4.25,"D",IF(G47&lt;=5,"E","F"))))))</f>
        <v>#DIV/0!</v>
      </c>
      <c r="H48" s="288"/>
      <c r="I48" s="287" t="e">
        <f>IF(I47="","",IF(I47&lt;=2,"A",IF(I47&lt;=2.75,"B",IF(I47&lt;=3.5,"C",IF(I47&lt;=4.25,"D",IF(I47&lt;=5,"E","F"))))))</f>
        <v>#DIV/0!</v>
      </c>
      <c r="J48" s="288"/>
      <c r="K48" s="287" t="e">
        <f>IF(K47="","",IF(K47&lt;=2,"A",IF(K47&lt;=2.75,"B",IF(K47&lt;=3.5,"C",IF(K47&lt;=4.25,"D",IF(K47&lt;=5,"E","F"))))))</f>
        <v>#DIV/0!</v>
      </c>
      <c r="L48" s="288"/>
      <c r="M48" s="287" t="str">
        <f>IF(M47="","",IF(M47&lt;=2,"A",IF(M47&lt;=2.75,"B",IF(M47&lt;=3.5,"C",IF(M47&lt;=4.25,"D",IF(M47&lt;=5,"E","F"))))))</f>
        <v>C</v>
      </c>
      <c r="N48" s="288"/>
      <c r="O48" s="287" t="e">
        <f>IF(O47="","",IF(O47&lt;=2,"A",IF(O47&lt;=2.75,"B",IF(O47&lt;=3.5,"C",IF(O47&lt;=4.25,"D",IF(O47&lt;=5,"E","F"))))))</f>
        <v>#DIV/0!</v>
      </c>
      <c r="P48" s="288"/>
      <c r="Q48" s="287" t="e">
        <f>IF(Q47="","",IF(Q47&lt;=2,"A",IF(Q47&lt;=2.75,"B",IF(Q47&lt;=3.5,"C",IF(Q47&lt;=4.25,"D",IF(Q47&lt;=5,"E","F"))))))</f>
        <v>#DIV/0!</v>
      </c>
      <c r="R48" s="288"/>
      <c r="S48" s="287" t="str">
        <f>IF(S47="","",IF(S47&lt;=2,"A",IF(S47&lt;=2.75,"B",IF(S47&lt;=3.5,"C",IF(S47&lt;=4.25,"D",IF(S47&lt;=5,"E","F"))))))</f>
        <v/>
      </c>
      <c r="T48" s="288"/>
      <c r="U48" s="287" t="str">
        <f>IF(U47="","",IF(U47&lt;=2,"A",IF(U47&lt;=2.75,"B",IF(U47&lt;=3.5,"C",IF(U47&lt;=4.25,"D",IF(U47&lt;=5,"E","F"))))))</f>
        <v/>
      </c>
      <c r="V48" s="288"/>
      <c r="W48" s="287" t="str">
        <f>IF(W47="","",IF(W47&lt;=2,"A",IF(W47&lt;=2.75,"B",IF(W47&lt;=3.5,"C",IF(W47&lt;=4.25,"D",IF(W47&lt;=5,"E","F"))))))</f>
        <v/>
      </c>
      <c r="X48" s="288"/>
      <c r="Y48" s="287" t="str">
        <f>IF(Y47="","",IF(Y47&lt;=2,"A",IF(Y47&lt;=2.75,"B",IF(Y47&lt;=3.5,"C",IF(Y47&lt;=4.25,"D",IF(Y47&lt;=5,"E","F"))))))</f>
        <v/>
      </c>
      <c r="Z48" s="288"/>
      <c r="AA48" s="287" t="str">
        <f>IF(AA47="","",IF(AA47&lt;=2,"A",IF(AA47&lt;=2.75,"B",IF(AA47&lt;=3.5,"C",IF(AA47&lt;=4.25,"D",IF(AA47&lt;=5,"E","F"))))))</f>
        <v/>
      </c>
      <c r="AB48" s="288"/>
      <c r="AC48" s="287" t="str">
        <f>IF(AC47="","",IF(AC47&lt;=2,"A",IF(AC47&lt;=2.75,"B",IF(AC47&lt;=3.5,"C",IF(AC47&lt;=4.25,"D",IF(AC47&lt;=5,"E","F"))))))</f>
        <v/>
      </c>
      <c r="AD48" s="288"/>
      <c r="AE48" s="287" t="str">
        <f>IF(AE47="","",IF(AE47&lt;=2,"A",IF(AE47&lt;=2.75,"B",IF(AE47&lt;=3.5,"C",IF(AE47&lt;=4.25,"D",IF(AE47&lt;=5,"E","F"))))))</f>
        <v/>
      </c>
      <c r="AF48" s="288"/>
      <c r="AG48" s="287" t="str">
        <f>IF(AG47="","",IF(AG47&lt;=2,"A",IF(AG47&lt;=2.75,"B",IF(AG47&lt;=3.5,"C",IF(AG47&lt;=4.25,"D",IF(AG47&lt;=5,"E","F"))))))</f>
        <v/>
      </c>
      <c r="AH48" s="288"/>
      <c r="AI48" s="287" t="str">
        <f>IF(AI47="","",IF(AI47&lt;=2,"A",IF(AI47&lt;=2.75,"B",IF(AI47&lt;=3.5,"C",IF(AI47&lt;=4.25,"D",IF(AI47&lt;=5,"E","F"))))))</f>
        <v/>
      </c>
      <c r="AJ48" s="288"/>
      <c r="AK48" s="287" t="str">
        <f>IF(AK47="","",IF(AK47&lt;=2,"A",IF(AK47&lt;=2.75,"B",IF(AK47&lt;=3.5,"C",IF(AK47&lt;=4.25,"D",IF(AK47&lt;=5,"E","F"))))))</f>
        <v/>
      </c>
      <c r="AL48" s="288"/>
      <c r="AM48" s="287" t="str">
        <f>IF(AM47="","",IF(AM47&lt;=2,"A",IF(AM47&lt;=2.75,"B",IF(AM47&lt;=3.5,"C",IF(AM47&lt;=4.25,"D",IF(AM47&lt;=5,"E","F"))))))</f>
        <v/>
      </c>
      <c r="AN48" s="288"/>
      <c r="AO48" s="287" t="str">
        <f>IF(AO47="","",IF(AO47&lt;=2,"A",IF(AO47&lt;=2.75,"B",IF(AO47&lt;=3.5,"C",IF(AO47&lt;=4.25,"D",IF(AO47&lt;=5,"E","F"))))))</f>
        <v/>
      </c>
      <c r="AP48" s="288"/>
      <c r="AQ48" s="287" t="str">
        <f>IF(AQ47="","",IF(AQ47&lt;=2,"A",IF(AQ47&lt;=2.75,"B",IF(AQ47&lt;=3.5,"C",IF(AQ47&lt;=4.25,"D",IF(AQ47&lt;=5,"E","F"))))))</f>
        <v/>
      </c>
      <c r="AR48" s="288"/>
      <c r="AS48" s="68" t="str">
        <f>IF(AS47&lt;=2,"A",IF(AS47&lt;=2.75,"B",IF(AS47&lt;=3.5,"C",IF(AS47&lt;=4.25,"D",IF(AS47&lt;=5,"E","F")))))</f>
        <v>C</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217</v>
      </c>
      <c r="D50" s="110" t="s">
        <v>94</v>
      </c>
      <c r="E50" s="297">
        <f>Links!F97</f>
        <v>1.7658449627305508</v>
      </c>
      <c r="F50" s="298"/>
      <c r="G50" s="297"/>
      <c r="H50" s="298"/>
      <c r="I50" s="297"/>
      <c r="J50" s="298"/>
      <c r="K50" s="297"/>
      <c r="L50" s="298"/>
      <c r="M50" s="297"/>
      <c r="N50" s="298"/>
      <c r="O50" s="297"/>
      <c r="P50" s="298"/>
      <c r="Q50" s="297"/>
      <c r="R50" s="298"/>
      <c r="S50" s="297"/>
      <c r="T50" s="298"/>
      <c r="U50" s="297"/>
      <c r="V50" s="298"/>
      <c r="W50" s="297"/>
      <c r="X50" s="298"/>
      <c r="Y50" s="297"/>
      <c r="Z50" s="298"/>
      <c r="AA50" s="297"/>
      <c r="AB50" s="298"/>
      <c r="AC50" s="297"/>
      <c r="AD50" s="298"/>
      <c r="AE50" s="297"/>
      <c r="AF50" s="298"/>
      <c r="AG50" s="297"/>
      <c r="AH50" s="298"/>
      <c r="AI50" s="297"/>
      <c r="AJ50" s="298"/>
      <c r="AK50" s="297"/>
      <c r="AL50" s="298"/>
      <c r="AM50" s="297"/>
      <c r="AN50" s="298"/>
      <c r="AO50" s="297"/>
      <c r="AP50" s="298"/>
      <c r="AQ50" s="297"/>
      <c r="AR50" s="298"/>
      <c r="AS50" s="67">
        <f>SUMPRODUCT(E50:AR50,E8:AR8)/SUM(E8:AR8)</f>
        <v>0.14948952065443816</v>
      </c>
      <c r="AT50" s="56"/>
    </row>
    <row r="51" spans="2:46" ht="14.25" x14ac:dyDescent="0.25">
      <c r="B51" s="55"/>
      <c r="C51" s="109" t="s">
        <v>439</v>
      </c>
      <c r="D51" s="110" t="s">
        <v>437</v>
      </c>
      <c r="E51" s="297"/>
      <c r="F51" s="298"/>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440</v>
      </c>
      <c r="D52" s="110" t="s">
        <v>438</v>
      </c>
      <c r="E52" s="297"/>
      <c r="F52" s="298"/>
      <c r="G52" s="297"/>
      <c r="H52" s="298"/>
      <c r="I52" s="297"/>
      <c r="J52" s="298"/>
      <c r="K52" s="297"/>
      <c r="L52" s="298"/>
      <c r="M52" s="297"/>
      <c r="N52" s="298"/>
      <c r="O52" s="297"/>
      <c r="P52" s="298"/>
      <c r="Q52" s="297"/>
      <c r="R52" s="298"/>
      <c r="S52" s="297"/>
      <c r="T52" s="298"/>
      <c r="U52" s="297"/>
      <c r="V52" s="298"/>
      <c r="W52" s="297"/>
      <c r="X52" s="298"/>
      <c r="Y52" s="297"/>
      <c r="Z52" s="298"/>
      <c r="AA52" s="297"/>
      <c r="AB52" s="298"/>
      <c r="AC52" s="297"/>
      <c r="AD52" s="298"/>
      <c r="AE52" s="297"/>
      <c r="AF52" s="298"/>
      <c r="AG52" s="297"/>
      <c r="AH52" s="298"/>
      <c r="AI52" s="297"/>
      <c r="AJ52" s="298"/>
      <c r="AK52" s="297"/>
      <c r="AL52" s="298"/>
      <c r="AM52" s="297"/>
      <c r="AN52" s="298"/>
      <c r="AO52" s="297"/>
      <c r="AP52" s="298"/>
      <c r="AQ52" s="297"/>
      <c r="AR52" s="298"/>
      <c r="AS52" s="67"/>
      <c r="AT52" s="56"/>
    </row>
    <row r="53" spans="2:46" ht="13.5" thickBot="1" x14ac:dyDescent="0.3">
      <c r="B53" s="55"/>
      <c r="C53" s="10"/>
      <c r="D53" s="11" t="s">
        <v>52</v>
      </c>
      <c r="E53" s="287" t="str">
        <f>IF(E52="","",IF(E52&lt;=2,"A",IF(E52&lt;=2.75,"B",IF(E52&lt;=3.5,"C",IF(E52&lt;=4.25,"D",IF(E52&lt;=5,"E","F"))))))</f>
        <v/>
      </c>
      <c r="F53" s="288"/>
      <c r="G53" s="287" t="str">
        <f>IF(G52="","",IF(G52&lt;=2,"A",IF(G52&lt;=2.75,"B",IF(G52&lt;=3.5,"C",IF(G52&lt;=4.25,"D",IF(G52&lt;=5,"E","F"))))))</f>
        <v/>
      </c>
      <c r="H53" s="288"/>
      <c r="I53" s="287" t="str">
        <f>IF(I52="","",IF(I52&lt;=2,"A",IF(I52&lt;=2.75,"B",IF(I52&lt;=3.5,"C",IF(I52&lt;=4.25,"D",IF(I52&lt;=5,"E","F"))))))</f>
        <v/>
      </c>
      <c r="J53" s="288"/>
      <c r="K53" s="287" t="str">
        <f>IF(K52="","",IF(K52&lt;=2,"A",IF(K52&lt;=2.75,"B",IF(K52&lt;=3.5,"C",IF(K52&lt;=4.25,"D",IF(K52&lt;=5,"E","F"))))))</f>
        <v/>
      </c>
      <c r="L53" s="288"/>
      <c r="M53" s="287" t="str">
        <f>IF(M52="","",IF(M52&lt;=2,"A",IF(M52&lt;=2.75,"B",IF(M52&lt;=3.5,"C",IF(M52&lt;=4.25,"D",IF(M52&lt;=5,"E","F"))))))</f>
        <v/>
      </c>
      <c r="N53" s="288"/>
      <c r="O53" s="287" t="str">
        <f>IF(O52="","",IF(O52&lt;=2,"A",IF(O52&lt;=2.75,"B",IF(O52&lt;=3.5,"C",IF(O52&lt;=4.25,"D",IF(O52&lt;=5,"E","F"))))))</f>
        <v/>
      </c>
      <c r="P53" s="288"/>
      <c r="Q53" s="287" t="str">
        <f>IF(Q52="","",IF(Q52&lt;=2,"A",IF(Q52&lt;=2.75,"B",IF(Q52&lt;=3.5,"C",IF(Q52&lt;=4.25,"D",IF(Q52&lt;=5,"E","F"))))))</f>
        <v/>
      </c>
      <c r="R53" s="288"/>
      <c r="S53" s="287" t="str">
        <f>IF(S52="","",IF(S52&lt;=2,"A",IF(S52&lt;=2.75,"B",IF(S52&lt;=3.5,"C",IF(S52&lt;=4.25,"D",IF(S52&lt;=5,"E","F"))))))</f>
        <v/>
      </c>
      <c r="T53" s="288"/>
      <c r="U53" s="287" t="str">
        <f>IF(U52="","",IF(U52&lt;=2,"A",IF(U52&lt;=2.75,"B",IF(U52&lt;=3.5,"C",IF(U52&lt;=4.25,"D",IF(U52&lt;=5,"E","F"))))))</f>
        <v/>
      </c>
      <c r="V53" s="288"/>
      <c r="W53" s="287" t="str">
        <f>IF(W52="","",IF(W52&lt;=2,"A",IF(W52&lt;=2.75,"B",IF(W52&lt;=3.5,"C",IF(W52&lt;=4.25,"D",IF(W52&lt;=5,"E","F"))))))</f>
        <v/>
      </c>
      <c r="X53" s="288"/>
      <c r="Y53" s="287" t="str">
        <f>IF(Y52="","",IF(Y52&lt;=2,"A",IF(Y52&lt;=2.75,"B",IF(Y52&lt;=3.5,"C",IF(Y52&lt;=4.25,"D",IF(Y52&lt;=5,"E","F"))))))</f>
        <v/>
      </c>
      <c r="Z53" s="288"/>
      <c r="AA53" s="287" t="str">
        <f>IF(AA52="","",IF(AA52&lt;=2,"A",IF(AA52&lt;=2.75,"B",IF(AA52&lt;=3.5,"C",IF(AA52&lt;=4.25,"D",IF(AA52&lt;=5,"E","F"))))))</f>
        <v/>
      </c>
      <c r="AB53" s="288"/>
      <c r="AC53" s="287" t="str">
        <f>IF(AC52="","",IF(AC52&lt;=2,"A",IF(AC52&lt;=2.75,"B",IF(AC52&lt;=3.5,"C",IF(AC52&lt;=4.25,"D",IF(AC52&lt;=5,"E","F"))))))</f>
        <v/>
      </c>
      <c r="AD53" s="288"/>
      <c r="AE53" s="287" t="str">
        <f>IF(AE52="","",IF(AE52&lt;=2,"A",IF(AE52&lt;=2.75,"B",IF(AE52&lt;=3.5,"C",IF(AE52&lt;=4.25,"D",IF(AE52&lt;=5,"E","F"))))))</f>
        <v/>
      </c>
      <c r="AF53" s="288"/>
      <c r="AG53" s="287" t="str">
        <f>IF(AG52="","",IF(AG52&lt;=2,"A",IF(AG52&lt;=2.75,"B",IF(AG52&lt;=3.5,"C",IF(AG52&lt;=4.25,"D",IF(AG52&lt;=5,"E","F"))))))</f>
        <v/>
      </c>
      <c r="AH53" s="288"/>
      <c r="AI53" s="287" t="str">
        <f>IF(AI52="","",IF(AI52&lt;=2,"A",IF(AI52&lt;=2.75,"B",IF(AI52&lt;=3.5,"C",IF(AI52&lt;=4.25,"D",IF(AI52&lt;=5,"E","F"))))))</f>
        <v/>
      </c>
      <c r="AJ53" s="288"/>
      <c r="AK53" s="287" t="str">
        <f>IF(AK52="","",IF(AK52&lt;=2,"A",IF(AK52&lt;=2.75,"B",IF(AK52&lt;=3.5,"C",IF(AK52&lt;=4.25,"D",IF(AK52&lt;=5,"E","F"))))))</f>
        <v/>
      </c>
      <c r="AL53" s="288"/>
      <c r="AM53" s="287" t="str">
        <f>IF(AM52="","",IF(AM52&lt;=2,"A",IF(AM52&lt;=2.75,"B",IF(AM52&lt;=3.5,"C",IF(AM52&lt;=4.25,"D",IF(AM52&lt;=5,"E","F"))))))</f>
        <v/>
      </c>
      <c r="AN53" s="288"/>
      <c r="AO53" s="287" t="str">
        <f>IF(AO52="","",IF(AO52&lt;=2,"A",IF(AO52&lt;=2.75,"B",IF(AO52&lt;=3.5,"C",IF(AO52&lt;=4.25,"D",IF(AO52&lt;=5,"E","F"))))))</f>
        <v/>
      </c>
      <c r="AP53" s="288"/>
      <c r="AQ53" s="287" t="str">
        <f>IF(AQ52="","",IF(AQ52&lt;=2,"A",IF(AQ52&lt;=2.75,"B",IF(AQ52&lt;=3.5,"C",IF(AQ52&lt;=4.25,"D",IF(AQ52&lt;=5,"E","F"))))))</f>
        <v/>
      </c>
      <c r="AR53" s="288"/>
      <c r="AS53" s="69" t="str">
        <f>IF(AS50&lt;=2,"A",IF(AS50&lt;=2.75,"B",IF(AS50&lt;=3.5,"C",IF(AS50&lt;=4.25,"D",IF(AS50&lt;=5,"E","F")))))</f>
        <v>A</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198</v>
      </c>
      <c r="D56" s="20" t="s">
        <v>201</v>
      </c>
      <c r="E56" s="20"/>
      <c r="F56" s="226"/>
    </row>
    <row r="57" spans="2:46" ht="15.75" x14ac:dyDescent="0.25">
      <c r="C57" s="21" t="s">
        <v>199</v>
      </c>
      <c r="D57" s="20" t="s">
        <v>202</v>
      </c>
    </row>
    <row r="58" spans="2:46" ht="15.75" x14ac:dyDescent="0.25">
      <c r="C58" s="21" t="s">
        <v>200</v>
      </c>
      <c r="D58" s="20" t="s">
        <v>205</v>
      </c>
    </row>
    <row r="59" spans="2:46" ht="12.95" customHeight="1" x14ac:dyDescent="0.25">
      <c r="C59" s="21" t="s">
        <v>207</v>
      </c>
      <c r="D59" s="305" t="s">
        <v>208</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05"/>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05"/>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234</v>
      </c>
      <c r="D62" s="147" t="s">
        <v>236</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06" t="s">
        <v>221</v>
      </c>
      <c r="D65" s="306"/>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M3:N3"/>
    <mergeCell ref="O3:P3"/>
    <mergeCell ref="Q3:R3"/>
    <mergeCell ref="S3:T3"/>
    <mergeCell ref="U3:V3"/>
    <mergeCell ref="W3:X3"/>
    <mergeCell ref="C3:D4"/>
    <mergeCell ref="E3:F3"/>
    <mergeCell ref="G3:H3"/>
    <mergeCell ref="I3:J3"/>
    <mergeCell ref="K3:L3"/>
    <mergeCell ref="AK3:AL3"/>
    <mergeCell ref="AM3:AN3"/>
    <mergeCell ref="AO3:AP3"/>
    <mergeCell ref="AQ3:AR3"/>
    <mergeCell ref="AS3:AS4"/>
    <mergeCell ref="Y3:Z3"/>
    <mergeCell ref="AA3:AB3"/>
    <mergeCell ref="AC3:AD3"/>
    <mergeCell ref="AE3:AF3"/>
    <mergeCell ref="AG3:AH3"/>
    <mergeCell ref="AI3:AJ3"/>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K38:L38"/>
    <mergeCell ref="M38:N38"/>
    <mergeCell ref="O38:P38"/>
    <mergeCell ref="Q38:R38"/>
    <mergeCell ref="S38:T38"/>
    <mergeCell ref="U8:V8"/>
    <mergeCell ref="W8:X8"/>
    <mergeCell ref="Y8:Z8"/>
    <mergeCell ref="AA8:AB8"/>
    <mergeCell ref="W31:X31"/>
    <mergeCell ref="Y31:Z31"/>
    <mergeCell ref="AA31:AB31"/>
    <mergeCell ref="AA9:AB9"/>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K48:AL48"/>
    <mergeCell ref="AM48:AN48"/>
    <mergeCell ref="AO48:AP48"/>
    <mergeCell ref="AQ48:AR48"/>
    <mergeCell ref="U48:V48"/>
    <mergeCell ref="W48:X48"/>
    <mergeCell ref="Y48:Z48"/>
    <mergeCell ref="AA48:AB48"/>
    <mergeCell ref="AC48:AD48"/>
    <mergeCell ref="AE48:AF48"/>
    <mergeCell ref="AI48:AJ48"/>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G53:AH53"/>
    <mergeCell ref="AI53:AJ53"/>
    <mergeCell ref="AK53:AL53"/>
    <mergeCell ref="AM53:AN53"/>
    <mergeCell ref="AO53:AP53"/>
    <mergeCell ref="AQ53:AR53"/>
    <mergeCell ref="U53:V53"/>
    <mergeCell ref="W53:X53"/>
    <mergeCell ref="Y53:Z53"/>
    <mergeCell ref="AA53:AB53"/>
    <mergeCell ref="AC53:AD53"/>
    <mergeCell ref="AE53:AF53"/>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C6:D6"/>
    <mergeCell ref="G6:H6"/>
    <mergeCell ref="I6:J6"/>
    <mergeCell ref="K6:L6"/>
    <mergeCell ref="E23:F23"/>
    <mergeCell ref="E31:F31"/>
    <mergeCell ref="I31:J31"/>
    <mergeCell ref="K31:L31"/>
    <mergeCell ref="M31:N31"/>
    <mergeCell ref="K23:L23"/>
    <mergeCell ref="M23:N23"/>
    <mergeCell ref="E8:F8"/>
    <mergeCell ref="G8:H8"/>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I48:J48"/>
    <mergeCell ref="K48:L48"/>
    <mergeCell ref="M48:N48"/>
    <mergeCell ref="O48:P48"/>
    <mergeCell ref="Q48:R48"/>
    <mergeCell ref="S48:T48"/>
    <mergeCell ref="U47:V47"/>
    <mergeCell ref="W47:X47"/>
    <mergeCell ref="Y47:Z4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50" zoomScalePageLayoutView="70" workbookViewId="0">
      <pane xSplit="5" ySplit="4" topLeftCell="F61" activePane="bottomRight" state="frozen"/>
      <selection pane="topRight" activeCell="F1" sqref="F1"/>
      <selection pane="bottomLeft" activeCell="A5" sqref="A5"/>
      <selection pane="bottomRight" activeCell="L57" sqref="L57"/>
    </sheetView>
  </sheetViews>
  <sheetFormatPr defaultColWidth="10.875" defaultRowHeight="12.75" x14ac:dyDescent="0.25"/>
  <cols>
    <col min="1" max="2" width="3.375" style="20" customWidth="1"/>
    <col min="3" max="3" width="5.5" style="23" bestFit="1" customWidth="1"/>
    <col min="4" max="4" width="44.8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284" t="s">
        <v>68</v>
      </c>
      <c r="D3" s="302"/>
      <c r="E3" s="310" t="s">
        <v>220</v>
      </c>
      <c r="F3" s="284" t="s">
        <v>19</v>
      </c>
      <c r="G3" s="302"/>
      <c r="H3" s="284" t="s">
        <v>123</v>
      </c>
      <c r="I3" s="302"/>
      <c r="J3" s="284" t="s">
        <v>124</v>
      </c>
      <c r="K3" s="302"/>
      <c r="L3" s="284" t="s">
        <v>125</v>
      </c>
      <c r="M3" s="302"/>
      <c r="N3" s="284" t="s">
        <v>126</v>
      </c>
      <c r="O3" s="302"/>
      <c r="P3" s="284" t="s">
        <v>127</v>
      </c>
      <c r="Q3" s="302"/>
      <c r="R3" s="284" t="s">
        <v>128</v>
      </c>
      <c r="S3" s="302"/>
      <c r="T3" s="284" t="s">
        <v>129</v>
      </c>
      <c r="U3" s="302"/>
      <c r="V3" s="284" t="s">
        <v>130</v>
      </c>
      <c r="W3" s="302"/>
      <c r="X3" s="284" t="s">
        <v>131</v>
      </c>
      <c r="Y3" s="302"/>
      <c r="Z3" s="284" t="s">
        <v>132</v>
      </c>
      <c r="AA3" s="302"/>
      <c r="AB3" s="284" t="s">
        <v>133</v>
      </c>
      <c r="AC3" s="302"/>
      <c r="AD3" s="284" t="s">
        <v>134</v>
      </c>
      <c r="AE3" s="302"/>
      <c r="AF3" s="284" t="s">
        <v>135</v>
      </c>
      <c r="AG3" s="302"/>
      <c r="AH3" s="284" t="s">
        <v>136</v>
      </c>
      <c r="AI3" s="302"/>
      <c r="AJ3" s="284" t="s">
        <v>137</v>
      </c>
      <c r="AK3" s="302"/>
      <c r="AL3" s="284" t="s">
        <v>138</v>
      </c>
      <c r="AM3" s="302"/>
      <c r="AN3" s="284" t="s">
        <v>139</v>
      </c>
      <c r="AO3" s="302"/>
      <c r="AP3" s="284" t="s">
        <v>140</v>
      </c>
      <c r="AQ3" s="302"/>
      <c r="AR3" s="284" t="s">
        <v>141</v>
      </c>
      <c r="AS3" s="302"/>
      <c r="AT3" s="307" t="s">
        <v>191</v>
      </c>
      <c r="AU3" s="56"/>
    </row>
    <row r="4" spans="1:47" s="21" customFormat="1" ht="13.5" x14ac:dyDescent="0.25">
      <c r="B4" s="57"/>
      <c r="C4" s="284"/>
      <c r="D4" s="302"/>
      <c r="E4" s="310"/>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07"/>
      <c r="AU4" s="58"/>
    </row>
    <row r="5" spans="1:47" s="21" customFormat="1" x14ac:dyDescent="0.25">
      <c r="B5" s="57"/>
      <c r="C5" s="59"/>
      <c r="D5" s="59" t="s">
        <v>463</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284" t="s">
        <v>0</v>
      </c>
      <c r="D6" s="302"/>
      <c r="E6" s="88"/>
      <c r="F6" s="284" t="s">
        <v>445</v>
      </c>
      <c r="G6" s="302"/>
      <c r="H6" s="284" t="s">
        <v>446</v>
      </c>
      <c r="I6" s="302"/>
      <c r="J6" s="284" t="s">
        <v>447</v>
      </c>
      <c r="K6" s="302"/>
      <c r="L6" s="284" t="s">
        <v>448</v>
      </c>
      <c r="M6" s="302"/>
      <c r="N6" s="284" t="s">
        <v>449</v>
      </c>
      <c r="O6" s="302"/>
      <c r="P6" s="284" t="s">
        <v>450</v>
      </c>
      <c r="Q6" s="302"/>
      <c r="R6" s="284" t="s">
        <v>451</v>
      </c>
      <c r="S6" s="302"/>
      <c r="T6" s="284"/>
      <c r="U6" s="302"/>
      <c r="V6" s="284"/>
      <c r="W6" s="302"/>
      <c r="X6" s="284"/>
      <c r="Y6" s="302"/>
      <c r="Z6" s="284"/>
      <c r="AA6" s="302"/>
      <c r="AB6" s="284"/>
      <c r="AC6" s="302"/>
      <c r="AD6" s="284"/>
      <c r="AE6" s="302"/>
      <c r="AF6" s="284"/>
      <c r="AG6" s="302"/>
      <c r="AH6" s="284"/>
      <c r="AI6" s="302"/>
      <c r="AJ6" s="284"/>
      <c r="AK6" s="302"/>
      <c r="AL6" s="284"/>
      <c r="AM6" s="302"/>
      <c r="AN6" s="284"/>
      <c r="AO6" s="302"/>
      <c r="AP6" s="284"/>
      <c r="AQ6" s="302"/>
      <c r="AR6" s="284"/>
      <c r="AS6" s="302"/>
      <c r="AT6" s="48"/>
      <c r="AU6" s="58"/>
    </row>
    <row r="7" spans="1:47" s="21" customFormat="1" ht="13.5" x14ac:dyDescent="0.2">
      <c r="B7" s="57"/>
      <c r="C7" s="6"/>
      <c r="D7" s="7" t="s">
        <v>88</v>
      </c>
      <c r="E7" s="128"/>
      <c r="F7" s="308">
        <v>240</v>
      </c>
      <c r="G7" s="309"/>
      <c r="H7" s="308">
        <v>260</v>
      </c>
      <c r="I7" s="309"/>
      <c r="J7" s="308">
        <v>200</v>
      </c>
      <c r="K7" s="309"/>
      <c r="L7" s="308">
        <v>400</v>
      </c>
      <c r="M7" s="309"/>
      <c r="N7" s="308">
        <v>1000</v>
      </c>
      <c r="O7" s="309"/>
      <c r="P7" s="308">
        <v>475</v>
      </c>
      <c r="Q7" s="309"/>
      <c r="R7" s="308">
        <v>260</v>
      </c>
      <c r="S7" s="309"/>
      <c r="T7" s="308"/>
      <c r="U7" s="309"/>
      <c r="V7" s="308"/>
      <c r="W7" s="309"/>
      <c r="X7" s="308"/>
      <c r="Y7" s="309"/>
      <c r="Z7" s="308"/>
      <c r="AA7" s="309"/>
      <c r="AB7" s="308"/>
      <c r="AC7" s="309"/>
      <c r="AD7" s="308"/>
      <c r="AE7" s="309"/>
      <c r="AF7" s="308"/>
      <c r="AG7" s="309"/>
      <c r="AH7" s="308"/>
      <c r="AI7" s="309"/>
      <c r="AJ7" s="308"/>
      <c r="AK7" s="309"/>
      <c r="AL7" s="308"/>
      <c r="AM7" s="309"/>
      <c r="AN7" s="308"/>
      <c r="AO7" s="309"/>
      <c r="AP7" s="308"/>
      <c r="AQ7" s="309"/>
      <c r="AR7" s="308"/>
      <c r="AS7" s="309"/>
      <c r="AT7" s="48"/>
      <c r="AU7" s="58"/>
    </row>
    <row r="8" spans="1:47" s="21" customFormat="1" ht="13.5" x14ac:dyDescent="0.25">
      <c r="B8" s="57"/>
      <c r="C8" s="6"/>
      <c r="D8" s="7" t="s">
        <v>65</v>
      </c>
      <c r="E8" s="128"/>
      <c r="F8" s="79" t="s">
        <v>262</v>
      </c>
      <c r="G8" s="3" t="s">
        <v>263</v>
      </c>
      <c r="H8" s="79" t="s">
        <v>262</v>
      </c>
      <c r="I8" s="3" t="s">
        <v>263</v>
      </c>
      <c r="J8" s="79" t="s">
        <v>262</v>
      </c>
      <c r="K8" s="3" t="s">
        <v>263</v>
      </c>
      <c r="L8" s="79" t="s">
        <v>262</v>
      </c>
      <c r="M8" s="3" t="s">
        <v>263</v>
      </c>
      <c r="N8" s="79" t="s">
        <v>262</v>
      </c>
      <c r="O8" s="3" t="s">
        <v>263</v>
      </c>
      <c r="P8" s="79" t="s">
        <v>262</v>
      </c>
      <c r="Q8" s="3" t="s">
        <v>263</v>
      </c>
      <c r="R8" s="79" t="s">
        <v>262</v>
      </c>
      <c r="S8" s="3" t="s">
        <v>263</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343</v>
      </c>
      <c r="D10" s="7" t="s">
        <v>344</v>
      </c>
      <c r="E10" s="212"/>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v>0.02</v>
      </c>
      <c r="F12" s="40">
        <v>0.02</v>
      </c>
      <c r="G12" s="41">
        <v>0.02</v>
      </c>
      <c r="H12" s="40">
        <v>0.02</v>
      </c>
      <c r="I12" s="41">
        <v>0.04</v>
      </c>
      <c r="J12" s="40">
        <v>0.02</v>
      </c>
      <c r="K12" s="41">
        <v>0.02</v>
      </c>
      <c r="L12" s="40">
        <v>0.02</v>
      </c>
      <c r="M12" s="41">
        <v>0.1</v>
      </c>
      <c r="N12" s="40">
        <v>0.08</v>
      </c>
      <c r="O12" s="41">
        <v>0.15</v>
      </c>
      <c r="P12" s="40">
        <v>0.1</v>
      </c>
      <c r="Q12" s="41">
        <v>0.12</v>
      </c>
      <c r="R12" s="40">
        <v>0.1</v>
      </c>
      <c r="S12" s="41">
        <v>0.12</v>
      </c>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v>25</v>
      </c>
      <c r="F13" s="80">
        <v>25</v>
      </c>
      <c r="G13" s="81">
        <v>25</v>
      </c>
      <c r="H13" s="80">
        <v>25</v>
      </c>
      <c r="I13" s="81">
        <v>25</v>
      </c>
      <c r="J13" s="80">
        <v>25</v>
      </c>
      <c r="K13" s="81">
        <v>25</v>
      </c>
      <c r="L13" s="80">
        <v>25</v>
      </c>
      <c r="M13" s="81">
        <v>25</v>
      </c>
      <c r="N13" s="80">
        <v>25</v>
      </c>
      <c r="O13" s="81">
        <v>25</v>
      </c>
      <c r="P13" s="80">
        <v>25</v>
      </c>
      <c r="Q13" s="81">
        <v>25</v>
      </c>
      <c r="R13" s="80">
        <v>25</v>
      </c>
      <c r="S13" s="81">
        <v>25</v>
      </c>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315</v>
      </c>
      <c r="D14" s="7" t="s">
        <v>379</v>
      </c>
      <c r="E14" s="122">
        <v>3.3</v>
      </c>
      <c r="F14" s="86">
        <v>3.3</v>
      </c>
      <c r="G14" s="87">
        <v>3.3</v>
      </c>
      <c r="H14" s="86">
        <v>3.3</v>
      </c>
      <c r="I14" s="87">
        <v>3.3</v>
      </c>
      <c r="J14" s="86">
        <v>3.3</v>
      </c>
      <c r="K14" s="87">
        <v>3.3</v>
      </c>
      <c r="L14" s="86">
        <v>3.3</v>
      </c>
      <c r="M14" s="87">
        <v>3.3</v>
      </c>
      <c r="N14" s="86">
        <v>3.3</v>
      </c>
      <c r="O14" s="87">
        <v>3.3</v>
      </c>
      <c r="P14" s="86">
        <v>3.3</v>
      </c>
      <c r="Q14" s="87">
        <v>3.3</v>
      </c>
      <c r="R14" s="86">
        <v>3.3</v>
      </c>
      <c r="S14" s="87">
        <v>3.3</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349</v>
      </c>
      <c r="D15" s="7" t="s">
        <v>369</v>
      </c>
      <c r="E15" s="118">
        <v>10</v>
      </c>
      <c r="F15" s="80">
        <v>10</v>
      </c>
      <c r="G15" s="81">
        <v>10</v>
      </c>
      <c r="H15" s="80">
        <v>10</v>
      </c>
      <c r="I15" s="81">
        <v>10</v>
      </c>
      <c r="J15" s="80">
        <v>10</v>
      </c>
      <c r="K15" s="81">
        <v>10</v>
      </c>
      <c r="L15" s="80">
        <v>10</v>
      </c>
      <c r="M15" s="81">
        <v>10</v>
      </c>
      <c r="N15" s="80">
        <v>10</v>
      </c>
      <c r="O15" s="81">
        <v>10</v>
      </c>
      <c r="P15" s="80">
        <v>10</v>
      </c>
      <c r="Q15" s="81">
        <v>10</v>
      </c>
      <c r="R15" s="80">
        <v>10</v>
      </c>
      <c r="S15" s="81">
        <v>10</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1</v>
      </c>
      <c r="G16" s="83">
        <v>1</v>
      </c>
      <c r="H16" s="82">
        <v>1</v>
      </c>
      <c r="I16" s="83">
        <v>1</v>
      </c>
      <c r="J16" s="82">
        <v>1</v>
      </c>
      <c r="K16" s="83">
        <v>1</v>
      </c>
      <c r="L16" s="82">
        <v>1</v>
      </c>
      <c r="M16" s="83">
        <v>1</v>
      </c>
      <c r="N16" s="82">
        <v>1</v>
      </c>
      <c r="O16" s="83">
        <v>1</v>
      </c>
      <c r="P16" s="82">
        <v>1</v>
      </c>
      <c r="Q16" s="83">
        <v>1</v>
      </c>
      <c r="R16" s="82">
        <v>1</v>
      </c>
      <c r="S16" s="83">
        <v>1</v>
      </c>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237</v>
      </c>
      <c r="E17" s="121">
        <v>5</v>
      </c>
      <c r="F17" s="84">
        <v>10</v>
      </c>
      <c r="G17" s="85">
        <v>8</v>
      </c>
      <c r="H17" s="84">
        <v>10</v>
      </c>
      <c r="I17" s="85">
        <v>8</v>
      </c>
      <c r="J17" s="84">
        <v>8</v>
      </c>
      <c r="K17" s="85">
        <v>5</v>
      </c>
      <c r="L17" s="84">
        <v>5</v>
      </c>
      <c r="M17" s="85">
        <v>5</v>
      </c>
      <c r="N17" s="84">
        <v>5</v>
      </c>
      <c r="O17" s="85">
        <v>5</v>
      </c>
      <c r="P17" s="84">
        <v>9</v>
      </c>
      <c r="Q17" s="85">
        <v>9</v>
      </c>
      <c r="R17" s="84">
        <v>9</v>
      </c>
      <c r="S17" s="85">
        <v>9</v>
      </c>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t="s">
        <v>452</v>
      </c>
      <c r="F18" s="84">
        <v>5</v>
      </c>
      <c r="G18" s="85">
        <v>5</v>
      </c>
      <c r="H18" s="84">
        <v>5</v>
      </c>
      <c r="I18" s="85">
        <v>5</v>
      </c>
      <c r="J18" s="84">
        <v>12</v>
      </c>
      <c r="K18" s="85">
        <v>12</v>
      </c>
      <c r="L18" s="84">
        <v>5</v>
      </c>
      <c r="M18" s="85">
        <v>5</v>
      </c>
      <c r="N18" s="84">
        <v>7</v>
      </c>
      <c r="O18" s="85">
        <v>0</v>
      </c>
      <c r="P18" s="84">
        <v>0</v>
      </c>
      <c r="Q18" s="85">
        <v>0</v>
      </c>
      <c r="R18" s="84">
        <v>0</v>
      </c>
      <c r="S18" s="85">
        <v>0</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238</v>
      </c>
      <c r="E19" s="122"/>
      <c r="F19" s="86">
        <v>5</v>
      </c>
      <c r="G19" s="87">
        <v>5</v>
      </c>
      <c r="H19" s="84">
        <v>5</v>
      </c>
      <c r="I19" s="85">
        <v>5</v>
      </c>
      <c r="J19" s="86">
        <v>5</v>
      </c>
      <c r="K19" s="87">
        <v>5</v>
      </c>
      <c r="L19" s="86">
        <v>5</v>
      </c>
      <c r="M19" s="87">
        <v>0</v>
      </c>
      <c r="N19" s="86">
        <v>5</v>
      </c>
      <c r="O19" s="87">
        <v>0</v>
      </c>
      <c r="P19" s="86">
        <v>0</v>
      </c>
      <c r="Q19" s="87">
        <v>0</v>
      </c>
      <c r="R19" s="86">
        <v>0</v>
      </c>
      <c r="S19" s="87">
        <v>0</v>
      </c>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v>0</v>
      </c>
      <c r="I20" s="87">
        <v>0</v>
      </c>
      <c r="J20" s="86">
        <v>0</v>
      </c>
      <c r="K20" s="87">
        <v>0</v>
      </c>
      <c r="L20" s="86">
        <v>0</v>
      </c>
      <c r="M20" s="87">
        <v>0</v>
      </c>
      <c r="N20" s="86">
        <v>0</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v>12</v>
      </c>
      <c r="I21" s="87">
        <v>12</v>
      </c>
      <c r="J21" s="86">
        <v>12</v>
      </c>
      <c r="K21" s="87">
        <v>12</v>
      </c>
      <c r="L21" s="86">
        <v>12</v>
      </c>
      <c r="M21" s="87">
        <v>12</v>
      </c>
      <c r="N21" s="86">
        <v>12</v>
      </c>
      <c r="O21" s="87">
        <v>12</v>
      </c>
      <c r="P21" s="86">
        <v>12</v>
      </c>
      <c r="Q21" s="87">
        <v>12</v>
      </c>
      <c r="R21" s="86">
        <v>12</v>
      </c>
      <c r="S21" s="87">
        <v>12</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v>0.9</v>
      </c>
      <c r="F22" s="40">
        <v>0.9</v>
      </c>
      <c r="G22" s="41">
        <v>0.9</v>
      </c>
      <c r="H22" s="40">
        <v>0.9</v>
      </c>
      <c r="I22" s="41">
        <v>0.9</v>
      </c>
      <c r="J22" s="40">
        <v>0.9</v>
      </c>
      <c r="K22" s="41">
        <v>0.9</v>
      </c>
      <c r="L22" s="40">
        <v>0.9</v>
      </c>
      <c r="M22" s="41">
        <v>0.9</v>
      </c>
      <c r="N22" s="40">
        <v>0.9</v>
      </c>
      <c r="O22" s="41">
        <v>0.9</v>
      </c>
      <c r="P22" s="40">
        <v>0.9</v>
      </c>
      <c r="Q22" s="41">
        <v>0.9</v>
      </c>
      <c r="R22" s="40">
        <v>0.9</v>
      </c>
      <c r="S22" s="41">
        <v>0.9</v>
      </c>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t="s">
        <v>453</v>
      </c>
      <c r="F23" s="86">
        <v>0</v>
      </c>
      <c r="G23" s="87">
        <v>9</v>
      </c>
      <c r="H23" s="86">
        <v>0</v>
      </c>
      <c r="I23" s="87">
        <v>9</v>
      </c>
      <c r="J23" s="86">
        <v>0</v>
      </c>
      <c r="K23" s="87">
        <v>0</v>
      </c>
      <c r="L23" s="86">
        <v>9</v>
      </c>
      <c r="M23" s="87">
        <v>9</v>
      </c>
      <c r="N23" s="86">
        <v>0</v>
      </c>
      <c r="O23" s="87">
        <v>9</v>
      </c>
      <c r="P23" s="86">
        <v>9</v>
      </c>
      <c r="Q23" s="87">
        <v>9</v>
      </c>
      <c r="R23" s="86">
        <v>9</v>
      </c>
      <c r="S23" s="87">
        <v>9</v>
      </c>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v>3.5</v>
      </c>
      <c r="F24" s="86">
        <v>3.5</v>
      </c>
      <c r="G24" s="87">
        <v>3.5</v>
      </c>
      <c r="H24" s="86">
        <v>3.5</v>
      </c>
      <c r="I24" s="87">
        <v>3.5</v>
      </c>
      <c r="J24" s="86">
        <v>3.5</v>
      </c>
      <c r="K24" s="87">
        <v>3.5</v>
      </c>
      <c r="L24" s="86">
        <v>3.5</v>
      </c>
      <c r="M24" s="87">
        <v>3.5</v>
      </c>
      <c r="N24" s="86">
        <v>3.5</v>
      </c>
      <c r="O24" s="87">
        <v>3.5</v>
      </c>
      <c r="P24" s="86">
        <v>3.5</v>
      </c>
      <c r="Q24" s="87">
        <v>3.5</v>
      </c>
      <c r="R24" s="86">
        <v>3.5</v>
      </c>
      <c r="S24" s="87">
        <v>3.5</v>
      </c>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2" t="s">
        <v>370</v>
      </c>
      <c r="D25" s="7" t="s">
        <v>371</v>
      </c>
      <c r="E25" s="122">
        <v>0.35</v>
      </c>
      <c r="F25" s="225">
        <v>0.35</v>
      </c>
      <c r="G25" s="223">
        <v>0.35</v>
      </c>
      <c r="H25" s="225">
        <v>0.35</v>
      </c>
      <c r="I25" s="223">
        <v>0.35</v>
      </c>
      <c r="J25" s="225">
        <v>0.35</v>
      </c>
      <c r="K25" s="223">
        <v>0.35</v>
      </c>
      <c r="L25" s="225">
        <v>0.35</v>
      </c>
      <c r="M25" s="223">
        <v>0.35</v>
      </c>
      <c r="N25" s="225">
        <v>0.35</v>
      </c>
      <c r="O25" s="223">
        <v>0.35</v>
      </c>
      <c r="P25" s="225">
        <v>0.35</v>
      </c>
      <c r="Q25" s="223">
        <v>0.35</v>
      </c>
      <c r="R25" s="225">
        <v>0.35</v>
      </c>
      <c r="S25" s="223">
        <v>0.35</v>
      </c>
      <c r="T25" s="225"/>
      <c r="U25" s="223"/>
      <c r="V25" s="225"/>
      <c r="W25" s="223"/>
      <c r="X25" s="225"/>
      <c r="Y25" s="223"/>
      <c r="Z25" s="225"/>
      <c r="AA25" s="223"/>
      <c r="AB25" s="225"/>
      <c r="AC25" s="223"/>
      <c r="AD25" s="225"/>
      <c r="AE25" s="223"/>
      <c r="AF25" s="225"/>
      <c r="AG25" s="223"/>
      <c r="AH25" s="225"/>
      <c r="AI25" s="223"/>
      <c r="AJ25" s="225"/>
      <c r="AK25" s="223"/>
      <c r="AL25" s="225"/>
      <c r="AM25" s="223"/>
      <c r="AN25" s="225"/>
      <c r="AO25" s="223"/>
      <c r="AP25" s="225"/>
      <c r="AQ25" s="223"/>
      <c r="AR25" s="225"/>
      <c r="AS25" s="223"/>
      <c r="AT25" s="49"/>
      <c r="AU25" s="56"/>
    </row>
    <row r="26" spans="2:47" ht="25.5" x14ac:dyDescent="0.25">
      <c r="B26" s="55"/>
      <c r="C26" s="9"/>
      <c r="D26" s="137" t="s">
        <v>222</v>
      </c>
      <c r="E26" s="141" t="s">
        <v>64</v>
      </c>
      <c r="F26" s="40" t="s">
        <v>64</v>
      </c>
      <c r="G26" s="41" t="s">
        <v>64</v>
      </c>
      <c r="H26" s="40" t="s">
        <v>64</v>
      </c>
      <c r="I26" s="41" t="s">
        <v>64</v>
      </c>
      <c r="J26" s="40" t="s">
        <v>64</v>
      </c>
      <c r="K26" s="41" t="s">
        <v>64</v>
      </c>
      <c r="L26" s="40" t="s">
        <v>64</v>
      </c>
      <c r="M26" s="41" t="s">
        <v>64</v>
      </c>
      <c r="N26" s="40" t="s">
        <v>64</v>
      </c>
      <c r="O26" s="41" t="s">
        <v>64</v>
      </c>
      <c r="P26" s="40" t="s">
        <v>64</v>
      </c>
      <c r="Q26" s="41" t="s">
        <v>64</v>
      </c>
      <c r="R26" s="40" t="s">
        <v>64</v>
      </c>
      <c r="S26" s="41" t="s">
        <v>64</v>
      </c>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t="s">
        <v>64</v>
      </c>
      <c r="I27" s="41" t="s">
        <v>64</v>
      </c>
      <c r="J27" s="40" t="s">
        <v>64</v>
      </c>
      <c r="K27" s="41" t="s">
        <v>64</v>
      </c>
      <c r="L27" s="40" t="s">
        <v>64</v>
      </c>
      <c r="M27" s="41" t="s">
        <v>64</v>
      </c>
      <c r="N27" s="40" t="s">
        <v>64</v>
      </c>
      <c r="O27" s="41" t="s">
        <v>64</v>
      </c>
      <c r="P27" s="40" t="s">
        <v>64</v>
      </c>
      <c r="Q27" s="41" t="s">
        <v>64</v>
      </c>
      <c r="R27" s="40" t="s">
        <v>64</v>
      </c>
      <c r="S27" s="41" t="s">
        <v>64</v>
      </c>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t="s">
        <v>454</v>
      </c>
      <c r="F28" s="40" t="s">
        <v>64</v>
      </c>
      <c r="G28" s="41" t="s">
        <v>74</v>
      </c>
      <c r="H28" s="40" t="s">
        <v>64</v>
      </c>
      <c r="I28" s="41" t="s">
        <v>74</v>
      </c>
      <c r="J28" s="40" t="s">
        <v>64</v>
      </c>
      <c r="K28" s="41" t="s">
        <v>64</v>
      </c>
      <c r="L28" s="40" t="s">
        <v>74</v>
      </c>
      <c r="M28" s="41" t="s">
        <v>74</v>
      </c>
      <c r="N28" s="40" t="s">
        <v>64</v>
      </c>
      <c r="O28" s="41" t="s">
        <v>74</v>
      </c>
      <c r="P28" s="40" t="s">
        <v>74</v>
      </c>
      <c r="Q28" s="41" t="s">
        <v>74</v>
      </c>
      <c r="R28" s="40" t="s">
        <v>74</v>
      </c>
      <c r="S28" s="41" t="s">
        <v>74</v>
      </c>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172</v>
      </c>
      <c r="E29" s="119"/>
      <c r="F29" s="40" t="s">
        <v>74</v>
      </c>
      <c r="G29" s="41" t="s">
        <v>74</v>
      </c>
      <c r="H29" s="40" t="s">
        <v>74</v>
      </c>
      <c r="I29" s="41" t="s">
        <v>74</v>
      </c>
      <c r="J29" s="40" t="s">
        <v>74</v>
      </c>
      <c r="K29" s="41" t="s">
        <v>74</v>
      </c>
      <c r="L29" s="40" t="s">
        <v>74</v>
      </c>
      <c r="M29" s="41" t="s">
        <v>74</v>
      </c>
      <c r="N29" s="40" t="s">
        <v>74</v>
      </c>
      <c r="O29" s="41" t="s">
        <v>74</v>
      </c>
      <c r="P29" s="40" t="s">
        <v>74</v>
      </c>
      <c r="Q29" s="41" t="s">
        <v>74</v>
      </c>
      <c r="R29" s="40" t="s">
        <v>74</v>
      </c>
      <c r="S29" s="41" t="s">
        <v>74</v>
      </c>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206</v>
      </c>
      <c r="E30" s="119"/>
      <c r="F30" s="40" t="s">
        <v>64</v>
      </c>
      <c r="G30" s="41" t="s">
        <v>64</v>
      </c>
      <c r="H30" s="40" t="s">
        <v>64</v>
      </c>
      <c r="I30" s="41" t="s">
        <v>64</v>
      </c>
      <c r="J30" s="40" t="s">
        <v>64</v>
      </c>
      <c r="K30" s="41" t="s">
        <v>64</v>
      </c>
      <c r="L30" s="40" t="s">
        <v>64</v>
      </c>
      <c r="M30" s="41" t="s">
        <v>64</v>
      </c>
      <c r="N30" s="40" t="s">
        <v>64</v>
      </c>
      <c r="O30" s="41" t="s">
        <v>64</v>
      </c>
      <c r="P30" s="40" t="s">
        <v>64</v>
      </c>
      <c r="Q30" s="41" t="s">
        <v>64</v>
      </c>
      <c r="R30" s="40" t="s">
        <v>64</v>
      </c>
      <c r="S30" s="41" t="s">
        <v>64</v>
      </c>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233</v>
      </c>
      <c r="E31" s="141"/>
      <c r="F31" s="40" t="s">
        <v>64</v>
      </c>
      <c r="G31" s="41" t="s">
        <v>64</v>
      </c>
      <c r="H31" s="40" t="s">
        <v>64</v>
      </c>
      <c r="I31" s="41" t="s">
        <v>64</v>
      </c>
      <c r="J31" s="40" t="s">
        <v>64</v>
      </c>
      <c r="K31" s="41" t="s">
        <v>64</v>
      </c>
      <c r="L31" s="40" t="s">
        <v>64</v>
      </c>
      <c r="M31" s="41" t="s">
        <v>64</v>
      </c>
      <c r="N31" s="40" t="s">
        <v>64</v>
      </c>
      <c r="O31" s="41" t="s">
        <v>64</v>
      </c>
      <c r="P31" s="40" t="s">
        <v>64</v>
      </c>
      <c r="Q31" s="41" t="s">
        <v>64</v>
      </c>
      <c r="R31" s="40" t="s">
        <v>64</v>
      </c>
      <c r="S31" s="41" t="s">
        <v>64</v>
      </c>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v>5</v>
      </c>
      <c r="I33" s="39">
        <v>5</v>
      </c>
      <c r="J33" s="9">
        <v>5</v>
      </c>
      <c r="K33" s="39">
        <v>5</v>
      </c>
      <c r="L33" s="9">
        <v>5</v>
      </c>
      <c r="M33" s="39">
        <v>5</v>
      </c>
      <c r="N33" s="9">
        <v>5</v>
      </c>
      <c r="O33" s="39">
        <v>5</v>
      </c>
      <c r="P33" s="9">
        <v>5</v>
      </c>
      <c r="Q33" s="39">
        <v>5</v>
      </c>
      <c r="R33" s="9">
        <v>5</v>
      </c>
      <c r="S33" s="39">
        <v>5</v>
      </c>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0</v>
      </c>
      <c r="G34" s="39">
        <v>0</v>
      </c>
      <c r="H34" s="9">
        <v>0</v>
      </c>
      <c r="I34" s="39">
        <v>0</v>
      </c>
      <c r="J34" s="9">
        <v>0</v>
      </c>
      <c r="K34" s="39">
        <v>0</v>
      </c>
      <c r="L34" s="9">
        <v>0</v>
      </c>
      <c r="M34" s="39">
        <v>0</v>
      </c>
      <c r="N34" s="9">
        <v>0</v>
      </c>
      <c r="O34" s="39">
        <v>0</v>
      </c>
      <c r="P34" s="9">
        <v>0</v>
      </c>
      <c r="Q34" s="39">
        <v>0</v>
      </c>
      <c r="R34" s="9">
        <v>0</v>
      </c>
      <c r="S34" s="39">
        <v>0</v>
      </c>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v>0</v>
      </c>
      <c r="I35" s="39">
        <v>0</v>
      </c>
      <c r="J35" s="9">
        <v>0</v>
      </c>
      <c r="K35" s="39">
        <v>0</v>
      </c>
      <c r="L35" s="9">
        <v>0</v>
      </c>
      <c r="M35" s="39">
        <v>0</v>
      </c>
      <c r="N35" s="9">
        <v>0</v>
      </c>
      <c r="O35" s="39">
        <v>0</v>
      </c>
      <c r="P35" s="9">
        <v>0</v>
      </c>
      <c r="Q35" s="39">
        <v>0</v>
      </c>
      <c r="R35" s="9">
        <v>0</v>
      </c>
      <c r="S35" s="39">
        <v>0</v>
      </c>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v>0.85</v>
      </c>
      <c r="F36" s="9">
        <v>0.85</v>
      </c>
      <c r="G36" s="39">
        <v>0.85</v>
      </c>
      <c r="H36" s="9">
        <v>0.85</v>
      </c>
      <c r="I36" s="39">
        <v>0.85</v>
      </c>
      <c r="J36" s="9">
        <v>0.85</v>
      </c>
      <c r="K36" s="39">
        <v>0.85</v>
      </c>
      <c r="L36" s="9">
        <v>0.85</v>
      </c>
      <c r="M36" s="39">
        <v>0.85</v>
      </c>
      <c r="N36" s="9">
        <v>0.85</v>
      </c>
      <c r="O36" s="39">
        <v>0.85</v>
      </c>
      <c r="P36" s="9">
        <v>0.85</v>
      </c>
      <c r="Q36" s="39">
        <v>0.85</v>
      </c>
      <c r="R36" s="9">
        <v>0.85</v>
      </c>
      <c r="S36" s="39">
        <v>0.85</v>
      </c>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15</v>
      </c>
      <c r="G37" s="39">
        <v>15</v>
      </c>
      <c r="H37" s="9">
        <v>15</v>
      </c>
      <c r="I37" s="39">
        <v>15</v>
      </c>
      <c r="J37" s="261">
        <v>15</v>
      </c>
      <c r="K37" s="262">
        <v>15</v>
      </c>
      <c r="L37" s="261">
        <v>15</v>
      </c>
      <c r="M37" s="262">
        <v>15</v>
      </c>
      <c r="N37" s="261">
        <v>15</v>
      </c>
      <c r="O37" s="262">
        <v>15</v>
      </c>
      <c r="P37" s="261">
        <v>15</v>
      </c>
      <c r="Q37" s="262">
        <v>15</v>
      </c>
      <c r="R37" s="261">
        <v>15</v>
      </c>
      <c r="S37" s="262">
        <v>15</v>
      </c>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v>3.7</v>
      </c>
      <c r="I38" s="39">
        <v>3.7</v>
      </c>
      <c r="J38" s="261">
        <v>3.7</v>
      </c>
      <c r="K38" s="262">
        <v>3.7</v>
      </c>
      <c r="L38" s="261">
        <v>3.7</v>
      </c>
      <c r="M38" s="262">
        <v>3.7</v>
      </c>
      <c r="N38" s="261">
        <v>3.7</v>
      </c>
      <c r="O38" s="262">
        <v>3.7</v>
      </c>
      <c r="P38" s="261">
        <v>3.7</v>
      </c>
      <c r="Q38" s="262">
        <v>3.7</v>
      </c>
      <c r="R38" s="261">
        <v>3.7</v>
      </c>
      <c r="S38" s="262">
        <v>3.7</v>
      </c>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t="s">
        <v>64</v>
      </c>
      <c r="I39" s="41" t="s">
        <v>64</v>
      </c>
      <c r="J39" s="263" t="s">
        <v>64</v>
      </c>
      <c r="K39" s="264" t="s">
        <v>64</v>
      </c>
      <c r="L39" s="263" t="s">
        <v>64</v>
      </c>
      <c r="M39" s="264" t="s">
        <v>64</v>
      </c>
      <c r="N39" s="263" t="s">
        <v>64</v>
      </c>
      <c r="O39" s="264" t="s">
        <v>64</v>
      </c>
      <c r="P39" s="263" t="s">
        <v>64</v>
      </c>
      <c r="Q39" s="264" t="s">
        <v>64</v>
      </c>
      <c r="R39" s="263" t="s">
        <v>64</v>
      </c>
      <c r="S39" s="264" t="s">
        <v>64</v>
      </c>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v>0</v>
      </c>
      <c r="I40" s="41">
        <v>0</v>
      </c>
      <c r="J40" s="263">
        <v>0</v>
      </c>
      <c r="K40" s="264">
        <v>0</v>
      </c>
      <c r="L40" s="263">
        <v>0</v>
      </c>
      <c r="M40" s="264">
        <v>0</v>
      </c>
      <c r="N40" s="263">
        <v>0</v>
      </c>
      <c r="O40" s="264">
        <v>0</v>
      </c>
      <c r="P40" s="263">
        <v>0</v>
      </c>
      <c r="Q40" s="264">
        <v>0</v>
      </c>
      <c r="R40" s="263">
        <v>0</v>
      </c>
      <c r="S40" s="264">
        <v>0</v>
      </c>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v>1</v>
      </c>
      <c r="I41" s="41">
        <v>1</v>
      </c>
      <c r="J41" s="263">
        <v>1</v>
      </c>
      <c r="K41" s="264">
        <v>1</v>
      </c>
      <c r="L41" s="263">
        <v>1</v>
      </c>
      <c r="M41" s="264">
        <v>1</v>
      </c>
      <c r="N41" s="263">
        <v>1</v>
      </c>
      <c r="O41" s="264">
        <v>1</v>
      </c>
      <c r="P41" s="263">
        <v>1</v>
      </c>
      <c r="Q41" s="264">
        <v>1</v>
      </c>
      <c r="R41" s="263">
        <v>1</v>
      </c>
      <c r="S41" s="264">
        <v>1</v>
      </c>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224</v>
      </c>
      <c r="E42" s="141" t="s">
        <v>74</v>
      </c>
      <c r="F42" s="40" t="s">
        <v>74</v>
      </c>
      <c r="G42" s="41" t="s">
        <v>74</v>
      </c>
      <c r="H42" s="40" t="s">
        <v>74</v>
      </c>
      <c r="I42" s="41" t="s">
        <v>74</v>
      </c>
      <c r="J42" s="263" t="s">
        <v>74</v>
      </c>
      <c r="K42" s="264" t="s">
        <v>74</v>
      </c>
      <c r="L42" s="263" t="s">
        <v>74</v>
      </c>
      <c r="M42" s="264" t="s">
        <v>74</v>
      </c>
      <c r="N42" s="263" t="s">
        <v>74</v>
      </c>
      <c r="O42" s="264" t="s">
        <v>74</v>
      </c>
      <c r="P42" s="263" t="s">
        <v>74</v>
      </c>
      <c r="Q42" s="264" t="s">
        <v>74</v>
      </c>
      <c r="R42" s="263" t="s">
        <v>74</v>
      </c>
      <c r="S42" s="264" t="s">
        <v>74</v>
      </c>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284" t="s">
        <v>24</v>
      </c>
      <c r="D44" s="302"/>
      <c r="E44" s="88"/>
      <c r="F44" s="284"/>
      <c r="G44" s="302"/>
      <c r="H44" s="284"/>
      <c r="I44" s="302"/>
      <c r="J44" s="284"/>
      <c r="K44" s="302"/>
      <c r="L44" s="284"/>
      <c r="M44" s="302"/>
      <c r="N44" s="284"/>
      <c r="O44" s="302"/>
      <c r="P44" s="284"/>
      <c r="Q44" s="302"/>
      <c r="R44" s="284"/>
      <c r="S44" s="302"/>
      <c r="T44" s="284"/>
      <c r="U44" s="302"/>
      <c r="V44" s="284"/>
      <c r="W44" s="302"/>
      <c r="X44" s="284"/>
      <c r="Y44" s="302"/>
      <c r="Z44" s="284"/>
      <c r="AA44" s="302"/>
      <c r="AB44" s="284"/>
      <c r="AC44" s="302"/>
      <c r="AD44" s="284"/>
      <c r="AE44" s="302"/>
      <c r="AF44" s="284"/>
      <c r="AG44" s="302"/>
      <c r="AH44" s="284"/>
      <c r="AI44" s="302"/>
      <c r="AJ44" s="284"/>
      <c r="AK44" s="302"/>
      <c r="AL44" s="284"/>
      <c r="AM44" s="302"/>
      <c r="AN44" s="284"/>
      <c r="AO44" s="302"/>
      <c r="AP44" s="284"/>
      <c r="AQ44" s="302"/>
      <c r="AR44" s="284"/>
      <c r="AS44" s="302"/>
      <c r="AT44" s="50"/>
      <c r="AU44" s="62"/>
    </row>
    <row r="45" spans="2:47" ht="15.75" x14ac:dyDescent="0.25">
      <c r="B45" s="55"/>
      <c r="C45" s="4"/>
      <c r="D45" s="8" t="s">
        <v>195</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0.25</v>
      </c>
      <c r="F46" s="10">
        <f t="shared" ref="F46:G46" si="1">4*((F13/100)^2)</f>
        <v>0.25</v>
      </c>
      <c r="G46" s="12">
        <f t="shared" si="1"/>
        <v>0.25</v>
      </c>
      <c r="H46" s="10">
        <f t="shared" ref="H46:AS46" si="2">4*((H13/100)^2)</f>
        <v>0.25</v>
      </c>
      <c r="I46" s="99">
        <f t="shared" si="2"/>
        <v>0.25</v>
      </c>
      <c r="J46" s="10">
        <f t="shared" si="2"/>
        <v>0.25</v>
      </c>
      <c r="K46" s="99">
        <f t="shared" si="2"/>
        <v>0.25</v>
      </c>
      <c r="L46" s="10">
        <f t="shared" si="2"/>
        <v>0.25</v>
      </c>
      <c r="M46" s="99">
        <f t="shared" si="2"/>
        <v>0.25</v>
      </c>
      <c r="N46" s="10">
        <f t="shared" si="2"/>
        <v>0.25</v>
      </c>
      <c r="O46" s="99">
        <f t="shared" si="2"/>
        <v>0.25</v>
      </c>
      <c r="P46" s="10">
        <f t="shared" si="2"/>
        <v>0.25</v>
      </c>
      <c r="Q46" s="99">
        <f t="shared" si="2"/>
        <v>0.25</v>
      </c>
      <c r="R46" s="10">
        <f t="shared" si="2"/>
        <v>0.25</v>
      </c>
      <c r="S46" s="99">
        <f t="shared" si="2"/>
        <v>0.25</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0.75075000000000003</v>
      </c>
      <c r="G47" s="74">
        <f t="shared" si="3"/>
        <v>0.77122500000000005</v>
      </c>
      <c r="H47" s="96">
        <f t="shared" si="3"/>
        <v>0.86450000000000005</v>
      </c>
      <c r="I47" s="98">
        <f t="shared" si="3"/>
        <v>0.50505</v>
      </c>
      <c r="J47" s="96">
        <f t="shared" si="3"/>
        <v>1.4378</v>
      </c>
      <c r="K47" s="98">
        <f t="shared" si="3"/>
        <v>1.05105</v>
      </c>
      <c r="L47" s="96">
        <f t="shared" si="3"/>
        <v>1.512875</v>
      </c>
      <c r="M47" s="98">
        <f t="shared" si="3"/>
        <v>0.73482500000000006</v>
      </c>
      <c r="N47" s="96">
        <f t="shared" si="3"/>
        <v>1.1102000000000001</v>
      </c>
      <c r="O47" s="98">
        <f t="shared" si="3"/>
        <v>0.60515000000000008</v>
      </c>
      <c r="P47" s="96">
        <f t="shared" si="3"/>
        <v>0.97142500000000009</v>
      </c>
      <c r="Q47" s="98">
        <f t="shared" si="3"/>
        <v>0.46865000000000001</v>
      </c>
      <c r="R47" s="96">
        <f t="shared" si="3"/>
        <v>0.98052500000000009</v>
      </c>
      <c r="S47" s="98">
        <f t="shared" si="3"/>
        <v>0.43452499999999999</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5</v>
      </c>
      <c r="F48" s="13">
        <f t="shared" ref="F48:G48" si="5">MIN(F17,10)</f>
        <v>10</v>
      </c>
      <c r="G48" s="14">
        <f t="shared" si="5"/>
        <v>8</v>
      </c>
      <c r="H48" s="13">
        <f t="shared" ref="H48:AS48" si="6">MIN(H17,10)</f>
        <v>10</v>
      </c>
      <c r="I48" s="14">
        <f t="shared" si="6"/>
        <v>8</v>
      </c>
      <c r="J48" s="13">
        <f t="shared" si="6"/>
        <v>8</v>
      </c>
      <c r="K48" s="14">
        <f t="shared" si="6"/>
        <v>5</v>
      </c>
      <c r="L48" s="13">
        <f t="shared" si="6"/>
        <v>5</v>
      </c>
      <c r="M48" s="14">
        <f t="shared" si="6"/>
        <v>5</v>
      </c>
      <c r="N48" s="13">
        <f t="shared" si="6"/>
        <v>5</v>
      </c>
      <c r="O48" s="14">
        <f t="shared" si="6"/>
        <v>5</v>
      </c>
      <c r="P48" s="13">
        <f t="shared" si="6"/>
        <v>9</v>
      </c>
      <c r="Q48" s="14">
        <f t="shared" si="6"/>
        <v>9</v>
      </c>
      <c r="R48" s="13">
        <f t="shared" si="6"/>
        <v>9</v>
      </c>
      <c r="S48" s="14">
        <f t="shared" si="6"/>
        <v>9</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4.5</v>
      </c>
      <c r="F49" s="10">
        <f t="shared" ref="F49:G49" si="8">6-(0.3*F48)</f>
        <v>3</v>
      </c>
      <c r="G49" s="12">
        <f t="shared" si="8"/>
        <v>3.6</v>
      </c>
      <c r="H49" s="10">
        <f t="shared" ref="H49:AS49" si="9">6-(0.3*H48)</f>
        <v>3</v>
      </c>
      <c r="I49" s="99">
        <f t="shared" si="9"/>
        <v>3.6</v>
      </c>
      <c r="J49" s="10">
        <f t="shared" si="9"/>
        <v>3.6</v>
      </c>
      <c r="K49" s="99">
        <f t="shared" si="9"/>
        <v>4.5</v>
      </c>
      <c r="L49" s="10">
        <f t="shared" si="9"/>
        <v>4.5</v>
      </c>
      <c r="M49" s="99">
        <f t="shared" si="9"/>
        <v>4.5</v>
      </c>
      <c r="N49" s="10">
        <f t="shared" si="9"/>
        <v>4.5</v>
      </c>
      <c r="O49" s="99">
        <f t="shared" si="9"/>
        <v>4.5</v>
      </c>
      <c r="P49" s="10">
        <f t="shared" si="9"/>
        <v>3.3000000000000003</v>
      </c>
      <c r="Q49" s="99">
        <f t="shared" si="9"/>
        <v>3.3000000000000003</v>
      </c>
      <c r="R49" s="10">
        <f t="shared" si="9"/>
        <v>3.3000000000000003</v>
      </c>
      <c r="S49" s="99">
        <f t="shared" si="9"/>
        <v>3.3000000000000003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235</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3.76</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1.61</v>
      </c>
      <c r="K50" s="143">
        <f t="shared" si="10"/>
        <v>1.61</v>
      </c>
      <c r="L50" s="10">
        <f t="shared" si="10"/>
        <v>1</v>
      </c>
      <c r="M50" s="143">
        <f t="shared" si="10"/>
        <v>1</v>
      </c>
      <c r="N50" s="10">
        <f t="shared" si="10"/>
        <v>1.61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3.76</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t="e">
        <f t="shared" ref="E52:AS52" si="12">IF(OR(E11&gt;160,E17&gt;0),E21+E19+E68+E23,(E21+E19+E68+E23)*(2-0.005*E11*E16))</f>
        <v>#VALUE!</v>
      </c>
      <c r="F52" s="10">
        <f t="shared" si="12"/>
        <v>17</v>
      </c>
      <c r="G52" s="12">
        <f t="shared" si="12"/>
        <v>26</v>
      </c>
      <c r="H52" s="10">
        <f t="shared" si="12"/>
        <v>17</v>
      </c>
      <c r="I52" s="99">
        <f t="shared" si="12"/>
        <v>26</v>
      </c>
      <c r="J52" s="10">
        <f t="shared" si="12"/>
        <v>17</v>
      </c>
      <c r="K52" s="99">
        <f t="shared" si="12"/>
        <v>17</v>
      </c>
      <c r="L52" s="10">
        <f t="shared" si="12"/>
        <v>26</v>
      </c>
      <c r="M52" s="99">
        <f t="shared" si="12"/>
        <v>21</v>
      </c>
      <c r="N52" s="10">
        <f t="shared" si="12"/>
        <v>17</v>
      </c>
      <c r="O52" s="99">
        <f t="shared" si="12"/>
        <v>21</v>
      </c>
      <c r="P52" s="10">
        <f t="shared" si="12"/>
        <v>21</v>
      </c>
      <c r="Q52" s="99">
        <f t="shared" si="12"/>
        <v>21</v>
      </c>
      <c r="R52" s="10">
        <f t="shared" si="12"/>
        <v>21</v>
      </c>
      <c r="S52" s="99">
        <f t="shared" si="12"/>
        <v>21</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t="e">
        <f t="shared" ref="E53:AS53" si="13">IF(OR(E22&gt;0.25,E19+E68+E23&lt;=10),E19+E68+E23,10)</f>
        <v>#VALUE!</v>
      </c>
      <c r="F53" s="10">
        <f t="shared" si="13"/>
        <v>5</v>
      </c>
      <c r="G53" s="12">
        <f t="shared" si="13"/>
        <v>14</v>
      </c>
      <c r="H53" s="10">
        <f t="shared" si="13"/>
        <v>5</v>
      </c>
      <c r="I53" s="99">
        <f t="shared" si="13"/>
        <v>14</v>
      </c>
      <c r="J53" s="10">
        <f t="shared" si="13"/>
        <v>5</v>
      </c>
      <c r="K53" s="99">
        <f t="shared" si="13"/>
        <v>5</v>
      </c>
      <c r="L53" s="10">
        <f t="shared" si="13"/>
        <v>14</v>
      </c>
      <c r="M53" s="99">
        <f t="shared" si="13"/>
        <v>9</v>
      </c>
      <c r="N53" s="10">
        <f t="shared" si="13"/>
        <v>5</v>
      </c>
      <c r="O53" s="99">
        <f t="shared" si="13"/>
        <v>9</v>
      </c>
      <c r="P53" s="10">
        <f t="shared" si="13"/>
        <v>9</v>
      </c>
      <c r="Q53" s="99">
        <f t="shared" si="13"/>
        <v>9</v>
      </c>
      <c r="R53" s="10">
        <f t="shared" si="13"/>
        <v>9</v>
      </c>
      <c r="S53" s="99">
        <f t="shared" si="13"/>
        <v>9</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t="e">
        <f>IF(E31="No",-1.2276*LN(E52+(0.5*E53)+(50*E22)+(E18*E51)+(E48*E49)),-1.2276*LN(E52+(0.5*(E53-E19))+(50*E22)+(E18*E51)+(0.75*E48*E49)))</f>
        <v>#VALUE!</v>
      </c>
      <c r="F54" s="15">
        <f>IF(F31="No",-1.2276*LN(F52+(0.5*F53)+(50*F22)+(F18*F51)+(F48*F49)),-1.2276*LN(F52+(0.5*(F53-F19))+(50*F22)+(F18*F51)+(0.75*F48*F49)))</f>
        <v>-5.6471535239763977</v>
      </c>
      <c r="G54" s="38">
        <f t="shared" ref="G54:AS54" si="14">IF(G31="No",-1.2276*LN(G52+(0.5*G53)+(50*G22)+(G18*G51)+(G48*G49)),-1.2276*LN(G52+(0.5*(G53-G19))+(50*G22)+(G18*G51)+(0.75*G48*G49)))</f>
        <v>-5.7902351119410982</v>
      </c>
      <c r="H54" s="96">
        <f t="shared" si="14"/>
        <v>-5.6471535239763977</v>
      </c>
      <c r="I54" s="98">
        <f t="shared" si="14"/>
        <v>-5.7902351119410982</v>
      </c>
      <c r="J54" s="96">
        <f t="shared" si="14"/>
        <v>-5.7167041533361775</v>
      </c>
      <c r="K54" s="98">
        <f t="shared" si="14"/>
        <v>-5.6409691280252225</v>
      </c>
      <c r="L54" s="96">
        <f t="shared" si="14"/>
        <v>-5.7190335657998306</v>
      </c>
      <c r="M54" s="98">
        <f t="shared" si="14"/>
        <v>-5.6285060768159942</v>
      </c>
      <c r="N54" s="96">
        <f t="shared" si="14"/>
        <v>-5.5773486747146572</v>
      </c>
      <c r="O54" s="98">
        <f t="shared" si="14"/>
        <v>-5.5642191377949377</v>
      </c>
      <c r="P54" s="96">
        <f t="shared" si="14"/>
        <v>-5.6557596683876783</v>
      </c>
      <c r="Q54" s="98">
        <f t="shared" si="14"/>
        <v>-5.6557596683876783</v>
      </c>
      <c r="R54" s="96">
        <f t="shared" si="14"/>
        <v>-5.6557596683876783</v>
      </c>
      <c r="S54" s="98">
        <f t="shared" si="14"/>
        <v>-5.6557596683876783</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377</v>
      </c>
      <c r="D55" s="110" t="s">
        <v>378</v>
      </c>
      <c r="E55" s="125"/>
      <c r="F55" s="168">
        <f>F7</f>
        <v>240</v>
      </c>
      <c r="G55" s="169">
        <f>F7</f>
        <v>240</v>
      </c>
      <c r="H55" s="260">
        <f>H7</f>
        <v>260</v>
      </c>
      <c r="I55" s="260">
        <f>H7</f>
        <v>260</v>
      </c>
      <c r="J55" s="259">
        <f>J7</f>
        <v>200</v>
      </c>
      <c r="K55" s="260">
        <f>J7</f>
        <v>200</v>
      </c>
      <c r="L55" s="260">
        <f>L7</f>
        <v>400</v>
      </c>
      <c r="M55" s="260">
        <f>L7</f>
        <v>400</v>
      </c>
      <c r="N55" s="259">
        <f>N7</f>
        <v>1000</v>
      </c>
      <c r="O55" s="260">
        <f>N7</f>
        <v>1000</v>
      </c>
      <c r="P55" s="260">
        <f>P7</f>
        <v>475</v>
      </c>
      <c r="Q55" s="260">
        <f>P7</f>
        <v>475</v>
      </c>
      <c r="R55" s="259">
        <f>R7</f>
        <v>260</v>
      </c>
      <c r="S55" s="260">
        <f>R7</f>
        <v>260</v>
      </c>
      <c r="T55" s="260"/>
      <c r="U55" s="260"/>
      <c r="V55" s="168"/>
      <c r="W55" s="169"/>
      <c r="X55" s="168"/>
      <c r="Y55" s="169"/>
      <c r="Z55" s="168"/>
      <c r="AA55" s="169"/>
      <c r="AB55" s="168"/>
      <c r="AC55" s="169"/>
      <c r="AD55" s="168"/>
      <c r="AE55" s="169"/>
      <c r="AF55" s="168"/>
      <c r="AG55" s="169"/>
      <c r="AH55" s="168"/>
      <c r="AI55" s="169"/>
      <c r="AJ55" s="168"/>
      <c r="AK55" s="169"/>
      <c r="AL55" s="168"/>
      <c r="AM55" s="169"/>
      <c r="AN55" s="168"/>
      <c r="AO55" s="169"/>
      <c r="AP55" s="168"/>
      <c r="AQ55" s="169"/>
      <c r="AR55" s="168"/>
      <c r="AS55" s="169"/>
      <c r="AT55" s="51"/>
      <c r="AU55" s="56"/>
    </row>
    <row r="56" spans="2:47" ht="14.25" x14ac:dyDescent="0.25">
      <c r="B56" s="55"/>
      <c r="C56" s="109" t="s">
        <v>380</v>
      </c>
      <c r="D56" s="110"/>
      <c r="E56" s="125"/>
      <c r="F56" s="168">
        <f>0.084*(2*F55/F14) + Intersections!H66</f>
        <v>28.962681818181821</v>
      </c>
      <c r="G56" s="169">
        <f>0.084*(2*G55/G14) + Intersections!I66</f>
        <v>28.962681818181821</v>
      </c>
      <c r="H56" s="269">
        <f>0.084*(2*H55/H14) + Intersections!L66</f>
        <v>20.505510258971114</v>
      </c>
      <c r="I56" s="270">
        <f>0.084*(2*I55/I14) + Intersections!M66</f>
        <v>20.505510258971114</v>
      </c>
      <c r="J56" s="269">
        <f>0.084*(2*J55/J14) + Intersections!L66</f>
        <v>17.450964804425659</v>
      </c>
      <c r="K56" s="270">
        <f>0.084*(2*K55/K14) + Intersections!M66</f>
        <v>17.450964804425659</v>
      </c>
      <c r="L56" s="269">
        <f>0.084*(2*L55/L14) + Intersections!P66</f>
        <v>38.413636363636371</v>
      </c>
      <c r="M56" s="270">
        <f>0.084*(2*M55/M14) + Intersections!Q66</f>
        <v>25.363636363636367</v>
      </c>
      <c r="N56" s="269">
        <f>0.084*(2*N55/N14) + Intersections!P66</f>
        <v>68.959090909090918</v>
      </c>
      <c r="O56" s="270">
        <f>0.084*(2*O55/O14) + Intersections!Q66</f>
        <v>55.909090909090921</v>
      </c>
      <c r="P56" s="269">
        <f>0.084*(2*P55/P14) + Intersections!T66</f>
        <v>32.059343090734956</v>
      </c>
      <c r="Q56" s="270">
        <f>0.084*(2*Q55/Q14) + Intersections!U66</f>
        <v>32.059343090734956</v>
      </c>
      <c r="R56" s="269">
        <f>0.084*(2*R55/R14) + Intersections!T66</f>
        <v>21.11388854528041</v>
      </c>
      <c r="S56" s="270">
        <f>0.084*(2*S55/S14) + Intersections!U66</f>
        <v>21.11388854528041</v>
      </c>
      <c r="T56" s="168"/>
      <c r="U56" s="169"/>
      <c r="V56" s="168"/>
      <c r="W56" s="169"/>
      <c r="X56" s="168"/>
      <c r="Y56" s="169"/>
      <c r="Z56" s="168"/>
      <c r="AA56" s="169"/>
      <c r="AB56" s="168"/>
      <c r="AC56" s="169"/>
      <c r="AD56" s="168"/>
      <c r="AE56" s="169"/>
      <c r="AF56" s="168"/>
      <c r="AG56" s="169"/>
      <c r="AH56" s="168"/>
      <c r="AI56" s="169"/>
      <c r="AJ56" s="168"/>
      <c r="AK56" s="169"/>
      <c r="AL56" s="168"/>
      <c r="AM56" s="169"/>
      <c r="AN56" s="168"/>
      <c r="AO56" s="169"/>
      <c r="AP56" s="168"/>
      <c r="AQ56" s="169"/>
      <c r="AR56" s="168"/>
      <c r="AS56" s="169"/>
      <c r="AT56" s="51"/>
      <c r="AU56" s="56"/>
    </row>
    <row r="57" spans="2:47" ht="14.25" x14ac:dyDescent="0.25">
      <c r="B57" s="55"/>
      <c r="C57" s="10" t="s">
        <v>215</v>
      </c>
      <c r="D57" s="11" t="s">
        <v>40</v>
      </c>
      <c r="E57" s="125">
        <f t="shared" ref="E57:AS57" si="15">IF(E11&gt;0,6.0468+E46+E47+E54,0)</f>
        <v>0</v>
      </c>
      <c r="F57" s="15">
        <f t="shared" si="15"/>
        <v>1.4003964760236025</v>
      </c>
      <c r="G57" s="98">
        <f t="shared" si="15"/>
        <v>1.2777898880589023</v>
      </c>
      <c r="H57" s="96">
        <f t="shared" si="15"/>
        <v>1.514146476023603</v>
      </c>
      <c r="I57" s="98">
        <f t="shared" si="15"/>
        <v>1.0116148880589018</v>
      </c>
      <c r="J57" s="96">
        <f t="shared" si="15"/>
        <v>2.0178958466638228</v>
      </c>
      <c r="K57" s="98">
        <f t="shared" si="15"/>
        <v>1.7068808719747777</v>
      </c>
      <c r="L57" s="96">
        <f t="shared" si="15"/>
        <v>2.0906414342001698</v>
      </c>
      <c r="M57" s="98">
        <f t="shared" si="15"/>
        <v>1.4031189231840058</v>
      </c>
      <c r="N57" s="96">
        <f t="shared" si="15"/>
        <v>1.8296513252853428</v>
      </c>
      <c r="O57" s="98">
        <f t="shared" si="15"/>
        <v>1.3377308622050625</v>
      </c>
      <c r="P57" s="96">
        <f t="shared" si="15"/>
        <v>1.6124653316123219</v>
      </c>
      <c r="Q57" s="98">
        <f t="shared" si="15"/>
        <v>1.1096903316123221</v>
      </c>
      <c r="R57" s="96">
        <f t="shared" si="15"/>
        <v>1.621565331612322</v>
      </c>
      <c r="S57" s="98">
        <f t="shared" si="15"/>
        <v>1.0755653316123217</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A</v>
      </c>
      <c r="G58" s="12" t="str">
        <f t="shared" si="16"/>
        <v>A</v>
      </c>
      <c r="H58" s="10" t="str">
        <f t="shared" si="16"/>
        <v>A</v>
      </c>
      <c r="I58" s="99" t="str">
        <f t="shared" si="16"/>
        <v>A</v>
      </c>
      <c r="J58" s="10" t="str">
        <f t="shared" si="16"/>
        <v>B</v>
      </c>
      <c r="K58" s="99" t="str">
        <f t="shared" si="16"/>
        <v>A</v>
      </c>
      <c r="L58" s="10" t="str">
        <f t="shared" si="16"/>
        <v>B</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196</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f t="shared" ref="E60:AS60" si="17">7.066/E24^2</f>
        <v>0.57681632653061221</v>
      </c>
      <c r="F60" s="15">
        <f t="shared" si="17"/>
        <v>0.57681632653061221</v>
      </c>
      <c r="G60" s="43">
        <f t="shared" si="17"/>
        <v>0.57681632653061221</v>
      </c>
      <c r="H60" s="96">
        <f t="shared" si="17"/>
        <v>0.57681632653061221</v>
      </c>
      <c r="I60" s="97">
        <f t="shared" si="17"/>
        <v>0.57681632653061221</v>
      </c>
      <c r="J60" s="96">
        <f t="shared" si="17"/>
        <v>0.57681632653061221</v>
      </c>
      <c r="K60" s="97">
        <f t="shared" si="17"/>
        <v>0.57681632653061221</v>
      </c>
      <c r="L60" s="96">
        <f t="shared" si="17"/>
        <v>0.57681632653061221</v>
      </c>
      <c r="M60" s="97">
        <f t="shared" si="17"/>
        <v>0.57681632653061221</v>
      </c>
      <c r="N60" s="96">
        <f t="shared" si="17"/>
        <v>0.57681632653061221</v>
      </c>
      <c r="O60" s="97">
        <f t="shared" si="17"/>
        <v>0.57681632653061221</v>
      </c>
      <c r="P60" s="96">
        <f t="shared" si="17"/>
        <v>0.57681632653061221</v>
      </c>
      <c r="Q60" s="97">
        <f t="shared" si="17"/>
        <v>0.57681632653061221</v>
      </c>
      <c r="R60" s="96">
        <f t="shared" si="17"/>
        <v>0.57681632653061221</v>
      </c>
      <c r="S60" s="97">
        <f t="shared" si="17"/>
        <v>0.57681632653061221</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345</v>
      </c>
      <c r="D61" s="11" t="s">
        <v>346</v>
      </c>
      <c r="E61" s="125" t="e">
        <f>0.035*((5280*E10/E7)-20)</f>
        <v>#DIV/0!</v>
      </c>
      <c r="F61" s="168">
        <f>0.035*((5280*F10/F7)-20)</f>
        <v>-0.70000000000000007</v>
      </c>
      <c r="G61" s="171">
        <f>0.035*((5280*G10/F7)-20)</f>
        <v>-0.70000000000000007</v>
      </c>
      <c r="H61" s="168">
        <f>0.035*((5280*H10/H7)-20)</f>
        <v>-0.70000000000000007</v>
      </c>
      <c r="I61" s="171">
        <f>0.035*((5280*I10/H7)-20)</f>
        <v>-0.70000000000000007</v>
      </c>
      <c r="J61" s="168">
        <f>0.035*((5280*J10/J7)-20)</f>
        <v>-0.70000000000000007</v>
      </c>
      <c r="K61" s="171">
        <f>0.035*((5280*K10/J7)-20)</f>
        <v>-0.70000000000000007</v>
      </c>
      <c r="L61" s="168">
        <f>0.035*((5280*L10/L7)-20)</f>
        <v>-0.70000000000000007</v>
      </c>
      <c r="M61" s="171">
        <f>0.035*((5280*M10/L7)-20)</f>
        <v>-0.70000000000000007</v>
      </c>
      <c r="N61" s="168">
        <f>0.035*((5280*N10/N7)-20)</f>
        <v>-0.70000000000000007</v>
      </c>
      <c r="O61" s="171">
        <f>0.035*((5280*O10/N7)-20)</f>
        <v>-0.70000000000000007</v>
      </c>
      <c r="P61" s="168">
        <f>0.035*((5280*P10/P7)-20)</f>
        <v>-0.70000000000000007</v>
      </c>
      <c r="Q61" s="171">
        <f>0.035*((5280*Q10/P7)-20)</f>
        <v>-0.70000000000000007</v>
      </c>
      <c r="R61" s="168">
        <f>0.035*((5280*R10/R7)-20)</f>
        <v>-0.70000000000000007</v>
      </c>
      <c r="S61" s="171">
        <f>0.035*((5280*S10/R7)-20)</f>
        <v>-0.70000000000000007</v>
      </c>
      <c r="T61" s="168" t="e">
        <f>0.035*((5280*T10/T7)-20)</f>
        <v>#DIV/0!</v>
      </c>
      <c r="U61" s="171" t="e">
        <f>0.035*((5280*U10/T7)-20)</f>
        <v>#DIV/0!</v>
      </c>
      <c r="V61" s="168" t="e">
        <f>0.035*((5280*V10/V7)-20)</f>
        <v>#DIV/0!</v>
      </c>
      <c r="W61" s="171" t="e">
        <f>0.035*((5280*W10/V7)-20)</f>
        <v>#DIV/0!</v>
      </c>
      <c r="X61" s="168" t="e">
        <f>0.035*((5280*X10/X7)-20)</f>
        <v>#DIV/0!</v>
      </c>
      <c r="Y61" s="171" t="e">
        <f>0.035*((5280*Y10/X7)-20)</f>
        <v>#DIV/0!</v>
      </c>
      <c r="Z61" s="168" t="e">
        <f>0.035*((5280*Z10/Z7)-20)</f>
        <v>#DIV/0!</v>
      </c>
      <c r="AA61" s="171" t="e">
        <f>0.035*((5280*AA10/Z7)-20)</f>
        <v>#DIV/0!</v>
      </c>
      <c r="AB61" s="168" t="e">
        <f>0.035*((5280*AB10/AB7)-20)</f>
        <v>#DIV/0!</v>
      </c>
      <c r="AC61" s="171" t="e">
        <f>0.035*((5280*AC10/AB7)-20)</f>
        <v>#DIV/0!</v>
      </c>
      <c r="AD61" s="168" t="e">
        <f>0.035*((5280*AD10/AD7)-20)</f>
        <v>#DIV/0!</v>
      </c>
      <c r="AE61" s="171" t="e">
        <f>0.035*((5280*AE10/AD7)-20)</f>
        <v>#DIV/0!</v>
      </c>
      <c r="AF61" s="168" t="e">
        <f>0.035*((5280*AF10/AF7)-20)</f>
        <v>#DIV/0!</v>
      </c>
      <c r="AG61" s="171" t="e">
        <f>0.035*((5280*AG10/AF7)-20)</f>
        <v>#DIV/0!</v>
      </c>
      <c r="AH61" s="168" t="e">
        <f>0.035*((5280*AH10/AH7)-20)</f>
        <v>#DIV/0!</v>
      </c>
      <c r="AI61" s="171" t="e">
        <f>0.035*((5280*AI10/AH7)-20)</f>
        <v>#DIV/0!</v>
      </c>
      <c r="AJ61" s="168" t="e">
        <f>0.035*((5280*AJ10/AJ7)-20)</f>
        <v>#DIV/0!</v>
      </c>
      <c r="AK61" s="171" t="e">
        <f>0.035*((5280*AK10/AJ7)-20)</f>
        <v>#DIV/0!</v>
      </c>
      <c r="AL61" s="168" t="e">
        <f>0.035*((5280*AL10/AL7)-20)</f>
        <v>#DIV/0!</v>
      </c>
      <c r="AM61" s="171" t="e">
        <f>0.035*((5280*AM10/AL7)-20)</f>
        <v>#DIV/0!</v>
      </c>
      <c r="AN61" s="168" t="e">
        <f>0.035*((5280*AN10/AN7)-20)</f>
        <v>#DIV/0!</v>
      </c>
      <c r="AO61" s="171" t="e">
        <f>0.035*((5280*AO10/AN7)-20)</f>
        <v>#DIV/0!</v>
      </c>
      <c r="AP61" s="168" t="e">
        <f>0.035*((5280*AP10/AP7)-20)</f>
        <v>#DIV/0!</v>
      </c>
      <c r="AQ61" s="171" t="e">
        <f>0.035*((5280*AQ10/AP7)-20)</f>
        <v>#DIV/0!</v>
      </c>
      <c r="AR61" s="168" t="e">
        <f>0.035*((5280*AR10/AR7)-20)</f>
        <v>#DIV/0!</v>
      </c>
      <c r="AS61" s="171" t="e">
        <f>0.035*((5280*AS10/AR7)-20)</f>
        <v>#DIV/0!</v>
      </c>
      <c r="AT61" s="51"/>
      <c r="AU61" s="56"/>
    </row>
    <row r="62" spans="2:47" ht="14.25" x14ac:dyDescent="0.25">
      <c r="B62" s="55"/>
      <c r="C62" s="10" t="s">
        <v>347</v>
      </c>
      <c r="D62" s="11" t="s">
        <v>348</v>
      </c>
      <c r="E62" s="125">
        <f>(3600*E7)/(5280*E15)</f>
        <v>0</v>
      </c>
      <c r="F62" s="168">
        <f>(3600*F7)/(5280*F15)</f>
        <v>16.363636363636363</v>
      </c>
      <c r="G62" s="171">
        <f>(3600*F7)/(5280*G15)</f>
        <v>16.363636363636363</v>
      </c>
      <c r="H62" s="168">
        <f>(3600*H7)/(5280*H15)</f>
        <v>17.727272727272727</v>
      </c>
      <c r="I62" s="171">
        <f>(3600*H7)/(5280*I15)</f>
        <v>17.727272727272727</v>
      </c>
      <c r="J62" s="168">
        <f>(3600*J7)/(5280*J15)</f>
        <v>13.636363636363637</v>
      </c>
      <c r="K62" s="171">
        <f>(3600*J7)/(5280*K15)</f>
        <v>13.636363636363637</v>
      </c>
      <c r="L62" s="168">
        <f>(3600*L7)/(5280*L15)</f>
        <v>27.272727272727273</v>
      </c>
      <c r="M62" s="171">
        <f>(3600*L7)/(5280*M15)</f>
        <v>27.272727272727273</v>
      </c>
      <c r="N62" s="168">
        <f>(3600*N7)/(5280*N15)</f>
        <v>68.181818181818187</v>
      </c>
      <c r="O62" s="171">
        <f>(3600*N7)/(5280*O15)</f>
        <v>68.181818181818187</v>
      </c>
      <c r="P62" s="168">
        <f>(3600*P7)/(5280*P15)</f>
        <v>32.386363636363633</v>
      </c>
      <c r="Q62" s="171">
        <f>(3600*P7)/(5280*Q15)</f>
        <v>32.386363636363633</v>
      </c>
      <c r="R62" s="168">
        <f>(3600*R7)/(5280*R15)</f>
        <v>17.727272727272727</v>
      </c>
      <c r="S62" s="171">
        <f>(3600*R7)/(5280*S15)</f>
        <v>17.727272727272727</v>
      </c>
      <c r="T62" s="168" t="e">
        <f>(3600*T7)/(5280*T15)</f>
        <v>#DIV/0!</v>
      </c>
      <c r="U62" s="171" t="e">
        <f>(3600*T7)/(5280*U15)</f>
        <v>#DIV/0!</v>
      </c>
      <c r="V62" s="168" t="e">
        <f>(3600*V7)/(5280*V15)</f>
        <v>#DIV/0!</v>
      </c>
      <c r="W62" s="171" t="e">
        <f>(3600*V7)/(5280*W15)</f>
        <v>#DIV/0!</v>
      </c>
      <c r="X62" s="168" t="e">
        <f>(3600*X7)/(5280*X15)</f>
        <v>#DIV/0!</v>
      </c>
      <c r="Y62" s="171" t="e">
        <f>(3600*X7)/(5280*Y15)</f>
        <v>#DIV/0!</v>
      </c>
      <c r="Z62" s="168" t="e">
        <f>(3600*Z7)/(5280*Z15)</f>
        <v>#DIV/0!</v>
      </c>
      <c r="AA62" s="171" t="e">
        <f>(3600*Z7)/(5280*AA15)</f>
        <v>#DIV/0!</v>
      </c>
      <c r="AB62" s="168" t="e">
        <f>(3600*AB7)/(5280*AB15)</f>
        <v>#DIV/0!</v>
      </c>
      <c r="AC62" s="171" t="e">
        <f>(3600*AB7)/(5280*AC15)</f>
        <v>#DIV/0!</v>
      </c>
      <c r="AD62" s="168" t="e">
        <f>(3600*AD7)/(5280*AD15)</f>
        <v>#DIV/0!</v>
      </c>
      <c r="AE62" s="171" t="e">
        <f>(3600*AD7)/(5280*AE15)</f>
        <v>#DIV/0!</v>
      </c>
      <c r="AF62" s="168" t="e">
        <f>(3600*AF7)/(5280*AF15)</f>
        <v>#DIV/0!</v>
      </c>
      <c r="AG62" s="171" t="e">
        <f>(3600*AF7)/(5280*AG15)</f>
        <v>#DIV/0!</v>
      </c>
      <c r="AH62" s="168" t="e">
        <f>(3600*AH7)/(5280*AH15)</f>
        <v>#DIV/0!</v>
      </c>
      <c r="AI62" s="171" t="e">
        <f>(3600*AH7)/(5280*AI15)</f>
        <v>#DIV/0!</v>
      </c>
      <c r="AJ62" s="168" t="e">
        <f>(3600*AJ7)/(5280*AJ15)</f>
        <v>#DIV/0!</v>
      </c>
      <c r="AK62" s="171" t="e">
        <f>(3600*AJ7)/(5280*AK15)</f>
        <v>#DIV/0!</v>
      </c>
      <c r="AL62" s="168" t="e">
        <f>(3600*AL7)/(5280*AL15)</f>
        <v>#DIV/0!</v>
      </c>
      <c r="AM62" s="171" t="e">
        <f>(3600*AL7)/(5280*AM15)</f>
        <v>#DIV/0!</v>
      </c>
      <c r="AN62" s="168" t="e">
        <f>(3600*AN7)/(5280*AN15)</f>
        <v>#DIV/0!</v>
      </c>
      <c r="AO62" s="171" t="e">
        <f>(3600*AN7)/(5280*AO15)</f>
        <v>#DIV/0!</v>
      </c>
      <c r="AP62" s="168" t="e">
        <f>(3600*AP7)/(5280*AP15)</f>
        <v>#DIV/0!</v>
      </c>
      <c r="AQ62" s="171" t="e">
        <f>(3600*AP7)/(5280*AQ15)</f>
        <v>#DIV/0!</v>
      </c>
      <c r="AR62" s="168" t="e">
        <f>(3600*AR7)/(5280*AR15)</f>
        <v>#DIV/0!</v>
      </c>
      <c r="AS62" s="171" t="e">
        <f>(3600*AR7)/(5280*AS15)</f>
        <v>#DIV/0!</v>
      </c>
      <c r="AT62" s="51"/>
      <c r="AU62" s="56"/>
    </row>
    <row r="63" spans="2:47" ht="14.25" x14ac:dyDescent="0.25">
      <c r="B63" s="55"/>
      <c r="C63" s="10" t="s">
        <v>113</v>
      </c>
      <c r="D63" s="11" t="s">
        <v>114</v>
      </c>
      <c r="E63" s="127">
        <f t="shared" ref="E63:AS63" si="18">IF(E11&gt;4*E16,E11,4*E16)</f>
        <v>0</v>
      </c>
      <c r="F63" s="42">
        <f t="shared" si="18"/>
        <v>330</v>
      </c>
      <c r="G63" s="45">
        <f t="shared" si="18"/>
        <v>339</v>
      </c>
      <c r="H63" s="100">
        <f t="shared" si="18"/>
        <v>380</v>
      </c>
      <c r="I63" s="101">
        <f t="shared" si="18"/>
        <v>222</v>
      </c>
      <c r="J63" s="100">
        <f t="shared" si="18"/>
        <v>632</v>
      </c>
      <c r="K63" s="101">
        <f t="shared" si="18"/>
        <v>462</v>
      </c>
      <c r="L63" s="100">
        <f t="shared" si="18"/>
        <v>665</v>
      </c>
      <c r="M63" s="101">
        <f t="shared" si="18"/>
        <v>323</v>
      </c>
      <c r="N63" s="100">
        <f t="shared" si="18"/>
        <v>488</v>
      </c>
      <c r="O63" s="101">
        <f t="shared" si="18"/>
        <v>266</v>
      </c>
      <c r="P63" s="100">
        <f t="shared" si="18"/>
        <v>427</v>
      </c>
      <c r="Q63" s="101">
        <f t="shared" si="18"/>
        <v>206</v>
      </c>
      <c r="R63" s="100">
        <f t="shared" si="18"/>
        <v>431</v>
      </c>
      <c r="S63" s="101">
        <f t="shared" si="18"/>
        <v>191</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2.2372887347237018</v>
      </c>
      <c r="G64" s="43">
        <f t="shared" si="19"/>
        <v>2.2509308133541039</v>
      </c>
      <c r="H64" s="96">
        <f t="shared" si="19"/>
        <v>2.3088155840414744</v>
      </c>
      <c r="I64" s="97">
        <f t="shared" si="19"/>
        <v>2.0363061915214611</v>
      </c>
      <c r="J64" s="96">
        <f t="shared" si="19"/>
        <v>2.5667356817446723</v>
      </c>
      <c r="K64" s="97">
        <f t="shared" si="19"/>
        <v>2.4078801586906571</v>
      </c>
      <c r="L64" s="96">
        <f t="shared" si="19"/>
        <v>2.5925407885247336</v>
      </c>
      <c r="M64" s="97">
        <f t="shared" si="19"/>
        <v>2.2264184867861023</v>
      </c>
      <c r="N64" s="96">
        <f t="shared" si="19"/>
        <v>2.4356386696797614</v>
      </c>
      <c r="O64" s="97">
        <f t="shared" si="19"/>
        <v>2.127981387464537</v>
      </c>
      <c r="P64" s="96">
        <f t="shared" si="19"/>
        <v>2.367938253619128</v>
      </c>
      <c r="Q64" s="97">
        <f t="shared" si="19"/>
        <v>1.9983819764885331</v>
      </c>
      <c r="R64" s="96">
        <f t="shared" si="19"/>
        <v>2.3726655605948159</v>
      </c>
      <c r="S64" s="97">
        <f t="shared" si="19"/>
        <v>1.9600513869318568</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0.02</v>
      </c>
      <c r="F65" s="15">
        <f t="shared" si="20"/>
        <v>0.02</v>
      </c>
      <c r="G65" s="43">
        <f t="shared" si="20"/>
        <v>0.02</v>
      </c>
      <c r="H65" s="96">
        <f t="shared" si="20"/>
        <v>0.02</v>
      </c>
      <c r="I65" s="97">
        <f t="shared" si="20"/>
        <v>0.04</v>
      </c>
      <c r="J65" s="96">
        <f t="shared" si="20"/>
        <v>0.02</v>
      </c>
      <c r="K65" s="97">
        <f t="shared" si="20"/>
        <v>0.02</v>
      </c>
      <c r="L65" s="96">
        <f t="shared" si="20"/>
        <v>0.02</v>
      </c>
      <c r="M65" s="97">
        <f t="shared" si="20"/>
        <v>0.1</v>
      </c>
      <c r="N65" s="96">
        <f t="shared" si="20"/>
        <v>0.08</v>
      </c>
      <c r="O65" s="97">
        <f t="shared" si="20"/>
        <v>0.15</v>
      </c>
      <c r="P65" s="96">
        <f t="shared" si="20"/>
        <v>0.1</v>
      </c>
      <c r="Q65" s="97">
        <f t="shared" si="20"/>
        <v>0.12</v>
      </c>
      <c r="R65" s="96">
        <f t="shared" si="20"/>
        <v>0.1</v>
      </c>
      <c r="S65" s="97">
        <f t="shared" si="20"/>
        <v>0.12</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25</v>
      </c>
      <c r="F66" s="42">
        <f t="shared" si="21"/>
        <v>25</v>
      </c>
      <c r="G66" s="45">
        <f t="shared" si="21"/>
        <v>25</v>
      </c>
      <c r="H66" s="100">
        <f t="shared" si="21"/>
        <v>25</v>
      </c>
      <c r="I66" s="101">
        <f t="shared" si="21"/>
        <v>25</v>
      </c>
      <c r="J66" s="100">
        <f t="shared" si="21"/>
        <v>25</v>
      </c>
      <c r="K66" s="101">
        <f t="shared" si="21"/>
        <v>25</v>
      </c>
      <c r="L66" s="100">
        <f t="shared" si="21"/>
        <v>25</v>
      </c>
      <c r="M66" s="101">
        <f t="shared" si="21"/>
        <v>25</v>
      </c>
      <c r="N66" s="100">
        <f t="shared" si="21"/>
        <v>25</v>
      </c>
      <c r="O66" s="101">
        <f t="shared" si="21"/>
        <v>25</v>
      </c>
      <c r="P66" s="100">
        <f t="shared" si="21"/>
        <v>25</v>
      </c>
      <c r="Q66" s="101">
        <f t="shared" si="21"/>
        <v>25</v>
      </c>
      <c r="R66" s="100">
        <f t="shared" si="21"/>
        <v>25</v>
      </c>
      <c r="S66" s="101">
        <f t="shared" si="21"/>
        <v>25</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0.52209018090115733</v>
      </c>
      <c r="F67" s="15">
        <f t="shared" ref="F67:G67" si="23">0.199*(1.1199*LN(F66-20)+0.8103)*(1+0.1038*F65)^2</f>
        <v>0.52209018090115733</v>
      </c>
      <c r="G67" s="43">
        <f t="shared" si="23"/>
        <v>0.52209018090115733</v>
      </c>
      <c r="H67" s="96">
        <f t="shared" ref="H67:AS67" si="24">0.199*(1.1199*LN(H66-20)+0.8103)*(1+0.1038*H65)^2</f>
        <v>0.52209018090115733</v>
      </c>
      <c r="I67" s="97">
        <f t="shared" si="24"/>
        <v>0.52425564925018464</v>
      </c>
      <c r="J67" s="96">
        <f t="shared" si="24"/>
        <v>0.52209018090115733</v>
      </c>
      <c r="K67" s="97">
        <f t="shared" si="24"/>
        <v>0.52209018090115733</v>
      </c>
      <c r="L67" s="96">
        <f t="shared" si="24"/>
        <v>0.52209018090115733</v>
      </c>
      <c r="M67" s="97">
        <f t="shared" si="24"/>
        <v>0.53077894363761646</v>
      </c>
      <c r="N67" s="96">
        <f t="shared" si="24"/>
        <v>0.52860003061841432</v>
      </c>
      <c r="O67" s="97">
        <f t="shared" si="24"/>
        <v>0.53624583299629358</v>
      </c>
      <c r="P67" s="96">
        <f t="shared" si="24"/>
        <v>0.53077894363761646</v>
      </c>
      <c r="Q67" s="97">
        <f t="shared" si="24"/>
        <v>0.53296233821354355</v>
      </c>
      <c r="R67" s="96">
        <f t="shared" si="24"/>
        <v>0.53077894363761646</v>
      </c>
      <c r="S67" s="97">
        <f t="shared" si="24"/>
        <v>0.53296233821354355</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17</v>
      </c>
      <c r="G69" s="16">
        <f t="shared" si="26"/>
        <v>17</v>
      </c>
      <c r="H69" s="10">
        <f t="shared" si="26"/>
        <v>17</v>
      </c>
      <c r="I69" s="95">
        <f t="shared" si="26"/>
        <v>17</v>
      </c>
      <c r="J69" s="10">
        <f t="shared" si="26"/>
        <v>17</v>
      </c>
      <c r="K69" s="95">
        <f t="shared" si="26"/>
        <v>17</v>
      </c>
      <c r="L69" s="10">
        <f t="shared" si="26"/>
        <v>17</v>
      </c>
      <c r="M69" s="95">
        <f t="shared" si="26"/>
        <v>12</v>
      </c>
      <c r="N69" s="10">
        <f t="shared" si="26"/>
        <v>17</v>
      </c>
      <c r="O69" s="95">
        <f t="shared" si="26"/>
        <v>12</v>
      </c>
      <c r="P69" s="10">
        <f t="shared" si="26"/>
        <v>12</v>
      </c>
      <c r="Q69" s="95">
        <f t="shared" si="26"/>
        <v>12</v>
      </c>
      <c r="R69" s="10">
        <f t="shared" si="26"/>
        <v>12</v>
      </c>
      <c r="S69" s="95">
        <f t="shared" si="26"/>
        <v>12</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17</v>
      </c>
      <c r="G70" s="16">
        <f t="shared" si="27"/>
        <v>17</v>
      </c>
      <c r="H70" s="10">
        <f t="shared" si="27"/>
        <v>17</v>
      </c>
      <c r="I70" s="95">
        <f t="shared" si="27"/>
        <v>17</v>
      </c>
      <c r="J70" s="10">
        <f t="shared" si="27"/>
        <v>17</v>
      </c>
      <c r="K70" s="95">
        <f t="shared" si="27"/>
        <v>17</v>
      </c>
      <c r="L70" s="10">
        <f t="shared" si="27"/>
        <v>17</v>
      </c>
      <c r="M70" s="95">
        <f t="shared" si="27"/>
        <v>12</v>
      </c>
      <c r="N70" s="10">
        <f t="shared" si="27"/>
        <v>17</v>
      </c>
      <c r="O70" s="95">
        <f t="shared" si="27"/>
        <v>12</v>
      </c>
      <c r="P70" s="10">
        <f t="shared" si="27"/>
        <v>12</v>
      </c>
      <c r="Q70" s="95">
        <f t="shared" si="27"/>
        <v>12</v>
      </c>
      <c r="R70" s="10">
        <f t="shared" si="27"/>
        <v>12</v>
      </c>
      <c r="S70" s="95">
        <f t="shared" si="27"/>
        <v>12</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t="e">
        <f t="shared" ref="E71:AS71" si="28">E19+E68+E23</f>
        <v>#VALUE!</v>
      </c>
      <c r="F71" s="13">
        <f t="shared" si="28"/>
        <v>5</v>
      </c>
      <c r="G71" s="44">
        <f t="shared" si="28"/>
        <v>14</v>
      </c>
      <c r="H71" s="13">
        <f t="shared" si="28"/>
        <v>5</v>
      </c>
      <c r="I71" s="44">
        <f t="shared" si="28"/>
        <v>14</v>
      </c>
      <c r="J71" s="13">
        <f t="shared" si="28"/>
        <v>5</v>
      </c>
      <c r="K71" s="44">
        <f t="shared" si="28"/>
        <v>5</v>
      </c>
      <c r="L71" s="13">
        <f t="shared" si="28"/>
        <v>14</v>
      </c>
      <c r="M71" s="44">
        <f t="shared" si="28"/>
        <v>9</v>
      </c>
      <c r="N71" s="13">
        <f t="shared" si="28"/>
        <v>5</v>
      </c>
      <c r="O71" s="44">
        <f t="shared" si="28"/>
        <v>9</v>
      </c>
      <c r="P71" s="13">
        <f t="shared" si="28"/>
        <v>9</v>
      </c>
      <c r="Q71" s="44">
        <f t="shared" si="28"/>
        <v>9</v>
      </c>
      <c r="R71" s="13">
        <f t="shared" si="28"/>
        <v>9</v>
      </c>
      <c r="S71" s="44">
        <f t="shared" si="28"/>
        <v>9</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218</v>
      </c>
      <c r="E72" s="124" t="e">
        <f t="shared" ref="E72:AS72" si="29">IF(E71&lt;4,E70-10*E22,IF((E70+E71-20*E22)&gt;0,E70+E71-20*E22,0))</f>
        <v>#VALUE!</v>
      </c>
      <c r="F72" s="10">
        <f t="shared" si="29"/>
        <v>4</v>
      </c>
      <c r="G72" s="16">
        <f t="shared" si="29"/>
        <v>13</v>
      </c>
      <c r="H72" s="10">
        <f t="shared" si="29"/>
        <v>4</v>
      </c>
      <c r="I72" s="95">
        <f t="shared" si="29"/>
        <v>13</v>
      </c>
      <c r="J72" s="10">
        <f t="shared" si="29"/>
        <v>4</v>
      </c>
      <c r="K72" s="95">
        <f t="shared" si="29"/>
        <v>4</v>
      </c>
      <c r="L72" s="10">
        <f t="shared" si="29"/>
        <v>13</v>
      </c>
      <c r="M72" s="95">
        <f t="shared" si="29"/>
        <v>3</v>
      </c>
      <c r="N72" s="10">
        <f t="shared" si="29"/>
        <v>4</v>
      </c>
      <c r="O72" s="95">
        <f t="shared" si="29"/>
        <v>3</v>
      </c>
      <c r="P72" s="10">
        <f t="shared" si="29"/>
        <v>3</v>
      </c>
      <c r="Q72" s="95">
        <f t="shared" si="29"/>
        <v>3</v>
      </c>
      <c r="R72" s="10">
        <f t="shared" si="29"/>
        <v>3</v>
      </c>
      <c r="S72" s="95">
        <f t="shared" si="29"/>
        <v>3</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219</v>
      </c>
      <c r="E73" s="124" t="e">
        <f t="shared" ref="E73:AS73" si="30">IF(E30="No",-0.005*E72^2,1.3*-0.005*E72^2)</f>
        <v>#VALUE!</v>
      </c>
      <c r="F73" s="10">
        <f t="shared" si="30"/>
        <v>-0.08</v>
      </c>
      <c r="G73" s="16">
        <f t="shared" si="30"/>
        <v>-0.84499999999999997</v>
      </c>
      <c r="H73" s="10">
        <f t="shared" si="30"/>
        <v>-0.08</v>
      </c>
      <c r="I73" s="106">
        <f t="shared" si="30"/>
        <v>-0.84499999999999997</v>
      </c>
      <c r="J73" s="10">
        <f t="shared" si="30"/>
        <v>-0.08</v>
      </c>
      <c r="K73" s="106">
        <f t="shared" si="30"/>
        <v>-0.08</v>
      </c>
      <c r="L73" s="10">
        <f t="shared" si="30"/>
        <v>-0.84499999999999997</v>
      </c>
      <c r="M73" s="106">
        <f t="shared" si="30"/>
        <v>-4.4999999999999998E-2</v>
      </c>
      <c r="N73" s="10">
        <f t="shared" si="30"/>
        <v>-0.08</v>
      </c>
      <c r="O73" s="106">
        <f t="shared" si="30"/>
        <v>-4.4999999999999998E-2</v>
      </c>
      <c r="P73" s="10">
        <f t="shared" si="30"/>
        <v>-4.4999999999999998E-2</v>
      </c>
      <c r="Q73" s="106">
        <f t="shared" si="30"/>
        <v>-4.4999999999999998E-2</v>
      </c>
      <c r="R73" s="10">
        <f t="shared" si="30"/>
        <v>-4.4999999999999998E-2</v>
      </c>
      <c r="S73" s="106">
        <f t="shared" si="30"/>
        <v>-4.4999999999999998E-2</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216</v>
      </c>
      <c r="D74" s="11" t="s">
        <v>92</v>
      </c>
      <c r="E74" s="125">
        <f t="shared" ref="E74:AS74" si="31">IF(E11&gt;0,0.76+E73+E64+E67+E60,0)</f>
        <v>0</v>
      </c>
      <c r="F74" s="15">
        <f t="shared" si="31"/>
        <v>4.0161952421554714</v>
      </c>
      <c r="G74" s="98">
        <f t="shared" si="31"/>
        <v>3.2648373207858734</v>
      </c>
      <c r="H74" s="96">
        <f t="shared" si="31"/>
        <v>4.0877220914732444</v>
      </c>
      <c r="I74" s="98">
        <f t="shared" si="31"/>
        <v>3.0523781673022583</v>
      </c>
      <c r="J74" s="96">
        <f t="shared" si="31"/>
        <v>4.3456421891764423</v>
      </c>
      <c r="K74" s="98">
        <f t="shared" si="31"/>
        <v>4.1867866661224271</v>
      </c>
      <c r="L74" s="96">
        <f t="shared" si="31"/>
        <v>3.606447295956503</v>
      </c>
      <c r="M74" s="98">
        <f t="shared" si="31"/>
        <v>4.0490137569543307</v>
      </c>
      <c r="N74" s="96">
        <f t="shared" si="31"/>
        <v>4.2210550268287879</v>
      </c>
      <c r="O74" s="98">
        <f t="shared" si="31"/>
        <v>3.9560435469914426</v>
      </c>
      <c r="P74" s="96">
        <f t="shared" si="31"/>
        <v>4.1905335237873569</v>
      </c>
      <c r="Q74" s="98">
        <f t="shared" si="31"/>
        <v>3.8231606412326888</v>
      </c>
      <c r="R74" s="96">
        <f t="shared" si="31"/>
        <v>4.1952608307630443</v>
      </c>
      <c r="S74" s="98">
        <f t="shared" si="31"/>
        <v>3.7848300516760123</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D</v>
      </c>
      <c r="G75" s="12" t="str">
        <f t="shared" si="33"/>
        <v>C</v>
      </c>
      <c r="H75" s="10" t="str">
        <f t="shared" ref="H75:AS75" si="34">IF(H74&lt;=2,"A",IF(H74&lt;=2.75,"B",IF(H74&lt;=3.5,"C",IF(H74&lt;=4.25,"D",IF(H74&lt;=5,"E","F")))))</f>
        <v>D</v>
      </c>
      <c r="I75" s="99" t="str">
        <f t="shared" si="34"/>
        <v>C</v>
      </c>
      <c r="J75" s="10" t="str">
        <f t="shared" si="34"/>
        <v>E</v>
      </c>
      <c r="K75" s="99" t="str">
        <f t="shared" si="34"/>
        <v>D</v>
      </c>
      <c r="L75" s="10" t="str">
        <f t="shared" si="34"/>
        <v>D</v>
      </c>
      <c r="M75" s="99" t="str">
        <f t="shared" si="34"/>
        <v>D</v>
      </c>
      <c r="N75" s="10" t="str">
        <f t="shared" si="34"/>
        <v>D</v>
      </c>
      <c r="O75" s="99" t="str">
        <f t="shared" si="34"/>
        <v>D</v>
      </c>
      <c r="P75" s="10" t="str">
        <f t="shared" si="34"/>
        <v>D</v>
      </c>
      <c r="Q75" s="99" t="str">
        <f t="shared" si="34"/>
        <v>D</v>
      </c>
      <c r="R75" s="10" t="str">
        <f t="shared" si="34"/>
        <v>D</v>
      </c>
      <c r="S75" s="99" t="str">
        <f t="shared" si="34"/>
        <v>D</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197</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5</v>
      </c>
      <c r="G77" s="12">
        <f t="shared" si="35"/>
        <v>5</v>
      </c>
      <c r="H77" s="10">
        <f t="shared" si="35"/>
        <v>5</v>
      </c>
      <c r="I77" s="99">
        <f t="shared" si="35"/>
        <v>5</v>
      </c>
      <c r="J77" s="10">
        <f t="shared" si="35"/>
        <v>5</v>
      </c>
      <c r="K77" s="99">
        <f t="shared" si="35"/>
        <v>5</v>
      </c>
      <c r="L77" s="10">
        <f t="shared" si="35"/>
        <v>5</v>
      </c>
      <c r="M77" s="99">
        <f t="shared" si="35"/>
        <v>5</v>
      </c>
      <c r="N77" s="10">
        <f t="shared" si="35"/>
        <v>5</v>
      </c>
      <c r="O77" s="99">
        <f t="shared" si="35"/>
        <v>5</v>
      </c>
      <c r="P77" s="10">
        <f t="shared" si="35"/>
        <v>5</v>
      </c>
      <c r="Q77" s="99">
        <f t="shared" si="35"/>
        <v>5</v>
      </c>
      <c r="R77" s="10">
        <f t="shared" si="35"/>
        <v>5</v>
      </c>
      <c r="S77" s="99">
        <f t="shared" si="35"/>
        <v>5</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3.0028195871285197</v>
      </c>
      <c r="G78" s="38">
        <f t="shared" si="37"/>
        <v>3.0028195871285197</v>
      </c>
      <c r="H78" s="96">
        <f t="shared" ref="H78:AS78" si="38">4*EXP(-1.434/(H77+0.001))</f>
        <v>3.0028195871285197</v>
      </c>
      <c r="I78" s="98">
        <f t="shared" si="38"/>
        <v>3.0028195871285197</v>
      </c>
      <c r="J78" s="96">
        <f t="shared" si="38"/>
        <v>3.0028195871285197</v>
      </c>
      <c r="K78" s="98">
        <f t="shared" si="38"/>
        <v>3.0028195871285197</v>
      </c>
      <c r="L78" s="96">
        <f t="shared" si="38"/>
        <v>3.0028195871285197</v>
      </c>
      <c r="M78" s="98">
        <f t="shared" si="38"/>
        <v>3.0028195871285197</v>
      </c>
      <c r="N78" s="96">
        <f t="shared" si="38"/>
        <v>3.0028195871285197</v>
      </c>
      <c r="O78" s="98">
        <f t="shared" si="38"/>
        <v>3.0028195871285197</v>
      </c>
      <c r="P78" s="96">
        <f t="shared" si="38"/>
        <v>3.0028195871285197</v>
      </c>
      <c r="Q78" s="98">
        <f t="shared" si="38"/>
        <v>3.0028195871285197</v>
      </c>
      <c r="R78" s="96">
        <f t="shared" si="38"/>
        <v>3.0028195871285197</v>
      </c>
      <c r="S78" s="98">
        <f t="shared" si="38"/>
        <v>3.0028195871285197</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1.0476190476190474</v>
      </c>
      <c r="F79" s="15">
        <f t="shared" si="39"/>
        <v>1.0476190476190474</v>
      </c>
      <c r="G79" s="38">
        <f t="shared" si="39"/>
        <v>1.0476190476190474</v>
      </c>
      <c r="H79" s="96">
        <f t="shared" si="39"/>
        <v>1.0476190476190474</v>
      </c>
      <c r="I79" s="98">
        <f t="shared" si="39"/>
        <v>1.0476190476190474</v>
      </c>
      <c r="J79" s="96">
        <f t="shared" si="39"/>
        <v>1.0476190476190474</v>
      </c>
      <c r="K79" s="98">
        <f t="shared" si="39"/>
        <v>1.0476190476190474</v>
      </c>
      <c r="L79" s="96">
        <f t="shared" si="39"/>
        <v>1.0476190476190474</v>
      </c>
      <c r="M79" s="98">
        <f t="shared" si="39"/>
        <v>1.0476190476190474</v>
      </c>
      <c r="N79" s="96">
        <f t="shared" si="39"/>
        <v>1.0476190476190474</v>
      </c>
      <c r="O79" s="98">
        <f t="shared" si="39"/>
        <v>1.0476190476190474</v>
      </c>
      <c r="P79" s="96">
        <f t="shared" si="39"/>
        <v>1.0476190476190474</v>
      </c>
      <c r="Q79" s="98">
        <f t="shared" si="39"/>
        <v>1.0476190476190474</v>
      </c>
      <c r="R79" s="96">
        <f t="shared" si="39"/>
        <v>1.0476190476190474</v>
      </c>
      <c r="S79" s="98">
        <f t="shared" si="39"/>
        <v>1.0476190476190474</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f t="shared" si="40"/>
        <v>5.4054054054054057E-2</v>
      </c>
      <c r="I80" s="14">
        <f t="shared" si="40"/>
        <v>5.4054054054054057E-2</v>
      </c>
      <c r="J80" s="13">
        <f t="shared" si="40"/>
        <v>5.4054054054054057E-2</v>
      </c>
      <c r="K80" s="14">
        <f t="shared" si="40"/>
        <v>5.4054054054054057E-2</v>
      </c>
      <c r="L80" s="13">
        <f t="shared" si="40"/>
        <v>5.4054054054054057E-2</v>
      </c>
      <c r="M80" s="14">
        <f t="shared" si="40"/>
        <v>5.4054054054054057E-2</v>
      </c>
      <c r="N80" s="13">
        <f t="shared" si="40"/>
        <v>5.4054054054054057E-2</v>
      </c>
      <c r="O80" s="14">
        <f t="shared" si="40"/>
        <v>5.4054054054054057E-2</v>
      </c>
      <c r="P80" s="13">
        <f t="shared" si="40"/>
        <v>5.4054054054054057E-2</v>
      </c>
      <c r="Q80" s="14">
        <f t="shared" si="40"/>
        <v>5.4054054054054057E-2</v>
      </c>
      <c r="R80" s="13">
        <f t="shared" si="40"/>
        <v>5.4054054054054057E-2</v>
      </c>
      <c r="S80" s="14">
        <f t="shared" si="40"/>
        <v>5.4054054054054057E-2</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f t="shared" si="41"/>
        <v>0</v>
      </c>
      <c r="I81" s="14">
        <f t="shared" si="41"/>
        <v>0</v>
      </c>
      <c r="J81" s="13">
        <f t="shared" si="41"/>
        <v>0</v>
      </c>
      <c r="K81" s="14">
        <f t="shared" si="41"/>
        <v>0</v>
      </c>
      <c r="L81" s="13">
        <f t="shared" si="41"/>
        <v>0</v>
      </c>
      <c r="M81" s="14">
        <f t="shared" si="41"/>
        <v>0</v>
      </c>
      <c r="N81" s="13">
        <f t="shared" si="41"/>
        <v>0</v>
      </c>
      <c r="O81" s="14">
        <f t="shared" si="41"/>
        <v>0</v>
      </c>
      <c r="P81" s="13">
        <f t="shared" si="41"/>
        <v>0</v>
      </c>
      <c r="Q81" s="14">
        <f t="shared" si="41"/>
        <v>0</v>
      </c>
      <c r="R81" s="13">
        <f t="shared" si="41"/>
        <v>0</v>
      </c>
      <c r="S81" s="14">
        <f t="shared" si="41"/>
        <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4.1364221364221354</v>
      </c>
      <c r="G82" s="14">
        <f t="shared" si="42"/>
        <v>4.1364221364221354</v>
      </c>
      <c r="H82" s="13">
        <f t="shared" si="42"/>
        <v>4.1364221364221354</v>
      </c>
      <c r="I82" s="14">
        <f t="shared" si="42"/>
        <v>4.1364221364221354</v>
      </c>
      <c r="J82" s="13">
        <f t="shared" si="42"/>
        <v>4.1364221364221354</v>
      </c>
      <c r="K82" s="14">
        <f t="shared" si="42"/>
        <v>4.1364221364221354</v>
      </c>
      <c r="L82" s="13">
        <f t="shared" si="42"/>
        <v>4.1364221364221354</v>
      </c>
      <c r="M82" s="14">
        <f t="shared" si="42"/>
        <v>4.1364221364221354</v>
      </c>
      <c r="N82" s="13">
        <f t="shared" si="42"/>
        <v>4.1364221364221354</v>
      </c>
      <c r="O82" s="14">
        <f t="shared" si="42"/>
        <v>4.1364221364221354</v>
      </c>
      <c r="P82" s="13">
        <f t="shared" si="42"/>
        <v>4.1364221364221354</v>
      </c>
      <c r="Q82" s="14">
        <f t="shared" si="42"/>
        <v>4.1364221364221354</v>
      </c>
      <c r="R82" s="13">
        <f t="shared" si="42"/>
        <v>4.1364221364221354</v>
      </c>
      <c r="S82" s="14">
        <f t="shared" si="42"/>
        <v>4.1364221364221354</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0.98667588460813271</v>
      </c>
      <c r="G84" s="38">
        <f t="shared" si="45"/>
        <v>0.98667588460813271</v>
      </c>
      <c r="H84" s="96">
        <f t="shared" ref="H84:AS84" si="46">((-0.4-1)*H83-(-0.4+1)*H82)/((-0.4-1)*H82-(-0.4+1)*H83)</f>
        <v>0.98667588460813271</v>
      </c>
      <c r="I84" s="98">
        <f t="shared" si="46"/>
        <v>0.98667588460813271</v>
      </c>
      <c r="J84" s="96">
        <f t="shared" si="46"/>
        <v>0.98667588460813271</v>
      </c>
      <c r="K84" s="98">
        <f t="shared" si="46"/>
        <v>0.98667588460813271</v>
      </c>
      <c r="L84" s="96">
        <f t="shared" si="46"/>
        <v>0.98667588460813271</v>
      </c>
      <c r="M84" s="98">
        <f t="shared" si="46"/>
        <v>0.98667588460813271</v>
      </c>
      <c r="N84" s="96">
        <f t="shared" si="46"/>
        <v>0.98667588460813271</v>
      </c>
      <c r="O84" s="98">
        <f t="shared" si="46"/>
        <v>0.98667588460813271</v>
      </c>
      <c r="P84" s="96">
        <f t="shared" si="46"/>
        <v>0.98667588460813271</v>
      </c>
      <c r="Q84" s="98">
        <f t="shared" si="46"/>
        <v>0.98667588460813271</v>
      </c>
      <c r="R84" s="96">
        <f t="shared" si="46"/>
        <v>0.98667588460813271</v>
      </c>
      <c r="S84" s="98">
        <f t="shared" si="46"/>
        <v>0.98667588460813271</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2.9628096724486599</v>
      </c>
      <c r="G85" s="38">
        <f t="shared" si="48"/>
        <v>2.9628096724486599</v>
      </c>
      <c r="H85" s="96">
        <f t="shared" ref="H85:AS85" si="49">H78*H84</f>
        <v>2.9628096724486599</v>
      </c>
      <c r="I85" s="98">
        <f t="shared" si="49"/>
        <v>2.9628096724486599</v>
      </c>
      <c r="J85" s="96">
        <f t="shared" si="49"/>
        <v>2.9628096724486599</v>
      </c>
      <c r="K85" s="98">
        <f t="shared" si="49"/>
        <v>2.9628096724486599</v>
      </c>
      <c r="L85" s="96">
        <f t="shared" si="49"/>
        <v>2.9628096724486599</v>
      </c>
      <c r="M85" s="98">
        <f t="shared" si="49"/>
        <v>2.9628096724486599</v>
      </c>
      <c r="N85" s="96">
        <f t="shared" si="49"/>
        <v>2.9628096724486599</v>
      </c>
      <c r="O85" s="98">
        <f t="shared" si="49"/>
        <v>2.9628096724486599</v>
      </c>
      <c r="P85" s="96">
        <f t="shared" si="49"/>
        <v>2.9628096724486599</v>
      </c>
      <c r="Q85" s="98">
        <f t="shared" si="49"/>
        <v>2.9628096724486599</v>
      </c>
      <c r="R85" s="96">
        <f t="shared" si="49"/>
        <v>2.9628096724486599</v>
      </c>
      <c r="S85" s="98">
        <f t="shared" si="49"/>
        <v>2.9628096724486599</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217</v>
      </c>
      <c r="D86" s="11" t="s">
        <v>89</v>
      </c>
      <c r="E86" s="125">
        <f t="shared" ref="E86:AS86" si="50">IF(E11&gt;0,6-(1.5*E85)+(0.15*E57),0)</f>
        <v>0</v>
      </c>
      <c r="F86" s="15">
        <f t="shared" si="50"/>
        <v>1.7658449627305508</v>
      </c>
      <c r="G86" s="98">
        <f t="shared" si="50"/>
        <v>1.7474539745358457</v>
      </c>
      <c r="H86" s="96">
        <f t="shared" si="50"/>
        <v>1.7829074627305508</v>
      </c>
      <c r="I86" s="98">
        <f t="shared" si="50"/>
        <v>1.7075277245358456</v>
      </c>
      <c r="J86" s="96">
        <f t="shared" si="50"/>
        <v>1.8584698683265839</v>
      </c>
      <c r="K86" s="98">
        <f t="shared" si="50"/>
        <v>1.8118176221232269</v>
      </c>
      <c r="L86" s="96">
        <f t="shared" si="50"/>
        <v>1.8693817064570357</v>
      </c>
      <c r="M86" s="98">
        <f t="shared" si="50"/>
        <v>1.7662533298046112</v>
      </c>
      <c r="N86" s="96">
        <f t="shared" si="50"/>
        <v>1.8302331901198117</v>
      </c>
      <c r="O86" s="98">
        <f t="shared" si="50"/>
        <v>1.7564451206577698</v>
      </c>
      <c r="P86" s="96">
        <f t="shared" si="50"/>
        <v>1.7976552910688586</v>
      </c>
      <c r="Q86" s="98">
        <f t="shared" si="50"/>
        <v>1.7222390410688586</v>
      </c>
      <c r="R86" s="96">
        <f t="shared" si="50"/>
        <v>1.7990202910688586</v>
      </c>
      <c r="S86" s="98">
        <f t="shared" si="50"/>
        <v>1.7171202910688586</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A</v>
      </c>
      <c r="G87" s="12" t="str">
        <f t="shared" si="52"/>
        <v>A</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284" t="s">
        <v>49</v>
      </c>
      <c r="D89" s="302"/>
      <c r="E89" s="112"/>
      <c r="F89" s="284" t="str">
        <f>F3</f>
        <v>Link 1</v>
      </c>
      <c r="G89" s="302"/>
      <c r="H89" s="284" t="str">
        <f>H3</f>
        <v>Link 2</v>
      </c>
      <c r="I89" s="302"/>
      <c r="J89" s="284" t="str">
        <f>J3</f>
        <v>Link 3</v>
      </c>
      <c r="K89" s="302"/>
      <c r="L89" s="284" t="str">
        <f>L3</f>
        <v>Link 4</v>
      </c>
      <c r="M89" s="302"/>
      <c r="N89" s="284" t="str">
        <f>N3</f>
        <v>Link 5</v>
      </c>
      <c r="O89" s="302"/>
      <c r="P89" s="284" t="str">
        <f>P3</f>
        <v>Link 6</v>
      </c>
      <c r="Q89" s="302"/>
      <c r="R89" s="284" t="str">
        <f>R3</f>
        <v>Link 7</v>
      </c>
      <c r="S89" s="302"/>
      <c r="T89" s="284" t="str">
        <f>T3</f>
        <v>Link 8</v>
      </c>
      <c r="U89" s="302"/>
      <c r="V89" s="284" t="str">
        <f>V3</f>
        <v>Link 9</v>
      </c>
      <c r="W89" s="302"/>
      <c r="X89" s="284" t="str">
        <f>X3</f>
        <v>Link 10</v>
      </c>
      <c r="Y89" s="302"/>
      <c r="Z89" s="284" t="str">
        <f>Z3</f>
        <v>Link 11</v>
      </c>
      <c r="AA89" s="302"/>
      <c r="AB89" s="284" t="str">
        <f>AB3</f>
        <v>Link 12</v>
      </c>
      <c r="AC89" s="302"/>
      <c r="AD89" s="284" t="str">
        <f>AD3</f>
        <v>Link 13</v>
      </c>
      <c r="AE89" s="302"/>
      <c r="AF89" s="284" t="str">
        <f>AF3</f>
        <v>Link 14</v>
      </c>
      <c r="AG89" s="302"/>
      <c r="AH89" s="284" t="str">
        <f>AH3</f>
        <v>Link 15</v>
      </c>
      <c r="AI89" s="302"/>
      <c r="AJ89" s="284" t="str">
        <f>AJ3</f>
        <v>Link 16</v>
      </c>
      <c r="AK89" s="302"/>
      <c r="AL89" s="284" t="str">
        <f>AL3</f>
        <v>Link 17</v>
      </c>
      <c r="AM89" s="302"/>
      <c r="AN89" s="284" t="str">
        <f>AN3</f>
        <v>Link 18</v>
      </c>
      <c r="AO89" s="302"/>
      <c r="AP89" s="284" t="str">
        <f>AP3</f>
        <v>Link 19</v>
      </c>
      <c r="AQ89" s="302"/>
      <c r="AR89" s="284" t="str">
        <f>AR3</f>
        <v>Link 20</v>
      </c>
      <c r="AS89" s="285"/>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215</v>
      </c>
      <c r="D91" s="11" t="s">
        <v>93</v>
      </c>
      <c r="E91" s="114"/>
      <c r="F91" s="297">
        <f>IF(ISBLANK(F7),"",MAX(F57:G57))</f>
        <v>1.4003964760236025</v>
      </c>
      <c r="G91" s="301"/>
      <c r="H91" s="297">
        <f>IF(ISBLANK(H7),"",MAX(H57:I57))</f>
        <v>1.514146476023603</v>
      </c>
      <c r="I91" s="301"/>
      <c r="J91" s="297">
        <f>IF(ISBLANK(J7),"",MAX(J57:K57))</f>
        <v>2.0178958466638228</v>
      </c>
      <c r="K91" s="301"/>
      <c r="L91" s="297">
        <f>IF(ISBLANK(L7),"",MAX(L57:M57))</f>
        <v>2.0906414342001698</v>
      </c>
      <c r="M91" s="301"/>
      <c r="N91" s="297">
        <f>IF(ISBLANK(N7),"",MAX(N57:O57))</f>
        <v>1.8296513252853428</v>
      </c>
      <c r="O91" s="301"/>
      <c r="P91" s="297">
        <f>IF(ISBLANK(P7),"",MAX(P57:Q57))</f>
        <v>1.6124653316123219</v>
      </c>
      <c r="Q91" s="301"/>
      <c r="R91" s="297">
        <f>IF(ISBLANK(R7),"",MAX(R57:S57))</f>
        <v>1.621565331612322</v>
      </c>
      <c r="S91" s="301"/>
      <c r="T91" s="297" t="str">
        <f>IF(ISBLANK(T7),"",MAX(T57:U57))</f>
        <v/>
      </c>
      <c r="U91" s="301"/>
      <c r="V91" s="297" t="str">
        <f>IF(ISBLANK(V7),"",MAX(V57:W57))</f>
        <v/>
      </c>
      <c r="W91" s="301"/>
      <c r="X91" s="297" t="str">
        <f>IF(ISBLANK(X7),"",MAX(X57:Y57))</f>
        <v/>
      </c>
      <c r="Y91" s="301"/>
      <c r="Z91" s="297" t="str">
        <f>IF(ISBLANK(Z7),"",MAX(Z57:AA57))</f>
        <v/>
      </c>
      <c r="AA91" s="301"/>
      <c r="AB91" s="297" t="str">
        <f>IF(ISBLANK(AB7),"",MAX(AB57:AC57))</f>
        <v/>
      </c>
      <c r="AC91" s="301"/>
      <c r="AD91" s="297" t="str">
        <f>IF(ISBLANK(AD7),"",MAX(AD57:AE57))</f>
        <v/>
      </c>
      <c r="AE91" s="301"/>
      <c r="AF91" s="297" t="str">
        <f>IF(ISBLANK(AF7),"",MAX(AF57:AG57))</f>
        <v/>
      </c>
      <c r="AG91" s="301"/>
      <c r="AH91" s="297" t="str">
        <f>IF(ISBLANK(AH7),"",MAX(AH57:AI57))</f>
        <v/>
      </c>
      <c r="AI91" s="301"/>
      <c r="AJ91" s="297" t="str">
        <f>IF(ISBLANK(AJ7),"",MAX(AJ57:AK57))</f>
        <v/>
      </c>
      <c r="AK91" s="301"/>
      <c r="AL91" s="297" t="str">
        <f>IF(ISBLANK(AL7),"",MAX(AL57:AM57))</f>
        <v/>
      </c>
      <c r="AM91" s="301"/>
      <c r="AN91" s="297" t="str">
        <f>IF(ISBLANK(AN7),"",MAX(AN57:AO57))</f>
        <v/>
      </c>
      <c r="AO91" s="301"/>
      <c r="AP91" s="297" t="str">
        <f>IF(ISBLANK(AP7),"",MAX(AP57:AQ57))</f>
        <v/>
      </c>
      <c r="AQ91" s="301"/>
      <c r="AR91" s="297" t="str">
        <f>IF(ISBLANK(AR7),"",MAX(AR57:AS57))</f>
        <v/>
      </c>
      <c r="AS91" s="301"/>
      <c r="AT91" s="67">
        <f>SUMPRODUCT(F91:AS91,F7:AS7)/SUM(F7:AS7)</f>
        <v>1.7590082275291121</v>
      </c>
      <c r="AU91" s="56"/>
    </row>
    <row r="92" spans="2:47" x14ac:dyDescent="0.25">
      <c r="B92" s="55"/>
      <c r="C92" s="10"/>
      <c r="D92" s="11" t="s">
        <v>41</v>
      </c>
      <c r="E92" s="114"/>
      <c r="F92" s="287" t="str">
        <f>IF(F91="","",IF(F91&lt;=2,"A",IF(F91&lt;=2.75,"B",IF(F91&lt;=3.5,"C",IF(F91&lt;=4.25,"D",IF(F91&lt;=5,"E","F"))))))</f>
        <v>A</v>
      </c>
      <c r="G92" s="288"/>
      <c r="H92" s="287" t="str">
        <f>IF(H91="","",IF(H91&lt;=2,"A",IF(H91&lt;=2.75,"B",IF(H91&lt;=3.5,"C",IF(H91&lt;=4.25,"D",IF(H91&lt;=5,"E","F"))))))</f>
        <v>A</v>
      </c>
      <c r="I92" s="288"/>
      <c r="J92" s="287" t="str">
        <f>IF(J91="","",IF(J91&lt;=2,"A",IF(J91&lt;=2.75,"B",IF(J91&lt;=3.5,"C",IF(J91&lt;=4.25,"D",IF(J91&lt;=5,"E","F"))))))</f>
        <v>B</v>
      </c>
      <c r="K92" s="288"/>
      <c r="L92" s="287" t="str">
        <f t="shared" ref="L92" si="54">IF(L91="","",IF(L91&lt;=2,"A",IF(L91&lt;=2.75,"B",IF(L91&lt;=3.5,"C",IF(L91&lt;=4.25,"D",IF(L91&lt;=5,"E","F"))))))</f>
        <v>B</v>
      </c>
      <c r="M92" s="288"/>
      <c r="N92" s="287" t="str">
        <f t="shared" ref="N92" si="55">IF(N91="","",IF(N91&lt;=2,"A",IF(N91&lt;=2.75,"B",IF(N91&lt;=3.5,"C",IF(N91&lt;=4.25,"D",IF(N91&lt;=5,"E","F"))))))</f>
        <v>A</v>
      </c>
      <c r="O92" s="288"/>
      <c r="P92" s="287" t="str">
        <f t="shared" ref="P92" si="56">IF(P91="","",IF(P91&lt;=2,"A",IF(P91&lt;=2.75,"B",IF(P91&lt;=3.5,"C",IF(P91&lt;=4.25,"D",IF(P91&lt;=5,"E","F"))))))</f>
        <v>A</v>
      </c>
      <c r="Q92" s="288"/>
      <c r="R92" s="287" t="str">
        <f t="shared" ref="R92" si="57">IF(R91="","",IF(R91&lt;=2,"A",IF(R91&lt;=2.75,"B",IF(R91&lt;=3.5,"C",IF(R91&lt;=4.25,"D",IF(R91&lt;=5,"E","F"))))))</f>
        <v>A</v>
      </c>
      <c r="S92" s="288"/>
      <c r="T92" s="287" t="str">
        <f t="shared" ref="T92" si="58">IF(T91="","",IF(T91&lt;=2,"A",IF(T91&lt;=2.75,"B",IF(T91&lt;=3.5,"C",IF(T91&lt;=4.25,"D",IF(T91&lt;=5,"E","F"))))))</f>
        <v/>
      </c>
      <c r="U92" s="288"/>
      <c r="V92" s="287" t="str">
        <f t="shared" ref="V92" si="59">IF(V91="","",IF(V91&lt;=2,"A",IF(V91&lt;=2.75,"B",IF(V91&lt;=3.5,"C",IF(V91&lt;=4.25,"D",IF(V91&lt;=5,"E","F"))))))</f>
        <v/>
      </c>
      <c r="W92" s="288"/>
      <c r="X92" s="287" t="str">
        <f t="shared" ref="X92" si="60">IF(X91="","",IF(X91&lt;=2,"A",IF(X91&lt;=2.75,"B",IF(X91&lt;=3.5,"C",IF(X91&lt;=4.25,"D",IF(X91&lt;=5,"E","F"))))))</f>
        <v/>
      </c>
      <c r="Y92" s="288"/>
      <c r="Z92" s="287" t="str">
        <f t="shared" ref="Z92" si="61">IF(Z91="","",IF(Z91&lt;=2,"A",IF(Z91&lt;=2.75,"B",IF(Z91&lt;=3.5,"C",IF(Z91&lt;=4.25,"D",IF(Z91&lt;=5,"E","F"))))))</f>
        <v/>
      </c>
      <c r="AA92" s="288"/>
      <c r="AB92" s="287" t="str">
        <f t="shared" ref="AB92" si="62">IF(AB91="","",IF(AB91&lt;=2,"A",IF(AB91&lt;=2.75,"B",IF(AB91&lt;=3.5,"C",IF(AB91&lt;=4.25,"D",IF(AB91&lt;=5,"E","F"))))))</f>
        <v/>
      </c>
      <c r="AC92" s="288"/>
      <c r="AD92" s="287" t="str">
        <f t="shared" ref="AD92" si="63">IF(AD91="","",IF(AD91&lt;=2,"A",IF(AD91&lt;=2.75,"B",IF(AD91&lt;=3.5,"C",IF(AD91&lt;=4.25,"D",IF(AD91&lt;=5,"E","F"))))))</f>
        <v/>
      </c>
      <c r="AE92" s="288"/>
      <c r="AF92" s="287" t="str">
        <f t="shared" ref="AF92" si="64">IF(AF91="","",IF(AF91&lt;=2,"A",IF(AF91&lt;=2.75,"B",IF(AF91&lt;=3.5,"C",IF(AF91&lt;=4.25,"D",IF(AF91&lt;=5,"E","F"))))))</f>
        <v/>
      </c>
      <c r="AG92" s="288"/>
      <c r="AH92" s="287" t="str">
        <f t="shared" ref="AH92" si="65">IF(AH91="","",IF(AH91&lt;=2,"A",IF(AH91&lt;=2.75,"B",IF(AH91&lt;=3.5,"C",IF(AH91&lt;=4.25,"D",IF(AH91&lt;=5,"E","F"))))))</f>
        <v/>
      </c>
      <c r="AI92" s="288"/>
      <c r="AJ92" s="287" t="str">
        <f t="shared" ref="AJ92" si="66">IF(AJ91="","",IF(AJ91&lt;=2,"A",IF(AJ91&lt;=2.75,"B",IF(AJ91&lt;=3.5,"C",IF(AJ91&lt;=4.25,"D",IF(AJ91&lt;=5,"E","F"))))))</f>
        <v/>
      </c>
      <c r="AK92" s="288"/>
      <c r="AL92" s="287" t="str">
        <f t="shared" ref="AL92" si="67">IF(AL91="","",IF(AL91&lt;=2,"A",IF(AL91&lt;=2.75,"B",IF(AL91&lt;=3.5,"C",IF(AL91&lt;=4.25,"D",IF(AL91&lt;=5,"E","F"))))))</f>
        <v/>
      </c>
      <c r="AM92" s="288"/>
      <c r="AN92" s="287" t="str">
        <f t="shared" ref="AN92" si="68">IF(AN91="","",IF(AN91&lt;=2,"A",IF(AN91&lt;=2.75,"B",IF(AN91&lt;=3.5,"C",IF(AN91&lt;=4.25,"D",IF(AN91&lt;=5,"E","F"))))))</f>
        <v/>
      </c>
      <c r="AO92" s="288"/>
      <c r="AP92" s="287" t="str">
        <f t="shared" ref="AP92" si="69">IF(AP91="","",IF(AP91&lt;=2,"A",IF(AP91&lt;=2.75,"B",IF(AP91&lt;=3.5,"C",IF(AP91&lt;=4.25,"D",IF(AP91&lt;=5,"E","F"))))))</f>
        <v/>
      </c>
      <c r="AQ92" s="288"/>
      <c r="AR92" s="287" t="str">
        <f t="shared" ref="AR92" si="70">IF(AR91="","",IF(AR91&lt;=2,"A",IF(AR91&lt;=2.75,"B",IF(AR91&lt;=3.5,"C",IF(AR91&lt;=4.25,"D",IF(AR91&lt;=5,"E","F"))))))</f>
        <v/>
      </c>
      <c r="AS92" s="288"/>
      <c r="AT92" s="68" t="str">
        <f>IF(AT91&lt;=2,"A",IF(AT91&lt;=2.75,"B",IF(AT91&lt;=3.5,"C",IF(AT91&lt;=4.25,"D",IF(AT91&lt;=5,"E","F")))))</f>
        <v>A</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216</v>
      </c>
      <c r="D94" s="11" t="s">
        <v>92</v>
      </c>
      <c r="E94" s="114"/>
      <c r="F94" s="297">
        <f>IF(ISBLANK(F7),"",MAX(F74:G74))</f>
        <v>4.0161952421554714</v>
      </c>
      <c r="G94" s="301"/>
      <c r="H94" s="297">
        <f>IF(ISBLANK(H7),"",MAX(H74:I74))</f>
        <v>4.0877220914732444</v>
      </c>
      <c r="I94" s="301"/>
      <c r="J94" s="297">
        <f>IF(ISBLANK(J7),"",MAX(J74:K74))</f>
        <v>4.3456421891764423</v>
      </c>
      <c r="K94" s="301"/>
      <c r="L94" s="297">
        <f>IF(ISBLANK(L7),"",MAX(L74:M74))</f>
        <v>4.0490137569543307</v>
      </c>
      <c r="M94" s="301"/>
      <c r="N94" s="297">
        <f>IF(ISBLANK(N7),"",MAX(N74:O74))</f>
        <v>4.2210550268287879</v>
      </c>
      <c r="O94" s="301"/>
      <c r="P94" s="297">
        <f>IF(ISBLANK(P7),"",MAX(P74:Q74))</f>
        <v>4.1905335237873569</v>
      </c>
      <c r="Q94" s="301"/>
      <c r="R94" s="297">
        <f>IF(ISBLANK(R7),"",MAX(R74:S74))</f>
        <v>4.1952608307630443</v>
      </c>
      <c r="S94" s="301"/>
      <c r="T94" s="297" t="str">
        <f>IF(ISBLANK(T7),"",MAX(T74:U74))</f>
        <v/>
      </c>
      <c r="U94" s="301"/>
      <c r="V94" s="297" t="str">
        <f>IF(ISBLANK(V7),"",MAX(V74:W74))</f>
        <v/>
      </c>
      <c r="W94" s="301"/>
      <c r="X94" s="297" t="str">
        <f>IF(ISBLANK(X7),"",MAX(X74:Y74))</f>
        <v/>
      </c>
      <c r="Y94" s="301"/>
      <c r="Z94" s="297" t="str">
        <f>IF(ISBLANK(Z7),"",MAX(Z74:AA74))</f>
        <v/>
      </c>
      <c r="AA94" s="301"/>
      <c r="AB94" s="297" t="str">
        <f>IF(ISBLANK(AB7),"",MAX(AB74:AC74))</f>
        <v/>
      </c>
      <c r="AC94" s="301"/>
      <c r="AD94" s="297" t="str">
        <f>IF(ISBLANK(AD7),"",MAX(AD74:AE74))</f>
        <v/>
      </c>
      <c r="AE94" s="301"/>
      <c r="AF94" s="297" t="str">
        <f>IF(ISBLANK(AF7),"",MAX(AF74:AG74))</f>
        <v/>
      </c>
      <c r="AG94" s="301"/>
      <c r="AH94" s="297" t="str">
        <f>IF(ISBLANK(AH7),"",MAX(AH74:AI74))</f>
        <v/>
      </c>
      <c r="AI94" s="301"/>
      <c r="AJ94" s="297" t="str">
        <f>IF(ISBLANK(AJ7),"",MAX(AJ74:AK74))</f>
        <v/>
      </c>
      <c r="AK94" s="301"/>
      <c r="AL94" s="297" t="str">
        <f>IF(ISBLANK(AL7),"",MAX(AL74:AM74))</f>
        <v/>
      </c>
      <c r="AM94" s="301"/>
      <c r="AN94" s="297" t="str">
        <f>IF(ISBLANK(AN7),"",MAX(AN74:AO74))</f>
        <v/>
      </c>
      <c r="AO94" s="301"/>
      <c r="AP94" s="297" t="str">
        <f>IF(ISBLANK(AP7),"",MAX(AP74:AQ74))</f>
        <v/>
      </c>
      <c r="AQ94" s="301"/>
      <c r="AR94" s="297" t="str">
        <f>IF(ISBLANK(AR7),"",MAX(AR74:AS74))</f>
        <v/>
      </c>
      <c r="AS94" s="301"/>
      <c r="AT94" s="67">
        <f>SUMPRODUCT(F94:AS94,F7:AS7)/SUM(F7:AS7)</f>
        <v>4.1685202148654499</v>
      </c>
      <c r="AU94" s="56"/>
    </row>
    <row r="95" spans="2:47" x14ac:dyDescent="0.25">
      <c r="B95" s="55"/>
      <c r="C95" s="10"/>
      <c r="D95" s="11" t="s">
        <v>51</v>
      </c>
      <c r="E95" s="114"/>
      <c r="F95" s="287" t="str">
        <f>IF(F94="","",IF(F94&lt;=2,"A",IF(F94&lt;=2.75,"B",IF(F94&lt;=3.5,"C",IF(F94&lt;=4.25,"D",IF(F94&lt;=5,"E","F"))))))</f>
        <v>D</v>
      </c>
      <c r="G95" s="288"/>
      <c r="H95" s="287" t="str">
        <f>IF(H94="","",IF(H94&lt;=2,"A",IF(H94&lt;=2.75,"B",IF(H94&lt;=3.5,"C",IF(H94&lt;=4.25,"D",IF(H94&lt;=5,"E","F"))))))</f>
        <v>D</v>
      </c>
      <c r="I95" s="288"/>
      <c r="J95" s="287" t="str">
        <f t="shared" ref="J95" si="71">IF(J94="","",IF(J94&lt;=2,"A",IF(J94&lt;=2.75,"B",IF(J94&lt;=3.5,"C",IF(J94&lt;=4.25,"D",IF(J94&lt;=5,"E","F"))))))</f>
        <v>E</v>
      </c>
      <c r="K95" s="288"/>
      <c r="L95" s="287" t="str">
        <f t="shared" ref="L95" si="72">IF(L94="","",IF(L94&lt;=2,"A",IF(L94&lt;=2.75,"B",IF(L94&lt;=3.5,"C",IF(L94&lt;=4.25,"D",IF(L94&lt;=5,"E","F"))))))</f>
        <v>D</v>
      </c>
      <c r="M95" s="288"/>
      <c r="N95" s="287" t="str">
        <f t="shared" ref="N95" si="73">IF(N94="","",IF(N94&lt;=2,"A",IF(N94&lt;=2.75,"B",IF(N94&lt;=3.5,"C",IF(N94&lt;=4.25,"D",IF(N94&lt;=5,"E","F"))))))</f>
        <v>D</v>
      </c>
      <c r="O95" s="288"/>
      <c r="P95" s="287" t="str">
        <f t="shared" ref="P95" si="74">IF(P94="","",IF(P94&lt;=2,"A",IF(P94&lt;=2.75,"B",IF(P94&lt;=3.5,"C",IF(P94&lt;=4.25,"D",IF(P94&lt;=5,"E","F"))))))</f>
        <v>D</v>
      </c>
      <c r="Q95" s="288"/>
      <c r="R95" s="287" t="str">
        <f t="shared" ref="R95" si="75">IF(R94="","",IF(R94&lt;=2,"A",IF(R94&lt;=2.75,"B",IF(R94&lt;=3.5,"C",IF(R94&lt;=4.25,"D",IF(R94&lt;=5,"E","F"))))))</f>
        <v>D</v>
      </c>
      <c r="S95" s="288"/>
      <c r="T95" s="287" t="str">
        <f t="shared" ref="T95" si="76">IF(T94="","",IF(T94&lt;=2,"A",IF(T94&lt;=2.75,"B",IF(T94&lt;=3.5,"C",IF(T94&lt;=4.25,"D",IF(T94&lt;=5,"E","F"))))))</f>
        <v/>
      </c>
      <c r="U95" s="288"/>
      <c r="V95" s="287" t="str">
        <f t="shared" ref="V95" si="77">IF(V94="","",IF(V94&lt;=2,"A",IF(V94&lt;=2.75,"B",IF(V94&lt;=3.5,"C",IF(V94&lt;=4.25,"D",IF(V94&lt;=5,"E","F"))))))</f>
        <v/>
      </c>
      <c r="W95" s="288"/>
      <c r="X95" s="287" t="str">
        <f t="shared" ref="X95" si="78">IF(X94="","",IF(X94&lt;=2,"A",IF(X94&lt;=2.75,"B",IF(X94&lt;=3.5,"C",IF(X94&lt;=4.25,"D",IF(X94&lt;=5,"E","F"))))))</f>
        <v/>
      </c>
      <c r="Y95" s="288"/>
      <c r="Z95" s="287" t="str">
        <f t="shared" ref="Z95" si="79">IF(Z94="","",IF(Z94&lt;=2,"A",IF(Z94&lt;=2.75,"B",IF(Z94&lt;=3.5,"C",IF(Z94&lt;=4.25,"D",IF(Z94&lt;=5,"E","F"))))))</f>
        <v/>
      </c>
      <c r="AA95" s="288"/>
      <c r="AB95" s="287" t="str">
        <f t="shared" ref="AB95" si="80">IF(AB94="","",IF(AB94&lt;=2,"A",IF(AB94&lt;=2.75,"B",IF(AB94&lt;=3.5,"C",IF(AB94&lt;=4.25,"D",IF(AB94&lt;=5,"E","F"))))))</f>
        <v/>
      </c>
      <c r="AC95" s="288"/>
      <c r="AD95" s="287" t="str">
        <f t="shared" ref="AD95" si="81">IF(AD94="","",IF(AD94&lt;=2,"A",IF(AD94&lt;=2.75,"B",IF(AD94&lt;=3.5,"C",IF(AD94&lt;=4.25,"D",IF(AD94&lt;=5,"E","F"))))))</f>
        <v/>
      </c>
      <c r="AE95" s="288"/>
      <c r="AF95" s="287" t="str">
        <f t="shared" ref="AF95" si="82">IF(AF94="","",IF(AF94&lt;=2,"A",IF(AF94&lt;=2.75,"B",IF(AF94&lt;=3.5,"C",IF(AF94&lt;=4.25,"D",IF(AF94&lt;=5,"E","F"))))))</f>
        <v/>
      </c>
      <c r="AG95" s="288"/>
      <c r="AH95" s="287" t="str">
        <f t="shared" ref="AH95" si="83">IF(AH94="","",IF(AH94&lt;=2,"A",IF(AH94&lt;=2.75,"B",IF(AH94&lt;=3.5,"C",IF(AH94&lt;=4.25,"D",IF(AH94&lt;=5,"E","F"))))))</f>
        <v/>
      </c>
      <c r="AI95" s="288"/>
      <c r="AJ95" s="287" t="str">
        <f t="shared" ref="AJ95" si="84">IF(AJ94="","",IF(AJ94&lt;=2,"A",IF(AJ94&lt;=2.75,"B",IF(AJ94&lt;=3.5,"C",IF(AJ94&lt;=4.25,"D",IF(AJ94&lt;=5,"E","F"))))))</f>
        <v/>
      </c>
      <c r="AK95" s="288"/>
      <c r="AL95" s="287" t="str">
        <f t="shared" ref="AL95" si="85">IF(AL94="","",IF(AL94&lt;=2,"A",IF(AL94&lt;=2.75,"B",IF(AL94&lt;=3.5,"C",IF(AL94&lt;=4.25,"D",IF(AL94&lt;=5,"E","F"))))))</f>
        <v/>
      </c>
      <c r="AM95" s="288"/>
      <c r="AN95" s="287" t="str">
        <f t="shared" ref="AN95" si="86">IF(AN94="","",IF(AN94&lt;=2,"A",IF(AN94&lt;=2.75,"B",IF(AN94&lt;=3.5,"C",IF(AN94&lt;=4.25,"D",IF(AN94&lt;=5,"E","F"))))))</f>
        <v/>
      </c>
      <c r="AO95" s="288"/>
      <c r="AP95" s="287" t="str">
        <f t="shared" ref="AP95" si="87">IF(AP94="","",IF(AP94&lt;=2,"A",IF(AP94&lt;=2.75,"B",IF(AP94&lt;=3.5,"C",IF(AP94&lt;=4.25,"D",IF(AP94&lt;=5,"E","F"))))))</f>
        <v/>
      </c>
      <c r="AQ95" s="288"/>
      <c r="AR95" s="287" t="str">
        <f t="shared" ref="AR95" si="88">IF(AR94="","",IF(AR94&lt;=2,"A",IF(AR94&lt;=2.75,"B",IF(AR94&lt;=3.5,"C",IF(AR94&lt;=4.25,"D",IF(AR94&lt;=5,"E","F"))))))</f>
        <v/>
      </c>
      <c r="AS95" s="288"/>
      <c r="AT95" s="68" t="str">
        <f>IF(AT94&lt;=2,"A",IF(AT94&lt;=2.75,"B",IF(AT94&lt;=3.5,"C",IF(AT94&lt;=4.25,"D",IF(AT94&lt;=5,"E","F")))))</f>
        <v>D</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217</v>
      </c>
      <c r="D97" s="110" t="s">
        <v>94</v>
      </c>
      <c r="E97" s="114"/>
      <c r="F97" s="297">
        <f>IF(ISBLANK(F7),"",IF(AND(F42="Yes",G42="Yes"),MAX(F86:G86), IF(F42="Yes",F86,IF(G42="Yes", G86,0))))</f>
        <v>1.7658449627305508</v>
      </c>
      <c r="G97" s="298"/>
      <c r="H97" s="297">
        <f>IF(ISBLANK(H7),"",IF(AND(H42="Yes",I42="Yes"),MAX(H86:I86), IF(H42="Yes",H86,IF(I42="Yes", I86,0))))</f>
        <v>1.7829074627305508</v>
      </c>
      <c r="I97" s="298"/>
      <c r="J97" s="297">
        <f>IF(ISBLANK(J7),"",IF(AND(J42="Yes",K42="Yes"),MAX(J86:K86), IF(J42="Yes",J86,IF(K42="Yes", K86,0))))</f>
        <v>1.8584698683265839</v>
      </c>
      <c r="K97" s="298"/>
      <c r="L97" s="297">
        <f>IF(ISBLANK(L7),"",IF(AND(L42="Yes",M42="Yes"),MAX(L86:M86), IF(L42="Yes",L86,IF(M42="Yes", M86,0))))</f>
        <v>1.8693817064570357</v>
      </c>
      <c r="M97" s="298"/>
      <c r="N97" s="297">
        <f>IF(ISBLANK(N7),"",IF(AND(N42="Yes",O42="Yes"),MAX(N86:O86), IF(N42="Yes",N86,IF(O42="Yes", O86,0))))</f>
        <v>1.8302331901198117</v>
      </c>
      <c r="O97" s="298"/>
      <c r="P97" s="297">
        <f>IF(ISBLANK(P7),"",IF(AND(P42="Yes",Q42="Yes"),MAX(P86:Q86), IF(P42="Yes",P86,IF(Q42="Yes", Q86,0))))</f>
        <v>1.7976552910688586</v>
      </c>
      <c r="Q97" s="298"/>
      <c r="R97" s="297">
        <f>IF(ISBLANK(R7),"",IF(AND(R42="Yes",S42="Yes"),MAX(R86:S86), IF(R42="Yes",R86,IF(S42="Yes", S86,0))))</f>
        <v>1.7990202910688586</v>
      </c>
      <c r="S97" s="298"/>
      <c r="T97" s="297" t="str">
        <f>IF(ISBLANK(T7),"",IF(AND(T42="Yes",U42="Yes"),MAX(T86:U86), IF(T42="Yes",T86,IF(U42="Yes", U86,0))))</f>
        <v/>
      </c>
      <c r="U97" s="298"/>
      <c r="V97" s="297" t="str">
        <f>IF(ISBLANK(V7),"",IF(AND(V42="Yes",W42="Yes"),MAX(V86:W86), IF(V42="Yes",V86,IF(W42="Yes", W86,0))))</f>
        <v/>
      </c>
      <c r="W97" s="298"/>
      <c r="X97" s="297" t="str">
        <f>IF(ISBLANK(X7),"",IF(AND(X42="Yes",Y42="Yes"),MAX(X86:Y86), IF(X42="Yes",X86,IF(Y42="Yes", Y86,0))))</f>
        <v/>
      </c>
      <c r="Y97" s="298"/>
      <c r="Z97" s="297" t="str">
        <f>IF(ISBLANK(Z7),"",IF(AND(Z42="Yes",AA42="Yes"),MAX(Z86:AA86), IF(Z42="Yes",Z86,IF(AA42="Yes", AA86,0))))</f>
        <v/>
      </c>
      <c r="AA97" s="298"/>
      <c r="AB97" s="297" t="str">
        <f>IF(ISBLANK(AB7),"",IF(AND(AB42="Yes",AC42="Yes"),MAX(AB86:AC86), IF(AB42="Yes",AB86,IF(AC42="Yes", AC86,0))))</f>
        <v/>
      </c>
      <c r="AC97" s="298"/>
      <c r="AD97" s="297" t="str">
        <f>IF(ISBLANK(AD7),"",IF(AND(AD42="Yes",AE42="Yes"),MAX(AD86:AE86), IF(AD42="Yes",AD86,IF(AE42="Yes", AE86,0))))</f>
        <v/>
      </c>
      <c r="AE97" s="298"/>
      <c r="AF97" s="297" t="str">
        <f>IF(ISBLANK(AF7),"",IF(AND(AF42="Yes",AG42="Yes"),MAX(AF86:AG86), IF(AF42="Yes",AF86,IF(AG42="Yes", AG86,0))))</f>
        <v/>
      </c>
      <c r="AG97" s="298"/>
      <c r="AH97" s="297" t="str">
        <f>IF(ISBLANK(AH7),"",IF(AND(AH42="Yes",AI42="Yes"),MAX(AH86:AI86), IF(AH42="Yes",AH86,IF(AI42="Yes", AI86,0))))</f>
        <v/>
      </c>
      <c r="AI97" s="298"/>
      <c r="AJ97" s="297" t="str">
        <f>IF(ISBLANK(AJ7),"",IF(AND(AJ42="Yes",AK42="Yes"),MAX(AJ86:AK86), IF(AJ42="Yes",AJ86,IF(AK42="Yes", AK86,0))))</f>
        <v/>
      </c>
      <c r="AK97" s="298"/>
      <c r="AL97" s="297" t="str">
        <f>IF(ISBLANK(AL7),"",IF(AND(AL42="Yes",AM42="Yes"),MAX(AL86:AM86), IF(AL42="Yes",AL86,IF(AM42="Yes", AM86,0))))</f>
        <v/>
      </c>
      <c r="AM97" s="298"/>
      <c r="AN97" s="297" t="str">
        <f>IF(ISBLANK(AN7),"",IF(AND(AN42="Yes",AO42="Yes"),MAX(AN86:AO86), IF(AN42="Yes",AN86,IF(AO42="Yes", AO86,0))))</f>
        <v/>
      </c>
      <c r="AO97" s="298"/>
      <c r="AP97" s="297" t="str">
        <f>IF(ISBLANK(AP7),"",IF(AND(AP42="Yes",AQ42="Yes"),MAX(AP86:AQ86), IF(AP42="Yes",AP86,IF(AQ42="Yes", AQ86,0))))</f>
        <v/>
      </c>
      <c r="AQ97" s="298"/>
      <c r="AR97" s="297" t="str">
        <f>IF(ISBLANK(AR7),"",IF(AND(AR42="Yes",AS42="Yes"),MAX(AR86:AS86), IF(AR42="Yes",AR86,IF(AS42="Yes", AS86,0))))</f>
        <v/>
      </c>
      <c r="AS97" s="298"/>
      <c r="AT97" s="67">
        <f>SUMPRODUCT(F97:AS97,F7:AS7)/SUM(F7:AS7)</f>
        <v>1.819636725456377</v>
      </c>
      <c r="AU97" s="56"/>
    </row>
    <row r="98" spans="2:47" ht="13.5" thickBot="1" x14ac:dyDescent="0.3">
      <c r="B98" s="55"/>
      <c r="C98" s="10"/>
      <c r="D98" s="11" t="s">
        <v>52</v>
      </c>
      <c r="E98" s="114"/>
      <c r="F98" s="287" t="str">
        <f>IF(F97="","",IF(F97&lt;=2,"A",IF(F97&lt;=2.75,"B",IF(F97&lt;=3.5,"C",IF(F97&lt;=4.25,"D",IF(F97&lt;=5,"E","F"))))))</f>
        <v>A</v>
      </c>
      <c r="G98" s="288"/>
      <c r="H98" s="287" t="str">
        <f>IF(H97="","",IF(H97&lt;=2,"A",IF(H97&lt;=2.75,"B",IF(H97&lt;=3.5,"C",IF(H97&lt;=4.25,"D",IF(H97&lt;=5,"E","F"))))))</f>
        <v>A</v>
      </c>
      <c r="I98" s="288"/>
      <c r="J98" s="287" t="str">
        <f t="shared" ref="J98" si="89">IF(J97="","",IF(J97&lt;=2,"A",IF(J97&lt;=2.75,"B",IF(J97&lt;=3.5,"C",IF(J97&lt;=4.25,"D",IF(J97&lt;=5,"E","F"))))))</f>
        <v>A</v>
      </c>
      <c r="K98" s="288"/>
      <c r="L98" s="287" t="str">
        <f t="shared" ref="L98" si="90">IF(L97="","",IF(L97&lt;=2,"A",IF(L97&lt;=2.75,"B",IF(L97&lt;=3.5,"C",IF(L97&lt;=4.25,"D",IF(L97&lt;=5,"E","F"))))))</f>
        <v>A</v>
      </c>
      <c r="M98" s="288"/>
      <c r="N98" s="287" t="str">
        <f t="shared" ref="N98" si="91">IF(N97="","",IF(N97&lt;=2,"A",IF(N97&lt;=2.75,"B",IF(N97&lt;=3.5,"C",IF(N97&lt;=4.25,"D",IF(N97&lt;=5,"E","F"))))))</f>
        <v>A</v>
      </c>
      <c r="O98" s="288"/>
      <c r="P98" s="287" t="str">
        <f t="shared" ref="P98" si="92">IF(P97="","",IF(P97&lt;=2,"A",IF(P97&lt;=2.75,"B",IF(P97&lt;=3.5,"C",IF(P97&lt;=4.25,"D",IF(P97&lt;=5,"E","F"))))))</f>
        <v>A</v>
      </c>
      <c r="Q98" s="288"/>
      <c r="R98" s="287" t="str">
        <f t="shared" ref="R98" si="93">IF(R97="","",IF(R97&lt;=2,"A",IF(R97&lt;=2.75,"B",IF(R97&lt;=3.5,"C",IF(R97&lt;=4.25,"D",IF(R97&lt;=5,"E","F"))))))</f>
        <v>A</v>
      </c>
      <c r="S98" s="288"/>
      <c r="T98" s="287" t="str">
        <f t="shared" ref="T98" si="94">IF(T97="","",IF(T97&lt;=2,"A",IF(T97&lt;=2.75,"B",IF(T97&lt;=3.5,"C",IF(T97&lt;=4.25,"D",IF(T97&lt;=5,"E","F"))))))</f>
        <v/>
      </c>
      <c r="U98" s="288"/>
      <c r="V98" s="287" t="str">
        <f t="shared" ref="V98" si="95">IF(V97="","",IF(V97&lt;=2,"A",IF(V97&lt;=2.75,"B",IF(V97&lt;=3.5,"C",IF(V97&lt;=4.25,"D",IF(V97&lt;=5,"E","F"))))))</f>
        <v/>
      </c>
      <c r="W98" s="288"/>
      <c r="X98" s="287" t="str">
        <f t="shared" ref="X98" si="96">IF(X97="","",IF(X97&lt;=2,"A",IF(X97&lt;=2.75,"B",IF(X97&lt;=3.5,"C",IF(X97&lt;=4.25,"D",IF(X97&lt;=5,"E","F"))))))</f>
        <v/>
      </c>
      <c r="Y98" s="288"/>
      <c r="Z98" s="287" t="str">
        <f t="shared" ref="Z98" si="97">IF(Z97="","",IF(Z97&lt;=2,"A",IF(Z97&lt;=2.75,"B",IF(Z97&lt;=3.5,"C",IF(Z97&lt;=4.25,"D",IF(Z97&lt;=5,"E","F"))))))</f>
        <v/>
      </c>
      <c r="AA98" s="288"/>
      <c r="AB98" s="287" t="str">
        <f t="shared" ref="AB98" si="98">IF(AB97="","",IF(AB97&lt;=2,"A",IF(AB97&lt;=2.75,"B",IF(AB97&lt;=3.5,"C",IF(AB97&lt;=4.25,"D",IF(AB97&lt;=5,"E","F"))))))</f>
        <v/>
      </c>
      <c r="AC98" s="288"/>
      <c r="AD98" s="287" t="str">
        <f t="shared" ref="AD98" si="99">IF(AD97="","",IF(AD97&lt;=2,"A",IF(AD97&lt;=2.75,"B",IF(AD97&lt;=3.5,"C",IF(AD97&lt;=4.25,"D",IF(AD97&lt;=5,"E","F"))))))</f>
        <v/>
      </c>
      <c r="AE98" s="288"/>
      <c r="AF98" s="287" t="str">
        <f t="shared" ref="AF98" si="100">IF(AF97="","",IF(AF97&lt;=2,"A",IF(AF97&lt;=2.75,"B",IF(AF97&lt;=3.5,"C",IF(AF97&lt;=4.25,"D",IF(AF97&lt;=5,"E","F"))))))</f>
        <v/>
      </c>
      <c r="AG98" s="288"/>
      <c r="AH98" s="287" t="str">
        <f t="shared" ref="AH98" si="101">IF(AH97="","",IF(AH97&lt;=2,"A",IF(AH97&lt;=2.75,"B",IF(AH97&lt;=3.5,"C",IF(AH97&lt;=4.25,"D",IF(AH97&lt;=5,"E","F"))))))</f>
        <v/>
      </c>
      <c r="AI98" s="288"/>
      <c r="AJ98" s="287" t="str">
        <f t="shared" ref="AJ98" si="102">IF(AJ97="","",IF(AJ97&lt;=2,"A",IF(AJ97&lt;=2.75,"B",IF(AJ97&lt;=3.5,"C",IF(AJ97&lt;=4.25,"D",IF(AJ97&lt;=5,"E","F"))))))</f>
        <v/>
      </c>
      <c r="AK98" s="288"/>
      <c r="AL98" s="287" t="str">
        <f t="shared" ref="AL98" si="103">IF(AL97="","",IF(AL97&lt;=2,"A",IF(AL97&lt;=2.75,"B",IF(AL97&lt;=3.5,"C",IF(AL97&lt;=4.25,"D",IF(AL97&lt;=5,"E","F"))))))</f>
        <v/>
      </c>
      <c r="AM98" s="288"/>
      <c r="AN98" s="287" t="str">
        <f t="shared" ref="AN98" si="104">IF(AN97="","",IF(AN97&lt;=2,"A",IF(AN97&lt;=2.75,"B",IF(AN97&lt;=3.5,"C",IF(AN97&lt;=4.25,"D",IF(AN97&lt;=5,"E","F"))))))</f>
        <v/>
      </c>
      <c r="AO98" s="288"/>
      <c r="AP98" s="287" t="str">
        <f t="shared" ref="AP98" si="105">IF(AP97="","",IF(AP97&lt;=2,"A",IF(AP97&lt;=2.75,"B",IF(AP97&lt;=3.5,"C",IF(AP97&lt;=4.25,"D",IF(AP97&lt;=5,"E","F"))))))</f>
        <v/>
      </c>
      <c r="AQ98" s="288"/>
      <c r="AR98" s="287" t="str">
        <f t="shared" ref="AR98" si="106">IF(AR97="","",IF(AR97&lt;=2,"A",IF(AR97&lt;=2.75,"B",IF(AR97&lt;=3.5,"C",IF(AR97&lt;=4.25,"D",IF(AR97&lt;=5,"E","F"))))))</f>
        <v/>
      </c>
      <c r="AS98" s="288"/>
      <c r="AT98" s="69" t="str">
        <f>IF(AT97&lt;=2,"A",IF(AT97&lt;=2.75,"B",IF(AT97&lt;=3.5,"C",IF(AT97&lt;=4.25,"D",IF(AT97&lt;=5,"E","F")))))</f>
        <v>A</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198</v>
      </c>
      <c r="D101" s="20" t="s">
        <v>201</v>
      </c>
      <c r="F101" s="20"/>
      <c r="G101" s="226"/>
    </row>
    <row r="102" spans="2:47" ht="15.75" x14ac:dyDescent="0.25">
      <c r="C102" s="21" t="s">
        <v>199</v>
      </c>
      <c r="D102" s="20" t="s">
        <v>202</v>
      </c>
    </row>
    <row r="103" spans="2:47" ht="15.75" x14ac:dyDescent="0.25">
      <c r="C103" s="21" t="s">
        <v>200</v>
      </c>
      <c r="D103" s="20" t="s">
        <v>205</v>
      </c>
    </row>
    <row r="104" spans="2:47" ht="12.95" customHeight="1" x14ac:dyDescent="0.25">
      <c r="C104" s="21" t="s">
        <v>207</v>
      </c>
      <c r="D104" s="305" t="s">
        <v>208</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05"/>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05"/>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38.25" x14ac:dyDescent="0.25">
      <c r="C107" s="145" t="s">
        <v>234</v>
      </c>
      <c r="D107" s="147" t="s">
        <v>236</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06" t="s">
        <v>221</v>
      </c>
      <c r="D110" s="306"/>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AF3:AG3"/>
    <mergeCell ref="AF6:AG6"/>
    <mergeCell ref="AF7:AG7"/>
    <mergeCell ref="AF44:AG44"/>
    <mergeCell ref="AF89:AG89"/>
    <mergeCell ref="AD3:AE3"/>
    <mergeCell ref="AD6:AE6"/>
    <mergeCell ref="AD7:AE7"/>
    <mergeCell ref="AD44:AE44"/>
    <mergeCell ref="AD89:AE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J3:AK3"/>
    <mergeCell ref="AJ6:AK6"/>
    <mergeCell ref="AJ7:AK7"/>
    <mergeCell ref="AJ44:AK44"/>
    <mergeCell ref="AJ89:AK89"/>
    <mergeCell ref="AH3:AI3"/>
    <mergeCell ref="AH6:AI6"/>
    <mergeCell ref="AH7:AI7"/>
    <mergeCell ref="AH44:AI44"/>
    <mergeCell ref="AH89:AI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N3:AO3"/>
    <mergeCell ref="AN6:AO6"/>
    <mergeCell ref="AN7:AO7"/>
    <mergeCell ref="AN44:AO44"/>
    <mergeCell ref="AN89:AO89"/>
    <mergeCell ref="AL3:AM3"/>
    <mergeCell ref="AL6:AM6"/>
    <mergeCell ref="AL7:AM7"/>
    <mergeCell ref="AL44:AM44"/>
    <mergeCell ref="AL89:AM89"/>
    <mergeCell ref="AN91:AO91"/>
    <mergeCell ref="AN92:AO92"/>
    <mergeCell ref="AN94:AO94"/>
    <mergeCell ref="AN95:AO95"/>
    <mergeCell ref="AN97:AO97"/>
    <mergeCell ref="AN98:AO98"/>
    <mergeCell ref="AL92:AM92"/>
    <mergeCell ref="AL94:AM94"/>
    <mergeCell ref="AL95:AM95"/>
    <mergeCell ref="AL97:AM97"/>
    <mergeCell ref="AL98:AM98"/>
    <mergeCell ref="AL91:AM91"/>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s>
  <dataValidations disablePrompts="1" count="3">
    <dataValidation type="list" allowBlank="1" showInputMessage="1" showErrorMessage="1" sqref="F26:AS31 E26 E31 T39:AS39 F39:I39 E42:I42 T42:AS42" xr:uid="{00000000-0002-0000-0100-000000000000}">
      <formula1>"Yes,No"</formula1>
    </dataValidation>
    <dataValidation type="decimal" operator="greaterThanOrEqual" allowBlank="1" showInputMessage="1" showErrorMessage="1" sqref="H19:I19 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4B9FE-26D0-494F-B13E-3E61742E1FA1}">
  <sheetPr codeName="Sheet8">
    <pageSetUpPr fitToPage="1"/>
  </sheetPr>
  <dimension ref="A1:S126"/>
  <sheetViews>
    <sheetView tabSelected="1" view="pageBreakPreview" zoomScaleNormal="162" zoomScaleSheetLayoutView="100" zoomScalePageLayoutView="120" workbookViewId="0">
      <pane ySplit="4" topLeftCell="A95" activePane="bottomLeft" state="frozen"/>
      <selection pane="bottomLeft" activeCell="G54" sqref="G54"/>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6" width="3.375" style="23" customWidth="1"/>
    <col min="7" max="16384" width="10.875" style="23"/>
  </cols>
  <sheetData>
    <row r="1" spans="1:19" ht="12.75" x14ac:dyDescent="0.25">
      <c r="A1" s="21"/>
      <c r="B1" s="57"/>
      <c r="C1" s="21"/>
      <c r="D1" s="21" t="s">
        <v>470</v>
      </c>
      <c r="E1" s="23">
        <v>25</v>
      </c>
      <c r="F1" s="23">
        <v>50</v>
      </c>
      <c r="G1" s="23">
        <v>75</v>
      </c>
      <c r="H1" s="23">
        <v>100</v>
      </c>
      <c r="I1" s="23">
        <v>125</v>
      </c>
      <c r="J1" s="23">
        <v>150</v>
      </c>
      <c r="K1" s="23">
        <v>175</v>
      </c>
      <c r="L1" s="23">
        <v>200</v>
      </c>
      <c r="M1" s="23">
        <v>225</v>
      </c>
      <c r="N1" s="23">
        <v>250</v>
      </c>
      <c r="O1" s="23">
        <v>275</v>
      </c>
      <c r="P1" s="23">
        <v>300</v>
      </c>
      <c r="Q1" s="23">
        <v>325</v>
      </c>
      <c r="R1" s="23">
        <v>350</v>
      </c>
      <c r="S1" s="23">
        <v>375</v>
      </c>
    </row>
    <row r="2" spans="1:19" ht="12.75" x14ac:dyDescent="0.25">
      <c r="A2" s="21"/>
      <c r="B2" s="57"/>
      <c r="C2" s="21"/>
      <c r="D2" s="21" t="s">
        <v>471</v>
      </c>
      <c r="E2" s="23">
        <v>15</v>
      </c>
      <c r="F2" s="23">
        <v>15</v>
      </c>
      <c r="G2" s="23">
        <v>15</v>
      </c>
      <c r="H2" s="23">
        <v>15</v>
      </c>
      <c r="I2" s="23">
        <v>15</v>
      </c>
      <c r="J2" s="23">
        <v>15</v>
      </c>
      <c r="K2" s="23">
        <v>15</v>
      </c>
      <c r="L2" s="23">
        <v>15</v>
      </c>
      <c r="M2" s="23">
        <v>15</v>
      </c>
      <c r="N2" s="23">
        <v>15</v>
      </c>
      <c r="O2" s="23">
        <v>15</v>
      </c>
      <c r="P2" s="23">
        <v>15</v>
      </c>
      <c r="Q2" s="23">
        <v>15</v>
      </c>
      <c r="R2" s="23">
        <v>15</v>
      </c>
      <c r="S2" s="23">
        <v>15</v>
      </c>
    </row>
    <row r="3" spans="1:19" ht="12.75" x14ac:dyDescent="0.25">
      <c r="A3" s="21"/>
      <c r="B3" s="57"/>
      <c r="C3" s="21"/>
      <c r="D3" s="21" t="s">
        <v>472</v>
      </c>
      <c r="E3" s="23">
        <v>1</v>
      </c>
      <c r="F3" s="23">
        <v>1</v>
      </c>
      <c r="G3" s="23">
        <v>1</v>
      </c>
      <c r="H3" s="23">
        <v>1</v>
      </c>
      <c r="I3" s="23">
        <v>1</v>
      </c>
      <c r="J3" s="23">
        <v>1</v>
      </c>
      <c r="K3" s="23">
        <v>1</v>
      </c>
      <c r="L3" s="23">
        <v>1</v>
      </c>
      <c r="M3" s="23">
        <v>1</v>
      </c>
      <c r="N3" s="23">
        <v>1</v>
      </c>
      <c r="O3" s="23">
        <v>1</v>
      </c>
      <c r="P3" s="23">
        <v>1</v>
      </c>
      <c r="Q3" s="23">
        <v>1</v>
      </c>
      <c r="R3" s="23">
        <v>1</v>
      </c>
      <c r="S3" s="23">
        <v>1</v>
      </c>
    </row>
    <row r="4" spans="1:19" ht="12.75" x14ac:dyDescent="0.25">
      <c r="A4" s="21"/>
      <c r="B4" s="57"/>
      <c r="C4" s="21"/>
      <c r="D4" s="21" t="s">
        <v>473</v>
      </c>
      <c r="E4" s="23" t="s">
        <v>267</v>
      </c>
      <c r="F4" s="23" t="s">
        <v>267</v>
      </c>
      <c r="G4" s="23" t="s">
        <v>267</v>
      </c>
      <c r="H4" s="23" t="s">
        <v>267</v>
      </c>
      <c r="I4" s="23" t="s">
        <v>267</v>
      </c>
      <c r="J4" s="23" t="s">
        <v>267</v>
      </c>
      <c r="K4" s="23" t="s">
        <v>267</v>
      </c>
      <c r="L4" s="23" t="s">
        <v>267</v>
      </c>
      <c r="M4" s="23" t="s">
        <v>267</v>
      </c>
      <c r="N4" s="23" t="s">
        <v>267</v>
      </c>
      <c r="O4" s="23" t="s">
        <v>267</v>
      </c>
      <c r="P4" s="23" t="s">
        <v>267</v>
      </c>
      <c r="Q4" s="23" t="s">
        <v>267</v>
      </c>
      <c r="R4" s="23" t="s">
        <v>267</v>
      </c>
      <c r="S4" s="23" t="s">
        <v>267</v>
      </c>
    </row>
    <row r="5" spans="1:19" ht="13.5" customHeight="1" x14ac:dyDescent="0.25">
      <c r="A5" s="23"/>
      <c r="B5" s="23"/>
      <c r="D5" s="23"/>
      <c r="E5" s="23"/>
    </row>
    <row r="6" spans="1:19" x14ac:dyDescent="0.25">
      <c r="A6" s="21"/>
      <c r="B6" s="57"/>
      <c r="C6" s="275"/>
      <c r="D6" s="275"/>
      <c r="E6" s="132"/>
      <c r="F6" s="58"/>
    </row>
    <row r="7" spans="1:19" x14ac:dyDescent="0.25">
      <c r="A7" s="21"/>
      <c r="B7" s="57"/>
      <c r="C7" s="284" t="s">
        <v>0</v>
      </c>
      <c r="D7" s="285"/>
      <c r="E7" s="133"/>
      <c r="F7" s="58"/>
    </row>
    <row r="8" spans="1:19" x14ac:dyDescent="0.25">
      <c r="B8" s="55"/>
      <c r="C8" s="4"/>
      <c r="D8" s="77" t="s">
        <v>115</v>
      </c>
      <c r="E8" s="134"/>
      <c r="F8" s="58"/>
    </row>
    <row r="9" spans="1:19" ht="14.25" x14ac:dyDescent="0.25">
      <c r="B9" s="55"/>
      <c r="C9" s="9" t="s">
        <v>145</v>
      </c>
      <c r="D9" s="76" t="s">
        <v>146</v>
      </c>
      <c r="E9" s="80">
        <v>2</v>
      </c>
      <c r="F9" s="56"/>
    </row>
    <row r="10" spans="1:19" ht="14.25" x14ac:dyDescent="0.25">
      <c r="B10" s="55"/>
      <c r="C10" s="9" t="s">
        <v>418</v>
      </c>
      <c r="D10" s="76" t="s">
        <v>419</v>
      </c>
      <c r="E10" s="80">
        <v>2</v>
      </c>
      <c r="F10" s="56"/>
    </row>
    <row r="11" spans="1:19" ht="14.25" x14ac:dyDescent="0.25">
      <c r="B11" s="55"/>
      <c r="C11" s="9" t="s">
        <v>117</v>
      </c>
      <c r="D11" s="76" t="s">
        <v>173</v>
      </c>
      <c r="E11" s="82">
        <v>2</v>
      </c>
      <c r="F11" s="56"/>
    </row>
    <row r="12" spans="1:19" ht="15.75" x14ac:dyDescent="0.25">
      <c r="B12" s="55"/>
      <c r="C12" s="9" t="s">
        <v>147</v>
      </c>
      <c r="D12" s="76" t="s">
        <v>148</v>
      </c>
      <c r="E12" s="80">
        <f t="shared" ref="E12" si="0">E2</f>
        <v>15</v>
      </c>
      <c r="F12" s="56"/>
    </row>
    <row r="13" spans="1:19" ht="14.25" x14ac:dyDescent="0.25">
      <c r="B13" s="55"/>
      <c r="C13" s="9" t="s">
        <v>152</v>
      </c>
      <c r="D13" s="76" t="s">
        <v>232</v>
      </c>
      <c r="E13" s="80">
        <f t="shared" ref="E13" si="1">E15*0.2</f>
        <v>5</v>
      </c>
      <c r="F13" s="56"/>
    </row>
    <row r="14" spans="1:19" ht="14.25" x14ac:dyDescent="0.25">
      <c r="B14" s="55"/>
      <c r="C14" s="9" t="s">
        <v>151</v>
      </c>
      <c r="D14" s="76" t="s">
        <v>156</v>
      </c>
      <c r="E14" s="80">
        <f t="shared" ref="E14" si="2">E15*0.2</f>
        <v>5</v>
      </c>
      <c r="F14" s="56"/>
    </row>
    <row r="15" spans="1:19" ht="14.25" x14ac:dyDescent="0.25">
      <c r="B15" s="55"/>
      <c r="C15" s="9" t="s">
        <v>169</v>
      </c>
      <c r="D15" s="76" t="s">
        <v>157</v>
      </c>
      <c r="E15" s="80">
        <f t="shared" ref="E15" si="3">E1</f>
        <v>25</v>
      </c>
      <c r="F15" s="56"/>
    </row>
    <row r="16" spans="1:19" ht="14.25" x14ac:dyDescent="0.25">
      <c r="B16" s="55"/>
      <c r="C16" s="9" t="s">
        <v>293</v>
      </c>
      <c r="D16" s="76" t="s">
        <v>425</v>
      </c>
      <c r="E16" s="80">
        <f t="shared" ref="E16" si="4">2*SUM(E13:E15)</f>
        <v>70</v>
      </c>
      <c r="F16" s="56"/>
    </row>
    <row r="17" spans="2:6" ht="14.25" x14ac:dyDescent="0.25">
      <c r="B17" s="55"/>
      <c r="C17" s="9" t="s">
        <v>416</v>
      </c>
      <c r="D17" s="76" t="s">
        <v>426</v>
      </c>
      <c r="E17" s="80">
        <f t="shared" ref="E17" si="5">E16</f>
        <v>70</v>
      </c>
      <c r="F17" s="56"/>
    </row>
    <row r="18" spans="2:6" ht="14.25" x14ac:dyDescent="0.25">
      <c r="B18" s="55"/>
      <c r="C18" s="140" t="s">
        <v>223</v>
      </c>
      <c r="D18" s="76" t="s">
        <v>296</v>
      </c>
      <c r="E18" s="80">
        <f t="shared" ref="E18" si="6">E13*0.5</f>
        <v>2.5</v>
      </c>
      <c r="F18" s="56"/>
    </row>
    <row r="19" spans="2:6" ht="14.25" x14ac:dyDescent="0.25">
      <c r="B19" s="55"/>
      <c r="C19" s="9" t="s">
        <v>154</v>
      </c>
      <c r="D19" s="76" t="s">
        <v>155</v>
      </c>
      <c r="E19" s="80">
        <f>0</f>
        <v>0</v>
      </c>
      <c r="F19" s="56"/>
    </row>
    <row r="20" spans="2:6" ht="14.25" x14ac:dyDescent="0.25">
      <c r="B20" s="55"/>
      <c r="C20" s="9" t="s">
        <v>273</v>
      </c>
      <c r="D20" s="76" t="s">
        <v>274</v>
      </c>
      <c r="E20" s="80">
        <v>100</v>
      </c>
      <c r="F20" s="56"/>
    </row>
    <row r="21" spans="2:6" ht="14.25" x14ac:dyDescent="0.25">
      <c r="B21" s="55"/>
      <c r="C21" s="9" t="s">
        <v>312</v>
      </c>
      <c r="D21" s="76" t="s">
        <v>313</v>
      </c>
      <c r="E21" s="80">
        <v>25</v>
      </c>
      <c r="F21" s="56"/>
    </row>
    <row r="22" spans="2:6" ht="14.25" x14ac:dyDescent="0.25">
      <c r="B22" s="55"/>
      <c r="C22" s="9" t="s">
        <v>398</v>
      </c>
      <c r="D22" s="76" t="s">
        <v>403</v>
      </c>
      <c r="E22" s="80">
        <f t="shared" ref="E22" si="7">E21*0.2</f>
        <v>5</v>
      </c>
      <c r="F22" s="56"/>
    </row>
    <row r="23" spans="2:6" ht="14.25" x14ac:dyDescent="0.25">
      <c r="B23" s="55"/>
      <c r="C23" s="9" t="s">
        <v>399</v>
      </c>
      <c r="D23" s="76" t="s">
        <v>402</v>
      </c>
      <c r="E23" s="80">
        <f t="shared" ref="E23" si="8">E21*0.2</f>
        <v>5</v>
      </c>
      <c r="F23" s="56"/>
    </row>
    <row r="24" spans="2:6" ht="14.25" x14ac:dyDescent="0.25">
      <c r="B24" s="55"/>
      <c r="C24" s="9" t="s">
        <v>400</v>
      </c>
      <c r="D24" s="76" t="s">
        <v>401</v>
      </c>
      <c r="E24" s="225">
        <v>0.5</v>
      </c>
      <c r="F24" s="56"/>
    </row>
    <row r="25" spans="2:6" ht="14.25" x14ac:dyDescent="0.25">
      <c r="B25" s="55"/>
      <c r="C25" s="9" t="s">
        <v>158</v>
      </c>
      <c r="D25" s="76" t="s">
        <v>159</v>
      </c>
      <c r="E25" s="80">
        <v>0</v>
      </c>
      <c r="F25" s="56"/>
    </row>
    <row r="26" spans="2:6" ht="12.75" x14ac:dyDescent="0.25">
      <c r="B26" s="55"/>
      <c r="C26" s="9" t="s">
        <v>310</v>
      </c>
      <c r="D26" s="76" t="s">
        <v>311</v>
      </c>
      <c r="E26" s="86">
        <v>45</v>
      </c>
      <c r="F26" s="56"/>
    </row>
    <row r="27" spans="2:6" ht="12.75" x14ac:dyDescent="0.25">
      <c r="B27" s="55"/>
      <c r="C27" s="9" t="s">
        <v>323</v>
      </c>
      <c r="D27" s="76" t="s">
        <v>324</v>
      </c>
      <c r="E27" s="86">
        <v>5</v>
      </c>
      <c r="F27" s="56"/>
    </row>
    <row r="28" spans="2:6" ht="12.75" x14ac:dyDescent="0.25">
      <c r="B28" s="55"/>
      <c r="C28" s="9" t="s">
        <v>160</v>
      </c>
      <c r="D28" s="76" t="s">
        <v>161</v>
      </c>
      <c r="E28" s="80">
        <v>90</v>
      </c>
      <c r="F28" s="56"/>
    </row>
    <row r="29" spans="2:6" ht="14.25" x14ac:dyDescent="0.25">
      <c r="B29" s="55"/>
      <c r="C29" s="9" t="s">
        <v>162</v>
      </c>
      <c r="D29" s="139" t="s">
        <v>164</v>
      </c>
      <c r="E29" s="80">
        <v>45</v>
      </c>
      <c r="F29" s="56"/>
    </row>
    <row r="30" spans="2:6" ht="14.25" x14ac:dyDescent="0.25">
      <c r="B30" s="55"/>
      <c r="C30" s="9" t="s">
        <v>288</v>
      </c>
      <c r="D30" s="76" t="s">
        <v>289</v>
      </c>
      <c r="E30" s="80">
        <v>12</v>
      </c>
      <c r="F30" s="56"/>
    </row>
    <row r="31" spans="2:6" ht="14.25" x14ac:dyDescent="0.25">
      <c r="B31" s="55"/>
      <c r="C31" s="9" t="s">
        <v>170</v>
      </c>
      <c r="D31" s="76" t="s">
        <v>413</v>
      </c>
      <c r="E31" s="80">
        <f t="shared" ref="E31" si="9">12*E9+E36</f>
        <v>33</v>
      </c>
      <c r="F31" s="56"/>
    </row>
    <row r="32" spans="2:6" ht="12.75" x14ac:dyDescent="0.25">
      <c r="B32" s="55"/>
      <c r="C32" s="9" t="s">
        <v>334</v>
      </c>
      <c r="D32" s="76" t="s">
        <v>414</v>
      </c>
      <c r="E32" s="80">
        <f t="shared" ref="E32" si="10">12*E9+E36</f>
        <v>33</v>
      </c>
      <c r="F32" s="56"/>
    </row>
    <row r="33" spans="1:6" ht="14.25" x14ac:dyDescent="0.25">
      <c r="B33" s="55"/>
      <c r="C33" s="9" t="s">
        <v>28</v>
      </c>
      <c r="D33" s="76" t="s">
        <v>15</v>
      </c>
      <c r="E33" s="86">
        <v>0</v>
      </c>
      <c r="F33" s="56"/>
    </row>
    <row r="34" spans="1:6" ht="14.25" x14ac:dyDescent="0.25">
      <c r="B34" s="55"/>
      <c r="C34" s="9" t="s">
        <v>30</v>
      </c>
      <c r="D34" s="76" t="s">
        <v>16</v>
      </c>
      <c r="E34" s="86">
        <v>12</v>
      </c>
      <c r="F34" s="56"/>
    </row>
    <row r="35" spans="1:6" ht="14.25" x14ac:dyDescent="0.25">
      <c r="B35" s="55"/>
      <c r="C35" s="9" t="s">
        <v>27</v>
      </c>
      <c r="D35" s="76" t="s">
        <v>14</v>
      </c>
      <c r="E35" s="40">
        <v>0.9</v>
      </c>
      <c r="F35" s="56"/>
    </row>
    <row r="36" spans="1:6" ht="14.25" x14ac:dyDescent="0.25">
      <c r="B36" s="55"/>
      <c r="C36" s="9" t="s">
        <v>121</v>
      </c>
      <c r="D36" s="76" t="s">
        <v>23</v>
      </c>
      <c r="E36" s="86">
        <v>9</v>
      </c>
      <c r="F36" s="56"/>
    </row>
    <row r="37" spans="1:6" ht="14.25" x14ac:dyDescent="0.25">
      <c r="B37" s="55"/>
      <c r="C37" s="9" t="s">
        <v>29</v>
      </c>
      <c r="D37" s="76" t="s">
        <v>22</v>
      </c>
      <c r="E37" s="86">
        <v>0</v>
      </c>
      <c r="F37" s="56"/>
    </row>
    <row r="38" spans="1:6" ht="14.25" x14ac:dyDescent="0.25">
      <c r="B38" s="55"/>
      <c r="C38" s="9" t="s">
        <v>321</v>
      </c>
      <c r="D38" s="76" t="s">
        <v>318</v>
      </c>
      <c r="E38" s="91">
        <v>1</v>
      </c>
      <c r="F38" s="56"/>
    </row>
    <row r="39" spans="1:6" ht="14.25" x14ac:dyDescent="0.25">
      <c r="B39" s="55"/>
      <c r="C39" s="9" t="s">
        <v>320</v>
      </c>
      <c r="D39" s="76" t="s">
        <v>319</v>
      </c>
      <c r="E39" s="91">
        <v>0.1</v>
      </c>
      <c r="F39" s="56"/>
    </row>
    <row r="40" spans="1:6" ht="14.25" x14ac:dyDescent="0.25">
      <c r="B40" s="55"/>
      <c r="C40" s="9" t="s">
        <v>315</v>
      </c>
      <c r="D40" s="76" t="s">
        <v>469</v>
      </c>
      <c r="E40" s="122">
        <v>3.5</v>
      </c>
      <c r="F40" s="56"/>
    </row>
    <row r="41" spans="1:6" ht="14.25" x14ac:dyDescent="0.25">
      <c r="B41" s="55"/>
      <c r="C41" s="9" t="s">
        <v>349</v>
      </c>
      <c r="D41" s="76" t="s">
        <v>316</v>
      </c>
      <c r="E41" s="122">
        <v>10</v>
      </c>
      <c r="F41" s="56"/>
    </row>
    <row r="42" spans="1:6" ht="14.25" x14ac:dyDescent="0.25">
      <c r="B42" s="55"/>
      <c r="C42" s="9" t="s">
        <v>317</v>
      </c>
      <c r="D42" s="76" t="s">
        <v>466</v>
      </c>
      <c r="E42" s="122">
        <v>3</v>
      </c>
      <c r="F42" s="56"/>
    </row>
    <row r="43" spans="1:6" ht="14.25" x14ac:dyDescent="0.25">
      <c r="B43" s="55"/>
      <c r="C43" s="9" t="s">
        <v>465</v>
      </c>
      <c r="D43" s="76" t="s">
        <v>467</v>
      </c>
      <c r="E43" s="122">
        <v>3</v>
      </c>
      <c r="F43" s="56"/>
    </row>
    <row r="44" spans="1:6" s="235" customFormat="1" x14ac:dyDescent="0.25">
      <c r="A44" s="230"/>
      <c r="B44" s="231"/>
      <c r="C44" s="9"/>
      <c r="D44" s="76" t="s">
        <v>264</v>
      </c>
      <c r="E44" s="122" t="str">
        <f>E4</f>
        <v>Free</v>
      </c>
      <c r="F44" s="234"/>
    </row>
    <row r="45" spans="1:6" x14ac:dyDescent="0.25">
      <c r="B45" s="55"/>
      <c r="C45" s="9"/>
      <c r="D45" s="76" t="s">
        <v>172</v>
      </c>
      <c r="E45" s="119" t="s">
        <v>74</v>
      </c>
      <c r="F45" s="28"/>
    </row>
    <row r="46" spans="1:6" ht="15.75" x14ac:dyDescent="0.25">
      <c r="B46" s="55"/>
      <c r="C46" s="9"/>
      <c r="D46" s="107" t="s">
        <v>227</v>
      </c>
      <c r="E46" s="119" t="s">
        <v>74</v>
      </c>
      <c r="F46" s="28"/>
    </row>
    <row r="47" spans="1:6" x14ac:dyDescent="0.25">
      <c r="B47" s="55"/>
      <c r="C47" s="117"/>
      <c r="D47" s="117"/>
      <c r="E47" s="117"/>
      <c r="F47" s="28"/>
    </row>
    <row r="48" spans="1:6" x14ac:dyDescent="0.25">
      <c r="A48" s="22"/>
      <c r="B48" s="61"/>
      <c r="C48" s="284" t="s">
        <v>24</v>
      </c>
      <c r="D48" s="285"/>
      <c r="E48" s="133"/>
      <c r="F48" s="28"/>
    </row>
    <row r="49" spans="2:6" ht="15.75" x14ac:dyDescent="0.25">
      <c r="B49" s="55"/>
      <c r="C49" s="4"/>
      <c r="D49" s="77" t="s">
        <v>225</v>
      </c>
      <c r="E49" s="134"/>
      <c r="F49" s="28"/>
    </row>
    <row r="50" spans="2:6" ht="14.25" x14ac:dyDescent="0.25">
      <c r="B50" s="55"/>
      <c r="C50" s="10" t="s">
        <v>268</v>
      </c>
      <c r="D50" s="93" t="s">
        <v>272</v>
      </c>
      <c r="E50" s="125">
        <f>(E31/E40) + 3</f>
        <v>12.428571428571429</v>
      </c>
      <c r="F50" s="28"/>
    </row>
    <row r="51" spans="2:6" x14ac:dyDescent="0.25">
      <c r="B51" s="55"/>
      <c r="C51" s="10" t="s">
        <v>275</v>
      </c>
      <c r="D51" s="93" t="s">
        <v>277</v>
      </c>
      <c r="E51" s="276">
        <f t="shared" ref="E51" si="11">E16/3600</f>
        <v>1.9444444444444445E-2</v>
      </c>
      <c r="F51" s="28"/>
    </row>
    <row r="52" spans="2:6" ht="14.25" x14ac:dyDescent="0.25">
      <c r="B52" s="55"/>
      <c r="C52" s="10" t="s">
        <v>273</v>
      </c>
      <c r="D52" s="93" t="s">
        <v>276</v>
      </c>
      <c r="E52" s="276">
        <f t="shared" ref="E52" si="12">E20/3600</f>
        <v>2.7777777777777776E-2</v>
      </c>
      <c r="F52" s="28"/>
    </row>
    <row r="53" spans="2:6" ht="14.25" x14ac:dyDescent="0.25">
      <c r="B53" s="55"/>
      <c r="C53" s="10" t="s">
        <v>270</v>
      </c>
      <c r="D53" s="93" t="s">
        <v>278</v>
      </c>
      <c r="E53" s="125">
        <f t="shared" ref="E53" si="13">MAX(8*E54/E30,1)</f>
        <v>1</v>
      </c>
      <c r="F53" s="28"/>
    </row>
    <row r="54" spans="2:6" ht="14.25" x14ac:dyDescent="0.25">
      <c r="B54" s="55"/>
      <c r="C54" s="10" t="s">
        <v>269</v>
      </c>
      <c r="D54" s="93" t="s">
        <v>279</v>
      </c>
      <c r="E54" s="125">
        <f>(E52*EXP(E52*E50)+E51*EXP(-E51*E50))/((E52+E51)*EXP((E52-E51)*E50))</f>
        <v>1.0405917001548015</v>
      </c>
      <c r="F54" s="28"/>
    </row>
    <row r="55" spans="2:6" ht="14.25" x14ac:dyDescent="0.25">
      <c r="B55" s="55"/>
      <c r="C55" s="10" t="s">
        <v>271</v>
      </c>
      <c r="D55" s="93" t="s">
        <v>280</v>
      </c>
      <c r="E55" s="125">
        <f t="shared" ref="E55" si="14">E50+2*(E53-1)</f>
        <v>12.428571428571429</v>
      </c>
      <c r="F55" s="28"/>
    </row>
    <row r="56" spans="2:6" ht="14.25" x14ac:dyDescent="0.25">
      <c r="B56" s="55"/>
      <c r="C56" s="10" t="s">
        <v>287</v>
      </c>
      <c r="D56" s="93" t="s">
        <v>282</v>
      </c>
      <c r="E56" s="125">
        <f t="shared" ref="E56" si="15">1-EXP(-E55*E51/E9)</f>
        <v>0.11381835577381472</v>
      </c>
      <c r="F56" s="28"/>
    </row>
    <row r="57" spans="2:6" ht="14.25" x14ac:dyDescent="0.25">
      <c r="B57" s="55"/>
      <c r="C57" s="10" t="s">
        <v>281</v>
      </c>
      <c r="D57" s="93" t="s">
        <v>283</v>
      </c>
      <c r="E57" s="125">
        <f t="shared" ref="E57" si="16">1-(1-E56)^E9</f>
        <v>0.21468209343657474</v>
      </c>
      <c r="F57" s="28"/>
    </row>
    <row r="58" spans="2:6" ht="14.25" x14ac:dyDescent="0.25">
      <c r="B58" s="55"/>
      <c r="C58" s="10" t="s">
        <v>284</v>
      </c>
      <c r="D58" s="93" t="s">
        <v>294</v>
      </c>
      <c r="E58" s="125">
        <f t="shared" ref="E58" si="17">IF(E44="Free", (1/E51)*(EXP(E51*E55)-E51*E55-1)/E57, "-")</f>
        <v>7.5946713320865902</v>
      </c>
      <c r="F58" s="28"/>
    </row>
    <row r="59" spans="2:6" ht="14.25" x14ac:dyDescent="0.25">
      <c r="B59" s="55"/>
      <c r="C59" s="10" t="s">
        <v>292</v>
      </c>
      <c r="D59" s="93" t="s">
        <v>295</v>
      </c>
      <c r="E59" s="125">
        <f t="shared" ref="E59" si="18">IF(E44="Free", ROUND(1/EXP(-E51*E50),0),"-")</f>
        <v>1</v>
      </c>
      <c r="F59" s="28"/>
    </row>
    <row r="60" spans="2:6" ht="14.25" x14ac:dyDescent="0.25">
      <c r="B60" s="55"/>
      <c r="C60" s="10" t="s">
        <v>291</v>
      </c>
      <c r="D60" s="93" t="s">
        <v>290</v>
      </c>
      <c r="E60" s="125">
        <f>((1/(E51/E9)) - (E50-(1/(E51/E9)))*EXP(-(E51/E9)*E50))/(1-EXP(-(E51/E9)*E50))</f>
        <v>1607.7660033535569</v>
      </c>
      <c r="F60" s="28"/>
    </row>
    <row r="61" spans="2:6" ht="14.25" x14ac:dyDescent="0.25">
      <c r="B61" s="55"/>
      <c r="C61" s="10" t="s">
        <v>103</v>
      </c>
      <c r="D61" s="93" t="s">
        <v>39</v>
      </c>
      <c r="E61" s="125">
        <f t="shared" ref="E61" si="19">0.681*E9^0.514</f>
        <v>0.97247071016552877</v>
      </c>
      <c r="F61" s="28"/>
    </row>
    <row r="62" spans="2:6" ht="14.25" x14ac:dyDescent="0.25">
      <c r="B62" s="55"/>
      <c r="C62" s="10" t="s">
        <v>149</v>
      </c>
      <c r="D62" s="93" t="s">
        <v>150</v>
      </c>
      <c r="E62" s="127">
        <f>2*SUM(E13:E15)/(4*E9)</f>
        <v>8.75</v>
      </c>
      <c r="F62" s="28"/>
    </row>
    <row r="63" spans="2:6" ht="14.25" x14ac:dyDescent="0.25">
      <c r="B63" s="55"/>
      <c r="C63" s="10" t="s">
        <v>101</v>
      </c>
      <c r="D63" s="93" t="s">
        <v>32</v>
      </c>
      <c r="E63" s="125">
        <f t="shared" ref="E63" si="20">0.00013*E62*E12</f>
        <v>1.7062499999999998E-2</v>
      </c>
      <c r="F63" s="28"/>
    </row>
    <row r="64" spans="2:6" ht="14.25" x14ac:dyDescent="0.25">
      <c r="B64" s="55"/>
      <c r="C64" s="10" t="s">
        <v>102</v>
      </c>
      <c r="D64" s="93" t="s">
        <v>33</v>
      </c>
      <c r="E64" s="125">
        <f t="shared" ref="E64" si="21">0.00569*SUM(E18:E19)/4-E25*(0.0027*E62-0.1946)</f>
        <v>3.5562499999999999E-3</v>
      </c>
      <c r="F64" s="28"/>
    </row>
    <row r="65" spans="2:6" ht="14.25" x14ac:dyDescent="0.25">
      <c r="B65" s="55"/>
      <c r="C65" s="10" t="s">
        <v>163</v>
      </c>
      <c r="D65" s="93" t="s">
        <v>212</v>
      </c>
      <c r="E65" s="127">
        <f t="shared" ref="E65" si="22">E29+4</f>
        <v>49</v>
      </c>
      <c r="F65" s="28"/>
    </row>
    <row r="66" spans="2:6" ht="14.25" x14ac:dyDescent="0.25">
      <c r="B66" s="55"/>
      <c r="C66" s="10" t="s">
        <v>165</v>
      </c>
      <c r="D66" s="93" t="s">
        <v>166</v>
      </c>
      <c r="E66" s="126">
        <f>IF(E44="Signalized",(E28-E65)^2/(2*E28),IF(E44="Free",PEDBIKE_DELAY(E52,E51,E31,E30,E40,E43,E38,E11,TRUE),IF(E44="Stop - Two way",1,IF(E44="Stop - All way",1,"Control N/A!"))))</f>
        <v>0.46235490204284713</v>
      </c>
      <c r="F66" s="28"/>
    </row>
    <row r="67" spans="2:6" ht="14.25" x14ac:dyDescent="0.25">
      <c r="B67" s="55"/>
      <c r="C67" s="10" t="s">
        <v>167</v>
      </c>
      <c r="D67" s="93" t="s">
        <v>168</v>
      </c>
      <c r="E67" s="125">
        <f>0.0401*LN(E66)</f>
        <v>-3.0934042112236493E-2</v>
      </c>
      <c r="F67" s="28"/>
    </row>
    <row r="68" spans="2:6" ht="14.25" x14ac:dyDescent="0.25">
      <c r="B68" s="55"/>
      <c r="C68" s="10" t="s">
        <v>48</v>
      </c>
      <c r="D68" s="93" t="s">
        <v>40</v>
      </c>
      <c r="E68" s="125">
        <f>IF(E9&gt;0,0.5997+E61+E63+E64+E67,0)</f>
        <v>1.5618554180532924</v>
      </c>
      <c r="F68" s="28"/>
    </row>
    <row r="69" spans="2:6" x14ac:dyDescent="0.25">
      <c r="B69" s="55"/>
      <c r="C69" s="10"/>
      <c r="D69" s="93" t="s">
        <v>211</v>
      </c>
      <c r="E69" s="124" t="str">
        <f t="shared" ref="E69" si="23">IF(E68&lt;=2,"A",IF(E68&lt;=2.75,"B",IF(E68&lt;=3.5,"C",IF(E68&lt;=4.25,"D",IF(E68&lt;=5,"E","F")))))</f>
        <v>A</v>
      </c>
      <c r="F69" s="28"/>
    </row>
    <row r="70" spans="2:6" x14ac:dyDescent="0.25">
      <c r="B70" s="55"/>
      <c r="C70" s="10"/>
      <c r="D70" s="93" t="s">
        <v>176</v>
      </c>
      <c r="E70" s="131"/>
      <c r="F70" s="28"/>
    </row>
    <row r="71" spans="2:6" ht="15.75" x14ac:dyDescent="0.25">
      <c r="B71" s="55"/>
      <c r="C71" s="4"/>
      <c r="D71" s="77" t="s">
        <v>226</v>
      </c>
      <c r="E71" s="134"/>
      <c r="F71" s="28"/>
    </row>
    <row r="72" spans="2:6" ht="14.25" x14ac:dyDescent="0.25">
      <c r="B72" s="55"/>
      <c r="C72" s="10" t="s">
        <v>309</v>
      </c>
      <c r="D72" s="93" t="s">
        <v>382</v>
      </c>
      <c r="E72" s="126">
        <f t="shared" ref="E72" si="24">MAX(1500*ROUNDDOWN(E33/2.5,0),1500)</f>
        <v>1500</v>
      </c>
      <c r="F72" s="28"/>
    </row>
    <row r="73" spans="2:6" ht="14.25" x14ac:dyDescent="0.25">
      <c r="B73" s="55"/>
      <c r="C73" s="10" t="s">
        <v>314</v>
      </c>
      <c r="D73" s="93" t="s">
        <v>383</v>
      </c>
      <c r="E73" s="126">
        <v>5</v>
      </c>
      <c r="F73" s="28"/>
    </row>
    <row r="74" spans="2:6" ht="14.25" x14ac:dyDescent="0.25">
      <c r="B74" s="55"/>
      <c r="C74" s="10" t="s">
        <v>298</v>
      </c>
      <c r="D74" s="93" t="s">
        <v>385</v>
      </c>
      <c r="E74" s="127">
        <f t="shared" ref="E74" si="25">E72*EXP(-(E13/3600)*E73)*E26/E28</f>
        <v>744.80970936773701</v>
      </c>
      <c r="F74" s="28"/>
    </row>
    <row r="75" spans="2:6" ht="14.25" x14ac:dyDescent="0.25">
      <c r="B75" s="55"/>
      <c r="C75" s="203" t="s">
        <v>408</v>
      </c>
      <c r="D75" s="177" t="s">
        <v>409</v>
      </c>
      <c r="E75" s="126">
        <f t="shared" ref="E75" si="26">0.5*E28*(1-E26/E28)^2/(1-MIN(E21/E74,1)*(E26/E28))</f>
        <v>11.442029408051155</v>
      </c>
      <c r="F75" s="28"/>
    </row>
    <row r="76" spans="2:6" x14ac:dyDescent="0.25">
      <c r="B76" s="55"/>
      <c r="C76" s="287" t="s">
        <v>421</v>
      </c>
      <c r="D76" s="288"/>
      <c r="E76" s="236"/>
      <c r="F76" s="28"/>
    </row>
    <row r="77" spans="2:6" ht="14.25" x14ac:dyDescent="0.25">
      <c r="B77" s="55"/>
      <c r="C77" s="10" t="s">
        <v>410</v>
      </c>
      <c r="D77" s="93" t="s">
        <v>411</v>
      </c>
      <c r="E77" s="125">
        <f t="shared" ref="E77" si="27">E32/E41 +E42</f>
        <v>6.3</v>
      </c>
      <c r="F77" s="28"/>
    </row>
    <row r="78" spans="2:6" ht="14.25" x14ac:dyDescent="0.25">
      <c r="B78" s="55"/>
      <c r="C78" s="10" t="s">
        <v>416</v>
      </c>
      <c r="D78" s="228" t="s">
        <v>417</v>
      </c>
      <c r="E78" s="276">
        <f t="shared" ref="E78" si="28">E17/3600</f>
        <v>1.9444444444444445E-2</v>
      </c>
      <c r="F78" s="28"/>
    </row>
    <row r="79" spans="2:6" ht="14.25" x14ac:dyDescent="0.25">
      <c r="B79" s="55"/>
      <c r="C79" s="10" t="s">
        <v>312</v>
      </c>
      <c r="D79" s="228" t="s">
        <v>468</v>
      </c>
      <c r="E79" s="276">
        <f>E21/3600</f>
        <v>6.9444444444444441E-3</v>
      </c>
      <c r="F79" s="28"/>
    </row>
    <row r="80" spans="2:6" ht="14.25" x14ac:dyDescent="0.25">
      <c r="B80" s="55"/>
      <c r="C80" s="10" t="s">
        <v>300</v>
      </c>
      <c r="D80" s="93" t="s">
        <v>386</v>
      </c>
      <c r="E80" s="125">
        <f>MAX(IF(E33=0,0,4*E81/E33),1)</f>
        <v>1</v>
      </c>
      <c r="F80" s="28"/>
    </row>
    <row r="81" spans="2:6" ht="14.25" x14ac:dyDescent="0.25">
      <c r="B81" s="55"/>
      <c r="C81" s="10" t="s">
        <v>301</v>
      </c>
      <c r="D81" s="93" t="s">
        <v>387</v>
      </c>
      <c r="E81" s="125">
        <f t="shared" ref="E81" si="29">((E21/3600)*EXP(E77*E21/3600) + E78*EXP(-E78*E77))/(((E21/3600)+E78)*EXP(((E21/3600)-E78))*E77)</f>
        <v>0.14896398057813312</v>
      </c>
      <c r="F81" s="28"/>
    </row>
    <row r="82" spans="2:6" ht="14.25" x14ac:dyDescent="0.25">
      <c r="B82" s="55"/>
      <c r="C82" s="10" t="s">
        <v>302</v>
      </c>
      <c r="D82" s="93" t="s">
        <v>390</v>
      </c>
      <c r="E82" s="125">
        <f t="shared" ref="E82" si="30">E77+2*(E80-1)</f>
        <v>6.3</v>
      </c>
      <c r="F82" s="28"/>
    </row>
    <row r="83" spans="2:6" ht="14.25" x14ac:dyDescent="0.25">
      <c r="B83" s="55"/>
      <c r="C83" s="10" t="s">
        <v>303</v>
      </c>
      <c r="D83" s="93" t="s">
        <v>388</v>
      </c>
      <c r="E83" s="125">
        <f t="shared" ref="E83" si="31">1-EXP(-E82*E78/E32)</f>
        <v>3.7052398076770077E-3</v>
      </c>
      <c r="F83" s="28"/>
    </row>
    <row r="84" spans="2:6" ht="14.25" x14ac:dyDescent="0.25">
      <c r="B84" s="55"/>
      <c r="C84" s="10" t="s">
        <v>304</v>
      </c>
      <c r="D84" s="93" t="s">
        <v>415</v>
      </c>
      <c r="E84" s="125">
        <f t="shared" ref="E84" si="32">1 - (1-E83)^E32</f>
        <v>0.11529409505651722</v>
      </c>
      <c r="F84" s="28"/>
    </row>
    <row r="85" spans="2:6" ht="14.25" x14ac:dyDescent="0.25">
      <c r="B85" s="55"/>
      <c r="C85" s="10" t="s">
        <v>305</v>
      </c>
      <c r="D85" s="93" t="s">
        <v>391</v>
      </c>
      <c r="E85" s="125">
        <f t="shared" ref="E85" si="33">(1/E78)*(EXP(E78*E77)-E51*E77-1)/E84</f>
        <v>3.4878297543141978</v>
      </c>
      <c r="F85" s="28"/>
    </row>
    <row r="86" spans="2:6" x14ac:dyDescent="0.25">
      <c r="B86" s="55"/>
      <c r="C86" s="10" t="s">
        <v>286</v>
      </c>
      <c r="D86" s="93" t="s">
        <v>392</v>
      </c>
      <c r="E86" s="125">
        <f t="shared" ref="E86" si="34">((1/E78) - (E93+(1/E78))*EXP(-E78*E93))/(1-EXP(-E78*E93))</f>
        <v>3.0857035790794201</v>
      </c>
      <c r="F86" s="28"/>
    </row>
    <row r="87" spans="2:6" x14ac:dyDescent="0.25">
      <c r="B87" s="55"/>
      <c r="C87" s="10" t="s">
        <v>285</v>
      </c>
      <c r="D87" s="93" t="s">
        <v>295</v>
      </c>
      <c r="E87" s="125">
        <f t="shared" ref="E87" si="35">ROUND(1/EXP(-E78*E82),0)</f>
        <v>1</v>
      </c>
      <c r="F87" s="28"/>
    </row>
    <row r="88" spans="2:6" ht="14.25" x14ac:dyDescent="0.25">
      <c r="B88" s="55"/>
      <c r="C88" s="203" t="s">
        <v>405</v>
      </c>
      <c r="D88" s="177" t="s">
        <v>406</v>
      </c>
      <c r="E88" s="126" cm="1">
        <f t="array" ref="E88">PEDBIKE_DELAY(E79,E78,E32,E33,E41,E42,E39,E11,FALSE)</f>
        <v>0.17508280324497261</v>
      </c>
      <c r="F88" s="28"/>
    </row>
    <row r="89" spans="2:6" x14ac:dyDescent="0.25">
      <c r="B89" s="55"/>
      <c r="C89" s="287" t="s">
        <v>420</v>
      </c>
      <c r="D89" s="288"/>
      <c r="E89" s="125"/>
      <c r="F89" s="28"/>
    </row>
    <row r="90" spans="2:6" ht="14.25" x14ac:dyDescent="0.25">
      <c r="B90" s="55"/>
      <c r="C90" s="10" t="s">
        <v>297</v>
      </c>
      <c r="D90" s="93" t="s">
        <v>412</v>
      </c>
      <c r="E90" s="125">
        <f t="shared" ref="E90" si="36">E31/E41 +E42</f>
        <v>6.3</v>
      </c>
      <c r="F90" s="28"/>
    </row>
    <row r="91" spans="2:6" ht="14.25" x14ac:dyDescent="0.25">
      <c r="B91" s="55"/>
      <c r="C91" s="10" t="s">
        <v>300</v>
      </c>
      <c r="D91" s="93" t="s">
        <v>386</v>
      </c>
      <c r="E91" s="125">
        <f>MAX(IF(E33=0,0,4*E92/E33),1)</f>
        <v>1</v>
      </c>
      <c r="F91" s="28"/>
    </row>
    <row r="92" spans="2:6" ht="14.25" x14ac:dyDescent="0.25">
      <c r="B92" s="55"/>
      <c r="C92" s="10" t="s">
        <v>301</v>
      </c>
      <c r="D92" s="93" t="s">
        <v>387</v>
      </c>
      <c r="E92" s="125">
        <f t="shared" ref="E92" si="37">((E21/3600)*EXP(E90*E21/3600) + E51*EXP(-E51*E90))/(((E21/3600)+E51)*EXP(((E21/3600)-E51))*E90)</f>
        <v>0.14896398057813312</v>
      </c>
      <c r="F92" s="28"/>
    </row>
    <row r="93" spans="2:6" ht="14.25" x14ac:dyDescent="0.25">
      <c r="B93" s="55"/>
      <c r="C93" s="10" t="s">
        <v>302</v>
      </c>
      <c r="D93" s="93" t="s">
        <v>390</v>
      </c>
      <c r="E93" s="125">
        <f t="shared" ref="E93" si="38">E90+2*(E91-1)</f>
        <v>6.3</v>
      </c>
      <c r="F93" s="28"/>
    </row>
    <row r="94" spans="2:6" ht="14.25" x14ac:dyDescent="0.25">
      <c r="B94" s="55"/>
      <c r="C94" s="10" t="s">
        <v>303</v>
      </c>
      <c r="D94" s="93" t="s">
        <v>388</v>
      </c>
      <c r="E94" s="125">
        <f t="shared" ref="E94" si="39">1-EXP(-E93*E51)</f>
        <v>0.11529409505651644</v>
      </c>
      <c r="F94" s="28"/>
    </row>
    <row r="95" spans="2:6" ht="14.25" x14ac:dyDescent="0.25">
      <c r="B95" s="55"/>
      <c r="C95" s="10" t="s">
        <v>304</v>
      </c>
      <c r="D95" s="93" t="s">
        <v>389</v>
      </c>
      <c r="E95" s="125">
        <f t="shared" ref="E95" si="40">1-(1-E94)^E31</f>
        <v>0.98244646631911248</v>
      </c>
      <c r="F95" s="28"/>
    </row>
    <row r="96" spans="2:6" ht="14.25" x14ac:dyDescent="0.25">
      <c r="B96" s="55"/>
      <c r="C96" s="10" t="s">
        <v>305</v>
      </c>
      <c r="D96" s="93" t="s">
        <v>391</v>
      </c>
      <c r="E96" s="125">
        <f t="shared" ref="E96" si="41">(1/E51)*(EXP(E51*E93)-E51*E93-1)/E95</f>
        <v>0.40931103018923576</v>
      </c>
      <c r="F96" s="28"/>
    </row>
    <row r="97" spans="2:6" x14ac:dyDescent="0.25">
      <c r="B97" s="55"/>
      <c r="C97" s="10" t="s">
        <v>286</v>
      </c>
      <c r="D97" s="93" t="s">
        <v>392</v>
      </c>
      <c r="E97" s="125">
        <f t="shared" ref="E97" si="42">((1/E51) - (E93+(1/E51))*EXP(-E51*E93))/(1-EXP(-E51*E93))</f>
        <v>3.0857035790794201</v>
      </c>
      <c r="F97" s="28"/>
    </row>
    <row r="98" spans="2:6" x14ac:dyDescent="0.25">
      <c r="B98" s="55"/>
      <c r="C98" s="10" t="s">
        <v>285</v>
      </c>
      <c r="D98" s="93" t="s">
        <v>295</v>
      </c>
      <c r="E98" s="127">
        <f t="shared" ref="E98" si="43">ROUND(1/EXP(-E51*E93),0)</f>
        <v>1</v>
      </c>
      <c r="F98" s="28"/>
    </row>
    <row r="99" spans="2:6" ht="14.25" x14ac:dyDescent="0.25">
      <c r="B99" s="55"/>
      <c r="C99" s="10" t="s">
        <v>306</v>
      </c>
      <c r="D99" s="93" t="s">
        <v>393</v>
      </c>
      <c r="E99" s="125" cm="1">
        <f t="array" ref="E99">PEDBIKE_DELAY(E79,E51,E32,E33,E41,E42,E39,E11,FALSE)</f>
        <v>0.17508280324497261</v>
      </c>
      <c r="F99" s="28"/>
    </row>
    <row r="100" spans="2:6" ht="14.25" x14ac:dyDescent="0.25">
      <c r="B100" s="55"/>
      <c r="C100" s="10" t="s">
        <v>307</v>
      </c>
      <c r="D100" s="93" t="s">
        <v>394</v>
      </c>
      <c r="E100" s="126">
        <f t="shared" ref="E100" si="44">(E26)/2 + E27 + E42</f>
        <v>30.5</v>
      </c>
      <c r="F100" s="28"/>
    </row>
    <row r="101" spans="2:6" ht="14.25" x14ac:dyDescent="0.25">
      <c r="B101" s="55"/>
      <c r="C101" s="10" t="s">
        <v>322</v>
      </c>
      <c r="D101" s="93" t="s">
        <v>395</v>
      </c>
      <c r="E101" s="126">
        <f t="shared" ref="E101" si="45">((E28-E26)/2)+E26+E27+2*E42</f>
        <v>78.5</v>
      </c>
      <c r="F101" s="28"/>
    </row>
    <row r="102" spans="2:6" ht="14.25" x14ac:dyDescent="0.25">
      <c r="B102" s="55"/>
      <c r="C102" s="10" t="s">
        <v>308</v>
      </c>
      <c r="D102" s="93" t="s">
        <v>396</v>
      </c>
      <c r="E102" s="126">
        <f t="shared" ref="E102" si="46">(E26/E28)*E100+((E28-E26)/E28)*E101</f>
        <v>54.5</v>
      </c>
      <c r="F102" s="28"/>
    </row>
    <row r="103" spans="2:6" ht="14.25" x14ac:dyDescent="0.25">
      <c r="B103" s="55"/>
      <c r="C103" s="10" t="s">
        <v>299</v>
      </c>
      <c r="D103" s="93" t="s">
        <v>407</v>
      </c>
      <c r="E103" s="126">
        <f t="shared" ref="E103" si="47">E75+(E22/E21)*((1-E24)*80 + E24*E102)</f>
        <v>24.892029408051158</v>
      </c>
      <c r="F103" s="28"/>
    </row>
    <row r="104" spans="2:6" x14ac:dyDescent="0.25">
      <c r="B104" s="55"/>
      <c r="C104" s="203"/>
      <c r="D104" s="229"/>
      <c r="E104" s="126"/>
      <c r="F104" s="28"/>
    </row>
    <row r="105" spans="2:6" ht="14.25" x14ac:dyDescent="0.25">
      <c r="B105" s="55"/>
      <c r="C105" s="10" t="s">
        <v>422</v>
      </c>
      <c r="D105" s="93" t="s">
        <v>423</v>
      </c>
      <c r="E105" s="126">
        <f>E76</f>
        <v>0</v>
      </c>
      <c r="F105" s="28"/>
    </row>
    <row r="106" spans="2:6" ht="14.25" x14ac:dyDescent="0.25">
      <c r="B106" s="55"/>
      <c r="C106" s="10" t="s">
        <v>109</v>
      </c>
      <c r="D106" s="93" t="s">
        <v>110</v>
      </c>
      <c r="E106" s="126">
        <f t="shared" ref="E106" si="48">IF(AND(E45="Yes",(E37-1.5)&gt;0),E37-1.5,E37)</f>
        <v>0</v>
      </c>
      <c r="F106" s="28"/>
    </row>
    <row r="107" spans="2:6" ht="14.25" x14ac:dyDescent="0.25">
      <c r="B107" s="55"/>
      <c r="C107" s="10" t="s">
        <v>174</v>
      </c>
      <c r="D107" s="93" t="s">
        <v>175</v>
      </c>
      <c r="E107" s="127">
        <f t="shared" ref="E107" si="49">IF(E35&gt;0,0,1)</f>
        <v>0</v>
      </c>
      <c r="F107" s="28"/>
    </row>
    <row r="108" spans="2:6" ht="14.25" x14ac:dyDescent="0.25">
      <c r="B108" s="55"/>
      <c r="C108" s="10" t="s">
        <v>45</v>
      </c>
      <c r="D108" s="93" t="s">
        <v>107</v>
      </c>
      <c r="E108" s="124">
        <f t="shared" ref="E108" si="50">E34+E33+E106+E107*E36</f>
        <v>12</v>
      </c>
      <c r="F108" s="28"/>
    </row>
    <row r="109" spans="2:6" ht="14.25" x14ac:dyDescent="0.25">
      <c r="B109" s="55"/>
      <c r="C109" s="10" t="s">
        <v>103</v>
      </c>
      <c r="D109" s="93" t="s">
        <v>39</v>
      </c>
      <c r="E109" s="125">
        <f t="shared" ref="E109" si="51">0.0153*E31-0.2144*E108</f>
        <v>-2.0678999999999998</v>
      </c>
      <c r="F109" s="28"/>
    </row>
    <row r="110" spans="2:6" ht="14.25" x14ac:dyDescent="0.25">
      <c r="B110" s="55"/>
      <c r="C110" s="10" t="s">
        <v>102</v>
      </c>
      <c r="D110" s="93" t="s">
        <v>33</v>
      </c>
      <c r="E110" s="125">
        <f t="shared" ref="E110" si="52">0.0066*SUM(E13:E15)/(4*E11)</f>
        <v>2.8875000000000001E-2</v>
      </c>
      <c r="F110" s="28"/>
    </row>
    <row r="111" spans="2:6" ht="14.25" x14ac:dyDescent="0.25">
      <c r="B111" s="55"/>
      <c r="C111" s="10" t="s">
        <v>98</v>
      </c>
      <c r="D111" s="93" t="s">
        <v>210</v>
      </c>
      <c r="E111" s="125">
        <f t="shared" ref="E111" si="53">IF(E9&gt;0,4.1324+E110+E109,0)</f>
        <v>2.093375</v>
      </c>
      <c r="F111" s="28"/>
    </row>
    <row r="112" spans="2:6" x14ac:dyDescent="0.25">
      <c r="B112" s="55"/>
      <c r="C112" s="10"/>
      <c r="D112" s="93" t="s">
        <v>51</v>
      </c>
      <c r="E112" s="124" t="str">
        <f>IF(E111&lt;=2,"A",IF(E111&lt;=2.75,"B",IF(E111&lt;=3.5,"C",IF(E111&lt;=4.25,"D",IF(E111&lt;=5,"E","F")))))</f>
        <v>B</v>
      </c>
      <c r="F112" s="28"/>
    </row>
    <row r="113" spans="1:6" x14ac:dyDescent="0.25">
      <c r="B113" s="55"/>
      <c r="C113" s="10"/>
      <c r="D113" s="93" t="s">
        <v>177</v>
      </c>
      <c r="E113" s="131"/>
      <c r="F113" s="28"/>
    </row>
    <row r="114" spans="1:6" x14ac:dyDescent="0.25">
      <c r="B114" s="55"/>
      <c r="C114" s="37"/>
      <c r="D114" s="60"/>
      <c r="E114" s="117"/>
      <c r="F114" s="28"/>
    </row>
    <row r="115" spans="1:6" x14ac:dyDescent="0.25">
      <c r="A115" s="21"/>
      <c r="B115" s="57"/>
      <c r="C115" s="284" t="s">
        <v>49</v>
      </c>
      <c r="D115" s="302"/>
      <c r="E115" s="88"/>
      <c r="F115" s="28"/>
    </row>
    <row r="116" spans="1:6" x14ac:dyDescent="0.25">
      <c r="B116" s="55"/>
      <c r="C116" s="4"/>
      <c r="D116" s="8" t="s">
        <v>50</v>
      </c>
      <c r="E116" s="115"/>
      <c r="F116" s="28"/>
    </row>
    <row r="117" spans="1:6" ht="14.25" x14ac:dyDescent="0.25">
      <c r="B117" s="55"/>
      <c r="C117" s="10" t="s">
        <v>213</v>
      </c>
      <c r="D117" s="11" t="s">
        <v>209</v>
      </c>
      <c r="E117" s="115"/>
      <c r="F117" s="28"/>
    </row>
    <row r="118" spans="1:6" x14ac:dyDescent="0.25">
      <c r="B118" s="55"/>
      <c r="C118" s="10"/>
      <c r="D118" s="11" t="s">
        <v>41</v>
      </c>
      <c r="E118" s="115"/>
      <c r="F118" s="28"/>
    </row>
    <row r="119" spans="1:6" x14ac:dyDescent="0.25">
      <c r="B119" s="55"/>
      <c r="C119" s="4"/>
      <c r="D119" s="8" t="s">
        <v>20</v>
      </c>
      <c r="E119" s="115"/>
      <c r="F119" s="28"/>
    </row>
    <row r="120" spans="1:6" ht="14.25" x14ac:dyDescent="0.25">
      <c r="B120" s="55"/>
      <c r="C120" s="10" t="s">
        <v>214</v>
      </c>
      <c r="D120" s="11" t="s">
        <v>210</v>
      </c>
      <c r="E120" s="115"/>
      <c r="F120" s="28"/>
    </row>
    <row r="121" spans="1:6" x14ac:dyDescent="0.25">
      <c r="B121" s="55"/>
      <c r="C121" s="10"/>
      <c r="D121" s="11" t="s">
        <v>51</v>
      </c>
      <c r="E121" s="115"/>
      <c r="F121" s="28"/>
    </row>
    <row r="122" spans="1:6" ht="14.25" thickBot="1" x14ac:dyDescent="0.3">
      <c r="B122" s="63"/>
      <c r="C122" s="30"/>
      <c r="D122" s="64"/>
      <c r="E122" s="135"/>
      <c r="F122" s="31"/>
    </row>
    <row r="124" spans="1:6" ht="38.25" x14ac:dyDescent="0.25">
      <c r="C124" s="21" t="s">
        <v>198</v>
      </c>
      <c r="D124" s="142" t="s">
        <v>228</v>
      </c>
    </row>
    <row r="125" spans="1:6" ht="15.75" x14ac:dyDescent="0.25">
      <c r="C125" s="21" t="s">
        <v>199</v>
      </c>
      <c r="D125" s="20" t="s">
        <v>203</v>
      </c>
    </row>
    <row r="126" spans="1:6" ht="15.75" x14ac:dyDescent="0.25">
      <c r="C126" s="21" t="s">
        <v>200</v>
      </c>
      <c r="D126" s="20" t="s">
        <v>204</v>
      </c>
    </row>
  </sheetData>
  <mergeCells count="5">
    <mergeCell ref="C115:D115"/>
    <mergeCell ref="C76:D76"/>
    <mergeCell ref="C89:D89"/>
    <mergeCell ref="C48:D48"/>
    <mergeCell ref="C7:D7"/>
  </mergeCells>
  <dataValidations count="3">
    <dataValidation type="list" allowBlank="1" showInputMessage="1" showErrorMessage="1" sqref="E44" xr:uid="{B049BF18-7F52-4A94-BC5A-26CB2779CC42}">
      <formula1>"Signalized, Stop, Free"</formula1>
    </dataValidation>
    <dataValidation type="decimal" operator="greaterThanOrEqual" allowBlank="1" showInputMessage="1" showErrorMessage="1" sqref="E11" xr:uid="{CE6C42D1-2F4B-4DAA-B091-107F883FF3B4}">
      <formula1>0</formula1>
    </dataValidation>
    <dataValidation type="list" allowBlank="1" showInputMessage="1" showErrorMessage="1" sqref="E45:E46" xr:uid="{9A4ABD47-5EE6-4700-9916-7D94A17E712D}">
      <formula1>"Yes,No"</formula1>
    </dataValidation>
  </dataValidations>
  <pageMargins left="0.125" right="0.125" top="0.5" bottom="0.5" header="0" footer="0"/>
  <pageSetup scale="20" fitToWidth="0" orientation="portrait"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6"/>
  <sheetViews>
    <sheetView view="pageBreakPreview" topLeftCell="A3" zoomScaleNormal="162" zoomScaleSheetLayoutView="100" zoomScalePageLayoutView="120" workbookViewId="0">
      <pane xSplit="5" ySplit="3" topLeftCell="F6" activePane="bottomRight" state="frozenSplit"/>
      <selection activeCell="A3" sqref="A3"/>
      <selection pane="topRight" activeCell="F3" sqref="F3"/>
      <selection pane="bottomLeft" activeCell="A6" sqref="A6"/>
      <selection pane="bottomRight" activeCell="D82" sqref="D82"/>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284" t="s">
        <v>68</v>
      </c>
      <c r="D3" s="285"/>
      <c r="E3" s="310" t="s">
        <v>220</v>
      </c>
      <c r="F3" s="284" t="s">
        <v>455</v>
      </c>
      <c r="G3" s="285"/>
      <c r="H3" s="285"/>
      <c r="I3" s="302"/>
      <c r="J3" s="284" t="s">
        <v>456</v>
      </c>
      <c r="K3" s="285"/>
      <c r="L3" s="285"/>
      <c r="M3" s="302"/>
      <c r="N3" s="284" t="s">
        <v>457</v>
      </c>
      <c r="O3" s="285"/>
      <c r="P3" s="285"/>
      <c r="Q3" s="302"/>
      <c r="R3" s="284" t="s">
        <v>458</v>
      </c>
      <c r="S3" s="285"/>
      <c r="T3" s="285"/>
      <c r="U3" s="302"/>
      <c r="V3" s="284" t="s">
        <v>459</v>
      </c>
      <c r="W3" s="285"/>
      <c r="X3" s="285"/>
      <c r="Y3" s="302"/>
      <c r="Z3" s="284" t="s">
        <v>460</v>
      </c>
      <c r="AA3" s="285"/>
      <c r="AB3" s="285"/>
      <c r="AC3" s="302"/>
      <c r="AD3" s="284" t="s">
        <v>461</v>
      </c>
      <c r="AE3" s="285"/>
      <c r="AF3" s="285"/>
      <c r="AG3" s="302"/>
      <c r="AH3" s="284" t="s">
        <v>462</v>
      </c>
      <c r="AI3" s="285"/>
      <c r="AJ3" s="285"/>
      <c r="AK3" s="302"/>
      <c r="AL3" s="284" t="s">
        <v>178</v>
      </c>
      <c r="AM3" s="285"/>
      <c r="AN3" s="285"/>
      <c r="AO3" s="302"/>
      <c r="AP3" s="284" t="s">
        <v>179</v>
      </c>
      <c r="AQ3" s="285"/>
      <c r="AR3" s="285"/>
      <c r="AS3" s="302"/>
      <c r="AT3" s="284" t="s">
        <v>180</v>
      </c>
      <c r="AU3" s="285"/>
      <c r="AV3" s="285"/>
      <c r="AW3" s="302"/>
      <c r="AX3" s="284" t="s">
        <v>181</v>
      </c>
      <c r="AY3" s="285"/>
      <c r="AZ3" s="285"/>
      <c r="BA3" s="302"/>
      <c r="BB3" s="284" t="s">
        <v>182</v>
      </c>
      <c r="BC3" s="285"/>
      <c r="BD3" s="285"/>
      <c r="BE3" s="302"/>
      <c r="BF3" s="284" t="s">
        <v>183</v>
      </c>
      <c r="BG3" s="285"/>
      <c r="BH3" s="285"/>
      <c r="BI3" s="302"/>
      <c r="BJ3" s="284" t="s">
        <v>184</v>
      </c>
      <c r="BK3" s="285"/>
      <c r="BL3" s="285"/>
      <c r="BM3" s="302"/>
      <c r="BN3" s="284" t="s">
        <v>185</v>
      </c>
      <c r="BO3" s="285"/>
      <c r="BP3" s="285"/>
      <c r="BQ3" s="302"/>
      <c r="BR3" s="284" t="s">
        <v>186</v>
      </c>
      <c r="BS3" s="285"/>
      <c r="BT3" s="285"/>
      <c r="BU3" s="302"/>
      <c r="BV3" s="284" t="s">
        <v>187</v>
      </c>
      <c r="BW3" s="285"/>
      <c r="BX3" s="285"/>
      <c r="BY3" s="302"/>
      <c r="BZ3" s="284" t="s">
        <v>188</v>
      </c>
      <c r="CA3" s="285"/>
      <c r="CB3" s="285"/>
      <c r="CC3" s="302"/>
      <c r="CD3" s="284" t="s">
        <v>189</v>
      </c>
      <c r="CE3" s="285"/>
      <c r="CF3" s="285"/>
      <c r="CG3" s="302"/>
      <c r="CH3" s="284" t="s">
        <v>190</v>
      </c>
      <c r="CI3" s="285"/>
      <c r="CJ3" s="285"/>
      <c r="CK3" s="302"/>
      <c r="CL3" s="312" t="s">
        <v>191</v>
      </c>
      <c r="CM3" s="56"/>
    </row>
    <row r="4" spans="1:91" ht="12.95" customHeight="1" x14ac:dyDescent="0.25">
      <c r="A4" s="21"/>
      <c r="B4" s="57"/>
      <c r="C4" s="284"/>
      <c r="D4" s="285"/>
      <c r="E4" s="310"/>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12"/>
      <c r="CM4" s="58"/>
    </row>
    <row r="5" spans="1:91" x14ac:dyDescent="0.25">
      <c r="A5" s="21"/>
      <c r="B5" s="57"/>
      <c r="C5" s="92"/>
      <c r="D5" s="93" t="s">
        <v>194</v>
      </c>
      <c r="E5" s="131"/>
      <c r="F5" s="13" t="s">
        <v>5</v>
      </c>
      <c r="G5" s="44" t="s">
        <v>229</v>
      </c>
      <c r="H5" s="44" t="s">
        <v>230</v>
      </c>
      <c r="I5" s="14" t="s">
        <v>231</v>
      </c>
      <c r="J5" s="13" t="s">
        <v>5</v>
      </c>
      <c r="K5" s="44" t="s">
        <v>229</v>
      </c>
      <c r="L5" s="44" t="s">
        <v>230</v>
      </c>
      <c r="M5" s="14" t="s">
        <v>231</v>
      </c>
      <c r="N5" s="13" t="s">
        <v>5</v>
      </c>
      <c r="O5" s="44" t="s">
        <v>229</v>
      </c>
      <c r="P5" s="44" t="s">
        <v>230</v>
      </c>
      <c r="Q5" s="14" t="s">
        <v>231</v>
      </c>
      <c r="R5" s="13" t="s">
        <v>5</v>
      </c>
      <c r="S5" s="44" t="s">
        <v>229</v>
      </c>
      <c r="T5" s="44" t="s">
        <v>230</v>
      </c>
      <c r="U5" s="14" t="s">
        <v>231</v>
      </c>
      <c r="V5" s="13" t="s">
        <v>5</v>
      </c>
      <c r="W5" s="44" t="s">
        <v>229</v>
      </c>
      <c r="X5" s="44" t="s">
        <v>230</v>
      </c>
      <c r="Y5" s="14" t="s">
        <v>231</v>
      </c>
      <c r="Z5" s="13" t="s">
        <v>5</v>
      </c>
      <c r="AA5" s="44" t="s">
        <v>229</v>
      </c>
      <c r="AB5" s="44" t="s">
        <v>230</v>
      </c>
      <c r="AC5" s="14" t="s">
        <v>231</v>
      </c>
      <c r="AD5" s="13" t="s">
        <v>5</v>
      </c>
      <c r="AE5" s="44" t="s">
        <v>229</v>
      </c>
      <c r="AF5" s="44" t="s">
        <v>230</v>
      </c>
      <c r="AG5" s="14" t="s">
        <v>231</v>
      </c>
      <c r="AH5" s="13" t="s">
        <v>5</v>
      </c>
      <c r="AI5" s="44" t="s">
        <v>229</v>
      </c>
      <c r="AJ5" s="44" t="s">
        <v>230</v>
      </c>
      <c r="AK5" s="14" t="s">
        <v>231</v>
      </c>
      <c r="AL5" s="13" t="s">
        <v>5</v>
      </c>
      <c r="AM5" s="44" t="s">
        <v>229</v>
      </c>
      <c r="AN5" s="44" t="s">
        <v>230</v>
      </c>
      <c r="AO5" s="14" t="s">
        <v>231</v>
      </c>
      <c r="AP5" s="13" t="s">
        <v>5</v>
      </c>
      <c r="AQ5" s="44" t="s">
        <v>229</v>
      </c>
      <c r="AR5" s="44" t="s">
        <v>230</v>
      </c>
      <c r="AS5" s="14" t="s">
        <v>231</v>
      </c>
      <c r="AT5" s="13" t="s">
        <v>5</v>
      </c>
      <c r="AU5" s="44" t="s">
        <v>229</v>
      </c>
      <c r="AV5" s="44" t="s">
        <v>230</v>
      </c>
      <c r="AW5" s="14" t="s">
        <v>231</v>
      </c>
      <c r="AX5" s="13" t="s">
        <v>5</v>
      </c>
      <c r="AY5" s="44" t="s">
        <v>229</v>
      </c>
      <c r="AZ5" s="44" t="s">
        <v>230</v>
      </c>
      <c r="BA5" s="14" t="s">
        <v>231</v>
      </c>
      <c r="BB5" s="13" t="s">
        <v>5</v>
      </c>
      <c r="BC5" s="44" t="s">
        <v>229</v>
      </c>
      <c r="BD5" s="44" t="s">
        <v>230</v>
      </c>
      <c r="BE5" s="14" t="s">
        <v>231</v>
      </c>
      <c r="BF5" s="13" t="s">
        <v>5</v>
      </c>
      <c r="BG5" s="44" t="s">
        <v>229</v>
      </c>
      <c r="BH5" s="44" t="s">
        <v>230</v>
      </c>
      <c r="BI5" s="14" t="s">
        <v>231</v>
      </c>
      <c r="BJ5" s="13" t="s">
        <v>5</v>
      </c>
      <c r="BK5" s="44" t="s">
        <v>229</v>
      </c>
      <c r="BL5" s="44" t="s">
        <v>230</v>
      </c>
      <c r="BM5" s="14" t="s">
        <v>231</v>
      </c>
      <c r="BN5" s="13" t="s">
        <v>5</v>
      </c>
      <c r="BO5" s="44" t="s">
        <v>229</v>
      </c>
      <c r="BP5" s="44" t="s">
        <v>230</v>
      </c>
      <c r="BQ5" s="14" t="s">
        <v>231</v>
      </c>
      <c r="BR5" s="13" t="s">
        <v>5</v>
      </c>
      <c r="BS5" s="44" t="s">
        <v>229</v>
      </c>
      <c r="BT5" s="44" t="s">
        <v>230</v>
      </c>
      <c r="BU5" s="14" t="s">
        <v>231</v>
      </c>
      <c r="BV5" s="13" t="s">
        <v>5</v>
      </c>
      <c r="BW5" s="44" t="s">
        <v>229</v>
      </c>
      <c r="BX5" s="44" t="s">
        <v>230</v>
      </c>
      <c r="BY5" s="14" t="s">
        <v>231</v>
      </c>
      <c r="BZ5" s="13" t="s">
        <v>5</v>
      </c>
      <c r="CA5" s="44" t="s">
        <v>229</v>
      </c>
      <c r="CB5" s="44" t="s">
        <v>230</v>
      </c>
      <c r="CC5" s="14" t="s">
        <v>231</v>
      </c>
      <c r="CD5" s="13" t="s">
        <v>5</v>
      </c>
      <c r="CE5" s="44" t="s">
        <v>229</v>
      </c>
      <c r="CF5" s="44" t="s">
        <v>230</v>
      </c>
      <c r="CG5" s="14" t="s">
        <v>231</v>
      </c>
      <c r="CH5" s="13" t="s">
        <v>5</v>
      </c>
      <c r="CI5" s="44" t="s">
        <v>229</v>
      </c>
      <c r="CJ5" s="44" t="s">
        <v>230</v>
      </c>
      <c r="CK5" s="14" t="s">
        <v>231</v>
      </c>
      <c r="CL5" s="312"/>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284" t="s">
        <v>0</v>
      </c>
      <c r="D7" s="285"/>
      <c r="E7" s="133"/>
      <c r="F7" s="284"/>
      <c r="G7" s="285"/>
      <c r="H7" s="285"/>
      <c r="I7" s="302"/>
      <c r="J7" s="284"/>
      <c r="K7" s="285"/>
      <c r="L7" s="285"/>
      <c r="M7" s="302"/>
      <c r="N7" s="284"/>
      <c r="O7" s="285"/>
      <c r="P7" s="285"/>
      <c r="Q7" s="302"/>
      <c r="R7" s="284"/>
      <c r="S7" s="285"/>
      <c r="T7" s="285"/>
      <c r="U7" s="302"/>
      <c r="V7" s="284"/>
      <c r="W7" s="285"/>
      <c r="X7" s="285"/>
      <c r="Y7" s="302"/>
      <c r="Z7" s="284"/>
      <c r="AA7" s="285"/>
      <c r="AB7" s="285"/>
      <c r="AC7" s="302"/>
      <c r="AD7" s="284"/>
      <c r="AE7" s="285"/>
      <c r="AF7" s="285"/>
      <c r="AG7" s="302"/>
      <c r="AH7" s="284"/>
      <c r="AI7" s="285"/>
      <c r="AJ7" s="285"/>
      <c r="AK7" s="302"/>
      <c r="AL7" s="284"/>
      <c r="AM7" s="285"/>
      <c r="AN7" s="285"/>
      <c r="AO7" s="302"/>
      <c r="AP7" s="284"/>
      <c r="AQ7" s="285"/>
      <c r="AR7" s="285"/>
      <c r="AS7" s="302"/>
      <c r="AT7" s="284"/>
      <c r="AU7" s="285"/>
      <c r="AV7" s="285"/>
      <c r="AW7" s="302"/>
      <c r="AX7" s="284"/>
      <c r="AY7" s="285"/>
      <c r="AZ7" s="285"/>
      <c r="BA7" s="302"/>
      <c r="BB7" s="284"/>
      <c r="BC7" s="285"/>
      <c r="BD7" s="285"/>
      <c r="BE7" s="302"/>
      <c r="BF7" s="284"/>
      <c r="BG7" s="285"/>
      <c r="BH7" s="285"/>
      <c r="BI7" s="302"/>
      <c r="BJ7" s="284"/>
      <c r="BK7" s="285"/>
      <c r="BL7" s="285"/>
      <c r="BM7" s="302"/>
      <c r="BN7" s="284"/>
      <c r="BO7" s="285"/>
      <c r="BP7" s="285"/>
      <c r="BQ7" s="302"/>
      <c r="BR7" s="284"/>
      <c r="BS7" s="285"/>
      <c r="BT7" s="285"/>
      <c r="BU7" s="302"/>
      <c r="BV7" s="284"/>
      <c r="BW7" s="285"/>
      <c r="BX7" s="285"/>
      <c r="BY7" s="302"/>
      <c r="BZ7" s="284"/>
      <c r="CA7" s="285"/>
      <c r="CB7" s="285"/>
      <c r="CC7" s="302"/>
      <c r="CD7" s="284"/>
      <c r="CE7" s="285"/>
      <c r="CF7" s="285"/>
      <c r="CG7" s="302"/>
      <c r="CH7" s="284"/>
      <c r="CI7" s="285"/>
      <c r="CJ7" s="285"/>
      <c r="CK7" s="302"/>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418</v>
      </c>
      <c r="D10" s="76" t="s">
        <v>419</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152</v>
      </c>
      <c r="D13" s="76" t="s">
        <v>232</v>
      </c>
      <c r="E13" s="118"/>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151</v>
      </c>
      <c r="D14" s="76" t="s">
        <v>156</v>
      </c>
      <c r="E14" s="118"/>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169</v>
      </c>
      <c r="D15" s="76" t="s">
        <v>157</v>
      </c>
      <c r="E15" s="118"/>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9">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293</v>
      </c>
      <c r="D16" s="76" t="s">
        <v>425</v>
      </c>
      <c r="E16" s="118"/>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1">
        <f>SUM(X13:Y15)</f>
        <v>904</v>
      </c>
      <c r="Z16" s="89">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416</v>
      </c>
      <c r="D17" s="76" t="s">
        <v>426</v>
      </c>
      <c r="E17" s="118"/>
      <c r="F17" s="89">
        <f>H16</f>
        <v>1033</v>
      </c>
      <c r="G17" s="89">
        <f>I16</f>
        <v>1033</v>
      </c>
      <c r="H17" s="89">
        <f>G16</f>
        <v>1197</v>
      </c>
      <c r="I17" s="89">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9">
        <f>AD16</f>
        <v>28</v>
      </c>
      <c r="AH17" s="80">
        <f>AJ16</f>
        <v>487</v>
      </c>
      <c r="AI17" s="89">
        <f>AK16</f>
        <v>487</v>
      </c>
      <c r="AJ17" s="89">
        <f>AI16</f>
        <v>686</v>
      </c>
      <c r="AK17" s="81">
        <f>AH16</f>
        <v>686</v>
      </c>
      <c r="AL17" s="89"/>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223</v>
      </c>
      <c r="D18" s="76" t="s">
        <v>296</v>
      </c>
      <c r="E18" s="271">
        <v>0.6</v>
      </c>
      <c r="F18" s="89">
        <f>F13*$E$18</f>
        <v>28.799999999999997</v>
      </c>
      <c r="G18" s="89">
        <f>G13*$E$18</f>
        <v>20.399999999999999</v>
      </c>
      <c r="H18" s="89">
        <f>H13*$E$18</f>
        <v>21.599999999999998</v>
      </c>
      <c r="I18" s="89">
        <f>I13*$E$18</f>
        <v>52.8</v>
      </c>
      <c r="J18" s="89">
        <f t="shared" ref="J18:AK18" si="0">J13*$E$18</f>
        <v>21.599999999999998</v>
      </c>
      <c r="K18" s="89"/>
      <c r="L18" s="89">
        <f t="shared" si="0"/>
        <v>0</v>
      </c>
      <c r="M18" s="81">
        <f t="shared" si="0"/>
        <v>6</v>
      </c>
      <c r="N18" s="89">
        <f t="shared" si="0"/>
        <v>27.599999999999998</v>
      </c>
      <c r="O18" s="89">
        <f t="shared" si="0"/>
        <v>212.4</v>
      </c>
      <c r="P18" s="89">
        <f t="shared" si="0"/>
        <v>49.199999999999996</v>
      </c>
      <c r="Q18" s="89">
        <f t="shared" si="0"/>
        <v>11.4</v>
      </c>
      <c r="R18" s="89">
        <f t="shared" si="0"/>
        <v>52.199999999999996</v>
      </c>
      <c r="S18" s="89"/>
      <c r="T18" s="89">
        <f t="shared" si="0"/>
        <v>0</v>
      </c>
      <c r="U18" s="81">
        <f t="shared" si="0"/>
        <v>5.3999999999999995</v>
      </c>
      <c r="V18" s="89">
        <f t="shared" si="0"/>
        <v>55.8</v>
      </c>
      <c r="W18" s="89"/>
      <c r="X18" s="89">
        <f t="shared" si="0"/>
        <v>0</v>
      </c>
      <c r="Y18" s="81">
        <f t="shared" si="0"/>
        <v>5.3999999999999995</v>
      </c>
      <c r="Z18" s="89">
        <f t="shared" si="0"/>
        <v>62.4</v>
      </c>
      <c r="AA18" s="89"/>
      <c r="AB18" s="89">
        <f t="shared" si="0"/>
        <v>0</v>
      </c>
      <c r="AC18" s="81">
        <f t="shared" si="0"/>
        <v>10.199999999999999</v>
      </c>
      <c r="AD18" s="89">
        <f t="shared" si="0"/>
        <v>10.199999999999999</v>
      </c>
      <c r="AE18" s="89"/>
      <c r="AF18" s="89">
        <f t="shared" si="0"/>
        <v>0</v>
      </c>
      <c r="AG18" s="89">
        <f t="shared" si="0"/>
        <v>6</v>
      </c>
      <c r="AH18" s="80">
        <f t="shared" si="0"/>
        <v>9</v>
      </c>
      <c r="AI18" s="89">
        <f t="shared" si="0"/>
        <v>57</v>
      </c>
      <c r="AJ18" s="89">
        <f t="shared" si="0"/>
        <v>145.79999999999998</v>
      </c>
      <c r="AK18" s="81">
        <f t="shared" si="0"/>
        <v>3</v>
      </c>
      <c r="AL18" s="89"/>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154</v>
      </c>
      <c r="D19" s="76" t="s">
        <v>155</v>
      </c>
      <c r="E19" s="271">
        <v>0.3</v>
      </c>
      <c r="F19" s="89">
        <f>F14*$E$19</f>
        <v>39.6</v>
      </c>
      <c r="G19" s="89">
        <f t="shared" ref="G19:J19" si="1">G14*$E$19</f>
        <v>3</v>
      </c>
      <c r="H19" s="89">
        <f t="shared" si="1"/>
        <v>84</v>
      </c>
      <c r="I19" s="89">
        <f t="shared" si="1"/>
        <v>19.2</v>
      </c>
      <c r="J19" s="89">
        <f t="shared" si="1"/>
        <v>2.6999999999999997</v>
      </c>
      <c r="K19" s="89"/>
      <c r="L19" s="89">
        <f t="shared" ref="L19:AK19" si="2">L14*$E$19</f>
        <v>4.5</v>
      </c>
      <c r="M19" s="81">
        <f t="shared" si="2"/>
        <v>0</v>
      </c>
      <c r="N19" s="89">
        <f t="shared" si="2"/>
        <v>8.4</v>
      </c>
      <c r="O19" s="89">
        <f t="shared" si="2"/>
        <v>12.6</v>
      </c>
      <c r="P19" s="89">
        <f t="shared" si="2"/>
        <v>12.299999999999999</v>
      </c>
      <c r="Q19" s="89">
        <f t="shared" si="2"/>
        <v>76.5</v>
      </c>
      <c r="R19" s="89">
        <f t="shared" si="2"/>
        <v>0</v>
      </c>
      <c r="S19" s="89"/>
      <c r="T19" s="89">
        <f t="shared" si="2"/>
        <v>0</v>
      </c>
      <c r="U19" s="81">
        <f t="shared" si="2"/>
        <v>0</v>
      </c>
      <c r="V19" s="89">
        <f t="shared" si="2"/>
        <v>0.6</v>
      </c>
      <c r="W19" s="89"/>
      <c r="X19" s="89">
        <f t="shared" si="2"/>
        <v>43.199999999999996</v>
      </c>
      <c r="Y19" s="81">
        <f t="shared" si="2"/>
        <v>0</v>
      </c>
      <c r="Z19" s="89">
        <f t="shared" si="2"/>
        <v>13.2</v>
      </c>
      <c r="AA19" s="89"/>
      <c r="AB19" s="89">
        <f t="shared" si="2"/>
        <v>26.099999999999998</v>
      </c>
      <c r="AC19" s="81">
        <f t="shared" si="2"/>
        <v>0</v>
      </c>
      <c r="AD19" s="89">
        <f t="shared" si="2"/>
        <v>3.3</v>
      </c>
      <c r="AE19" s="89"/>
      <c r="AF19" s="89">
        <f t="shared" si="2"/>
        <v>7.1999999999999993</v>
      </c>
      <c r="AG19" s="89">
        <f t="shared" si="2"/>
        <v>0</v>
      </c>
      <c r="AH19" s="80">
        <f t="shared" si="2"/>
        <v>3</v>
      </c>
      <c r="AI19" s="89">
        <f t="shared" si="2"/>
        <v>54.9</v>
      </c>
      <c r="AJ19" s="89">
        <f t="shared" si="2"/>
        <v>7.1999999999999993</v>
      </c>
      <c r="AK19" s="81">
        <f t="shared" si="2"/>
        <v>6.6</v>
      </c>
      <c r="AL19" s="89"/>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273</v>
      </c>
      <c r="D20" s="76" t="s">
        <v>274</v>
      </c>
      <c r="E20" s="118"/>
      <c r="F20" s="89">
        <f>N20*1.1</f>
        <v>187.00000000000003</v>
      </c>
      <c r="G20" s="89">
        <f t="shared" ref="G20:I21" si="3">O20*1.1</f>
        <v>72.600000000000009</v>
      </c>
      <c r="H20" s="89">
        <f t="shared" si="3"/>
        <v>176</v>
      </c>
      <c r="I20" s="89">
        <f t="shared" si="3"/>
        <v>129.80000000000001</v>
      </c>
      <c r="J20" s="89">
        <v>116</v>
      </c>
      <c r="K20" s="89"/>
      <c r="L20" s="89"/>
      <c r="M20" s="81"/>
      <c r="N20" s="80">
        <v>170</v>
      </c>
      <c r="O20" s="89">
        <v>66</v>
      </c>
      <c r="P20" s="89">
        <v>160</v>
      </c>
      <c r="Q20" s="89">
        <v>118</v>
      </c>
      <c r="R20" s="80">
        <v>144</v>
      </c>
      <c r="S20" s="89"/>
      <c r="T20" s="89">
        <v>0</v>
      </c>
      <c r="U20" s="81">
        <v>146</v>
      </c>
      <c r="V20" s="89">
        <f>96+53</f>
        <v>149</v>
      </c>
      <c r="W20" s="89"/>
      <c r="X20" s="89">
        <v>96</v>
      </c>
      <c r="Y20" s="81">
        <v>37</v>
      </c>
      <c r="Z20" s="89">
        <v>102</v>
      </c>
      <c r="AA20" s="89">
        <v>63</v>
      </c>
      <c r="AB20" s="89">
        <v>320</v>
      </c>
      <c r="AC20" s="81">
        <v>171</v>
      </c>
      <c r="AD20" s="89">
        <v>120</v>
      </c>
      <c r="AE20" s="89"/>
      <c r="AF20" s="89">
        <v>94</v>
      </c>
      <c r="AG20" s="89">
        <v>206</v>
      </c>
      <c r="AH20" s="80">
        <v>59</v>
      </c>
      <c r="AI20" s="89">
        <v>11</v>
      </c>
      <c r="AJ20" s="89">
        <v>71</v>
      </c>
      <c r="AK20" s="81">
        <v>44</v>
      </c>
      <c r="AL20" s="89"/>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312</v>
      </c>
      <c r="D21" s="76" t="s">
        <v>313</v>
      </c>
      <c r="E21" s="118"/>
      <c r="F21" s="89">
        <f>N21*1.1</f>
        <v>28.6</v>
      </c>
      <c r="G21" s="89">
        <f t="shared" si="3"/>
        <v>6.6000000000000005</v>
      </c>
      <c r="H21" s="89">
        <f t="shared" si="3"/>
        <v>97.9</v>
      </c>
      <c r="I21" s="89">
        <f t="shared" si="3"/>
        <v>15.400000000000002</v>
      </c>
      <c r="J21" s="89">
        <f>(3+14)</f>
        <v>17</v>
      </c>
      <c r="K21" s="89"/>
      <c r="L21" s="89">
        <f>(2+72)</f>
        <v>74</v>
      </c>
      <c r="M21" s="81">
        <v>9</v>
      </c>
      <c r="N21" s="80">
        <v>26</v>
      </c>
      <c r="O21" s="89">
        <v>6</v>
      </c>
      <c r="P21" s="89">
        <f>(56+33)</f>
        <v>89</v>
      </c>
      <c r="Q21" s="81">
        <v>14</v>
      </c>
      <c r="R21" s="80">
        <v>7</v>
      </c>
      <c r="S21" s="89"/>
      <c r="T21" s="89">
        <v>46</v>
      </c>
      <c r="U21" s="81">
        <v>1</v>
      </c>
      <c r="V21" s="89">
        <v>6</v>
      </c>
      <c r="W21" s="89"/>
      <c r="X21" s="89">
        <v>18</v>
      </c>
      <c r="Y21" s="81">
        <v>2</v>
      </c>
      <c r="Z21" s="89">
        <v>43</v>
      </c>
      <c r="AA21" s="89">
        <v>6</v>
      </c>
      <c r="AB21" s="89">
        <v>6</v>
      </c>
      <c r="AC21" s="81">
        <v>3</v>
      </c>
      <c r="AD21" s="89">
        <v>2</v>
      </c>
      <c r="AE21" s="89"/>
      <c r="AF21" s="89">
        <v>5</v>
      </c>
      <c r="AG21" s="89">
        <v>4</v>
      </c>
      <c r="AH21" s="80">
        <f>Z21*1.1</f>
        <v>47.300000000000004</v>
      </c>
      <c r="AI21" s="89">
        <f t="shared" ref="AI21:AK21" si="4">AA21*1.1</f>
        <v>6.6000000000000005</v>
      </c>
      <c r="AJ21" s="89">
        <f t="shared" si="4"/>
        <v>6.6000000000000005</v>
      </c>
      <c r="AK21" s="81">
        <f t="shared" si="4"/>
        <v>3.3000000000000003</v>
      </c>
      <c r="AL21" s="89"/>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398</v>
      </c>
      <c r="D22" s="76" t="s">
        <v>403</v>
      </c>
      <c r="E22" s="118"/>
      <c r="F22" s="89">
        <f t="shared" ref="F22:F23" si="5">N22*1.1</f>
        <v>2.2000000000000002</v>
      </c>
      <c r="G22" s="89">
        <f t="shared" ref="G22:G23" si="6">O22*1.1</f>
        <v>2.2000000000000002</v>
      </c>
      <c r="H22" s="89">
        <f>P22*1.1</f>
        <v>61.600000000000009</v>
      </c>
      <c r="I22" s="89">
        <f t="shared" ref="I22:I23" si="7">Q22*1.1</f>
        <v>7.7000000000000011</v>
      </c>
      <c r="J22" s="80">
        <v>14</v>
      </c>
      <c r="K22" s="89"/>
      <c r="L22" s="89">
        <v>2</v>
      </c>
      <c r="M22" s="81">
        <v>0</v>
      </c>
      <c r="N22" s="80">
        <v>2</v>
      </c>
      <c r="O22" s="89">
        <v>2</v>
      </c>
      <c r="P22" s="89">
        <v>56</v>
      </c>
      <c r="Q22" s="81">
        <v>7</v>
      </c>
      <c r="R22" s="80">
        <v>6</v>
      </c>
      <c r="S22" s="89"/>
      <c r="T22" s="89">
        <v>1</v>
      </c>
      <c r="U22" s="81">
        <v>0</v>
      </c>
      <c r="V22" s="80">
        <v>0</v>
      </c>
      <c r="W22" s="89"/>
      <c r="X22" s="89">
        <v>0</v>
      </c>
      <c r="Y22" s="81">
        <v>0</v>
      </c>
      <c r="Z22" s="80">
        <v>2</v>
      </c>
      <c r="AA22" s="89"/>
      <c r="AB22" s="89">
        <v>1</v>
      </c>
      <c r="AC22" s="81">
        <v>0</v>
      </c>
      <c r="AD22" s="80">
        <v>1</v>
      </c>
      <c r="AE22" s="89"/>
      <c r="AF22" s="89">
        <v>0</v>
      </c>
      <c r="AG22" s="89">
        <v>1</v>
      </c>
      <c r="AH22" s="80">
        <f>Z22*1.1</f>
        <v>2.2000000000000002</v>
      </c>
      <c r="AI22" s="89">
        <f t="shared" ref="AI22:AI23" si="8">AA22*1.1</f>
        <v>0</v>
      </c>
      <c r="AJ22" s="89">
        <f t="shared" ref="AJ22:AJ23" si="9">AB22*1.1</f>
        <v>1.1000000000000001</v>
      </c>
      <c r="AK22" s="81">
        <f t="shared" ref="AK22:AK23" si="10">AC22*1.1</f>
        <v>0</v>
      </c>
      <c r="AL22" s="89"/>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399</v>
      </c>
      <c r="D23" s="76" t="s">
        <v>402</v>
      </c>
      <c r="E23" s="118"/>
      <c r="F23" s="89">
        <f t="shared" si="5"/>
        <v>0</v>
      </c>
      <c r="G23" s="89">
        <f t="shared" si="6"/>
        <v>1.1000000000000001</v>
      </c>
      <c r="H23" s="89">
        <f t="shared" ref="H23" si="11">P23*1.1</f>
        <v>36.300000000000004</v>
      </c>
      <c r="I23" s="89">
        <f t="shared" si="7"/>
        <v>0</v>
      </c>
      <c r="J23" s="80">
        <v>3</v>
      </c>
      <c r="K23" s="89"/>
      <c r="L23" s="89">
        <v>0</v>
      </c>
      <c r="M23" s="81">
        <v>1</v>
      </c>
      <c r="N23" s="80">
        <v>0</v>
      </c>
      <c r="O23" s="89">
        <v>1</v>
      </c>
      <c r="P23" s="89">
        <v>33</v>
      </c>
      <c r="Q23" s="81">
        <v>0</v>
      </c>
      <c r="R23" s="80">
        <v>1</v>
      </c>
      <c r="S23" s="89"/>
      <c r="T23" s="89">
        <v>0</v>
      </c>
      <c r="U23" s="81">
        <v>0</v>
      </c>
      <c r="V23" s="80">
        <v>6</v>
      </c>
      <c r="W23" s="89"/>
      <c r="X23" s="89">
        <v>0</v>
      </c>
      <c r="Y23" s="81">
        <v>0</v>
      </c>
      <c r="Z23" s="80">
        <v>2</v>
      </c>
      <c r="AA23" s="89"/>
      <c r="AB23" s="89">
        <v>0</v>
      </c>
      <c r="AC23" s="81">
        <v>0</v>
      </c>
      <c r="AD23" s="80">
        <v>1</v>
      </c>
      <c r="AE23" s="89"/>
      <c r="AF23" s="89">
        <v>0</v>
      </c>
      <c r="AG23" s="89">
        <v>0</v>
      </c>
      <c r="AH23" s="80">
        <f>Z23*1.1</f>
        <v>2.2000000000000002</v>
      </c>
      <c r="AI23" s="89">
        <f t="shared" si="8"/>
        <v>0</v>
      </c>
      <c r="AJ23" s="89">
        <f t="shared" si="9"/>
        <v>0</v>
      </c>
      <c r="AK23" s="81">
        <f t="shared" si="10"/>
        <v>0</v>
      </c>
      <c r="AL23" s="89"/>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400</v>
      </c>
      <c r="D24" s="76" t="s">
        <v>401</v>
      </c>
      <c r="E24" s="227">
        <v>0.5</v>
      </c>
      <c r="F24" s="225">
        <v>0.5</v>
      </c>
      <c r="G24" s="224">
        <v>0.5</v>
      </c>
      <c r="H24" s="224">
        <v>0.5</v>
      </c>
      <c r="I24" s="223">
        <v>0.5</v>
      </c>
      <c r="J24" s="225">
        <v>0.5</v>
      </c>
      <c r="K24" s="224"/>
      <c r="L24" s="224">
        <v>0.5</v>
      </c>
      <c r="M24" s="223">
        <v>0.5</v>
      </c>
      <c r="N24" s="225">
        <v>0.5</v>
      </c>
      <c r="O24" s="224">
        <v>0.5</v>
      </c>
      <c r="P24" s="224">
        <v>0.5</v>
      </c>
      <c r="Q24" s="223">
        <v>0.5</v>
      </c>
      <c r="R24" s="225">
        <v>0.5</v>
      </c>
      <c r="S24" s="224"/>
      <c r="T24" s="224">
        <v>0.5</v>
      </c>
      <c r="U24" s="223">
        <v>0.5</v>
      </c>
      <c r="V24" s="225">
        <v>0.5</v>
      </c>
      <c r="W24" s="224"/>
      <c r="X24" s="224">
        <v>0.5</v>
      </c>
      <c r="Y24" s="223">
        <v>0.5</v>
      </c>
      <c r="Z24" s="225">
        <v>0.5</v>
      </c>
      <c r="AA24" s="224"/>
      <c r="AB24" s="224">
        <v>0.5</v>
      </c>
      <c r="AC24" s="223">
        <v>0.5</v>
      </c>
      <c r="AD24" s="225">
        <v>0.5</v>
      </c>
      <c r="AE24" s="224"/>
      <c r="AF24" s="224">
        <v>0.5</v>
      </c>
      <c r="AG24" s="224">
        <v>0.5</v>
      </c>
      <c r="AH24" s="225">
        <v>0.5</v>
      </c>
      <c r="AI24" s="224">
        <v>0.5</v>
      </c>
      <c r="AJ24" s="224">
        <v>0.5</v>
      </c>
      <c r="AK24" s="223">
        <v>0.5</v>
      </c>
      <c r="AL24" s="224"/>
      <c r="AM24" s="224"/>
      <c r="AN24" s="224"/>
      <c r="AO24" s="223"/>
      <c r="AP24" s="225"/>
      <c r="AQ24" s="224"/>
      <c r="AR24" s="224"/>
      <c r="AS24" s="223"/>
      <c r="AT24" s="225"/>
      <c r="AU24" s="224"/>
      <c r="AV24" s="224"/>
      <c r="AW24" s="223"/>
      <c r="AX24" s="225"/>
      <c r="AY24" s="224"/>
      <c r="AZ24" s="224"/>
      <c r="BA24" s="223"/>
      <c r="BB24" s="225"/>
      <c r="BC24" s="224"/>
      <c r="BD24" s="224"/>
      <c r="BE24" s="223"/>
      <c r="BF24" s="225"/>
      <c r="BG24" s="224"/>
      <c r="BH24" s="224"/>
      <c r="BI24" s="223"/>
      <c r="BJ24" s="225"/>
      <c r="BK24" s="224"/>
      <c r="BL24" s="224"/>
      <c r="BM24" s="223"/>
      <c r="BN24" s="225"/>
      <c r="BO24" s="224"/>
      <c r="BP24" s="224"/>
      <c r="BQ24" s="223"/>
      <c r="BR24" s="225"/>
      <c r="BS24" s="224"/>
      <c r="BT24" s="224"/>
      <c r="BU24" s="223"/>
      <c r="BV24" s="225"/>
      <c r="BW24" s="224"/>
      <c r="BX24" s="224"/>
      <c r="BY24" s="223"/>
      <c r="BZ24" s="225"/>
      <c r="CA24" s="224"/>
      <c r="CB24" s="224"/>
      <c r="CC24" s="223"/>
      <c r="CD24" s="225"/>
      <c r="CE24" s="224"/>
      <c r="CF24" s="224"/>
      <c r="CG24" s="223"/>
      <c r="CH24" s="225"/>
      <c r="CI24" s="224"/>
      <c r="CJ24" s="224"/>
      <c r="CK24" s="223"/>
      <c r="CL24" s="49"/>
      <c r="CM24" s="56"/>
    </row>
    <row r="25" spans="2:91" ht="14.25" x14ac:dyDescent="0.25">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9">
        <v>0</v>
      </c>
      <c r="AH25" s="80">
        <v>0</v>
      </c>
      <c r="AI25" s="89">
        <v>0</v>
      </c>
      <c r="AJ25" s="89">
        <v>0</v>
      </c>
      <c r="AK25" s="81">
        <v>0</v>
      </c>
      <c r="AL25" s="89"/>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310</v>
      </c>
      <c r="D26" s="76" t="s">
        <v>311</v>
      </c>
      <c r="E26" s="118">
        <v>30</v>
      </c>
      <c r="F26" s="86">
        <f>37-F27-2</f>
        <v>31.700000000000003</v>
      </c>
      <c r="G26" s="86">
        <f>37-G27-2</f>
        <v>31.700000000000003</v>
      </c>
      <c r="H26" s="91">
        <v>31.1</v>
      </c>
      <c r="I26" s="87">
        <v>31.1</v>
      </c>
      <c r="J26" s="266"/>
      <c r="K26" s="267"/>
      <c r="L26" s="267"/>
      <c r="M26" s="268"/>
      <c r="N26" s="86">
        <f>29-N27-2</f>
        <v>24</v>
      </c>
      <c r="O26" s="91">
        <f>29-O27-2</f>
        <v>24</v>
      </c>
      <c r="P26" s="91">
        <f>34-P27-2</f>
        <v>29</v>
      </c>
      <c r="Q26" s="87">
        <f>61-Q27-2</f>
        <v>56</v>
      </c>
      <c r="R26" s="266"/>
      <c r="S26" s="267"/>
      <c r="T26" s="267"/>
      <c r="U26" s="268"/>
      <c r="V26" s="86">
        <f>11-V27-2</f>
        <v>6</v>
      </c>
      <c r="W26" s="91"/>
      <c r="X26" s="91">
        <f>37-X27-2</f>
        <v>32</v>
      </c>
      <c r="Y26" s="87">
        <f>24-Y27-2</f>
        <v>19</v>
      </c>
      <c r="Z26" s="80">
        <f>18-Z27-2+21-3-2</f>
        <v>29</v>
      </c>
      <c r="AA26" s="89"/>
      <c r="AB26" s="89">
        <f>36-AB27-2</f>
        <v>31</v>
      </c>
      <c r="AC26" s="81">
        <f>23-AC27-2</f>
        <v>18</v>
      </c>
      <c r="AD26" s="80">
        <f>22-3-1</f>
        <v>18</v>
      </c>
      <c r="AE26" s="89"/>
      <c r="AF26" s="89">
        <f>38-3-1</f>
        <v>34</v>
      </c>
      <c r="AG26" s="89">
        <f>38-3-1</f>
        <v>34</v>
      </c>
      <c r="AH26" s="86">
        <f>39-AH27-1</f>
        <v>34.5</v>
      </c>
      <c r="AI26" s="91">
        <f>39-AI27-1</f>
        <v>34.5</v>
      </c>
      <c r="AJ26" s="91">
        <f>26-AJ27-1</f>
        <v>21.5</v>
      </c>
      <c r="AK26" s="87">
        <f>26-AK27-1</f>
        <v>21.5</v>
      </c>
      <c r="AL26" s="89"/>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323</v>
      </c>
      <c r="D27" s="76" t="s">
        <v>324</v>
      </c>
      <c r="E27" s="118">
        <v>5</v>
      </c>
      <c r="F27" s="86">
        <v>3.3</v>
      </c>
      <c r="G27" s="91">
        <v>3.3</v>
      </c>
      <c r="H27" s="91">
        <v>3.9</v>
      </c>
      <c r="I27" s="87">
        <v>3.9</v>
      </c>
      <c r="J27" s="266"/>
      <c r="K27" s="267"/>
      <c r="L27" s="267"/>
      <c r="M27" s="268"/>
      <c r="N27" s="86">
        <v>3</v>
      </c>
      <c r="O27" s="91">
        <v>3</v>
      </c>
      <c r="P27" s="91">
        <v>3</v>
      </c>
      <c r="Q27" s="87">
        <v>3</v>
      </c>
      <c r="R27" s="266"/>
      <c r="S27" s="267"/>
      <c r="T27" s="267"/>
      <c r="U27" s="268"/>
      <c r="V27" s="86">
        <v>3</v>
      </c>
      <c r="W27" s="91"/>
      <c r="X27" s="91">
        <v>3</v>
      </c>
      <c r="Y27" s="87">
        <v>3</v>
      </c>
      <c r="Z27" s="80">
        <v>3</v>
      </c>
      <c r="AA27" s="89"/>
      <c r="AB27" s="89">
        <v>3</v>
      </c>
      <c r="AC27" s="81">
        <v>3</v>
      </c>
      <c r="AD27" s="80">
        <v>3</v>
      </c>
      <c r="AE27" s="89"/>
      <c r="AF27" s="89">
        <v>3</v>
      </c>
      <c r="AG27" s="81">
        <v>3</v>
      </c>
      <c r="AH27" s="86">
        <v>3.5</v>
      </c>
      <c r="AI27" s="91">
        <v>3.5</v>
      </c>
      <c r="AJ27" s="91">
        <v>3.5</v>
      </c>
      <c r="AK27" s="87">
        <v>3.5</v>
      </c>
      <c r="AL27" s="89"/>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160</v>
      </c>
      <c r="D28" s="76" t="s">
        <v>161</v>
      </c>
      <c r="E28" s="118">
        <v>100</v>
      </c>
      <c r="F28" s="80">
        <v>90</v>
      </c>
      <c r="G28" s="89">
        <f>F28</f>
        <v>90</v>
      </c>
      <c r="H28" s="89">
        <f>F28</f>
        <v>90</v>
      </c>
      <c r="I28" s="81">
        <f>F28</f>
        <v>90</v>
      </c>
      <c r="J28" s="266"/>
      <c r="K28" s="267"/>
      <c r="L28" s="267"/>
      <c r="M28" s="268"/>
      <c r="N28" s="80">
        <v>90</v>
      </c>
      <c r="O28" s="89">
        <v>90</v>
      </c>
      <c r="P28" s="89">
        <v>90</v>
      </c>
      <c r="Q28" s="81">
        <v>90</v>
      </c>
      <c r="R28" s="266"/>
      <c r="S28" s="267"/>
      <c r="T28" s="267"/>
      <c r="U28" s="268"/>
      <c r="V28" s="80">
        <v>69</v>
      </c>
      <c r="W28" s="89"/>
      <c r="X28" s="89">
        <v>69</v>
      </c>
      <c r="Y28" s="81">
        <v>69</v>
      </c>
      <c r="Z28" s="80">
        <v>75</v>
      </c>
      <c r="AA28" s="89"/>
      <c r="AB28" s="89">
        <v>75</v>
      </c>
      <c r="AC28" s="81">
        <v>75</v>
      </c>
      <c r="AD28" s="80">
        <v>60</v>
      </c>
      <c r="AE28" s="89"/>
      <c r="AF28" s="89">
        <v>60</v>
      </c>
      <c r="AG28" s="81">
        <v>60</v>
      </c>
      <c r="AH28" s="80">
        <v>65</v>
      </c>
      <c r="AI28" s="89">
        <v>65</v>
      </c>
      <c r="AJ28" s="89">
        <v>65</v>
      </c>
      <c r="AK28" s="81">
        <v>65</v>
      </c>
      <c r="AL28" s="89"/>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162</v>
      </c>
      <c r="D29" s="139" t="s">
        <v>164</v>
      </c>
      <c r="E29" s="118">
        <v>45</v>
      </c>
      <c r="F29" s="80">
        <f>F26</f>
        <v>31.700000000000003</v>
      </c>
      <c r="G29" s="89">
        <f>G26</f>
        <v>31.700000000000003</v>
      </c>
      <c r="H29" s="89">
        <f>H26</f>
        <v>31.1</v>
      </c>
      <c r="I29" s="81">
        <f>I26</f>
        <v>31.1</v>
      </c>
      <c r="J29" s="266"/>
      <c r="K29" s="267"/>
      <c r="L29" s="267"/>
      <c r="M29" s="268"/>
      <c r="N29" s="80">
        <f>N26</f>
        <v>24</v>
      </c>
      <c r="O29" s="89">
        <f>O26</f>
        <v>24</v>
      </c>
      <c r="P29" s="89">
        <f>P26</f>
        <v>29</v>
      </c>
      <c r="Q29" s="81">
        <f>Q26</f>
        <v>56</v>
      </c>
      <c r="R29" s="266"/>
      <c r="S29" s="267"/>
      <c r="T29" s="267"/>
      <c r="U29" s="268"/>
      <c r="V29" s="80">
        <f>V26</f>
        <v>6</v>
      </c>
      <c r="W29" s="89"/>
      <c r="X29" s="89">
        <f>X26</f>
        <v>32</v>
      </c>
      <c r="Y29" s="81">
        <f>Y26</f>
        <v>19</v>
      </c>
      <c r="Z29" s="80">
        <f>Z26</f>
        <v>29</v>
      </c>
      <c r="AA29" s="89"/>
      <c r="AB29" s="89">
        <f>AB26</f>
        <v>31</v>
      </c>
      <c r="AC29" s="81">
        <f>AC26</f>
        <v>18</v>
      </c>
      <c r="AD29" s="80">
        <f>AD26</f>
        <v>18</v>
      </c>
      <c r="AE29" s="89"/>
      <c r="AF29" s="89">
        <f>AF26</f>
        <v>34</v>
      </c>
      <c r="AG29" s="81">
        <f>AG26</f>
        <v>34</v>
      </c>
      <c r="AH29" s="272">
        <f>AH26</f>
        <v>34.5</v>
      </c>
      <c r="AI29" s="272">
        <f t="shared" ref="AI29:AK29" si="12">AI26</f>
        <v>34.5</v>
      </c>
      <c r="AJ29" s="272">
        <f t="shared" si="12"/>
        <v>21.5</v>
      </c>
      <c r="AK29" s="272">
        <f t="shared" si="12"/>
        <v>21.5</v>
      </c>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288</v>
      </c>
      <c r="D30" s="76" t="s">
        <v>289</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170</v>
      </c>
      <c r="D31" s="76" t="s">
        <v>413</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334</v>
      </c>
      <c r="D32" s="76" t="s">
        <v>414</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c r="F33" s="86">
        <v>0</v>
      </c>
      <c r="G33" s="91">
        <v>0</v>
      </c>
      <c r="H33" s="91">
        <f>Links!F19</f>
        <v>5</v>
      </c>
      <c r="I33" s="87">
        <f>Links!G19</f>
        <v>5</v>
      </c>
      <c r="J33" s="86">
        <v>0</v>
      </c>
      <c r="K33" s="91"/>
      <c r="L33" s="91">
        <v>5</v>
      </c>
      <c r="M33" s="91">
        <v>5</v>
      </c>
      <c r="N33" s="86">
        <v>5</v>
      </c>
      <c r="O33" s="91">
        <v>0</v>
      </c>
      <c r="P33" s="91">
        <f>Links!J19</f>
        <v>5</v>
      </c>
      <c r="Q33" s="87">
        <f>Links!K19</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Links!AD19</f>
        <v>0</v>
      </c>
      <c r="AK33" s="87">
        <f>Links!AE19</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f>Links!F21</f>
        <v>12</v>
      </c>
      <c r="I34" s="87">
        <f>Links!G21</f>
        <v>12</v>
      </c>
      <c r="J34" s="86">
        <v>12</v>
      </c>
      <c r="K34" s="91"/>
      <c r="L34" s="91">
        <v>12</v>
      </c>
      <c r="M34" s="91">
        <v>12</v>
      </c>
      <c r="N34" s="86">
        <f>Links!J21</f>
        <v>12</v>
      </c>
      <c r="O34" s="91">
        <f>Links!K21</f>
        <v>12</v>
      </c>
      <c r="P34" s="91">
        <f>Links!J21</f>
        <v>12</v>
      </c>
      <c r="Q34" s="87">
        <f>Links!K21</f>
        <v>12</v>
      </c>
      <c r="R34" s="86">
        <v>12</v>
      </c>
      <c r="S34" s="91"/>
      <c r="T34" s="91">
        <f>Links!P21</f>
        <v>12</v>
      </c>
      <c r="U34" s="91">
        <f>Links!Q21</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0.9</v>
      </c>
      <c r="F35" s="40">
        <v>0.9</v>
      </c>
      <c r="G35" s="78">
        <v>0.9</v>
      </c>
      <c r="H35" s="78">
        <f>Links!F22</f>
        <v>0.9</v>
      </c>
      <c r="I35" s="78">
        <f>Links!G22</f>
        <v>0.9</v>
      </c>
      <c r="J35" s="40">
        <v>0.9</v>
      </c>
      <c r="K35" s="78"/>
      <c r="L35" s="78">
        <v>0.9</v>
      </c>
      <c r="M35" s="78">
        <v>0.9</v>
      </c>
      <c r="N35" s="40">
        <f>Links!J22</f>
        <v>0.9</v>
      </c>
      <c r="O35" s="78">
        <f>Links!K22</f>
        <v>0.9</v>
      </c>
      <c r="P35" s="78">
        <f>Links!J22</f>
        <v>0.9</v>
      </c>
      <c r="Q35" s="78">
        <f>Links!K22</f>
        <v>0.9</v>
      </c>
      <c r="R35" s="40">
        <v>0.9</v>
      </c>
      <c r="S35" s="78"/>
      <c r="T35" s="78">
        <f>Links!P22</f>
        <v>0.9</v>
      </c>
      <c r="U35" s="78">
        <f>Links!Q22</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f>Links!F23</f>
        <v>0</v>
      </c>
      <c r="I36" s="91">
        <f>Links!G23</f>
        <v>9</v>
      </c>
      <c r="J36" s="86">
        <v>9</v>
      </c>
      <c r="K36" s="91"/>
      <c r="L36" s="91">
        <v>0</v>
      </c>
      <c r="M36" s="91">
        <v>9</v>
      </c>
      <c r="N36" s="86">
        <v>9</v>
      </c>
      <c r="O36" s="91">
        <v>9</v>
      </c>
      <c r="P36" s="91">
        <v>0</v>
      </c>
      <c r="Q36" s="91">
        <v>0</v>
      </c>
      <c r="R36" s="86">
        <v>9</v>
      </c>
      <c r="S36" s="91"/>
      <c r="T36" s="91">
        <f>Links!P23</f>
        <v>9</v>
      </c>
      <c r="U36" s="91">
        <f>Links!Q23</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f>Links!F20</f>
        <v>0</v>
      </c>
      <c r="I37" s="91">
        <f>Links!G20</f>
        <v>0</v>
      </c>
      <c r="J37" s="91">
        <f>Links!H20</f>
        <v>0</v>
      </c>
      <c r="K37" s="91"/>
      <c r="L37" s="91">
        <v>0</v>
      </c>
      <c r="M37" s="91">
        <v>0</v>
      </c>
      <c r="N37" s="86">
        <v>0</v>
      </c>
      <c r="O37" s="91">
        <v>0</v>
      </c>
      <c r="P37" s="91">
        <v>0</v>
      </c>
      <c r="Q37" s="91">
        <v>0</v>
      </c>
      <c r="R37" s="91">
        <f>Links!P20</f>
        <v>0</v>
      </c>
      <c r="S37" s="91"/>
      <c r="T37" s="91">
        <f>Links!P20</f>
        <v>0</v>
      </c>
      <c r="U37" s="91">
        <f>Links!Q20</f>
        <v>0</v>
      </c>
      <c r="V37" s="91">
        <f>Links!T20</f>
        <v>0</v>
      </c>
      <c r="W37" s="91"/>
      <c r="X37" s="91">
        <f>Links!T20</f>
        <v>0</v>
      </c>
      <c r="Y37" s="91">
        <f>Links!U20</f>
        <v>0</v>
      </c>
      <c r="Z37" s="91">
        <f>Links!X20</f>
        <v>0</v>
      </c>
      <c r="AA37" s="91"/>
      <c r="AB37" s="91">
        <f>Links!X20</f>
        <v>0</v>
      </c>
      <c r="AC37" s="91">
        <f>Links!Y20</f>
        <v>0</v>
      </c>
      <c r="AD37" s="91">
        <f>Links!AB20</f>
        <v>0</v>
      </c>
      <c r="AE37" s="91"/>
      <c r="AF37" s="91">
        <f>Links!AB20</f>
        <v>0</v>
      </c>
      <c r="AG37" s="91">
        <f>Links!AC20</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321</v>
      </c>
      <c r="D38" s="76" t="s">
        <v>318</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320</v>
      </c>
      <c r="D39" s="76" t="s">
        <v>319</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315</v>
      </c>
      <c r="D40" s="76" t="s">
        <v>469</v>
      </c>
      <c r="E40" s="122">
        <v>3.5</v>
      </c>
      <c r="F40" s="91">
        <v>3.5</v>
      </c>
      <c r="G40" s="91">
        <v>3.5</v>
      </c>
      <c r="H40" s="91">
        <v>3.5</v>
      </c>
      <c r="I40" s="91">
        <v>3.5</v>
      </c>
      <c r="J40" s="91">
        <v>3.5</v>
      </c>
      <c r="K40" s="91">
        <v>3.5</v>
      </c>
      <c r="L40" s="91">
        <v>3.5</v>
      </c>
      <c r="M40" s="91">
        <v>3.5</v>
      </c>
      <c r="N40" s="86">
        <v>3.5</v>
      </c>
      <c r="O40" s="91">
        <v>3.5</v>
      </c>
      <c r="P40" s="91">
        <v>3.5</v>
      </c>
      <c r="Q40" s="91">
        <v>3.5</v>
      </c>
      <c r="R40" s="91">
        <v>3.5</v>
      </c>
      <c r="S40" s="91">
        <v>3.5</v>
      </c>
      <c r="T40" s="91">
        <v>3.5</v>
      </c>
      <c r="U40" s="91">
        <v>3.5</v>
      </c>
      <c r="V40" s="91">
        <v>3.5</v>
      </c>
      <c r="W40" s="91">
        <v>3.5</v>
      </c>
      <c r="X40" s="91">
        <v>3.5</v>
      </c>
      <c r="Y40" s="91">
        <v>3.5</v>
      </c>
      <c r="Z40" s="91">
        <v>3.5</v>
      </c>
      <c r="AA40" s="91">
        <v>3.5</v>
      </c>
      <c r="AB40" s="91">
        <v>3.5</v>
      </c>
      <c r="AC40" s="91">
        <v>3.5</v>
      </c>
      <c r="AD40" s="91">
        <v>3.5</v>
      </c>
      <c r="AE40" s="91">
        <v>3.5</v>
      </c>
      <c r="AF40" s="91">
        <v>3.5</v>
      </c>
      <c r="AG40" s="91">
        <v>3.5</v>
      </c>
      <c r="AH40" s="86">
        <v>3.5</v>
      </c>
      <c r="AI40" s="91">
        <v>3.5</v>
      </c>
      <c r="AJ40" s="91">
        <v>3.5</v>
      </c>
      <c r="AK40" s="91">
        <v>3.5</v>
      </c>
      <c r="AL40" s="86">
        <v>3.5</v>
      </c>
      <c r="AM40" s="91">
        <v>3.5</v>
      </c>
      <c r="AN40" s="91">
        <v>3.5</v>
      </c>
      <c r="AO40" s="87">
        <v>3.5</v>
      </c>
      <c r="AP40" s="86">
        <v>3.5</v>
      </c>
      <c r="AQ40" s="91">
        <v>3.5</v>
      </c>
      <c r="AR40" s="91">
        <v>3.5</v>
      </c>
      <c r="AS40" s="87">
        <v>3.5</v>
      </c>
      <c r="AT40" s="86">
        <v>3.5</v>
      </c>
      <c r="AU40" s="91">
        <v>3.5</v>
      </c>
      <c r="AV40" s="91">
        <v>3.5</v>
      </c>
      <c r="AW40" s="87">
        <v>3.5</v>
      </c>
      <c r="AX40" s="86">
        <v>3.5</v>
      </c>
      <c r="AY40" s="91">
        <v>3.5</v>
      </c>
      <c r="AZ40" s="91">
        <v>3.5</v>
      </c>
      <c r="BA40" s="87">
        <v>3.5</v>
      </c>
      <c r="BB40" s="86">
        <v>3.5</v>
      </c>
      <c r="BC40" s="91">
        <v>3.5</v>
      </c>
      <c r="BD40" s="91">
        <v>3.5</v>
      </c>
      <c r="BE40" s="87">
        <v>3.5</v>
      </c>
      <c r="BF40" s="86">
        <v>3.5</v>
      </c>
      <c r="BG40" s="91">
        <v>3.5</v>
      </c>
      <c r="BH40" s="91">
        <v>3.5</v>
      </c>
      <c r="BI40" s="87">
        <v>3.5</v>
      </c>
      <c r="BJ40" s="86">
        <v>3.5</v>
      </c>
      <c r="BK40" s="91">
        <v>3.5</v>
      </c>
      <c r="BL40" s="91">
        <v>3.5</v>
      </c>
      <c r="BM40" s="87">
        <v>3.5</v>
      </c>
      <c r="BN40" s="86">
        <v>3.5</v>
      </c>
      <c r="BO40" s="91">
        <v>3.5</v>
      </c>
      <c r="BP40" s="91">
        <v>3.5</v>
      </c>
      <c r="BQ40" s="87">
        <v>3.5</v>
      </c>
      <c r="BR40" s="86">
        <v>3.5</v>
      </c>
      <c r="BS40" s="91">
        <v>3.5</v>
      </c>
      <c r="BT40" s="91">
        <v>3.5</v>
      </c>
      <c r="BU40" s="87">
        <v>3.5</v>
      </c>
      <c r="BV40" s="86">
        <v>3.5</v>
      </c>
      <c r="BW40" s="91">
        <v>3.5</v>
      </c>
      <c r="BX40" s="91">
        <v>3.5</v>
      </c>
      <c r="BY40" s="87">
        <v>3.5</v>
      </c>
      <c r="BZ40" s="86">
        <v>3.5</v>
      </c>
      <c r="CA40" s="91">
        <v>3.5</v>
      </c>
      <c r="CB40" s="91">
        <v>3.5</v>
      </c>
      <c r="CC40" s="87">
        <v>3.5</v>
      </c>
      <c r="CD40" s="86">
        <v>3.5</v>
      </c>
      <c r="CE40" s="91">
        <v>3.5</v>
      </c>
      <c r="CF40" s="91">
        <v>3.5</v>
      </c>
      <c r="CG40" s="87">
        <v>3.5</v>
      </c>
      <c r="CH40" s="86">
        <v>3.5</v>
      </c>
      <c r="CI40" s="91">
        <v>3.5</v>
      </c>
      <c r="CJ40" s="91">
        <v>3.5</v>
      </c>
      <c r="CK40" s="87">
        <v>3.5</v>
      </c>
      <c r="CL40" s="49"/>
      <c r="CM40" s="56"/>
    </row>
    <row r="41" spans="1:91" ht="14.25" x14ac:dyDescent="0.25">
      <c r="B41" s="55"/>
      <c r="C41" s="9" t="s">
        <v>349</v>
      </c>
      <c r="D41" s="76" t="s">
        <v>316</v>
      </c>
      <c r="E41" s="122">
        <v>10</v>
      </c>
      <c r="F41" s="91">
        <v>10</v>
      </c>
      <c r="G41" s="91">
        <v>10</v>
      </c>
      <c r="H41" s="91">
        <v>10</v>
      </c>
      <c r="I41" s="91">
        <v>10</v>
      </c>
      <c r="J41" s="91">
        <v>10</v>
      </c>
      <c r="K41" s="91"/>
      <c r="L41" s="91">
        <v>10</v>
      </c>
      <c r="M41" s="91">
        <v>10</v>
      </c>
      <c r="N41" s="86">
        <v>10</v>
      </c>
      <c r="O41" s="91">
        <v>10</v>
      </c>
      <c r="P41" s="91">
        <v>10</v>
      </c>
      <c r="Q41" s="91">
        <v>10</v>
      </c>
      <c r="R41" s="91">
        <v>10</v>
      </c>
      <c r="S41" s="91"/>
      <c r="T41" s="91">
        <v>10</v>
      </c>
      <c r="U41" s="91">
        <v>10</v>
      </c>
      <c r="V41" s="91">
        <v>10</v>
      </c>
      <c r="W41" s="91"/>
      <c r="X41" s="91">
        <v>10</v>
      </c>
      <c r="Y41" s="91">
        <v>10</v>
      </c>
      <c r="Z41" s="91">
        <v>10</v>
      </c>
      <c r="AA41" s="91"/>
      <c r="AB41" s="91">
        <v>10</v>
      </c>
      <c r="AC41" s="91">
        <v>10</v>
      </c>
      <c r="AD41" s="91">
        <v>10</v>
      </c>
      <c r="AE41" s="91"/>
      <c r="AF41" s="91">
        <v>10</v>
      </c>
      <c r="AG41" s="91">
        <v>10</v>
      </c>
      <c r="AH41" s="86">
        <v>10</v>
      </c>
      <c r="AI41" s="91">
        <v>10</v>
      </c>
      <c r="AJ41" s="91">
        <v>10</v>
      </c>
      <c r="AK41" s="91">
        <v>10</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ht="14.25" x14ac:dyDescent="0.25">
      <c r="B42" s="55"/>
      <c r="C42" s="9" t="s">
        <v>317</v>
      </c>
      <c r="D42" s="76" t="s">
        <v>466</v>
      </c>
      <c r="E42" s="122">
        <v>3</v>
      </c>
      <c r="F42" s="91">
        <v>3</v>
      </c>
      <c r="G42" s="91">
        <v>3</v>
      </c>
      <c r="H42" s="91">
        <v>3</v>
      </c>
      <c r="I42" s="91">
        <v>3</v>
      </c>
      <c r="J42" s="91">
        <v>3</v>
      </c>
      <c r="K42" s="91"/>
      <c r="L42" s="91">
        <v>3</v>
      </c>
      <c r="M42" s="91">
        <v>3</v>
      </c>
      <c r="N42" s="86">
        <v>3</v>
      </c>
      <c r="O42" s="91">
        <v>3</v>
      </c>
      <c r="P42" s="91">
        <v>3</v>
      </c>
      <c r="Q42" s="91">
        <v>3</v>
      </c>
      <c r="R42" s="91">
        <v>3</v>
      </c>
      <c r="S42" s="91"/>
      <c r="T42" s="91">
        <v>3</v>
      </c>
      <c r="U42" s="91">
        <v>3</v>
      </c>
      <c r="V42" s="91">
        <v>3</v>
      </c>
      <c r="W42" s="91"/>
      <c r="X42" s="91">
        <v>3</v>
      </c>
      <c r="Y42" s="91">
        <v>3</v>
      </c>
      <c r="Z42" s="91">
        <v>3</v>
      </c>
      <c r="AA42" s="91"/>
      <c r="AB42" s="91">
        <v>3</v>
      </c>
      <c r="AC42" s="91">
        <v>3</v>
      </c>
      <c r="AD42" s="91">
        <v>3</v>
      </c>
      <c r="AE42" s="91"/>
      <c r="AF42" s="91">
        <v>3</v>
      </c>
      <c r="AG42" s="91">
        <v>3</v>
      </c>
      <c r="AH42" s="86">
        <v>3</v>
      </c>
      <c r="AI42" s="91">
        <v>3</v>
      </c>
      <c r="AJ42" s="91">
        <v>3</v>
      </c>
      <c r="AK42" s="91">
        <v>3</v>
      </c>
      <c r="AL42" s="86"/>
      <c r="AM42" s="91"/>
      <c r="AN42" s="91"/>
      <c r="AO42" s="87"/>
      <c r="AP42" s="86"/>
      <c r="AQ42" s="91"/>
      <c r="AR42" s="91"/>
      <c r="AS42" s="87"/>
      <c r="AT42" s="86"/>
      <c r="AU42" s="91"/>
      <c r="AV42" s="91"/>
      <c r="AW42" s="87"/>
      <c r="AX42" s="86"/>
      <c r="AY42" s="91"/>
      <c r="AZ42" s="91"/>
      <c r="BA42" s="87"/>
      <c r="BB42" s="86"/>
      <c r="BC42" s="91"/>
      <c r="BD42" s="91"/>
      <c r="BE42" s="87"/>
      <c r="BF42" s="86"/>
      <c r="BG42" s="91"/>
      <c r="BH42" s="91"/>
      <c r="BI42" s="87"/>
      <c r="BJ42" s="86"/>
      <c r="BK42" s="91"/>
      <c r="BL42" s="91"/>
      <c r="BM42" s="87"/>
      <c r="BN42" s="86"/>
      <c r="BO42" s="91"/>
      <c r="BP42" s="91"/>
      <c r="BQ42" s="87"/>
      <c r="BR42" s="86"/>
      <c r="BS42" s="91"/>
      <c r="BT42" s="91"/>
      <c r="BU42" s="87"/>
      <c r="BV42" s="86"/>
      <c r="BW42" s="91"/>
      <c r="BX42" s="91"/>
      <c r="BY42" s="87"/>
      <c r="BZ42" s="86"/>
      <c r="CA42" s="91"/>
      <c r="CB42" s="91"/>
      <c r="CC42" s="87"/>
      <c r="CD42" s="86"/>
      <c r="CE42" s="91"/>
      <c r="CF42" s="91"/>
      <c r="CG42" s="87"/>
      <c r="CH42" s="86"/>
      <c r="CI42" s="91"/>
      <c r="CJ42" s="91"/>
      <c r="CK42" s="87"/>
      <c r="CL42" s="49"/>
      <c r="CM42" s="56"/>
    </row>
    <row r="43" spans="1:91" ht="14.25" x14ac:dyDescent="0.25">
      <c r="B43" s="55"/>
      <c r="C43" s="9" t="s">
        <v>465</v>
      </c>
      <c r="D43" s="76" t="s">
        <v>467</v>
      </c>
      <c r="E43" s="122">
        <v>3</v>
      </c>
      <c r="F43" s="91">
        <v>3</v>
      </c>
      <c r="G43" s="91">
        <v>3</v>
      </c>
      <c r="H43" s="91">
        <v>3</v>
      </c>
      <c r="I43" s="91">
        <v>3</v>
      </c>
      <c r="J43" s="91"/>
      <c r="K43" s="91"/>
      <c r="L43" s="91"/>
      <c r="M43" s="91"/>
      <c r="N43" s="86"/>
      <c r="O43" s="91"/>
      <c r="P43" s="91"/>
      <c r="Q43" s="91"/>
      <c r="R43" s="91"/>
      <c r="S43" s="91"/>
      <c r="T43" s="91"/>
      <c r="U43" s="91"/>
      <c r="V43" s="91"/>
      <c r="W43" s="91"/>
      <c r="X43" s="91"/>
      <c r="Y43" s="91"/>
      <c r="Z43" s="91"/>
      <c r="AA43" s="91"/>
      <c r="AB43" s="91"/>
      <c r="AC43" s="91"/>
      <c r="AD43" s="91"/>
      <c r="AE43" s="91"/>
      <c r="AF43" s="91"/>
      <c r="AG43" s="91"/>
      <c r="AH43" s="86"/>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49"/>
      <c r="CM43" s="56"/>
    </row>
    <row r="44" spans="1:91" s="235" customFormat="1" x14ac:dyDescent="0.25">
      <c r="A44" s="230"/>
      <c r="B44" s="231"/>
      <c r="C44" s="9"/>
      <c r="D44" s="76" t="s">
        <v>264</v>
      </c>
      <c r="E44" s="122" t="s">
        <v>266</v>
      </c>
      <c r="F44" s="232" t="s">
        <v>265</v>
      </c>
      <c r="G44" s="232" t="s">
        <v>265</v>
      </c>
      <c r="H44" s="232" t="s">
        <v>265</v>
      </c>
      <c r="I44" s="232" t="s">
        <v>265</v>
      </c>
      <c r="J44" s="232" t="s">
        <v>424</v>
      </c>
      <c r="K44" s="232"/>
      <c r="L44" s="232" t="s">
        <v>267</v>
      </c>
      <c r="M44" s="232" t="s">
        <v>267</v>
      </c>
      <c r="N44" s="265" t="s">
        <v>265</v>
      </c>
      <c r="O44" s="232" t="s">
        <v>265</v>
      </c>
      <c r="P44" s="232" t="s">
        <v>265</v>
      </c>
      <c r="Q44" s="232" t="s">
        <v>265</v>
      </c>
      <c r="R44" s="232" t="s">
        <v>424</v>
      </c>
      <c r="S44" s="232"/>
      <c r="T44" s="232" t="s">
        <v>267</v>
      </c>
      <c r="U44" s="232" t="s">
        <v>267</v>
      </c>
      <c r="V44" s="232" t="s">
        <v>265</v>
      </c>
      <c r="W44" s="232"/>
      <c r="X44" s="232" t="s">
        <v>265</v>
      </c>
      <c r="Y44" s="232" t="s">
        <v>265</v>
      </c>
      <c r="Z44" s="232" t="s">
        <v>265</v>
      </c>
      <c r="AA44" s="232"/>
      <c r="AB44" s="232" t="s">
        <v>265</v>
      </c>
      <c r="AC44" s="232" t="s">
        <v>265</v>
      </c>
      <c r="AD44" s="232" t="s">
        <v>265</v>
      </c>
      <c r="AE44" s="232"/>
      <c r="AF44" s="232" t="s">
        <v>265</v>
      </c>
      <c r="AG44" s="232" t="s">
        <v>265</v>
      </c>
      <c r="AH44" s="265" t="s">
        <v>265</v>
      </c>
      <c r="AI44" s="232" t="s">
        <v>265</v>
      </c>
      <c r="AJ44" s="232" t="s">
        <v>265</v>
      </c>
      <c r="AK44" s="232" t="s">
        <v>265</v>
      </c>
      <c r="AL44" s="232"/>
      <c r="AM44" s="232"/>
      <c r="AN44" s="232"/>
      <c r="AO44" s="232"/>
      <c r="AP44" s="232"/>
      <c r="AQ44" s="232"/>
      <c r="AR44" s="232"/>
      <c r="AS44" s="232"/>
      <c r="AT44" s="232"/>
      <c r="AU44" s="232"/>
      <c r="AV44" s="232"/>
      <c r="AW44" s="232"/>
      <c r="AX44" s="232"/>
      <c r="AY44" s="232"/>
      <c r="AZ44" s="232"/>
      <c r="BA44" s="232"/>
      <c r="BB44" s="232"/>
      <c r="BC44" s="232"/>
      <c r="BD44" s="232"/>
      <c r="BE44" s="232"/>
      <c r="BF44" s="232"/>
      <c r="BG44" s="232"/>
      <c r="BH44" s="232"/>
      <c r="BI44" s="232"/>
      <c r="BJ44" s="232"/>
      <c r="BK44" s="232"/>
      <c r="BL44" s="232"/>
      <c r="BM44" s="232"/>
      <c r="BN44" s="232"/>
      <c r="BO44" s="232"/>
      <c r="BP44" s="232"/>
      <c r="BQ44" s="232"/>
      <c r="BR44" s="232"/>
      <c r="BS44" s="232"/>
      <c r="BT44" s="232"/>
      <c r="BU44" s="232"/>
      <c r="BV44" s="232"/>
      <c r="BW44" s="232"/>
      <c r="BX44" s="232"/>
      <c r="BY44" s="232"/>
      <c r="BZ44" s="232"/>
      <c r="CA44" s="232"/>
      <c r="CB44" s="232"/>
      <c r="CC44" s="232"/>
      <c r="CD44" s="232"/>
      <c r="CE44" s="232"/>
      <c r="CF44" s="232"/>
      <c r="CG44" s="232"/>
      <c r="CH44" s="232"/>
      <c r="CI44" s="232"/>
      <c r="CJ44" s="232"/>
      <c r="CK44" s="232"/>
      <c r="CL44" s="233"/>
      <c r="CM44" s="234"/>
    </row>
    <row r="45" spans="1:91" x14ac:dyDescent="0.25">
      <c r="B45" s="55"/>
      <c r="C45" s="9"/>
      <c r="D45" s="76" t="s">
        <v>172</v>
      </c>
      <c r="E45" s="119" t="s">
        <v>74</v>
      </c>
      <c r="F45" s="40" t="s">
        <v>74</v>
      </c>
      <c r="G45" s="78" t="s">
        <v>74</v>
      </c>
      <c r="H45" s="78" t="s">
        <v>74</v>
      </c>
      <c r="I45" s="41" t="s">
        <v>74</v>
      </c>
      <c r="J45" s="78" t="s">
        <v>74</v>
      </c>
      <c r="K45" s="78"/>
      <c r="L45" s="78" t="s">
        <v>74</v>
      </c>
      <c r="M45" s="41" t="s">
        <v>74</v>
      </c>
      <c r="N45" s="40" t="s">
        <v>74</v>
      </c>
      <c r="O45" s="78" t="s">
        <v>74</v>
      </c>
      <c r="P45" s="78" t="s">
        <v>74</v>
      </c>
      <c r="Q45" s="41" t="s">
        <v>74</v>
      </c>
      <c r="R45" s="78" t="s">
        <v>74</v>
      </c>
      <c r="S45" s="78"/>
      <c r="T45" s="78" t="s">
        <v>74</v>
      </c>
      <c r="U45" s="41" t="s">
        <v>74</v>
      </c>
      <c r="V45" s="78" t="s">
        <v>74</v>
      </c>
      <c r="W45" s="78"/>
      <c r="X45" s="78" t="s">
        <v>74</v>
      </c>
      <c r="Y45" s="41" t="s">
        <v>74</v>
      </c>
      <c r="Z45" s="78" t="s">
        <v>74</v>
      </c>
      <c r="AA45" s="78"/>
      <c r="AB45" s="78" t="s">
        <v>74</v>
      </c>
      <c r="AC45" s="41" t="s">
        <v>74</v>
      </c>
      <c r="AD45" s="78" t="s">
        <v>74</v>
      </c>
      <c r="AE45" s="78"/>
      <c r="AF45" s="78" t="s">
        <v>74</v>
      </c>
      <c r="AG45" s="41" t="s">
        <v>74</v>
      </c>
      <c r="AH45" s="40" t="s">
        <v>74</v>
      </c>
      <c r="AI45" s="78" t="s">
        <v>74</v>
      </c>
      <c r="AJ45" s="78" t="s">
        <v>74</v>
      </c>
      <c r="AK45" s="41" t="s">
        <v>74</v>
      </c>
      <c r="AL45" s="40"/>
      <c r="AM45" s="78"/>
      <c r="AN45" s="78"/>
      <c r="AO45" s="41"/>
      <c r="AP45" s="40"/>
      <c r="AQ45" s="78"/>
      <c r="AR45" s="78"/>
      <c r="AS45" s="41"/>
      <c r="AT45" s="40"/>
      <c r="AU45" s="78"/>
      <c r="AV45" s="78"/>
      <c r="AW45" s="41"/>
      <c r="AX45" s="40"/>
      <c r="AY45" s="78"/>
      <c r="AZ45" s="78"/>
      <c r="BA45" s="41"/>
      <c r="BB45" s="40"/>
      <c r="BC45" s="78"/>
      <c r="BD45" s="78"/>
      <c r="BE45" s="41"/>
      <c r="BF45" s="40"/>
      <c r="BG45" s="78"/>
      <c r="BH45" s="78"/>
      <c r="BI45" s="41"/>
      <c r="BJ45" s="40"/>
      <c r="BK45" s="78"/>
      <c r="BL45" s="78"/>
      <c r="BM45" s="41"/>
      <c r="BN45" s="40"/>
      <c r="BO45" s="78"/>
      <c r="BP45" s="78"/>
      <c r="BQ45" s="41"/>
      <c r="BR45" s="40"/>
      <c r="BS45" s="78"/>
      <c r="BT45" s="78"/>
      <c r="BU45" s="41"/>
      <c r="BV45" s="40"/>
      <c r="BW45" s="78"/>
      <c r="BX45" s="78"/>
      <c r="BY45" s="41"/>
      <c r="BZ45" s="40"/>
      <c r="CA45" s="78"/>
      <c r="CB45" s="78"/>
      <c r="CC45" s="41"/>
      <c r="CD45" s="40"/>
      <c r="CE45" s="78"/>
      <c r="CF45" s="78"/>
      <c r="CG45" s="41"/>
      <c r="CH45" s="40"/>
      <c r="CI45" s="78"/>
      <c r="CJ45" s="78"/>
      <c r="CK45" s="41"/>
      <c r="CL45" s="49"/>
      <c r="CM45" s="28"/>
    </row>
    <row r="46" spans="1:91" ht="15.75" x14ac:dyDescent="0.25">
      <c r="B46" s="55"/>
      <c r="C46" s="9"/>
      <c r="D46" s="107" t="s">
        <v>227</v>
      </c>
      <c r="E46" s="119" t="s">
        <v>74</v>
      </c>
      <c r="F46" s="40" t="s">
        <v>74</v>
      </c>
      <c r="G46" s="78" t="s">
        <v>74</v>
      </c>
      <c r="H46" s="78" t="s">
        <v>74</v>
      </c>
      <c r="I46" s="41" t="s">
        <v>74</v>
      </c>
      <c r="J46" s="40" t="s">
        <v>74</v>
      </c>
      <c r="K46" s="78"/>
      <c r="L46" s="78" t="s">
        <v>74</v>
      </c>
      <c r="M46" s="41" t="s">
        <v>74</v>
      </c>
      <c r="N46" s="40" t="s">
        <v>74</v>
      </c>
      <c r="O46" s="78" t="s">
        <v>74</v>
      </c>
      <c r="P46" s="78" t="s">
        <v>74</v>
      </c>
      <c r="Q46" s="41" t="s">
        <v>74</v>
      </c>
      <c r="R46" s="40" t="s">
        <v>74</v>
      </c>
      <c r="S46" s="78"/>
      <c r="T46" s="78" t="s">
        <v>74</v>
      </c>
      <c r="U46" s="41" t="s">
        <v>74</v>
      </c>
      <c r="V46" s="40" t="s">
        <v>74</v>
      </c>
      <c r="W46" s="78"/>
      <c r="X46" s="78" t="s">
        <v>74</v>
      </c>
      <c r="Y46" s="41" t="s">
        <v>74</v>
      </c>
      <c r="Z46" s="40" t="s">
        <v>74</v>
      </c>
      <c r="AA46" s="78"/>
      <c r="AB46" s="78" t="s">
        <v>74</v>
      </c>
      <c r="AC46" s="41" t="s">
        <v>74</v>
      </c>
      <c r="AD46" s="40" t="s">
        <v>74</v>
      </c>
      <c r="AE46" s="78"/>
      <c r="AF46" s="78" t="s">
        <v>74</v>
      </c>
      <c r="AG46" s="41" t="s">
        <v>74</v>
      </c>
      <c r="AH46" s="40" t="s">
        <v>74</v>
      </c>
      <c r="AI46" s="78" t="s">
        <v>74</v>
      </c>
      <c r="AJ46" s="78" t="s">
        <v>74</v>
      </c>
      <c r="AK46" s="41" t="s">
        <v>74</v>
      </c>
      <c r="AL46" s="40"/>
      <c r="AM46" s="78"/>
      <c r="AN46" s="78"/>
      <c r="AO46" s="41"/>
      <c r="AP46" s="40"/>
      <c r="AQ46" s="78"/>
      <c r="AR46" s="78"/>
      <c r="AS46" s="41"/>
      <c r="AT46" s="40"/>
      <c r="AU46" s="78"/>
      <c r="AV46" s="78"/>
      <c r="AW46" s="41"/>
      <c r="AX46" s="40"/>
      <c r="AY46" s="78"/>
      <c r="AZ46" s="78"/>
      <c r="BA46" s="41"/>
      <c r="BB46" s="40"/>
      <c r="BC46" s="78"/>
      <c r="BD46" s="78"/>
      <c r="BE46" s="41"/>
      <c r="BF46" s="40"/>
      <c r="BG46" s="78"/>
      <c r="BH46" s="78"/>
      <c r="BI46" s="41"/>
      <c r="BJ46" s="40"/>
      <c r="BK46" s="78"/>
      <c r="BL46" s="78"/>
      <c r="BM46" s="41"/>
      <c r="BN46" s="40"/>
      <c r="BO46" s="78"/>
      <c r="BP46" s="78"/>
      <c r="BQ46" s="41"/>
      <c r="BR46" s="40"/>
      <c r="BS46" s="78"/>
      <c r="BT46" s="78"/>
      <c r="BU46" s="41"/>
      <c r="BV46" s="40"/>
      <c r="BW46" s="78"/>
      <c r="BX46" s="78"/>
      <c r="BY46" s="41"/>
      <c r="BZ46" s="40"/>
      <c r="CA46" s="78"/>
      <c r="CB46" s="78"/>
      <c r="CC46" s="41"/>
      <c r="CD46" s="40"/>
      <c r="CE46" s="78"/>
      <c r="CF46" s="78"/>
      <c r="CG46" s="41"/>
      <c r="CH46" s="40"/>
      <c r="CI46" s="78"/>
      <c r="CJ46" s="78"/>
      <c r="CK46" s="41"/>
      <c r="CL46" s="49"/>
      <c r="CM46" s="28"/>
    </row>
    <row r="47" spans="1:91" x14ac:dyDescent="0.25">
      <c r="B47" s="55"/>
      <c r="C47" s="117"/>
      <c r="D47" s="117"/>
      <c r="E47" s="11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28"/>
    </row>
    <row r="48" spans="1:91" x14ac:dyDescent="0.25">
      <c r="A48" s="22"/>
      <c r="B48" s="61"/>
      <c r="C48" s="284" t="s">
        <v>24</v>
      </c>
      <c r="D48" s="285"/>
      <c r="E48" s="133"/>
      <c r="F48" s="284"/>
      <c r="G48" s="285"/>
      <c r="H48" s="285"/>
      <c r="I48" s="302"/>
      <c r="J48" s="284"/>
      <c r="K48" s="285"/>
      <c r="L48" s="285"/>
      <c r="M48" s="302"/>
      <c r="N48" s="284"/>
      <c r="O48" s="285"/>
      <c r="P48" s="285"/>
      <c r="Q48" s="302"/>
      <c r="R48" s="284"/>
      <c r="S48" s="285"/>
      <c r="T48" s="285"/>
      <c r="U48" s="302"/>
      <c r="V48" s="284"/>
      <c r="W48" s="285"/>
      <c r="X48" s="285"/>
      <c r="Y48" s="302"/>
      <c r="Z48" s="284"/>
      <c r="AA48" s="285"/>
      <c r="AB48" s="285"/>
      <c r="AC48" s="302"/>
      <c r="AD48" s="284"/>
      <c r="AE48" s="285"/>
      <c r="AF48" s="285"/>
      <c r="AG48" s="302"/>
      <c r="AH48" s="284"/>
      <c r="AI48" s="285"/>
      <c r="AJ48" s="285"/>
      <c r="AK48" s="302"/>
      <c r="AL48" s="284"/>
      <c r="AM48" s="285"/>
      <c r="AN48" s="285"/>
      <c r="AO48" s="302"/>
      <c r="AP48" s="284"/>
      <c r="AQ48" s="285"/>
      <c r="AR48" s="285"/>
      <c r="AS48" s="302"/>
      <c r="AT48" s="284"/>
      <c r="AU48" s="285"/>
      <c r="AV48" s="285"/>
      <c r="AW48" s="302"/>
      <c r="AX48" s="284"/>
      <c r="AY48" s="285"/>
      <c r="AZ48" s="285"/>
      <c r="BA48" s="302"/>
      <c r="BB48" s="284"/>
      <c r="BC48" s="285"/>
      <c r="BD48" s="285"/>
      <c r="BE48" s="302"/>
      <c r="BF48" s="284"/>
      <c r="BG48" s="285"/>
      <c r="BH48" s="285"/>
      <c r="BI48" s="302"/>
      <c r="BJ48" s="284"/>
      <c r="BK48" s="285"/>
      <c r="BL48" s="285"/>
      <c r="BM48" s="302"/>
      <c r="BN48" s="284"/>
      <c r="BO48" s="285"/>
      <c r="BP48" s="285"/>
      <c r="BQ48" s="302"/>
      <c r="BR48" s="284"/>
      <c r="BS48" s="285"/>
      <c r="BT48" s="285"/>
      <c r="BU48" s="302"/>
      <c r="BV48" s="284"/>
      <c r="BW48" s="285"/>
      <c r="BX48" s="285"/>
      <c r="BY48" s="302"/>
      <c r="BZ48" s="284"/>
      <c r="CA48" s="285"/>
      <c r="CB48" s="285"/>
      <c r="CC48" s="302"/>
      <c r="CD48" s="284"/>
      <c r="CE48" s="285"/>
      <c r="CF48" s="285"/>
      <c r="CG48" s="302"/>
      <c r="CH48" s="284"/>
      <c r="CI48" s="285"/>
      <c r="CJ48" s="285"/>
      <c r="CK48" s="302"/>
      <c r="CL48" s="49"/>
      <c r="CM48" s="28"/>
    </row>
    <row r="49" spans="2:91" ht="15.75" x14ac:dyDescent="0.25">
      <c r="B49" s="55"/>
      <c r="C49" s="4"/>
      <c r="D49" s="77" t="s">
        <v>225</v>
      </c>
      <c r="E49" s="134"/>
      <c r="F49" s="4"/>
      <c r="G49" s="19"/>
      <c r="H49" s="19"/>
      <c r="I49" s="5"/>
      <c r="J49" s="4"/>
      <c r="K49" s="19"/>
      <c r="L49" s="19"/>
      <c r="M49" s="5"/>
      <c r="N49" s="4"/>
      <c r="O49" s="19"/>
      <c r="P49" s="19"/>
      <c r="Q49" s="5"/>
      <c r="R49" s="4"/>
      <c r="S49" s="19"/>
      <c r="T49" s="19"/>
      <c r="U49" s="5"/>
      <c r="V49" s="4"/>
      <c r="W49" s="19"/>
      <c r="X49" s="19"/>
      <c r="Y49" s="5"/>
      <c r="Z49" s="4"/>
      <c r="AA49" s="19"/>
      <c r="AB49" s="19"/>
      <c r="AC49" s="5"/>
      <c r="AD49" s="4"/>
      <c r="AE49" s="19"/>
      <c r="AF49" s="19"/>
      <c r="AG49" s="5"/>
      <c r="AH49" s="4"/>
      <c r="AI49" s="19"/>
      <c r="AJ49" s="19"/>
      <c r="AK49" s="5"/>
      <c r="AL49" s="4"/>
      <c r="AM49" s="19"/>
      <c r="AN49" s="19"/>
      <c r="AO49" s="5"/>
      <c r="AP49" s="4"/>
      <c r="AQ49" s="19"/>
      <c r="AR49" s="19"/>
      <c r="AS49" s="5"/>
      <c r="AT49" s="4"/>
      <c r="AU49" s="19"/>
      <c r="AV49" s="19"/>
      <c r="AW49" s="5"/>
      <c r="AX49" s="4"/>
      <c r="AY49" s="19"/>
      <c r="AZ49" s="19"/>
      <c r="BA49" s="5"/>
      <c r="BB49" s="4"/>
      <c r="BC49" s="19"/>
      <c r="BD49" s="19"/>
      <c r="BE49" s="5"/>
      <c r="BF49" s="4"/>
      <c r="BG49" s="19"/>
      <c r="BH49" s="19"/>
      <c r="BI49" s="5"/>
      <c r="BJ49" s="4"/>
      <c r="BK49" s="19"/>
      <c r="BL49" s="19"/>
      <c r="BM49" s="5"/>
      <c r="BN49" s="4"/>
      <c r="BO49" s="19"/>
      <c r="BP49" s="19"/>
      <c r="BQ49" s="5"/>
      <c r="BR49" s="4"/>
      <c r="BS49" s="19"/>
      <c r="BT49" s="19"/>
      <c r="BU49" s="5"/>
      <c r="BV49" s="4"/>
      <c r="BW49" s="19"/>
      <c r="BX49" s="19"/>
      <c r="BY49" s="5"/>
      <c r="BZ49" s="4"/>
      <c r="CA49" s="19"/>
      <c r="CB49" s="19"/>
      <c r="CC49" s="5"/>
      <c r="CD49" s="4"/>
      <c r="CE49" s="19"/>
      <c r="CF49" s="19"/>
      <c r="CG49" s="5"/>
      <c r="CH49" s="4"/>
      <c r="CI49" s="19"/>
      <c r="CJ49" s="19"/>
      <c r="CK49" s="5"/>
      <c r="CL49" s="49"/>
      <c r="CM49" s="28"/>
    </row>
    <row r="50" spans="2:91" ht="14.25" x14ac:dyDescent="0.25">
      <c r="B50" s="55"/>
      <c r="C50" s="10" t="s">
        <v>268</v>
      </c>
      <c r="D50" s="93" t="s">
        <v>272</v>
      </c>
      <c r="E50" s="125">
        <f>(E31/E40) + 3</f>
        <v>3</v>
      </c>
      <c r="F50" s="162">
        <f>(F31/F40) + 3</f>
        <v>17.857142857142858</v>
      </c>
      <c r="G50" s="164">
        <f t="shared" ref="G50:BQ50" si="13">(G31/G40) + 3</f>
        <v>17.857142857142858</v>
      </c>
      <c r="H50" s="164">
        <f t="shared" si="13"/>
        <v>21.285714285714285</v>
      </c>
      <c r="I50" s="164">
        <f t="shared" si="13"/>
        <v>21.285714285714285</v>
      </c>
      <c r="J50" s="162">
        <f t="shared" si="13"/>
        <v>14.428571428571429</v>
      </c>
      <c r="K50" s="164">
        <f t="shared" si="13"/>
        <v>3</v>
      </c>
      <c r="L50" s="164">
        <f t="shared" si="13"/>
        <v>17.285714285714285</v>
      </c>
      <c r="M50" s="163">
        <f t="shared" si="13"/>
        <v>17.285714285714285</v>
      </c>
      <c r="N50" s="168">
        <f t="shared" si="13"/>
        <v>20.142857142857142</v>
      </c>
      <c r="O50" s="171">
        <f t="shared" si="13"/>
        <v>28.714285714285715</v>
      </c>
      <c r="P50" s="171">
        <f t="shared" si="13"/>
        <v>16.714285714285715</v>
      </c>
      <c r="Q50" s="169">
        <f t="shared" si="13"/>
        <v>18.142857142857142</v>
      </c>
      <c r="R50" s="168">
        <f t="shared" si="13"/>
        <v>11</v>
      </c>
      <c r="S50" s="171">
        <f t="shared" si="13"/>
        <v>3</v>
      </c>
      <c r="T50" s="171">
        <f t="shared" si="13"/>
        <v>17.285714285714285</v>
      </c>
      <c r="U50" s="169">
        <f t="shared" si="13"/>
        <v>17.285714285714285</v>
      </c>
      <c r="V50" s="168">
        <f t="shared" si="13"/>
        <v>24.142857142857142</v>
      </c>
      <c r="W50" s="171">
        <f t="shared" si="13"/>
        <v>3</v>
      </c>
      <c r="X50" s="171">
        <f t="shared" si="13"/>
        <v>15.857142857142858</v>
      </c>
      <c r="Y50" s="169">
        <f t="shared" si="13"/>
        <v>15.857142857142858</v>
      </c>
      <c r="Z50" s="168">
        <f t="shared" si="13"/>
        <v>13</v>
      </c>
      <c r="AA50" s="171">
        <f t="shared" si="13"/>
        <v>3</v>
      </c>
      <c r="AB50" s="171">
        <f t="shared" si="13"/>
        <v>15</v>
      </c>
      <c r="AC50" s="169">
        <f t="shared" si="13"/>
        <v>15</v>
      </c>
      <c r="AD50" s="168">
        <f t="shared" si="13"/>
        <v>12.428571428571429</v>
      </c>
      <c r="AE50" s="171">
        <f t="shared" si="13"/>
        <v>3</v>
      </c>
      <c r="AF50" s="171">
        <f t="shared" si="13"/>
        <v>11.571428571428571</v>
      </c>
      <c r="AG50" s="169">
        <f t="shared" si="13"/>
        <v>11.571428571428571</v>
      </c>
      <c r="AH50" s="168">
        <f t="shared" si="13"/>
        <v>12.714285714285714</v>
      </c>
      <c r="AI50" s="171">
        <f t="shared" si="13"/>
        <v>15.571428571428571</v>
      </c>
      <c r="AJ50" s="171">
        <f t="shared" si="13"/>
        <v>14.714285714285714</v>
      </c>
      <c r="AK50" s="169">
        <f t="shared" si="13"/>
        <v>14.714285714285714</v>
      </c>
      <c r="AL50" s="168">
        <f t="shared" si="13"/>
        <v>3</v>
      </c>
      <c r="AM50" s="171">
        <f t="shared" si="13"/>
        <v>3</v>
      </c>
      <c r="AN50" s="171">
        <f t="shared" si="13"/>
        <v>3</v>
      </c>
      <c r="AO50" s="169">
        <f t="shared" si="13"/>
        <v>3</v>
      </c>
      <c r="AP50" s="168">
        <f t="shared" si="13"/>
        <v>3</v>
      </c>
      <c r="AQ50" s="171">
        <f t="shared" si="13"/>
        <v>3</v>
      </c>
      <c r="AR50" s="171">
        <f t="shared" si="13"/>
        <v>3</v>
      </c>
      <c r="AS50" s="169">
        <f t="shared" si="13"/>
        <v>3</v>
      </c>
      <c r="AT50" s="168">
        <f t="shared" si="13"/>
        <v>3</v>
      </c>
      <c r="AU50" s="171">
        <f t="shared" si="13"/>
        <v>3</v>
      </c>
      <c r="AV50" s="171">
        <f t="shared" si="13"/>
        <v>3</v>
      </c>
      <c r="AW50" s="169">
        <f t="shared" si="13"/>
        <v>3</v>
      </c>
      <c r="AX50" s="168">
        <f t="shared" si="13"/>
        <v>3</v>
      </c>
      <c r="AY50" s="171">
        <f t="shared" si="13"/>
        <v>3</v>
      </c>
      <c r="AZ50" s="171">
        <f t="shared" si="13"/>
        <v>3</v>
      </c>
      <c r="BA50" s="169">
        <f t="shared" si="13"/>
        <v>3</v>
      </c>
      <c r="BB50" s="168">
        <f t="shared" si="13"/>
        <v>3</v>
      </c>
      <c r="BC50" s="171">
        <f t="shared" si="13"/>
        <v>3</v>
      </c>
      <c r="BD50" s="171">
        <f t="shared" si="13"/>
        <v>3</v>
      </c>
      <c r="BE50" s="169">
        <f t="shared" si="13"/>
        <v>3</v>
      </c>
      <c r="BF50" s="168">
        <f t="shared" si="13"/>
        <v>3</v>
      </c>
      <c r="BG50" s="171">
        <f t="shared" si="13"/>
        <v>3</v>
      </c>
      <c r="BH50" s="171">
        <f t="shared" si="13"/>
        <v>3</v>
      </c>
      <c r="BI50" s="169">
        <f t="shared" si="13"/>
        <v>3</v>
      </c>
      <c r="BJ50" s="168">
        <f t="shared" si="13"/>
        <v>3</v>
      </c>
      <c r="BK50" s="171">
        <f t="shared" si="13"/>
        <v>3</v>
      </c>
      <c r="BL50" s="171">
        <f t="shared" si="13"/>
        <v>3</v>
      </c>
      <c r="BM50" s="169">
        <f t="shared" si="13"/>
        <v>3</v>
      </c>
      <c r="BN50" s="168">
        <f t="shared" si="13"/>
        <v>3</v>
      </c>
      <c r="BO50" s="171">
        <f t="shared" si="13"/>
        <v>3</v>
      </c>
      <c r="BP50" s="171">
        <f t="shared" si="13"/>
        <v>3</v>
      </c>
      <c r="BQ50" s="169">
        <f t="shared" si="13"/>
        <v>3</v>
      </c>
      <c r="BR50" s="168">
        <f t="shared" ref="BR50:CK50" si="14">(BR31/BR40) + 3</f>
        <v>3</v>
      </c>
      <c r="BS50" s="171">
        <f t="shared" si="14"/>
        <v>3</v>
      </c>
      <c r="BT50" s="171">
        <f t="shared" si="14"/>
        <v>3</v>
      </c>
      <c r="BU50" s="169">
        <f t="shared" si="14"/>
        <v>3</v>
      </c>
      <c r="BV50" s="168">
        <f t="shared" si="14"/>
        <v>3</v>
      </c>
      <c r="BW50" s="171">
        <f t="shared" si="14"/>
        <v>3</v>
      </c>
      <c r="BX50" s="171">
        <f t="shared" si="14"/>
        <v>3</v>
      </c>
      <c r="BY50" s="169">
        <f t="shared" si="14"/>
        <v>3</v>
      </c>
      <c r="BZ50" s="168">
        <f t="shared" si="14"/>
        <v>3</v>
      </c>
      <c r="CA50" s="171">
        <f t="shared" si="14"/>
        <v>3</v>
      </c>
      <c r="CB50" s="171">
        <f t="shared" si="14"/>
        <v>3</v>
      </c>
      <c r="CC50" s="169">
        <f t="shared" si="14"/>
        <v>3</v>
      </c>
      <c r="CD50" s="168">
        <f t="shared" si="14"/>
        <v>3</v>
      </c>
      <c r="CE50" s="171">
        <f t="shared" si="14"/>
        <v>3</v>
      </c>
      <c r="CF50" s="171">
        <f t="shared" si="14"/>
        <v>3</v>
      </c>
      <c r="CG50" s="169">
        <f t="shared" si="14"/>
        <v>3</v>
      </c>
      <c r="CH50" s="168">
        <f t="shared" si="14"/>
        <v>3</v>
      </c>
      <c r="CI50" s="171">
        <f t="shared" si="14"/>
        <v>3</v>
      </c>
      <c r="CJ50" s="171">
        <f t="shared" si="14"/>
        <v>3</v>
      </c>
      <c r="CK50" s="169">
        <f t="shared" si="14"/>
        <v>3</v>
      </c>
      <c r="CL50" s="49"/>
      <c r="CM50" s="28"/>
    </row>
    <row r="51" spans="2:91" x14ac:dyDescent="0.25">
      <c r="B51" s="55"/>
      <c r="C51" s="10" t="s">
        <v>275</v>
      </c>
      <c r="D51" s="93" t="s">
        <v>277</v>
      </c>
      <c r="E51" s="276">
        <f t="shared" ref="E51:AJ51" si="15">E16/3600</f>
        <v>0</v>
      </c>
      <c r="F51" s="277">
        <f t="shared" si="15"/>
        <v>0.33250000000000002</v>
      </c>
      <c r="G51" s="277">
        <f t="shared" si="15"/>
        <v>0.33250000000000002</v>
      </c>
      <c r="H51" s="277">
        <f t="shared" si="15"/>
        <v>0.28694444444444445</v>
      </c>
      <c r="I51" s="277">
        <f t="shared" si="15"/>
        <v>0.28694444444444445</v>
      </c>
      <c r="J51" s="278">
        <f t="shared" si="15"/>
        <v>1.2500000000000001E-2</v>
      </c>
      <c r="K51" s="277">
        <f t="shared" si="15"/>
        <v>0</v>
      </c>
      <c r="L51" s="277">
        <f t="shared" si="15"/>
        <v>0.15333333333333332</v>
      </c>
      <c r="M51" s="279">
        <f t="shared" si="15"/>
        <v>0.15333333333333332</v>
      </c>
      <c r="N51" s="278">
        <f t="shared" si="15"/>
        <v>0.33527777777777779</v>
      </c>
      <c r="O51" s="277">
        <f t="shared" si="15"/>
        <v>0.33527777777777779</v>
      </c>
      <c r="P51" s="277">
        <f t="shared" si="15"/>
        <v>0.24</v>
      </c>
      <c r="Q51" s="279">
        <f t="shared" si="15"/>
        <v>0.24</v>
      </c>
      <c r="R51" s="278">
        <f t="shared" si="15"/>
        <v>2.4166666666666666E-2</v>
      </c>
      <c r="S51" s="277">
        <f t="shared" si="15"/>
        <v>0</v>
      </c>
      <c r="T51" s="277">
        <f t="shared" si="15"/>
        <v>0.2772222222222222</v>
      </c>
      <c r="U51" s="279">
        <f t="shared" si="15"/>
        <v>0.2772222222222222</v>
      </c>
      <c r="V51" s="278">
        <f t="shared" si="15"/>
        <v>2.6388888888888889E-2</v>
      </c>
      <c r="W51" s="277">
        <f t="shared" si="15"/>
        <v>0</v>
      </c>
      <c r="X51" s="277">
        <f t="shared" si="15"/>
        <v>0.25111111111111112</v>
      </c>
      <c r="Y51" s="279">
        <f t="shared" si="15"/>
        <v>0.25111111111111112</v>
      </c>
      <c r="Z51" s="278">
        <f t="shared" si="15"/>
        <v>4.1111111111111112E-2</v>
      </c>
      <c r="AA51" s="277">
        <f t="shared" si="15"/>
        <v>0</v>
      </c>
      <c r="AB51" s="277">
        <f t="shared" si="15"/>
        <v>0.19277777777777777</v>
      </c>
      <c r="AC51" s="279">
        <f t="shared" si="15"/>
        <v>0.19277777777777777</v>
      </c>
      <c r="AD51" s="278">
        <f t="shared" si="15"/>
        <v>7.7777777777777776E-3</v>
      </c>
      <c r="AE51" s="277">
        <f t="shared" si="15"/>
        <v>0</v>
      </c>
      <c r="AF51" s="277">
        <f t="shared" si="15"/>
        <v>0.17666666666666667</v>
      </c>
      <c r="AG51" s="279">
        <f t="shared" si="15"/>
        <v>0.17666666666666667</v>
      </c>
      <c r="AH51" s="278">
        <f t="shared" si="15"/>
        <v>0.19055555555555556</v>
      </c>
      <c r="AI51" s="277">
        <f t="shared" si="15"/>
        <v>0.19055555555555556</v>
      </c>
      <c r="AJ51" s="277">
        <f t="shared" si="15"/>
        <v>0.13527777777777777</v>
      </c>
      <c r="AK51" s="279">
        <f t="shared" ref="AK51:BP51" si="16">AK16/3600</f>
        <v>0.13527777777777777</v>
      </c>
      <c r="AL51" s="278">
        <f t="shared" si="16"/>
        <v>0</v>
      </c>
      <c r="AM51" s="277">
        <f t="shared" si="16"/>
        <v>0</v>
      </c>
      <c r="AN51" s="277">
        <f t="shared" si="16"/>
        <v>0</v>
      </c>
      <c r="AO51" s="279">
        <f t="shared" si="16"/>
        <v>0</v>
      </c>
      <c r="AP51" s="278">
        <f t="shared" si="16"/>
        <v>0</v>
      </c>
      <c r="AQ51" s="277">
        <f t="shared" si="16"/>
        <v>0</v>
      </c>
      <c r="AR51" s="277">
        <f t="shared" si="16"/>
        <v>0</v>
      </c>
      <c r="AS51" s="279">
        <f t="shared" si="16"/>
        <v>0</v>
      </c>
      <c r="AT51" s="278">
        <f t="shared" si="16"/>
        <v>0</v>
      </c>
      <c r="AU51" s="277">
        <f t="shared" si="16"/>
        <v>0</v>
      </c>
      <c r="AV51" s="277">
        <f t="shared" si="16"/>
        <v>0</v>
      </c>
      <c r="AW51" s="279">
        <f t="shared" si="16"/>
        <v>0</v>
      </c>
      <c r="AX51" s="278">
        <f t="shared" si="16"/>
        <v>0</v>
      </c>
      <c r="AY51" s="277">
        <f t="shared" si="16"/>
        <v>0</v>
      </c>
      <c r="AZ51" s="277">
        <f t="shared" si="16"/>
        <v>0</v>
      </c>
      <c r="BA51" s="279">
        <f t="shared" si="16"/>
        <v>0</v>
      </c>
      <c r="BB51" s="278">
        <f t="shared" si="16"/>
        <v>0</v>
      </c>
      <c r="BC51" s="277">
        <f t="shared" si="16"/>
        <v>0</v>
      </c>
      <c r="BD51" s="277">
        <f t="shared" si="16"/>
        <v>0</v>
      </c>
      <c r="BE51" s="279">
        <f t="shared" si="16"/>
        <v>0</v>
      </c>
      <c r="BF51" s="278">
        <f t="shared" si="16"/>
        <v>0</v>
      </c>
      <c r="BG51" s="277">
        <f t="shared" si="16"/>
        <v>0</v>
      </c>
      <c r="BH51" s="277">
        <f t="shared" si="16"/>
        <v>0</v>
      </c>
      <c r="BI51" s="279">
        <f t="shared" si="16"/>
        <v>0</v>
      </c>
      <c r="BJ51" s="278">
        <f t="shared" si="16"/>
        <v>0</v>
      </c>
      <c r="BK51" s="277">
        <f t="shared" si="16"/>
        <v>0</v>
      </c>
      <c r="BL51" s="277">
        <f t="shared" si="16"/>
        <v>0</v>
      </c>
      <c r="BM51" s="279">
        <f t="shared" si="16"/>
        <v>0</v>
      </c>
      <c r="BN51" s="278">
        <f t="shared" si="16"/>
        <v>0</v>
      </c>
      <c r="BO51" s="277">
        <f t="shared" si="16"/>
        <v>0</v>
      </c>
      <c r="BP51" s="277">
        <f t="shared" si="16"/>
        <v>0</v>
      </c>
      <c r="BQ51" s="279">
        <f t="shared" ref="BQ51:CK51" si="17">BQ16/3600</f>
        <v>0</v>
      </c>
      <c r="BR51" s="278">
        <f t="shared" si="17"/>
        <v>0</v>
      </c>
      <c r="BS51" s="277">
        <f t="shared" si="17"/>
        <v>0</v>
      </c>
      <c r="BT51" s="277">
        <f t="shared" si="17"/>
        <v>0</v>
      </c>
      <c r="BU51" s="279">
        <f t="shared" si="17"/>
        <v>0</v>
      </c>
      <c r="BV51" s="278">
        <f t="shared" si="17"/>
        <v>0</v>
      </c>
      <c r="BW51" s="277">
        <f t="shared" si="17"/>
        <v>0</v>
      </c>
      <c r="BX51" s="277">
        <f t="shared" si="17"/>
        <v>0</v>
      </c>
      <c r="BY51" s="279">
        <f t="shared" si="17"/>
        <v>0</v>
      </c>
      <c r="BZ51" s="278">
        <f t="shared" si="17"/>
        <v>0</v>
      </c>
      <c r="CA51" s="277">
        <f t="shared" si="17"/>
        <v>0</v>
      </c>
      <c r="CB51" s="277">
        <f t="shared" si="17"/>
        <v>0</v>
      </c>
      <c r="CC51" s="279">
        <f t="shared" si="17"/>
        <v>0</v>
      </c>
      <c r="CD51" s="278">
        <f t="shared" si="17"/>
        <v>0</v>
      </c>
      <c r="CE51" s="277">
        <f t="shared" si="17"/>
        <v>0</v>
      </c>
      <c r="CF51" s="277">
        <f t="shared" si="17"/>
        <v>0</v>
      </c>
      <c r="CG51" s="279">
        <f t="shared" si="17"/>
        <v>0</v>
      </c>
      <c r="CH51" s="278">
        <f t="shared" si="17"/>
        <v>0</v>
      </c>
      <c r="CI51" s="277">
        <f t="shared" si="17"/>
        <v>0</v>
      </c>
      <c r="CJ51" s="277">
        <f t="shared" si="17"/>
        <v>0</v>
      </c>
      <c r="CK51" s="279">
        <f t="shared" si="17"/>
        <v>0</v>
      </c>
      <c r="CL51" s="49"/>
      <c r="CM51" s="28"/>
    </row>
    <row r="52" spans="2:91" ht="14.25" x14ac:dyDescent="0.25">
      <c r="B52" s="55"/>
      <c r="C52" s="10" t="s">
        <v>273</v>
      </c>
      <c r="D52" s="93" t="s">
        <v>276</v>
      </c>
      <c r="E52" s="276">
        <f t="shared" ref="E52:AJ52" si="18">E20/3600</f>
        <v>0</v>
      </c>
      <c r="F52" s="277">
        <f t="shared" si="18"/>
        <v>5.1944444444444453E-2</v>
      </c>
      <c r="G52" s="277">
        <f t="shared" si="18"/>
        <v>2.016666666666667E-2</v>
      </c>
      <c r="H52" s="277">
        <f t="shared" si="18"/>
        <v>4.8888888888888891E-2</v>
      </c>
      <c r="I52" s="277">
        <f t="shared" si="18"/>
        <v>3.6055555555555556E-2</v>
      </c>
      <c r="J52" s="278">
        <f t="shared" si="18"/>
        <v>3.2222222222222222E-2</v>
      </c>
      <c r="K52" s="277">
        <f t="shared" si="18"/>
        <v>0</v>
      </c>
      <c r="L52" s="277">
        <f t="shared" si="18"/>
        <v>0</v>
      </c>
      <c r="M52" s="279">
        <f t="shared" si="18"/>
        <v>0</v>
      </c>
      <c r="N52" s="278">
        <f t="shared" si="18"/>
        <v>4.7222222222222221E-2</v>
      </c>
      <c r="O52" s="277">
        <f t="shared" si="18"/>
        <v>1.8333333333333333E-2</v>
      </c>
      <c r="P52" s="277">
        <f t="shared" si="18"/>
        <v>4.4444444444444446E-2</v>
      </c>
      <c r="Q52" s="279">
        <f t="shared" si="18"/>
        <v>3.2777777777777781E-2</v>
      </c>
      <c r="R52" s="278">
        <f t="shared" si="18"/>
        <v>0.04</v>
      </c>
      <c r="S52" s="277">
        <f t="shared" si="18"/>
        <v>0</v>
      </c>
      <c r="T52" s="277">
        <f t="shared" si="18"/>
        <v>0</v>
      </c>
      <c r="U52" s="279">
        <f t="shared" si="18"/>
        <v>4.0555555555555553E-2</v>
      </c>
      <c r="V52" s="278">
        <f t="shared" si="18"/>
        <v>4.1388888888888892E-2</v>
      </c>
      <c r="W52" s="277">
        <f t="shared" si="18"/>
        <v>0</v>
      </c>
      <c r="X52" s="277">
        <f t="shared" si="18"/>
        <v>2.6666666666666668E-2</v>
      </c>
      <c r="Y52" s="279">
        <f t="shared" si="18"/>
        <v>1.0277777777777778E-2</v>
      </c>
      <c r="Z52" s="278">
        <f t="shared" si="18"/>
        <v>2.8333333333333332E-2</v>
      </c>
      <c r="AA52" s="277">
        <f t="shared" si="18"/>
        <v>1.7500000000000002E-2</v>
      </c>
      <c r="AB52" s="277">
        <f t="shared" si="18"/>
        <v>8.8888888888888892E-2</v>
      </c>
      <c r="AC52" s="279">
        <f t="shared" si="18"/>
        <v>4.7500000000000001E-2</v>
      </c>
      <c r="AD52" s="278">
        <f t="shared" si="18"/>
        <v>3.3333333333333333E-2</v>
      </c>
      <c r="AE52" s="277">
        <f t="shared" si="18"/>
        <v>0</v>
      </c>
      <c r="AF52" s="277">
        <f t="shared" si="18"/>
        <v>2.6111111111111113E-2</v>
      </c>
      <c r="AG52" s="279">
        <f t="shared" si="18"/>
        <v>5.7222222222222223E-2</v>
      </c>
      <c r="AH52" s="278">
        <f t="shared" si="18"/>
        <v>1.638888888888889E-2</v>
      </c>
      <c r="AI52" s="277">
        <f t="shared" si="18"/>
        <v>3.0555555555555557E-3</v>
      </c>
      <c r="AJ52" s="277">
        <f t="shared" si="18"/>
        <v>1.9722222222222221E-2</v>
      </c>
      <c r="AK52" s="279">
        <f t="shared" ref="AK52:BP52" si="19">AK20/3600</f>
        <v>1.2222222222222223E-2</v>
      </c>
      <c r="AL52" s="278">
        <f t="shared" si="19"/>
        <v>0</v>
      </c>
      <c r="AM52" s="277">
        <f t="shared" si="19"/>
        <v>0</v>
      </c>
      <c r="AN52" s="277">
        <f t="shared" si="19"/>
        <v>0</v>
      </c>
      <c r="AO52" s="279">
        <f t="shared" si="19"/>
        <v>0</v>
      </c>
      <c r="AP52" s="278">
        <f t="shared" si="19"/>
        <v>0</v>
      </c>
      <c r="AQ52" s="277">
        <f t="shared" si="19"/>
        <v>0</v>
      </c>
      <c r="AR52" s="277">
        <f t="shared" si="19"/>
        <v>0</v>
      </c>
      <c r="AS52" s="279">
        <f t="shared" si="19"/>
        <v>0</v>
      </c>
      <c r="AT52" s="278">
        <f t="shared" si="19"/>
        <v>0</v>
      </c>
      <c r="AU52" s="277">
        <f t="shared" si="19"/>
        <v>0</v>
      </c>
      <c r="AV52" s="277">
        <f t="shared" si="19"/>
        <v>0</v>
      </c>
      <c r="AW52" s="279">
        <f t="shared" si="19"/>
        <v>0</v>
      </c>
      <c r="AX52" s="278">
        <f t="shared" si="19"/>
        <v>0</v>
      </c>
      <c r="AY52" s="277">
        <f t="shared" si="19"/>
        <v>0</v>
      </c>
      <c r="AZ52" s="277">
        <f t="shared" si="19"/>
        <v>0</v>
      </c>
      <c r="BA52" s="279">
        <f t="shared" si="19"/>
        <v>0</v>
      </c>
      <c r="BB52" s="278">
        <f t="shared" si="19"/>
        <v>0</v>
      </c>
      <c r="BC52" s="277">
        <f t="shared" si="19"/>
        <v>0</v>
      </c>
      <c r="BD52" s="277">
        <f t="shared" si="19"/>
        <v>0</v>
      </c>
      <c r="BE52" s="279">
        <f t="shared" si="19"/>
        <v>0</v>
      </c>
      <c r="BF52" s="278">
        <f t="shared" si="19"/>
        <v>0</v>
      </c>
      <c r="BG52" s="277">
        <f t="shared" si="19"/>
        <v>0</v>
      </c>
      <c r="BH52" s="277">
        <f t="shared" si="19"/>
        <v>0</v>
      </c>
      <c r="BI52" s="279">
        <f t="shared" si="19"/>
        <v>0</v>
      </c>
      <c r="BJ52" s="278">
        <f t="shared" si="19"/>
        <v>0</v>
      </c>
      <c r="BK52" s="277">
        <f t="shared" si="19"/>
        <v>0</v>
      </c>
      <c r="BL52" s="277">
        <f t="shared" si="19"/>
        <v>0</v>
      </c>
      <c r="BM52" s="279">
        <f t="shared" si="19"/>
        <v>0</v>
      </c>
      <c r="BN52" s="278">
        <f t="shared" si="19"/>
        <v>0</v>
      </c>
      <c r="BO52" s="277">
        <f t="shared" si="19"/>
        <v>0</v>
      </c>
      <c r="BP52" s="277">
        <f t="shared" si="19"/>
        <v>0</v>
      </c>
      <c r="BQ52" s="279">
        <f t="shared" ref="BQ52:CK52" si="20">BQ20/3600</f>
        <v>0</v>
      </c>
      <c r="BR52" s="278">
        <f t="shared" si="20"/>
        <v>0</v>
      </c>
      <c r="BS52" s="277">
        <f t="shared" si="20"/>
        <v>0</v>
      </c>
      <c r="BT52" s="277">
        <f t="shared" si="20"/>
        <v>0</v>
      </c>
      <c r="BU52" s="279">
        <f t="shared" si="20"/>
        <v>0</v>
      </c>
      <c r="BV52" s="278">
        <f t="shared" si="20"/>
        <v>0</v>
      </c>
      <c r="BW52" s="277">
        <f t="shared" si="20"/>
        <v>0</v>
      </c>
      <c r="BX52" s="277">
        <f t="shared" si="20"/>
        <v>0</v>
      </c>
      <c r="BY52" s="279">
        <f t="shared" si="20"/>
        <v>0</v>
      </c>
      <c r="BZ52" s="278">
        <f t="shared" si="20"/>
        <v>0</v>
      </c>
      <c r="CA52" s="277">
        <f t="shared" si="20"/>
        <v>0</v>
      </c>
      <c r="CB52" s="277">
        <f t="shared" si="20"/>
        <v>0</v>
      </c>
      <c r="CC52" s="279">
        <f t="shared" si="20"/>
        <v>0</v>
      </c>
      <c r="CD52" s="278">
        <f t="shared" si="20"/>
        <v>0</v>
      </c>
      <c r="CE52" s="277">
        <f t="shared" si="20"/>
        <v>0</v>
      </c>
      <c r="CF52" s="277">
        <f t="shared" si="20"/>
        <v>0</v>
      </c>
      <c r="CG52" s="279">
        <f t="shared" si="20"/>
        <v>0</v>
      </c>
      <c r="CH52" s="278">
        <f t="shared" si="20"/>
        <v>0</v>
      </c>
      <c r="CI52" s="277">
        <f t="shared" si="20"/>
        <v>0</v>
      </c>
      <c r="CJ52" s="277">
        <f t="shared" si="20"/>
        <v>0</v>
      </c>
      <c r="CK52" s="279">
        <f t="shared" si="20"/>
        <v>0</v>
      </c>
      <c r="CL52" s="49"/>
      <c r="CM52" s="28"/>
    </row>
    <row r="53" spans="2:91" ht="14.25" x14ac:dyDescent="0.25">
      <c r="B53" s="55"/>
      <c r="C53" s="10" t="s">
        <v>270</v>
      </c>
      <c r="D53" s="93" t="s">
        <v>278</v>
      </c>
      <c r="E53" s="125" t="e">
        <f t="shared" ref="E53:M53" si="21">MAX(8*E54/E30,1)</f>
        <v>#DIV/0!</v>
      </c>
      <c r="F53" s="162">
        <f t="shared" si="21"/>
        <v>34.366020943694231</v>
      </c>
      <c r="G53" s="164">
        <f t="shared" si="21"/>
        <v>14.88627545161553</v>
      </c>
      <c r="H53" s="164">
        <f t="shared" si="21"/>
        <v>43.811250175997571</v>
      </c>
      <c r="I53" s="163">
        <f t="shared" si="21"/>
        <v>33.715188166383975</v>
      </c>
      <c r="J53" s="162">
        <f t="shared" si="21"/>
        <v>1</v>
      </c>
      <c r="K53" s="164" t="e">
        <f t="shared" si="21"/>
        <v>#DIV/0!</v>
      </c>
      <c r="L53" s="164">
        <f t="shared" si="21"/>
        <v>1</v>
      </c>
      <c r="M53" s="163">
        <f t="shared" si="21"/>
        <v>1</v>
      </c>
      <c r="N53" s="168">
        <f t="shared" ref="N53" si="22">MAX(8*N54/N30,1)</f>
        <v>70.761727461446654</v>
      </c>
      <c r="O53" s="171">
        <f t="shared" ref="O53" si="23">MAX(8*O54/O30,1)</f>
        <v>524.80757573867277</v>
      </c>
      <c r="P53" s="171">
        <f t="shared" ref="P53" si="24">MAX(8*P54/P30,1)</f>
        <v>6.0202888093655469</v>
      </c>
      <c r="Q53" s="169">
        <f t="shared" ref="Q53" si="25">MAX(8*Q54/Q30,1)</f>
        <v>6.5569762653114099</v>
      </c>
      <c r="R53" s="168">
        <f t="shared" ref="R53" si="26">MAX(8*R54/R30,1)</f>
        <v>1</v>
      </c>
      <c r="S53" s="171" t="e">
        <f t="shared" ref="S53" si="27">MAX(8*S54/S30,1)</f>
        <v>#DIV/0!</v>
      </c>
      <c r="T53" s="171">
        <f t="shared" ref="T53" si="28">MAX(8*T54/T30,1)</f>
        <v>1</v>
      </c>
      <c r="U53" s="169">
        <f t="shared" ref="U53" si="29">MAX(8*U54/U30,1)</f>
        <v>10.544268472021079</v>
      </c>
      <c r="V53" s="168">
        <f t="shared" ref="V53" si="30">MAX(8*V54/V30,1)</f>
        <v>1</v>
      </c>
      <c r="W53" s="171" t="e">
        <f t="shared" ref="W53" si="31">MAX(8*W54/W30,1)</f>
        <v>#DIV/0!</v>
      </c>
      <c r="X53" s="171">
        <f t="shared" ref="X53" si="32">MAX(8*X54/X30,1)</f>
        <v>3.8264708485388055</v>
      </c>
      <c r="Y53" s="169">
        <f t="shared" ref="Y53" si="33">MAX(8*Y54/Y30,1)</f>
        <v>1.9496664955390182</v>
      </c>
      <c r="Z53" s="168">
        <f t="shared" ref="Z53" si="34">MAX(8*Z54/Z30,1)</f>
        <v>1</v>
      </c>
      <c r="AA53" s="171" t="e">
        <f t="shared" ref="AA53" si="35">MAX(8*AA54/AA30,1)</f>
        <v>#DIV/0!</v>
      </c>
      <c r="AB53" s="171">
        <f t="shared" ref="AB53" si="36">MAX(8*AB54/AB30,1)</f>
        <v>3.9121629977692591</v>
      </c>
      <c r="AC53" s="169">
        <f t="shared" ref="AC53" si="37">MAX(8*AC54/AC30,1)</f>
        <v>2.6376396505652115</v>
      </c>
      <c r="AD53" s="168">
        <f t="shared" ref="AD53" si="38">MAX(8*AD54/AD30,1)</f>
        <v>1</v>
      </c>
      <c r="AE53" s="171" t="e">
        <f t="shared" ref="AE53" si="39">MAX(8*AE54/AE30,1)</f>
        <v>#DIV/0!</v>
      </c>
      <c r="AF53" s="171">
        <f t="shared" ref="AF53" si="40">MAX(8*AF54/AF30,1)</f>
        <v>1.0923963196323421</v>
      </c>
      <c r="AG53" s="169">
        <f t="shared" ref="AG53" si="41">MAX(8*AG54/AG30,1)</f>
        <v>1.5194644360971397</v>
      </c>
      <c r="AH53" s="168">
        <f t="shared" ref="AH53" si="42">MAX(8*AH54/AH30,1)</f>
        <v>1.0937964781612521</v>
      </c>
      <c r="AI53" s="171">
        <f t="shared" ref="AI53" si="43">MAX(8*AI54/AI30,1)</f>
        <v>1</v>
      </c>
      <c r="AJ53" s="171">
        <f t="shared" ref="AJ53" si="44">MAX(8*AJ54/AJ30,1)</f>
        <v>1.0561564806680757</v>
      </c>
      <c r="AK53" s="169">
        <f t="shared" ref="AK53" si="45">MAX(8*AK54/AK30,1)</f>
        <v>1</v>
      </c>
      <c r="AL53" s="168" t="e">
        <f t="shared" ref="AL53" si="46">MAX(8*AL54/AL30,1)</f>
        <v>#DIV/0!</v>
      </c>
      <c r="AM53" s="171" t="e">
        <f t="shared" ref="AM53" si="47">MAX(8*AM54/AM30,1)</f>
        <v>#DIV/0!</v>
      </c>
      <c r="AN53" s="171" t="e">
        <f t="shared" ref="AN53" si="48">MAX(8*AN54/AN30,1)</f>
        <v>#DIV/0!</v>
      </c>
      <c r="AO53" s="169" t="e">
        <f t="shared" ref="AO53" si="49">MAX(8*AO54/AO30,1)</f>
        <v>#DIV/0!</v>
      </c>
      <c r="AP53" s="168" t="e">
        <f t="shared" ref="AP53" si="50">MAX(8*AP54/AP30,1)</f>
        <v>#DIV/0!</v>
      </c>
      <c r="AQ53" s="171" t="e">
        <f t="shared" ref="AQ53" si="51">MAX(8*AQ54/AQ30,1)</f>
        <v>#DIV/0!</v>
      </c>
      <c r="AR53" s="171" t="e">
        <f t="shared" ref="AR53" si="52">MAX(8*AR54/AR30,1)</f>
        <v>#DIV/0!</v>
      </c>
      <c r="AS53" s="169" t="e">
        <f t="shared" ref="AS53" si="53">MAX(8*AS54/AS30,1)</f>
        <v>#DIV/0!</v>
      </c>
      <c r="AT53" s="168" t="e">
        <f t="shared" ref="AT53" si="54">MAX(8*AT54/AT30,1)</f>
        <v>#DIV/0!</v>
      </c>
      <c r="AU53" s="171" t="e">
        <f t="shared" ref="AU53" si="55">MAX(8*AU54/AU30,1)</f>
        <v>#DIV/0!</v>
      </c>
      <c r="AV53" s="171" t="e">
        <f t="shared" ref="AV53" si="56">MAX(8*AV54/AV30,1)</f>
        <v>#DIV/0!</v>
      </c>
      <c r="AW53" s="169" t="e">
        <f t="shared" ref="AW53" si="57">MAX(8*AW54/AW30,1)</f>
        <v>#DIV/0!</v>
      </c>
      <c r="AX53" s="168" t="e">
        <f t="shared" ref="AX53" si="58">MAX(8*AX54/AX30,1)</f>
        <v>#DIV/0!</v>
      </c>
      <c r="AY53" s="171" t="e">
        <f t="shared" ref="AY53" si="59">MAX(8*AY54/AY30,1)</f>
        <v>#DIV/0!</v>
      </c>
      <c r="AZ53" s="171" t="e">
        <f t="shared" ref="AZ53" si="60">MAX(8*AZ54/AZ30,1)</f>
        <v>#DIV/0!</v>
      </c>
      <c r="BA53" s="169" t="e">
        <f t="shared" ref="BA53" si="61">MAX(8*BA54/BA30,1)</f>
        <v>#DIV/0!</v>
      </c>
      <c r="BB53" s="168" t="e">
        <f t="shared" ref="BB53" si="62">MAX(8*BB54/BB30,1)</f>
        <v>#DIV/0!</v>
      </c>
      <c r="BC53" s="171" t="e">
        <f t="shared" ref="BC53" si="63">MAX(8*BC54/BC30,1)</f>
        <v>#DIV/0!</v>
      </c>
      <c r="BD53" s="171" t="e">
        <f t="shared" ref="BD53" si="64">MAX(8*BD54/BD30,1)</f>
        <v>#DIV/0!</v>
      </c>
      <c r="BE53" s="169" t="e">
        <f t="shared" ref="BE53" si="65">MAX(8*BE54/BE30,1)</f>
        <v>#DIV/0!</v>
      </c>
      <c r="BF53" s="168" t="e">
        <f t="shared" ref="BF53" si="66">MAX(8*BF54/BF30,1)</f>
        <v>#DIV/0!</v>
      </c>
      <c r="BG53" s="171" t="e">
        <f t="shared" ref="BG53" si="67">MAX(8*BG54/BG30,1)</f>
        <v>#DIV/0!</v>
      </c>
      <c r="BH53" s="171" t="e">
        <f t="shared" ref="BH53" si="68">MAX(8*BH54/BH30,1)</f>
        <v>#DIV/0!</v>
      </c>
      <c r="BI53" s="169" t="e">
        <f t="shared" ref="BI53" si="69">MAX(8*BI54/BI30,1)</f>
        <v>#DIV/0!</v>
      </c>
      <c r="BJ53" s="168" t="e">
        <f t="shared" ref="BJ53" si="70">MAX(8*BJ54/BJ30,1)</f>
        <v>#DIV/0!</v>
      </c>
      <c r="BK53" s="171" t="e">
        <f t="shared" ref="BK53" si="71">MAX(8*BK54/BK30,1)</f>
        <v>#DIV/0!</v>
      </c>
      <c r="BL53" s="171" t="e">
        <f t="shared" ref="BL53" si="72">MAX(8*BL54/BL30,1)</f>
        <v>#DIV/0!</v>
      </c>
      <c r="BM53" s="169" t="e">
        <f t="shared" ref="BM53" si="73">MAX(8*BM54/BM30,1)</f>
        <v>#DIV/0!</v>
      </c>
      <c r="BN53" s="168" t="e">
        <f t="shared" ref="BN53" si="74">MAX(8*BN54/BN30,1)</f>
        <v>#DIV/0!</v>
      </c>
      <c r="BO53" s="171" t="e">
        <f t="shared" ref="BO53" si="75">MAX(8*BO54/BO30,1)</f>
        <v>#DIV/0!</v>
      </c>
      <c r="BP53" s="171" t="e">
        <f t="shared" ref="BP53" si="76">MAX(8*BP54/BP30,1)</f>
        <v>#DIV/0!</v>
      </c>
      <c r="BQ53" s="169" t="e">
        <f t="shared" ref="BQ53" si="77">MAX(8*BQ54/BQ30,1)</f>
        <v>#DIV/0!</v>
      </c>
      <c r="BR53" s="168" t="e">
        <f t="shared" ref="BR53" si="78">MAX(8*BR54/BR30,1)</f>
        <v>#DIV/0!</v>
      </c>
      <c r="BS53" s="171" t="e">
        <f t="shared" ref="BS53" si="79">MAX(8*BS54/BS30,1)</f>
        <v>#DIV/0!</v>
      </c>
      <c r="BT53" s="171" t="e">
        <f t="shared" ref="BT53" si="80">MAX(8*BT54/BT30,1)</f>
        <v>#DIV/0!</v>
      </c>
      <c r="BU53" s="169" t="e">
        <f t="shared" ref="BU53" si="81">MAX(8*BU54/BU30,1)</f>
        <v>#DIV/0!</v>
      </c>
      <c r="BV53" s="168" t="e">
        <f t="shared" ref="BV53" si="82">MAX(8*BV54/BV30,1)</f>
        <v>#DIV/0!</v>
      </c>
      <c r="BW53" s="171" t="e">
        <f t="shared" ref="BW53" si="83">MAX(8*BW54/BW30,1)</f>
        <v>#DIV/0!</v>
      </c>
      <c r="BX53" s="171" t="e">
        <f t="shared" ref="BX53" si="84">MAX(8*BX54/BX30,1)</f>
        <v>#DIV/0!</v>
      </c>
      <c r="BY53" s="169" t="e">
        <f t="shared" ref="BY53" si="85">MAX(8*BY54/BY30,1)</f>
        <v>#DIV/0!</v>
      </c>
      <c r="BZ53" s="168" t="e">
        <f t="shared" ref="BZ53" si="86">MAX(8*BZ54/BZ30,1)</f>
        <v>#DIV/0!</v>
      </c>
      <c r="CA53" s="171" t="e">
        <f t="shared" ref="CA53" si="87">MAX(8*CA54/CA30,1)</f>
        <v>#DIV/0!</v>
      </c>
      <c r="CB53" s="171" t="e">
        <f t="shared" ref="CB53" si="88">MAX(8*CB54/CB30,1)</f>
        <v>#DIV/0!</v>
      </c>
      <c r="CC53" s="169" t="e">
        <f t="shared" ref="CC53" si="89">MAX(8*CC54/CC30,1)</f>
        <v>#DIV/0!</v>
      </c>
      <c r="CD53" s="168" t="e">
        <f t="shared" ref="CD53" si="90">MAX(8*CD54/CD30,1)</f>
        <v>#DIV/0!</v>
      </c>
      <c r="CE53" s="171" t="e">
        <f t="shared" ref="CE53" si="91">MAX(8*CE54/CE30,1)</f>
        <v>#DIV/0!</v>
      </c>
      <c r="CF53" s="171" t="e">
        <f t="shared" ref="CF53" si="92">MAX(8*CF54/CF30,1)</f>
        <v>#DIV/0!</v>
      </c>
      <c r="CG53" s="169" t="e">
        <f t="shared" ref="CG53" si="93">MAX(8*CG54/CG30,1)</f>
        <v>#DIV/0!</v>
      </c>
      <c r="CH53" s="168" t="e">
        <f t="shared" ref="CH53" si="94">MAX(8*CH54/CH30,1)</f>
        <v>#DIV/0!</v>
      </c>
      <c r="CI53" s="171" t="e">
        <f t="shared" ref="CI53" si="95">MAX(8*CI54/CI30,1)</f>
        <v>#DIV/0!</v>
      </c>
      <c r="CJ53" s="171" t="e">
        <f t="shared" ref="CJ53" si="96">MAX(8*CJ54/CJ30,1)</f>
        <v>#DIV/0!</v>
      </c>
      <c r="CK53" s="169" t="e">
        <f t="shared" ref="CK53" si="97">MAX(8*CK54/CK30,1)</f>
        <v>#DIV/0!</v>
      </c>
      <c r="CL53" s="49"/>
      <c r="CM53" s="28"/>
    </row>
    <row r="54" spans="2:91" ht="14.25" x14ac:dyDescent="0.25">
      <c r="B54" s="55"/>
      <c r="C54" s="10" t="s">
        <v>269</v>
      </c>
      <c r="D54" s="93" t="s">
        <v>279</v>
      </c>
      <c r="E54" s="125" t="e">
        <f>(E52*EXP(E52*E50)+E51*EXP(-E51*E50))/((E52+E51)*EXP((E52-E51)*E50))</f>
        <v>#DIV/0!</v>
      </c>
      <c r="F54" s="162">
        <f t="shared" ref="F54:M54" si="98">(F52*EXP(F52*F50)+F51*EXP(-F51*F50))/((F52+F51)*EXP((F52-F51)*F50))</f>
        <v>51.54903141554135</v>
      </c>
      <c r="G54" s="164">
        <f t="shared" si="98"/>
        <v>22.329413177423294</v>
      </c>
      <c r="H54" s="164">
        <f t="shared" si="98"/>
        <v>65.716875263996357</v>
      </c>
      <c r="I54" s="163">
        <f t="shared" si="98"/>
        <v>50.572782249575965</v>
      </c>
      <c r="J54" s="162">
        <f t="shared" si="98"/>
        <v>1.0384791624062875</v>
      </c>
      <c r="K54" s="164" t="e">
        <f t="shared" si="98"/>
        <v>#DIV/0!</v>
      </c>
      <c r="L54" s="164">
        <f t="shared" si="98"/>
        <v>1</v>
      </c>
      <c r="M54" s="163">
        <f t="shared" si="98"/>
        <v>1</v>
      </c>
      <c r="N54" s="168">
        <f t="shared" ref="N54:BY54" si="99">(N52*EXP(N52*N50)+N51*EXP(-N51*N50))/((N52+N51)*EXP((N52-N51)*N50))</f>
        <v>106.14259119216999</v>
      </c>
      <c r="O54" s="171">
        <f t="shared" si="99"/>
        <v>787.21136360800915</v>
      </c>
      <c r="P54" s="171">
        <f t="shared" si="99"/>
        <v>9.0304332140483208</v>
      </c>
      <c r="Q54" s="169">
        <f t="shared" si="99"/>
        <v>9.8354643979671152</v>
      </c>
      <c r="R54" s="168">
        <f t="shared" si="99"/>
        <v>1.0557649612686908</v>
      </c>
      <c r="S54" s="171" t="e">
        <f t="shared" si="99"/>
        <v>#DIV/0!</v>
      </c>
      <c r="T54" s="171">
        <f t="shared" si="99"/>
        <v>1</v>
      </c>
      <c r="U54" s="169">
        <f t="shared" si="99"/>
        <v>15.816402708031617</v>
      </c>
      <c r="V54" s="168">
        <f t="shared" si="99"/>
        <v>1.2980867627984174</v>
      </c>
      <c r="W54" s="171" t="e">
        <f t="shared" si="99"/>
        <v>#DIV/0!</v>
      </c>
      <c r="X54" s="171">
        <f t="shared" si="99"/>
        <v>5.739706272808208</v>
      </c>
      <c r="Y54" s="169">
        <f t="shared" si="99"/>
        <v>2.9244997433085271</v>
      </c>
      <c r="Z54" s="168">
        <f t="shared" si="99"/>
        <v>1.1058487852538799</v>
      </c>
      <c r="AA54" s="171">
        <f t="shared" si="99"/>
        <v>1</v>
      </c>
      <c r="AB54" s="171">
        <f t="shared" si="99"/>
        <v>5.8682444966538885</v>
      </c>
      <c r="AC54" s="169">
        <f t="shared" si="99"/>
        <v>3.9564594758478173</v>
      </c>
      <c r="AD54" s="168">
        <f t="shared" si="99"/>
        <v>1.0181210618087113</v>
      </c>
      <c r="AE54" s="171" t="e">
        <f t="shared" si="99"/>
        <v>#DIV/0!</v>
      </c>
      <c r="AF54" s="171">
        <f t="shared" si="99"/>
        <v>1.6385944794485132</v>
      </c>
      <c r="AG54" s="169">
        <f t="shared" si="99"/>
        <v>2.2791966541457094</v>
      </c>
      <c r="AH54" s="168">
        <f t="shared" si="99"/>
        <v>1.6406947172418782</v>
      </c>
      <c r="AI54" s="171">
        <f t="shared" si="99"/>
        <v>1.2452528312754552</v>
      </c>
      <c r="AJ54" s="171">
        <f t="shared" si="99"/>
        <v>1.5842347210021135</v>
      </c>
      <c r="AK54" s="169">
        <f t="shared" si="99"/>
        <v>1.3726756029740101</v>
      </c>
      <c r="AL54" s="168" t="e">
        <f t="shared" si="99"/>
        <v>#DIV/0!</v>
      </c>
      <c r="AM54" s="171" t="e">
        <f t="shared" si="99"/>
        <v>#DIV/0!</v>
      </c>
      <c r="AN54" s="171" t="e">
        <f t="shared" si="99"/>
        <v>#DIV/0!</v>
      </c>
      <c r="AO54" s="169" t="e">
        <f t="shared" si="99"/>
        <v>#DIV/0!</v>
      </c>
      <c r="AP54" s="168" t="e">
        <f t="shared" si="99"/>
        <v>#DIV/0!</v>
      </c>
      <c r="AQ54" s="171" t="e">
        <f t="shared" si="99"/>
        <v>#DIV/0!</v>
      </c>
      <c r="AR54" s="171" t="e">
        <f t="shared" si="99"/>
        <v>#DIV/0!</v>
      </c>
      <c r="AS54" s="169" t="e">
        <f t="shared" si="99"/>
        <v>#DIV/0!</v>
      </c>
      <c r="AT54" s="168" t="e">
        <f t="shared" si="99"/>
        <v>#DIV/0!</v>
      </c>
      <c r="AU54" s="171" t="e">
        <f t="shared" si="99"/>
        <v>#DIV/0!</v>
      </c>
      <c r="AV54" s="171" t="e">
        <f t="shared" si="99"/>
        <v>#DIV/0!</v>
      </c>
      <c r="AW54" s="169" t="e">
        <f t="shared" si="99"/>
        <v>#DIV/0!</v>
      </c>
      <c r="AX54" s="168" t="e">
        <f t="shared" si="99"/>
        <v>#DIV/0!</v>
      </c>
      <c r="AY54" s="171" t="e">
        <f t="shared" si="99"/>
        <v>#DIV/0!</v>
      </c>
      <c r="AZ54" s="171" t="e">
        <f t="shared" si="99"/>
        <v>#DIV/0!</v>
      </c>
      <c r="BA54" s="169" t="e">
        <f t="shared" si="99"/>
        <v>#DIV/0!</v>
      </c>
      <c r="BB54" s="168" t="e">
        <f t="shared" si="99"/>
        <v>#DIV/0!</v>
      </c>
      <c r="BC54" s="171" t="e">
        <f t="shared" si="99"/>
        <v>#DIV/0!</v>
      </c>
      <c r="BD54" s="171" t="e">
        <f t="shared" si="99"/>
        <v>#DIV/0!</v>
      </c>
      <c r="BE54" s="169" t="e">
        <f t="shared" si="99"/>
        <v>#DIV/0!</v>
      </c>
      <c r="BF54" s="168" t="e">
        <f t="shared" si="99"/>
        <v>#DIV/0!</v>
      </c>
      <c r="BG54" s="171" t="e">
        <f t="shared" si="99"/>
        <v>#DIV/0!</v>
      </c>
      <c r="BH54" s="171" t="e">
        <f t="shared" si="99"/>
        <v>#DIV/0!</v>
      </c>
      <c r="BI54" s="169" t="e">
        <f t="shared" si="99"/>
        <v>#DIV/0!</v>
      </c>
      <c r="BJ54" s="168" t="e">
        <f t="shared" si="99"/>
        <v>#DIV/0!</v>
      </c>
      <c r="BK54" s="171" t="e">
        <f t="shared" si="99"/>
        <v>#DIV/0!</v>
      </c>
      <c r="BL54" s="171" t="e">
        <f t="shared" si="99"/>
        <v>#DIV/0!</v>
      </c>
      <c r="BM54" s="169" t="e">
        <f t="shared" si="99"/>
        <v>#DIV/0!</v>
      </c>
      <c r="BN54" s="168" t="e">
        <f t="shared" si="99"/>
        <v>#DIV/0!</v>
      </c>
      <c r="BO54" s="171" t="e">
        <f t="shared" si="99"/>
        <v>#DIV/0!</v>
      </c>
      <c r="BP54" s="171" t="e">
        <f t="shared" si="99"/>
        <v>#DIV/0!</v>
      </c>
      <c r="BQ54" s="169" t="e">
        <f t="shared" si="99"/>
        <v>#DIV/0!</v>
      </c>
      <c r="BR54" s="168" t="e">
        <f t="shared" si="99"/>
        <v>#DIV/0!</v>
      </c>
      <c r="BS54" s="171" t="e">
        <f t="shared" si="99"/>
        <v>#DIV/0!</v>
      </c>
      <c r="BT54" s="171" t="e">
        <f t="shared" si="99"/>
        <v>#DIV/0!</v>
      </c>
      <c r="BU54" s="169" t="e">
        <f t="shared" si="99"/>
        <v>#DIV/0!</v>
      </c>
      <c r="BV54" s="168" t="e">
        <f t="shared" si="99"/>
        <v>#DIV/0!</v>
      </c>
      <c r="BW54" s="171" t="e">
        <f t="shared" si="99"/>
        <v>#DIV/0!</v>
      </c>
      <c r="BX54" s="171" t="e">
        <f t="shared" si="99"/>
        <v>#DIV/0!</v>
      </c>
      <c r="BY54" s="169" t="e">
        <f t="shared" si="99"/>
        <v>#DIV/0!</v>
      </c>
      <c r="BZ54" s="168" t="e">
        <f t="shared" ref="BZ54:CK54" si="100">(BZ52*EXP(BZ52*BZ50)+BZ51*EXP(-BZ51*BZ50))/((BZ52+BZ51)*EXP((BZ52-BZ51)*BZ50))</f>
        <v>#DIV/0!</v>
      </c>
      <c r="CA54" s="171" t="e">
        <f t="shared" si="100"/>
        <v>#DIV/0!</v>
      </c>
      <c r="CB54" s="171" t="e">
        <f t="shared" si="100"/>
        <v>#DIV/0!</v>
      </c>
      <c r="CC54" s="169" t="e">
        <f t="shared" si="100"/>
        <v>#DIV/0!</v>
      </c>
      <c r="CD54" s="168" t="e">
        <f t="shared" si="100"/>
        <v>#DIV/0!</v>
      </c>
      <c r="CE54" s="171" t="e">
        <f t="shared" si="100"/>
        <v>#DIV/0!</v>
      </c>
      <c r="CF54" s="171" t="e">
        <f t="shared" si="100"/>
        <v>#DIV/0!</v>
      </c>
      <c r="CG54" s="169" t="e">
        <f t="shared" si="100"/>
        <v>#DIV/0!</v>
      </c>
      <c r="CH54" s="168" t="e">
        <f t="shared" si="100"/>
        <v>#DIV/0!</v>
      </c>
      <c r="CI54" s="171" t="e">
        <f t="shared" si="100"/>
        <v>#DIV/0!</v>
      </c>
      <c r="CJ54" s="171" t="e">
        <f t="shared" si="100"/>
        <v>#DIV/0!</v>
      </c>
      <c r="CK54" s="169" t="e">
        <f t="shared" si="100"/>
        <v>#DIV/0!</v>
      </c>
      <c r="CL54" s="49"/>
      <c r="CM54" s="28"/>
    </row>
    <row r="55" spans="2:91" ht="14.25" x14ac:dyDescent="0.25">
      <c r="B55" s="55"/>
      <c r="C55" s="10" t="s">
        <v>271</v>
      </c>
      <c r="D55" s="93" t="s">
        <v>280</v>
      </c>
      <c r="E55" s="125" t="e">
        <f t="shared" ref="E55:L55" si="101">E50+2*(E53-1)</f>
        <v>#DIV/0!</v>
      </c>
      <c r="F55" s="162">
        <f>F50+2*(F53-1)</f>
        <v>84.589184744531323</v>
      </c>
      <c r="G55" s="164">
        <f t="shared" si="101"/>
        <v>45.629693760373918</v>
      </c>
      <c r="H55" s="164">
        <f t="shared" si="101"/>
        <v>106.90821463770942</v>
      </c>
      <c r="I55" s="163">
        <f t="shared" si="101"/>
        <v>86.716090618482241</v>
      </c>
      <c r="J55" s="162">
        <f t="shared" si="101"/>
        <v>14.428571428571429</v>
      </c>
      <c r="K55" s="164" t="e">
        <f t="shared" si="101"/>
        <v>#DIV/0!</v>
      </c>
      <c r="L55" s="164">
        <f t="shared" si="101"/>
        <v>17.285714285714285</v>
      </c>
      <c r="M55" s="163">
        <f>M50+2*(M53-1)</f>
        <v>17.285714285714285</v>
      </c>
      <c r="N55" s="168">
        <f t="shared" ref="N55:P55" si="102">N50+2*(N53-1)</f>
        <v>159.66631206575045</v>
      </c>
      <c r="O55" s="171">
        <f t="shared" si="102"/>
        <v>1076.3294371916313</v>
      </c>
      <c r="P55" s="171">
        <f t="shared" si="102"/>
        <v>26.754863333016807</v>
      </c>
      <c r="Q55" s="169">
        <f>Q50+2*(Q53-1)</f>
        <v>29.256809673479964</v>
      </c>
      <c r="R55" s="168">
        <f t="shared" ref="R55:T55" si="103">R50+2*(R53-1)</f>
        <v>11</v>
      </c>
      <c r="S55" s="171" t="e">
        <f t="shared" si="103"/>
        <v>#DIV/0!</v>
      </c>
      <c r="T55" s="171">
        <f t="shared" si="103"/>
        <v>17.285714285714285</v>
      </c>
      <c r="U55" s="169">
        <f>U50+2*(U53-1)</f>
        <v>36.374251229756439</v>
      </c>
      <c r="V55" s="168">
        <f t="shared" ref="V55:X55" si="104">V50+2*(V53-1)</f>
        <v>24.142857142857142</v>
      </c>
      <c r="W55" s="171" t="e">
        <f t="shared" si="104"/>
        <v>#DIV/0!</v>
      </c>
      <c r="X55" s="171">
        <f t="shared" si="104"/>
        <v>21.510084554220469</v>
      </c>
      <c r="Y55" s="169">
        <f>Y50+2*(Y53-1)</f>
        <v>17.756475848220894</v>
      </c>
      <c r="Z55" s="168">
        <f t="shared" ref="Z55:AB55" si="105">Z50+2*(Z53-1)</f>
        <v>13</v>
      </c>
      <c r="AA55" s="171" t="e">
        <f t="shared" si="105"/>
        <v>#DIV/0!</v>
      </c>
      <c r="AB55" s="171">
        <f t="shared" si="105"/>
        <v>20.824325995538519</v>
      </c>
      <c r="AC55" s="169">
        <f>AC50+2*(AC53-1)</f>
        <v>18.275279301130425</v>
      </c>
      <c r="AD55" s="168">
        <f t="shared" ref="AD55:AF55" si="106">AD50+2*(AD53-1)</f>
        <v>12.428571428571429</v>
      </c>
      <c r="AE55" s="171" t="e">
        <f t="shared" si="106"/>
        <v>#DIV/0!</v>
      </c>
      <c r="AF55" s="171">
        <f t="shared" si="106"/>
        <v>11.756221210693255</v>
      </c>
      <c r="AG55" s="169">
        <f>AG50+2*(AG53-1)</f>
        <v>12.610357443622851</v>
      </c>
      <c r="AH55" s="168">
        <f t="shared" ref="AH55:AJ55" si="107">AH50+2*(AH53-1)</f>
        <v>12.901878670608218</v>
      </c>
      <c r="AI55" s="171">
        <f t="shared" si="107"/>
        <v>15.571428571428571</v>
      </c>
      <c r="AJ55" s="171">
        <f t="shared" si="107"/>
        <v>14.826598675621865</v>
      </c>
      <c r="AK55" s="169">
        <f>AK50+2*(AK53-1)</f>
        <v>14.714285714285714</v>
      </c>
      <c r="AL55" s="168" t="e">
        <f t="shared" ref="AL55:AN55" si="108">AL50+2*(AL53-1)</f>
        <v>#DIV/0!</v>
      </c>
      <c r="AM55" s="171" t="e">
        <f t="shared" si="108"/>
        <v>#DIV/0!</v>
      </c>
      <c r="AN55" s="171" t="e">
        <f t="shared" si="108"/>
        <v>#DIV/0!</v>
      </c>
      <c r="AO55" s="169" t="e">
        <f>AO50+2*(AO53-1)</f>
        <v>#DIV/0!</v>
      </c>
      <c r="AP55" s="168" t="e">
        <f t="shared" ref="AP55:AR55" si="109">AP50+2*(AP53-1)</f>
        <v>#DIV/0!</v>
      </c>
      <c r="AQ55" s="171" t="e">
        <f t="shared" si="109"/>
        <v>#DIV/0!</v>
      </c>
      <c r="AR55" s="171" t="e">
        <f t="shared" si="109"/>
        <v>#DIV/0!</v>
      </c>
      <c r="AS55" s="169" t="e">
        <f>AS50+2*(AS53-1)</f>
        <v>#DIV/0!</v>
      </c>
      <c r="AT55" s="168" t="e">
        <f t="shared" ref="AT55:AV55" si="110">AT50+2*(AT53-1)</f>
        <v>#DIV/0!</v>
      </c>
      <c r="AU55" s="171" t="e">
        <f t="shared" si="110"/>
        <v>#DIV/0!</v>
      </c>
      <c r="AV55" s="171" t="e">
        <f t="shared" si="110"/>
        <v>#DIV/0!</v>
      </c>
      <c r="AW55" s="169" t="e">
        <f>AW50+2*(AW53-1)</f>
        <v>#DIV/0!</v>
      </c>
      <c r="AX55" s="168" t="e">
        <f t="shared" ref="AX55:AZ55" si="111">AX50+2*(AX53-1)</f>
        <v>#DIV/0!</v>
      </c>
      <c r="AY55" s="171" t="e">
        <f t="shared" si="111"/>
        <v>#DIV/0!</v>
      </c>
      <c r="AZ55" s="171" t="e">
        <f t="shared" si="111"/>
        <v>#DIV/0!</v>
      </c>
      <c r="BA55" s="169" t="e">
        <f>BA50+2*(BA53-1)</f>
        <v>#DIV/0!</v>
      </c>
      <c r="BB55" s="168" t="e">
        <f t="shared" ref="BB55:BD55" si="112">BB50+2*(BB53-1)</f>
        <v>#DIV/0!</v>
      </c>
      <c r="BC55" s="171" t="e">
        <f t="shared" si="112"/>
        <v>#DIV/0!</v>
      </c>
      <c r="BD55" s="171" t="e">
        <f t="shared" si="112"/>
        <v>#DIV/0!</v>
      </c>
      <c r="BE55" s="169" t="e">
        <f>BE50+2*(BE53-1)</f>
        <v>#DIV/0!</v>
      </c>
      <c r="BF55" s="168" t="e">
        <f t="shared" ref="BF55:BH55" si="113">BF50+2*(BF53-1)</f>
        <v>#DIV/0!</v>
      </c>
      <c r="BG55" s="171" t="e">
        <f t="shared" si="113"/>
        <v>#DIV/0!</v>
      </c>
      <c r="BH55" s="171" t="e">
        <f t="shared" si="113"/>
        <v>#DIV/0!</v>
      </c>
      <c r="BI55" s="169" t="e">
        <f>BI50+2*(BI53-1)</f>
        <v>#DIV/0!</v>
      </c>
      <c r="BJ55" s="168" t="e">
        <f t="shared" ref="BJ55:BL55" si="114">BJ50+2*(BJ53-1)</f>
        <v>#DIV/0!</v>
      </c>
      <c r="BK55" s="171" t="e">
        <f t="shared" si="114"/>
        <v>#DIV/0!</v>
      </c>
      <c r="BL55" s="171" t="e">
        <f t="shared" si="114"/>
        <v>#DIV/0!</v>
      </c>
      <c r="BM55" s="169" t="e">
        <f>BM50+2*(BM53-1)</f>
        <v>#DIV/0!</v>
      </c>
      <c r="BN55" s="168" t="e">
        <f t="shared" ref="BN55:BP55" si="115">BN50+2*(BN53-1)</f>
        <v>#DIV/0!</v>
      </c>
      <c r="BO55" s="171" t="e">
        <f t="shared" si="115"/>
        <v>#DIV/0!</v>
      </c>
      <c r="BP55" s="171" t="e">
        <f t="shared" si="115"/>
        <v>#DIV/0!</v>
      </c>
      <c r="BQ55" s="169" t="e">
        <f>BQ50+2*(BQ53-1)</f>
        <v>#DIV/0!</v>
      </c>
      <c r="BR55" s="168" t="e">
        <f t="shared" ref="BR55:BT55" si="116">BR50+2*(BR53-1)</f>
        <v>#DIV/0!</v>
      </c>
      <c r="BS55" s="171" t="e">
        <f t="shared" si="116"/>
        <v>#DIV/0!</v>
      </c>
      <c r="BT55" s="171" t="e">
        <f t="shared" si="116"/>
        <v>#DIV/0!</v>
      </c>
      <c r="BU55" s="169" t="e">
        <f>BU50+2*(BU53-1)</f>
        <v>#DIV/0!</v>
      </c>
      <c r="BV55" s="168" t="e">
        <f t="shared" ref="BV55:BX55" si="117">BV50+2*(BV53-1)</f>
        <v>#DIV/0!</v>
      </c>
      <c r="BW55" s="171" t="e">
        <f t="shared" si="117"/>
        <v>#DIV/0!</v>
      </c>
      <c r="BX55" s="171" t="e">
        <f t="shared" si="117"/>
        <v>#DIV/0!</v>
      </c>
      <c r="BY55" s="169" t="e">
        <f>BY50+2*(BY53-1)</f>
        <v>#DIV/0!</v>
      </c>
      <c r="BZ55" s="168" t="e">
        <f t="shared" ref="BZ55:CB55" si="118">BZ50+2*(BZ53-1)</f>
        <v>#DIV/0!</v>
      </c>
      <c r="CA55" s="171" t="e">
        <f t="shared" si="118"/>
        <v>#DIV/0!</v>
      </c>
      <c r="CB55" s="171" t="e">
        <f t="shared" si="118"/>
        <v>#DIV/0!</v>
      </c>
      <c r="CC55" s="169" t="e">
        <f>CC50+2*(CC53-1)</f>
        <v>#DIV/0!</v>
      </c>
      <c r="CD55" s="168" t="e">
        <f t="shared" ref="CD55:CF55" si="119">CD50+2*(CD53-1)</f>
        <v>#DIV/0!</v>
      </c>
      <c r="CE55" s="171" t="e">
        <f t="shared" si="119"/>
        <v>#DIV/0!</v>
      </c>
      <c r="CF55" s="171" t="e">
        <f t="shared" si="119"/>
        <v>#DIV/0!</v>
      </c>
      <c r="CG55" s="169" t="e">
        <f>CG50+2*(CG53-1)</f>
        <v>#DIV/0!</v>
      </c>
      <c r="CH55" s="168" t="e">
        <f t="shared" ref="CH55:CJ55" si="120">CH50+2*(CH53-1)</f>
        <v>#DIV/0!</v>
      </c>
      <c r="CI55" s="171" t="e">
        <f t="shared" si="120"/>
        <v>#DIV/0!</v>
      </c>
      <c r="CJ55" s="171" t="e">
        <f t="shared" si="120"/>
        <v>#DIV/0!</v>
      </c>
      <c r="CK55" s="169" t="e">
        <f>CK50+2*(CK53-1)</f>
        <v>#DIV/0!</v>
      </c>
      <c r="CL55" s="49"/>
      <c r="CM55" s="28"/>
    </row>
    <row r="56" spans="2:91" ht="14.25" x14ac:dyDescent="0.25">
      <c r="B56" s="55"/>
      <c r="C56" s="10" t="s">
        <v>287</v>
      </c>
      <c r="D56" s="93" t="s">
        <v>282</v>
      </c>
      <c r="E56" s="125" t="e">
        <f t="shared" ref="E56:AJ56" si="121">1-EXP(-E55*E51/E9)</f>
        <v>#DIV/0!</v>
      </c>
      <c r="F56" s="162">
        <f t="shared" si="121"/>
        <v>0.99639408881941116</v>
      </c>
      <c r="G56" s="164">
        <f t="shared" si="121"/>
        <v>0.95189526351346321</v>
      </c>
      <c r="H56" s="164">
        <f t="shared" si="121"/>
        <v>0.99953299918912186</v>
      </c>
      <c r="I56" s="163">
        <f t="shared" si="121"/>
        <v>0.99801209729228912</v>
      </c>
      <c r="J56" s="162">
        <f t="shared" si="121"/>
        <v>8.6232002155402054E-2</v>
      </c>
      <c r="K56" s="164" t="e">
        <f t="shared" si="121"/>
        <v>#DIV/0!</v>
      </c>
      <c r="L56" s="164">
        <f t="shared" si="121"/>
        <v>0.58666301048606795</v>
      </c>
      <c r="M56" s="163">
        <f t="shared" si="121"/>
        <v>0.58666301048606795</v>
      </c>
      <c r="N56" s="168">
        <f t="shared" si="121"/>
        <v>0.99999845909642082</v>
      </c>
      <c r="O56" s="171">
        <f t="shared" si="121"/>
        <v>1</v>
      </c>
      <c r="P56" s="171">
        <f t="shared" si="121"/>
        <v>0.79916905610631284</v>
      </c>
      <c r="Q56" s="169">
        <f t="shared" si="121"/>
        <v>0.82716338978959836</v>
      </c>
      <c r="R56" s="168">
        <f t="shared" si="121"/>
        <v>0.12446194942699262</v>
      </c>
      <c r="S56" s="171" t="e">
        <f t="shared" si="121"/>
        <v>#DIV/0!</v>
      </c>
      <c r="T56" s="171">
        <f t="shared" si="121"/>
        <v>0.99170401923781448</v>
      </c>
      <c r="U56" s="169">
        <f t="shared" si="121"/>
        <v>0.99995824748034967</v>
      </c>
      <c r="V56" s="168">
        <f t="shared" si="121"/>
        <v>0.19133272418186886</v>
      </c>
      <c r="W56" s="171" t="e">
        <f t="shared" si="121"/>
        <v>#DIV/0!</v>
      </c>
      <c r="X56" s="171">
        <f t="shared" si="121"/>
        <v>0.834779402616321</v>
      </c>
      <c r="Y56" s="169">
        <f t="shared" si="121"/>
        <v>0.89240963607146051</v>
      </c>
      <c r="Z56" s="168">
        <f t="shared" si="121"/>
        <v>0.23449705920195518</v>
      </c>
      <c r="AA56" s="171" t="e">
        <f t="shared" si="121"/>
        <v>#DIV/0!</v>
      </c>
      <c r="AB56" s="171">
        <f t="shared" si="121"/>
        <v>0.73767098039168588</v>
      </c>
      <c r="AC56" s="169">
        <f t="shared" si="121"/>
        <v>0.69098204922436957</v>
      </c>
      <c r="AD56" s="168">
        <f t="shared" si="121"/>
        <v>4.7183871238860364E-2</v>
      </c>
      <c r="AE56" s="171" t="e">
        <f t="shared" si="121"/>
        <v>#DIV/0!</v>
      </c>
      <c r="AF56" s="171">
        <f t="shared" si="121"/>
        <v>0.64600277573717535</v>
      </c>
      <c r="AG56" s="169">
        <f t="shared" si="121"/>
        <v>0.67172870957942576</v>
      </c>
      <c r="AH56" s="168">
        <f t="shared" si="121"/>
        <v>0.70749172698377771</v>
      </c>
      <c r="AI56" s="171">
        <f t="shared" si="121"/>
        <v>0.77318285417517729</v>
      </c>
      <c r="AJ56" s="171">
        <f t="shared" si="121"/>
        <v>0.48755903949170276</v>
      </c>
      <c r="AK56" s="169">
        <f t="shared" ref="AK56:BP56" si="122">1-EXP(-AK55*AK51/AK9)</f>
        <v>0.48495720825604749</v>
      </c>
      <c r="AL56" s="168" t="e">
        <f t="shared" si="122"/>
        <v>#DIV/0!</v>
      </c>
      <c r="AM56" s="171" t="e">
        <f t="shared" si="122"/>
        <v>#DIV/0!</v>
      </c>
      <c r="AN56" s="171" t="e">
        <f t="shared" si="122"/>
        <v>#DIV/0!</v>
      </c>
      <c r="AO56" s="169" t="e">
        <f t="shared" si="122"/>
        <v>#DIV/0!</v>
      </c>
      <c r="AP56" s="168" t="e">
        <f t="shared" si="122"/>
        <v>#DIV/0!</v>
      </c>
      <c r="AQ56" s="171" t="e">
        <f t="shared" si="122"/>
        <v>#DIV/0!</v>
      </c>
      <c r="AR56" s="171" t="e">
        <f t="shared" si="122"/>
        <v>#DIV/0!</v>
      </c>
      <c r="AS56" s="169" t="e">
        <f t="shared" si="122"/>
        <v>#DIV/0!</v>
      </c>
      <c r="AT56" s="168" t="e">
        <f t="shared" si="122"/>
        <v>#DIV/0!</v>
      </c>
      <c r="AU56" s="171" t="e">
        <f t="shared" si="122"/>
        <v>#DIV/0!</v>
      </c>
      <c r="AV56" s="171" t="e">
        <f t="shared" si="122"/>
        <v>#DIV/0!</v>
      </c>
      <c r="AW56" s="169" t="e">
        <f t="shared" si="122"/>
        <v>#DIV/0!</v>
      </c>
      <c r="AX56" s="168" t="e">
        <f t="shared" si="122"/>
        <v>#DIV/0!</v>
      </c>
      <c r="AY56" s="171" t="e">
        <f t="shared" si="122"/>
        <v>#DIV/0!</v>
      </c>
      <c r="AZ56" s="171" t="e">
        <f t="shared" si="122"/>
        <v>#DIV/0!</v>
      </c>
      <c r="BA56" s="169" t="e">
        <f t="shared" si="122"/>
        <v>#DIV/0!</v>
      </c>
      <c r="BB56" s="168" t="e">
        <f t="shared" si="122"/>
        <v>#DIV/0!</v>
      </c>
      <c r="BC56" s="171" t="e">
        <f t="shared" si="122"/>
        <v>#DIV/0!</v>
      </c>
      <c r="BD56" s="171" t="e">
        <f t="shared" si="122"/>
        <v>#DIV/0!</v>
      </c>
      <c r="BE56" s="169" t="e">
        <f t="shared" si="122"/>
        <v>#DIV/0!</v>
      </c>
      <c r="BF56" s="168" t="e">
        <f t="shared" si="122"/>
        <v>#DIV/0!</v>
      </c>
      <c r="BG56" s="171" t="e">
        <f t="shared" si="122"/>
        <v>#DIV/0!</v>
      </c>
      <c r="BH56" s="171" t="e">
        <f t="shared" si="122"/>
        <v>#DIV/0!</v>
      </c>
      <c r="BI56" s="169" t="e">
        <f t="shared" si="122"/>
        <v>#DIV/0!</v>
      </c>
      <c r="BJ56" s="168" t="e">
        <f t="shared" si="122"/>
        <v>#DIV/0!</v>
      </c>
      <c r="BK56" s="171" t="e">
        <f t="shared" si="122"/>
        <v>#DIV/0!</v>
      </c>
      <c r="BL56" s="171" t="e">
        <f t="shared" si="122"/>
        <v>#DIV/0!</v>
      </c>
      <c r="BM56" s="169" t="e">
        <f t="shared" si="122"/>
        <v>#DIV/0!</v>
      </c>
      <c r="BN56" s="168" t="e">
        <f t="shared" si="122"/>
        <v>#DIV/0!</v>
      </c>
      <c r="BO56" s="171" t="e">
        <f t="shared" si="122"/>
        <v>#DIV/0!</v>
      </c>
      <c r="BP56" s="171" t="e">
        <f t="shared" si="122"/>
        <v>#DIV/0!</v>
      </c>
      <c r="BQ56" s="169" t="e">
        <f t="shared" ref="BQ56:CK56" si="123">1-EXP(-BQ55*BQ51/BQ9)</f>
        <v>#DIV/0!</v>
      </c>
      <c r="BR56" s="168" t="e">
        <f t="shared" si="123"/>
        <v>#DIV/0!</v>
      </c>
      <c r="BS56" s="171" t="e">
        <f t="shared" si="123"/>
        <v>#DIV/0!</v>
      </c>
      <c r="BT56" s="171" t="e">
        <f t="shared" si="123"/>
        <v>#DIV/0!</v>
      </c>
      <c r="BU56" s="169" t="e">
        <f t="shared" si="123"/>
        <v>#DIV/0!</v>
      </c>
      <c r="BV56" s="168" t="e">
        <f t="shared" si="123"/>
        <v>#DIV/0!</v>
      </c>
      <c r="BW56" s="171" t="e">
        <f t="shared" si="123"/>
        <v>#DIV/0!</v>
      </c>
      <c r="BX56" s="171" t="e">
        <f t="shared" si="123"/>
        <v>#DIV/0!</v>
      </c>
      <c r="BY56" s="169" t="e">
        <f t="shared" si="123"/>
        <v>#DIV/0!</v>
      </c>
      <c r="BZ56" s="168" t="e">
        <f t="shared" si="123"/>
        <v>#DIV/0!</v>
      </c>
      <c r="CA56" s="171" t="e">
        <f t="shared" si="123"/>
        <v>#DIV/0!</v>
      </c>
      <c r="CB56" s="171" t="e">
        <f t="shared" si="123"/>
        <v>#DIV/0!</v>
      </c>
      <c r="CC56" s="169" t="e">
        <f t="shared" si="123"/>
        <v>#DIV/0!</v>
      </c>
      <c r="CD56" s="168" t="e">
        <f t="shared" si="123"/>
        <v>#DIV/0!</v>
      </c>
      <c r="CE56" s="171" t="e">
        <f t="shared" si="123"/>
        <v>#DIV/0!</v>
      </c>
      <c r="CF56" s="171" t="e">
        <f t="shared" si="123"/>
        <v>#DIV/0!</v>
      </c>
      <c r="CG56" s="169" t="e">
        <f t="shared" si="123"/>
        <v>#DIV/0!</v>
      </c>
      <c r="CH56" s="168" t="e">
        <f t="shared" si="123"/>
        <v>#DIV/0!</v>
      </c>
      <c r="CI56" s="171" t="e">
        <f t="shared" si="123"/>
        <v>#DIV/0!</v>
      </c>
      <c r="CJ56" s="171" t="e">
        <f t="shared" si="123"/>
        <v>#DIV/0!</v>
      </c>
      <c r="CK56" s="169" t="e">
        <f t="shared" si="123"/>
        <v>#DIV/0!</v>
      </c>
      <c r="CL56" s="49"/>
      <c r="CM56" s="28"/>
    </row>
    <row r="57" spans="2:91" ht="14.25" x14ac:dyDescent="0.25">
      <c r="B57" s="55"/>
      <c r="C57" s="10" t="s">
        <v>281</v>
      </c>
      <c r="D57" s="93" t="s">
        <v>283</v>
      </c>
      <c r="E57" s="125" t="e">
        <f t="shared" ref="E57:AJ57" si="124">1-(1-E56)^E9</f>
        <v>#DIV/0!</v>
      </c>
      <c r="F57" s="162">
        <f t="shared" si="124"/>
        <v>0.99999999999939038</v>
      </c>
      <c r="G57" s="164">
        <f t="shared" si="124"/>
        <v>0.99999974240394962</v>
      </c>
      <c r="H57" s="164">
        <f t="shared" si="124"/>
        <v>0.99999999999995248</v>
      </c>
      <c r="I57" s="163">
        <f t="shared" si="124"/>
        <v>0.9999999999843836</v>
      </c>
      <c r="J57" s="162">
        <f t="shared" si="124"/>
        <v>0.16502804611507482</v>
      </c>
      <c r="K57" s="164" t="e">
        <f t="shared" si="124"/>
        <v>#DIV/0!</v>
      </c>
      <c r="L57" s="164">
        <f t="shared" si="124"/>
        <v>0.92938242236529078</v>
      </c>
      <c r="M57" s="163">
        <f t="shared" si="124"/>
        <v>0.92938242236529078</v>
      </c>
      <c r="N57" s="168">
        <f t="shared" si="124"/>
        <v>1</v>
      </c>
      <c r="O57" s="171">
        <f t="shared" si="124"/>
        <v>1</v>
      </c>
      <c r="P57" s="171">
        <f t="shared" si="124"/>
        <v>0.99837324362367219</v>
      </c>
      <c r="Q57" s="169">
        <f t="shared" si="124"/>
        <v>0.99910763411243497</v>
      </c>
      <c r="R57" s="168">
        <f t="shared" si="124"/>
        <v>0.23343312199881794</v>
      </c>
      <c r="S57" s="171" t="e">
        <f t="shared" si="124"/>
        <v>#DIV/0!</v>
      </c>
      <c r="T57" s="171">
        <f t="shared" si="124"/>
        <v>0.99170401923781448</v>
      </c>
      <c r="U57" s="169">
        <f t="shared" si="124"/>
        <v>0.99995824748034967</v>
      </c>
      <c r="V57" s="168">
        <f t="shared" si="124"/>
        <v>0.47117788732069532</v>
      </c>
      <c r="W57" s="171" t="e">
        <f t="shared" si="124"/>
        <v>#DIV/0!</v>
      </c>
      <c r="X57" s="171">
        <f t="shared" si="124"/>
        <v>0.99548983360966625</v>
      </c>
      <c r="Y57" s="169">
        <f t="shared" si="124"/>
        <v>0.98842431358972438</v>
      </c>
      <c r="Z57" s="168">
        <f t="shared" si="124"/>
        <v>0.41400524762954505</v>
      </c>
      <c r="AA57" s="171" t="e">
        <f t="shared" si="124"/>
        <v>#DIV/0!</v>
      </c>
      <c r="AB57" s="171">
        <f t="shared" si="124"/>
        <v>0.9819474312108355</v>
      </c>
      <c r="AC57" s="169">
        <f t="shared" si="124"/>
        <v>0.9704912288272628</v>
      </c>
      <c r="AD57" s="168">
        <f t="shared" si="124"/>
        <v>9.2141424772635427E-2</v>
      </c>
      <c r="AE57" s="171" t="e">
        <f t="shared" si="124"/>
        <v>#DIV/0!</v>
      </c>
      <c r="AF57" s="171">
        <f t="shared" si="124"/>
        <v>0.87468596521421538</v>
      </c>
      <c r="AG57" s="169">
        <f t="shared" si="124"/>
        <v>0.89223795988561105</v>
      </c>
      <c r="AH57" s="168">
        <f t="shared" si="124"/>
        <v>0.91443891021706714</v>
      </c>
      <c r="AI57" s="171">
        <f t="shared" si="124"/>
        <v>0.94855398235988109</v>
      </c>
      <c r="AJ57" s="171">
        <f t="shared" si="124"/>
        <v>0.86543518779047879</v>
      </c>
      <c r="AK57" s="169">
        <f t="shared" ref="AK57:BP57" si="125">1-(1-AK56)^AK9</f>
        <v>0.86337507384995116</v>
      </c>
      <c r="AL57" s="168" t="e">
        <f t="shared" si="125"/>
        <v>#DIV/0!</v>
      </c>
      <c r="AM57" s="171" t="e">
        <f t="shared" si="125"/>
        <v>#DIV/0!</v>
      </c>
      <c r="AN57" s="171" t="e">
        <f t="shared" si="125"/>
        <v>#DIV/0!</v>
      </c>
      <c r="AO57" s="169" t="e">
        <f t="shared" si="125"/>
        <v>#DIV/0!</v>
      </c>
      <c r="AP57" s="168" t="e">
        <f t="shared" si="125"/>
        <v>#DIV/0!</v>
      </c>
      <c r="AQ57" s="171" t="e">
        <f t="shared" si="125"/>
        <v>#DIV/0!</v>
      </c>
      <c r="AR57" s="171" t="e">
        <f t="shared" si="125"/>
        <v>#DIV/0!</v>
      </c>
      <c r="AS57" s="169" t="e">
        <f t="shared" si="125"/>
        <v>#DIV/0!</v>
      </c>
      <c r="AT57" s="168" t="e">
        <f t="shared" si="125"/>
        <v>#DIV/0!</v>
      </c>
      <c r="AU57" s="171" t="e">
        <f t="shared" si="125"/>
        <v>#DIV/0!</v>
      </c>
      <c r="AV57" s="171" t="e">
        <f t="shared" si="125"/>
        <v>#DIV/0!</v>
      </c>
      <c r="AW57" s="169" t="e">
        <f t="shared" si="125"/>
        <v>#DIV/0!</v>
      </c>
      <c r="AX57" s="168" t="e">
        <f t="shared" si="125"/>
        <v>#DIV/0!</v>
      </c>
      <c r="AY57" s="171" t="e">
        <f t="shared" si="125"/>
        <v>#DIV/0!</v>
      </c>
      <c r="AZ57" s="171" t="e">
        <f t="shared" si="125"/>
        <v>#DIV/0!</v>
      </c>
      <c r="BA57" s="169" t="e">
        <f t="shared" si="125"/>
        <v>#DIV/0!</v>
      </c>
      <c r="BB57" s="168" t="e">
        <f t="shared" si="125"/>
        <v>#DIV/0!</v>
      </c>
      <c r="BC57" s="171" t="e">
        <f t="shared" si="125"/>
        <v>#DIV/0!</v>
      </c>
      <c r="BD57" s="171" t="e">
        <f t="shared" si="125"/>
        <v>#DIV/0!</v>
      </c>
      <c r="BE57" s="169" t="e">
        <f t="shared" si="125"/>
        <v>#DIV/0!</v>
      </c>
      <c r="BF57" s="168" t="e">
        <f t="shared" si="125"/>
        <v>#DIV/0!</v>
      </c>
      <c r="BG57" s="171" t="e">
        <f t="shared" si="125"/>
        <v>#DIV/0!</v>
      </c>
      <c r="BH57" s="171" t="e">
        <f t="shared" si="125"/>
        <v>#DIV/0!</v>
      </c>
      <c r="BI57" s="169" t="e">
        <f t="shared" si="125"/>
        <v>#DIV/0!</v>
      </c>
      <c r="BJ57" s="168" t="e">
        <f t="shared" si="125"/>
        <v>#DIV/0!</v>
      </c>
      <c r="BK57" s="171" t="e">
        <f t="shared" si="125"/>
        <v>#DIV/0!</v>
      </c>
      <c r="BL57" s="171" t="e">
        <f t="shared" si="125"/>
        <v>#DIV/0!</v>
      </c>
      <c r="BM57" s="169" t="e">
        <f t="shared" si="125"/>
        <v>#DIV/0!</v>
      </c>
      <c r="BN57" s="168" t="e">
        <f t="shared" si="125"/>
        <v>#DIV/0!</v>
      </c>
      <c r="BO57" s="171" t="e">
        <f t="shared" si="125"/>
        <v>#DIV/0!</v>
      </c>
      <c r="BP57" s="171" t="e">
        <f t="shared" si="125"/>
        <v>#DIV/0!</v>
      </c>
      <c r="BQ57" s="169" t="e">
        <f t="shared" ref="BQ57:CK57" si="126">1-(1-BQ56)^BQ9</f>
        <v>#DIV/0!</v>
      </c>
      <c r="BR57" s="168" t="e">
        <f t="shared" si="126"/>
        <v>#DIV/0!</v>
      </c>
      <c r="BS57" s="171" t="e">
        <f t="shared" si="126"/>
        <v>#DIV/0!</v>
      </c>
      <c r="BT57" s="171" t="e">
        <f t="shared" si="126"/>
        <v>#DIV/0!</v>
      </c>
      <c r="BU57" s="169" t="e">
        <f t="shared" si="126"/>
        <v>#DIV/0!</v>
      </c>
      <c r="BV57" s="168" t="e">
        <f t="shared" si="126"/>
        <v>#DIV/0!</v>
      </c>
      <c r="BW57" s="171" t="e">
        <f t="shared" si="126"/>
        <v>#DIV/0!</v>
      </c>
      <c r="BX57" s="171" t="e">
        <f t="shared" si="126"/>
        <v>#DIV/0!</v>
      </c>
      <c r="BY57" s="169" t="e">
        <f t="shared" si="126"/>
        <v>#DIV/0!</v>
      </c>
      <c r="BZ57" s="168" t="e">
        <f t="shared" si="126"/>
        <v>#DIV/0!</v>
      </c>
      <c r="CA57" s="171" t="e">
        <f t="shared" si="126"/>
        <v>#DIV/0!</v>
      </c>
      <c r="CB57" s="171" t="e">
        <f t="shared" si="126"/>
        <v>#DIV/0!</v>
      </c>
      <c r="CC57" s="169" t="e">
        <f t="shared" si="126"/>
        <v>#DIV/0!</v>
      </c>
      <c r="CD57" s="168" t="e">
        <f t="shared" si="126"/>
        <v>#DIV/0!</v>
      </c>
      <c r="CE57" s="171" t="e">
        <f t="shared" si="126"/>
        <v>#DIV/0!</v>
      </c>
      <c r="CF57" s="171" t="e">
        <f t="shared" si="126"/>
        <v>#DIV/0!</v>
      </c>
      <c r="CG57" s="169" t="e">
        <f t="shared" si="126"/>
        <v>#DIV/0!</v>
      </c>
      <c r="CH57" s="168" t="e">
        <f t="shared" si="126"/>
        <v>#DIV/0!</v>
      </c>
      <c r="CI57" s="171" t="e">
        <f t="shared" si="126"/>
        <v>#DIV/0!</v>
      </c>
      <c r="CJ57" s="171" t="e">
        <f t="shared" si="126"/>
        <v>#DIV/0!</v>
      </c>
      <c r="CK57" s="169" t="e">
        <f t="shared" si="126"/>
        <v>#DIV/0!</v>
      </c>
      <c r="CL57" s="49"/>
      <c r="CM57" s="28"/>
    </row>
    <row r="58" spans="2:91" ht="14.25" x14ac:dyDescent="0.25">
      <c r="B58" s="55"/>
      <c r="C58" s="10" t="s">
        <v>284</v>
      </c>
      <c r="D58" s="93" t="s">
        <v>294</v>
      </c>
      <c r="E58" s="125" t="str">
        <f t="shared" ref="E58:J58" si="127">IF(E44="Free", (1/E51)*(EXP(E51*E55)-E51*E55-1)/E57, "-")</f>
        <v>-</v>
      </c>
      <c r="F58" s="162" t="str">
        <f>IF(F44="Free", (1/F51)*(EXP(F51*F55)-F51*F55-1)/F57, "-")</f>
        <v>-</v>
      </c>
      <c r="G58" s="164" t="str">
        <f t="shared" si="127"/>
        <v>-</v>
      </c>
      <c r="H58" s="164" t="str">
        <f t="shared" si="127"/>
        <v>-</v>
      </c>
      <c r="I58" s="163" t="str">
        <f t="shared" si="127"/>
        <v>-</v>
      </c>
      <c r="J58" s="162" t="str">
        <f t="shared" si="127"/>
        <v>-</v>
      </c>
      <c r="K58" s="164" t="str">
        <f>IF(K44="Free", (1/K51)*(EXP(K51*K55)-K51*K55-1)/K57, "-")</f>
        <v>-</v>
      </c>
      <c r="L58" s="164">
        <f>IF(L44="Free", (1/L51)*(EXP(L51*L55)-L51*L55-1)/L57, "-")</f>
        <v>73.753774260029189</v>
      </c>
      <c r="M58" s="163">
        <f>IF(M44="Free", (1/M51)*(EXP(M51*M55)-M51*M55-1)/M57, "-")</f>
        <v>73.753774260029189</v>
      </c>
      <c r="N58" s="168" t="str">
        <f t="shared" ref="N58" si="128">IF(N44="Free", (1/N51)*(EXP(N51*N55)-N51*N55-1)/N57, "-")</f>
        <v>-</v>
      </c>
      <c r="O58" s="171" t="str">
        <f>IF(O44="Free", (1/O51)*(EXP(O51*O55)-O51*O55-1)/O57, "-")</f>
        <v>-</v>
      </c>
      <c r="P58" s="171" t="str">
        <f>IF(P44="Free", (1/P51)*(EXP(P51*P55)-P51*P55-1)/P57, "-")</f>
        <v>-</v>
      </c>
      <c r="Q58" s="169" t="str">
        <f>IF(Q44="Free", (1/Q51)*(EXP(Q51*Q55)-Q51*Q55-1)/Q57, "-")</f>
        <v>-</v>
      </c>
      <c r="R58" s="168" t="str">
        <f t="shared" ref="R58" si="129">IF(R44="Free", (1/R51)*(EXP(R51*R55)-R51*R55-1)/R57, "-")</f>
        <v>-</v>
      </c>
      <c r="S58" s="171" t="str">
        <f>IF(S44="Free", (1/S51)*(EXP(S51*S55)-S51*S55-1)/S57, "-")</f>
        <v>-</v>
      </c>
      <c r="T58" s="171">
        <f>IF(T44="Free", (1/T51)*(EXP(T51*T55)-T51*T55-1)/T57, "-")</f>
        <v>417.38438927736411</v>
      </c>
      <c r="U58" s="169">
        <f>IF(U44="Free", (1/U51)*(EXP(U51*U55)-U51*U55-1)/U57, "-")</f>
        <v>86358.755806910238</v>
      </c>
      <c r="V58" s="168" t="str">
        <f t="shared" ref="V58" si="130">IF(V44="Free", (1/V51)*(EXP(V51*V55)-V51*V55-1)/V57, "-")</f>
        <v>-</v>
      </c>
      <c r="W58" s="171" t="str">
        <f>IF(W44="Free", (1/W51)*(EXP(W51*W55)-W51*W55-1)/W57, "-")</f>
        <v>-</v>
      </c>
      <c r="X58" s="171" t="str">
        <f>IF(X44="Free", (1/X51)*(EXP(X51*X55)-X51*X55-1)/X57, "-")</f>
        <v>-</v>
      </c>
      <c r="Y58" s="169" t="str">
        <f>IF(Y44="Free", (1/Y51)*(EXP(Y51*Y55)-Y51*Y55-1)/Y57, "-")</f>
        <v>-</v>
      </c>
      <c r="Z58" s="168" t="str">
        <f t="shared" ref="Z58" si="131">IF(Z44="Free", (1/Z51)*(EXP(Z51*Z55)-Z51*Z55-1)/Z57, "-")</f>
        <v>-</v>
      </c>
      <c r="AA58" s="171" t="str">
        <f>IF(AA44="Free", (1/AA51)*(EXP(AA51*AA55)-AA51*AA55-1)/AA57, "-")</f>
        <v>-</v>
      </c>
      <c r="AB58" s="171" t="str">
        <f>IF(AB44="Free", (1/AB51)*(EXP(AB51*AB55)-AB51*AB55-1)/AB57, "-")</f>
        <v>-</v>
      </c>
      <c r="AC58" s="169" t="str">
        <f>IF(AC44="Free", (1/AC51)*(EXP(AC51*AC55)-AC51*AC55-1)/AC57, "-")</f>
        <v>-</v>
      </c>
      <c r="AD58" s="168" t="str">
        <f t="shared" ref="AD58" si="132">IF(AD44="Free", (1/AD51)*(EXP(AD51*AD55)-AD51*AD55-1)/AD57, "-")</f>
        <v>-</v>
      </c>
      <c r="AE58" s="171" t="str">
        <f>IF(AE44="Free", (1/AE51)*(EXP(AE51*AE55)-AE51*AE55-1)/AE57, "-")</f>
        <v>-</v>
      </c>
      <c r="AF58" s="171" t="str">
        <f>IF(AF44="Free", (1/AF51)*(EXP(AF51*AF55)-AF51*AF55-1)/AF57, "-")</f>
        <v>-</v>
      </c>
      <c r="AG58" s="169" t="str">
        <f>IF(AG44="Free", (1/AG51)*(EXP(AG51*AG55)-AG51*AG55-1)/AG57, "-")</f>
        <v>-</v>
      </c>
      <c r="AH58" s="168" t="str">
        <f t="shared" ref="AH58" si="133">IF(AH44="Free", (1/AH51)*(EXP(AH51*AH55)-AH51*AH55-1)/AH57, "-")</f>
        <v>-</v>
      </c>
      <c r="AI58" s="171" t="str">
        <f>IF(AI44="Free", (1/AI51)*(EXP(AI51*AI55)-AI51*AI55-1)/AI57, "-")</f>
        <v>-</v>
      </c>
      <c r="AJ58" s="171" t="str">
        <f>IF(AJ44="Free", (1/AJ51)*(EXP(AJ51*AJ55)-AJ51*AJ55-1)/AJ57, "-")</f>
        <v>-</v>
      </c>
      <c r="AK58" s="169" t="str">
        <f>IF(AK44="Free", (1/AK51)*(EXP(AK51*AK55)-AK51*AK55-1)/AK57, "-")</f>
        <v>-</v>
      </c>
      <c r="AL58" s="168" t="str">
        <f t="shared" ref="AL58" si="134">IF(AL44="Free", (1/AL51)*(EXP(AL51*AL55)-AL51*AL55-1)/AL57, "-")</f>
        <v>-</v>
      </c>
      <c r="AM58" s="171" t="str">
        <f>IF(AM44="Free", (1/AM51)*(EXP(AM51*AM55)-AM51*AM55-1)/AM57, "-")</f>
        <v>-</v>
      </c>
      <c r="AN58" s="171" t="str">
        <f>IF(AN44="Free", (1/AN51)*(EXP(AN51*AN55)-AN51*AN55-1)/AN57, "-")</f>
        <v>-</v>
      </c>
      <c r="AO58" s="169" t="str">
        <f>IF(AO44="Free", (1/AO51)*(EXP(AO51*AO55)-AO51*AO55-1)/AO57, "-")</f>
        <v>-</v>
      </c>
      <c r="AP58" s="168" t="str">
        <f t="shared" ref="AP58" si="135">IF(AP44="Free", (1/AP51)*(EXP(AP51*AP55)-AP51*AP55-1)/AP57, "-")</f>
        <v>-</v>
      </c>
      <c r="AQ58" s="171" t="str">
        <f>IF(AQ44="Free", (1/AQ51)*(EXP(AQ51*AQ55)-AQ51*AQ55-1)/AQ57, "-")</f>
        <v>-</v>
      </c>
      <c r="AR58" s="171" t="str">
        <f>IF(AR44="Free", (1/AR51)*(EXP(AR51*AR55)-AR51*AR55-1)/AR57, "-")</f>
        <v>-</v>
      </c>
      <c r="AS58" s="169" t="str">
        <f>IF(AS44="Free", (1/AS51)*(EXP(AS51*AS55)-AS51*AS55-1)/AS57, "-")</f>
        <v>-</v>
      </c>
      <c r="AT58" s="168" t="str">
        <f t="shared" ref="AT58" si="136">IF(AT44="Free", (1/AT51)*(EXP(AT51*AT55)-AT51*AT55-1)/AT57, "-")</f>
        <v>-</v>
      </c>
      <c r="AU58" s="171" t="str">
        <f>IF(AU44="Free", (1/AU51)*(EXP(AU51*AU55)-AU51*AU55-1)/AU57, "-")</f>
        <v>-</v>
      </c>
      <c r="AV58" s="171" t="str">
        <f>IF(AV44="Free", (1/AV51)*(EXP(AV51*AV55)-AV51*AV55-1)/AV57, "-")</f>
        <v>-</v>
      </c>
      <c r="AW58" s="169" t="str">
        <f>IF(AW44="Free", (1/AW51)*(EXP(AW51*AW55)-AW51*AW55-1)/AW57, "-")</f>
        <v>-</v>
      </c>
      <c r="AX58" s="168" t="str">
        <f t="shared" ref="AX58" si="137">IF(AX44="Free", (1/AX51)*(EXP(AX51*AX55)-AX51*AX55-1)/AX57, "-")</f>
        <v>-</v>
      </c>
      <c r="AY58" s="171" t="str">
        <f>IF(AY44="Free", (1/AY51)*(EXP(AY51*AY55)-AY51*AY55-1)/AY57, "-")</f>
        <v>-</v>
      </c>
      <c r="AZ58" s="171" t="str">
        <f>IF(AZ44="Free", (1/AZ51)*(EXP(AZ51*AZ55)-AZ51*AZ55-1)/AZ57, "-")</f>
        <v>-</v>
      </c>
      <c r="BA58" s="169" t="str">
        <f>IF(BA44="Free", (1/BA51)*(EXP(BA51*BA55)-BA51*BA55-1)/BA57, "-")</f>
        <v>-</v>
      </c>
      <c r="BB58" s="168" t="str">
        <f t="shared" ref="BB58" si="138">IF(BB44="Free", (1/BB51)*(EXP(BB51*BB55)-BB51*BB55-1)/BB57, "-")</f>
        <v>-</v>
      </c>
      <c r="BC58" s="171" t="str">
        <f>IF(BC44="Free", (1/BC51)*(EXP(BC51*BC55)-BC51*BC55-1)/BC57, "-")</f>
        <v>-</v>
      </c>
      <c r="BD58" s="171" t="str">
        <f>IF(BD44="Free", (1/BD51)*(EXP(BD51*BD55)-BD51*BD55-1)/BD57, "-")</f>
        <v>-</v>
      </c>
      <c r="BE58" s="169" t="str">
        <f>IF(BE44="Free", (1/BE51)*(EXP(BE51*BE55)-BE51*BE55-1)/BE57, "-")</f>
        <v>-</v>
      </c>
      <c r="BF58" s="168" t="str">
        <f t="shared" ref="BF58" si="139">IF(BF44="Free", (1/BF51)*(EXP(BF51*BF55)-BF51*BF55-1)/BF57, "-")</f>
        <v>-</v>
      </c>
      <c r="BG58" s="171" t="str">
        <f>IF(BG44="Free", (1/BG51)*(EXP(BG51*BG55)-BG51*BG55-1)/BG57, "-")</f>
        <v>-</v>
      </c>
      <c r="BH58" s="171" t="str">
        <f>IF(BH44="Free", (1/BH51)*(EXP(BH51*BH55)-BH51*BH55-1)/BH57, "-")</f>
        <v>-</v>
      </c>
      <c r="BI58" s="169" t="str">
        <f>IF(BI44="Free", (1/BI51)*(EXP(BI51*BI55)-BI51*BI55-1)/BI57, "-")</f>
        <v>-</v>
      </c>
      <c r="BJ58" s="168" t="str">
        <f t="shared" ref="BJ58" si="140">IF(BJ44="Free", (1/BJ51)*(EXP(BJ51*BJ55)-BJ51*BJ55-1)/BJ57, "-")</f>
        <v>-</v>
      </c>
      <c r="BK58" s="171" t="str">
        <f>IF(BK44="Free", (1/BK51)*(EXP(BK51*BK55)-BK51*BK55-1)/BK57, "-")</f>
        <v>-</v>
      </c>
      <c r="BL58" s="171" t="str">
        <f>IF(BL44="Free", (1/BL51)*(EXP(BL51*BL55)-BL51*BL55-1)/BL57, "-")</f>
        <v>-</v>
      </c>
      <c r="BM58" s="169" t="str">
        <f>IF(BM44="Free", (1/BM51)*(EXP(BM51*BM55)-BM51*BM55-1)/BM57, "-")</f>
        <v>-</v>
      </c>
      <c r="BN58" s="168" t="str">
        <f t="shared" ref="BN58" si="141">IF(BN44="Free", (1/BN51)*(EXP(BN51*BN55)-BN51*BN55-1)/BN57, "-")</f>
        <v>-</v>
      </c>
      <c r="BO58" s="171" t="str">
        <f>IF(BO44="Free", (1/BO51)*(EXP(BO51*BO55)-BO51*BO55-1)/BO57, "-")</f>
        <v>-</v>
      </c>
      <c r="BP58" s="171" t="str">
        <f>IF(BP44="Free", (1/BP51)*(EXP(BP51*BP55)-BP51*BP55-1)/BP57, "-")</f>
        <v>-</v>
      </c>
      <c r="BQ58" s="169" t="str">
        <f>IF(BQ44="Free", (1/BQ51)*(EXP(BQ51*BQ55)-BQ51*BQ55-1)/BQ57, "-")</f>
        <v>-</v>
      </c>
      <c r="BR58" s="168" t="str">
        <f t="shared" ref="BR58" si="142">IF(BR44="Free", (1/BR51)*(EXP(BR51*BR55)-BR51*BR55-1)/BR57, "-")</f>
        <v>-</v>
      </c>
      <c r="BS58" s="171" t="str">
        <f>IF(BS44="Free", (1/BS51)*(EXP(BS51*BS55)-BS51*BS55-1)/BS57, "-")</f>
        <v>-</v>
      </c>
      <c r="BT58" s="171" t="str">
        <f>IF(BT44="Free", (1/BT51)*(EXP(BT51*BT55)-BT51*BT55-1)/BT57, "-")</f>
        <v>-</v>
      </c>
      <c r="BU58" s="169" t="str">
        <f>IF(BU44="Free", (1/BU51)*(EXP(BU51*BU55)-BU51*BU55-1)/BU57, "-")</f>
        <v>-</v>
      </c>
      <c r="BV58" s="168" t="str">
        <f t="shared" ref="BV58" si="143">IF(BV44="Free", (1/BV51)*(EXP(BV51*BV55)-BV51*BV55-1)/BV57, "-")</f>
        <v>-</v>
      </c>
      <c r="BW58" s="171" t="str">
        <f>IF(BW44="Free", (1/BW51)*(EXP(BW51*BW55)-BW51*BW55-1)/BW57, "-")</f>
        <v>-</v>
      </c>
      <c r="BX58" s="171" t="str">
        <f>IF(BX44="Free", (1/BX51)*(EXP(BX51*BX55)-BX51*BX55-1)/BX57, "-")</f>
        <v>-</v>
      </c>
      <c r="BY58" s="169" t="str">
        <f>IF(BY44="Free", (1/BY51)*(EXP(BY51*BY55)-BY51*BY55-1)/BY57, "-")</f>
        <v>-</v>
      </c>
      <c r="BZ58" s="168" t="str">
        <f t="shared" ref="BZ58" si="144">IF(BZ44="Free", (1/BZ51)*(EXP(BZ51*BZ55)-BZ51*BZ55-1)/BZ57, "-")</f>
        <v>-</v>
      </c>
      <c r="CA58" s="171" t="str">
        <f>IF(CA44="Free", (1/CA51)*(EXP(CA51*CA55)-CA51*CA55-1)/CA57, "-")</f>
        <v>-</v>
      </c>
      <c r="CB58" s="171" t="str">
        <f>IF(CB44="Free", (1/CB51)*(EXP(CB51*CB55)-CB51*CB55-1)/CB57, "-")</f>
        <v>-</v>
      </c>
      <c r="CC58" s="169" t="str">
        <f>IF(CC44="Free", (1/CC51)*(EXP(CC51*CC55)-CC51*CC55-1)/CC57, "-")</f>
        <v>-</v>
      </c>
      <c r="CD58" s="168" t="str">
        <f t="shared" ref="CD58" si="145">IF(CD44="Free", (1/CD51)*(EXP(CD51*CD55)-CD51*CD55-1)/CD57, "-")</f>
        <v>-</v>
      </c>
      <c r="CE58" s="171" t="str">
        <f>IF(CE44="Free", (1/CE51)*(EXP(CE51*CE55)-CE51*CE55-1)/CE57, "-")</f>
        <v>-</v>
      </c>
      <c r="CF58" s="171" t="str">
        <f>IF(CF44="Free", (1/CF51)*(EXP(CF51*CF55)-CF51*CF55-1)/CF57, "-")</f>
        <v>-</v>
      </c>
      <c r="CG58" s="169" t="str">
        <f>IF(CG44="Free", (1/CG51)*(EXP(CG51*CG55)-CG51*CG55-1)/CG57, "-")</f>
        <v>-</v>
      </c>
      <c r="CH58" s="168" t="str">
        <f t="shared" ref="CH58" si="146">IF(CH44="Free", (1/CH51)*(EXP(CH51*CH55)-CH51*CH55-1)/CH57, "-")</f>
        <v>-</v>
      </c>
      <c r="CI58" s="171" t="str">
        <f>IF(CI44="Free", (1/CI51)*(EXP(CI51*CI55)-CI51*CI55-1)/CI57, "-")</f>
        <v>-</v>
      </c>
      <c r="CJ58" s="171" t="str">
        <f>IF(CJ44="Free", (1/CJ51)*(EXP(CJ51*CJ55)-CJ51*CJ55-1)/CJ57, "-")</f>
        <v>-</v>
      </c>
      <c r="CK58" s="169" t="str">
        <f>IF(CK44="Free", (1/CK51)*(EXP(CK51*CK55)-CK51*CK55-1)/CK57, "-")</f>
        <v>-</v>
      </c>
      <c r="CL58" s="49"/>
      <c r="CM58" s="28"/>
    </row>
    <row r="59" spans="2:91" ht="14.25" x14ac:dyDescent="0.25">
      <c r="B59" s="55"/>
      <c r="C59" s="10" t="s">
        <v>292</v>
      </c>
      <c r="D59" s="93" t="s">
        <v>295</v>
      </c>
      <c r="E59" s="125" t="str">
        <f t="shared" ref="E59:M59" si="147">IF(E44="Free", ROUND(1/EXP(-E51*E50),0),"-")</f>
        <v>-</v>
      </c>
      <c r="F59" s="164" t="str">
        <f>IF(F44="Free", ROUND(1/EXP(-F51*F50),0),"-")</f>
        <v>-</v>
      </c>
      <c r="G59" s="164" t="str">
        <f t="shared" si="147"/>
        <v>-</v>
      </c>
      <c r="H59" s="164" t="str">
        <f t="shared" si="147"/>
        <v>-</v>
      </c>
      <c r="I59" s="164" t="str">
        <f t="shared" si="147"/>
        <v>-</v>
      </c>
      <c r="J59" s="162" t="str">
        <f t="shared" si="147"/>
        <v>-</v>
      </c>
      <c r="K59" s="164" t="str">
        <f t="shared" si="147"/>
        <v>-</v>
      </c>
      <c r="L59" s="164">
        <f t="shared" si="147"/>
        <v>14</v>
      </c>
      <c r="M59" s="163">
        <f t="shared" si="147"/>
        <v>14</v>
      </c>
      <c r="N59" s="168" t="str">
        <f t="shared" ref="N59:BY59" si="148">IF(N44="Free", ROUND(1/EXP(-N51*N50),0),"-")</f>
        <v>-</v>
      </c>
      <c r="O59" s="171" t="str">
        <f t="shared" si="148"/>
        <v>-</v>
      </c>
      <c r="P59" s="171" t="str">
        <f t="shared" si="148"/>
        <v>-</v>
      </c>
      <c r="Q59" s="169" t="str">
        <f t="shared" si="148"/>
        <v>-</v>
      </c>
      <c r="R59" s="168" t="str">
        <f t="shared" si="148"/>
        <v>-</v>
      </c>
      <c r="S59" s="171" t="str">
        <f t="shared" si="148"/>
        <v>-</v>
      </c>
      <c r="T59" s="171">
        <f t="shared" si="148"/>
        <v>121</v>
      </c>
      <c r="U59" s="169">
        <f t="shared" si="148"/>
        <v>121</v>
      </c>
      <c r="V59" s="168" t="str">
        <f t="shared" si="148"/>
        <v>-</v>
      </c>
      <c r="W59" s="171" t="str">
        <f t="shared" si="148"/>
        <v>-</v>
      </c>
      <c r="X59" s="171" t="str">
        <f t="shared" si="148"/>
        <v>-</v>
      </c>
      <c r="Y59" s="169" t="str">
        <f t="shared" si="148"/>
        <v>-</v>
      </c>
      <c r="Z59" s="168" t="str">
        <f t="shared" si="148"/>
        <v>-</v>
      </c>
      <c r="AA59" s="171" t="str">
        <f t="shared" si="148"/>
        <v>-</v>
      </c>
      <c r="AB59" s="171" t="str">
        <f t="shared" si="148"/>
        <v>-</v>
      </c>
      <c r="AC59" s="169" t="str">
        <f t="shared" si="148"/>
        <v>-</v>
      </c>
      <c r="AD59" s="168" t="str">
        <f t="shared" si="148"/>
        <v>-</v>
      </c>
      <c r="AE59" s="171" t="str">
        <f t="shared" si="148"/>
        <v>-</v>
      </c>
      <c r="AF59" s="171" t="str">
        <f t="shared" si="148"/>
        <v>-</v>
      </c>
      <c r="AG59" s="169" t="str">
        <f t="shared" si="148"/>
        <v>-</v>
      </c>
      <c r="AH59" s="168" t="str">
        <f t="shared" si="148"/>
        <v>-</v>
      </c>
      <c r="AI59" s="171" t="str">
        <f t="shared" si="148"/>
        <v>-</v>
      </c>
      <c r="AJ59" s="171" t="str">
        <f t="shared" si="148"/>
        <v>-</v>
      </c>
      <c r="AK59" s="169" t="str">
        <f t="shared" si="148"/>
        <v>-</v>
      </c>
      <c r="AL59" s="168" t="str">
        <f t="shared" si="148"/>
        <v>-</v>
      </c>
      <c r="AM59" s="171" t="str">
        <f t="shared" si="148"/>
        <v>-</v>
      </c>
      <c r="AN59" s="171" t="str">
        <f t="shared" si="148"/>
        <v>-</v>
      </c>
      <c r="AO59" s="169" t="str">
        <f t="shared" si="148"/>
        <v>-</v>
      </c>
      <c r="AP59" s="168" t="str">
        <f t="shared" si="148"/>
        <v>-</v>
      </c>
      <c r="AQ59" s="171" t="str">
        <f t="shared" si="148"/>
        <v>-</v>
      </c>
      <c r="AR59" s="171" t="str">
        <f t="shared" si="148"/>
        <v>-</v>
      </c>
      <c r="AS59" s="169" t="str">
        <f t="shared" si="148"/>
        <v>-</v>
      </c>
      <c r="AT59" s="168" t="str">
        <f t="shared" si="148"/>
        <v>-</v>
      </c>
      <c r="AU59" s="171" t="str">
        <f t="shared" si="148"/>
        <v>-</v>
      </c>
      <c r="AV59" s="171" t="str">
        <f t="shared" si="148"/>
        <v>-</v>
      </c>
      <c r="AW59" s="169" t="str">
        <f t="shared" si="148"/>
        <v>-</v>
      </c>
      <c r="AX59" s="168" t="str">
        <f t="shared" si="148"/>
        <v>-</v>
      </c>
      <c r="AY59" s="171" t="str">
        <f t="shared" si="148"/>
        <v>-</v>
      </c>
      <c r="AZ59" s="171" t="str">
        <f t="shared" si="148"/>
        <v>-</v>
      </c>
      <c r="BA59" s="169" t="str">
        <f t="shared" si="148"/>
        <v>-</v>
      </c>
      <c r="BB59" s="168" t="str">
        <f t="shared" si="148"/>
        <v>-</v>
      </c>
      <c r="BC59" s="171" t="str">
        <f t="shared" si="148"/>
        <v>-</v>
      </c>
      <c r="BD59" s="171" t="str">
        <f t="shared" si="148"/>
        <v>-</v>
      </c>
      <c r="BE59" s="169" t="str">
        <f t="shared" si="148"/>
        <v>-</v>
      </c>
      <c r="BF59" s="168" t="str">
        <f t="shared" si="148"/>
        <v>-</v>
      </c>
      <c r="BG59" s="171" t="str">
        <f t="shared" si="148"/>
        <v>-</v>
      </c>
      <c r="BH59" s="171" t="str">
        <f t="shared" si="148"/>
        <v>-</v>
      </c>
      <c r="BI59" s="169" t="str">
        <f t="shared" si="148"/>
        <v>-</v>
      </c>
      <c r="BJ59" s="168" t="str">
        <f t="shared" si="148"/>
        <v>-</v>
      </c>
      <c r="BK59" s="171" t="str">
        <f t="shared" si="148"/>
        <v>-</v>
      </c>
      <c r="BL59" s="171" t="str">
        <f t="shared" si="148"/>
        <v>-</v>
      </c>
      <c r="BM59" s="169" t="str">
        <f t="shared" si="148"/>
        <v>-</v>
      </c>
      <c r="BN59" s="168" t="str">
        <f t="shared" si="148"/>
        <v>-</v>
      </c>
      <c r="BO59" s="171" t="str">
        <f t="shared" si="148"/>
        <v>-</v>
      </c>
      <c r="BP59" s="171" t="str">
        <f t="shared" si="148"/>
        <v>-</v>
      </c>
      <c r="BQ59" s="169" t="str">
        <f t="shared" si="148"/>
        <v>-</v>
      </c>
      <c r="BR59" s="168" t="str">
        <f t="shared" si="148"/>
        <v>-</v>
      </c>
      <c r="BS59" s="171" t="str">
        <f t="shared" si="148"/>
        <v>-</v>
      </c>
      <c r="BT59" s="171" t="str">
        <f t="shared" si="148"/>
        <v>-</v>
      </c>
      <c r="BU59" s="169" t="str">
        <f t="shared" si="148"/>
        <v>-</v>
      </c>
      <c r="BV59" s="168" t="str">
        <f t="shared" si="148"/>
        <v>-</v>
      </c>
      <c r="BW59" s="171" t="str">
        <f t="shared" si="148"/>
        <v>-</v>
      </c>
      <c r="BX59" s="171" t="str">
        <f t="shared" si="148"/>
        <v>-</v>
      </c>
      <c r="BY59" s="169" t="str">
        <f t="shared" si="148"/>
        <v>-</v>
      </c>
      <c r="BZ59" s="168" t="str">
        <f t="shared" ref="BZ59:CK59" si="149">IF(BZ44="Free", ROUND(1/EXP(-BZ51*BZ50),0),"-")</f>
        <v>-</v>
      </c>
      <c r="CA59" s="171" t="str">
        <f t="shared" si="149"/>
        <v>-</v>
      </c>
      <c r="CB59" s="171" t="str">
        <f t="shared" si="149"/>
        <v>-</v>
      </c>
      <c r="CC59" s="169" t="str">
        <f t="shared" si="149"/>
        <v>-</v>
      </c>
      <c r="CD59" s="168" t="str">
        <f t="shared" si="149"/>
        <v>-</v>
      </c>
      <c r="CE59" s="171" t="str">
        <f t="shared" si="149"/>
        <v>-</v>
      </c>
      <c r="CF59" s="171" t="str">
        <f t="shared" si="149"/>
        <v>-</v>
      </c>
      <c r="CG59" s="169" t="str">
        <f t="shared" si="149"/>
        <v>-</v>
      </c>
      <c r="CH59" s="168" t="str">
        <f t="shared" si="149"/>
        <v>-</v>
      </c>
      <c r="CI59" s="171" t="str">
        <f t="shared" si="149"/>
        <v>-</v>
      </c>
      <c r="CJ59" s="171" t="str">
        <f t="shared" si="149"/>
        <v>-</v>
      </c>
      <c r="CK59" s="169" t="str">
        <f t="shared" si="149"/>
        <v>-</v>
      </c>
      <c r="CL59" s="49"/>
      <c r="CM59" s="28"/>
    </row>
    <row r="60" spans="2:91" ht="14.25" x14ac:dyDescent="0.25">
      <c r="B60" s="55"/>
      <c r="C60" s="10" t="s">
        <v>291</v>
      </c>
      <c r="D60" s="93" t="s">
        <v>290</v>
      </c>
      <c r="E60" s="125" t="e">
        <f>((1/(E51/E9)) - (E50-(1/(E51/E9)))*EXP(-(E51/E9)*E50))/(1-EXP(-(E51/E9)*E50))</f>
        <v>#DIV/0!</v>
      </c>
      <c r="F60" s="164">
        <f>((1/(F51/F9)) - (F50-(1/(F51/F9)))*EXP(-(F51/F9)*F50))/(1-EXP(-(F51/F9)*F50))</f>
        <v>20.399034045696279</v>
      </c>
      <c r="G60" s="164">
        <f>((1/(G51/G9)) - (G50-(1/(G51/G9)))*EXP(-(G51/G9)*G50))/(1-EXP(-(G51/G9)*G50))</f>
        <v>20.399034045696279</v>
      </c>
      <c r="H60" s="164">
        <f>((1/(H51/H9)) - (H50-(1/(H51/H9)))*EXP(-(H51/H9)*H50))/(1-EXP(-(H51/H9)*H50))</f>
        <v>15.76961542321529</v>
      </c>
      <c r="I60" s="164">
        <f>((1/(I51/I9)) - (I50-(1/(I51/I9)))*EXP(-(I51/I9)*I50))/(1-EXP(-(I51/I9)*I50))</f>
        <v>15.76961542321529</v>
      </c>
      <c r="J60" s="162">
        <f>1/(J51/J9)</f>
        <v>160</v>
      </c>
      <c r="K60" s="164" t="e">
        <f>((1/(K51/K9)) - (K50-(1/(K51/K9)))*EXP(-(K51/K9)*K50))/(1-EXP(-(K51/K9)*K50))</f>
        <v>#DIV/0!</v>
      </c>
      <c r="L60" s="165">
        <f>((1/(L51/L9)) - (L50-(1/(L51/L9)))*EXP(-(L51/L9)*L50))/(1-EXP(-(L51/L9)*L50))</f>
        <v>34.956047979854041</v>
      </c>
      <c r="M60" s="163">
        <f>((1/(M51/M9)) - (M50-(1/(M51/M9)))*EXP(-(M51/M9)*M50))/(1-EXP(-(M51/M9)*M50))</f>
        <v>34.956047979854041</v>
      </c>
      <c r="N60" s="168">
        <f>1/(N51/N9)</f>
        <v>11.930405965202983</v>
      </c>
      <c r="O60" s="171">
        <f>((1/(O51/O9)) - (O50-(1/(O51/O9)))*EXP(-(O51/O9)*O50))/(1-EXP(-(O51/O9)*O50))</f>
        <v>11.449795539719224</v>
      </c>
      <c r="P60" s="171">
        <f>((1/(P51/P9)) - (P50-(1/(P51/P9)))*EXP(-(P51/P9)*P50))/(1-EXP(-(P51/P9)*P50))</f>
        <v>26.29498368938826</v>
      </c>
      <c r="Q60" s="169">
        <f>((1/(Q51/Q9)) - (Q50-(1/(Q51/Q9)))*EXP(-(Q51/Q9)*Q50))/(1-EXP(-(Q51/Q9)*Q50))</f>
        <v>24.377458130961681</v>
      </c>
      <c r="R60" s="168">
        <f>1/(R51/R9)</f>
        <v>82.758620689655174</v>
      </c>
      <c r="S60" s="171" t="e">
        <f>((1/(S51/S9)) - (S50-(1/(S51/S9)))*EXP(-(S51/S9)*S50))/(1-EXP(-(S51/S9)*S50))</f>
        <v>#DIV/0!</v>
      </c>
      <c r="T60" s="171">
        <f>((1/(T51/T9)) - (T50-(1/(T51/T9)))*EXP(-(T51/T9)*T50))/(1-EXP(-(T51/T9)*T50))</f>
        <v>3.522964301258785</v>
      </c>
      <c r="U60" s="169">
        <f>((1/(U51/U9)) - (U50-(1/(U51/U9)))*EXP(-(U51/U9)*U50))/(1-EXP(-(U51/U9)*U50))</f>
        <v>3.522964301258785</v>
      </c>
      <c r="V60" s="168">
        <f>1/(V51/V9)</f>
        <v>113.68421052631578</v>
      </c>
      <c r="W60" s="171" t="e">
        <f>((1/(W51/W9)) - (W50-(1/(W51/W9)))*EXP(-(W51/W9)*W50))/(1-EXP(-(W51/W9)*W50))</f>
        <v>#DIV/0!</v>
      </c>
      <c r="X60" s="171">
        <f>((1/(X51/X9)) - (X50-(1/(X51/X9)))*EXP(-(X51/X9)*X50))/(1-EXP(-(X51/X9)*X50))</f>
        <v>14.847330287924784</v>
      </c>
      <c r="Y60" s="169">
        <f>((1/(Y51/Y9)) - (Y50-(1/(Y51/Y9)))*EXP(-(Y51/Y9)*Y50))/(1-EXP(-(Y51/Y9)*Y50))</f>
        <v>7.9759992604882628</v>
      </c>
      <c r="Z60" s="168">
        <f>1/(Z51/Z9)</f>
        <v>48.648648648648646</v>
      </c>
      <c r="AA60" s="171" t="e">
        <f>((1/(AA51/AA9)) - (AA50-(1/(AA51/AA9)))*EXP(-(AA51/AA9)*AA50))/(1-EXP(-(AA51/AA9)*AA50))</f>
        <v>#DIV/0!</v>
      </c>
      <c r="AB60" s="171">
        <f>((1/(AB51/AB9)) - (AB50-(1/(AB51/AB9)))*EXP(-(AB51/AB9)*AB50))/(1-EXP(-(AB51/AB9)*AB50))</f>
        <v>25.503503070632213</v>
      </c>
      <c r="AC60" s="169">
        <f>((1/(AC51/AC9)) - (AC50-(1/(AC51/AC9)))*EXP(-(AC51/AC9)*AC50))/(1-EXP(-(AC51/AC9)*AC50))</f>
        <v>25.503503070632213</v>
      </c>
      <c r="AD60" s="168">
        <f>1/(AD51/AD9)</f>
        <v>257.14285714285717</v>
      </c>
      <c r="AE60" s="171" t="e">
        <f>((1/(AE51/AE9)) - (AE50-(1/(AE51/AE9)))*EXP(-(AE51/AE9)*AE50))/(1-EXP(-(AE51/AE9)*AE50))</f>
        <v>#DIV/0!</v>
      </c>
      <c r="AF60" s="171">
        <f>((1/(AF51/AF9)) - (AF50-(1/(AF51/AF9)))*EXP(-(AF51/AF9)*AF50))/(1-EXP(-(AF51/AF9)*AF50))</f>
        <v>17.54289455254694</v>
      </c>
      <c r="AG60" s="169">
        <f>((1/(AG51/AG9)) - (AG50-(1/(AG51/AG9)))*EXP(-(AG51/AG9)*AG50))/(1-EXP(-(AG51/AG9)*AG50))</f>
        <v>17.54289455254694</v>
      </c>
      <c r="AH60" s="168">
        <f>1/(AH51/AH9)</f>
        <v>10.495626822157433</v>
      </c>
      <c r="AI60" s="171">
        <f>((1/(AI51/AI9)) - (AI50-(1/(AI51/AI9)))*EXP(-(AI51/AI9)*AI50))/(1-EXP(-(AI51/AI9)*AI50))</f>
        <v>12.085560234756571</v>
      </c>
      <c r="AJ60" s="171">
        <f>((1/(AJ51/AJ9)) - (AJ50-(1/(AJ51/AJ9)))*EXP(-(AJ51/AJ9)*AJ50))/(1-EXP(-(AJ51/AJ9)*AJ50))</f>
        <v>53.654214585402286</v>
      </c>
      <c r="AK60" s="169">
        <f>((1/(AK51/AK9)) - (AK50-(1/(AK51/AK9)))*EXP(-(AK51/AK9)*AK50))/(1-EXP(-(AK51/AK9)*AK50))</f>
        <v>53.654214585402286</v>
      </c>
      <c r="AL60" s="168" t="e">
        <f>1/(AL51/AL9)</f>
        <v>#DIV/0!</v>
      </c>
      <c r="AM60" s="171" t="e">
        <f>((1/(AM51/AM9)) - (AM50-(1/(AM51/AM9)))*EXP(-(AM51/AM9)*AM50))/(1-EXP(-(AM51/AM9)*AM50))</f>
        <v>#DIV/0!</v>
      </c>
      <c r="AN60" s="171" t="e">
        <f>((1/(AN51/AN9)) - (AN50-(1/(AN51/AN9)))*EXP(-(AN51/AN9)*AN50))/(1-EXP(-(AN51/AN9)*AN50))</f>
        <v>#DIV/0!</v>
      </c>
      <c r="AO60" s="169" t="e">
        <f>((1/(AO51/AO9)) - (AO50-(1/(AO51/AO9)))*EXP(-(AO51/AO9)*AO50))/(1-EXP(-(AO51/AO9)*AO50))</f>
        <v>#DIV/0!</v>
      </c>
      <c r="AP60" s="168" t="e">
        <f>1/(AP51/AP9)</f>
        <v>#DIV/0!</v>
      </c>
      <c r="AQ60" s="171" t="e">
        <f>((1/(AQ51/AQ9)) - (AQ50-(1/(AQ51/AQ9)))*EXP(-(AQ51/AQ9)*AQ50))/(1-EXP(-(AQ51/AQ9)*AQ50))</f>
        <v>#DIV/0!</v>
      </c>
      <c r="AR60" s="171" t="e">
        <f>((1/(AR51/AR9)) - (AR50-(1/(AR51/AR9)))*EXP(-(AR51/AR9)*AR50))/(1-EXP(-(AR51/AR9)*AR50))</f>
        <v>#DIV/0!</v>
      </c>
      <c r="AS60" s="169" t="e">
        <f>((1/(AS51/AS9)) - (AS50-(1/(AS51/AS9)))*EXP(-(AS51/AS9)*AS50))/(1-EXP(-(AS51/AS9)*AS50))</f>
        <v>#DIV/0!</v>
      </c>
      <c r="AT60" s="168" t="e">
        <f>1/(AT51/AT9)</f>
        <v>#DIV/0!</v>
      </c>
      <c r="AU60" s="171" t="e">
        <f>((1/(AU51/AU9)) - (AU50-(1/(AU51/AU9)))*EXP(-(AU51/AU9)*AU50))/(1-EXP(-(AU51/AU9)*AU50))</f>
        <v>#DIV/0!</v>
      </c>
      <c r="AV60" s="171" t="e">
        <f>((1/(AV51/AV9)) - (AV50-(1/(AV51/AV9)))*EXP(-(AV51/AV9)*AV50))/(1-EXP(-(AV51/AV9)*AV50))</f>
        <v>#DIV/0!</v>
      </c>
      <c r="AW60" s="169" t="e">
        <f>((1/(AW51/AW9)) - (AW50-(1/(AW51/AW9)))*EXP(-(AW51/AW9)*AW50))/(1-EXP(-(AW51/AW9)*AW50))</f>
        <v>#DIV/0!</v>
      </c>
      <c r="AX60" s="168" t="e">
        <f>1/(AX51/AX9)</f>
        <v>#DIV/0!</v>
      </c>
      <c r="AY60" s="171" t="e">
        <f>((1/(AY51/AY9)) - (AY50-(1/(AY51/AY9)))*EXP(-(AY51/AY9)*AY50))/(1-EXP(-(AY51/AY9)*AY50))</f>
        <v>#DIV/0!</v>
      </c>
      <c r="AZ60" s="171" t="e">
        <f>((1/(AZ51/AZ9)) - (AZ50-(1/(AZ51/AZ9)))*EXP(-(AZ51/AZ9)*AZ50))/(1-EXP(-(AZ51/AZ9)*AZ50))</f>
        <v>#DIV/0!</v>
      </c>
      <c r="BA60" s="169" t="e">
        <f>((1/(BA51/BA9)) - (BA50-(1/(BA51/BA9)))*EXP(-(BA51/BA9)*BA50))/(1-EXP(-(BA51/BA9)*BA50))</f>
        <v>#DIV/0!</v>
      </c>
      <c r="BB60" s="168" t="e">
        <f>1/(BB51/BB9)</f>
        <v>#DIV/0!</v>
      </c>
      <c r="BC60" s="171" t="e">
        <f>((1/(BC51/BC9)) - (BC50-(1/(BC51/BC9)))*EXP(-(BC51/BC9)*BC50))/(1-EXP(-(BC51/BC9)*BC50))</f>
        <v>#DIV/0!</v>
      </c>
      <c r="BD60" s="171" t="e">
        <f>((1/(BD51/BD9)) - (BD50-(1/(BD51/BD9)))*EXP(-(BD51/BD9)*BD50))/(1-EXP(-(BD51/BD9)*BD50))</f>
        <v>#DIV/0!</v>
      </c>
      <c r="BE60" s="169" t="e">
        <f>((1/(BE51/BE9)) - (BE50-(1/(BE51/BE9)))*EXP(-(BE51/BE9)*BE50))/(1-EXP(-(BE51/BE9)*BE50))</f>
        <v>#DIV/0!</v>
      </c>
      <c r="BF60" s="168" t="e">
        <f>1/(BF51/BF9)</f>
        <v>#DIV/0!</v>
      </c>
      <c r="BG60" s="171" t="e">
        <f>((1/(BG51/BG9)) - (BG50-(1/(BG51/BG9)))*EXP(-(BG51/BG9)*BG50))/(1-EXP(-(BG51/BG9)*BG50))</f>
        <v>#DIV/0!</v>
      </c>
      <c r="BH60" s="171" t="e">
        <f>((1/(BH51/BH9)) - (BH50-(1/(BH51/BH9)))*EXP(-(BH51/BH9)*BH50))/(1-EXP(-(BH51/BH9)*BH50))</f>
        <v>#DIV/0!</v>
      </c>
      <c r="BI60" s="169" t="e">
        <f>((1/(BI51/BI9)) - (BI50-(1/(BI51/BI9)))*EXP(-(BI51/BI9)*BI50))/(1-EXP(-(BI51/BI9)*BI50))</f>
        <v>#DIV/0!</v>
      </c>
      <c r="BJ60" s="168" t="e">
        <f>1/(BJ51/BJ9)</f>
        <v>#DIV/0!</v>
      </c>
      <c r="BK60" s="171" t="e">
        <f>((1/(BK51/BK9)) - (BK50-(1/(BK51/BK9)))*EXP(-(BK51/BK9)*BK50))/(1-EXP(-(BK51/BK9)*BK50))</f>
        <v>#DIV/0!</v>
      </c>
      <c r="BL60" s="171" t="e">
        <f>((1/(BL51/BL9)) - (BL50-(1/(BL51/BL9)))*EXP(-(BL51/BL9)*BL50))/(1-EXP(-(BL51/BL9)*BL50))</f>
        <v>#DIV/0!</v>
      </c>
      <c r="BM60" s="169" t="e">
        <f>((1/(BM51/BM9)) - (BM50-(1/(BM51/BM9)))*EXP(-(BM51/BM9)*BM50))/(1-EXP(-(BM51/BM9)*BM50))</f>
        <v>#DIV/0!</v>
      </c>
      <c r="BN60" s="168" t="e">
        <f>1/(BN51/BN9)</f>
        <v>#DIV/0!</v>
      </c>
      <c r="BO60" s="171" t="e">
        <f>((1/(BO51/BO9)) - (BO50-(1/(BO51/BO9)))*EXP(-(BO51/BO9)*BO50))/(1-EXP(-(BO51/BO9)*BO50))</f>
        <v>#DIV/0!</v>
      </c>
      <c r="BP60" s="171" t="e">
        <f>((1/(BP51/BP9)) - (BP50-(1/(BP51/BP9)))*EXP(-(BP51/BP9)*BP50))/(1-EXP(-(BP51/BP9)*BP50))</f>
        <v>#DIV/0!</v>
      </c>
      <c r="BQ60" s="169" t="e">
        <f>((1/(BQ51/BQ9)) - (BQ50-(1/(BQ51/BQ9)))*EXP(-(BQ51/BQ9)*BQ50))/(1-EXP(-(BQ51/BQ9)*BQ50))</f>
        <v>#DIV/0!</v>
      </c>
      <c r="BR60" s="168" t="e">
        <f>1/(BR51/BR9)</f>
        <v>#DIV/0!</v>
      </c>
      <c r="BS60" s="171" t="e">
        <f>((1/(BS51/BS9)) - (BS50-(1/(BS51/BS9)))*EXP(-(BS51/BS9)*BS50))/(1-EXP(-(BS51/BS9)*BS50))</f>
        <v>#DIV/0!</v>
      </c>
      <c r="BT60" s="171" t="e">
        <f>((1/(BT51/BT9)) - (BT50-(1/(BT51/BT9)))*EXP(-(BT51/BT9)*BT50))/(1-EXP(-(BT51/BT9)*BT50))</f>
        <v>#DIV/0!</v>
      </c>
      <c r="BU60" s="169" t="e">
        <f>((1/(BU51/BU9)) - (BU50-(1/(BU51/BU9)))*EXP(-(BU51/BU9)*BU50))/(1-EXP(-(BU51/BU9)*BU50))</f>
        <v>#DIV/0!</v>
      </c>
      <c r="BV60" s="168" t="e">
        <f>1/(BV51/BV9)</f>
        <v>#DIV/0!</v>
      </c>
      <c r="BW60" s="171" t="e">
        <f>((1/(BW51/BW9)) - (BW50-(1/(BW51/BW9)))*EXP(-(BW51/BW9)*BW50))/(1-EXP(-(BW51/BW9)*BW50))</f>
        <v>#DIV/0!</v>
      </c>
      <c r="BX60" s="171" t="e">
        <f>((1/(BX51/BX9)) - (BX50-(1/(BX51/BX9)))*EXP(-(BX51/BX9)*BX50))/(1-EXP(-(BX51/BX9)*BX50))</f>
        <v>#DIV/0!</v>
      </c>
      <c r="BY60" s="169" t="e">
        <f>((1/(BY51/BY9)) - (BY50-(1/(BY51/BY9)))*EXP(-(BY51/BY9)*BY50))/(1-EXP(-(BY51/BY9)*BY50))</f>
        <v>#DIV/0!</v>
      </c>
      <c r="BZ60" s="168" t="e">
        <f>1/(BZ51/BZ9)</f>
        <v>#DIV/0!</v>
      </c>
      <c r="CA60" s="171" t="e">
        <f>((1/(CA51/CA9)) - (CA50-(1/(CA51/CA9)))*EXP(-(CA51/CA9)*CA50))/(1-EXP(-(CA51/CA9)*CA50))</f>
        <v>#DIV/0!</v>
      </c>
      <c r="CB60" s="171" t="e">
        <f>((1/(CB51/CB9)) - (CB50-(1/(CB51/CB9)))*EXP(-(CB51/CB9)*CB50))/(1-EXP(-(CB51/CB9)*CB50))</f>
        <v>#DIV/0!</v>
      </c>
      <c r="CC60" s="169" t="e">
        <f>((1/(CC51/CC9)) - (CC50-(1/(CC51/CC9)))*EXP(-(CC51/CC9)*CC50))/(1-EXP(-(CC51/CC9)*CC50))</f>
        <v>#DIV/0!</v>
      </c>
      <c r="CD60" s="168" t="e">
        <f>1/(CD51/CD9)</f>
        <v>#DIV/0!</v>
      </c>
      <c r="CE60" s="171" t="e">
        <f>((1/(CE51/CE9)) - (CE50-(1/(CE51/CE9)))*EXP(-(CE51/CE9)*CE50))/(1-EXP(-(CE51/CE9)*CE50))</f>
        <v>#DIV/0!</v>
      </c>
      <c r="CF60" s="171" t="e">
        <f>((1/(CF51/CF9)) - (CF50-(1/(CF51/CF9)))*EXP(-(CF51/CF9)*CF50))/(1-EXP(-(CF51/CF9)*CF50))</f>
        <v>#DIV/0!</v>
      </c>
      <c r="CG60" s="169" t="e">
        <f>((1/(CG51/CG9)) - (CG50-(1/(CG51/CG9)))*EXP(-(CG51/CG9)*CG50))/(1-EXP(-(CG51/CG9)*CG50))</f>
        <v>#DIV/0!</v>
      </c>
      <c r="CH60" s="168" t="e">
        <f>1/(CH51/CH9)</f>
        <v>#DIV/0!</v>
      </c>
      <c r="CI60" s="171" t="e">
        <f>((1/(CI51/CI9)) - (CI50-(1/(CI51/CI9)))*EXP(-(CI51/CI9)*CI50))/(1-EXP(-(CI51/CI9)*CI50))</f>
        <v>#DIV/0!</v>
      </c>
      <c r="CJ60" s="171" t="e">
        <f>((1/(CJ51/CJ9)) - (CJ50-(1/(CJ51/CJ9)))*EXP(-(CJ51/CJ9)*CJ50))/(1-EXP(-(CJ51/CJ9)*CJ50))</f>
        <v>#DIV/0!</v>
      </c>
      <c r="CK60" s="169" t="e">
        <f>((1/(CK51/CK9)) - (CK50-(1/(CK51/CK9)))*EXP(-(CK51/CK9)*CK50))/(1-EXP(-(CK51/CK9)*CK50))</f>
        <v>#DIV/0!</v>
      </c>
      <c r="CL60" s="49"/>
      <c r="CM60" s="28"/>
    </row>
    <row r="61" spans="2:91" ht="14.25" x14ac:dyDescent="0.25">
      <c r="B61" s="55"/>
      <c r="C61" s="10" t="s">
        <v>103</v>
      </c>
      <c r="D61" s="93" t="s">
        <v>39</v>
      </c>
      <c r="E61" s="125">
        <f t="shared" ref="E61:AJ61" si="150">0.681*E9^0.514</f>
        <v>1.3886920442435355</v>
      </c>
      <c r="F61" s="72">
        <f t="shared" si="150"/>
        <v>1.5574628423543384</v>
      </c>
      <c r="G61" s="73">
        <f t="shared" si="150"/>
        <v>1.5574628423543384</v>
      </c>
      <c r="H61" s="73">
        <f t="shared" si="150"/>
        <v>1.3886920442435355</v>
      </c>
      <c r="I61" s="74">
        <f t="shared" si="150"/>
        <v>1.3886920442435355</v>
      </c>
      <c r="J61" s="96">
        <f t="shared" si="150"/>
        <v>0.97247071016552877</v>
      </c>
      <c r="K61" s="97">
        <f t="shared" si="150"/>
        <v>0</v>
      </c>
      <c r="L61" s="97">
        <f t="shared" si="150"/>
        <v>1.1978086274186128</v>
      </c>
      <c r="M61" s="98">
        <f t="shared" si="150"/>
        <v>1.1978086274186128</v>
      </c>
      <c r="N61" s="168">
        <f t="shared" si="150"/>
        <v>1.3886920442435355</v>
      </c>
      <c r="O61" s="171">
        <f t="shared" si="150"/>
        <v>1.3886920442435355</v>
      </c>
      <c r="P61" s="171">
        <f t="shared" si="150"/>
        <v>1.3886920442435355</v>
      </c>
      <c r="Q61" s="169">
        <f t="shared" si="150"/>
        <v>1.3886920442435355</v>
      </c>
      <c r="R61" s="168">
        <f t="shared" si="150"/>
        <v>0.97247071016552877</v>
      </c>
      <c r="S61" s="171">
        <f t="shared" si="150"/>
        <v>0</v>
      </c>
      <c r="T61" s="171">
        <f t="shared" si="150"/>
        <v>0.68100000000000005</v>
      </c>
      <c r="U61" s="169">
        <f t="shared" si="150"/>
        <v>0.68100000000000005</v>
      </c>
      <c r="V61" s="168">
        <f t="shared" si="150"/>
        <v>1.1978086274186128</v>
      </c>
      <c r="W61" s="171">
        <f t="shared" si="150"/>
        <v>0</v>
      </c>
      <c r="X61" s="171">
        <f t="shared" si="150"/>
        <v>1.1978086274186128</v>
      </c>
      <c r="Y61" s="169">
        <f t="shared" si="150"/>
        <v>0.97247071016552877</v>
      </c>
      <c r="Z61" s="168">
        <f t="shared" si="150"/>
        <v>0.97247071016552877</v>
      </c>
      <c r="AA61" s="171">
        <f t="shared" si="150"/>
        <v>0</v>
      </c>
      <c r="AB61" s="171">
        <f t="shared" si="150"/>
        <v>1.1978086274186128</v>
      </c>
      <c r="AC61" s="169">
        <f t="shared" si="150"/>
        <v>1.1978086274186128</v>
      </c>
      <c r="AD61" s="168">
        <f t="shared" si="150"/>
        <v>0.97247071016552877</v>
      </c>
      <c r="AE61" s="171">
        <f t="shared" si="150"/>
        <v>0</v>
      </c>
      <c r="AF61" s="171">
        <f t="shared" si="150"/>
        <v>0.97247071016552877</v>
      </c>
      <c r="AG61" s="169">
        <f t="shared" si="150"/>
        <v>0.97247071016552877</v>
      </c>
      <c r="AH61" s="168">
        <f t="shared" si="150"/>
        <v>0.97247071016552877</v>
      </c>
      <c r="AI61" s="171">
        <f t="shared" si="150"/>
        <v>0.97247071016552877</v>
      </c>
      <c r="AJ61" s="171">
        <f t="shared" si="150"/>
        <v>1.1978086274186128</v>
      </c>
      <c r="AK61" s="169">
        <f t="shared" ref="AK61:BP61" si="151">0.681*AK9^0.514</f>
        <v>1.1978086274186128</v>
      </c>
      <c r="AL61" s="168">
        <f t="shared" si="151"/>
        <v>0</v>
      </c>
      <c r="AM61" s="171">
        <f t="shared" si="151"/>
        <v>0</v>
      </c>
      <c r="AN61" s="171">
        <f t="shared" si="151"/>
        <v>0</v>
      </c>
      <c r="AO61" s="169">
        <f t="shared" si="151"/>
        <v>0</v>
      </c>
      <c r="AP61" s="168">
        <f t="shared" si="151"/>
        <v>0</v>
      </c>
      <c r="AQ61" s="171">
        <f t="shared" si="151"/>
        <v>0</v>
      </c>
      <c r="AR61" s="171">
        <f t="shared" si="151"/>
        <v>0</v>
      </c>
      <c r="AS61" s="169">
        <f t="shared" si="151"/>
        <v>0</v>
      </c>
      <c r="AT61" s="168">
        <f t="shared" si="151"/>
        <v>0</v>
      </c>
      <c r="AU61" s="171">
        <f t="shared" si="151"/>
        <v>0</v>
      </c>
      <c r="AV61" s="171">
        <f t="shared" si="151"/>
        <v>0</v>
      </c>
      <c r="AW61" s="169">
        <f t="shared" si="151"/>
        <v>0</v>
      </c>
      <c r="AX61" s="168">
        <f t="shared" si="151"/>
        <v>0</v>
      </c>
      <c r="AY61" s="171">
        <f t="shared" si="151"/>
        <v>0</v>
      </c>
      <c r="AZ61" s="171">
        <f t="shared" si="151"/>
        <v>0</v>
      </c>
      <c r="BA61" s="169">
        <f t="shared" si="151"/>
        <v>0</v>
      </c>
      <c r="BB61" s="168">
        <f t="shared" si="151"/>
        <v>0</v>
      </c>
      <c r="BC61" s="171">
        <f t="shared" si="151"/>
        <v>0</v>
      </c>
      <c r="BD61" s="171">
        <f t="shared" si="151"/>
        <v>0</v>
      </c>
      <c r="BE61" s="169">
        <f t="shared" si="151"/>
        <v>0</v>
      </c>
      <c r="BF61" s="168">
        <f t="shared" si="151"/>
        <v>0</v>
      </c>
      <c r="BG61" s="171">
        <f t="shared" si="151"/>
        <v>0</v>
      </c>
      <c r="BH61" s="171">
        <f t="shared" si="151"/>
        <v>0</v>
      </c>
      <c r="BI61" s="169">
        <f t="shared" si="151"/>
        <v>0</v>
      </c>
      <c r="BJ61" s="168">
        <f t="shared" si="151"/>
        <v>0</v>
      </c>
      <c r="BK61" s="171">
        <f t="shared" si="151"/>
        <v>0</v>
      </c>
      <c r="BL61" s="171">
        <f t="shared" si="151"/>
        <v>0</v>
      </c>
      <c r="BM61" s="169">
        <f t="shared" si="151"/>
        <v>0</v>
      </c>
      <c r="BN61" s="168">
        <f t="shared" si="151"/>
        <v>0</v>
      </c>
      <c r="BO61" s="171">
        <f t="shared" si="151"/>
        <v>0</v>
      </c>
      <c r="BP61" s="171">
        <f t="shared" si="151"/>
        <v>0</v>
      </c>
      <c r="BQ61" s="169">
        <f t="shared" ref="BQ61:CK61" si="152">0.681*BQ9^0.514</f>
        <v>0</v>
      </c>
      <c r="BR61" s="168">
        <f t="shared" si="152"/>
        <v>0</v>
      </c>
      <c r="BS61" s="171">
        <f t="shared" si="152"/>
        <v>0</v>
      </c>
      <c r="BT61" s="171">
        <f t="shared" si="152"/>
        <v>0</v>
      </c>
      <c r="BU61" s="169">
        <f t="shared" si="152"/>
        <v>0</v>
      </c>
      <c r="BV61" s="168">
        <f t="shared" si="152"/>
        <v>0</v>
      </c>
      <c r="BW61" s="171">
        <f t="shared" si="152"/>
        <v>0</v>
      </c>
      <c r="BX61" s="171">
        <f t="shared" si="152"/>
        <v>0</v>
      </c>
      <c r="BY61" s="169">
        <f t="shared" si="152"/>
        <v>0</v>
      </c>
      <c r="BZ61" s="168">
        <f t="shared" si="152"/>
        <v>0</v>
      </c>
      <c r="CA61" s="171">
        <f t="shared" si="152"/>
        <v>0</v>
      </c>
      <c r="CB61" s="171">
        <f t="shared" si="152"/>
        <v>0</v>
      </c>
      <c r="CC61" s="169">
        <f t="shared" si="152"/>
        <v>0</v>
      </c>
      <c r="CD61" s="168">
        <f t="shared" si="152"/>
        <v>0</v>
      </c>
      <c r="CE61" s="171">
        <f t="shared" si="152"/>
        <v>0</v>
      </c>
      <c r="CF61" s="171">
        <f t="shared" si="152"/>
        <v>0</v>
      </c>
      <c r="CG61" s="169">
        <f t="shared" si="152"/>
        <v>0</v>
      </c>
      <c r="CH61" s="168">
        <f t="shared" si="152"/>
        <v>0</v>
      </c>
      <c r="CI61" s="171">
        <f t="shared" si="152"/>
        <v>0</v>
      </c>
      <c r="CJ61" s="171">
        <f t="shared" si="152"/>
        <v>0</v>
      </c>
      <c r="CK61" s="169">
        <f t="shared" si="152"/>
        <v>0</v>
      </c>
      <c r="CL61" s="49"/>
      <c r="CM61" s="28"/>
    </row>
    <row r="62" spans="2:91" ht="14.25" x14ac:dyDescent="0.25">
      <c r="B62" s="55"/>
      <c r="C62" s="10" t="s">
        <v>149</v>
      </c>
      <c r="D62" s="93" t="s">
        <v>150</v>
      </c>
      <c r="E62" s="127">
        <f>SUM(E13:E15,G14,F15,H13)/(4*E9)</f>
        <v>45.5</v>
      </c>
      <c r="F62" s="42">
        <f>SUM(F13:F15,H14,G15,I13)/(4*F9)</f>
        <v>76.05</v>
      </c>
      <c r="G62" s="45">
        <f>SUM(G13:G15,F15,H13,I14)/(4*G9)</f>
        <v>55.85</v>
      </c>
      <c r="H62" s="45">
        <f>SUM(H13:H15,G14,F13,I15)/(4*H9)</f>
        <v>58.6875</v>
      </c>
      <c r="I62" s="94">
        <f>SUM(I13:I15,F14,G13,H15)/(4*I9)</f>
        <v>55.1875</v>
      </c>
      <c r="J62" s="100">
        <f>SUM(J13:J15,L14,K15,M13)/(4*J9)</f>
        <v>8.75</v>
      </c>
      <c r="K62" s="101" t="e">
        <f>SUM(K13:K15,J15,L13,M14)/(4*K9)</f>
        <v>#DIV/0!</v>
      </c>
      <c r="L62" s="101">
        <f>SUM(L13:L15,K14,J13,M15)/(4*L9)</f>
        <v>48.166666666666664</v>
      </c>
      <c r="M62" s="102">
        <f>SUM(M13:M15,J14,K13,L15)/(4*M9)</f>
        <v>45.5</v>
      </c>
      <c r="N62" s="172">
        <f>SUM(N13:N15,P14,O15,Q13)/(4*N9)</f>
        <v>54.4375</v>
      </c>
      <c r="O62" s="173">
        <f>SUM(O13:O15,N15,P13,Q14)/(4*O9)</f>
        <v>91.875</v>
      </c>
      <c r="P62" s="173">
        <f>SUM(P13:P15,O14,N13,Q15)/(4*P9)</f>
        <v>42.375</v>
      </c>
      <c r="Q62" s="174">
        <f>SUM(Q13:Q15,N14,O13,P15)/(4*Q9)</f>
        <v>70.1875</v>
      </c>
      <c r="R62" s="172">
        <f>SUM(R13:R15,T14,S15,U13)/(4*R9)</f>
        <v>12</v>
      </c>
      <c r="S62" s="173" t="e">
        <f>SUM(S13:S15,R15,T13,U14)/(4*S9)</f>
        <v>#DIV/0!</v>
      </c>
      <c r="T62" s="173">
        <f>SUM(T13:T15,S14,R13,U15)/(4*T9)</f>
        <v>269</v>
      </c>
      <c r="U62" s="174">
        <f>SUM(U13:U15,R14,S13,T15)/(4*U9)</f>
        <v>249.5</v>
      </c>
      <c r="V62" s="172">
        <f>SUM(V13:V15,X14,W15,Y13)/(4*V9)</f>
        <v>20.666666666666668</v>
      </c>
      <c r="W62" s="173" t="e">
        <f>SUM(W13:W15,V15,X13,Y14)/(4*W9)</f>
        <v>#DIV/0!</v>
      </c>
      <c r="X62" s="173">
        <f>SUM(X13:X15,W14,V13,Y15)/(4*X9)</f>
        <v>82.333333333333329</v>
      </c>
      <c r="Y62" s="174">
        <f>SUM(Y13:Y15,V14,W13,X15)/(4*Y9)</f>
        <v>95.25</v>
      </c>
      <c r="Z62" s="172">
        <f>SUM(Z13:Z15,AB14,AA15,AC13)/(4*Z9)</f>
        <v>31.5</v>
      </c>
      <c r="AA62" s="173" t="e">
        <f>SUM(AA13:AA15,Z15,AB13,AC14)/(4*AA9)</f>
        <v>#DIV/0!</v>
      </c>
      <c r="AB62" s="173">
        <f>SUM(AB13:AB15,AA14,Z13,AC15)/(4*AB9)</f>
        <v>65.083333333333329</v>
      </c>
      <c r="AC62" s="174">
        <f>SUM(AC13:AC15,Z14,AA13,AB15)/(4*AC9)</f>
        <v>54.25</v>
      </c>
      <c r="AD62" s="172">
        <f>SUM(AD13:AD15,AF14,AE15,AG13)/(4*AD9)</f>
        <v>7.75</v>
      </c>
      <c r="AE62" s="173" t="e">
        <f>SUM(AE13:AE15,AD15,AF13,AG14)/(4*AE9)</f>
        <v>#DIV/0!</v>
      </c>
      <c r="AF62" s="173">
        <f>SUM(AF13:AF15,AE14,AD13,AG15)/(4*AF9)</f>
        <v>80.375</v>
      </c>
      <c r="AG62" s="174">
        <f>SUM(AG13:AG15,AD14,AE13,AF15)/(4*AG9)</f>
        <v>77.875</v>
      </c>
      <c r="AH62" s="172">
        <f>SUM(AH13:AH15,AJ14,AI15,AK13)/(4*AH9)</f>
        <v>54.625</v>
      </c>
      <c r="AI62" s="173">
        <f>SUM(AI13:AI15,AH15,AJ13,AK14)/(4*AI9)</f>
        <v>115.75</v>
      </c>
      <c r="AJ62" s="173">
        <f>SUM(AJ13:AJ15,AI14,AH13,AK15)/(4*AJ9)</f>
        <v>54.833333333333336</v>
      </c>
      <c r="AK62" s="174">
        <f>SUM(AK13:AK15,AH14,AI13,AJ15)/(4*AK9)</f>
        <v>27.083333333333332</v>
      </c>
      <c r="AL62" s="172" t="e">
        <f>SUM(AL13:AL15,AN14,AM15,AO13)/(4*AL9)</f>
        <v>#DIV/0!</v>
      </c>
      <c r="AM62" s="173" t="e">
        <f>SUM(AM13:AM15,AL15,AN13,AO14)/(4*AM9)</f>
        <v>#DIV/0!</v>
      </c>
      <c r="AN62" s="173" t="e">
        <f>SUM(AN13:AN15,AM14,AL13,AO15)/(4*AN9)</f>
        <v>#DIV/0!</v>
      </c>
      <c r="AO62" s="174" t="e">
        <f>SUM(AO13:AO15,AL14,AM13,AN15)/(4*AO9)</f>
        <v>#DIV/0!</v>
      </c>
      <c r="AP62" s="172" t="e">
        <f>SUM(AP13:AP15,AR14,AQ15,AS13)/(4*AP9)</f>
        <v>#DIV/0!</v>
      </c>
      <c r="AQ62" s="173" t="e">
        <f>SUM(AQ13:AQ15,AP15,AR13,AS14)/(4*AQ9)</f>
        <v>#DIV/0!</v>
      </c>
      <c r="AR62" s="173" t="e">
        <f>SUM(AR13:AR15,AQ14,AP13,AS15)/(4*AR9)</f>
        <v>#DIV/0!</v>
      </c>
      <c r="AS62" s="174" t="e">
        <f>SUM(AS13:AS15,AP14,AQ13,AR15)/(4*AS9)</f>
        <v>#DIV/0!</v>
      </c>
      <c r="AT62" s="172" t="e">
        <f>SUM(AT13:AT15,AV14,AU15,AW13)/(4*AT9)</f>
        <v>#DIV/0!</v>
      </c>
      <c r="AU62" s="173" t="e">
        <f>SUM(AU13:AU15,AT15,AV13,AW14)/(4*AU9)</f>
        <v>#DIV/0!</v>
      </c>
      <c r="AV62" s="173" t="e">
        <f>SUM(AV13:AV15,AU14,AT13,AW15)/(4*AV9)</f>
        <v>#DIV/0!</v>
      </c>
      <c r="AW62" s="174" t="e">
        <f>SUM(AW13:AW15,AT14,AU13,AV15)/(4*AW9)</f>
        <v>#DIV/0!</v>
      </c>
      <c r="AX62" s="172" t="e">
        <f>SUM(AX13:AX15,AZ14,AY15,BA13)/(4*AX9)</f>
        <v>#DIV/0!</v>
      </c>
      <c r="AY62" s="173" t="e">
        <f>SUM(AY13:AY15,AX15,AZ13,BA14)/(4*AY9)</f>
        <v>#DIV/0!</v>
      </c>
      <c r="AZ62" s="173" t="e">
        <f>SUM(AZ13:AZ15,AY14,AX13,BA15)/(4*AZ9)</f>
        <v>#DIV/0!</v>
      </c>
      <c r="BA62" s="174" t="e">
        <f>SUM(BA13:BA15,AX14,AY13,AZ15)/(4*BA9)</f>
        <v>#DIV/0!</v>
      </c>
      <c r="BB62" s="172" t="e">
        <f>SUM(BB13:BB15,BD14,BC15,BE13)/(4*BB9)</f>
        <v>#DIV/0!</v>
      </c>
      <c r="BC62" s="173" t="e">
        <f>SUM(BC13:BC15,BB15,BD13,BE14)/(4*BC9)</f>
        <v>#DIV/0!</v>
      </c>
      <c r="BD62" s="173" t="e">
        <f>SUM(BD13:BD15,BC14,BB13,BE15)/(4*BD9)</f>
        <v>#DIV/0!</v>
      </c>
      <c r="BE62" s="174" t="e">
        <f>SUM(BE13:BE15,BB14,BC13,BD15)/(4*BE9)</f>
        <v>#DIV/0!</v>
      </c>
      <c r="BF62" s="172" t="e">
        <f>SUM(BF13:BF15,BH14,BG15,BI13)/(4*BF9)</f>
        <v>#DIV/0!</v>
      </c>
      <c r="BG62" s="173" t="e">
        <f>SUM(BG13:BG15,BF15,BH13,BI14)/(4*BG9)</f>
        <v>#DIV/0!</v>
      </c>
      <c r="BH62" s="173" t="e">
        <f>SUM(BH13:BH15,BG14,BF13,BI15)/(4*BH9)</f>
        <v>#DIV/0!</v>
      </c>
      <c r="BI62" s="174" t="e">
        <f>SUM(BI13:BI15,BF14,BG13,BH15)/(4*BI9)</f>
        <v>#DIV/0!</v>
      </c>
      <c r="BJ62" s="172" t="e">
        <f>SUM(BJ13:BJ15,BL14,BK15,BM13)/(4*BJ9)</f>
        <v>#DIV/0!</v>
      </c>
      <c r="BK62" s="173" t="e">
        <f>SUM(BK13:BK15,BJ15,BL13,BM14)/(4*BK9)</f>
        <v>#DIV/0!</v>
      </c>
      <c r="BL62" s="173" t="e">
        <f>SUM(BL13:BL15,BK14,BJ13,BM15)/(4*BL9)</f>
        <v>#DIV/0!</v>
      </c>
      <c r="BM62" s="174" t="e">
        <f>SUM(BM13:BM15,BJ14,BK13,BL15)/(4*BM9)</f>
        <v>#DIV/0!</v>
      </c>
      <c r="BN62" s="172" t="e">
        <f>SUM(BN13:BN15,BP14,BO15,BQ13)/(4*BN9)</f>
        <v>#DIV/0!</v>
      </c>
      <c r="BO62" s="173" t="e">
        <f>SUM(BO13:BO15,BN15,BP13,BQ14)/(4*BO9)</f>
        <v>#DIV/0!</v>
      </c>
      <c r="BP62" s="173" t="e">
        <f>SUM(BP13:BP15,BO14,BN13,BQ15)/(4*BP9)</f>
        <v>#DIV/0!</v>
      </c>
      <c r="BQ62" s="174" t="e">
        <f>SUM(BQ13:BQ15,BN14,BO13,BP15)/(4*BQ9)</f>
        <v>#DIV/0!</v>
      </c>
      <c r="BR62" s="172" t="e">
        <f>SUM(BR13:BR15,BT14,BS15,BU13)/(4*BR9)</f>
        <v>#DIV/0!</v>
      </c>
      <c r="BS62" s="173" t="e">
        <f>SUM(BS13:BS15,BR15,BT13,BU14)/(4*BS9)</f>
        <v>#DIV/0!</v>
      </c>
      <c r="BT62" s="173" t="e">
        <f>SUM(BT13:BT15,BS14,BR13,BU15)/(4*BT9)</f>
        <v>#DIV/0!</v>
      </c>
      <c r="BU62" s="174" t="e">
        <f>SUM(BU13:BU15,BR14,BS13,BT15)/(4*BU9)</f>
        <v>#DIV/0!</v>
      </c>
      <c r="BV62" s="172" t="e">
        <f>SUM(BV13:BV15,BX14,BW15,BY13)/(4*BV9)</f>
        <v>#DIV/0!</v>
      </c>
      <c r="BW62" s="173" t="e">
        <f>SUM(BW13:BW15,BV15,BX13,BY14)/(4*BW9)</f>
        <v>#DIV/0!</v>
      </c>
      <c r="BX62" s="173" t="e">
        <f>SUM(BX13:BX15,BW14,BV13,BY15)/(4*BX9)</f>
        <v>#DIV/0!</v>
      </c>
      <c r="BY62" s="174" t="e">
        <f>SUM(BY13:BY15,BV14,BW13,BX15)/(4*BY9)</f>
        <v>#DIV/0!</v>
      </c>
      <c r="BZ62" s="172" t="e">
        <f>SUM(BZ13:BZ15,CB14,CA15,CC13)/(4*BZ9)</f>
        <v>#DIV/0!</v>
      </c>
      <c r="CA62" s="173" t="e">
        <f>SUM(CA13:CA15,BZ15,CB13,CC14)/(4*CA9)</f>
        <v>#DIV/0!</v>
      </c>
      <c r="CB62" s="173" t="e">
        <f>SUM(CB13:CB15,CA14,BZ13,CC15)/(4*CB9)</f>
        <v>#DIV/0!</v>
      </c>
      <c r="CC62" s="174" t="e">
        <f>SUM(CC13:CC15,BZ14,CA13,CB15)/(4*CC9)</f>
        <v>#DIV/0!</v>
      </c>
      <c r="CD62" s="172" t="e">
        <f>SUM(CD13:CD15,CF14,CE15,CG13)/(4*CD9)</f>
        <v>#DIV/0!</v>
      </c>
      <c r="CE62" s="173" t="e">
        <f>SUM(CE13:CE15,CD15,CF13,CG14)/(4*CE9)</f>
        <v>#DIV/0!</v>
      </c>
      <c r="CF62" s="173" t="e">
        <f>SUM(CF13:CF15,CE14,CD13,CG15)/(4*CF9)</f>
        <v>#DIV/0!</v>
      </c>
      <c r="CG62" s="174" t="e">
        <f>SUM(CG13:CG15,CD14,CE13,CF15)/(4*CG9)</f>
        <v>#DIV/0!</v>
      </c>
      <c r="CH62" s="172" t="e">
        <f>SUM(CH13:CH15,CJ14,CI15,CK13)/(4*CH9)</f>
        <v>#DIV/0!</v>
      </c>
      <c r="CI62" s="173" t="e">
        <f>SUM(CI13:CI15,CH15,CJ13,CK14)/(4*CI9)</f>
        <v>#DIV/0!</v>
      </c>
      <c r="CJ62" s="173" t="e">
        <f>SUM(CJ13:CJ15,CI14,CH13,CK15)/(4*CJ9)</f>
        <v>#DIV/0!</v>
      </c>
      <c r="CK62" s="174" t="e">
        <f>SUM(CK13:CK15,CH14,CI13,CJ15)/(4*CK9)</f>
        <v>#DIV/0!</v>
      </c>
      <c r="CL62" s="49"/>
      <c r="CM62" s="28"/>
    </row>
    <row r="63" spans="2:91" ht="14.25" x14ac:dyDescent="0.25">
      <c r="B63" s="55"/>
      <c r="C63" s="10" t="s">
        <v>101</v>
      </c>
      <c r="D63" s="93" t="s">
        <v>32</v>
      </c>
      <c r="E63" s="125">
        <f t="shared" ref="E63:AJ63" si="153">0.00013*E62*E12</f>
        <v>0.14787499999999998</v>
      </c>
      <c r="F63" s="72">
        <f t="shared" si="153"/>
        <v>0.24716249999999998</v>
      </c>
      <c r="G63" s="73">
        <f t="shared" si="153"/>
        <v>0.18151249999999999</v>
      </c>
      <c r="H63" s="73">
        <f t="shared" si="153"/>
        <v>0.19073437499999998</v>
      </c>
      <c r="I63" s="74">
        <f t="shared" si="153"/>
        <v>0.17935937499999999</v>
      </c>
      <c r="J63" s="96">
        <f t="shared" si="153"/>
        <v>2.8437499999999998E-2</v>
      </c>
      <c r="K63" s="97" t="e">
        <f t="shared" si="153"/>
        <v>#DIV/0!</v>
      </c>
      <c r="L63" s="97">
        <f t="shared" si="153"/>
        <v>0.15654166666666663</v>
      </c>
      <c r="M63" s="98">
        <f t="shared" si="153"/>
        <v>0.14787499999999998</v>
      </c>
      <c r="N63" s="168">
        <f t="shared" si="153"/>
        <v>0.17692187499999998</v>
      </c>
      <c r="O63" s="171">
        <f t="shared" si="153"/>
        <v>0.29859374999999999</v>
      </c>
      <c r="P63" s="171">
        <f t="shared" si="153"/>
        <v>0.13771875</v>
      </c>
      <c r="Q63" s="169">
        <f t="shared" si="153"/>
        <v>0.22810937499999998</v>
      </c>
      <c r="R63" s="168">
        <f t="shared" si="153"/>
        <v>3.8999999999999993E-2</v>
      </c>
      <c r="S63" s="171" t="e">
        <f t="shared" si="153"/>
        <v>#DIV/0!</v>
      </c>
      <c r="T63" s="171">
        <f t="shared" si="153"/>
        <v>0.87424999999999986</v>
      </c>
      <c r="U63" s="169">
        <f t="shared" si="153"/>
        <v>0.81087500000000001</v>
      </c>
      <c r="V63" s="168">
        <f t="shared" si="153"/>
        <v>6.7166666666666666E-2</v>
      </c>
      <c r="W63" s="171" t="e">
        <f t="shared" si="153"/>
        <v>#DIV/0!</v>
      </c>
      <c r="X63" s="171">
        <f t="shared" si="153"/>
        <v>0.26758333333333328</v>
      </c>
      <c r="Y63" s="169">
        <f t="shared" si="153"/>
        <v>0.30956249999999996</v>
      </c>
      <c r="Z63" s="168">
        <f t="shared" si="153"/>
        <v>0.10237499999999999</v>
      </c>
      <c r="AA63" s="171" t="e">
        <f t="shared" si="153"/>
        <v>#DIV/0!</v>
      </c>
      <c r="AB63" s="171">
        <f t="shared" si="153"/>
        <v>0.2115208333333333</v>
      </c>
      <c r="AC63" s="169">
        <f t="shared" si="153"/>
        <v>0.17631249999999998</v>
      </c>
      <c r="AD63" s="168">
        <f t="shared" si="153"/>
        <v>2.5187499999999998E-2</v>
      </c>
      <c r="AE63" s="171" t="e">
        <f t="shared" si="153"/>
        <v>#DIV/0!</v>
      </c>
      <c r="AF63" s="171">
        <f t="shared" si="153"/>
        <v>0.26121875</v>
      </c>
      <c r="AG63" s="169">
        <f t="shared" si="153"/>
        <v>0.25309374999999995</v>
      </c>
      <c r="AH63" s="168">
        <f t="shared" si="153"/>
        <v>0.17753124999999997</v>
      </c>
      <c r="AI63" s="171">
        <f t="shared" si="153"/>
        <v>0.37618749999999995</v>
      </c>
      <c r="AJ63" s="171">
        <f t="shared" si="153"/>
        <v>0.17820833333333333</v>
      </c>
      <c r="AK63" s="169">
        <f t="shared" ref="AK63:BP63" si="154">0.00013*AK62*AK12</f>
        <v>8.8020833333333326E-2</v>
      </c>
      <c r="AL63" s="168" t="e">
        <f t="shared" si="154"/>
        <v>#DIV/0!</v>
      </c>
      <c r="AM63" s="171" t="e">
        <f t="shared" si="154"/>
        <v>#DIV/0!</v>
      </c>
      <c r="AN63" s="171" t="e">
        <f t="shared" si="154"/>
        <v>#DIV/0!</v>
      </c>
      <c r="AO63" s="169" t="e">
        <f t="shared" si="154"/>
        <v>#DIV/0!</v>
      </c>
      <c r="AP63" s="168" t="e">
        <f t="shared" si="154"/>
        <v>#DIV/0!</v>
      </c>
      <c r="AQ63" s="171" t="e">
        <f t="shared" si="154"/>
        <v>#DIV/0!</v>
      </c>
      <c r="AR63" s="171" t="e">
        <f t="shared" si="154"/>
        <v>#DIV/0!</v>
      </c>
      <c r="AS63" s="169" t="e">
        <f t="shared" si="154"/>
        <v>#DIV/0!</v>
      </c>
      <c r="AT63" s="168" t="e">
        <f t="shared" si="154"/>
        <v>#DIV/0!</v>
      </c>
      <c r="AU63" s="171" t="e">
        <f t="shared" si="154"/>
        <v>#DIV/0!</v>
      </c>
      <c r="AV63" s="171" t="e">
        <f t="shared" si="154"/>
        <v>#DIV/0!</v>
      </c>
      <c r="AW63" s="169" t="e">
        <f t="shared" si="154"/>
        <v>#DIV/0!</v>
      </c>
      <c r="AX63" s="168" t="e">
        <f t="shared" si="154"/>
        <v>#DIV/0!</v>
      </c>
      <c r="AY63" s="171" t="e">
        <f t="shared" si="154"/>
        <v>#DIV/0!</v>
      </c>
      <c r="AZ63" s="171" t="e">
        <f t="shared" si="154"/>
        <v>#DIV/0!</v>
      </c>
      <c r="BA63" s="169" t="e">
        <f t="shared" si="154"/>
        <v>#DIV/0!</v>
      </c>
      <c r="BB63" s="168" t="e">
        <f t="shared" si="154"/>
        <v>#DIV/0!</v>
      </c>
      <c r="BC63" s="171" t="e">
        <f t="shared" si="154"/>
        <v>#DIV/0!</v>
      </c>
      <c r="BD63" s="171" t="e">
        <f t="shared" si="154"/>
        <v>#DIV/0!</v>
      </c>
      <c r="BE63" s="169" t="e">
        <f t="shared" si="154"/>
        <v>#DIV/0!</v>
      </c>
      <c r="BF63" s="168" t="e">
        <f t="shared" si="154"/>
        <v>#DIV/0!</v>
      </c>
      <c r="BG63" s="171" t="e">
        <f t="shared" si="154"/>
        <v>#DIV/0!</v>
      </c>
      <c r="BH63" s="171" t="e">
        <f t="shared" si="154"/>
        <v>#DIV/0!</v>
      </c>
      <c r="BI63" s="169" t="e">
        <f t="shared" si="154"/>
        <v>#DIV/0!</v>
      </c>
      <c r="BJ63" s="168" t="e">
        <f t="shared" si="154"/>
        <v>#DIV/0!</v>
      </c>
      <c r="BK63" s="171" t="e">
        <f t="shared" si="154"/>
        <v>#DIV/0!</v>
      </c>
      <c r="BL63" s="171" t="e">
        <f t="shared" si="154"/>
        <v>#DIV/0!</v>
      </c>
      <c r="BM63" s="169" t="e">
        <f t="shared" si="154"/>
        <v>#DIV/0!</v>
      </c>
      <c r="BN63" s="168" t="e">
        <f t="shared" si="154"/>
        <v>#DIV/0!</v>
      </c>
      <c r="BO63" s="171" t="e">
        <f t="shared" si="154"/>
        <v>#DIV/0!</v>
      </c>
      <c r="BP63" s="171" t="e">
        <f t="shared" si="154"/>
        <v>#DIV/0!</v>
      </c>
      <c r="BQ63" s="169" t="e">
        <f t="shared" ref="BQ63:CK63" si="155">0.00013*BQ62*BQ12</f>
        <v>#DIV/0!</v>
      </c>
      <c r="BR63" s="168" t="e">
        <f t="shared" si="155"/>
        <v>#DIV/0!</v>
      </c>
      <c r="BS63" s="171" t="e">
        <f t="shared" si="155"/>
        <v>#DIV/0!</v>
      </c>
      <c r="BT63" s="171" t="e">
        <f t="shared" si="155"/>
        <v>#DIV/0!</v>
      </c>
      <c r="BU63" s="169" t="e">
        <f t="shared" si="155"/>
        <v>#DIV/0!</v>
      </c>
      <c r="BV63" s="168" t="e">
        <f t="shared" si="155"/>
        <v>#DIV/0!</v>
      </c>
      <c r="BW63" s="171" t="e">
        <f t="shared" si="155"/>
        <v>#DIV/0!</v>
      </c>
      <c r="BX63" s="171" t="e">
        <f t="shared" si="155"/>
        <v>#DIV/0!</v>
      </c>
      <c r="BY63" s="169" t="e">
        <f t="shared" si="155"/>
        <v>#DIV/0!</v>
      </c>
      <c r="BZ63" s="168" t="e">
        <f t="shared" si="155"/>
        <v>#DIV/0!</v>
      </c>
      <c r="CA63" s="171" t="e">
        <f t="shared" si="155"/>
        <v>#DIV/0!</v>
      </c>
      <c r="CB63" s="171" t="e">
        <f t="shared" si="155"/>
        <v>#DIV/0!</v>
      </c>
      <c r="CC63" s="169" t="e">
        <f t="shared" si="155"/>
        <v>#DIV/0!</v>
      </c>
      <c r="CD63" s="168" t="e">
        <f t="shared" si="155"/>
        <v>#DIV/0!</v>
      </c>
      <c r="CE63" s="171" t="e">
        <f t="shared" si="155"/>
        <v>#DIV/0!</v>
      </c>
      <c r="CF63" s="171" t="e">
        <f t="shared" si="155"/>
        <v>#DIV/0!</v>
      </c>
      <c r="CG63" s="169" t="e">
        <f t="shared" si="155"/>
        <v>#DIV/0!</v>
      </c>
      <c r="CH63" s="168" t="e">
        <f t="shared" si="155"/>
        <v>#DIV/0!</v>
      </c>
      <c r="CI63" s="171" t="e">
        <f t="shared" si="155"/>
        <v>#DIV/0!</v>
      </c>
      <c r="CJ63" s="171" t="e">
        <f t="shared" si="155"/>
        <v>#DIV/0!</v>
      </c>
      <c r="CK63" s="169" t="e">
        <f t="shared" si="155"/>
        <v>#DIV/0!</v>
      </c>
      <c r="CL63" s="49"/>
      <c r="CM63" s="28"/>
    </row>
    <row r="64" spans="2:91" ht="14.25" x14ac:dyDescent="0.25">
      <c r="B64" s="55"/>
      <c r="C64" s="10" t="s">
        <v>102</v>
      </c>
      <c r="D64" s="93" t="s">
        <v>33</v>
      </c>
      <c r="E64" s="125">
        <f t="shared" ref="E64:AJ64" si="156">0.00569*SUM(E18:E19)/4-E25*(0.0027*E62-0.1946)</f>
        <v>1.2802499999999999E-3</v>
      </c>
      <c r="F64" s="72">
        <f t="shared" si="156"/>
        <v>9.729900000000001E-2</v>
      </c>
      <c r="G64" s="73">
        <f t="shared" si="156"/>
        <v>3.3286499999999997E-2</v>
      </c>
      <c r="H64" s="73">
        <f t="shared" si="156"/>
        <v>0.15021599999999999</v>
      </c>
      <c r="I64" s="74">
        <f t="shared" si="156"/>
        <v>0.10242</v>
      </c>
      <c r="J64" s="96">
        <f t="shared" si="156"/>
        <v>3.4566749999999993E-2</v>
      </c>
      <c r="K64" s="97" t="e">
        <f t="shared" si="156"/>
        <v>#DIV/0!</v>
      </c>
      <c r="L64" s="97">
        <f t="shared" si="156"/>
        <v>6.4012499999999998E-3</v>
      </c>
      <c r="M64" s="98">
        <f t="shared" si="156"/>
        <v>8.5349999999999992E-3</v>
      </c>
      <c r="N64" s="168">
        <f t="shared" si="156"/>
        <v>5.1209999999999999E-2</v>
      </c>
      <c r="O64" s="171">
        <f t="shared" si="156"/>
        <v>0.32006249999999997</v>
      </c>
      <c r="P64" s="171">
        <f t="shared" si="156"/>
        <v>8.7483749999999985E-2</v>
      </c>
      <c r="Q64" s="169">
        <f t="shared" si="156"/>
        <v>0.12503775</v>
      </c>
      <c r="R64" s="168">
        <f t="shared" si="156"/>
        <v>7.4254499999999987E-2</v>
      </c>
      <c r="S64" s="171" t="e">
        <f t="shared" si="156"/>
        <v>#DIV/0!</v>
      </c>
      <c r="T64" s="171">
        <f t="shared" si="156"/>
        <v>0</v>
      </c>
      <c r="U64" s="169">
        <f t="shared" si="156"/>
        <v>7.6814999999999991E-3</v>
      </c>
      <c r="V64" s="168">
        <f t="shared" si="156"/>
        <v>8.0228999999999995E-2</v>
      </c>
      <c r="W64" s="171" t="e">
        <f t="shared" si="156"/>
        <v>#DIV/0!</v>
      </c>
      <c r="X64" s="171">
        <f t="shared" si="156"/>
        <v>6.1451999999999993E-2</v>
      </c>
      <c r="Y64" s="169">
        <f t="shared" si="156"/>
        <v>7.6814999999999991E-3</v>
      </c>
      <c r="Z64" s="168">
        <f t="shared" si="156"/>
        <v>0.10754099999999998</v>
      </c>
      <c r="AA64" s="171" t="e">
        <f t="shared" si="156"/>
        <v>#DIV/0!</v>
      </c>
      <c r="AB64" s="171">
        <f t="shared" si="156"/>
        <v>3.7127249999999994E-2</v>
      </c>
      <c r="AC64" s="169">
        <f t="shared" si="156"/>
        <v>1.4509499999999998E-2</v>
      </c>
      <c r="AD64" s="168">
        <f t="shared" si="156"/>
        <v>1.9203749999999999E-2</v>
      </c>
      <c r="AE64" s="171" t="e">
        <f t="shared" si="156"/>
        <v>#DIV/0!</v>
      </c>
      <c r="AF64" s="171">
        <f t="shared" si="156"/>
        <v>1.0241999999999999E-2</v>
      </c>
      <c r="AG64" s="169">
        <f t="shared" si="156"/>
        <v>8.5349999999999992E-3</v>
      </c>
      <c r="AH64" s="168">
        <f t="shared" si="156"/>
        <v>1.7069999999999998E-2</v>
      </c>
      <c r="AI64" s="171">
        <f t="shared" si="156"/>
        <v>0.15917775000000001</v>
      </c>
      <c r="AJ64" s="171">
        <f t="shared" si="156"/>
        <v>0.21764249999999996</v>
      </c>
      <c r="AK64" s="169">
        <f t="shared" ref="AK64:BP64" si="157">0.00569*SUM(AK18:AK19)/4-AK25*(0.0027*AK62-0.1946)</f>
        <v>1.3656E-2</v>
      </c>
      <c r="AL64" s="168" t="e">
        <f t="shared" si="157"/>
        <v>#DIV/0!</v>
      </c>
      <c r="AM64" s="171" t="e">
        <f t="shared" si="157"/>
        <v>#DIV/0!</v>
      </c>
      <c r="AN64" s="171" t="e">
        <f t="shared" si="157"/>
        <v>#DIV/0!</v>
      </c>
      <c r="AO64" s="169" t="e">
        <f t="shared" si="157"/>
        <v>#DIV/0!</v>
      </c>
      <c r="AP64" s="168" t="e">
        <f t="shared" si="157"/>
        <v>#DIV/0!</v>
      </c>
      <c r="AQ64" s="171" t="e">
        <f t="shared" si="157"/>
        <v>#DIV/0!</v>
      </c>
      <c r="AR64" s="171" t="e">
        <f t="shared" si="157"/>
        <v>#DIV/0!</v>
      </c>
      <c r="AS64" s="169" t="e">
        <f t="shared" si="157"/>
        <v>#DIV/0!</v>
      </c>
      <c r="AT64" s="168" t="e">
        <f t="shared" si="157"/>
        <v>#DIV/0!</v>
      </c>
      <c r="AU64" s="171" t="e">
        <f t="shared" si="157"/>
        <v>#DIV/0!</v>
      </c>
      <c r="AV64" s="171" t="e">
        <f t="shared" si="157"/>
        <v>#DIV/0!</v>
      </c>
      <c r="AW64" s="169" t="e">
        <f t="shared" si="157"/>
        <v>#DIV/0!</v>
      </c>
      <c r="AX64" s="168" t="e">
        <f t="shared" si="157"/>
        <v>#DIV/0!</v>
      </c>
      <c r="AY64" s="171" t="e">
        <f t="shared" si="157"/>
        <v>#DIV/0!</v>
      </c>
      <c r="AZ64" s="171" t="e">
        <f t="shared" si="157"/>
        <v>#DIV/0!</v>
      </c>
      <c r="BA64" s="169" t="e">
        <f t="shared" si="157"/>
        <v>#DIV/0!</v>
      </c>
      <c r="BB64" s="168" t="e">
        <f t="shared" si="157"/>
        <v>#DIV/0!</v>
      </c>
      <c r="BC64" s="171" t="e">
        <f t="shared" si="157"/>
        <v>#DIV/0!</v>
      </c>
      <c r="BD64" s="171" t="e">
        <f t="shared" si="157"/>
        <v>#DIV/0!</v>
      </c>
      <c r="BE64" s="169" t="e">
        <f t="shared" si="157"/>
        <v>#DIV/0!</v>
      </c>
      <c r="BF64" s="168" t="e">
        <f t="shared" si="157"/>
        <v>#DIV/0!</v>
      </c>
      <c r="BG64" s="171" t="e">
        <f t="shared" si="157"/>
        <v>#DIV/0!</v>
      </c>
      <c r="BH64" s="171" t="e">
        <f t="shared" si="157"/>
        <v>#DIV/0!</v>
      </c>
      <c r="BI64" s="169" t="e">
        <f t="shared" si="157"/>
        <v>#DIV/0!</v>
      </c>
      <c r="BJ64" s="168" t="e">
        <f t="shared" si="157"/>
        <v>#DIV/0!</v>
      </c>
      <c r="BK64" s="171" t="e">
        <f t="shared" si="157"/>
        <v>#DIV/0!</v>
      </c>
      <c r="BL64" s="171" t="e">
        <f t="shared" si="157"/>
        <v>#DIV/0!</v>
      </c>
      <c r="BM64" s="169" t="e">
        <f t="shared" si="157"/>
        <v>#DIV/0!</v>
      </c>
      <c r="BN64" s="168" t="e">
        <f t="shared" si="157"/>
        <v>#DIV/0!</v>
      </c>
      <c r="BO64" s="171" t="e">
        <f t="shared" si="157"/>
        <v>#DIV/0!</v>
      </c>
      <c r="BP64" s="171" t="e">
        <f t="shared" si="157"/>
        <v>#DIV/0!</v>
      </c>
      <c r="BQ64" s="169" t="e">
        <f t="shared" ref="BQ64:CK64" si="158">0.00569*SUM(BQ18:BQ19)/4-BQ25*(0.0027*BQ62-0.1946)</f>
        <v>#DIV/0!</v>
      </c>
      <c r="BR64" s="168" t="e">
        <f t="shared" si="158"/>
        <v>#DIV/0!</v>
      </c>
      <c r="BS64" s="171" t="e">
        <f t="shared" si="158"/>
        <v>#DIV/0!</v>
      </c>
      <c r="BT64" s="171" t="e">
        <f t="shared" si="158"/>
        <v>#DIV/0!</v>
      </c>
      <c r="BU64" s="169" t="e">
        <f t="shared" si="158"/>
        <v>#DIV/0!</v>
      </c>
      <c r="BV64" s="168" t="e">
        <f t="shared" si="158"/>
        <v>#DIV/0!</v>
      </c>
      <c r="BW64" s="171" t="e">
        <f t="shared" si="158"/>
        <v>#DIV/0!</v>
      </c>
      <c r="BX64" s="171" t="e">
        <f t="shared" si="158"/>
        <v>#DIV/0!</v>
      </c>
      <c r="BY64" s="169" t="e">
        <f t="shared" si="158"/>
        <v>#DIV/0!</v>
      </c>
      <c r="BZ64" s="168" t="e">
        <f t="shared" si="158"/>
        <v>#DIV/0!</v>
      </c>
      <c r="CA64" s="171" t="e">
        <f t="shared" si="158"/>
        <v>#DIV/0!</v>
      </c>
      <c r="CB64" s="171" t="e">
        <f t="shared" si="158"/>
        <v>#DIV/0!</v>
      </c>
      <c r="CC64" s="169" t="e">
        <f t="shared" si="158"/>
        <v>#DIV/0!</v>
      </c>
      <c r="CD64" s="168" t="e">
        <f t="shared" si="158"/>
        <v>#DIV/0!</v>
      </c>
      <c r="CE64" s="171" t="e">
        <f t="shared" si="158"/>
        <v>#DIV/0!</v>
      </c>
      <c r="CF64" s="171" t="e">
        <f t="shared" si="158"/>
        <v>#DIV/0!</v>
      </c>
      <c r="CG64" s="169" t="e">
        <f t="shared" si="158"/>
        <v>#DIV/0!</v>
      </c>
      <c r="CH64" s="168" t="e">
        <f t="shared" si="158"/>
        <v>#DIV/0!</v>
      </c>
      <c r="CI64" s="171" t="e">
        <f t="shared" si="158"/>
        <v>#DIV/0!</v>
      </c>
      <c r="CJ64" s="171" t="e">
        <f t="shared" si="158"/>
        <v>#DIV/0!</v>
      </c>
      <c r="CK64" s="169" t="e">
        <f t="shared" si="158"/>
        <v>#DIV/0!</v>
      </c>
      <c r="CL64" s="49"/>
      <c r="CM64" s="28"/>
    </row>
    <row r="65" spans="2:91" ht="14.25" x14ac:dyDescent="0.25">
      <c r="B65" s="55"/>
      <c r="C65" s="10" t="s">
        <v>163</v>
      </c>
      <c r="D65" s="93" t="s">
        <v>212</v>
      </c>
      <c r="E65" s="127">
        <f t="shared" ref="E65:AG65" si="159">E29+4</f>
        <v>49</v>
      </c>
      <c r="F65" s="42">
        <f t="shared" si="159"/>
        <v>35.700000000000003</v>
      </c>
      <c r="G65" s="45">
        <f t="shared" si="159"/>
        <v>35.700000000000003</v>
      </c>
      <c r="H65" s="45">
        <f t="shared" si="159"/>
        <v>35.1</v>
      </c>
      <c r="I65" s="94">
        <f t="shared" si="159"/>
        <v>35.1</v>
      </c>
      <c r="J65" s="100">
        <f t="shared" si="159"/>
        <v>4</v>
      </c>
      <c r="K65" s="101">
        <f t="shared" si="159"/>
        <v>4</v>
      </c>
      <c r="L65" s="101">
        <f t="shared" si="159"/>
        <v>4</v>
      </c>
      <c r="M65" s="102">
        <f t="shared" si="159"/>
        <v>4</v>
      </c>
      <c r="N65" s="172">
        <f t="shared" si="159"/>
        <v>28</v>
      </c>
      <c r="O65" s="173">
        <f t="shared" si="159"/>
        <v>28</v>
      </c>
      <c r="P65" s="173">
        <f t="shared" si="159"/>
        <v>33</v>
      </c>
      <c r="Q65" s="174">
        <f t="shared" si="159"/>
        <v>60</v>
      </c>
      <c r="R65" s="172">
        <f t="shared" si="159"/>
        <v>4</v>
      </c>
      <c r="S65" s="173">
        <f t="shared" si="159"/>
        <v>4</v>
      </c>
      <c r="T65" s="173">
        <f t="shared" si="159"/>
        <v>4</v>
      </c>
      <c r="U65" s="174">
        <f t="shared" si="159"/>
        <v>4</v>
      </c>
      <c r="V65" s="172">
        <f t="shared" si="159"/>
        <v>10</v>
      </c>
      <c r="W65" s="173">
        <f t="shared" si="159"/>
        <v>4</v>
      </c>
      <c r="X65" s="173">
        <f t="shared" si="159"/>
        <v>36</v>
      </c>
      <c r="Y65" s="174">
        <f t="shared" si="159"/>
        <v>23</v>
      </c>
      <c r="Z65" s="172">
        <f t="shared" si="159"/>
        <v>33</v>
      </c>
      <c r="AA65" s="173">
        <f t="shared" si="159"/>
        <v>4</v>
      </c>
      <c r="AB65" s="173">
        <f t="shared" si="159"/>
        <v>35</v>
      </c>
      <c r="AC65" s="174">
        <f t="shared" si="159"/>
        <v>22</v>
      </c>
      <c r="AD65" s="172">
        <f t="shared" si="159"/>
        <v>22</v>
      </c>
      <c r="AE65" s="173">
        <f t="shared" si="159"/>
        <v>4</v>
      </c>
      <c r="AF65" s="173">
        <f t="shared" si="159"/>
        <v>38</v>
      </c>
      <c r="AG65" s="174">
        <f t="shared" si="159"/>
        <v>38</v>
      </c>
      <c r="AH65" s="172">
        <f>AH28+4</f>
        <v>69</v>
      </c>
      <c r="AI65" s="173">
        <f>AI28+4</f>
        <v>69</v>
      </c>
      <c r="AJ65" s="173">
        <f>AJ28+4</f>
        <v>69</v>
      </c>
      <c r="AK65" s="174">
        <f>AK28+4</f>
        <v>69</v>
      </c>
      <c r="AL65" s="172">
        <f t="shared" ref="AL65:BP65" si="160">AL29+4</f>
        <v>4</v>
      </c>
      <c r="AM65" s="173">
        <f t="shared" si="160"/>
        <v>4</v>
      </c>
      <c r="AN65" s="173">
        <f t="shared" si="160"/>
        <v>4</v>
      </c>
      <c r="AO65" s="174">
        <f t="shared" si="160"/>
        <v>4</v>
      </c>
      <c r="AP65" s="172">
        <f t="shared" si="160"/>
        <v>4</v>
      </c>
      <c r="AQ65" s="173">
        <f t="shared" si="160"/>
        <v>4</v>
      </c>
      <c r="AR65" s="173">
        <f t="shared" si="160"/>
        <v>4</v>
      </c>
      <c r="AS65" s="174">
        <f t="shared" si="160"/>
        <v>4</v>
      </c>
      <c r="AT65" s="172">
        <f t="shared" si="160"/>
        <v>4</v>
      </c>
      <c r="AU65" s="173">
        <f t="shared" si="160"/>
        <v>4</v>
      </c>
      <c r="AV65" s="173">
        <f t="shared" si="160"/>
        <v>4</v>
      </c>
      <c r="AW65" s="174">
        <f t="shared" si="160"/>
        <v>4</v>
      </c>
      <c r="AX65" s="172">
        <f t="shared" si="160"/>
        <v>4</v>
      </c>
      <c r="AY65" s="173">
        <f t="shared" si="160"/>
        <v>4</v>
      </c>
      <c r="AZ65" s="173">
        <f t="shared" si="160"/>
        <v>4</v>
      </c>
      <c r="BA65" s="174">
        <f t="shared" si="160"/>
        <v>4</v>
      </c>
      <c r="BB65" s="172">
        <f t="shared" si="160"/>
        <v>4</v>
      </c>
      <c r="BC65" s="173">
        <f t="shared" si="160"/>
        <v>4</v>
      </c>
      <c r="BD65" s="173">
        <f t="shared" si="160"/>
        <v>4</v>
      </c>
      <c r="BE65" s="174">
        <f t="shared" si="160"/>
        <v>4</v>
      </c>
      <c r="BF65" s="172">
        <f t="shared" si="160"/>
        <v>4</v>
      </c>
      <c r="BG65" s="173">
        <f t="shared" si="160"/>
        <v>4</v>
      </c>
      <c r="BH65" s="173">
        <f t="shared" si="160"/>
        <v>4</v>
      </c>
      <c r="BI65" s="174">
        <f t="shared" si="160"/>
        <v>4</v>
      </c>
      <c r="BJ65" s="172">
        <f t="shared" si="160"/>
        <v>4</v>
      </c>
      <c r="BK65" s="173">
        <f t="shared" si="160"/>
        <v>4</v>
      </c>
      <c r="BL65" s="173">
        <f t="shared" si="160"/>
        <v>4</v>
      </c>
      <c r="BM65" s="174">
        <f t="shared" si="160"/>
        <v>4</v>
      </c>
      <c r="BN65" s="172">
        <f t="shared" si="160"/>
        <v>4</v>
      </c>
      <c r="BO65" s="173">
        <f t="shared" si="160"/>
        <v>4</v>
      </c>
      <c r="BP65" s="173">
        <f t="shared" si="160"/>
        <v>4</v>
      </c>
      <c r="BQ65" s="174">
        <f t="shared" ref="BQ65:CK65" si="161">BQ29+4</f>
        <v>4</v>
      </c>
      <c r="BR65" s="172">
        <f t="shared" si="161"/>
        <v>4</v>
      </c>
      <c r="BS65" s="173">
        <f t="shared" si="161"/>
        <v>4</v>
      </c>
      <c r="BT65" s="173">
        <f t="shared" si="161"/>
        <v>4</v>
      </c>
      <c r="BU65" s="174">
        <f t="shared" si="161"/>
        <v>4</v>
      </c>
      <c r="BV65" s="172">
        <f t="shared" si="161"/>
        <v>4</v>
      </c>
      <c r="BW65" s="173">
        <f t="shared" si="161"/>
        <v>4</v>
      </c>
      <c r="BX65" s="173">
        <f t="shared" si="161"/>
        <v>4</v>
      </c>
      <c r="BY65" s="174">
        <f t="shared" si="161"/>
        <v>4</v>
      </c>
      <c r="BZ65" s="172">
        <f t="shared" si="161"/>
        <v>4</v>
      </c>
      <c r="CA65" s="173">
        <f t="shared" si="161"/>
        <v>4</v>
      </c>
      <c r="CB65" s="173">
        <f t="shared" si="161"/>
        <v>4</v>
      </c>
      <c r="CC65" s="174">
        <f t="shared" si="161"/>
        <v>4</v>
      </c>
      <c r="CD65" s="172">
        <f t="shared" si="161"/>
        <v>4</v>
      </c>
      <c r="CE65" s="173">
        <f t="shared" si="161"/>
        <v>4</v>
      </c>
      <c r="CF65" s="173">
        <f t="shared" si="161"/>
        <v>4</v>
      </c>
      <c r="CG65" s="174">
        <f t="shared" si="161"/>
        <v>4</v>
      </c>
      <c r="CH65" s="172">
        <f t="shared" si="161"/>
        <v>4</v>
      </c>
      <c r="CI65" s="173">
        <f t="shared" si="161"/>
        <v>4</v>
      </c>
      <c r="CJ65" s="173">
        <f t="shared" si="161"/>
        <v>4</v>
      </c>
      <c r="CK65" s="174">
        <f t="shared" si="161"/>
        <v>4</v>
      </c>
      <c r="CL65" s="49"/>
      <c r="CM65" s="28"/>
    </row>
    <row r="66" spans="2:91" ht="14.25" x14ac:dyDescent="0.25">
      <c r="B66" s="55"/>
      <c r="C66" s="10" t="s">
        <v>165</v>
      </c>
      <c r="D66" s="93" t="s">
        <v>166</v>
      </c>
      <c r="E66" s="126" t="str">
        <f>IF(E44="Signalized",(E28-E65)^2/(2*E28),IF(E44="Free",PEDBIKE_DELAY(E52,E51,E31,E30,E40,E43,E38,E11,TRUE),IF(E44="Stop - Two way",1,IF(E44="Stop - All way",1,"Control N/A!"))))</f>
        <v>Control N/A!</v>
      </c>
      <c r="F66" s="13">
        <f>IF(F44="Signalized",(F28-F65)^2/(2*F28),IF(F44="Free",PEDBIKE_DELAY(F52,F51,F31,F30,F40,F43,F38,F11,TRUE),IF(F44="Stop - Two way",1,IF(F44="Stop - All way",1,"Control N/A!"))))</f>
        <v>16.380499999999998</v>
      </c>
      <c r="G66" s="44">
        <f>IF(G44="Signalized",(G28-G65)^2/(2*G28),IF(G44="Free",PEDBIKE_DELAY(G52,G51,G31,G30,G40,G43,G38,G11,TRUE),IF(G44="Stop - Two way",1,IF(G44="Stop - All way",1,"Control N/A!"))))</f>
        <v>16.380499999999998</v>
      </c>
      <c r="H66" s="44">
        <f>IF(H44="Signalized",(H28-H65)^2/(2*H28),IF(H44="Free",PEDBIKE_DELAY(H52,H51,H31,H30,H40,H43,H38,H11,TRUE),IF(H44="Stop - Two way",1,IF(H44="Stop - All way",1,"Control N/A!"))))</f>
        <v>16.744499999999999</v>
      </c>
      <c r="I66" s="14">
        <f>IF(I44="Signalized",(I28-I65)^2/(2*I28),IF(I44="Free",PEDBIKE_DELAY(I52,I51,I31,I30,I40,I43,I38,I11,TRUE),IF(I44="Stop - Two way",1,IF(I44="Stop - All way",1,"Control N/A!"))))</f>
        <v>16.744499999999999</v>
      </c>
      <c r="J66" s="13">
        <f>IF(J44="Signalized",(J28-J65)^2/(2*J28),IF(J44="Free",PEDBIKE_DELAY(J52,J51,J31,J30,J40,J43,J38,J11,TRUE),IF(J44="Stop - Two way",1,IF(J44="Stop - All way",1,"Control N/A!"))))</f>
        <v>1</v>
      </c>
      <c r="K66" s="44" t="str">
        <f>IF(K44="Signalized",(K28-K65)^2/(2*K28),IF(K44="Free",PEDBIKE_DELAY(K52,K51,K31,K30,K40,K43,K38,K11,TRUE),IF(K44="Stop - Two way",1,IF(K44="Stop - All way",1,"Control N/A!"))))</f>
        <v>Control N/A!</v>
      </c>
      <c r="L66" s="44">
        <f>IF(L44="Signalized",(L28-L65)^2/(2*L28),IF(L44="Free",PEDBIKE_DELAY(L52,L51,L31,L30,L40,L43,L38,L11,TRUE),IF(L44="Stop - Two way",1,IF(L44="Stop - All way",1,"Control N/A!"))))</f>
        <v>7.269146622607475</v>
      </c>
      <c r="M66" s="14">
        <f>IF(M44="Signalized",(M28-M65)^2/(2*M28),IF(M44="Free",PEDBIKE_DELAY(M52,M51,M31,M30,M40,M43,M38,M11,TRUE),IF(M44="Stop - Two way",1,IF(M44="Stop - All way",1,"Control N/A!"))))</f>
        <v>7.269146622607475</v>
      </c>
      <c r="N66" s="13">
        <f>IF(N44="Signalized",(N28-N65)^2/(2*N28),IF(N44="Free",PEDBIKE_DELAY(N52,N51,N31,N30,N40,N43,N38,N11,TRUE),IF(N44="Stop - Two way",1,IF(N44="Stop - All way",1,"Control N/A!"))))</f>
        <v>21.355555555555554</v>
      </c>
      <c r="O66" s="44">
        <f>IF(O44="Signalized",(O28-O65)^2/(2*O28),IF(O44="Free",PEDBIKE_DELAY(O52,O51,O31,O30,O40,O43,O38,O11,TRUE),IF(O44="Stop - Two way",1,IF(O44="Stop - All way",1,"Control N/A!"))))</f>
        <v>21.355555555555554</v>
      </c>
      <c r="P66" s="44">
        <f>IF(P44="Signalized",(P28-P65)^2/(2*P28),IF(P44="Free",PEDBIKE_DELAY(P52,P51,P31,P30,P40,P43,P38,P11,TRUE),IF(P44="Stop - Two way",1,IF(P44="Stop - All way",1,"Control N/A!"))))</f>
        <v>18.05</v>
      </c>
      <c r="Q66" s="14">
        <f>IF(Q44="Signalized",(Q28-Q65)^2/(2*Q28),IF(Q44="Free",PEDBIKE_DELAY(Q52,Q51,Q31,Q30,Q40,Q43,Q38,Q11,TRUE),IF(Q44="Stop - Two way",1,IF(Q44="Stop - All way",1,"Control N/A!"))))</f>
        <v>5</v>
      </c>
      <c r="R66" s="13">
        <f>IF(R44="Signalized",(R28-R65)^2/(2*R28),IF(R44="Free",PEDBIKE_DELAY(R52,R51,R31,R30,R40,R43,R38,R11,TRUE),IF(R44="Stop - Two way",1,IF(R44="Stop - All way",1,"Control N/A!"))))</f>
        <v>1</v>
      </c>
      <c r="S66" s="44" t="str">
        <f>IF(S44="Signalized",(S28-S65)^2/(2*S28),IF(S44="Free",PEDBIKE_DELAY(S52,S51,S31,S30,S40,S43,S38,S11,TRUE),IF(S44="Stop - Two way",1,IF(S44="Stop - All way",1,"Control N/A!"))))</f>
        <v>Control N/A!</v>
      </c>
      <c r="T66" s="44">
        <f>IF(T44="Signalized",(T28-T65)^2/(2*T28),IF(T44="Free",PEDBIKE_DELAY(T52,T51,T31,T30,T40,T43,T38,T11,TRUE),IF(T44="Stop - Two way",1,IF(T44="Stop - All way",1,"Control N/A!"))))</f>
        <v>7.8775249089167714</v>
      </c>
      <c r="U66" s="14">
        <f>IF(U44="Signalized",(U28-U65)^2/(2*U28),IF(U44="Free",PEDBIKE_DELAY(U52,U51,U31,U30,U40,U43,U38,U11,TRUE),IF(U44="Stop - Two way",1,IF(U44="Stop - All way",1,"Control N/A!"))))</f>
        <v>7.8775249089167714</v>
      </c>
      <c r="V66" s="13">
        <f>IF(V44="Signalized",(V28-V65)^2/(2*V28),IF(V44="Free",PEDBIKE_DELAY(V52,V51,V31,V30,V40,V43,V38,V11,TRUE),IF(V44="Stop - Two way",1,IF(V44="Stop - All way",1,"Control N/A!"))))</f>
        <v>25.224637681159422</v>
      </c>
      <c r="W66" s="44" t="str">
        <f>IF(W44="Signalized",(W28-W65)^2/(2*W28),IF(W44="Free",PEDBIKE_DELAY(W52,W51,W31,W30,W40,W43,W38,W11,TRUE),IF(W44="Stop - Two way",1,IF(W44="Stop - All way",1,"Control N/A!"))))</f>
        <v>Control N/A!</v>
      </c>
      <c r="X66" s="44">
        <f>IF(X44="Signalized",(X28-X65)^2/(2*X28),IF(X44="Free",PEDBIKE_DELAY(X52,X51,X31,X30,X40,X43,X38,X11,TRUE),IF(X44="Stop - Two way",1,IF(X44="Stop - All way",1,"Control N/A!"))))</f>
        <v>7.8913043478260869</v>
      </c>
      <c r="Y66" s="14">
        <f>IF(Y44="Signalized",(Y28-Y65)^2/(2*Y28),IF(Y44="Free",PEDBIKE_DELAY(Y52,Y51,Y31,Y30,Y40,Y43,Y38,Y11,TRUE),IF(Y44="Stop - Two way",1,IF(Y44="Stop - All way",1,"Control N/A!"))))</f>
        <v>15.333333333333334</v>
      </c>
      <c r="Z66" s="13">
        <f>IF(Z44="Signalized",(Z28-Z65)^2/(2*Z28),IF(Z44="Free",PEDBIKE_DELAY(Z52,Z51,Z31,Z30,Z40,Z43,Z38,Z11,TRUE),IF(Z44="Stop - Two way",1,IF(Z44="Stop - All way",1,"Control N/A!"))))</f>
        <v>11.76</v>
      </c>
      <c r="AA66" s="44" t="str">
        <f>IF(AA44="Signalized",(AA28-AA65)^2/(2*AA28),IF(AA44="Free",PEDBIKE_DELAY(AA52,AA51,AA31,AA30,AA40,AA43,AA38,AA11,TRUE),IF(AA44="Stop - Two way",1,IF(AA44="Stop - All way",1,"Control N/A!"))))</f>
        <v>Control N/A!</v>
      </c>
      <c r="AB66" s="44">
        <f>IF(AB44="Signalized",(AB28-AB65)^2/(2*AB28),IF(AB44="Free",PEDBIKE_DELAY(AB52,AB51,AB31,AB30,AB40,AB43,AB38,AB11,TRUE),IF(AB44="Stop - Two way",1,IF(AB44="Stop - All way",1,"Control N/A!"))))</f>
        <v>10.666666666666666</v>
      </c>
      <c r="AC66" s="14">
        <f>IF(AC44="Signalized",(AC28-AC65)^2/(2*AC28),IF(AC44="Free",PEDBIKE_DELAY(AC52,AC51,AC31,AC30,AC40,AC43,AC38,AC11,TRUE),IF(AC44="Stop - Two way",1,IF(AC44="Stop - All way",1,"Control N/A!"))))</f>
        <v>18.726666666666667</v>
      </c>
      <c r="AD66" s="13">
        <f>IF(AD44="Signalized",(AD28-AD65)^2/(2*AD28),IF(AD44="Free",PEDBIKE_DELAY(AD52,AD51,AD31,AD30,AD40,AD43,AD38,AD11,TRUE),IF(AD44="Stop - Two way",1,IF(AD44="Stop - All way",1,"Control N/A!"))))</f>
        <v>12.033333333333333</v>
      </c>
      <c r="AE66" s="44" t="str">
        <f>IF(AE44="Signalized",(AE28-AE65)^2/(2*AE28),IF(AE44="Free",PEDBIKE_DELAY(AE52,AE51,AE31,AE30,AE40,AE43,AE38,AE11,TRUE),IF(AE44="Stop - Two way",1,IF(AE44="Stop - All way",1,"Control N/A!"))))</f>
        <v>Control N/A!</v>
      </c>
      <c r="AF66" s="44">
        <f>IF(AF44="Signalized",(AF28-AF65)^2/(2*AF28),IF(AF44="Free",PEDBIKE_DELAY(AF52,AF51,AF31,AF30,AF40,AF43,AF38,AF11,TRUE),IF(AF44="Stop - Two way",1,IF(AF44="Stop - All way",1,"Control N/A!"))))</f>
        <v>4.0333333333333332</v>
      </c>
      <c r="AG66" s="14">
        <f>IF(AG44="Signalized",(AG28-AG65)^2/(2*AG28),IF(AG44="Free",PEDBIKE_DELAY(AG52,AG51,AG31,AG30,AG40,AG43,AG38,AG11,TRUE),IF(AG44="Stop - Two way",1,IF(AG44="Stop - All way",1,"Control N/A!"))))</f>
        <v>4.0333333333333332</v>
      </c>
      <c r="AH66" s="14">
        <f>IF(AH44="Signalized",(AH28-AH65)^2/(2*AH28),IF(AH44="Free",PEDBIKE_DELAY(AH52,AH51,AH31,AH30,AH40,AH43,AH38,AH11,TRUE),IF(AH44="Stop - Two way",1,IF(AH44="Stop - All way",1,"Control N/A!"))))</f>
        <v>0.12307692307692308</v>
      </c>
      <c r="AI66" s="14">
        <f>IF(AI44="Signalized",(AI28-AI65)^2/(2*AI28),IF(AI44="Free",PEDBIKE_DELAY(AI52,AI51,AI31,AI30,AI40,AI43,AI38,AI11,TRUE),IF(AI44="Stop - Two way",1,IF(AI44="Stop - All way",1,"Control N/A!"))))</f>
        <v>0.12307692307692308</v>
      </c>
      <c r="AJ66" s="14">
        <f>IF(AJ44="Signalized",(AJ28-AJ65)^2/(2*AJ28),IF(AJ44="Free",PEDBIKE_DELAY(AJ52,AJ51,AJ31,AJ30,AJ40,AJ43,AJ38,AJ11,TRUE),IF(AJ44="Stop - Two way",1,IF(AJ44="Stop - All way",1,"Control N/A!"))))</f>
        <v>0.12307692307692308</v>
      </c>
      <c r="AK66" s="14">
        <f>IF(AK44="Signalized",(AK28-AK65)^2/(2*AK28),IF(AK44="Free",PEDBIKE_DELAY(AK52,AK51,AK31,AK30,AK40,AK43,AK38,AK11,TRUE),IF(AK44="Stop - Two way",1,IF(AK44="Stop - All way",1,"Control N/A!"))))</f>
        <v>0.12307692307692308</v>
      </c>
      <c r="AL66" s="13" t="str">
        <f>IF(AL44="Signalized",(AL28-AL65)^2/(2*AL28),IF(AL44="Free",PEDBIKE_DELAY(AL52,AL51,AL31,AL30,AL40,AL43,AL38,AL11,TRUE),IF(AL44="Stop - Two way",1,IF(AL44="Stop - All way",1,"Control N/A!"))))</f>
        <v>Control N/A!</v>
      </c>
      <c r="AM66" s="44" t="str">
        <f>IF(AM44="Signalized",(AM28-AM65)^2/(2*AM28),IF(AM44="Free",PEDBIKE_DELAY(AM52,AM51,AM31,AM30,AM40,AM43,AM38,AM11,TRUE),IF(AM44="Stop - Two way",1,IF(AM44="Stop - All way",1,"Control N/A!"))))</f>
        <v>Control N/A!</v>
      </c>
      <c r="AN66" s="44" t="str">
        <f>IF(AN44="Signalized",(AN28-AN65)^2/(2*AN28),IF(AN44="Free",PEDBIKE_DELAY(AN52,AN51,AN31,AN30,AN40,AN43,AN38,AN11,TRUE),IF(AN44="Stop - Two way",1,IF(AN44="Stop - All way",1,"Control N/A!"))))</f>
        <v>Control N/A!</v>
      </c>
      <c r="AO66" s="14" t="str">
        <f>IF(AO44="Signalized",(AO28-AO65)^2/(2*AO28),IF(AO44="Free",PEDBIKE_DELAY(AO52,AO51,AO31,AO30,AO40,AO43,AO38,AO11,TRUE),IF(AO44="Stop - Two way",1,IF(AO44="Stop - All way",1,"Control N/A!"))))</f>
        <v>Control N/A!</v>
      </c>
      <c r="AP66" s="13" t="str">
        <f>IF(AP44="Signalized",(AP28-AP65)^2/(2*AP28),IF(AP44="Free",PEDBIKE_DELAY(AP52,AP51,AP31,AP30,AP40,AP43,AP38,AP11,TRUE),IF(AP44="Stop - Two way",1,IF(AP44="Stop - All way",1,"Control N/A!"))))</f>
        <v>Control N/A!</v>
      </c>
      <c r="AQ66" s="44" t="str">
        <f>IF(AQ44="Signalized",(AQ28-AQ65)^2/(2*AQ28),IF(AQ44="Free",PEDBIKE_DELAY(AQ52,AQ51,AQ31,AQ30,AQ40,AQ43,AQ38,AQ11,TRUE),IF(AQ44="Stop - Two way",1,IF(AQ44="Stop - All way",1,"Control N/A!"))))</f>
        <v>Control N/A!</v>
      </c>
      <c r="AR66" s="44" t="str">
        <f>IF(AR44="Signalized",(AR28-AR65)^2/(2*AR28),IF(AR44="Free",PEDBIKE_DELAY(AR52,AR51,AR31,AR30,AR40,AR43,AR38,AR11,TRUE),IF(AR44="Stop - Two way",1,IF(AR44="Stop - All way",1,"Control N/A!"))))</f>
        <v>Control N/A!</v>
      </c>
      <c r="AS66" s="14" t="str">
        <f>IF(AS44="Signalized",(AS28-AS65)^2/(2*AS28),IF(AS44="Free",PEDBIKE_DELAY(AS52,AS51,AS31,AS30,AS40,AS43,AS38,AS11,TRUE),IF(AS44="Stop - Two way",1,IF(AS44="Stop - All way",1,"Control N/A!"))))</f>
        <v>Control N/A!</v>
      </c>
      <c r="AT66" s="13" t="str">
        <f>IF(AT44="Signalized",(AT28-AT65)^2/(2*AT28),IF(AT44="Free",PEDBIKE_DELAY(AT52,AT51,AT31,AT30,AT40,AT43,AT38,AT11,TRUE),IF(AT44="Stop - Two way",1,IF(AT44="Stop - All way",1,"Control N/A!"))))</f>
        <v>Control N/A!</v>
      </c>
      <c r="AU66" s="44" t="str">
        <f>IF(AU44="Signalized",(AU28-AU65)^2/(2*AU28),IF(AU44="Free",PEDBIKE_DELAY(AU52,AU51,AU31,AU30,AU40,AU43,AU38,AU11,TRUE),IF(AU44="Stop - Two way",1,IF(AU44="Stop - All way",1,"Control N/A!"))))</f>
        <v>Control N/A!</v>
      </c>
      <c r="AV66" s="44" t="str">
        <f>IF(AV44="Signalized",(AV28-AV65)^2/(2*AV28),IF(AV44="Free",PEDBIKE_DELAY(AV52,AV51,AV31,AV30,AV40,AV43,AV38,AV11,TRUE),IF(AV44="Stop - Two way",1,IF(AV44="Stop - All way",1,"Control N/A!"))))</f>
        <v>Control N/A!</v>
      </c>
      <c r="AW66" s="14" t="str">
        <f>IF(AW44="Signalized",(AW28-AW65)^2/(2*AW28),IF(AW44="Free",PEDBIKE_DELAY(AW52,AW51,AW31,AW30,AW40,AW43,AW38,AW11,TRUE),IF(AW44="Stop - Two way",1,IF(AW44="Stop - All way",1,"Control N/A!"))))</f>
        <v>Control N/A!</v>
      </c>
      <c r="AX66" s="13" t="str">
        <f>IF(AX44="Signalized",(AX28-AX65)^2/(2*AX28),IF(AX44="Free",PEDBIKE_DELAY(AX52,AX51,AX31,AX30,AX40,AX43,AX38,AX11,TRUE),IF(AX44="Stop - Two way",1,IF(AX44="Stop - All way",1,"Control N/A!"))))</f>
        <v>Control N/A!</v>
      </c>
      <c r="AY66" s="44" t="str">
        <f>IF(AY44="Signalized",(AY28-AY65)^2/(2*AY28),IF(AY44="Free",PEDBIKE_DELAY(AY52,AY51,AY31,AY30,AY40,AY43,AY38,AY11,TRUE),IF(AY44="Stop - Two way",1,IF(AY44="Stop - All way",1,"Control N/A!"))))</f>
        <v>Control N/A!</v>
      </c>
      <c r="AZ66" s="44" t="str">
        <f>IF(AZ44="Signalized",(AZ28-AZ65)^2/(2*AZ28),IF(AZ44="Free",PEDBIKE_DELAY(AZ52,AZ51,AZ31,AZ30,AZ40,AZ43,AZ38,AZ11,TRUE),IF(AZ44="Stop - Two way",1,IF(AZ44="Stop - All way",1,"Control N/A!"))))</f>
        <v>Control N/A!</v>
      </c>
      <c r="BA66" s="14" t="str">
        <f>IF(BA44="Signalized",(BA28-BA65)^2/(2*BA28),IF(BA44="Free",PEDBIKE_DELAY(BA52,BA51,BA31,BA30,BA40,BA43,BA38,BA11,TRUE),IF(BA44="Stop - Two way",1,IF(BA44="Stop - All way",1,"Control N/A!"))))</f>
        <v>Control N/A!</v>
      </c>
      <c r="BB66" s="13" t="str">
        <f>IF(BB44="Signalized",(BB28-BB65)^2/(2*BB28),IF(BB44="Free",PEDBIKE_DELAY(BB52,BB51,BB31,BB30,BB40,BB43,BB38,BB11,TRUE),IF(BB44="Stop - Two way",1,IF(BB44="Stop - All way",1,"Control N/A!"))))</f>
        <v>Control N/A!</v>
      </c>
      <c r="BC66" s="44" t="str">
        <f>IF(BC44="Signalized",(BC28-BC65)^2/(2*BC28),IF(BC44="Free",PEDBIKE_DELAY(BC52,BC51,BC31,BC30,BC40,BC43,BC38,BC11,TRUE),IF(BC44="Stop - Two way",1,IF(BC44="Stop - All way",1,"Control N/A!"))))</f>
        <v>Control N/A!</v>
      </c>
      <c r="BD66" s="44" t="str">
        <f>IF(BD44="Signalized",(BD28-BD65)^2/(2*BD28),IF(BD44="Free",PEDBIKE_DELAY(BD52,BD51,BD31,BD30,BD40,BD43,BD38,BD11,TRUE),IF(BD44="Stop - Two way",1,IF(BD44="Stop - All way",1,"Control N/A!"))))</f>
        <v>Control N/A!</v>
      </c>
      <c r="BE66" s="14" t="str">
        <f>IF(BE44="Signalized",(BE28-BE65)^2/(2*BE28),IF(BE44="Free",PEDBIKE_DELAY(BE52,BE51,BE31,BE30,BE40,BE43,BE38,BE11,TRUE),IF(BE44="Stop - Two way",1,IF(BE44="Stop - All way",1,"Control N/A!"))))</f>
        <v>Control N/A!</v>
      </c>
      <c r="BF66" s="13" t="str">
        <f>IF(BF44="Signalized",(BF28-BF65)^2/(2*BF28),IF(BF44="Free",PEDBIKE_DELAY(BF52,BF51,BF31,BF30,BF40,BF43,BF38,BF11,TRUE),IF(BF44="Stop - Two way",1,IF(BF44="Stop - All way",1,"Control N/A!"))))</f>
        <v>Control N/A!</v>
      </c>
      <c r="BG66" s="44" t="str">
        <f>IF(BG44="Signalized",(BG28-BG65)^2/(2*BG28),IF(BG44="Free",PEDBIKE_DELAY(BG52,BG51,BG31,BG30,BG40,BG43,BG38,BG11,TRUE),IF(BG44="Stop - Two way",1,IF(BG44="Stop - All way",1,"Control N/A!"))))</f>
        <v>Control N/A!</v>
      </c>
      <c r="BH66" s="44" t="str">
        <f>IF(BH44="Signalized",(BH28-BH65)^2/(2*BH28),IF(BH44="Free",PEDBIKE_DELAY(BH52,BH51,BH31,BH30,BH40,BH43,BH38,BH11,TRUE),IF(BH44="Stop - Two way",1,IF(BH44="Stop - All way",1,"Control N/A!"))))</f>
        <v>Control N/A!</v>
      </c>
      <c r="BI66" s="14" t="str">
        <f>IF(BI44="Signalized",(BI28-BI65)^2/(2*BI28),IF(BI44="Free",PEDBIKE_DELAY(BI52,BI51,BI31,BI30,BI40,BI43,BI38,BI11,TRUE),IF(BI44="Stop - Two way",1,IF(BI44="Stop - All way",1,"Control N/A!"))))</f>
        <v>Control N/A!</v>
      </c>
      <c r="BJ66" s="13" t="str">
        <f>IF(BJ44="Signalized",(BJ28-BJ65)^2/(2*BJ28),IF(BJ44="Free",PEDBIKE_DELAY(BJ52,BJ51,BJ31,BJ30,BJ40,BJ43,BJ38,BJ11,TRUE),IF(BJ44="Stop - Two way",1,IF(BJ44="Stop - All way",1,"Control N/A!"))))</f>
        <v>Control N/A!</v>
      </c>
      <c r="BK66" s="44" t="str">
        <f>IF(BK44="Signalized",(BK28-BK65)^2/(2*BK28),IF(BK44="Free",PEDBIKE_DELAY(BK52,BK51,BK31,BK30,BK40,BK43,BK38,BK11,TRUE),IF(BK44="Stop - Two way",1,IF(BK44="Stop - All way",1,"Control N/A!"))))</f>
        <v>Control N/A!</v>
      </c>
      <c r="BL66" s="44" t="str">
        <f>IF(BL44="Signalized",(BL28-BL65)^2/(2*BL28),IF(BL44="Free",PEDBIKE_DELAY(BL52,BL51,BL31,BL30,BL40,BL43,BL38,BL11,TRUE),IF(BL44="Stop - Two way",1,IF(BL44="Stop - All way",1,"Control N/A!"))))</f>
        <v>Control N/A!</v>
      </c>
      <c r="BM66" s="14" t="str">
        <f>IF(BM44="Signalized",(BM28-BM65)^2/(2*BM28),IF(BM44="Free",PEDBIKE_DELAY(BM52,BM51,BM31,BM30,BM40,BM43,BM38,BM11,TRUE),IF(BM44="Stop - Two way",1,IF(BM44="Stop - All way",1,"Control N/A!"))))</f>
        <v>Control N/A!</v>
      </c>
      <c r="BN66" s="13" t="str">
        <f>IF(BN44="Signalized",(BN28-BN65)^2/(2*BN28),IF(BN44="Free",PEDBIKE_DELAY(BN52,BN51,BN31,BN30,BN40,BN43,BN38,BN11,TRUE),IF(BN44="Stop - Two way",1,IF(BN44="Stop - All way",1,"Control N/A!"))))</f>
        <v>Control N/A!</v>
      </c>
      <c r="BO66" s="44" t="str">
        <f>IF(BO44="Signalized",(BO28-BO65)^2/(2*BO28),IF(BO44="Free",PEDBIKE_DELAY(BO52,BO51,BO31,BO30,BO40,BO43,BO38,BO11,TRUE),IF(BO44="Stop - Two way",1,IF(BO44="Stop - All way",1,"Control N/A!"))))</f>
        <v>Control N/A!</v>
      </c>
      <c r="BP66" s="44" t="str">
        <f>IF(BP44="Signalized",(BP28-BP65)^2/(2*BP28),IF(BP44="Free",PEDBIKE_DELAY(BP52,BP51,BP31,BP30,BP40,BP43,BP38,BP11,TRUE),IF(BP44="Stop - Two way",1,IF(BP44="Stop - All way",1,"Control N/A!"))))</f>
        <v>Control N/A!</v>
      </c>
      <c r="BQ66" s="14" t="str">
        <f>IF(BQ44="Signalized",(BQ28-BQ65)^2/(2*BQ28),IF(BQ44="Free",PEDBIKE_DELAY(BQ52,BQ51,BQ31,BQ30,BQ40,BQ43,BQ38,BQ11,TRUE),IF(BQ44="Stop - Two way",1,IF(BQ44="Stop - All way",1,"Control N/A!"))))</f>
        <v>Control N/A!</v>
      </c>
      <c r="BR66" s="13" t="str">
        <f>IF(BR44="Signalized",(BR28-BR65)^2/(2*BR28),IF(BR44="Free",PEDBIKE_DELAY(BR52,BR51,BR31,BR30,BR40,BR43,BR38,BR11,TRUE),IF(BR44="Stop - Two way",1,IF(BR44="Stop - All way",1,"Control N/A!"))))</f>
        <v>Control N/A!</v>
      </c>
      <c r="BS66" s="44" t="str">
        <f>IF(BS44="Signalized",(BS28-BS65)^2/(2*BS28),IF(BS44="Free",PEDBIKE_DELAY(BS52,BS51,BS31,BS30,BS40,BS43,BS38,BS11,TRUE),IF(BS44="Stop - Two way",1,IF(BS44="Stop - All way",1,"Control N/A!"))))</f>
        <v>Control N/A!</v>
      </c>
      <c r="BT66" s="44" t="str">
        <f>IF(BT44="Signalized",(BT28-BT65)^2/(2*BT28),IF(BT44="Free",PEDBIKE_DELAY(BT52,BT51,BT31,BT30,BT40,BT43,BT38,BT11,TRUE),IF(BT44="Stop - Two way",1,IF(BT44="Stop - All way",1,"Control N/A!"))))</f>
        <v>Control N/A!</v>
      </c>
      <c r="BU66" s="14" t="str">
        <f>IF(BU44="Signalized",(BU28-BU65)^2/(2*BU28),IF(BU44="Free",PEDBIKE_DELAY(BU52,BU51,BU31,BU30,BU40,BU43,BU38,BU11,TRUE),IF(BU44="Stop - Two way",1,IF(BU44="Stop - All way",1,"Control N/A!"))))</f>
        <v>Control N/A!</v>
      </c>
      <c r="BV66" s="13" t="str">
        <f>IF(BV44="Signalized",(BV28-BV65)^2/(2*BV28),IF(BV44="Free",PEDBIKE_DELAY(BV52,BV51,BV31,BV30,BV40,BV43,BV38,BV11,TRUE),IF(BV44="Stop - Two way",1,IF(BV44="Stop - All way",1,"Control N/A!"))))</f>
        <v>Control N/A!</v>
      </c>
      <c r="BW66" s="44" t="str">
        <f>IF(BW44="Signalized",(BW28-BW65)^2/(2*BW28),IF(BW44="Free",PEDBIKE_DELAY(BW52,BW51,BW31,BW30,BW40,BW43,BW38,BW11,TRUE),IF(BW44="Stop - Two way",1,IF(BW44="Stop - All way",1,"Control N/A!"))))</f>
        <v>Control N/A!</v>
      </c>
      <c r="BX66" s="44" t="str">
        <f>IF(BX44="Signalized",(BX28-BX65)^2/(2*BX28),IF(BX44="Free",PEDBIKE_DELAY(BX52,BX51,BX31,BX30,BX40,BX43,BX38,BX11,TRUE),IF(BX44="Stop - Two way",1,IF(BX44="Stop - All way",1,"Control N/A!"))))</f>
        <v>Control N/A!</v>
      </c>
      <c r="BY66" s="14" t="str">
        <f>IF(BY44="Signalized",(BY28-BY65)^2/(2*BY28),IF(BY44="Free",PEDBIKE_DELAY(BY52,BY51,BY31,BY30,BY40,BY43,BY38,BY11,TRUE),IF(BY44="Stop - Two way",1,IF(BY44="Stop - All way",1,"Control N/A!"))))</f>
        <v>Control N/A!</v>
      </c>
      <c r="BZ66" s="13" t="str">
        <f>IF(BZ44="Signalized",(BZ28-BZ65)^2/(2*BZ28),IF(BZ44="Free",PEDBIKE_DELAY(BZ52,BZ51,BZ31,BZ30,BZ40,BZ43,BZ38,BZ11,TRUE),IF(BZ44="Stop - Two way",1,IF(BZ44="Stop - All way",1,"Control N/A!"))))</f>
        <v>Control N/A!</v>
      </c>
      <c r="CA66" s="44" t="str">
        <f>IF(CA44="Signalized",(CA28-CA65)^2/(2*CA28),IF(CA44="Free",PEDBIKE_DELAY(CA52,CA51,CA31,CA30,CA40,CA43,CA38,CA11,TRUE),IF(CA44="Stop - Two way",1,IF(CA44="Stop - All way",1,"Control N/A!"))))</f>
        <v>Control N/A!</v>
      </c>
      <c r="CB66" s="44" t="str">
        <f>IF(CB44="Signalized",(CB28-CB65)^2/(2*CB28),IF(CB44="Free",PEDBIKE_DELAY(CB52,CB51,CB31,CB30,CB40,CB43,CB38,CB11,TRUE),IF(CB44="Stop - Two way",1,IF(CB44="Stop - All way",1,"Control N/A!"))))</f>
        <v>Control N/A!</v>
      </c>
      <c r="CC66" s="14" t="str">
        <f>IF(CC44="Signalized",(CC28-CC65)^2/(2*CC28),IF(CC44="Free",PEDBIKE_DELAY(CC52,CC51,CC31,CC30,CC40,CC43,CC38,CC11,TRUE),IF(CC44="Stop - Two way",1,IF(CC44="Stop - All way",1,"Control N/A!"))))</f>
        <v>Control N/A!</v>
      </c>
      <c r="CD66" s="13" t="str">
        <f>IF(CD44="Signalized",(CD28-CD65)^2/(2*CD28),IF(CD44="Free",PEDBIKE_DELAY(CD52,CD51,CD31,CD30,CD40,CD43,CD38,CD11,TRUE),IF(CD44="Stop - Two way",1,IF(CD44="Stop - All way",1,"Control N/A!"))))</f>
        <v>Control N/A!</v>
      </c>
      <c r="CE66" s="44" t="str">
        <f>IF(CE44="Signalized",(CE28-CE65)^2/(2*CE28),IF(CE44="Free",PEDBIKE_DELAY(CE52,CE51,CE31,CE30,CE40,CE43,CE38,CE11,TRUE),IF(CE44="Stop - Two way",1,IF(CE44="Stop - All way",1,"Control N/A!"))))</f>
        <v>Control N/A!</v>
      </c>
      <c r="CF66" s="44" t="str">
        <f>IF(CF44="Signalized",(CF28-CF65)^2/(2*CF28),IF(CF44="Free",PEDBIKE_DELAY(CF52,CF51,CF31,CF30,CF40,CF43,CF38,CF11,TRUE),IF(CF44="Stop - Two way",1,IF(CF44="Stop - All way",1,"Control N/A!"))))</f>
        <v>Control N/A!</v>
      </c>
      <c r="CG66" s="14" t="str">
        <f>IF(CG44="Signalized",(CG28-CG65)^2/(2*CG28),IF(CG44="Free",PEDBIKE_DELAY(CG52,CG51,CG31,CG30,CG40,CG43,CG38,CG11,TRUE),IF(CG44="Stop - Two way",1,IF(CG44="Stop - All way",1,"Control N/A!"))))</f>
        <v>Control N/A!</v>
      </c>
      <c r="CH66" s="13" t="str">
        <f>IF(CH44="Signalized",(CH28-CH65)^2/(2*CH28),IF(CH44="Free",PEDBIKE_DELAY(CH52,CH51,CH31,CH30,CH40,CH43,CH38,CH11,TRUE),IF(CH44="Stop - Two way",1,IF(CH44="Stop - All way",1,"Control N/A!"))))</f>
        <v>Control N/A!</v>
      </c>
      <c r="CI66" s="44" t="str">
        <f>IF(CI44="Signalized",(CI28-CI65)^2/(2*CI28),IF(CI44="Free",PEDBIKE_DELAY(CI52,CI51,CI31,CI30,CI40,CI43,CI38,CI11,TRUE),IF(CI44="Stop - Two way",1,IF(CI44="Stop - All way",1,"Control N/A!"))))</f>
        <v>Control N/A!</v>
      </c>
      <c r="CJ66" s="44" t="str">
        <f>IF(CJ44="Signalized",(CJ28-CJ65)^2/(2*CJ28),IF(CJ44="Free",PEDBIKE_DELAY(CJ52,CJ51,CJ31,CJ30,CJ40,CJ43,CJ38,CJ11,TRUE),IF(CJ44="Stop - Two way",1,IF(CJ44="Stop - All way",1,"Control N/A!"))))</f>
        <v>Control N/A!</v>
      </c>
      <c r="CK66" s="14" t="str">
        <f>IF(CK44="Signalized",(CK28-CK65)^2/(2*CK28),IF(CK44="Free",PEDBIKE_DELAY(CK52,CK51,CK31,CK30,CK40,CK43,CK38,CK11,TRUE),IF(CK44="Stop - Two way",1,IF(CK44="Stop - All way",1,"Control N/A!"))))</f>
        <v>Control N/A!</v>
      </c>
      <c r="CL66" s="49"/>
      <c r="CM66" s="28"/>
    </row>
    <row r="67" spans="2:91" ht="14.25" x14ac:dyDescent="0.25">
      <c r="B67" s="55"/>
      <c r="C67" s="10" t="s">
        <v>167</v>
      </c>
      <c r="D67" s="93" t="s">
        <v>168</v>
      </c>
      <c r="E67" s="125" t="e">
        <f>0.0401*LN(E66)</f>
        <v>#VALUE!</v>
      </c>
      <c r="F67" s="72">
        <f>0.0401*LN(F66)</f>
        <v>0.11212327327988171</v>
      </c>
      <c r="G67" s="73">
        <f>0.0401*LN(G66)</f>
        <v>0.11212327327988171</v>
      </c>
      <c r="H67" s="73">
        <f t="shared" ref="H67:I67" si="162">0.0401*LN(H66)</f>
        <v>0.11300460083024445</v>
      </c>
      <c r="I67" s="74">
        <f t="shared" si="162"/>
        <v>0.11300460083024445</v>
      </c>
      <c r="J67" s="96">
        <f>0.0401*LN(J66)</f>
        <v>0</v>
      </c>
      <c r="K67" s="97" t="e">
        <f>0.0401*LN(K66)</f>
        <v>#VALUE!</v>
      </c>
      <c r="L67" s="97">
        <f t="shared" ref="L67:M67" si="163">0.0401*LN(L66)</f>
        <v>7.9543919939932733E-2</v>
      </c>
      <c r="M67" s="98">
        <f t="shared" si="163"/>
        <v>7.9543919939932733E-2</v>
      </c>
      <c r="N67" s="168">
        <f>0.0401*LN(N66)</f>
        <v>0.12275860795991889</v>
      </c>
      <c r="O67" s="171">
        <f t="shared" ref="O67:Q67" si="164">0.0401*LN(O66)</f>
        <v>0.12275860795991889</v>
      </c>
      <c r="P67" s="171">
        <f t="shared" si="164"/>
        <v>0.11601514195963349</v>
      </c>
      <c r="Q67" s="169">
        <f t="shared" si="164"/>
        <v>6.4538460288607422E-2</v>
      </c>
      <c r="R67" s="168">
        <f>0.0401*LN(R66)</f>
        <v>0</v>
      </c>
      <c r="S67" s="171" t="e">
        <f t="shared" ref="S67:U67" si="165">0.0401*LN(S66)</f>
        <v>#VALUE!</v>
      </c>
      <c r="T67" s="171">
        <f t="shared" si="165"/>
        <v>8.2766951642768705E-2</v>
      </c>
      <c r="U67" s="169">
        <f t="shared" si="165"/>
        <v>8.2766951642768705E-2</v>
      </c>
      <c r="V67" s="168">
        <f>0.0401*LN(V66)</f>
        <v>0.12943563022643478</v>
      </c>
      <c r="W67" s="171" t="e">
        <f t="shared" ref="W67:Y67" si="166">0.0401*LN(W66)</f>
        <v>#VALUE!</v>
      </c>
      <c r="X67" s="171">
        <f t="shared" si="166"/>
        <v>8.2837033654807796E-2</v>
      </c>
      <c r="Y67" s="169">
        <f t="shared" si="166"/>
        <v>0.10947416722362151</v>
      </c>
      <c r="Z67" s="168">
        <f>0.0401*LN(Z66)</f>
        <v>9.8834628093066271E-2</v>
      </c>
      <c r="AA67" s="171" t="e">
        <f t="shared" ref="AA67:AC67" si="167">0.0401*LN(AA66)</f>
        <v>#VALUE!</v>
      </c>
      <c r="AB67" s="171">
        <f t="shared" si="167"/>
        <v>9.4921656926677839E-2</v>
      </c>
      <c r="AC67" s="169">
        <f t="shared" si="167"/>
        <v>0.1174909361736203</v>
      </c>
      <c r="AD67" s="168">
        <f>0.0401*LN(AD66)</f>
        <v>9.9755991124496082E-2</v>
      </c>
      <c r="AE67" s="171" t="e">
        <f t="shared" ref="AE67:AG67" si="168">0.0401*LN(AE66)</f>
        <v>#VALUE!</v>
      </c>
      <c r="AF67" s="171">
        <f t="shared" si="168"/>
        <v>5.5923185873776877E-2</v>
      </c>
      <c r="AG67" s="169">
        <f t="shared" si="168"/>
        <v>5.5923185873776877E-2</v>
      </c>
      <c r="AH67" s="168">
        <f>0.0401*LN(AH66)</f>
        <v>-8.4007323701453612E-2</v>
      </c>
      <c r="AI67" s="171">
        <f t="shared" ref="AI67:AK67" si="169">0.0401*LN(AI66)</f>
        <v>-8.4007323701453612E-2</v>
      </c>
      <c r="AJ67" s="171">
        <f t="shared" si="169"/>
        <v>-8.4007323701453612E-2</v>
      </c>
      <c r="AK67" s="169">
        <f t="shared" si="169"/>
        <v>-8.4007323701453612E-2</v>
      </c>
      <c r="AL67" s="168" t="e">
        <f>0.0401*LN(AL66)</f>
        <v>#VALUE!</v>
      </c>
      <c r="AM67" s="171" t="e">
        <f t="shared" ref="AM67:AO67" si="170">0.0401*LN(AM66)</f>
        <v>#VALUE!</v>
      </c>
      <c r="AN67" s="171" t="e">
        <f t="shared" si="170"/>
        <v>#VALUE!</v>
      </c>
      <c r="AO67" s="169" t="e">
        <f t="shared" si="170"/>
        <v>#VALUE!</v>
      </c>
      <c r="AP67" s="168" t="e">
        <f>0.0401*LN(AP66)</f>
        <v>#VALUE!</v>
      </c>
      <c r="AQ67" s="171" t="e">
        <f t="shared" ref="AQ67:AS67" si="171">0.0401*LN(AQ66)</f>
        <v>#VALUE!</v>
      </c>
      <c r="AR67" s="171" t="e">
        <f t="shared" si="171"/>
        <v>#VALUE!</v>
      </c>
      <c r="AS67" s="169" t="e">
        <f t="shared" si="171"/>
        <v>#VALUE!</v>
      </c>
      <c r="AT67" s="168" t="e">
        <f>0.0401*LN(AT66)</f>
        <v>#VALUE!</v>
      </c>
      <c r="AU67" s="171" t="e">
        <f t="shared" ref="AU67:AW67" si="172">0.0401*LN(AU66)</f>
        <v>#VALUE!</v>
      </c>
      <c r="AV67" s="171" t="e">
        <f t="shared" si="172"/>
        <v>#VALUE!</v>
      </c>
      <c r="AW67" s="169" t="e">
        <f t="shared" si="172"/>
        <v>#VALUE!</v>
      </c>
      <c r="AX67" s="168" t="e">
        <f>0.0401*LN(AX66)</f>
        <v>#VALUE!</v>
      </c>
      <c r="AY67" s="171" t="e">
        <f t="shared" ref="AY67:BA67" si="173">0.0401*LN(AY66)</f>
        <v>#VALUE!</v>
      </c>
      <c r="AZ67" s="171" t="e">
        <f t="shared" si="173"/>
        <v>#VALUE!</v>
      </c>
      <c r="BA67" s="169" t="e">
        <f t="shared" si="173"/>
        <v>#VALUE!</v>
      </c>
      <c r="BB67" s="168" t="e">
        <f>0.0401*LN(BB66)</f>
        <v>#VALUE!</v>
      </c>
      <c r="BC67" s="171" t="e">
        <f t="shared" ref="BC67:BE67" si="174">0.0401*LN(BC66)</f>
        <v>#VALUE!</v>
      </c>
      <c r="BD67" s="171" t="e">
        <f t="shared" si="174"/>
        <v>#VALUE!</v>
      </c>
      <c r="BE67" s="169" t="e">
        <f t="shared" si="174"/>
        <v>#VALUE!</v>
      </c>
      <c r="BF67" s="168" t="e">
        <f>0.0401*LN(BF66)</f>
        <v>#VALUE!</v>
      </c>
      <c r="BG67" s="171" t="e">
        <f t="shared" ref="BG67:BI67" si="175">0.0401*LN(BG66)</f>
        <v>#VALUE!</v>
      </c>
      <c r="BH67" s="171" t="e">
        <f t="shared" si="175"/>
        <v>#VALUE!</v>
      </c>
      <c r="BI67" s="169" t="e">
        <f t="shared" si="175"/>
        <v>#VALUE!</v>
      </c>
      <c r="BJ67" s="168" t="e">
        <f>0.0401*LN(BJ66)</f>
        <v>#VALUE!</v>
      </c>
      <c r="BK67" s="171" t="e">
        <f t="shared" ref="BK67:BM67" si="176">0.0401*LN(BK66)</f>
        <v>#VALUE!</v>
      </c>
      <c r="BL67" s="171" t="e">
        <f t="shared" si="176"/>
        <v>#VALUE!</v>
      </c>
      <c r="BM67" s="169" t="e">
        <f t="shared" si="176"/>
        <v>#VALUE!</v>
      </c>
      <c r="BN67" s="168" t="e">
        <f>0.0401*LN(BN66)</f>
        <v>#VALUE!</v>
      </c>
      <c r="BO67" s="171" t="e">
        <f t="shared" ref="BO67:BQ67" si="177">0.0401*LN(BO66)</f>
        <v>#VALUE!</v>
      </c>
      <c r="BP67" s="171" t="e">
        <f t="shared" si="177"/>
        <v>#VALUE!</v>
      </c>
      <c r="BQ67" s="169" t="e">
        <f t="shared" si="177"/>
        <v>#VALUE!</v>
      </c>
      <c r="BR67" s="168" t="e">
        <f>0.0401*LN(BR66)</f>
        <v>#VALUE!</v>
      </c>
      <c r="BS67" s="171" t="e">
        <f t="shared" ref="BS67:BU67" si="178">0.0401*LN(BS66)</f>
        <v>#VALUE!</v>
      </c>
      <c r="BT67" s="171" t="e">
        <f t="shared" si="178"/>
        <v>#VALUE!</v>
      </c>
      <c r="BU67" s="169" t="e">
        <f t="shared" si="178"/>
        <v>#VALUE!</v>
      </c>
      <c r="BV67" s="168" t="e">
        <f>0.0401*LN(BV66)</f>
        <v>#VALUE!</v>
      </c>
      <c r="BW67" s="171" t="e">
        <f t="shared" ref="BW67:BY67" si="179">0.0401*LN(BW66)</f>
        <v>#VALUE!</v>
      </c>
      <c r="BX67" s="171" t="e">
        <f t="shared" si="179"/>
        <v>#VALUE!</v>
      </c>
      <c r="BY67" s="169" t="e">
        <f t="shared" si="179"/>
        <v>#VALUE!</v>
      </c>
      <c r="BZ67" s="168" t="e">
        <f>0.0401*LN(BZ66)</f>
        <v>#VALUE!</v>
      </c>
      <c r="CA67" s="171" t="e">
        <f t="shared" ref="CA67:CC67" si="180">0.0401*LN(CA66)</f>
        <v>#VALUE!</v>
      </c>
      <c r="CB67" s="171" t="e">
        <f t="shared" si="180"/>
        <v>#VALUE!</v>
      </c>
      <c r="CC67" s="169" t="e">
        <f t="shared" si="180"/>
        <v>#VALUE!</v>
      </c>
      <c r="CD67" s="168" t="e">
        <f>0.0401*LN(CD66)</f>
        <v>#VALUE!</v>
      </c>
      <c r="CE67" s="171" t="e">
        <f t="shared" ref="CE67:CG67" si="181">0.0401*LN(CE66)</f>
        <v>#VALUE!</v>
      </c>
      <c r="CF67" s="171" t="e">
        <f t="shared" si="181"/>
        <v>#VALUE!</v>
      </c>
      <c r="CG67" s="169" t="e">
        <f t="shared" si="181"/>
        <v>#VALUE!</v>
      </c>
      <c r="CH67" s="168" t="e">
        <f>0.0401*LN(CH66)</f>
        <v>#VALUE!</v>
      </c>
      <c r="CI67" s="171" t="e">
        <f t="shared" ref="CI67:CK67" si="182">0.0401*LN(CI66)</f>
        <v>#VALUE!</v>
      </c>
      <c r="CJ67" s="171" t="e">
        <f t="shared" si="182"/>
        <v>#VALUE!</v>
      </c>
      <c r="CK67" s="169" t="e">
        <f t="shared" si="182"/>
        <v>#VALUE!</v>
      </c>
      <c r="CL67" s="49"/>
      <c r="CM67" s="28"/>
    </row>
    <row r="68" spans="2:91" ht="14.25" x14ac:dyDescent="0.25">
      <c r="B68" s="55"/>
      <c r="C68" s="10" t="s">
        <v>48</v>
      </c>
      <c r="D68" s="93" t="s">
        <v>40</v>
      </c>
      <c r="E68" s="125" t="e">
        <f>IF(E9&gt;0,0.5997+E61+E63+E64+E67,0)</f>
        <v>#VALUE!</v>
      </c>
      <c r="F68" s="72">
        <f t="shared" ref="F68:AK68" si="183">IF(AND(F9&gt;0,F30&gt;0),0.5997+F61+F63+F64+F67,0)</f>
        <v>2.6137476156342201</v>
      </c>
      <c r="G68" s="73">
        <f t="shared" si="183"/>
        <v>2.4840851156342203</v>
      </c>
      <c r="H68" s="73">
        <f t="shared" si="183"/>
        <v>2.4423470200737798</v>
      </c>
      <c r="I68" s="74">
        <f t="shared" si="183"/>
        <v>2.3831760200737802</v>
      </c>
      <c r="J68" s="96">
        <f t="shared" si="183"/>
        <v>1.6351749601655288</v>
      </c>
      <c r="K68" s="97">
        <f t="shared" si="183"/>
        <v>0</v>
      </c>
      <c r="L68" s="97">
        <f t="shared" si="183"/>
        <v>2.0399954640252118</v>
      </c>
      <c r="M68" s="98">
        <f t="shared" si="183"/>
        <v>2.0334625473585453</v>
      </c>
      <c r="N68" s="168">
        <f t="shared" si="183"/>
        <v>2.339282527203455</v>
      </c>
      <c r="O68" s="171">
        <f t="shared" si="183"/>
        <v>2.7298069022034546</v>
      </c>
      <c r="P68" s="171">
        <f t="shared" si="183"/>
        <v>2.329609686203169</v>
      </c>
      <c r="Q68" s="169">
        <f t="shared" si="183"/>
        <v>2.4060776295321431</v>
      </c>
      <c r="R68" s="168">
        <f t="shared" si="183"/>
        <v>1.6854252101655287</v>
      </c>
      <c r="S68" s="171">
        <f t="shared" si="183"/>
        <v>0</v>
      </c>
      <c r="T68" s="171">
        <f t="shared" si="183"/>
        <v>2.2377169516427688</v>
      </c>
      <c r="U68" s="169">
        <f t="shared" si="183"/>
        <v>2.1820234516427686</v>
      </c>
      <c r="V68" s="168">
        <f t="shared" si="183"/>
        <v>2.0743399243117144</v>
      </c>
      <c r="W68" s="171">
        <f t="shared" si="183"/>
        <v>0</v>
      </c>
      <c r="X68" s="171">
        <f t="shared" si="183"/>
        <v>2.2093809944067542</v>
      </c>
      <c r="Y68" s="169">
        <f t="shared" si="183"/>
        <v>1.9988888773891502</v>
      </c>
      <c r="Z68" s="168">
        <f t="shared" si="183"/>
        <v>1.880921338258595</v>
      </c>
      <c r="AA68" s="171">
        <f t="shared" si="183"/>
        <v>0</v>
      </c>
      <c r="AB68" s="171">
        <f t="shared" si="183"/>
        <v>2.1410783676786238</v>
      </c>
      <c r="AC68" s="169">
        <f t="shared" si="183"/>
        <v>2.105821563592233</v>
      </c>
      <c r="AD68" s="168">
        <f t="shared" si="183"/>
        <v>1.7163179512900248</v>
      </c>
      <c r="AE68" s="171">
        <f t="shared" si="183"/>
        <v>0</v>
      </c>
      <c r="AF68" s="171">
        <f t="shared" si="183"/>
        <v>1.899554646039306</v>
      </c>
      <c r="AG68" s="169">
        <f t="shared" si="183"/>
        <v>1.8897226460393057</v>
      </c>
      <c r="AH68" s="168">
        <f t="shared" si="183"/>
        <v>1.6827646364640751</v>
      </c>
      <c r="AI68" s="171">
        <f t="shared" si="183"/>
        <v>2.023528636464075</v>
      </c>
      <c r="AJ68" s="171">
        <f t="shared" si="183"/>
        <v>2.1093521370504922</v>
      </c>
      <c r="AK68" s="169">
        <f t="shared" si="183"/>
        <v>1.8151781370504922</v>
      </c>
      <c r="AL68" s="168">
        <f t="shared" ref="AL68:BQ68" si="184">IF(AND(AL9&gt;0,AL30&gt;0),0.5997+AL61+AL63+AL64+AL67,0)</f>
        <v>0</v>
      </c>
      <c r="AM68" s="171">
        <f t="shared" si="184"/>
        <v>0</v>
      </c>
      <c r="AN68" s="171">
        <f t="shared" si="184"/>
        <v>0</v>
      </c>
      <c r="AO68" s="169">
        <f t="shared" si="184"/>
        <v>0</v>
      </c>
      <c r="AP68" s="168">
        <f t="shared" si="184"/>
        <v>0</v>
      </c>
      <c r="AQ68" s="171">
        <f t="shared" si="184"/>
        <v>0</v>
      </c>
      <c r="AR68" s="171">
        <f t="shared" si="184"/>
        <v>0</v>
      </c>
      <c r="AS68" s="169">
        <f t="shared" si="184"/>
        <v>0</v>
      </c>
      <c r="AT68" s="168">
        <f t="shared" si="184"/>
        <v>0</v>
      </c>
      <c r="AU68" s="171">
        <f t="shared" si="184"/>
        <v>0</v>
      </c>
      <c r="AV68" s="171">
        <f t="shared" si="184"/>
        <v>0</v>
      </c>
      <c r="AW68" s="169">
        <f t="shared" si="184"/>
        <v>0</v>
      </c>
      <c r="AX68" s="168">
        <f t="shared" si="184"/>
        <v>0</v>
      </c>
      <c r="AY68" s="171">
        <f t="shared" si="184"/>
        <v>0</v>
      </c>
      <c r="AZ68" s="171">
        <f t="shared" si="184"/>
        <v>0</v>
      </c>
      <c r="BA68" s="169">
        <f t="shared" si="184"/>
        <v>0</v>
      </c>
      <c r="BB68" s="168">
        <f t="shared" si="184"/>
        <v>0</v>
      </c>
      <c r="BC68" s="171">
        <f t="shared" si="184"/>
        <v>0</v>
      </c>
      <c r="BD68" s="171">
        <f t="shared" si="184"/>
        <v>0</v>
      </c>
      <c r="BE68" s="169">
        <f t="shared" si="184"/>
        <v>0</v>
      </c>
      <c r="BF68" s="168">
        <f t="shared" si="184"/>
        <v>0</v>
      </c>
      <c r="BG68" s="171">
        <f t="shared" si="184"/>
        <v>0</v>
      </c>
      <c r="BH68" s="171">
        <f t="shared" si="184"/>
        <v>0</v>
      </c>
      <c r="BI68" s="169">
        <f t="shared" si="184"/>
        <v>0</v>
      </c>
      <c r="BJ68" s="168">
        <f t="shared" si="184"/>
        <v>0</v>
      </c>
      <c r="BK68" s="171">
        <f t="shared" si="184"/>
        <v>0</v>
      </c>
      <c r="BL68" s="171">
        <f t="shared" si="184"/>
        <v>0</v>
      </c>
      <c r="BM68" s="169">
        <f t="shared" si="184"/>
        <v>0</v>
      </c>
      <c r="BN68" s="168">
        <f t="shared" si="184"/>
        <v>0</v>
      </c>
      <c r="BO68" s="171">
        <f t="shared" si="184"/>
        <v>0</v>
      </c>
      <c r="BP68" s="171">
        <f t="shared" si="184"/>
        <v>0</v>
      </c>
      <c r="BQ68" s="169">
        <f t="shared" si="184"/>
        <v>0</v>
      </c>
      <c r="BR68" s="168">
        <f t="shared" ref="BR68:CK68" si="185">IF(AND(BR9&gt;0,BR30&gt;0),0.5997+BR61+BR63+BR64+BR67,0)</f>
        <v>0</v>
      </c>
      <c r="BS68" s="171">
        <f t="shared" si="185"/>
        <v>0</v>
      </c>
      <c r="BT68" s="171">
        <f t="shared" si="185"/>
        <v>0</v>
      </c>
      <c r="BU68" s="169">
        <f t="shared" si="185"/>
        <v>0</v>
      </c>
      <c r="BV68" s="168">
        <f t="shared" si="185"/>
        <v>0</v>
      </c>
      <c r="BW68" s="171">
        <f t="shared" si="185"/>
        <v>0</v>
      </c>
      <c r="BX68" s="171">
        <f t="shared" si="185"/>
        <v>0</v>
      </c>
      <c r="BY68" s="169">
        <f t="shared" si="185"/>
        <v>0</v>
      </c>
      <c r="BZ68" s="168">
        <f t="shared" si="185"/>
        <v>0</v>
      </c>
      <c r="CA68" s="171">
        <f t="shared" si="185"/>
        <v>0</v>
      </c>
      <c r="CB68" s="171">
        <f t="shared" si="185"/>
        <v>0</v>
      </c>
      <c r="CC68" s="169">
        <f t="shared" si="185"/>
        <v>0</v>
      </c>
      <c r="CD68" s="168">
        <f t="shared" si="185"/>
        <v>0</v>
      </c>
      <c r="CE68" s="171">
        <f t="shared" si="185"/>
        <v>0</v>
      </c>
      <c r="CF68" s="171">
        <f t="shared" si="185"/>
        <v>0</v>
      </c>
      <c r="CG68" s="169">
        <f t="shared" si="185"/>
        <v>0</v>
      </c>
      <c r="CH68" s="168">
        <f t="shared" si="185"/>
        <v>0</v>
      </c>
      <c r="CI68" s="171">
        <f t="shared" si="185"/>
        <v>0</v>
      </c>
      <c r="CJ68" s="171">
        <f t="shared" si="185"/>
        <v>0</v>
      </c>
      <c r="CK68" s="169">
        <f t="shared" si="185"/>
        <v>0</v>
      </c>
      <c r="CL68" s="49"/>
      <c r="CM68" s="28"/>
    </row>
    <row r="69" spans="2:91" x14ac:dyDescent="0.25">
      <c r="B69" s="55"/>
      <c r="C69" s="10"/>
      <c r="D69" s="93" t="s">
        <v>211</v>
      </c>
      <c r="E69" s="124" t="e">
        <f t="shared" ref="E69" si="186">IF(E68&lt;=2,"A",IF(E68&lt;=2.75,"B",IF(E68&lt;=3.5,"C",IF(E68&lt;=4.25,"D",IF(E68&lt;=5,"E","F")))))</f>
        <v>#VALUE!</v>
      </c>
      <c r="F69" s="10" t="str">
        <f t="shared" ref="F69:I69" si="187">IF(F68&lt;=2,"A",IF(F68&lt;=2.75,"B",IF(F68&lt;=3.5,"C",IF(F68&lt;=4.25,"D",IF(F68&lt;=5,"E","F")))))</f>
        <v>B</v>
      </c>
      <c r="G69" s="71" t="str">
        <f t="shared" si="187"/>
        <v>B</v>
      </c>
      <c r="H69" s="71" t="str">
        <f t="shared" si="187"/>
        <v>B</v>
      </c>
      <c r="I69" s="75" t="str">
        <f t="shared" si="187"/>
        <v>B</v>
      </c>
      <c r="J69" s="10" t="str">
        <f t="shared" ref="J69:L69" si="188">IF(J68&lt;=2,"A",IF(J68&lt;=2.75,"B",IF(J68&lt;=3.5,"C",IF(J68&lt;=4.25,"D",IF(J68&lt;=5,"E","F")))))</f>
        <v>A</v>
      </c>
      <c r="K69" s="95" t="str">
        <f t="shared" si="188"/>
        <v>A</v>
      </c>
      <c r="L69" s="95" t="str">
        <f t="shared" si="188"/>
        <v>B</v>
      </c>
      <c r="M69" s="99" t="str">
        <f>IF(M68&lt;=2,"A",IF(M68&lt;=2.75,"B",IF(M68&lt;=3.5,"C",IF(M68&lt;=4.25,"D",IF(M68&lt;=5,"E","F")))))</f>
        <v>B</v>
      </c>
      <c r="N69" s="10" t="str">
        <f t="shared" ref="N69:P69" si="189">IF(N68&lt;=2,"A",IF(N68&lt;=2.75,"B",IF(N68&lt;=3.5,"C",IF(N68&lt;=4.25,"D",IF(N68&lt;=5,"E","F")))))</f>
        <v>B</v>
      </c>
      <c r="O69" s="166" t="str">
        <f t="shared" si="189"/>
        <v>B</v>
      </c>
      <c r="P69" s="166" t="str">
        <f t="shared" si="189"/>
        <v>B</v>
      </c>
      <c r="Q69" s="170" t="str">
        <f>IF(Q68&lt;=2,"A",IF(Q68&lt;=2.75,"B",IF(Q68&lt;=3.5,"C",IF(Q68&lt;=4.25,"D",IF(Q68&lt;=5,"E","F")))))</f>
        <v>B</v>
      </c>
      <c r="R69" s="10" t="str">
        <f t="shared" ref="R69:T69" si="190">IF(R68&lt;=2,"A",IF(R68&lt;=2.75,"B",IF(R68&lt;=3.5,"C",IF(R68&lt;=4.25,"D",IF(R68&lt;=5,"E","F")))))</f>
        <v>A</v>
      </c>
      <c r="S69" s="166" t="str">
        <f t="shared" si="190"/>
        <v>A</v>
      </c>
      <c r="T69" s="166" t="str">
        <f t="shared" si="190"/>
        <v>B</v>
      </c>
      <c r="U69" s="170" t="str">
        <f>IF(U68&lt;=2,"A",IF(U68&lt;=2.75,"B",IF(U68&lt;=3.5,"C",IF(U68&lt;=4.25,"D",IF(U68&lt;=5,"E","F")))))</f>
        <v>B</v>
      </c>
      <c r="V69" s="10" t="str">
        <f t="shared" ref="V69:X69" si="191">IF(V68&lt;=2,"A",IF(V68&lt;=2.75,"B",IF(V68&lt;=3.5,"C",IF(V68&lt;=4.25,"D",IF(V68&lt;=5,"E","F")))))</f>
        <v>B</v>
      </c>
      <c r="W69" s="166" t="str">
        <f t="shared" si="191"/>
        <v>A</v>
      </c>
      <c r="X69" s="166" t="str">
        <f t="shared" si="191"/>
        <v>B</v>
      </c>
      <c r="Y69" s="170" t="str">
        <f>IF(Y68&lt;=2,"A",IF(Y68&lt;=2.75,"B",IF(Y68&lt;=3.5,"C",IF(Y68&lt;=4.25,"D",IF(Y68&lt;=5,"E","F")))))</f>
        <v>A</v>
      </c>
      <c r="Z69" s="10" t="str">
        <f t="shared" ref="Z69:AB69" si="192">IF(Z68&lt;=2,"A",IF(Z68&lt;=2.75,"B",IF(Z68&lt;=3.5,"C",IF(Z68&lt;=4.25,"D",IF(Z68&lt;=5,"E","F")))))</f>
        <v>A</v>
      </c>
      <c r="AA69" s="166" t="str">
        <f t="shared" si="192"/>
        <v>A</v>
      </c>
      <c r="AB69" s="166" t="str">
        <f t="shared" si="192"/>
        <v>B</v>
      </c>
      <c r="AC69" s="170" t="str">
        <f>IF(AC68&lt;=2,"A",IF(AC68&lt;=2.75,"B",IF(AC68&lt;=3.5,"C",IF(AC68&lt;=4.25,"D",IF(AC68&lt;=5,"E","F")))))</f>
        <v>B</v>
      </c>
      <c r="AD69" s="10" t="str">
        <f t="shared" ref="AD69:AF69" si="193">IF(AD68&lt;=2,"A",IF(AD68&lt;=2.75,"B",IF(AD68&lt;=3.5,"C",IF(AD68&lt;=4.25,"D",IF(AD68&lt;=5,"E","F")))))</f>
        <v>A</v>
      </c>
      <c r="AE69" s="166" t="str">
        <f t="shared" si="193"/>
        <v>A</v>
      </c>
      <c r="AF69" s="166" t="str">
        <f t="shared" si="193"/>
        <v>A</v>
      </c>
      <c r="AG69" s="170" t="str">
        <f>IF(AG68&lt;=2,"A",IF(AG68&lt;=2.75,"B",IF(AG68&lt;=3.5,"C",IF(AG68&lt;=4.25,"D",IF(AG68&lt;=5,"E","F")))))</f>
        <v>A</v>
      </c>
      <c r="AH69" s="10" t="str">
        <f t="shared" ref="AH69:AJ69" si="194">IF(AH68&lt;=2,"A",IF(AH68&lt;=2.75,"B",IF(AH68&lt;=3.5,"C",IF(AH68&lt;=4.25,"D",IF(AH68&lt;=5,"E","F")))))</f>
        <v>A</v>
      </c>
      <c r="AI69" s="166" t="str">
        <f t="shared" si="194"/>
        <v>B</v>
      </c>
      <c r="AJ69" s="166" t="str">
        <f t="shared" si="194"/>
        <v>B</v>
      </c>
      <c r="AK69" s="170" t="str">
        <f>IF(AK68&lt;=2,"A",IF(AK68&lt;=2.75,"B",IF(AK68&lt;=3.5,"C",IF(AK68&lt;=4.25,"D",IF(AK68&lt;=5,"E","F")))))</f>
        <v>A</v>
      </c>
      <c r="AL69" s="10" t="str">
        <f t="shared" ref="AL69:AN69" si="195">IF(AL68&lt;=2,"A",IF(AL68&lt;=2.75,"B",IF(AL68&lt;=3.5,"C",IF(AL68&lt;=4.25,"D",IF(AL68&lt;=5,"E","F")))))</f>
        <v>A</v>
      </c>
      <c r="AM69" s="166" t="str">
        <f t="shared" si="195"/>
        <v>A</v>
      </c>
      <c r="AN69" s="166" t="str">
        <f t="shared" si="195"/>
        <v>A</v>
      </c>
      <c r="AO69" s="170" t="str">
        <f>IF(AO68&lt;=2,"A",IF(AO68&lt;=2.75,"B",IF(AO68&lt;=3.5,"C",IF(AO68&lt;=4.25,"D",IF(AO68&lt;=5,"E","F")))))</f>
        <v>A</v>
      </c>
      <c r="AP69" s="10" t="str">
        <f t="shared" ref="AP69:AR69" si="196">IF(AP68&lt;=2,"A",IF(AP68&lt;=2.75,"B",IF(AP68&lt;=3.5,"C",IF(AP68&lt;=4.25,"D",IF(AP68&lt;=5,"E","F")))))</f>
        <v>A</v>
      </c>
      <c r="AQ69" s="166" t="str">
        <f t="shared" si="196"/>
        <v>A</v>
      </c>
      <c r="AR69" s="166" t="str">
        <f t="shared" si="196"/>
        <v>A</v>
      </c>
      <c r="AS69" s="170" t="str">
        <f>IF(AS68&lt;=2,"A",IF(AS68&lt;=2.75,"B",IF(AS68&lt;=3.5,"C",IF(AS68&lt;=4.25,"D",IF(AS68&lt;=5,"E","F")))))</f>
        <v>A</v>
      </c>
      <c r="AT69" s="10" t="str">
        <f t="shared" ref="AT69:AV69" si="197">IF(AT68&lt;=2,"A",IF(AT68&lt;=2.75,"B",IF(AT68&lt;=3.5,"C",IF(AT68&lt;=4.25,"D",IF(AT68&lt;=5,"E","F")))))</f>
        <v>A</v>
      </c>
      <c r="AU69" s="166" t="str">
        <f t="shared" si="197"/>
        <v>A</v>
      </c>
      <c r="AV69" s="166" t="str">
        <f t="shared" si="197"/>
        <v>A</v>
      </c>
      <c r="AW69" s="170" t="str">
        <f>IF(AW68&lt;=2,"A",IF(AW68&lt;=2.75,"B",IF(AW68&lt;=3.5,"C",IF(AW68&lt;=4.25,"D",IF(AW68&lt;=5,"E","F")))))</f>
        <v>A</v>
      </c>
      <c r="AX69" s="10" t="str">
        <f t="shared" ref="AX69:AZ69" si="198">IF(AX68&lt;=2,"A",IF(AX68&lt;=2.75,"B",IF(AX68&lt;=3.5,"C",IF(AX68&lt;=4.25,"D",IF(AX68&lt;=5,"E","F")))))</f>
        <v>A</v>
      </c>
      <c r="AY69" s="166" t="str">
        <f t="shared" si="198"/>
        <v>A</v>
      </c>
      <c r="AZ69" s="166" t="str">
        <f t="shared" si="198"/>
        <v>A</v>
      </c>
      <c r="BA69" s="170" t="str">
        <f>IF(BA68&lt;=2,"A",IF(BA68&lt;=2.75,"B",IF(BA68&lt;=3.5,"C",IF(BA68&lt;=4.25,"D",IF(BA68&lt;=5,"E","F")))))</f>
        <v>A</v>
      </c>
      <c r="BB69" s="10" t="str">
        <f t="shared" ref="BB69:BD69" si="199">IF(BB68&lt;=2,"A",IF(BB68&lt;=2.75,"B",IF(BB68&lt;=3.5,"C",IF(BB68&lt;=4.25,"D",IF(BB68&lt;=5,"E","F")))))</f>
        <v>A</v>
      </c>
      <c r="BC69" s="166" t="str">
        <f t="shared" si="199"/>
        <v>A</v>
      </c>
      <c r="BD69" s="166" t="str">
        <f t="shared" si="199"/>
        <v>A</v>
      </c>
      <c r="BE69" s="170" t="str">
        <f>IF(BE68&lt;=2,"A",IF(BE68&lt;=2.75,"B",IF(BE68&lt;=3.5,"C",IF(BE68&lt;=4.25,"D",IF(BE68&lt;=5,"E","F")))))</f>
        <v>A</v>
      </c>
      <c r="BF69" s="10" t="str">
        <f t="shared" ref="BF69:BH69" si="200">IF(BF68&lt;=2,"A",IF(BF68&lt;=2.75,"B",IF(BF68&lt;=3.5,"C",IF(BF68&lt;=4.25,"D",IF(BF68&lt;=5,"E","F")))))</f>
        <v>A</v>
      </c>
      <c r="BG69" s="166" t="str">
        <f t="shared" si="200"/>
        <v>A</v>
      </c>
      <c r="BH69" s="166" t="str">
        <f t="shared" si="200"/>
        <v>A</v>
      </c>
      <c r="BI69" s="170" t="str">
        <f>IF(BI68&lt;=2,"A",IF(BI68&lt;=2.75,"B",IF(BI68&lt;=3.5,"C",IF(BI68&lt;=4.25,"D",IF(BI68&lt;=5,"E","F")))))</f>
        <v>A</v>
      </c>
      <c r="BJ69" s="10" t="str">
        <f t="shared" ref="BJ69:BL69" si="201">IF(BJ68&lt;=2,"A",IF(BJ68&lt;=2.75,"B",IF(BJ68&lt;=3.5,"C",IF(BJ68&lt;=4.25,"D",IF(BJ68&lt;=5,"E","F")))))</f>
        <v>A</v>
      </c>
      <c r="BK69" s="166" t="str">
        <f t="shared" si="201"/>
        <v>A</v>
      </c>
      <c r="BL69" s="166" t="str">
        <f t="shared" si="201"/>
        <v>A</v>
      </c>
      <c r="BM69" s="170" t="str">
        <f>IF(BM68&lt;=2,"A",IF(BM68&lt;=2.75,"B",IF(BM68&lt;=3.5,"C",IF(BM68&lt;=4.25,"D",IF(BM68&lt;=5,"E","F")))))</f>
        <v>A</v>
      </c>
      <c r="BN69" s="10" t="str">
        <f t="shared" ref="BN69:BP69" si="202">IF(BN68&lt;=2,"A",IF(BN68&lt;=2.75,"B",IF(BN68&lt;=3.5,"C",IF(BN68&lt;=4.25,"D",IF(BN68&lt;=5,"E","F")))))</f>
        <v>A</v>
      </c>
      <c r="BO69" s="166" t="str">
        <f t="shared" si="202"/>
        <v>A</v>
      </c>
      <c r="BP69" s="166" t="str">
        <f t="shared" si="202"/>
        <v>A</v>
      </c>
      <c r="BQ69" s="170" t="str">
        <f>IF(BQ68&lt;=2,"A",IF(BQ68&lt;=2.75,"B",IF(BQ68&lt;=3.5,"C",IF(BQ68&lt;=4.25,"D",IF(BQ68&lt;=5,"E","F")))))</f>
        <v>A</v>
      </c>
      <c r="BR69" s="10" t="str">
        <f t="shared" ref="BR69:BT69" si="203">IF(BR68&lt;=2,"A",IF(BR68&lt;=2.75,"B",IF(BR68&lt;=3.5,"C",IF(BR68&lt;=4.25,"D",IF(BR68&lt;=5,"E","F")))))</f>
        <v>A</v>
      </c>
      <c r="BS69" s="166" t="str">
        <f t="shared" si="203"/>
        <v>A</v>
      </c>
      <c r="BT69" s="166" t="str">
        <f t="shared" si="203"/>
        <v>A</v>
      </c>
      <c r="BU69" s="170" t="str">
        <f>IF(BU68&lt;=2,"A",IF(BU68&lt;=2.75,"B",IF(BU68&lt;=3.5,"C",IF(BU68&lt;=4.25,"D",IF(BU68&lt;=5,"E","F")))))</f>
        <v>A</v>
      </c>
      <c r="BV69" s="10" t="str">
        <f t="shared" ref="BV69:BX69" si="204">IF(BV68&lt;=2,"A",IF(BV68&lt;=2.75,"B",IF(BV68&lt;=3.5,"C",IF(BV68&lt;=4.25,"D",IF(BV68&lt;=5,"E","F")))))</f>
        <v>A</v>
      </c>
      <c r="BW69" s="166" t="str">
        <f t="shared" si="204"/>
        <v>A</v>
      </c>
      <c r="BX69" s="166" t="str">
        <f t="shared" si="204"/>
        <v>A</v>
      </c>
      <c r="BY69" s="170" t="str">
        <f>IF(BY68&lt;=2,"A",IF(BY68&lt;=2.75,"B",IF(BY68&lt;=3.5,"C",IF(BY68&lt;=4.25,"D",IF(BY68&lt;=5,"E","F")))))</f>
        <v>A</v>
      </c>
      <c r="BZ69" s="10" t="str">
        <f t="shared" ref="BZ69:CB69" si="205">IF(BZ68&lt;=2,"A",IF(BZ68&lt;=2.75,"B",IF(BZ68&lt;=3.5,"C",IF(BZ68&lt;=4.25,"D",IF(BZ68&lt;=5,"E","F")))))</f>
        <v>A</v>
      </c>
      <c r="CA69" s="166" t="str">
        <f t="shared" si="205"/>
        <v>A</v>
      </c>
      <c r="CB69" s="166" t="str">
        <f t="shared" si="205"/>
        <v>A</v>
      </c>
      <c r="CC69" s="170" t="str">
        <f>IF(CC68&lt;=2,"A",IF(CC68&lt;=2.75,"B",IF(CC68&lt;=3.5,"C",IF(CC68&lt;=4.25,"D",IF(CC68&lt;=5,"E","F")))))</f>
        <v>A</v>
      </c>
      <c r="CD69" s="10" t="str">
        <f t="shared" ref="CD69:CF69" si="206">IF(CD68&lt;=2,"A",IF(CD68&lt;=2.75,"B",IF(CD68&lt;=3.5,"C",IF(CD68&lt;=4.25,"D",IF(CD68&lt;=5,"E","F")))))</f>
        <v>A</v>
      </c>
      <c r="CE69" s="166" t="str">
        <f t="shared" si="206"/>
        <v>A</v>
      </c>
      <c r="CF69" s="166" t="str">
        <f t="shared" si="206"/>
        <v>A</v>
      </c>
      <c r="CG69" s="170" t="str">
        <f>IF(CG68&lt;=2,"A",IF(CG68&lt;=2.75,"B",IF(CG68&lt;=3.5,"C",IF(CG68&lt;=4.25,"D",IF(CG68&lt;=5,"E","F")))))</f>
        <v>A</v>
      </c>
      <c r="CH69" s="10" t="str">
        <f t="shared" ref="CH69:CJ69" si="207">IF(CH68&lt;=2,"A",IF(CH68&lt;=2.75,"B",IF(CH68&lt;=3.5,"C",IF(CH68&lt;=4.25,"D",IF(CH68&lt;=5,"E","F")))))</f>
        <v>A</v>
      </c>
      <c r="CI69" s="166" t="str">
        <f t="shared" si="207"/>
        <v>A</v>
      </c>
      <c r="CJ69" s="166" t="str">
        <f t="shared" si="207"/>
        <v>A</v>
      </c>
      <c r="CK69" s="170" t="str">
        <f>IF(CK68&lt;=2,"A",IF(CK68&lt;=2.75,"B",IF(CK68&lt;=3.5,"C",IF(CK68&lt;=4.25,"D",IF(CK68&lt;=5,"E","F")))))</f>
        <v>A</v>
      </c>
      <c r="CL69" s="49"/>
      <c r="CM69" s="28"/>
    </row>
    <row r="70" spans="2:91" x14ac:dyDescent="0.25">
      <c r="B70" s="55"/>
      <c r="C70" s="10"/>
      <c r="D70" s="93" t="s">
        <v>176</v>
      </c>
      <c r="E70" s="131"/>
      <c r="F70" s="299">
        <f>SUM(F18:F19)*IF(F46="Yes",1,0)+SUM(G18:G19)*IF(G46="Yes",1,0)+SUM(H18:H19)*IF(H46="Yes",1,0)+SUM(I18:I19)*IF(I46="Yes",1,0)</f>
        <v>269.39999999999998</v>
      </c>
      <c r="G70" s="314"/>
      <c r="H70" s="314"/>
      <c r="I70" s="315"/>
      <c r="J70" s="299">
        <f>SUM(J18:J19)*IF(J46="Yes",1,0)+SUM(K18:K19)*IF(K46="Yes",1,0)+SUM(L18:L19)*IF(L46="Yes",1,0)+SUM(M18:M19)*IF(M46="Yes",1,0)</f>
        <v>34.799999999999997</v>
      </c>
      <c r="K70" s="314"/>
      <c r="L70" s="314"/>
      <c r="M70" s="315"/>
      <c r="N70" s="299">
        <f>SUM(N18:N19)*IF(N46="Yes",1,0)+SUM(O18:O19)*IF(O46="Yes",1,0)+SUM(P18:P19)*IF(P46="Yes",1,0)+SUM(Q18:Q19)*IF(Q46="Yes",1,0)</f>
        <v>410.4</v>
      </c>
      <c r="O70" s="314"/>
      <c r="P70" s="314"/>
      <c r="Q70" s="315"/>
      <c r="R70" s="299">
        <f>SUM(R18:R19)*IF(R46="Yes",1,0)+SUM(S18:S19)*IF(S46="Yes",1,0)+SUM(T18:T19)*IF(T46="Yes",1,0)+SUM(U18:U19)*IF(U46="Yes",1,0)</f>
        <v>57.599999999999994</v>
      </c>
      <c r="S70" s="314"/>
      <c r="T70" s="314"/>
      <c r="U70" s="315"/>
      <c r="V70" s="299">
        <f>SUM(V18:V19)*IF(V46="Yes",1,0)+SUM(W18:W19)*IF(W46="Yes",1,0)+SUM(X18:X19)*IF(X46="Yes",1,0)+SUM(Y18:Y19)*IF(Y46="Yes",1,0)</f>
        <v>105</v>
      </c>
      <c r="W70" s="314"/>
      <c r="X70" s="314"/>
      <c r="Y70" s="315"/>
      <c r="Z70" s="299">
        <f>SUM(Z18:Z19)*IF(Z46="Yes",1,0)+SUM(AA18:AA19)*IF(AA46="Yes",1,0)+SUM(AB18:AB19)*IF(AB46="Yes",1,0)+SUM(AC18:AC19)*IF(AC46="Yes",1,0)</f>
        <v>111.89999999999999</v>
      </c>
      <c r="AA70" s="314"/>
      <c r="AB70" s="314"/>
      <c r="AC70" s="315"/>
      <c r="AD70" s="299">
        <f>SUM(AD18:AD19)*IF(AD46="Yes",1,0)+SUM(AE18:AE19)*IF(AE46="Yes",1,0)+SUM(AF18:AF19)*IF(AF46="Yes",1,0)+SUM(AG18:AG19)*IF(AG46="Yes",1,0)</f>
        <v>26.7</v>
      </c>
      <c r="AE70" s="314"/>
      <c r="AF70" s="314"/>
      <c r="AG70" s="315"/>
      <c r="AH70" s="299">
        <f>SUM(AH18:AH19)*IF(AH46="Yes",1,0)+SUM(AI18:AI19)*IF(AI46="Yes",1,0)+SUM(AJ18:AJ19)*IF(AJ46="Yes",1,0)+SUM(AK18:AK19)*IF(AK46="Yes",1,0)</f>
        <v>286.5</v>
      </c>
      <c r="AI70" s="314"/>
      <c r="AJ70" s="314"/>
      <c r="AK70" s="315"/>
      <c r="AL70" s="299">
        <f>SUM(AL18:AL19)*IF(AL46="Yes",1,0)+SUM(AM18:AM19)*IF(AM46="Yes",1,0)+SUM(AN18:AN19)*IF(AN46="Yes",1,0)+SUM(AO18:AO19)*IF(AO46="Yes",1,0)</f>
        <v>0</v>
      </c>
      <c r="AM70" s="314"/>
      <c r="AN70" s="314"/>
      <c r="AO70" s="315"/>
      <c r="AP70" s="299">
        <f>SUM(AP18:AP19)*IF(AP46="Yes",1,0)+SUM(AQ18:AQ19)*IF(AQ46="Yes",1,0)+SUM(AR18:AR19)*IF(AR46="Yes",1,0)+SUM(AS18:AS19)*IF(AS46="Yes",1,0)</f>
        <v>0</v>
      </c>
      <c r="AQ70" s="314"/>
      <c r="AR70" s="314"/>
      <c r="AS70" s="315"/>
      <c r="AT70" s="299">
        <f>SUM(AT18:AT19)*IF(AT46="Yes",1,0)+SUM(AU18:AU19)*IF(AU46="Yes",1,0)+SUM(AV18:AV19)*IF(AV46="Yes",1,0)+SUM(AW18:AW19)*IF(AW46="Yes",1,0)</f>
        <v>0</v>
      </c>
      <c r="AU70" s="314"/>
      <c r="AV70" s="314"/>
      <c r="AW70" s="315"/>
      <c r="AX70" s="299">
        <f>SUM(AX18:AX19)*IF(AX46="Yes",1,0)+SUM(AY18:AY19)*IF(AY46="Yes",1,0)+SUM(AZ18:AZ19)*IF(AZ46="Yes",1,0)+SUM(BA18:BA19)*IF(BA46="Yes",1,0)</f>
        <v>0</v>
      </c>
      <c r="AY70" s="314"/>
      <c r="AZ70" s="314"/>
      <c r="BA70" s="315"/>
      <c r="BB70" s="299">
        <f>SUM(BB18:BB19)*IF(BB46="Yes",1,0)+SUM(BC18:BC19)*IF(BC46="Yes",1,0)+SUM(BD18:BD19)*IF(BD46="Yes",1,0)+SUM(BE18:BE19)*IF(BE46="Yes",1,0)</f>
        <v>0</v>
      </c>
      <c r="BC70" s="314"/>
      <c r="BD70" s="314"/>
      <c r="BE70" s="315"/>
      <c r="BF70" s="299">
        <f>SUM(BF18:BF19)*IF(BF46="Yes",1,0)+SUM(BG18:BG19)*IF(BG46="Yes",1,0)+SUM(BH18:BH19)*IF(BH46="Yes",1,0)+SUM(BI18:BI19)*IF(BI46="Yes",1,0)</f>
        <v>0</v>
      </c>
      <c r="BG70" s="314"/>
      <c r="BH70" s="314"/>
      <c r="BI70" s="315"/>
      <c r="BJ70" s="299">
        <f>SUM(BJ18:BJ19)*IF(BJ46="Yes",1,0)+SUM(BK18:BK19)*IF(BK46="Yes",1,0)+SUM(BL18:BL19)*IF(BL46="Yes",1,0)+SUM(BM18:BM19)*IF(BM46="Yes",1,0)</f>
        <v>0</v>
      </c>
      <c r="BK70" s="314"/>
      <c r="BL70" s="314"/>
      <c r="BM70" s="315"/>
      <c r="BN70" s="299">
        <f>SUM(BN18:BN19)*IF(BN46="Yes",1,0)+SUM(BO18:BO19)*IF(BO46="Yes",1,0)+SUM(BP18:BP19)*IF(BP46="Yes",1,0)+SUM(BQ18:BQ19)*IF(BQ46="Yes",1,0)</f>
        <v>0</v>
      </c>
      <c r="BO70" s="314"/>
      <c r="BP70" s="314"/>
      <c r="BQ70" s="315"/>
      <c r="BR70" s="299">
        <f>SUM(BR18:BR19)*IF(BR46="Yes",1,0)+SUM(BS18:BS19)*IF(BS46="Yes",1,0)+SUM(BT18:BT19)*IF(BT46="Yes",1,0)+SUM(BU18:BU19)*IF(BU46="Yes",1,0)</f>
        <v>0</v>
      </c>
      <c r="BS70" s="314"/>
      <c r="BT70" s="314"/>
      <c r="BU70" s="315"/>
      <c r="BV70" s="299">
        <f>SUM(BV18:BV19)*IF(BV46="Yes",1,0)+SUM(BW18:BW19)*IF(BW46="Yes",1,0)+SUM(BX18:BX19)*IF(BX46="Yes",1,0)+SUM(BY18:BY19)*IF(BY46="Yes",1,0)</f>
        <v>0</v>
      </c>
      <c r="BW70" s="314"/>
      <c r="BX70" s="314"/>
      <c r="BY70" s="315"/>
      <c r="BZ70" s="299">
        <f>SUM(BZ18:BZ19)*IF(BZ46="Yes",1,0)+SUM(CA18:CA19)*IF(CA46="Yes",1,0)+SUM(CB18:CB19)*IF(CB46="Yes",1,0)+SUM(CC18:CC19)*IF(CC46="Yes",1,0)</f>
        <v>0</v>
      </c>
      <c r="CA70" s="314"/>
      <c r="CB70" s="314"/>
      <c r="CC70" s="315"/>
      <c r="CD70" s="299">
        <f>SUM(CD18:CD19)*IF(CD46="Yes",1,0)+SUM(CE18:CE19)*IF(CE46="Yes",1,0)+SUM(CF18:CF19)*IF(CF46="Yes",1,0)+SUM(CG18:CG19)*IF(CG46="Yes",1,0)</f>
        <v>0</v>
      </c>
      <c r="CE70" s="314"/>
      <c r="CF70" s="314"/>
      <c r="CG70" s="315"/>
      <c r="CH70" s="299">
        <f>SUM(CH18:CH19)*IF(CH46="Yes",1,0)+SUM(CI18:CI19)*IF(CI46="Yes",1,0)+SUM(CJ18:CJ19)*IF(CJ46="Yes",1,0)+SUM(CK18:CK19)*IF(CK46="Yes",1,0)</f>
        <v>0</v>
      </c>
      <c r="CI70" s="314"/>
      <c r="CJ70" s="314"/>
      <c r="CK70" s="315"/>
      <c r="CL70" s="49"/>
      <c r="CM70" s="28"/>
    </row>
    <row r="71" spans="2:91" ht="15.75" x14ac:dyDescent="0.25">
      <c r="B71" s="55"/>
      <c r="C71" s="4"/>
      <c r="D71" s="77" t="s">
        <v>226</v>
      </c>
      <c r="E71" s="134"/>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9"/>
      <c r="CM71" s="28"/>
    </row>
    <row r="72" spans="2:91" ht="14.25" x14ac:dyDescent="0.25">
      <c r="B72" s="55"/>
      <c r="C72" s="10" t="s">
        <v>309</v>
      </c>
      <c r="D72" s="93" t="s">
        <v>382</v>
      </c>
      <c r="E72" s="126">
        <f t="shared" ref="E72:AJ72" si="208">MAX(1500*ROUNDDOWN(E33/2.5,0),1500)</f>
        <v>1500</v>
      </c>
      <c r="F72" s="13">
        <f t="shared" si="208"/>
        <v>1500</v>
      </c>
      <c r="G72" s="44">
        <f t="shared" si="208"/>
        <v>1500</v>
      </c>
      <c r="H72" s="44">
        <f t="shared" si="208"/>
        <v>3000</v>
      </c>
      <c r="I72" s="14">
        <f t="shared" si="208"/>
        <v>3000</v>
      </c>
      <c r="J72" s="13">
        <f t="shared" si="208"/>
        <v>1500</v>
      </c>
      <c r="K72" s="44">
        <f t="shared" si="208"/>
        <v>1500</v>
      </c>
      <c r="L72" s="44">
        <f t="shared" si="208"/>
        <v>3000</v>
      </c>
      <c r="M72" s="14">
        <f t="shared" si="208"/>
        <v>3000</v>
      </c>
      <c r="N72" s="13">
        <f t="shared" si="208"/>
        <v>3000</v>
      </c>
      <c r="O72" s="44">
        <f t="shared" si="208"/>
        <v>1500</v>
      </c>
      <c r="P72" s="44">
        <f t="shared" si="208"/>
        <v>3000</v>
      </c>
      <c r="Q72" s="14">
        <f t="shared" si="208"/>
        <v>3000</v>
      </c>
      <c r="R72" s="13">
        <f t="shared" si="208"/>
        <v>1500</v>
      </c>
      <c r="S72" s="44">
        <f t="shared" si="208"/>
        <v>1500</v>
      </c>
      <c r="T72" s="44">
        <f t="shared" si="208"/>
        <v>3000</v>
      </c>
      <c r="U72" s="14">
        <f t="shared" si="208"/>
        <v>3000</v>
      </c>
      <c r="V72" s="13">
        <f t="shared" si="208"/>
        <v>1500</v>
      </c>
      <c r="W72" s="44">
        <f t="shared" si="208"/>
        <v>1500</v>
      </c>
      <c r="X72" s="44">
        <f t="shared" si="208"/>
        <v>3000</v>
      </c>
      <c r="Y72" s="14">
        <f t="shared" si="208"/>
        <v>3000</v>
      </c>
      <c r="Z72" s="13">
        <f t="shared" si="208"/>
        <v>1500</v>
      </c>
      <c r="AA72" s="44">
        <f t="shared" si="208"/>
        <v>1500</v>
      </c>
      <c r="AB72" s="44">
        <f t="shared" si="208"/>
        <v>3000</v>
      </c>
      <c r="AC72" s="14">
        <f t="shared" si="208"/>
        <v>3000</v>
      </c>
      <c r="AD72" s="13">
        <f t="shared" si="208"/>
        <v>1500</v>
      </c>
      <c r="AE72" s="44">
        <f t="shared" si="208"/>
        <v>1500</v>
      </c>
      <c r="AF72" s="44">
        <f t="shared" si="208"/>
        <v>1500</v>
      </c>
      <c r="AG72" s="14">
        <f t="shared" si="208"/>
        <v>1500</v>
      </c>
      <c r="AH72" s="13">
        <f t="shared" si="208"/>
        <v>1500</v>
      </c>
      <c r="AI72" s="44">
        <f t="shared" si="208"/>
        <v>1500</v>
      </c>
      <c r="AJ72" s="44">
        <f t="shared" si="208"/>
        <v>1500</v>
      </c>
      <c r="AK72" s="14">
        <f t="shared" ref="AK72:BP72" si="209">MAX(1500*ROUNDDOWN(AK33/2.5,0),1500)</f>
        <v>1500</v>
      </c>
      <c r="AL72" s="13">
        <f t="shared" si="209"/>
        <v>1500</v>
      </c>
      <c r="AM72" s="44">
        <f t="shared" si="209"/>
        <v>1500</v>
      </c>
      <c r="AN72" s="44">
        <f t="shared" si="209"/>
        <v>1500</v>
      </c>
      <c r="AO72" s="14">
        <f t="shared" si="209"/>
        <v>1500</v>
      </c>
      <c r="AP72" s="13">
        <f t="shared" si="209"/>
        <v>1500</v>
      </c>
      <c r="AQ72" s="44">
        <f t="shared" si="209"/>
        <v>1500</v>
      </c>
      <c r="AR72" s="44">
        <f t="shared" si="209"/>
        <v>1500</v>
      </c>
      <c r="AS72" s="14">
        <f t="shared" si="209"/>
        <v>1500</v>
      </c>
      <c r="AT72" s="13">
        <f t="shared" si="209"/>
        <v>1500</v>
      </c>
      <c r="AU72" s="44">
        <f t="shared" si="209"/>
        <v>1500</v>
      </c>
      <c r="AV72" s="44">
        <f t="shared" si="209"/>
        <v>1500</v>
      </c>
      <c r="AW72" s="14">
        <f t="shared" si="209"/>
        <v>1500</v>
      </c>
      <c r="AX72" s="13">
        <f t="shared" si="209"/>
        <v>1500</v>
      </c>
      <c r="AY72" s="44">
        <f t="shared" si="209"/>
        <v>1500</v>
      </c>
      <c r="AZ72" s="44">
        <f t="shared" si="209"/>
        <v>1500</v>
      </c>
      <c r="BA72" s="14">
        <f t="shared" si="209"/>
        <v>1500</v>
      </c>
      <c r="BB72" s="13">
        <f t="shared" si="209"/>
        <v>1500</v>
      </c>
      <c r="BC72" s="44">
        <f t="shared" si="209"/>
        <v>1500</v>
      </c>
      <c r="BD72" s="44">
        <f t="shared" si="209"/>
        <v>1500</v>
      </c>
      <c r="BE72" s="14">
        <f t="shared" si="209"/>
        <v>1500</v>
      </c>
      <c r="BF72" s="13">
        <f t="shared" si="209"/>
        <v>1500</v>
      </c>
      <c r="BG72" s="44">
        <f t="shared" si="209"/>
        <v>1500</v>
      </c>
      <c r="BH72" s="44">
        <f t="shared" si="209"/>
        <v>1500</v>
      </c>
      <c r="BI72" s="14">
        <f t="shared" si="209"/>
        <v>1500</v>
      </c>
      <c r="BJ72" s="13">
        <f t="shared" si="209"/>
        <v>1500</v>
      </c>
      <c r="BK72" s="44">
        <f t="shared" si="209"/>
        <v>1500</v>
      </c>
      <c r="BL72" s="44">
        <f t="shared" si="209"/>
        <v>1500</v>
      </c>
      <c r="BM72" s="14">
        <f t="shared" si="209"/>
        <v>1500</v>
      </c>
      <c r="BN72" s="13">
        <f t="shared" si="209"/>
        <v>1500</v>
      </c>
      <c r="BO72" s="44">
        <f t="shared" si="209"/>
        <v>1500</v>
      </c>
      <c r="BP72" s="44">
        <f t="shared" si="209"/>
        <v>1500</v>
      </c>
      <c r="BQ72" s="14">
        <f t="shared" ref="BQ72:CK72" si="210">MAX(1500*ROUNDDOWN(BQ33/2.5,0),1500)</f>
        <v>1500</v>
      </c>
      <c r="BR72" s="13">
        <f t="shared" si="210"/>
        <v>1500</v>
      </c>
      <c r="BS72" s="44">
        <f t="shared" si="210"/>
        <v>1500</v>
      </c>
      <c r="BT72" s="44">
        <f t="shared" si="210"/>
        <v>1500</v>
      </c>
      <c r="BU72" s="14">
        <f t="shared" si="210"/>
        <v>1500</v>
      </c>
      <c r="BV72" s="13">
        <f t="shared" si="210"/>
        <v>1500</v>
      </c>
      <c r="BW72" s="44">
        <f t="shared" si="210"/>
        <v>1500</v>
      </c>
      <c r="BX72" s="44">
        <f t="shared" si="210"/>
        <v>1500</v>
      </c>
      <c r="BY72" s="14">
        <f t="shared" si="210"/>
        <v>1500</v>
      </c>
      <c r="BZ72" s="13">
        <f t="shared" si="210"/>
        <v>1500</v>
      </c>
      <c r="CA72" s="44">
        <f t="shared" si="210"/>
        <v>1500</v>
      </c>
      <c r="CB72" s="44">
        <f t="shared" si="210"/>
        <v>1500</v>
      </c>
      <c r="CC72" s="14">
        <f t="shared" si="210"/>
        <v>1500</v>
      </c>
      <c r="CD72" s="13">
        <f t="shared" si="210"/>
        <v>1500</v>
      </c>
      <c r="CE72" s="44">
        <f t="shared" si="210"/>
        <v>1500</v>
      </c>
      <c r="CF72" s="44">
        <f t="shared" si="210"/>
        <v>1500</v>
      </c>
      <c r="CG72" s="14">
        <f t="shared" si="210"/>
        <v>1500</v>
      </c>
      <c r="CH72" s="13">
        <f t="shared" si="210"/>
        <v>1500</v>
      </c>
      <c r="CI72" s="44">
        <f t="shared" si="210"/>
        <v>1500</v>
      </c>
      <c r="CJ72" s="44">
        <f t="shared" si="210"/>
        <v>1500</v>
      </c>
      <c r="CK72" s="14">
        <f t="shared" si="210"/>
        <v>1500</v>
      </c>
      <c r="CL72" s="49"/>
      <c r="CM72" s="28"/>
    </row>
    <row r="73" spans="2:91" ht="14.25" x14ac:dyDescent="0.25">
      <c r="B73" s="55"/>
      <c r="C73" s="10" t="s">
        <v>314</v>
      </c>
      <c r="D73" s="93" t="s">
        <v>383</v>
      </c>
      <c r="E73" s="126">
        <v>5</v>
      </c>
      <c r="F73" s="13">
        <v>5</v>
      </c>
      <c r="G73" s="44">
        <v>5</v>
      </c>
      <c r="H73" s="44">
        <v>5</v>
      </c>
      <c r="I73" s="14">
        <v>5</v>
      </c>
      <c r="J73" s="13">
        <v>5</v>
      </c>
      <c r="K73" s="44">
        <v>5</v>
      </c>
      <c r="L73" s="44">
        <v>5</v>
      </c>
      <c r="M73" s="14">
        <v>5</v>
      </c>
      <c r="N73" s="13">
        <v>5</v>
      </c>
      <c r="O73" s="44">
        <v>5</v>
      </c>
      <c r="P73" s="44">
        <v>5</v>
      </c>
      <c r="Q73" s="14">
        <v>5</v>
      </c>
      <c r="R73" s="13">
        <v>5</v>
      </c>
      <c r="S73" s="44">
        <v>5</v>
      </c>
      <c r="T73" s="44">
        <v>5</v>
      </c>
      <c r="U73" s="14">
        <v>5</v>
      </c>
      <c r="V73" s="13">
        <v>5</v>
      </c>
      <c r="W73" s="44">
        <v>5</v>
      </c>
      <c r="X73" s="44">
        <v>5</v>
      </c>
      <c r="Y73" s="14">
        <v>5</v>
      </c>
      <c r="Z73" s="13">
        <v>5</v>
      </c>
      <c r="AA73" s="44">
        <v>5</v>
      </c>
      <c r="AB73" s="44">
        <v>5</v>
      </c>
      <c r="AC73" s="14">
        <v>5</v>
      </c>
      <c r="AD73" s="13">
        <v>5</v>
      </c>
      <c r="AE73" s="44">
        <v>5</v>
      </c>
      <c r="AF73" s="44">
        <v>5</v>
      </c>
      <c r="AG73" s="14">
        <v>5</v>
      </c>
      <c r="AH73" s="13">
        <v>5</v>
      </c>
      <c r="AI73" s="44">
        <v>5</v>
      </c>
      <c r="AJ73" s="44">
        <v>5</v>
      </c>
      <c r="AK73" s="14">
        <v>5</v>
      </c>
      <c r="AL73" s="13">
        <v>5</v>
      </c>
      <c r="AM73" s="44">
        <v>5</v>
      </c>
      <c r="AN73" s="44">
        <v>5</v>
      </c>
      <c r="AO73" s="14">
        <v>5</v>
      </c>
      <c r="AP73" s="13">
        <v>5</v>
      </c>
      <c r="AQ73" s="44">
        <v>5</v>
      </c>
      <c r="AR73" s="44">
        <v>5</v>
      </c>
      <c r="AS73" s="14">
        <v>5</v>
      </c>
      <c r="AT73" s="13">
        <v>5</v>
      </c>
      <c r="AU73" s="44">
        <v>5</v>
      </c>
      <c r="AV73" s="44">
        <v>5</v>
      </c>
      <c r="AW73" s="14">
        <v>5</v>
      </c>
      <c r="AX73" s="13">
        <v>5</v>
      </c>
      <c r="AY73" s="44">
        <v>5</v>
      </c>
      <c r="AZ73" s="44">
        <v>5</v>
      </c>
      <c r="BA73" s="14">
        <v>5</v>
      </c>
      <c r="BB73" s="13">
        <v>5</v>
      </c>
      <c r="BC73" s="44">
        <v>5</v>
      </c>
      <c r="BD73" s="44">
        <v>5</v>
      </c>
      <c r="BE73" s="14">
        <v>5</v>
      </c>
      <c r="BF73" s="13">
        <v>5</v>
      </c>
      <c r="BG73" s="44">
        <v>5</v>
      </c>
      <c r="BH73" s="44">
        <v>5</v>
      </c>
      <c r="BI73" s="14">
        <v>5</v>
      </c>
      <c r="BJ73" s="13">
        <v>5</v>
      </c>
      <c r="BK73" s="44">
        <v>5</v>
      </c>
      <c r="BL73" s="44">
        <v>5</v>
      </c>
      <c r="BM73" s="14">
        <v>5</v>
      </c>
      <c r="BN73" s="13">
        <v>5</v>
      </c>
      <c r="BO73" s="44">
        <v>5</v>
      </c>
      <c r="BP73" s="44">
        <v>5</v>
      </c>
      <c r="BQ73" s="14">
        <v>5</v>
      </c>
      <c r="BR73" s="13">
        <v>5</v>
      </c>
      <c r="BS73" s="44">
        <v>5</v>
      </c>
      <c r="BT73" s="44">
        <v>5</v>
      </c>
      <c r="BU73" s="14">
        <v>5</v>
      </c>
      <c r="BV73" s="13">
        <v>5</v>
      </c>
      <c r="BW73" s="44">
        <v>5</v>
      </c>
      <c r="BX73" s="44">
        <v>5</v>
      </c>
      <c r="BY73" s="14">
        <v>5</v>
      </c>
      <c r="BZ73" s="13">
        <v>5</v>
      </c>
      <c r="CA73" s="44">
        <v>5</v>
      </c>
      <c r="CB73" s="44">
        <v>5</v>
      </c>
      <c r="CC73" s="14">
        <v>5</v>
      </c>
      <c r="CD73" s="13">
        <v>5</v>
      </c>
      <c r="CE73" s="44">
        <v>5</v>
      </c>
      <c r="CF73" s="44">
        <v>5</v>
      </c>
      <c r="CG73" s="14">
        <v>5</v>
      </c>
      <c r="CH73" s="13">
        <v>5</v>
      </c>
      <c r="CI73" s="44">
        <v>5</v>
      </c>
      <c r="CJ73" s="44">
        <v>5</v>
      </c>
      <c r="CK73" s="14">
        <v>5</v>
      </c>
      <c r="CL73" s="49"/>
      <c r="CM73" s="28"/>
    </row>
    <row r="74" spans="2:91" ht="14.25" x14ac:dyDescent="0.25">
      <c r="B74" s="55"/>
      <c r="C74" s="10" t="s">
        <v>298</v>
      </c>
      <c r="D74" s="93" t="s">
        <v>385</v>
      </c>
      <c r="E74" s="127">
        <f t="shared" ref="E74:AK74" si="211">E72*EXP(-(E13/3600)*E73)*E26/E28</f>
        <v>450</v>
      </c>
      <c r="F74" s="13">
        <f t="shared" si="211"/>
        <v>494.25952375837142</v>
      </c>
      <c r="G74" s="44">
        <f t="shared" si="211"/>
        <v>503.96417057785845</v>
      </c>
      <c r="H74" s="44">
        <f t="shared" si="211"/>
        <v>986.10783673240689</v>
      </c>
      <c r="I74" s="14">
        <f t="shared" si="211"/>
        <v>917.39991937877812</v>
      </c>
      <c r="J74" s="13" t="e">
        <f t="shared" si="211"/>
        <v>#DIV/0!</v>
      </c>
      <c r="K74" s="44" t="e">
        <f t="shared" si="211"/>
        <v>#DIV/0!</v>
      </c>
      <c r="L74" s="44" t="e">
        <f t="shared" si="211"/>
        <v>#DIV/0!</v>
      </c>
      <c r="M74" s="14" t="e">
        <f t="shared" si="211"/>
        <v>#DIV/0!</v>
      </c>
      <c r="N74" s="13">
        <f t="shared" si="211"/>
        <v>750.48738247905919</v>
      </c>
      <c r="O74" s="44">
        <f t="shared" si="211"/>
        <v>244.6424802366368</v>
      </c>
      <c r="P74" s="44">
        <f t="shared" si="211"/>
        <v>862.61186445781152</v>
      </c>
      <c r="Q74" s="14">
        <f t="shared" si="211"/>
        <v>1818.0516763460228</v>
      </c>
      <c r="R74" s="13" t="e">
        <f t="shared" si="211"/>
        <v>#DIV/0!</v>
      </c>
      <c r="S74" s="44" t="e">
        <f t="shared" si="211"/>
        <v>#DIV/0!</v>
      </c>
      <c r="T74" s="44" t="e">
        <f t="shared" si="211"/>
        <v>#DIV/0!</v>
      </c>
      <c r="U74" s="14" t="e">
        <f t="shared" si="211"/>
        <v>#DIV/0!</v>
      </c>
      <c r="V74" s="13">
        <f t="shared" si="211"/>
        <v>114.6296715772112</v>
      </c>
      <c r="W74" s="44" t="e">
        <f t="shared" si="211"/>
        <v>#DIV/0!</v>
      </c>
      <c r="X74" s="44">
        <f t="shared" si="211"/>
        <v>1391.304347826087</v>
      </c>
      <c r="Y74" s="14">
        <f t="shared" si="211"/>
        <v>815.82513953842374</v>
      </c>
      <c r="Z74" s="13">
        <f t="shared" si="211"/>
        <v>501.99173684896272</v>
      </c>
      <c r="AA74" s="44" t="e">
        <f t="shared" si="211"/>
        <v>#DIV/0!</v>
      </c>
      <c r="AB74" s="44">
        <f t="shared" si="211"/>
        <v>1240</v>
      </c>
      <c r="AC74" s="14">
        <f t="shared" si="211"/>
        <v>703.19912418465094</v>
      </c>
      <c r="AD74" s="13">
        <f t="shared" si="211"/>
        <v>439.49945261540682</v>
      </c>
      <c r="AE74" s="44" t="e">
        <f t="shared" si="211"/>
        <v>#DIV/0!</v>
      </c>
      <c r="AF74" s="44">
        <f t="shared" si="211"/>
        <v>850</v>
      </c>
      <c r="AG74" s="14">
        <f t="shared" si="211"/>
        <v>838.27604923232877</v>
      </c>
      <c r="AH74" s="14">
        <f t="shared" si="211"/>
        <v>779.73889052141033</v>
      </c>
      <c r="AI74" s="14">
        <f t="shared" si="211"/>
        <v>697.74101608777346</v>
      </c>
      <c r="AJ74" s="14">
        <f t="shared" si="211"/>
        <v>354.03155668130313</v>
      </c>
      <c r="AK74" s="14">
        <f t="shared" si="211"/>
        <v>492.72026927404141</v>
      </c>
      <c r="AL74" s="13" t="e">
        <f t="shared" ref="AL74:BP74" si="212">AL72*EXP(-(AL13/3600)*AL73)*AL26/AL28</f>
        <v>#DIV/0!</v>
      </c>
      <c r="AM74" s="44" t="e">
        <f t="shared" si="212"/>
        <v>#DIV/0!</v>
      </c>
      <c r="AN74" s="44" t="e">
        <f t="shared" si="212"/>
        <v>#DIV/0!</v>
      </c>
      <c r="AO74" s="14" t="e">
        <f t="shared" si="212"/>
        <v>#DIV/0!</v>
      </c>
      <c r="AP74" s="13" t="e">
        <f t="shared" si="212"/>
        <v>#DIV/0!</v>
      </c>
      <c r="AQ74" s="44" t="e">
        <f t="shared" si="212"/>
        <v>#DIV/0!</v>
      </c>
      <c r="AR74" s="44" t="e">
        <f t="shared" si="212"/>
        <v>#DIV/0!</v>
      </c>
      <c r="AS74" s="14" t="e">
        <f t="shared" si="212"/>
        <v>#DIV/0!</v>
      </c>
      <c r="AT74" s="13" t="e">
        <f t="shared" si="212"/>
        <v>#DIV/0!</v>
      </c>
      <c r="AU74" s="44" t="e">
        <f t="shared" si="212"/>
        <v>#DIV/0!</v>
      </c>
      <c r="AV74" s="44" t="e">
        <f t="shared" si="212"/>
        <v>#DIV/0!</v>
      </c>
      <c r="AW74" s="14" t="e">
        <f t="shared" si="212"/>
        <v>#DIV/0!</v>
      </c>
      <c r="AX74" s="13" t="e">
        <f t="shared" si="212"/>
        <v>#DIV/0!</v>
      </c>
      <c r="AY74" s="44" t="e">
        <f t="shared" si="212"/>
        <v>#DIV/0!</v>
      </c>
      <c r="AZ74" s="44" t="e">
        <f t="shared" si="212"/>
        <v>#DIV/0!</v>
      </c>
      <c r="BA74" s="14" t="e">
        <f t="shared" si="212"/>
        <v>#DIV/0!</v>
      </c>
      <c r="BB74" s="13" t="e">
        <f t="shared" si="212"/>
        <v>#DIV/0!</v>
      </c>
      <c r="BC74" s="44" t="e">
        <f t="shared" si="212"/>
        <v>#DIV/0!</v>
      </c>
      <c r="BD74" s="44" t="e">
        <f t="shared" si="212"/>
        <v>#DIV/0!</v>
      </c>
      <c r="BE74" s="14" t="e">
        <f t="shared" si="212"/>
        <v>#DIV/0!</v>
      </c>
      <c r="BF74" s="13" t="e">
        <f t="shared" si="212"/>
        <v>#DIV/0!</v>
      </c>
      <c r="BG74" s="44" t="e">
        <f t="shared" si="212"/>
        <v>#DIV/0!</v>
      </c>
      <c r="BH74" s="44" t="e">
        <f t="shared" si="212"/>
        <v>#DIV/0!</v>
      </c>
      <c r="BI74" s="14" t="e">
        <f t="shared" si="212"/>
        <v>#DIV/0!</v>
      </c>
      <c r="BJ74" s="13" t="e">
        <f t="shared" si="212"/>
        <v>#DIV/0!</v>
      </c>
      <c r="BK74" s="44" t="e">
        <f t="shared" si="212"/>
        <v>#DIV/0!</v>
      </c>
      <c r="BL74" s="44" t="e">
        <f t="shared" si="212"/>
        <v>#DIV/0!</v>
      </c>
      <c r="BM74" s="14" t="e">
        <f t="shared" si="212"/>
        <v>#DIV/0!</v>
      </c>
      <c r="BN74" s="13" t="e">
        <f t="shared" si="212"/>
        <v>#DIV/0!</v>
      </c>
      <c r="BO74" s="44" t="e">
        <f t="shared" si="212"/>
        <v>#DIV/0!</v>
      </c>
      <c r="BP74" s="44" t="e">
        <f t="shared" si="212"/>
        <v>#DIV/0!</v>
      </c>
      <c r="BQ74" s="14" t="e">
        <f t="shared" ref="BQ74:CK74" si="213">BQ72*EXP(-(BQ13/3600)*BQ73)*BQ26/BQ28</f>
        <v>#DIV/0!</v>
      </c>
      <c r="BR74" s="13" t="e">
        <f t="shared" si="213"/>
        <v>#DIV/0!</v>
      </c>
      <c r="BS74" s="44" t="e">
        <f t="shared" si="213"/>
        <v>#DIV/0!</v>
      </c>
      <c r="BT74" s="44" t="e">
        <f t="shared" si="213"/>
        <v>#DIV/0!</v>
      </c>
      <c r="BU74" s="14" t="e">
        <f t="shared" si="213"/>
        <v>#DIV/0!</v>
      </c>
      <c r="BV74" s="13" t="e">
        <f t="shared" si="213"/>
        <v>#DIV/0!</v>
      </c>
      <c r="BW74" s="44" t="e">
        <f t="shared" si="213"/>
        <v>#DIV/0!</v>
      </c>
      <c r="BX74" s="44" t="e">
        <f t="shared" si="213"/>
        <v>#DIV/0!</v>
      </c>
      <c r="BY74" s="14" t="e">
        <f t="shared" si="213"/>
        <v>#DIV/0!</v>
      </c>
      <c r="BZ74" s="13" t="e">
        <f t="shared" si="213"/>
        <v>#DIV/0!</v>
      </c>
      <c r="CA74" s="44" t="e">
        <f t="shared" si="213"/>
        <v>#DIV/0!</v>
      </c>
      <c r="CB74" s="44" t="e">
        <f t="shared" si="213"/>
        <v>#DIV/0!</v>
      </c>
      <c r="CC74" s="14" t="e">
        <f t="shared" si="213"/>
        <v>#DIV/0!</v>
      </c>
      <c r="CD74" s="13" t="e">
        <f t="shared" si="213"/>
        <v>#DIV/0!</v>
      </c>
      <c r="CE74" s="44" t="e">
        <f t="shared" si="213"/>
        <v>#DIV/0!</v>
      </c>
      <c r="CF74" s="44" t="e">
        <f t="shared" si="213"/>
        <v>#DIV/0!</v>
      </c>
      <c r="CG74" s="14" t="e">
        <f t="shared" si="213"/>
        <v>#DIV/0!</v>
      </c>
      <c r="CH74" s="13" t="e">
        <f t="shared" si="213"/>
        <v>#DIV/0!</v>
      </c>
      <c r="CI74" s="44" t="e">
        <f t="shared" si="213"/>
        <v>#DIV/0!</v>
      </c>
      <c r="CJ74" s="44" t="e">
        <f t="shared" si="213"/>
        <v>#DIV/0!</v>
      </c>
      <c r="CK74" s="14" t="e">
        <f t="shared" si="213"/>
        <v>#DIV/0!</v>
      </c>
      <c r="CL74" s="49"/>
      <c r="CM74" s="28"/>
    </row>
    <row r="75" spans="2:91" ht="14.25" x14ac:dyDescent="0.25">
      <c r="B75" s="55"/>
      <c r="C75" s="203" t="s">
        <v>408</v>
      </c>
      <c r="D75" s="177" t="s">
        <v>409</v>
      </c>
      <c r="E75" s="126">
        <f t="shared" ref="E75:AK75" si="214">0.5*E28*(1-E26/E28)^2/(1-MIN(E21/E74,1)*(E26/E28))</f>
        <v>24.499999999999996</v>
      </c>
      <c r="F75" s="13">
        <f t="shared" si="214"/>
        <v>19.275579850979447</v>
      </c>
      <c r="G75" s="44">
        <f t="shared" si="214"/>
        <v>18.970227362036127</v>
      </c>
      <c r="H75" s="44">
        <f t="shared" si="214"/>
        <v>19.958080376389965</v>
      </c>
      <c r="I75" s="14">
        <f t="shared" si="214"/>
        <v>19.385840202048122</v>
      </c>
      <c r="J75" s="13" t="e">
        <f t="shared" si="214"/>
        <v>#DIV/0!</v>
      </c>
      <c r="K75" s="44" t="e">
        <f t="shared" si="214"/>
        <v>#DIV/0!</v>
      </c>
      <c r="L75" s="44" t="e">
        <f t="shared" si="214"/>
        <v>#DIV/0!</v>
      </c>
      <c r="M75" s="14" t="e">
        <f t="shared" si="214"/>
        <v>#DIV/0!</v>
      </c>
      <c r="N75" s="13">
        <f t="shared" si="214"/>
        <v>24.425654970017906</v>
      </c>
      <c r="O75" s="44">
        <f t="shared" si="214"/>
        <v>24.359313713233597</v>
      </c>
      <c r="P75" s="44">
        <f t="shared" si="214"/>
        <v>21.383109814576017</v>
      </c>
      <c r="Q75" s="14">
        <f t="shared" si="214"/>
        <v>6.4531421564971501</v>
      </c>
      <c r="R75" s="13" t="e">
        <f t="shared" si="214"/>
        <v>#DIV/0!</v>
      </c>
      <c r="S75" s="44" t="e">
        <f t="shared" si="214"/>
        <v>#DIV/0!</v>
      </c>
      <c r="T75" s="44" t="e">
        <f t="shared" si="214"/>
        <v>#DIV/0!</v>
      </c>
      <c r="U75" s="14" t="e">
        <f t="shared" si="214"/>
        <v>#DIV/0!</v>
      </c>
      <c r="V75" s="13">
        <f t="shared" si="214"/>
        <v>28.892373753889849</v>
      </c>
      <c r="W75" s="44" t="e">
        <f t="shared" si="214"/>
        <v>#DIV/0!</v>
      </c>
      <c r="X75" s="44">
        <f t="shared" si="214"/>
        <v>9.9801708803545885</v>
      </c>
      <c r="Y75" s="14">
        <f t="shared" si="214"/>
        <v>18.128179498269247</v>
      </c>
      <c r="Z75" s="13">
        <f t="shared" si="214"/>
        <v>14.589904663905221</v>
      </c>
      <c r="AA75" s="44" t="e">
        <f t="shared" si="214"/>
        <v>#DIV/0!</v>
      </c>
      <c r="AB75" s="44">
        <f t="shared" si="214"/>
        <v>12.932531730126922</v>
      </c>
      <c r="AC75" s="14">
        <f t="shared" si="214"/>
        <v>21.682200232666133</v>
      </c>
      <c r="AD75" s="13">
        <f t="shared" si="214"/>
        <v>14.720095718842757</v>
      </c>
      <c r="AE75" s="44" t="e">
        <f t="shared" si="214"/>
        <v>#DIV/0!</v>
      </c>
      <c r="AF75" s="44">
        <f t="shared" si="214"/>
        <v>5.6521739130434785</v>
      </c>
      <c r="AG75" s="14">
        <f t="shared" si="214"/>
        <v>5.6486069524519404</v>
      </c>
      <c r="AH75" s="14">
        <f t="shared" si="214"/>
        <v>7.3938296102135643</v>
      </c>
      <c r="AI75" s="14">
        <f t="shared" si="214"/>
        <v>7.191876750461013</v>
      </c>
      <c r="AJ75" s="14">
        <f t="shared" si="214"/>
        <v>14.646081867410894</v>
      </c>
      <c r="AK75" s="14">
        <f t="shared" si="214"/>
        <v>14.588086670651977</v>
      </c>
      <c r="AL75" s="13" t="e">
        <f t="shared" ref="AL75:BP75" si="215">0.5*AL28*(1-AL26/AL28)^2/(1-MIN(AL21/AL74,1)*(AL26/AL28))</f>
        <v>#DIV/0!</v>
      </c>
      <c r="AM75" s="44" t="e">
        <f t="shared" si="215"/>
        <v>#DIV/0!</v>
      </c>
      <c r="AN75" s="44" t="e">
        <f t="shared" si="215"/>
        <v>#DIV/0!</v>
      </c>
      <c r="AO75" s="14" t="e">
        <f t="shared" si="215"/>
        <v>#DIV/0!</v>
      </c>
      <c r="AP75" s="13" t="e">
        <f t="shared" si="215"/>
        <v>#DIV/0!</v>
      </c>
      <c r="AQ75" s="44" t="e">
        <f t="shared" si="215"/>
        <v>#DIV/0!</v>
      </c>
      <c r="AR75" s="44" t="e">
        <f t="shared" si="215"/>
        <v>#DIV/0!</v>
      </c>
      <c r="AS75" s="14" t="e">
        <f t="shared" si="215"/>
        <v>#DIV/0!</v>
      </c>
      <c r="AT75" s="13" t="e">
        <f t="shared" si="215"/>
        <v>#DIV/0!</v>
      </c>
      <c r="AU75" s="44" t="e">
        <f t="shared" si="215"/>
        <v>#DIV/0!</v>
      </c>
      <c r="AV75" s="44" t="e">
        <f t="shared" si="215"/>
        <v>#DIV/0!</v>
      </c>
      <c r="AW75" s="14" t="e">
        <f t="shared" si="215"/>
        <v>#DIV/0!</v>
      </c>
      <c r="AX75" s="13" t="e">
        <f t="shared" si="215"/>
        <v>#DIV/0!</v>
      </c>
      <c r="AY75" s="44" t="e">
        <f t="shared" si="215"/>
        <v>#DIV/0!</v>
      </c>
      <c r="AZ75" s="44" t="e">
        <f t="shared" si="215"/>
        <v>#DIV/0!</v>
      </c>
      <c r="BA75" s="14" t="e">
        <f t="shared" si="215"/>
        <v>#DIV/0!</v>
      </c>
      <c r="BB75" s="13" t="e">
        <f t="shared" si="215"/>
        <v>#DIV/0!</v>
      </c>
      <c r="BC75" s="44" t="e">
        <f t="shared" si="215"/>
        <v>#DIV/0!</v>
      </c>
      <c r="BD75" s="44" t="e">
        <f t="shared" si="215"/>
        <v>#DIV/0!</v>
      </c>
      <c r="BE75" s="14" t="e">
        <f t="shared" si="215"/>
        <v>#DIV/0!</v>
      </c>
      <c r="BF75" s="13" t="e">
        <f t="shared" si="215"/>
        <v>#DIV/0!</v>
      </c>
      <c r="BG75" s="44" t="e">
        <f t="shared" si="215"/>
        <v>#DIV/0!</v>
      </c>
      <c r="BH75" s="44" t="e">
        <f t="shared" si="215"/>
        <v>#DIV/0!</v>
      </c>
      <c r="BI75" s="14" t="e">
        <f t="shared" si="215"/>
        <v>#DIV/0!</v>
      </c>
      <c r="BJ75" s="13" t="e">
        <f t="shared" si="215"/>
        <v>#DIV/0!</v>
      </c>
      <c r="BK75" s="44" t="e">
        <f t="shared" si="215"/>
        <v>#DIV/0!</v>
      </c>
      <c r="BL75" s="44" t="e">
        <f t="shared" si="215"/>
        <v>#DIV/0!</v>
      </c>
      <c r="BM75" s="14" t="e">
        <f t="shared" si="215"/>
        <v>#DIV/0!</v>
      </c>
      <c r="BN75" s="13" t="e">
        <f t="shared" si="215"/>
        <v>#DIV/0!</v>
      </c>
      <c r="BO75" s="44" t="e">
        <f t="shared" si="215"/>
        <v>#DIV/0!</v>
      </c>
      <c r="BP75" s="44" t="e">
        <f t="shared" si="215"/>
        <v>#DIV/0!</v>
      </c>
      <c r="BQ75" s="14" t="e">
        <f t="shared" ref="BQ75:CK75" si="216">0.5*BQ28*(1-BQ26/BQ28)^2/(1-MIN(BQ21/BQ74,1)*(BQ26/BQ28))</f>
        <v>#DIV/0!</v>
      </c>
      <c r="BR75" s="13" t="e">
        <f t="shared" si="216"/>
        <v>#DIV/0!</v>
      </c>
      <c r="BS75" s="44" t="e">
        <f t="shared" si="216"/>
        <v>#DIV/0!</v>
      </c>
      <c r="BT75" s="44" t="e">
        <f t="shared" si="216"/>
        <v>#DIV/0!</v>
      </c>
      <c r="BU75" s="14" t="e">
        <f t="shared" si="216"/>
        <v>#DIV/0!</v>
      </c>
      <c r="BV75" s="13" t="e">
        <f t="shared" si="216"/>
        <v>#DIV/0!</v>
      </c>
      <c r="BW75" s="44" t="e">
        <f t="shared" si="216"/>
        <v>#DIV/0!</v>
      </c>
      <c r="BX75" s="44" t="e">
        <f t="shared" si="216"/>
        <v>#DIV/0!</v>
      </c>
      <c r="BY75" s="14" t="e">
        <f t="shared" si="216"/>
        <v>#DIV/0!</v>
      </c>
      <c r="BZ75" s="13" t="e">
        <f t="shared" si="216"/>
        <v>#DIV/0!</v>
      </c>
      <c r="CA75" s="44" t="e">
        <f t="shared" si="216"/>
        <v>#DIV/0!</v>
      </c>
      <c r="CB75" s="44" t="e">
        <f t="shared" si="216"/>
        <v>#DIV/0!</v>
      </c>
      <c r="CC75" s="14" t="e">
        <f t="shared" si="216"/>
        <v>#DIV/0!</v>
      </c>
      <c r="CD75" s="13" t="e">
        <f t="shared" si="216"/>
        <v>#DIV/0!</v>
      </c>
      <c r="CE75" s="44" t="e">
        <f t="shared" si="216"/>
        <v>#DIV/0!</v>
      </c>
      <c r="CF75" s="44" t="e">
        <f t="shared" si="216"/>
        <v>#DIV/0!</v>
      </c>
      <c r="CG75" s="14" t="e">
        <f t="shared" si="216"/>
        <v>#DIV/0!</v>
      </c>
      <c r="CH75" s="13" t="e">
        <f t="shared" si="216"/>
        <v>#DIV/0!</v>
      </c>
      <c r="CI75" s="44" t="e">
        <f t="shared" si="216"/>
        <v>#DIV/0!</v>
      </c>
      <c r="CJ75" s="44" t="e">
        <f t="shared" si="216"/>
        <v>#DIV/0!</v>
      </c>
      <c r="CK75" s="14" t="e">
        <f t="shared" si="216"/>
        <v>#DIV/0!</v>
      </c>
      <c r="CL75" s="49"/>
      <c r="CM75" s="28"/>
    </row>
    <row r="76" spans="2:91" x14ac:dyDescent="0.25">
      <c r="B76" s="55"/>
      <c r="C76" s="287" t="s">
        <v>421</v>
      </c>
      <c r="D76" s="288"/>
      <c r="E76" s="236"/>
      <c r="F76" s="13"/>
      <c r="G76" s="44"/>
      <c r="H76" s="44"/>
      <c r="I76" s="14"/>
      <c r="J76" s="13"/>
      <c r="K76" s="44"/>
      <c r="L76" s="44"/>
      <c r="M76" s="14"/>
      <c r="N76" s="13"/>
      <c r="O76" s="44"/>
      <c r="P76" s="44"/>
      <c r="Q76" s="14"/>
      <c r="R76" s="13"/>
      <c r="S76" s="44"/>
      <c r="T76" s="44"/>
      <c r="U76" s="14"/>
      <c r="V76" s="13"/>
      <c r="W76" s="44"/>
      <c r="X76" s="44"/>
      <c r="Y76" s="14"/>
      <c r="Z76" s="13"/>
      <c r="AA76" s="44"/>
      <c r="AB76" s="44"/>
      <c r="AC76" s="14"/>
      <c r="AD76" s="13"/>
      <c r="AE76" s="44"/>
      <c r="AF76" s="44"/>
      <c r="AG76" s="14"/>
      <c r="AH76" s="13"/>
      <c r="AI76" s="44"/>
      <c r="AJ76" s="44"/>
      <c r="AK76" s="14"/>
      <c r="AL76" s="13"/>
      <c r="AM76" s="44"/>
      <c r="AN76" s="44"/>
      <c r="AO76" s="14"/>
      <c r="AP76" s="13"/>
      <c r="AQ76" s="44"/>
      <c r="AR76" s="44"/>
      <c r="AS76" s="14"/>
      <c r="AT76" s="13"/>
      <c r="AU76" s="44"/>
      <c r="AV76" s="44"/>
      <c r="AW76" s="14"/>
      <c r="AX76" s="13"/>
      <c r="AY76" s="44"/>
      <c r="AZ76" s="44"/>
      <c r="BA76" s="14"/>
      <c r="BB76" s="13"/>
      <c r="BC76" s="44"/>
      <c r="BD76" s="44"/>
      <c r="BE76" s="14"/>
      <c r="BF76" s="13"/>
      <c r="BG76" s="44"/>
      <c r="BH76" s="44"/>
      <c r="BI76" s="14"/>
      <c r="BJ76" s="13"/>
      <c r="BK76" s="44"/>
      <c r="BL76" s="44"/>
      <c r="BM76" s="14"/>
      <c r="BN76" s="13"/>
      <c r="BO76" s="44"/>
      <c r="BP76" s="44"/>
      <c r="BQ76" s="14"/>
      <c r="BR76" s="13"/>
      <c r="BS76" s="44"/>
      <c r="BT76" s="44"/>
      <c r="BU76" s="14"/>
      <c r="BV76" s="13"/>
      <c r="BW76" s="44"/>
      <c r="BX76" s="44"/>
      <c r="BY76" s="14"/>
      <c r="BZ76" s="13"/>
      <c r="CA76" s="44"/>
      <c r="CB76" s="44"/>
      <c r="CC76" s="14"/>
      <c r="CD76" s="13"/>
      <c r="CE76" s="44"/>
      <c r="CF76" s="44"/>
      <c r="CG76" s="14"/>
      <c r="CH76" s="13"/>
      <c r="CI76" s="44"/>
      <c r="CJ76" s="44"/>
      <c r="CK76" s="14"/>
      <c r="CL76" s="49"/>
      <c r="CM76" s="28"/>
    </row>
    <row r="77" spans="2:91" ht="14.25" x14ac:dyDescent="0.25">
      <c r="B77" s="55"/>
      <c r="C77" s="10" t="s">
        <v>410</v>
      </c>
      <c r="D77" s="93" t="s">
        <v>411</v>
      </c>
      <c r="E77" s="125">
        <f t="shared" ref="E77:AJ77" si="217">E32/E41 +E42</f>
        <v>3</v>
      </c>
      <c r="F77" s="13">
        <f t="shared" si="217"/>
        <v>9.4</v>
      </c>
      <c r="G77" s="44">
        <f t="shared" si="217"/>
        <v>9.4</v>
      </c>
      <c r="H77" s="44">
        <f t="shared" si="217"/>
        <v>8.1999999999999993</v>
      </c>
      <c r="I77" s="14">
        <f t="shared" si="217"/>
        <v>8.1999999999999993</v>
      </c>
      <c r="J77" s="13">
        <f t="shared" si="217"/>
        <v>8</v>
      </c>
      <c r="K77" s="44" t="e">
        <f t="shared" si="217"/>
        <v>#DIV/0!</v>
      </c>
      <c r="L77" s="44">
        <f t="shared" si="217"/>
        <v>7</v>
      </c>
      <c r="M77" s="14">
        <f t="shared" si="217"/>
        <v>7</v>
      </c>
      <c r="N77" s="13">
        <f t="shared" si="217"/>
        <v>7.8</v>
      </c>
      <c r="O77" s="44">
        <f t="shared" si="217"/>
        <v>8.3000000000000007</v>
      </c>
      <c r="P77" s="44">
        <f t="shared" si="217"/>
        <v>9</v>
      </c>
      <c r="Q77" s="14">
        <f t="shared" si="217"/>
        <v>12</v>
      </c>
      <c r="R77" s="13">
        <f t="shared" si="217"/>
        <v>8</v>
      </c>
      <c r="S77" s="44" t="e">
        <f t="shared" si="217"/>
        <v>#DIV/0!</v>
      </c>
      <c r="T77" s="44">
        <f t="shared" si="217"/>
        <v>5.8</v>
      </c>
      <c r="U77" s="14">
        <f t="shared" si="217"/>
        <v>5.8</v>
      </c>
      <c r="V77" s="13">
        <f t="shared" si="217"/>
        <v>7.5</v>
      </c>
      <c r="W77" s="44" t="e">
        <f t="shared" si="217"/>
        <v>#DIV/0!</v>
      </c>
      <c r="X77" s="44">
        <f t="shared" si="217"/>
        <v>10.4</v>
      </c>
      <c r="Y77" s="14">
        <f t="shared" si="217"/>
        <v>10.4</v>
      </c>
      <c r="Z77" s="13">
        <f t="shared" si="217"/>
        <v>7.2</v>
      </c>
      <c r="AA77" s="44" t="e">
        <f t="shared" si="217"/>
        <v>#DIV/0!</v>
      </c>
      <c r="AB77" s="44">
        <f t="shared" si="217"/>
        <v>6.5</v>
      </c>
      <c r="AC77" s="14">
        <f t="shared" si="217"/>
        <v>6.5</v>
      </c>
      <c r="AD77" s="13">
        <f t="shared" si="217"/>
        <v>6</v>
      </c>
      <c r="AE77" s="44" t="e">
        <f t="shared" si="217"/>
        <v>#DIV/0!</v>
      </c>
      <c r="AF77" s="44">
        <f t="shared" si="217"/>
        <v>6.3</v>
      </c>
      <c r="AG77" s="14">
        <f t="shared" si="217"/>
        <v>6.3</v>
      </c>
      <c r="AH77" s="13">
        <f t="shared" si="217"/>
        <v>7.1</v>
      </c>
      <c r="AI77" s="44">
        <f t="shared" si="217"/>
        <v>7.1</v>
      </c>
      <c r="AJ77" s="44">
        <f t="shared" si="217"/>
        <v>6.4</v>
      </c>
      <c r="AK77" s="14">
        <f t="shared" ref="AK77:BP77" si="218">AK32/AK41 +AK42</f>
        <v>7.4</v>
      </c>
      <c r="AL77" s="13" t="e">
        <f t="shared" si="218"/>
        <v>#DIV/0!</v>
      </c>
      <c r="AM77" s="44" t="e">
        <f t="shared" si="218"/>
        <v>#DIV/0!</v>
      </c>
      <c r="AN77" s="44" t="e">
        <f t="shared" si="218"/>
        <v>#DIV/0!</v>
      </c>
      <c r="AO77" s="14" t="e">
        <f t="shared" si="218"/>
        <v>#DIV/0!</v>
      </c>
      <c r="AP77" s="13" t="e">
        <f t="shared" si="218"/>
        <v>#DIV/0!</v>
      </c>
      <c r="AQ77" s="44" t="e">
        <f t="shared" si="218"/>
        <v>#DIV/0!</v>
      </c>
      <c r="AR77" s="44" t="e">
        <f t="shared" si="218"/>
        <v>#DIV/0!</v>
      </c>
      <c r="AS77" s="14" t="e">
        <f t="shared" si="218"/>
        <v>#DIV/0!</v>
      </c>
      <c r="AT77" s="13" t="e">
        <f t="shared" si="218"/>
        <v>#DIV/0!</v>
      </c>
      <c r="AU77" s="44" t="e">
        <f t="shared" si="218"/>
        <v>#DIV/0!</v>
      </c>
      <c r="AV77" s="44" t="e">
        <f t="shared" si="218"/>
        <v>#DIV/0!</v>
      </c>
      <c r="AW77" s="14" t="e">
        <f t="shared" si="218"/>
        <v>#DIV/0!</v>
      </c>
      <c r="AX77" s="13" t="e">
        <f t="shared" si="218"/>
        <v>#DIV/0!</v>
      </c>
      <c r="AY77" s="44" t="e">
        <f t="shared" si="218"/>
        <v>#DIV/0!</v>
      </c>
      <c r="AZ77" s="44" t="e">
        <f t="shared" si="218"/>
        <v>#DIV/0!</v>
      </c>
      <c r="BA77" s="14" t="e">
        <f t="shared" si="218"/>
        <v>#DIV/0!</v>
      </c>
      <c r="BB77" s="13" t="e">
        <f t="shared" si="218"/>
        <v>#DIV/0!</v>
      </c>
      <c r="BC77" s="44" t="e">
        <f t="shared" si="218"/>
        <v>#DIV/0!</v>
      </c>
      <c r="BD77" s="44" t="e">
        <f t="shared" si="218"/>
        <v>#DIV/0!</v>
      </c>
      <c r="BE77" s="14" t="e">
        <f t="shared" si="218"/>
        <v>#DIV/0!</v>
      </c>
      <c r="BF77" s="13" t="e">
        <f t="shared" si="218"/>
        <v>#DIV/0!</v>
      </c>
      <c r="BG77" s="44" t="e">
        <f t="shared" si="218"/>
        <v>#DIV/0!</v>
      </c>
      <c r="BH77" s="44" t="e">
        <f t="shared" si="218"/>
        <v>#DIV/0!</v>
      </c>
      <c r="BI77" s="14" t="e">
        <f t="shared" si="218"/>
        <v>#DIV/0!</v>
      </c>
      <c r="BJ77" s="13" t="e">
        <f t="shared" si="218"/>
        <v>#DIV/0!</v>
      </c>
      <c r="BK77" s="44" t="e">
        <f t="shared" si="218"/>
        <v>#DIV/0!</v>
      </c>
      <c r="BL77" s="44" t="e">
        <f t="shared" si="218"/>
        <v>#DIV/0!</v>
      </c>
      <c r="BM77" s="14" t="e">
        <f t="shared" si="218"/>
        <v>#DIV/0!</v>
      </c>
      <c r="BN77" s="13" t="e">
        <f t="shared" si="218"/>
        <v>#DIV/0!</v>
      </c>
      <c r="BO77" s="44" t="e">
        <f t="shared" si="218"/>
        <v>#DIV/0!</v>
      </c>
      <c r="BP77" s="44" t="e">
        <f t="shared" si="218"/>
        <v>#DIV/0!</v>
      </c>
      <c r="BQ77" s="14" t="e">
        <f t="shared" ref="BQ77:CK77" si="219">BQ32/BQ41 +BQ42</f>
        <v>#DIV/0!</v>
      </c>
      <c r="BR77" s="13" t="e">
        <f t="shared" si="219"/>
        <v>#DIV/0!</v>
      </c>
      <c r="BS77" s="44" t="e">
        <f t="shared" si="219"/>
        <v>#DIV/0!</v>
      </c>
      <c r="BT77" s="44" t="e">
        <f t="shared" si="219"/>
        <v>#DIV/0!</v>
      </c>
      <c r="BU77" s="14" t="e">
        <f t="shared" si="219"/>
        <v>#DIV/0!</v>
      </c>
      <c r="BV77" s="13" t="e">
        <f t="shared" si="219"/>
        <v>#DIV/0!</v>
      </c>
      <c r="BW77" s="44" t="e">
        <f t="shared" si="219"/>
        <v>#DIV/0!</v>
      </c>
      <c r="BX77" s="44" t="e">
        <f t="shared" si="219"/>
        <v>#DIV/0!</v>
      </c>
      <c r="BY77" s="14" t="e">
        <f t="shared" si="219"/>
        <v>#DIV/0!</v>
      </c>
      <c r="BZ77" s="13" t="e">
        <f t="shared" si="219"/>
        <v>#DIV/0!</v>
      </c>
      <c r="CA77" s="44" t="e">
        <f t="shared" si="219"/>
        <v>#DIV/0!</v>
      </c>
      <c r="CB77" s="44" t="e">
        <f t="shared" si="219"/>
        <v>#DIV/0!</v>
      </c>
      <c r="CC77" s="14" t="e">
        <f t="shared" si="219"/>
        <v>#DIV/0!</v>
      </c>
      <c r="CD77" s="13" t="e">
        <f t="shared" si="219"/>
        <v>#DIV/0!</v>
      </c>
      <c r="CE77" s="44" t="e">
        <f t="shared" si="219"/>
        <v>#DIV/0!</v>
      </c>
      <c r="CF77" s="44" t="e">
        <f t="shared" si="219"/>
        <v>#DIV/0!</v>
      </c>
      <c r="CG77" s="14" t="e">
        <f t="shared" si="219"/>
        <v>#DIV/0!</v>
      </c>
      <c r="CH77" s="13" t="e">
        <f t="shared" si="219"/>
        <v>#DIV/0!</v>
      </c>
      <c r="CI77" s="44" t="e">
        <f t="shared" si="219"/>
        <v>#DIV/0!</v>
      </c>
      <c r="CJ77" s="44" t="e">
        <f t="shared" si="219"/>
        <v>#DIV/0!</v>
      </c>
      <c r="CK77" s="14" t="e">
        <f t="shared" si="219"/>
        <v>#DIV/0!</v>
      </c>
      <c r="CL77" s="49"/>
      <c r="CM77" s="28"/>
    </row>
    <row r="78" spans="2:91" ht="14.25" x14ac:dyDescent="0.25">
      <c r="B78" s="55"/>
      <c r="C78" s="10" t="s">
        <v>416</v>
      </c>
      <c r="D78" s="228" t="s">
        <v>417</v>
      </c>
      <c r="E78" s="276">
        <f t="shared" ref="E78:AJ78" si="220">E17/3600</f>
        <v>0</v>
      </c>
      <c r="F78" s="278">
        <f t="shared" si="220"/>
        <v>0.28694444444444445</v>
      </c>
      <c r="G78" s="277">
        <f t="shared" si="220"/>
        <v>0.28694444444444445</v>
      </c>
      <c r="H78" s="277">
        <f t="shared" si="220"/>
        <v>0.33250000000000002</v>
      </c>
      <c r="I78" s="279">
        <f t="shared" si="220"/>
        <v>0.33250000000000002</v>
      </c>
      <c r="J78" s="278">
        <f t="shared" si="220"/>
        <v>0.15333333333333332</v>
      </c>
      <c r="K78" s="277">
        <f t="shared" si="220"/>
        <v>0</v>
      </c>
      <c r="L78" s="277">
        <f t="shared" si="220"/>
        <v>1.2500000000000001E-2</v>
      </c>
      <c r="M78" s="279">
        <f t="shared" si="220"/>
        <v>1.2500000000000001E-2</v>
      </c>
      <c r="N78" s="278">
        <f t="shared" si="220"/>
        <v>0.24</v>
      </c>
      <c r="O78" s="277">
        <f t="shared" si="220"/>
        <v>0.24</v>
      </c>
      <c r="P78" s="277">
        <f t="shared" si="220"/>
        <v>0.33527777777777779</v>
      </c>
      <c r="Q78" s="279">
        <f t="shared" si="220"/>
        <v>0.33527777777777779</v>
      </c>
      <c r="R78" s="278">
        <f t="shared" si="220"/>
        <v>0.2772222222222222</v>
      </c>
      <c r="S78" s="277">
        <f t="shared" si="220"/>
        <v>0</v>
      </c>
      <c r="T78" s="277">
        <f t="shared" si="220"/>
        <v>2.4166666666666666E-2</v>
      </c>
      <c r="U78" s="279">
        <f t="shared" si="220"/>
        <v>2.4166666666666666E-2</v>
      </c>
      <c r="V78" s="278">
        <f t="shared" si="220"/>
        <v>0.25111111111111112</v>
      </c>
      <c r="W78" s="277">
        <f t="shared" si="220"/>
        <v>0</v>
      </c>
      <c r="X78" s="277">
        <f t="shared" si="220"/>
        <v>2.6388888888888889E-2</v>
      </c>
      <c r="Y78" s="279">
        <f t="shared" si="220"/>
        <v>2.6388888888888889E-2</v>
      </c>
      <c r="Z78" s="278">
        <f t="shared" si="220"/>
        <v>0.19277777777777777</v>
      </c>
      <c r="AA78" s="277">
        <f t="shared" si="220"/>
        <v>0</v>
      </c>
      <c r="AB78" s="277">
        <f t="shared" si="220"/>
        <v>4.1111111111111112E-2</v>
      </c>
      <c r="AC78" s="279">
        <f t="shared" si="220"/>
        <v>4.1111111111111112E-2</v>
      </c>
      <c r="AD78" s="278">
        <f t="shared" si="220"/>
        <v>0.17666666666666667</v>
      </c>
      <c r="AE78" s="277">
        <f t="shared" si="220"/>
        <v>0</v>
      </c>
      <c r="AF78" s="277">
        <f t="shared" si="220"/>
        <v>7.7777777777777776E-3</v>
      </c>
      <c r="AG78" s="279">
        <f t="shared" si="220"/>
        <v>7.7777777777777776E-3</v>
      </c>
      <c r="AH78" s="278">
        <f t="shared" si="220"/>
        <v>0.13527777777777777</v>
      </c>
      <c r="AI78" s="277">
        <f t="shared" si="220"/>
        <v>0.13527777777777777</v>
      </c>
      <c r="AJ78" s="277">
        <f t="shared" si="220"/>
        <v>0.19055555555555556</v>
      </c>
      <c r="AK78" s="279">
        <f t="shared" ref="AK78:BP78" si="221">AK17/3600</f>
        <v>0.19055555555555556</v>
      </c>
      <c r="AL78" s="278">
        <f t="shared" si="221"/>
        <v>0</v>
      </c>
      <c r="AM78" s="277">
        <f t="shared" si="221"/>
        <v>0</v>
      </c>
      <c r="AN78" s="277">
        <f t="shared" si="221"/>
        <v>0</v>
      </c>
      <c r="AO78" s="279">
        <f t="shared" si="221"/>
        <v>0</v>
      </c>
      <c r="AP78" s="278">
        <f t="shared" si="221"/>
        <v>0</v>
      </c>
      <c r="AQ78" s="277">
        <f t="shared" si="221"/>
        <v>0</v>
      </c>
      <c r="AR78" s="277">
        <f t="shared" si="221"/>
        <v>0</v>
      </c>
      <c r="AS78" s="279">
        <f t="shared" si="221"/>
        <v>0</v>
      </c>
      <c r="AT78" s="278">
        <f t="shared" si="221"/>
        <v>0</v>
      </c>
      <c r="AU78" s="277">
        <f t="shared" si="221"/>
        <v>0</v>
      </c>
      <c r="AV78" s="277">
        <f t="shared" si="221"/>
        <v>0</v>
      </c>
      <c r="AW78" s="279">
        <f t="shared" si="221"/>
        <v>0</v>
      </c>
      <c r="AX78" s="278">
        <f t="shared" si="221"/>
        <v>0</v>
      </c>
      <c r="AY78" s="277">
        <f t="shared" si="221"/>
        <v>0</v>
      </c>
      <c r="AZ78" s="277">
        <f t="shared" si="221"/>
        <v>0</v>
      </c>
      <c r="BA78" s="279">
        <f t="shared" si="221"/>
        <v>0</v>
      </c>
      <c r="BB78" s="278">
        <f t="shared" si="221"/>
        <v>0</v>
      </c>
      <c r="BC78" s="277">
        <f t="shared" si="221"/>
        <v>0</v>
      </c>
      <c r="BD78" s="277">
        <f t="shared" si="221"/>
        <v>0</v>
      </c>
      <c r="BE78" s="279">
        <f t="shared" si="221"/>
        <v>0</v>
      </c>
      <c r="BF78" s="278">
        <f t="shared" si="221"/>
        <v>0</v>
      </c>
      <c r="BG78" s="277">
        <f t="shared" si="221"/>
        <v>0</v>
      </c>
      <c r="BH78" s="277">
        <f t="shared" si="221"/>
        <v>0</v>
      </c>
      <c r="BI78" s="279">
        <f t="shared" si="221"/>
        <v>0</v>
      </c>
      <c r="BJ78" s="278">
        <f t="shared" si="221"/>
        <v>0</v>
      </c>
      <c r="BK78" s="277">
        <f t="shared" si="221"/>
        <v>0</v>
      </c>
      <c r="BL78" s="277">
        <f t="shared" si="221"/>
        <v>0</v>
      </c>
      <c r="BM78" s="279">
        <f t="shared" si="221"/>
        <v>0</v>
      </c>
      <c r="BN78" s="278">
        <f t="shared" si="221"/>
        <v>0</v>
      </c>
      <c r="BO78" s="277">
        <f t="shared" si="221"/>
        <v>0</v>
      </c>
      <c r="BP78" s="277">
        <f t="shared" si="221"/>
        <v>0</v>
      </c>
      <c r="BQ78" s="279">
        <f t="shared" ref="BQ78:CK78" si="222">BQ17/3600</f>
        <v>0</v>
      </c>
      <c r="BR78" s="278">
        <f t="shared" si="222"/>
        <v>0</v>
      </c>
      <c r="BS78" s="277">
        <f t="shared" si="222"/>
        <v>0</v>
      </c>
      <c r="BT78" s="277">
        <f t="shared" si="222"/>
        <v>0</v>
      </c>
      <c r="BU78" s="279">
        <f t="shared" si="222"/>
        <v>0</v>
      </c>
      <c r="BV78" s="278">
        <f t="shared" si="222"/>
        <v>0</v>
      </c>
      <c r="BW78" s="277">
        <f t="shared" si="222"/>
        <v>0</v>
      </c>
      <c r="BX78" s="277">
        <f t="shared" si="222"/>
        <v>0</v>
      </c>
      <c r="BY78" s="279">
        <f t="shared" si="222"/>
        <v>0</v>
      </c>
      <c r="BZ78" s="278">
        <f t="shared" si="222"/>
        <v>0</v>
      </c>
      <c r="CA78" s="277">
        <f t="shared" si="222"/>
        <v>0</v>
      </c>
      <c r="CB78" s="277">
        <f t="shared" si="222"/>
        <v>0</v>
      </c>
      <c r="CC78" s="279">
        <f t="shared" si="222"/>
        <v>0</v>
      </c>
      <c r="CD78" s="278">
        <f t="shared" si="222"/>
        <v>0</v>
      </c>
      <c r="CE78" s="277">
        <f t="shared" si="222"/>
        <v>0</v>
      </c>
      <c r="CF78" s="277">
        <f t="shared" si="222"/>
        <v>0</v>
      </c>
      <c r="CG78" s="279">
        <f t="shared" si="222"/>
        <v>0</v>
      </c>
      <c r="CH78" s="278">
        <f t="shared" si="222"/>
        <v>0</v>
      </c>
      <c r="CI78" s="277">
        <f t="shared" si="222"/>
        <v>0</v>
      </c>
      <c r="CJ78" s="277">
        <f t="shared" si="222"/>
        <v>0</v>
      </c>
      <c r="CK78" s="279">
        <f t="shared" si="222"/>
        <v>0</v>
      </c>
      <c r="CL78" s="49"/>
      <c r="CM78" s="28"/>
    </row>
    <row r="79" spans="2:91" ht="14.25" x14ac:dyDescent="0.25">
      <c r="B79" s="55"/>
      <c r="C79" s="10" t="s">
        <v>312</v>
      </c>
      <c r="D79" s="228" t="s">
        <v>468</v>
      </c>
      <c r="E79" s="276">
        <f>E21/3600</f>
        <v>0</v>
      </c>
      <c r="F79" s="278">
        <f t="shared" ref="F79:BQ79" si="223">F21/3600</f>
        <v>7.9444444444444449E-3</v>
      </c>
      <c r="G79" s="277">
        <f t="shared" si="223"/>
        <v>1.8333333333333335E-3</v>
      </c>
      <c r="H79" s="277">
        <f t="shared" si="223"/>
        <v>2.7194444444444445E-2</v>
      </c>
      <c r="I79" s="279">
        <f t="shared" si="223"/>
        <v>4.2777777777777788E-3</v>
      </c>
      <c r="J79" s="278">
        <f t="shared" si="223"/>
        <v>4.7222222222222223E-3</v>
      </c>
      <c r="K79" s="277">
        <f t="shared" si="223"/>
        <v>0</v>
      </c>
      <c r="L79" s="277">
        <f t="shared" si="223"/>
        <v>2.0555555555555556E-2</v>
      </c>
      <c r="M79" s="279">
        <f t="shared" si="223"/>
        <v>2.5000000000000001E-3</v>
      </c>
      <c r="N79" s="278">
        <f t="shared" si="223"/>
        <v>7.2222222222222219E-3</v>
      </c>
      <c r="O79" s="277">
        <f t="shared" si="223"/>
        <v>1.6666666666666668E-3</v>
      </c>
      <c r="P79" s="277">
        <f t="shared" si="223"/>
        <v>2.4722222222222222E-2</v>
      </c>
      <c r="Q79" s="279">
        <f t="shared" si="223"/>
        <v>3.8888888888888888E-3</v>
      </c>
      <c r="R79" s="278">
        <f t="shared" si="223"/>
        <v>1.9444444444444444E-3</v>
      </c>
      <c r="S79" s="277">
        <f t="shared" si="223"/>
        <v>0</v>
      </c>
      <c r="T79" s="277">
        <f t="shared" si="223"/>
        <v>1.2777777777777779E-2</v>
      </c>
      <c r="U79" s="279">
        <f t="shared" si="223"/>
        <v>2.7777777777777778E-4</v>
      </c>
      <c r="V79" s="278">
        <f t="shared" si="223"/>
        <v>1.6666666666666668E-3</v>
      </c>
      <c r="W79" s="277">
        <f t="shared" si="223"/>
        <v>0</v>
      </c>
      <c r="X79" s="277">
        <f t="shared" si="223"/>
        <v>5.0000000000000001E-3</v>
      </c>
      <c r="Y79" s="279">
        <f t="shared" si="223"/>
        <v>5.5555555555555556E-4</v>
      </c>
      <c r="Z79" s="278">
        <f t="shared" si="223"/>
        <v>1.1944444444444445E-2</v>
      </c>
      <c r="AA79" s="277">
        <f t="shared" si="223"/>
        <v>1.6666666666666668E-3</v>
      </c>
      <c r="AB79" s="277">
        <f t="shared" si="223"/>
        <v>1.6666666666666668E-3</v>
      </c>
      <c r="AC79" s="279">
        <f t="shared" si="223"/>
        <v>8.3333333333333339E-4</v>
      </c>
      <c r="AD79" s="278">
        <f t="shared" si="223"/>
        <v>5.5555555555555556E-4</v>
      </c>
      <c r="AE79" s="277">
        <f t="shared" si="223"/>
        <v>0</v>
      </c>
      <c r="AF79" s="277">
        <f t="shared" si="223"/>
        <v>1.3888888888888889E-3</v>
      </c>
      <c r="AG79" s="279">
        <f t="shared" si="223"/>
        <v>1.1111111111111111E-3</v>
      </c>
      <c r="AH79" s="278">
        <f t="shared" si="223"/>
        <v>1.3138888888888891E-2</v>
      </c>
      <c r="AI79" s="277">
        <f t="shared" si="223"/>
        <v>1.8333333333333335E-3</v>
      </c>
      <c r="AJ79" s="277">
        <f t="shared" si="223"/>
        <v>1.8333333333333335E-3</v>
      </c>
      <c r="AK79" s="279">
        <f t="shared" si="223"/>
        <v>9.1666666666666676E-4</v>
      </c>
      <c r="AL79" s="278">
        <f t="shared" si="223"/>
        <v>0</v>
      </c>
      <c r="AM79" s="277">
        <f t="shared" si="223"/>
        <v>0</v>
      </c>
      <c r="AN79" s="277">
        <f t="shared" si="223"/>
        <v>0</v>
      </c>
      <c r="AO79" s="279">
        <f t="shared" si="223"/>
        <v>0</v>
      </c>
      <c r="AP79" s="278">
        <f t="shared" si="223"/>
        <v>0</v>
      </c>
      <c r="AQ79" s="277">
        <f t="shared" si="223"/>
        <v>0</v>
      </c>
      <c r="AR79" s="277">
        <f t="shared" si="223"/>
        <v>0</v>
      </c>
      <c r="AS79" s="279">
        <f t="shared" si="223"/>
        <v>0</v>
      </c>
      <c r="AT79" s="278">
        <f t="shared" si="223"/>
        <v>0</v>
      </c>
      <c r="AU79" s="277">
        <f t="shared" si="223"/>
        <v>0</v>
      </c>
      <c r="AV79" s="277">
        <f t="shared" si="223"/>
        <v>0</v>
      </c>
      <c r="AW79" s="279">
        <f t="shared" si="223"/>
        <v>0</v>
      </c>
      <c r="AX79" s="278">
        <f t="shared" si="223"/>
        <v>0</v>
      </c>
      <c r="AY79" s="277">
        <f t="shared" si="223"/>
        <v>0</v>
      </c>
      <c r="AZ79" s="277">
        <f t="shared" si="223"/>
        <v>0</v>
      </c>
      <c r="BA79" s="279">
        <f t="shared" si="223"/>
        <v>0</v>
      </c>
      <c r="BB79" s="278">
        <f t="shared" si="223"/>
        <v>0</v>
      </c>
      <c r="BC79" s="277">
        <f t="shared" si="223"/>
        <v>0</v>
      </c>
      <c r="BD79" s="277">
        <f t="shared" si="223"/>
        <v>0</v>
      </c>
      <c r="BE79" s="279">
        <f t="shared" si="223"/>
        <v>0</v>
      </c>
      <c r="BF79" s="278">
        <f t="shared" si="223"/>
        <v>0</v>
      </c>
      <c r="BG79" s="277">
        <f t="shared" si="223"/>
        <v>0</v>
      </c>
      <c r="BH79" s="277">
        <f t="shared" si="223"/>
        <v>0</v>
      </c>
      <c r="BI79" s="279">
        <f t="shared" si="223"/>
        <v>0</v>
      </c>
      <c r="BJ79" s="278">
        <f t="shared" si="223"/>
        <v>0</v>
      </c>
      <c r="BK79" s="277">
        <f t="shared" si="223"/>
        <v>0</v>
      </c>
      <c r="BL79" s="277">
        <f t="shared" si="223"/>
        <v>0</v>
      </c>
      <c r="BM79" s="279">
        <f t="shared" si="223"/>
        <v>0</v>
      </c>
      <c r="BN79" s="278">
        <f t="shared" si="223"/>
        <v>0</v>
      </c>
      <c r="BO79" s="277">
        <f t="shared" si="223"/>
        <v>0</v>
      </c>
      <c r="BP79" s="277">
        <f t="shared" si="223"/>
        <v>0</v>
      </c>
      <c r="BQ79" s="279">
        <f t="shared" si="223"/>
        <v>0</v>
      </c>
      <c r="BR79" s="278">
        <f t="shared" ref="BR79:CK79" si="224">BR21/3600</f>
        <v>0</v>
      </c>
      <c r="BS79" s="277">
        <f t="shared" si="224"/>
        <v>0</v>
      </c>
      <c r="BT79" s="277">
        <f t="shared" si="224"/>
        <v>0</v>
      </c>
      <c r="BU79" s="279">
        <f t="shared" si="224"/>
        <v>0</v>
      </c>
      <c r="BV79" s="278">
        <f t="shared" si="224"/>
        <v>0</v>
      </c>
      <c r="BW79" s="277">
        <f t="shared" si="224"/>
        <v>0</v>
      </c>
      <c r="BX79" s="277">
        <f t="shared" si="224"/>
        <v>0</v>
      </c>
      <c r="BY79" s="279">
        <f t="shared" si="224"/>
        <v>0</v>
      </c>
      <c r="BZ79" s="278">
        <f t="shared" si="224"/>
        <v>0</v>
      </c>
      <c r="CA79" s="277">
        <f t="shared" si="224"/>
        <v>0</v>
      </c>
      <c r="CB79" s="277">
        <f t="shared" si="224"/>
        <v>0</v>
      </c>
      <c r="CC79" s="279">
        <f t="shared" si="224"/>
        <v>0</v>
      </c>
      <c r="CD79" s="278">
        <f t="shared" si="224"/>
        <v>0</v>
      </c>
      <c r="CE79" s="277">
        <f t="shared" si="224"/>
        <v>0</v>
      </c>
      <c r="CF79" s="277">
        <f t="shared" si="224"/>
        <v>0</v>
      </c>
      <c r="CG79" s="279">
        <f t="shared" si="224"/>
        <v>0</v>
      </c>
      <c r="CH79" s="278">
        <f t="shared" si="224"/>
        <v>0</v>
      </c>
      <c r="CI79" s="277">
        <f t="shared" si="224"/>
        <v>0</v>
      </c>
      <c r="CJ79" s="277">
        <f t="shared" si="224"/>
        <v>0</v>
      </c>
      <c r="CK79" s="279">
        <f t="shared" si="224"/>
        <v>0</v>
      </c>
      <c r="CL79" s="49"/>
      <c r="CM79" s="28"/>
    </row>
    <row r="80" spans="2:91" ht="14.25" x14ac:dyDescent="0.25">
      <c r="B80" s="55"/>
      <c r="C80" s="10" t="s">
        <v>300</v>
      </c>
      <c r="D80" s="93" t="s">
        <v>386</v>
      </c>
      <c r="E80" s="125">
        <f>MAX(IF(E33=0,0,4*E81/E33),1)</f>
        <v>1</v>
      </c>
      <c r="F80" s="13">
        <f t="shared" ref="F80:AJ80" si="225">MAX(IF(F33=0,0,4*F81/F33),1)</f>
        <v>1</v>
      </c>
      <c r="G80" s="44">
        <f t="shared" si="225"/>
        <v>1</v>
      </c>
      <c r="H80" s="44">
        <f t="shared" si="225"/>
        <v>1</v>
      </c>
      <c r="I80" s="14">
        <f t="shared" si="225"/>
        <v>1</v>
      </c>
      <c r="J80" s="13">
        <f t="shared" si="225"/>
        <v>1</v>
      </c>
      <c r="K80" s="44">
        <f t="shared" si="225"/>
        <v>1</v>
      </c>
      <c r="L80" s="44">
        <f t="shared" si="225"/>
        <v>1</v>
      </c>
      <c r="M80" s="14">
        <f t="shared" si="225"/>
        <v>1</v>
      </c>
      <c r="N80" s="13">
        <f t="shared" si="225"/>
        <v>1</v>
      </c>
      <c r="O80" s="44">
        <f t="shared" si="225"/>
        <v>1</v>
      </c>
      <c r="P80" s="44">
        <f t="shared" si="225"/>
        <v>1</v>
      </c>
      <c r="Q80" s="14">
        <f t="shared" si="225"/>
        <v>1</v>
      </c>
      <c r="R80" s="13">
        <f t="shared" si="225"/>
        <v>1</v>
      </c>
      <c r="S80" s="44">
        <f t="shared" si="225"/>
        <v>1</v>
      </c>
      <c r="T80" s="44">
        <f t="shared" si="225"/>
        <v>1</v>
      </c>
      <c r="U80" s="14">
        <f t="shared" si="225"/>
        <v>1</v>
      </c>
      <c r="V80" s="13">
        <f t="shared" si="225"/>
        <v>1</v>
      </c>
      <c r="W80" s="44">
        <f t="shared" si="225"/>
        <v>1</v>
      </c>
      <c r="X80" s="44">
        <f t="shared" si="225"/>
        <v>1</v>
      </c>
      <c r="Y80" s="14">
        <f t="shared" si="225"/>
        <v>1</v>
      </c>
      <c r="Z80" s="13">
        <f t="shared" si="225"/>
        <v>1</v>
      </c>
      <c r="AA80" s="44">
        <f t="shared" si="225"/>
        <v>1</v>
      </c>
      <c r="AB80" s="44">
        <f t="shared" si="225"/>
        <v>1</v>
      </c>
      <c r="AC80" s="14">
        <f t="shared" si="225"/>
        <v>1</v>
      </c>
      <c r="AD80" s="13">
        <f t="shared" si="225"/>
        <v>1</v>
      </c>
      <c r="AE80" s="44">
        <f t="shared" si="225"/>
        <v>1</v>
      </c>
      <c r="AF80" s="44">
        <f t="shared" si="225"/>
        <v>1</v>
      </c>
      <c r="AG80" s="14">
        <f t="shared" si="225"/>
        <v>1</v>
      </c>
      <c r="AH80" s="13">
        <f t="shared" si="225"/>
        <v>1</v>
      </c>
      <c r="AI80" s="44">
        <f t="shared" si="225"/>
        <v>1</v>
      </c>
      <c r="AJ80" s="44">
        <f t="shared" si="225"/>
        <v>1</v>
      </c>
      <c r="AK80" s="14">
        <f t="shared" ref="AK80:BP80" si="226">MAX(IF(AK33=0,0,4*AK81/AK33),1)</f>
        <v>1</v>
      </c>
      <c r="AL80" s="13">
        <f t="shared" si="226"/>
        <v>1</v>
      </c>
      <c r="AM80" s="44">
        <f t="shared" si="226"/>
        <v>1</v>
      </c>
      <c r="AN80" s="44">
        <f t="shared" si="226"/>
        <v>1</v>
      </c>
      <c r="AO80" s="14">
        <f t="shared" si="226"/>
        <v>1</v>
      </c>
      <c r="AP80" s="13">
        <f t="shared" si="226"/>
        <v>1</v>
      </c>
      <c r="AQ80" s="44">
        <f t="shared" si="226"/>
        <v>1</v>
      </c>
      <c r="AR80" s="44">
        <f t="shared" si="226"/>
        <v>1</v>
      </c>
      <c r="AS80" s="14">
        <f t="shared" si="226"/>
        <v>1</v>
      </c>
      <c r="AT80" s="13">
        <f t="shared" si="226"/>
        <v>1</v>
      </c>
      <c r="AU80" s="44">
        <f t="shared" si="226"/>
        <v>1</v>
      </c>
      <c r="AV80" s="44">
        <f t="shared" si="226"/>
        <v>1</v>
      </c>
      <c r="AW80" s="14">
        <f t="shared" si="226"/>
        <v>1</v>
      </c>
      <c r="AX80" s="13">
        <f t="shared" si="226"/>
        <v>1</v>
      </c>
      <c r="AY80" s="44">
        <f t="shared" si="226"/>
        <v>1</v>
      </c>
      <c r="AZ80" s="44">
        <f t="shared" si="226"/>
        <v>1</v>
      </c>
      <c r="BA80" s="14">
        <f t="shared" si="226"/>
        <v>1</v>
      </c>
      <c r="BB80" s="13">
        <f t="shared" si="226"/>
        <v>1</v>
      </c>
      <c r="BC80" s="44">
        <f t="shared" si="226"/>
        <v>1</v>
      </c>
      <c r="BD80" s="44">
        <f t="shared" si="226"/>
        <v>1</v>
      </c>
      <c r="BE80" s="14">
        <f t="shared" si="226"/>
        <v>1</v>
      </c>
      <c r="BF80" s="13">
        <f t="shared" si="226"/>
        <v>1</v>
      </c>
      <c r="BG80" s="44">
        <f t="shared" si="226"/>
        <v>1</v>
      </c>
      <c r="BH80" s="44">
        <f t="shared" si="226"/>
        <v>1</v>
      </c>
      <c r="BI80" s="14">
        <f t="shared" si="226"/>
        <v>1</v>
      </c>
      <c r="BJ80" s="13">
        <f t="shared" si="226"/>
        <v>1</v>
      </c>
      <c r="BK80" s="44">
        <f t="shared" si="226"/>
        <v>1</v>
      </c>
      <c r="BL80" s="44">
        <f t="shared" si="226"/>
        <v>1</v>
      </c>
      <c r="BM80" s="14">
        <f t="shared" si="226"/>
        <v>1</v>
      </c>
      <c r="BN80" s="13">
        <f t="shared" si="226"/>
        <v>1</v>
      </c>
      <c r="BO80" s="44">
        <f t="shared" si="226"/>
        <v>1</v>
      </c>
      <c r="BP80" s="44">
        <f t="shared" si="226"/>
        <v>1</v>
      </c>
      <c r="BQ80" s="14">
        <f t="shared" ref="BQ80:CK80" si="227">MAX(IF(BQ33=0,0,4*BQ81/BQ33),1)</f>
        <v>1</v>
      </c>
      <c r="BR80" s="13">
        <f t="shared" si="227"/>
        <v>1</v>
      </c>
      <c r="BS80" s="44">
        <f t="shared" si="227"/>
        <v>1</v>
      </c>
      <c r="BT80" s="44">
        <f t="shared" si="227"/>
        <v>1</v>
      </c>
      <c r="BU80" s="14">
        <f t="shared" si="227"/>
        <v>1</v>
      </c>
      <c r="BV80" s="13">
        <f t="shared" si="227"/>
        <v>1</v>
      </c>
      <c r="BW80" s="44">
        <f t="shared" si="227"/>
        <v>1</v>
      </c>
      <c r="BX80" s="44">
        <f t="shared" si="227"/>
        <v>1</v>
      </c>
      <c r="BY80" s="14">
        <f t="shared" si="227"/>
        <v>1</v>
      </c>
      <c r="BZ80" s="13">
        <f t="shared" si="227"/>
        <v>1</v>
      </c>
      <c r="CA80" s="44">
        <f t="shared" si="227"/>
        <v>1</v>
      </c>
      <c r="CB80" s="44">
        <f t="shared" si="227"/>
        <v>1</v>
      </c>
      <c r="CC80" s="14">
        <f t="shared" si="227"/>
        <v>1</v>
      </c>
      <c r="CD80" s="13">
        <f t="shared" si="227"/>
        <v>1</v>
      </c>
      <c r="CE80" s="44">
        <f t="shared" si="227"/>
        <v>1</v>
      </c>
      <c r="CF80" s="44">
        <f t="shared" si="227"/>
        <v>1</v>
      </c>
      <c r="CG80" s="14">
        <f t="shared" si="227"/>
        <v>1</v>
      </c>
      <c r="CH80" s="13">
        <f t="shared" si="227"/>
        <v>1</v>
      </c>
      <c r="CI80" s="44">
        <f t="shared" si="227"/>
        <v>1</v>
      </c>
      <c r="CJ80" s="44">
        <f t="shared" si="227"/>
        <v>1</v>
      </c>
      <c r="CK80" s="14">
        <f t="shared" si="227"/>
        <v>1</v>
      </c>
      <c r="CL80" s="49"/>
      <c r="CM80" s="28"/>
    </row>
    <row r="81" spans="2:91" ht="14.25" x14ac:dyDescent="0.25">
      <c r="B81" s="55"/>
      <c r="C81" s="10" t="s">
        <v>301</v>
      </c>
      <c r="D81" s="93" t="s">
        <v>387</v>
      </c>
      <c r="E81" s="125" t="e">
        <f t="shared" ref="E81:AJ81" si="228">((E21/3600)*EXP(E77*E21/3600) + E78*EXP(-E78*E77))/(((E21/3600)+E78)*EXP(((E21/3600)-E78))*E77)</f>
        <v>#DIV/0!</v>
      </c>
      <c r="F81" s="13">
        <f t="shared" si="228"/>
        <v>1.3302806098982746E-2</v>
      </c>
      <c r="G81" s="44">
        <f t="shared" si="228"/>
        <v>1.0387421385402348E-2</v>
      </c>
      <c r="H81" s="44">
        <f t="shared" si="228"/>
        <v>2.5649883146467885E-2</v>
      </c>
      <c r="I81" s="14">
        <f t="shared" si="228"/>
        <v>1.3169082226317323E-2</v>
      </c>
      <c r="J81" s="13">
        <f t="shared" si="228"/>
        <v>4.5761143783355974E-2</v>
      </c>
      <c r="K81" s="44" t="e">
        <f t="shared" si="228"/>
        <v>#DIV/0!</v>
      </c>
      <c r="L81" s="44">
        <f t="shared" si="228"/>
        <v>0.15085880584442052</v>
      </c>
      <c r="M81" s="14">
        <f t="shared" si="228"/>
        <v>0.13464325564501037</v>
      </c>
      <c r="N81" s="13">
        <f t="shared" si="228"/>
        <v>2.9162403330744716E-2</v>
      </c>
      <c r="O81" s="44">
        <f t="shared" si="228"/>
        <v>2.1785354142353192E-2</v>
      </c>
      <c r="P81" s="44">
        <f t="shared" si="228"/>
        <v>1.990941269515693E-2</v>
      </c>
      <c r="Q81" s="14">
        <f t="shared" si="228"/>
        <v>3.4476434478853488E-3</v>
      </c>
      <c r="R81" s="13">
        <f t="shared" si="228"/>
        <v>1.8957865649160917E-2</v>
      </c>
      <c r="S81" s="44" t="e">
        <f t="shared" si="228"/>
        <v>#DIV/0!</v>
      </c>
      <c r="T81" s="44">
        <f t="shared" si="228"/>
        <v>0.1641091032010191</v>
      </c>
      <c r="U81" s="14">
        <f t="shared" si="228"/>
        <v>0.15375324354200839</v>
      </c>
      <c r="V81" s="13">
        <f t="shared" si="228"/>
        <v>2.6993347604451028E-2</v>
      </c>
      <c r="W81" s="44" t="e">
        <f t="shared" si="228"/>
        <v>#DIV/0!</v>
      </c>
      <c r="X81" s="44">
        <f t="shared" si="228"/>
        <v>7.9246964010174295E-2</v>
      </c>
      <c r="Y81" s="14">
        <f t="shared" si="228"/>
        <v>7.5488834574825775E-2</v>
      </c>
      <c r="Z81" s="13">
        <f t="shared" si="228"/>
        <v>4.9692160154803461E-2</v>
      </c>
      <c r="AA81" s="44" t="e">
        <f t="shared" si="228"/>
        <v>#DIV/0!</v>
      </c>
      <c r="AB81" s="44">
        <f t="shared" si="228"/>
        <v>0.12403791802957259</v>
      </c>
      <c r="AC81" s="14">
        <f t="shared" si="228"/>
        <v>0.12337350176465312</v>
      </c>
      <c r="AD81" s="13">
        <f t="shared" si="228"/>
        <v>6.9271455720302882E-2</v>
      </c>
      <c r="AE81" s="44" t="e">
        <f t="shared" si="228"/>
        <v>#DIV/0!</v>
      </c>
      <c r="AF81" s="44">
        <f t="shared" si="228"/>
        <v>0.1534787005900205</v>
      </c>
      <c r="AG81" s="14">
        <f t="shared" si="228"/>
        <v>0.15324626897797264</v>
      </c>
      <c r="AH81" s="13">
        <f t="shared" si="228"/>
        <v>7.0979831308944336E-2</v>
      </c>
      <c r="AI81" s="44">
        <f t="shared" si="228"/>
        <v>6.2954872501142553E-2</v>
      </c>
      <c r="AJ81" s="44">
        <f t="shared" si="228"/>
        <v>5.7024189281374413E-2</v>
      </c>
      <c r="AK81" s="14">
        <f t="shared" ref="AK81:BP81" si="229">((AK21/3600)*EXP(AK77*AK21/3600) + AK78*EXP(-AK78*AK77))/(((AK21/3600)+AK78)*EXP(((AK21/3600)-AK78))*AK77)</f>
        <v>4.0473593086626909E-2</v>
      </c>
      <c r="AL81" s="13" t="e">
        <f t="shared" si="229"/>
        <v>#DIV/0!</v>
      </c>
      <c r="AM81" s="44" t="e">
        <f t="shared" si="229"/>
        <v>#DIV/0!</v>
      </c>
      <c r="AN81" s="44" t="e">
        <f t="shared" si="229"/>
        <v>#DIV/0!</v>
      </c>
      <c r="AO81" s="14" t="e">
        <f t="shared" si="229"/>
        <v>#DIV/0!</v>
      </c>
      <c r="AP81" s="13" t="e">
        <f t="shared" si="229"/>
        <v>#DIV/0!</v>
      </c>
      <c r="AQ81" s="44" t="e">
        <f t="shared" si="229"/>
        <v>#DIV/0!</v>
      </c>
      <c r="AR81" s="44" t="e">
        <f t="shared" si="229"/>
        <v>#DIV/0!</v>
      </c>
      <c r="AS81" s="14" t="e">
        <f t="shared" si="229"/>
        <v>#DIV/0!</v>
      </c>
      <c r="AT81" s="13" t="e">
        <f t="shared" si="229"/>
        <v>#DIV/0!</v>
      </c>
      <c r="AU81" s="44" t="e">
        <f t="shared" si="229"/>
        <v>#DIV/0!</v>
      </c>
      <c r="AV81" s="44" t="e">
        <f t="shared" si="229"/>
        <v>#DIV/0!</v>
      </c>
      <c r="AW81" s="14" t="e">
        <f t="shared" si="229"/>
        <v>#DIV/0!</v>
      </c>
      <c r="AX81" s="13" t="e">
        <f t="shared" si="229"/>
        <v>#DIV/0!</v>
      </c>
      <c r="AY81" s="44" t="e">
        <f t="shared" si="229"/>
        <v>#DIV/0!</v>
      </c>
      <c r="AZ81" s="44" t="e">
        <f t="shared" si="229"/>
        <v>#DIV/0!</v>
      </c>
      <c r="BA81" s="14" t="e">
        <f t="shared" si="229"/>
        <v>#DIV/0!</v>
      </c>
      <c r="BB81" s="13" t="e">
        <f t="shared" si="229"/>
        <v>#DIV/0!</v>
      </c>
      <c r="BC81" s="44" t="e">
        <f t="shared" si="229"/>
        <v>#DIV/0!</v>
      </c>
      <c r="BD81" s="44" t="e">
        <f t="shared" si="229"/>
        <v>#DIV/0!</v>
      </c>
      <c r="BE81" s="14" t="e">
        <f t="shared" si="229"/>
        <v>#DIV/0!</v>
      </c>
      <c r="BF81" s="13" t="e">
        <f t="shared" si="229"/>
        <v>#DIV/0!</v>
      </c>
      <c r="BG81" s="44" t="e">
        <f t="shared" si="229"/>
        <v>#DIV/0!</v>
      </c>
      <c r="BH81" s="44" t="e">
        <f t="shared" si="229"/>
        <v>#DIV/0!</v>
      </c>
      <c r="BI81" s="14" t="e">
        <f t="shared" si="229"/>
        <v>#DIV/0!</v>
      </c>
      <c r="BJ81" s="13" t="e">
        <f t="shared" si="229"/>
        <v>#DIV/0!</v>
      </c>
      <c r="BK81" s="44" t="e">
        <f t="shared" si="229"/>
        <v>#DIV/0!</v>
      </c>
      <c r="BL81" s="44" t="e">
        <f t="shared" si="229"/>
        <v>#DIV/0!</v>
      </c>
      <c r="BM81" s="14" t="e">
        <f t="shared" si="229"/>
        <v>#DIV/0!</v>
      </c>
      <c r="BN81" s="13" t="e">
        <f t="shared" si="229"/>
        <v>#DIV/0!</v>
      </c>
      <c r="BO81" s="44" t="e">
        <f t="shared" si="229"/>
        <v>#DIV/0!</v>
      </c>
      <c r="BP81" s="44" t="e">
        <f t="shared" si="229"/>
        <v>#DIV/0!</v>
      </c>
      <c r="BQ81" s="14" t="e">
        <f t="shared" ref="BQ81:CK81" si="230">((BQ21/3600)*EXP(BQ77*BQ21/3600) + BQ78*EXP(-BQ78*BQ77))/(((BQ21/3600)+BQ78)*EXP(((BQ21/3600)-BQ78))*BQ77)</f>
        <v>#DIV/0!</v>
      </c>
      <c r="BR81" s="13" t="e">
        <f t="shared" si="230"/>
        <v>#DIV/0!</v>
      </c>
      <c r="BS81" s="44" t="e">
        <f t="shared" si="230"/>
        <v>#DIV/0!</v>
      </c>
      <c r="BT81" s="44" t="e">
        <f t="shared" si="230"/>
        <v>#DIV/0!</v>
      </c>
      <c r="BU81" s="14" t="e">
        <f t="shared" si="230"/>
        <v>#DIV/0!</v>
      </c>
      <c r="BV81" s="13" t="e">
        <f t="shared" si="230"/>
        <v>#DIV/0!</v>
      </c>
      <c r="BW81" s="44" t="e">
        <f t="shared" si="230"/>
        <v>#DIV/0!</v>
      </c>
      <c r="BX81" s="44" t="e">
        <f t="shared" si="230"/>
        <v>#DIV/0!</v>
      </c>
      <c r="BY81" s="14" t="e">
        <f t="shared" si="230"/>
        <v>#DIV/0!</v>
      </c>
      <c r="BZ81" s="13" t="e">
        <f t="shared" si="230"/>
        <v>#DIV/0!</v>
      </c>
      <c r="CA81" s="44" t="e">
        <f t="shared" si="230"/>
        <v>#DIV/0!</v>
      </c>
      <c r="CB81" s="44" t="e">
        <f t="shared" si="230"/>
        <v>#DIV/0!</v>
      </c>
      <c r="CC81" s="14" t="e">
        <f t="shared" si="230"/>
        <v>#DIV/0!</v>
      </c>
      <c r="CD81" s="13" t="e">
        <f t="shared" si="230"/>
        <v>#DIV/0!</v>
      </c>
      <c r="CE81" s="44" t="e">
        <f t="shared" si="230"/>
        <v>#DIV/0!</v>
      </c>
      <c r="CF81" s="44" t="e">
        <f t="shared" si="230"/>
        <v>#DIV/0!</v>
      </c>
      <c r="CG81" s="14" t="e">
        <f t="shared" si="230"/>
        <v>#DIV/0!</v>
      </c>
      <c r="CH81" s="13" t="e">
        <f t="shared" si="230"/>
        <v>#DIV/0!</v>
      </c>
      <c r="CI81" s="44" t="e">
        <f t="shared" si="230"/>
        <v>#DIV/0!</v>
      </c>
      <c r="CJ81" s="44" t="e">
        <f t="shared" si="230"/>
        <v>#DIV/0!</v>
      </c>
      <c r="CK81" s="14" t="e">
        <f t="shared" si="230"/>
        <v>#DIV/0!</v>
      </c>
      <c r="CL81" s="49"/>
      <c r="CM81" s="28"/>
    </row>
    <row r="82" spans="2:91" ht="14.25" x14ac:dyDescent="0.25">
      <c r="B82" s="55"/>
      <c r="C82" s="10" t="s">
        <v>302</v>
      </c>
      <c r="D82" s="93" t="s">
        <v>390</v>
      </c>
      <c r="E82" s="125">
        <f t="shared" ref="E82:AJ82" si="231">E77+2*(E80-1)</f>
        <v>3</v>
      </c>
      <c r="F82" s="13">
        <f t="shared" si="231"/>
        <v>9.4</v>
      </c>
      <c r="G82" s="44">
        <f t="shared" si="231"/>
        <v>9.4</v>
      </c>
      <c r="H82" s="44">
        <f t="shared" si="231"/>
        <v>8.1999999999999993</v>
      </c>
      <c r="I82" s="14">
        <f t="shared" si="231"/>
        <v>8.1999999999999993</v>
      </c>
      <c r="J82" s="13">
        <f t="shared" si="231"/>
        <v>8</v>
      </c>
      <c r="K82" s="44" t="e">
        <f t="shared" si="231"/>
        <v>#DIV/0!</v>
      </c>
      <c r="L82" s="44">
        <f t="shared" si="231"/>
        <v>7</v>
      </c>
      <c r="M82" s="14">
        <f t="shared" si="231"/>
        <v>7</v>
      </c>
      <c r="N82" s="13">
        <f t="shared" si="231"/>
        <v>7.8</v>
      </c>
      <c r="O82" s="44">
        <f t="shared" si="231"/>
        <v>8.3000000000000007</v>
      </c>
      <c r="P82" s="44">
        <f t="shared" si="231"/>
        <v>9</v>
      </c>
      <c r="Q82" s="14">
        <f t="shared" si="231"/>
        <v>12</v>
      </c>
      <c r="R82" s="13">
        <f t="shared" si="231"/>
        <v>8</v>
      </c>
      <c r="S82" s="44" t="e">
        <f t="shared" si="231"/>
        <v>#DIV/0!</v>
      </c>
      <c r="T82" s="44">
        <f t="shared" si="231"/>
        <v>5.8</v>
      </c>
      <c r="U82" s="14">
        <f t="shared" si="231"/>
        <v>5.8</v>
      </c>
      <c r="V82" s="13">
        <f t="shared" si="231"/>
        <v>7.5</v>
      </c>
      <c r="W82" s="44" t="e">
        <f t="shared" si="231"/>
        <v>#DIV/0!</v>
      </c>
      <c r="X82" s="44">
        <f t="shared" si="231"/>
        <v>10.4</v>
      </c>
      <c r="Y82" s="14">
        <f t="shared" si="231"/>
        <v>10.4</v>
      </c>
      <c r="Z82" s="13">
        <f t="shared" si="231"/>
        <v>7.2</v>
      </c>
      <c r="AA82" s="44" t="e">
        <f t="shared" si="231"/>
        <v>#DIV/0!</v>
      </c>
      <c r="AB82" s="44">
        <f t="shared" si="231"/>
        <v>6.5</v>
      </c>
      <c r="AC82" s="14">
        <f t="shared" si="231"/>
        <v>6.5</v>
      </c>
      <c r="AD82" s="13">
        <f t="shared" si="231"/>
        <v>6</v>
      </c>
      <c r="AE82" s="44" t="e">
        <f t="shared" si="231"/>
        <v>#DIV/0!</v>
      </c>
      <c r="AF82" s="44">
        <f t="shared" si="231"/>
        <v>6.3</v>
      </c>
      <c r="AG82" s="14">
        <f t="shared" si="231"/>
        <v>6.3</v>
      </c>
      <c r="AH82" s="13">
        <f t="shared" si="231"/>
        <v>7.1</v>
      </c>
      <c r="AI82" s="44">
        <f t="shared" si="231"/>
        <v>7.1</v>
      </c>
      <c r="AJ82" s="44">
        <f t="shared" si="231"/>
        <v>6.4</v>
      </c>
      <c r="AK82" s="14">
        <f t="shared" ref="AK82:BP82" si="232">AK77+2*(AK80-1)</f>
        <v>7.4</v>
      </c>
      <c r="AL82" s="13" t="e">
        <f t="shared" si="232"/>
        <v>#DIV/0!</v>
      </c>
      <c r="AM82" s="44" t="e">
        <f t="shared" si="232"/>
        <v>#DIV/0!</v>
      </c>
      <c r="AN82" s="44" t="e">
        <f t="shared" si="232"/>
        <v>#DIV/0!</v>
      </c>
      <c r="AO82" s="14" t="e">
        <f t="shared" si="232"/>
        <v>#DIV/0!</v>
      </c>
      <c r="AP82" s="13" t="e">
        <f t="shared" si="232"/>
        <v>#DIV/0!</v>
      </c>
      <c r="AQ82" s="44" t="e">
        <f t="shared" si="232"/>
        <v>#DIV/0!</v>
      </c>
      <c r="AR82" s="44" t="e">
        <f t="shared" si="232"/>
        <v>#DIV/0!</v>
      </c>
      <c r="AS82" s="14" t="e">
        <f t="shared" si="232"/>
        <v>#DIV/0!</v>
      </c>
      <c r="AT82" s="13" t="e">
        <f t="shared" si="232"/>
        <v>#DIV/0!</v>
      </c>
      <c r="AU82" s="44" t="e">
        <f t="shared" si="232"/>
        <v>#DIV/0!</v>
      </c>
      <c r="AV82" s="44" t="e">
        <f t="shared" si="232"/>
        <v>#DIV/0!</v>
      </c>
      <c r="AW82" s="14" t="e">
        <f t="shared" si="232"/>
        <v>#DIV/0!</v>
      </c>
      <c r="AX82" s="13" t="e">
        <f t="shared" si="232"/>
        <v>#DIV/0!</v>
      </c>
      <c r="AY82" s="44" t="e">
        <f t="shared" si="232"/>
        <v>#DIV/0!</v>
      </c>
      <c r="AZ82" s="44" t="e">
        <f t="shared" si="232"/>
        <v>#DIV/0!</v>
      </c>
      <c r="BA82" s="14" t="e">
        <f t="shared" si="232"/>
        <v>#DIV/0!</v>
      </c>
      <c r="BB82" s="13" t="e">
        <f t="shared" si="232"/>
        <v>#DIV/0!</v>
      </c>
      <c r="BC82" s="44" t="e">
        <f t="shared" si="232"/>
        <v>#DIV/0!</v>
      </c>
      <c r="BD82" s="44" t="e">
        <f t="shared" si="232"/>
        <v>#DIV/0!</v>
      </c>
      <c r="BE82" s="14" t="e">
        <f t="shared" si="232"/>
        <v>#DIV/0!</v>
      </c>
      <c r="BF82" s="13" t="e">
        <f t="shared" si="232"/>
        <v>#DIV/0!</v>
      </c>
      <c r="BG82" s="44" t="e">
        <f t="shared" si="232"/>
        <v>#DIV/0!</v>
      </c>
      <c r="BH82" s="44" t="e">
        <f t="shared" si="232"/>
        <v>#DIV/0!</v>
      </c>
      <c r="BI82" s="14" t="e">
        <f t="shared" si="232"/>
        <v>#DIV/0!</v>
      </c>
      <c r="BJ82" s="13" t="e">
        <f t="shared" si="232"/>
        <v>#DIV/0!</v>
      </c>
      <c r="BK82" s="44" t="e">
        <f t="shared" si="232"/>
        <v>#DIV/0!</v>
      </c>
      <c r="BL82" s="44" t="e">
        <f t="shared" si="232"/>
        <v>#DIV/0!</v>
      </c>
      <c r="BM82" s="14" t="e">
        <f t="shared" si="232"/>
        <v>#DIV/0!</v>
      </c>
      <c r="BN82" s="13" t="e">
        <f t="shared" si="232"/>
        <v>#DIV/0!</v>
      </c>
      <c r="BO82" s="44" t="e">
        <f t="shared" si="232"/>
        <v>#DIV/0!</v>
      </c>
      <c r="BP82" s="44" t="e">
        <f t="shared" si="232"/>
        <v>#DIV/0!</v>
      </c>
      <c r="BQ82" s="14" t="e">
        <f t="shared" ref="BQ82:CK82" si="233">BQ77+2*(BQ80-1)</f>
        <v>#DIV/0!</v>
      </c>
      <c r="BR82" s="13" t="e">
        <f t="shared" si="233"/>
        <v>#DIV/0!</v>
      </c>
      <c r="BS82" s="44" t="e">
        <f t="shared" si="233"/>
        <v>#DIV/0!</v>
      </c>
      <c r="BT82" s="44" t="e">
        <f t="shared" si="233"/>
        <v>#DIV/0!</v>
      </c>
      <c r="BU82" s="14" t="e">
        <f t="shared" si="233"/>
        <v>#DIV/0!</v>
      </c>
      <c r="BV82" s="13" t="e">
        <f t="shared" si="233"/>
        <v>#DIV/0!</v>
      </c>
      <c r="BW82" s="44" t="e">
        <f t="shared" si="233"/>
        <v>#DIV/0!</v>
      </c>
      <c r="BX82" s="44" t="e">
        <f t="shared" si="233"/>
        <v>#DIV/0!</v>
      </c>
      <c r="BY82" s="14" t="e">
        <f t="shared" si="233"/>
        <v>#DIV/0!</v>
      </c>
      <c r="BZ82" s="13" t="e">
        <f t="shared" si="233"/>
        <v>#DIV/0!</v>
      </c>
      <c r="CA82" s="44" t="e">
        <f t="shared" si="233"/>
        <v>#DIV/0!</v>
      </c>
      <c r="CB82" s="44" t="e">
        <f t="shared" si="233"/>
        <v>#DIV/0!</v>
      </c>
      <c r="CC82" s="14" t="e">
        <f t="shared" si="233"/>
        <v>#DIV/0!</v>
      </c>
      <c r="CD82" s="13" t="e">
        <f t="shared" si="233"/>
        <v>#DIV/0!</v>
      </c>
      <c r="CE82" s="44" t="e">
        <f t="shared" si="233"/>
        <v>#DIV/0!</v>
      </c>
      <c r="CF82" s="44" t="e">
        <f t="shared" si="233"/>
        <v>#DIV/0!</v>
      </c>
      <c r="CG82" s="14" t="e">
        <f t="shared" si="233"/>
        <v>#DIV/0!</v>
      </c>
      <c r="CH82" s="13" t="e">
        <f t="shared" si="233"/>
        <v>#DIV/0!</v>
      </c>
      <c r="CI82" s="44" t="e">
        <f t="shared" si="233"/>
        <v>#DIV/0!</v>
      </c>
      <c r="CJ82" s="44" t="e">
        <f t="shared" si="233"/>
        <v>#DIV/0!</v>
      </c>
      <c r="CK82" s="14" t="e">
        <f t="shared" si="233"/>
        <v>#DIV/0!</v>
      </c>
      <c r="CL82" s="49"/>
      <c r="CM82" s="28"/>
    </row>
    <row r="83" spans="2:91" ht="14.25" x14ac:dyDescent="0.25">
      <c r="B83" s="55"/>
      <c r="C83" s="10" t="s">
        <v>303</v>
      </c>
      <c r="D83" s="93" t="s">
        <v>388</v>
      </c>
      <c r="E83" s="125" t="e">
        <f t="shared" ref="E83:AJ83" si="234">1-EXP(-E82*E78/E32)</f>
        <v>#DIV/0!</v>
      </c>
      <c r="F83" s="13">
        <f t="shared" si="234"/>
        <v>4.1269212176804237E-2</v>
      </c>
      <c r="G83" s="44">
        <f t="shared" si="234"/>
        <v>4.1269212176804237E-2</v>
      </c>
      <c r="H83" s="44">
        <f t="shared" si="234"/>
        <v>5.108181160015457E-2</v>
      </c>
      <c r="I83" s="14">
        <f t="shared" si="234"/>
        <v>5.108181160015457E-2</v>
      </c>
      <c r="J83" s="13">
        <f t="shared" si="234"/>
        <v>2.4234837129119446E-2</v>
      </c>
      <c r="K83" s="44" t="e">
        <f t="shared" si="234"/>
        <v>#DIV/0!</v>
      </c>
      <c r="L83" s="44">
        <f t="shared" si="234"/>
        <v>2.1851091655095134E-3</v>
      </c>
      <c r="M83" s="14">
        <f t="shared" si="234"/>
        <v>2.1851091655095134E-3</v>
      </c>
      <c r="N83" s="13">
        <f t="shared" si="234"/>
        <v>3.8249290853633267E-2</v>
      </c>
      <c r="O83" s="44">
        <f t="shared" si="234"/>
        <v>3.6887359465564429E-2</v>
      </c>
      <c r="P83" s="44">
        <f t="shared" si="234"/>
        <v>4.9047976958419337E-2</v>
      </c>
      <c r="Q83" s="14">
        <f t="shared" si="234"/>
        <v>4.3719217685395217E-2</v>
      </c>
      <c r="R83" s="13">
        <f t="shared" si="234"/>
        <v>4.3386232341170672E-2</v>
      </c>
      <c r="S83" s="44" t="e">
        <f t="shared" si="234"/>
        <v>#DIV/0!</v>
      </c>
      <c r="T83" s="44">
        <f t="shared" si="234"/>
        <v>4.993443483019222E-3</v>
      </c>
      <c r="U83" s="14">
        <f t="shared" si="234"/>
        <v>4.993443483019222E-3</v>
      </c>
      <c r="V83" s="13">
        <f t="shared" si="234"/>
        <v>4.0988154122112319E-2</v>
      </c>
      <c r="W83" s="44" t="e">
        <f t="shared" si="234"/>
        <v>#DIV/0!</v>
      </c>
      <c r="X83" s="44">
        <f t="shared" si="234"/>
        <v>3.701839942606977E-3</v>
      </c>
      <c r="Y83" s="14">
        <f t="shared" si="234"/>
        <v>3.701839942606977E-3</v>
      </c>
      <c r="Z83" s="13">
        <f t="shared" si="234"/>
        <v>3.250751257874529E-2</v>
      </c>
      <c r="AA83" s="44" t="e">
        <f t="shared" si="234"/>
        <v>#DIV/0!</v>
      </c>
      <c r="AB83" s="44">
        <f t="shared" si="234"/>
        <v>7.6058486628197697E-3</v>
      </c>
      <c r="AC83" s="14">
        <f t="shared" si="234"/>
        <v>7.6058486628197697E-3</v>
      </c>
      <c r="AD83" s="13">
        <f t="shared" si="234"/>
        <v>3.4716398575734053E-2</v>
      </c>
      <c r="AE83" s="44" t="e">
        <f t="shared" si="234"/>
        <v>#DIV/0!</v>
      </c>
      <c r="AF83" s="44">
        <f t="shared" si="234"/>
        <v>1.4837466427606305E-3</v>
      </c>
      <c r="AG83" s="14">
        <f t="shared" si="234"/>
        <v>1.4837466427606305E-3</v>
      </c>
      <c r="AH83" s="13">
        <f t="shared" si="234"/>
        <v>2.3153889630217028E-2</v>
      </c>
      <c r="AI83" s="44">
        <f t="shared" si="234"/>
        <v>2.3153889630217028E-2</v>
      </c>
      <c r="AJ83" s="44">
        <f t="shared" si="234"/>
        <v>3.5233601504508938E-2</v>
      </c>
      <c r="AK83" s="14">
        <f t="shared" ref="AK83:BP83" si="235">1-EXP(-AK82*AK78/AK32)</f>
        <v>3.1539885556189917E-2</v>
      </c>
      <c r="AL83" s="13" t="e">
        <f t="shared" si="235"/>
        <v>#DIV/0!</v>
      </c>
      <c r="AM83" s="44" t="e">
        <f t="shared" si="235"/>
        <v>#DIV/0!</v>
      </c>
      <c r="AN83" s="44" t="e">
        <f t="shared" si="235"/>
        <v>#DIV/0!</v>
      </c>
      <c r="AO83" s="14" t="e">
        <f t="shared" si="235"/>
        <v>#DIV/0!</v>
      </c>
      <c r="AP83" s="13" t="e">
        <f t="shared" si="235"/>
        <v>#DIV/0!</v>
      </c>
      <c r="AQ83" s="44" t="e">
        <f t="shared" si="235"/>
        <v>#DIV/0!</v>
      </c>
      <c r="AR83" s="44" t="e">
        <f t="shared" si="235"/>
        <v>#DIV/0!</v>
      </c>
      <c r="AS83" s="14" t="e">
        <f t="shared" si="235"/>
        <v>#DIV/0!</v>
      </c>
      <c r="AT83" s="13" t="e">
        <f t="shared" si="235"/>
        <v>#DIV/0!</v>
      </c>
      <c r="AU83" s="44" t="e">
        <f t="shared" si="235"/>
        <v>#DIV/0!</v>
      </c>
      <c r="AV83" s="44" t="e">
        <f t="shared" si="235"/>
        <v>#DIV/0!</v>
      </c>
      <c r="AW83" s="14" t="e">
        <f t="shared" si="235"/>
        <v>#DIV/0!</v>
      </c>
      <c r="AX83" s="13" t="e">
        <f t="shared" si="235"/>
        <v>#DIV/0!</v>
      </c>
      <c r="AY83" s="44" t="e">
        <f t="shared" si="235"/>
        <v>#DIV/0!</v>
      </c>
      <c r="AZ83" s="44" t="e">
        <f t="shared" si="235"/>
        <v>#DIV/0!</v>
      </c>
      <c r="BA83" s="14" t="e">
        <f t="shared" si="235"/>
        <v>#DIV/0!</v>
      </c>
      <c r="BB83" s="13" t="e">
        <f t="shared" si="235"/>
        <v>#DIV/0!</v>
      </c>
      <c r="BC83" s="44" t="e">
        <f t="shared" si="235"/>
        <v>#DIV/0!</v>
      </c>
      <c r="BD83" s="44" t="e">
        <f t="shared" si="235"/>
        <v>#DIV/0!</v>
      </c>
      <c r="BE83" s="14" t="e">
        <f t="shared" si="235"/>
        <v>#DIV/0!</v>
      </c>
      <c r="BF83" s="13" t="e">
        <f t="shared" si="235"/>
        <v>#DIV/0!</v>
      </c>
      <c r="BG83" s="44" t="e">
        <f t="shared" si="235"/>
        <v>#DIV/0!</v>
      </c>
      <c r="BH83" s="44" t="e">
        <f t="shared" si="235"/>
        <v>#DIV/0!</v>
      </c>
      <c r="BI83" s="14" t="e">
        <f t="shared" si="235"/>
        <v>#DIV/0!</v>
      </c>
      <c r="BJ83" s="13" t="e">
        <f t="shared" si="235"/>
        <v>#DIV/0!</v>
      </c>
      <c r="BK83" s="44" t="e">
        <f t="shared" si="235"/>
        <v>#DIV/0!</v>
      </c>
      <c r="BL83" s="44" t="e">
        <f t="shared" si="235"/>
        <v>#DIV/0!</v>
      </c>
      <c r="BM83" s="14" t="e">
        <f t="shared" si="235"/>
        <v>#DIV/0!</v>
      </c>
      <c r="BN83" s="13" t="e">
        <f t="shared" si="235"/>
        <v>#DIV/0!</v>
      </c>
      <c r="BO83" s="44" t="e">
        <f t="shared" si="235"/>
        <v>#DIV/0!</v>
      </c>
      <c r="BP83" s="44" t="e">
        <f t="shared" si="235"/>
        <v>#DIV/0!</v>
      </c>
      <c r="BQ83" s="14" t="e">
        <f t="shared" ref="BQ83:CK83" si="236">1-EXP(-BQ82*BQ78/BQ32)</f>
        <v>#DIV/0!</v>
      </c>
      <c r="BR83" s="13" t="e">
        <f t="shared" si="236"/>
        <v>#DIV/0!</v>
      </c>
      <c r="BS83" s="44" t="e">
        <f t="shared" si="236"/>
        <v>#DIV/0!</v>
      </c>
      <c r="BT83" s="44" t="e">
        <f t="shared" si="236"/>
        <v>#DIV/0!</v>
      </c>
      <c r="BU83" s="14" t="e">
        <f t="shared" si="236"/>
        <v>#DIV/0!</v>
      </c>
      <c r="BV83" s="13" t="e">
        <f t="shared" si="236"/>
        <v>#DIV/0!</v>
      </c>
      <c r="BW83" s="44" t="e">
        <f t="shared" si="236"/>
        <v>#DIV/0!</v>
      </c>
      <c r="BX83" s="44" t="e">
        <f t="shared" si="236"/>
        <v>#DIV/0!</v>
      </c>
      <c r="BY83" s="14" t="e">
        <f t="shared" si="236"/>
        <v>#DIV/0!</v>
      </c>
      <c r="BZ83" s="13" t="e">
        <f t="shared" si="236"/>
        <v>#DIV/0!</v>
      </c>
      <c r="CA83" s="44" t="e">
        <f t="shared" si="236"/>
        <v>#DIV/0!</v>
      </c>
      <c r="CB83" s="44" t="e">
        <f t="shared" si="236"/>
        <v>#DIV/0!</v>
      </c>
      <c r="CC83" s="14" t="e">
        <f t="shared" si="236"/>
        <v>#DIV/0!</v>
      </c>
      <c r="CD83" s="13" t="e">
        <f t="shared" si="236"/>
        <v>#DIV/0!</v>
      </c>
      <c r="CE83" s="44" t="e">
        <f t="shared" si="236"/>
        <v>#DIV/0!</v>
      </c>
      <c r="CF83" s="44" t="e">
        <f t="shared" si="236"/>
        <v>#DIV/0!</v>
      </c>
      <c r="CG83" s="14" t="e">
        <f t="shared" si="236"/>
        <v>#DIV/0!</v>
      </c>
      <c r="CH83" s="13" t="e">
        <f t="shared" si="236"/>
        <v>#DIV/0!</v>
      </c>
      <c r="CI83" s="44" t="e">
        <f t="shared" si="236"/>
        <v>#DIV/0!</v>
      </c>
      <c r="CJ83" s="44" t="e">
        <f t="shared" si="236"/>
        <v>#DIV/0!</v>
      </c>
      <c r="CK83" s="14" t="e">
        <f t="shared" si="236"/>
        <v>#DIV/0!</v>
      </c>
      <c r="CL83" s="49"/>
      <c r="CM83" s="28"/>
    </row>
    <row r="84" spans="2:91" ht="14.25" x14ac:dyDescent="0.25">
      <c r="B84" s="55"/>
      <c r="C84" s="10" t="s">
        <v>304</v>
      </c>
      <c r="D84" s="93" t="s">
        <v>415</v>
      </c>
      <c r="E84" s="125" t="e">
        <f t="shared" ref="E84:AJ84" si="237">1 - (1-E83)^E32</f>
        <v>#DIV/0!</v>
      </c>
      <c r="F84" s="13">
        <f t="shared" si="237"/>
        <v>0.9326112896808858</v>
      </c>
      <c r="G84" s="44">
        <f t="shared" si="237"/>
        <v>0.9326112896808858</v>
      </c>
      <c r="H84" s="44">
        <f t="shared" si="237"/>
        <v>0.93455204288343041</v>
      </c>
      <c r="I84" s="14">
        <f t="shared" si="237"/>
        <v>0.93455204288343041</v>
      </c>
      <c r="J84" s="13">
        <f t="shared" si="237"/>
        <v>0.70673148807343766</v>
      </c>
      <c r="K84" s="44" t="e">
        <f t="shared" si="237"/>
        <v>#DIV/0!</v>
      </c>
      <c r="L84" s="44">
        <f t="shared" si="237"/>
        <v>8.3781128349121103E-2</v>
      </c>
      <c r="M84" s="14">
        <f t="shared" si="237"/>
        <v>8.3781128349121103E-2</v>
      </c>
      <c r="N84" s="13">
        <f t="shared" si="237"/>
        <v>0.84618427746657066</v>
      </c>
      <c r="O84" s="44">
        <f t="shared" si="237"/>
        <v>0.86357769219668556</v>
      </c>
      <c r="P84" s="44">
        <f t="shared" si="237"/>
        <v>0.95107662596110853</v>
      </c>
      <c r="Q84" s="14">
        <f t="shared" si="237"/>
        <v>0.98210677864899643</v>
      </c>
      <c r="R84" s="13">
        <f t="shared" si="237"/>
        <v>0.89114926923048132</v>
      </c>
      <c r="S84" s="44" t="e">
        <f t="shared" si="237"/>
        <v>#DIV/0!</v>
      </c>
      <c r="T84" s="44">
        <f t="shared" si="237"/>
        <v>0.13078664556667874</v>
      </c>
      <c r="U84" s="14">
        <f t="shared" si="237"/>
        <v>0.13078664556667874</v>
      </c>
      <c r="V84" s="13">
        <f t="shared" si="237"/>
        <v>0.8479176811472926</v>
      </c>
      <c r="W84" s="44" t="e">
        <f t="shared" si="237"/>
        <v>#DIV/0!</v>
      </c>
      <c r="X84" s="44">
        <f t="shared" si="237"/>
        <v>0.24000577502249998</v>
      </c>
      <c r="Y84" s="14">
        <f t="shared" si="237"/>
        <v>0.24000577502249998</v>
      </c>
      <c r="Z84" s="13">
        <f t="shared" si="237"/>
        <v>0.75042604627619303</v>
      </c>
      <c r="AA84" s="44" t="e">
        <f t="shared" si="237"/>
        <v>#DIV/0!</v>
      </c>
      <c r="AB84" s="44">
        <f t="shared" si="237"/>
        <v>0.23449705920195441</v>
      </c>
      <c r="AC84" s="14">
        <f t="shared" si="237"/>
        <v>0.23449705920195441</v>
      </c>
      <c r="AD84" s="13">
        <f t="shared" si="237"/>
        <v>0.65354418966994277</v>
      </c>
      <c r="AE84" s="44" t="e">
        <f t="shared" si="237"/>
        <v>#DIV/0!</v>
      </c>
      <c r="AF84" s="44">
        <f t="shared" si="237"/>
        <v>4.7818870301494232E-2</v>
      </c>
      <c r="AG84" s="14">
        <f t="shared" si="237"/>
        <v>4.7818870301494232E-2</v>
      </c>
      <c r="AH84" s="13">
        <f t="shared" si="237"/>
        <v>0.61728788186972083</v>
      </c>
      <c r="AI84" s="44">
        <f t="shared" si="237"/>
        <v>0.61728788186972083</v>
      </c>
      <c r="AJ84" s="44">
        <f t="shared" si="237"/>
        <v>0.70463859050560895</v>
      </c>
      <c r="AK84" s="14">
        <f t="shared" ref="AK84:BP84" si="238">1 - (1-AK83)^AK32</f>
        <v>0.75588384237102346</v>
      </c>
      <c r="AL84" s="13" t="e">
        <f t="shared" si="238"/>
        <v>#DIV/0!</v>
      </c>
      <c r="AM84" s="44" t="e">
        <f t="shared" si="238"/>
        <v>#DIV/0!</v>
      </c>
      <c r="AN84" s="44" t="e">
        <f t="shared" si="238"/>
        <v>#DIV/0!</v>
      </c>
      <c r="AO84" s="14" t="e">
        <f t="shared" si="238"/>
        <v>#DIV/0!</v>
      </c>
      <c r="AP84" s="13" t="e">
        <f t="shared" si="238"/>
        <v>#DIV/0!</v>
      </c>
      <c r="AQ84" s="44" t="e">
        <f t="shared" si="238"/>
        <v>#DIV/0!</v>
      </c>
      <c r="AR84" s="44" t="e">
        <f t="shared" si="238"/>
        <v>#DIV/0!</v>
      </c>
      <c r="AS84" s="14" t="e">
        <f t="shared" si="238"/>
        <v>#DIV/0!</v>
      </c>
      <c r="AT84" s="13" t="e">
        <f t="shared" si="238"/>
        <v>#DIV/0!</v>
      </c>
      <c r="AU84" s="44" t="e">
        <f t="shared" si="238"/>
        <v>#DIV/0!</v>
      </c>
      <c r="AV84" s="44" t="e">
        <f t="shared" si="238"/>
        <v>#DIV/0!</v>
      </c>
      <c r="AW84" s="14" t="e">
        <f t="shared" si="238"/>
        <v>#DIV/0!</v>
      </c>
      <c r="AX84" s="13" t="e">
        <f t="shared" si="238"/>
        <v>#DIV/0!</v>
      </c>
      <c r="AY84" s="44" t="e">
        <f t="shared" si="238"/>
        <v>#DIV/0!</v>
      </c>
      <c r="AZ84" s="44" t="e">
        <f t="shared" si="238"/>
        <v>#DIV/0!</v>
      </c>
      <c r="BA84" s="14" t="e">
        <f t="shared" si="238"/>
        <v>#DIV/0!</v>
      </c>
      <c r="BB84" s="13" t="e">
        <f t="shared" si="238"/>
        <v>#DIV/0!</v>
      </c>
      <c r="BC84" s="44" t="e">
        <f t="shared" si="238"/>
        <v>#DIV/0!</v>
      </c>
      <c r="BD84" s="44" t="e">
        <f t="shared" si="238"/>
        <v>#DIV/0!</v>
      </c>
      <c r="BE84" s="14" t="e">
        <f t="shared" si="238"/>
        <v>#DIV/0!</v>
      </c>
      <c r="BF84" s="13" t="e">
        <f t="shared" si="238"/>
        <v>#DIV/0!</v>
      </c>
      <c r="BG84" s="44" t="e">
        <f t="shared" si="238"/>
        <v>#DIV/0!</v>
      </c>
      <c r="BH84" s="44" t="e">
        <f t="shared" si="238"/>
        <v>#DIV/0!</v>
      </c>
      <c r="BI84" s="14" t="e">
        <f t="shared" si="238"/>
        <v>#DIV/0!</v>
      </c>
      <c r="BJ84" s="13" t="e">
        <f t="shared" si="238"/>
        <v>#DIV/0!</v>
      </c>
      <c r="BK84" s="44" t="e">
        <f t="shared" si="238"/>
        <v>#DIV/0!</v>
      </c>
      <c r="BL84" s="44" t="e">
        <f t="shared" si="238"/>
        <v>#DIV/0!</v>
      </c>
      <c r="BM84" s="14" t="e">
        <f t="shared" si="238"/>
        <v>#DIV/0!</v>
      </c>
      <c r="BN84" s="13" t="e">
        <f t="shared" si="238"/>
        <v>#DIV/0!</v>
      </c>
      <c r="BO84" s="44" t="e">
        <f t="shared" si="238"/>
        <v>#DIV/0!</v>
      </c>
      <c r="BP84" s="44" t="e">
        <f t="shared" si="238"/>
        <v>#DIV/0!</v>
      </c>
      <c r="BQ84" s="14" t="e">
        <f t="shared" ref="BQ84:CK84" si="239">1 - (1-BQ83)^BQ32</f>
        <v>#DIV/0!</v>
      </c>
      <c r="BR84" s="13" t="e">
        <f t="shared" si="239"/>
        <v>#DIV/0!</v>
      </c>
      <c r="BS84" s="44" t="e">
        <f t="shared" si="239"/>
        <v>#DIV/0!</v>
      </c>
      <c r="BT84" s="44" t="e">
        <f t="shared" si="239"/>
        <v>#DIV/0!</v>
      </c>
      <c r="BU84" s="14" t="e">
        <f t="shared" si="239"/>
        <v>#DIV/0!</v>
      </c>
      <c r="BV84" s="13" t="e">
        <f t="shared" si="239"/>
        <v>#DIV/0!</v>
      </c>
      <c r="BW84" s="44" t="e">
        <f t="shared" si="239"/>
        <v>#DIV/0!</v>
      </c>
      <c r="BX84" s="44" t="e">
        <f t="shared" si="239"/>
        <v>#DIV/0!</v>
      </c>
      <c r="BY84" s="14" t="e">
        <f t="shared" si="239"/>
        <v>#DIV/0!</v>
      </c>
      <c r="BZ84" s="13" t="e">
        <f t="shared" si="239"/>
        <v>#DIV/0!</v>
      </c>
      <c r="CA84" s="44" t="e">
        <f t="shared" si="239"/>
        <v>#DIV/0!</v>
      </c>
      <c r="CB84" s="44" t="e">
        <f t="shared" si="239"/>
        <v>#DIV/0!</v>
      </c>
      <c r="CC84" s="14" t="e">
        <f t="shared" si="239"/>
        <v>#DIV/0!</v>
      </c>
      <c r="CD84" s="13" t="e">
        <f t="shared" si="239"/>
        <v>#DIV/0!</v>
      </c>
      <c r="CE84" s="44" t="e">
        <f t="shared" si="239"/>
        <v>#DIV/0!</v>
      </c>
      <c r="CF84" s="44" t="e">
        <f t="shared" si="239"/>
        <v>#DIV/0!</v>
      </c>
      <c r="CG84" s="14" t="e">
        <f t="shared" si="239"/>
        <v>#DIV/0!</v>
      </c>
      <c r="CH84" s="13" t="e">
        <f t="shared" si="239"/>
        <v>#DIV/0!</v>
      </c>
      <c r="CI84" s="44" t="e">
        <f t="shared" si="239"/>
        <v>#DIV/0!</v>
      </c>
      <c r="CJ84" s="44" t="e">
        <f t="shared" si="239"/>
        <v>#DIV/0!</v>
      </c>
      <c r="CK84" s="14" t="e">
        <f t="shared" si="239"/>
        <v>#DIV/0!</v>
      </c>
      <c r="CL84" s="49"/>
      <c r="CM84" s="28"/>
    </row>
    <row r="85" spans="2:91" ht="14.25" x14ac:dyDescent="0.25">
      <c r="B85" s="55"/>
      <c r="C85" s="10" t="s">
        <v>305</v>
      </c>
      <c r="D85" s="93" t="s">
        <v>391</v>
      </c>
      <c r="E85" s="125" t="e">
        <f t="shared" ref="E85:AJ85" si="240">(1/E78)*(EXP(E78*E77)-E51*E77-1)/E84</f>
        <v>#DIV/0!</v>
      </c>
      <c r="F85" s="13">
        <f t="shared" si="240"/>
        <v>40.035409063819664</v>
      </c>
      <c r="G85" s="44">
        <f t="shared" si="240"/>
        <v>40.035409063819664</v>
      </c>
      <c r="H85" s="44">
        <f t="shared" si="240"/>
        <v>38.380725892883454</v>
      </c>
      <c r="I85" s="14">
        <f t="shared" si="240"/>
        <v>38.380725892883454</v>
      </c>
      <c r="J85" s="13">
        <f t="shared" si="240"/>
        <v>21.315312840306337</v>
      </c>
      <c r="K85" s="44" t="e">
        <f t="shared" si="240"/>
        <v>#DIV/0!</v>
      </c>
      <c r="L85" s="44">
        <f>(1/L78)*(EXP(L78*L77)-L51*L77-1)/L84</f>
        <v>-937.57731674253046</v>
      </c>
      <c r="M85" s="14">
        <f t="shared" si="240"/>
        <v>-937.57731674253046</v>
      </c>
      <c r="N85" s="13">
        <f t="shared" si="240"/>
        <v>14.211440046820572</v>
      </c>
      <c r="O85" s="44">
        <f t="shared" si="240"/>
        <v>17.11568603477167</v>
      </c>
      <c r="P85" s="44">
        <f t="shared" si="240"/>
        <v>54.190937361329347</v>
      </c>
      <c r="Q85" s="14">
        <f t="shared" si="240"/>
        <v>157.94251252233039</v>
      </c>
      <c r="R85" s="13">
        <f t="shared" si="240"/>
        <v>32.356513341402781</v>
      </c>
      <c r="S85" s="44" t="e">
        <f t="shared" si="240"/>
        <v>#DIV/0!</v>
      </c>
      <c r="T85" s="44">
        <f t="shared" si="240"/>
        <v>-461.11109684446529</v>
      </c>
      <c r="U85" s="14">
        <f t="shared" si="240"/>
        <v>-461.11109684446529</v>
      </c>
      <c r="V85" s="13">
        <f t="shared" si="240"/>
        <v>25.255638211451419</v>
      </c>
      <c r="W85" s="44" t="e">
        <f t="shared" si="240"/>
        <v>#DIV/0!</v>
      </c>
      <c r="X85" s="44">
        <f t="shared" si="240"/>
        <v>-362.4790804690997</v>
      </c>
      <c r="Y85" s="14">
        <f t="shared" si="240"/>
        <v>-362.4790804690997</v>
      </c>
      <c r="Z85" s="13">
        <f t="shared" si="240"/>
        <v>18.738600579104379</v>
      </c>
      <c r="AA85" s="44" t="e">
        <f t="shared" si="240"/>
        <v>#DIV/0!</v>
      </c>
      <c r="AB85" s="44">
        <f t="shared" si="240"/>
        <v>-98.203543671881278</v>
      </c>
      <c r="AC85" s="14">
        <f t="shared" si="240"/>
        <v>-98.203543671881278</v>
      </c>
      <c r="AD85" s="13">
        <f t="shared" si="240"/>
        <v>15.933766772876721</v>
      </c>
      <c r="AE85" s="44" t="e">
        <f t="shared" si="240"/>
        <v>#DIV/0!</v>
      </c>
      <c r="AF85" s="44">
        <f t="shared" si="240"/>
        <v>-2857.5141340745272</v>
      </c>
      <c r="AG85" s="14">
        <f t="shared" si="240"/>
        <v>-2857.5141340745272</v>
      </c>
      <c r="AH85" s="13">
        <f t="shared" si="240"/>
        <v>3.1134014113562865</v>
      </c>
      <c r="AI85" s="44">
        <f t="shared" si="240"/>
        <v>3.1134014113562865</v>
      </c>
      <c r="AJ85" s="44">
        <f t="shared" si="240"/>
        <v>11.319529311205866</v>
      </c>
      <c r="AK85" s="14">
        <f t="shared" ref="AK85:BP85" si="241">(1/AK78)*(EXP(AK78*AK77)-AK51*AK77-1)/AK84</f>
        <v>14.547250977469062</v>
      </c>
      <c r="AL85" s="13" t="e">
        <f t="shared" si="241"/>
        <v>#DIV/0!</v>
      </c>
      <c r="AM85" s="44" t="e">
        <f t="shared" si="241"/>
        <v>#DIV/0!</v>
      </c>
      <c r="AN85" s="44" t="e">
        <f t="shared" si="241"/>
        <v>#DIV/0!</v>
      </c>
      <c r="AO85" s="14" t="e">
        <f t="shared" si="241"/>
        <v>#DIV/0!</v>
      </c>
      <c r="AP85" s="13" t="e">
        <f t="shared" si="241"/>
        <v>#DIV/0!</v>
      </c>
      <c r="AQ85" s="44" t="e">
        <f t="shared" si="241"/>
        <v>#DIV/0!</v>
      </c>
      <c r="AR85" s="44" t="e">
        <f t="shared" si="241"/>
        <v>#DIV/0!</v>
      </c>
      <c r="AS85" s="14" t="e">
        <f t="shared" si="241"/>
        <v>#DIV/0!</v>
      </c>
      <c r="AT85" s="13" t="e">
        <f t="shared" si="241"/>
        <v>#DIV/0!</v>
      </c>
      <c r="AU85" s="44" t="e">
        <f t="shared" si="241"/>
        <v>#DIV/0!</v>
      </c>
      <c r="AV85" s="44" t="e">
        <f t="shared" si="241"/>
        <v>#DIV/0!</v>
      </c>
      <c r="AW85" s="14" t="e">
        <f t="shared" si="241"/>
        <v>#DIV/0!</v>
      </c>
      <c r="AX85" s="13" t="e">
        <f t="shared" si="241"/>
        <v>#DIV/0!</v>
      </c>
      <c r="AY85" s="44" t="e">
        <f t="shared" si="241"/>
        <v>#DIV/0!</v>
      </c>
      <c r="AZ85" s="44" t="e">
        <f t="shared" si="241"/>
        <v>#DIV/0!</v>
      </c>
      <c r="BA85" s="14" t="e">
        <f t="shared" si="241"/>
        <v>#DIV/0!</v>
      </c>
      <c r="BB85" s="13" t="e">
        <f t="shared" si="241"/>
        <v>#DIV/0!</v>
      </c>
      <c r="BC85" s="44" t="e">
        <f t="shared" si="241"/>
        <v>#DIV/0!</v>
      </c>
      <c r="BD85" s="44" t="e">
        <f t="shared" si="241"/>
        <v>#DIV/0!</v>
      </c>
      <c r="BE85" s="14" t="e">
        <f t="shared" si="241"/>
        <v>#DIV/0!</v>
      </c>
      <c r="BF85" s="13" t="e">
        <f t="shared" si="241"/>
        <v>#DIV/0!</v>
      </c>
      <c r="BG85" s="44" t="e">
        <f t="shared" si="241"/>
        <v>#DIV/0!</v>
      </c>
      <c r="BH85" s="44" t="e">
        <f t="shared" si="241"/>
        <v>#DIV/0!</v>
      </c>
      <c r="BI85" s="14" t="e">
        <f t="shared" si="241"/>
        <v>#DIV/0!</v>
      </c>
      <c r="BJ85" s="13" t="e">
        <f t="shared" si="241"/>
        <v>#DIV/0!</v>
      </c>
      <c r="BK85" s="44" t="e">
        <f t="shared" si="241"/>
        <v>#DIV/0!</v>
      </c>
      <c r="BL85" s="44" t="e">
        <f t="shared" si="241"/>
        <v>#DIV/0!</v>
      </c>
      <c r="BM85" s="14" t="e">
        <f t="shared" si="241"/>
        <v>#DIV/0!</v>
      </c>
      <c r="BN85" s="13" t="e">
        <f t="shared" si="241"/>
        <v>#DIV/0!</v>
      </c>
      <c r="BO85" s="44" t="e">
        <f t="shared" si="241"/>
        <v>#DIV/0!</v>
      </c>
      <c r="BP85" s="44" t="e">
        <f t="shared" si="241"/>
        <v>#DIV/0!</v>
      </c>
      <c r="BQ85" s="14" t="e">
        <f t="shared" ref="BQ85:CK85" si="242">(1/BQ78)*(EXP(BQ78*BQ77)-BQ51*BQ77-1)/BQ84</f>
        <v>#DIV/0!</v>
      </c>
      <c r="BR85" s="13" t="e">
        <f t="shared" si="242"/>
        <v>#DIV/0!</v>
      </c>
      <c r="BS85" s="44" t="e">
        <f t="shared" si="242"/>
        <v>#DIV/0!</v>
      </c>
      <c r="BT85" s="44" t="e">
        <f t="shared" si="242"/>
        <v>#DIV/0!</v>
      </c>
      <c r="BU85" s="14" t="e">
        <f t="shared" si="242"/>
        <v>#DIV/0!</v>
      </c>
      <c r="BV85" s="13" t="e">
        <f t="shared" si="242"/>
        <v>#DIV/0!</v>
      </c>
      <c r="BW85" s="44" t="e">
        <f t="shared" si="242"/>
        <v>#DIV/0!</v>
      </c>
      <c r="BX85" s="44" t="e">
        <f t="shared" si="242"/>
        <v>#DIV/0!</v>
      </c>
      <c r="BY85" s="14" t="e">
        <f t="shared" si="242"/>
        <v>#DIV/0!</v>
      </c>
      <c r="BZ85" s="13" t="e">
        <f t="shared" si="242"/>
        <v>#DIV/0!</v>
      </c>
      <c r="CA85" s="44" t="e">
        <f t="shared" si="242"/>
        <v>#DIV/0!</v>
      </c>
      <c r="CB85" s="44" t="e">
        <f t="shared" si="242"/>
        <v>#DIV/0!</v>
      </c>
      <c r="CC85" s="14" t="e">
        <f t="shared" si="242"/>
        <v>#DIV/0!</v>
      </c>
      <c r="CD85" s="13" t="e">
        <f t="shared" si="242"/>
        <v>#DIV/0!</v>
      </c>
      <c r="CE85" s="44" t="e">
        <f t="shared" si="242"/>
        <v>#DIV/0!</v>
      </c>
      <c r="CF85" s="44" t="e">
        <f t="shared" si="242"/>
        <v>#DIV/0!</v>
      </c>
      <c r="CG85" s="14" t="e">
        <f t="shared" si="242"/>
        <v>#DIV/0!</v>
      </c>
      <c r="CH85" s="13" t="e">
        <f t="shared" si="242"/>
        <v>#DIV/0!</v>
      </c>
      <c r="CI85" s="44" t="e">
        <f t="shared" si="242"/>
        <v>#DIV/0!</v>
      </c>
      <c r="CJ85" s="44" t="e">
        <f t="shared" si="242"/>
        <v>#DIV/0!</v>
      </c>
      <c r="CK85" s="14" t="e">
        <f t="shared" si="242"/>
        <v>#DIV/0!</v>
      </c>
      <c r="CL85" s="49"/>
      <c r="CM85" s="28"/>
    </row>
    <row r="86" spans="2:91" x14ac:dyDescent="0.25">
      <c r="B86" s="55"/>
      <c r="C86" s="10" t="s">
        <v>286</v>
      </c>
      <c r="D86" s="93" t="s">
        <v>392</v>
      </c>
      <c r="E86" s="125" t="e">
        <f t="shared" ref="E86:AJ86" si="243">((1/E78) - (E93+(1/E78))*EXP(-E78*E93))/(1-EXP(-E78*E93))</f>
        <v>#DIV/0!</v>
      </c>
      <c r="F86" s="13">
        <f t="shared" si="243"/>
        <v>2.6233328749445941</v>
      </c>
      <c r="G86" s="44">
        <f t="shared" si="243"/>
        <v>2.6233328749445941</v>
      </c>
      <c r="H86" s="44">
        <f t="shared" si="243"/>
        <v>2.5757572784913623</v>
      </c>
      <c r="I86" s="14">
        <f t="shared" si="243"/>
        <v>2.5757572784913623</v>
      </c>
      <c r="J86" s="13">
        <f t="shared" si="243"/>
        <v>2.8855901613648549</v>
      </c>
      <c r="K86" s="44" t="e">
        <f t="shared" si="243"/>
        <v>#DIV/0!</v>
      </c>
      <c r="L86" s="44">
        <f t="shared" si="243"/>
        <v>3.9333444417996333</v>
      </c>
      <c r="M86" s="14">
        <f t="shared" si="243"/>
        <v>3.9333444417996333</v>
      </c>
      <c r="N86" s="13">
        <f t="shared" si="243"/>
        <v>2.9934378183914143</v>
      </c>
      <c r="O86" s="44">
        <f t="shared" si="243"/>
        <v>3.4529872901147054</v>
      </c>
      <c r="P86" s="44">
        <f t="shared" si="243"/>
        <v>2.3669494588766979</v>
      </c>
      <c r="Q86" s="14">
        <f t="shared" si="243"/>
        <v>2.4352635970513732</v>
      </c>
      <c r="R86" s="13">
        <f t="shared" si="243"/>
        <v>2.154403558665988</v>
      </c>
      <c r="S86" s="44" t="e">
        <f t="shared" si="243"/>
        <v>#DIV/0!</v>
      </c>
      <c r="T86" s="44">
        <f t="shared" si="243"/>
        <v>3.8711913327254162</v>
      </c>
      <c r="U86" s="14">
        <f t="shared" si="243"/>
        <v>3.8711913327254162</v>
      </c>
      <c r="V86" s="13">
        <f t="shared" si="243"/>
        <v>3.1582265936707863</v>
      </c>
      <c r="W86" s="44" t="e">
        <f t="shared" si="243"/>
        <v>#DIV/0!</v>
      </c>
      <c r="X86" s="44">
        <f t="shared" si="243"/>
        <v>3.6263827642894957</v>
      </c>
      <c r="Y86" s="14">
        <f t="shared" si="243"/>
        <v>3.6263827642894957</v>
      </c>
      <c r="Z86" s="13">
        <f t="shared" si="243"/>
        <v>2.588384621242398</v>
      </c>
      <c r="AA86" s="44" t="e">
        <f t="shared" si="243"/>
        <v>#DIV/0!</v>
      </c>
      <c r="AB86" s="44">
        <f t="shared" si="243"/>
        <v>3.4226588035274736</v>
      </c>
      <c r="AC86" s="14">
        <f t="shared" si="243"/>
        <v>3.4226588035274736</v>
      </c>
      <c r="AD86" s="13">
        <f t="shared" si="243"/>
        <v>2.5773939234756962</v>
      </c>
      <c r="AE86" s="44" t="e">
        <f t="shared" si="243"/>
        <v>#DIV/0!</v>
      </c>
      <c r="AF86" s="44">
        <f t="shared" si="243"/>
        <v>2.976667513536114</v>
      </c>
      <c r="AG86" s="14">
        <f t="shared" si="243"/>
        <v>2.976667513536114</v>
      </c>
      <c r="AH86" s="13">
        <f t="shared" si="243"/>
        <v>2.7439193458784001</v>
      </c>
      <c r="AI86" s="44">
        <f t="shared" si="243"/>
        <v>3.092752773571803</v>
      </c>
      <c r="AJ86" s="44">
        <f t="shared" si="243"/>
        <v>2.7729112231525117</v>
      </c>
      <c r="AK86" s="14">
        <f t="shared" ref="AK86:BP86" si="244">((1/AK78) - (AK93+(1/AK78))*EXP(-AK78*AK93))/(1-EXP(-AK78*AK93))</f>
        <v>2.7729112231525117</v>
      </c>
      <c r="AL86" s="13" t="e">
        <f t="shared" si="244"/>
        <v>#DIV/0!</v>
      </c>
      <c r="AM86" s="44" t="e">
        <f t="shared" si="244"/>
        <v>#DIV/0!</v>
      </c>
      <c r="AN86" s="44" t="e">
        <f t="shared" si="244"/>
        <v>#DIV/0!</v>
      </c>
      <c r="AO86" s="14" t="e">
        <f t="shared" si="244"/>
        <v>#DIV/0!</v>
      </c>
      <c r="AP86" s="13" t="e">
        <f t="shared" si="244"/>
        <v>#DIV/0!</v>
      </c>
      <c r="AQ86" s="44" t="e">
        <f t="shared" si="244"/>
        <v>#DIV/0!</v>
      </c>
      <c r="AR86" s="44" t="e">
        <f t="shared" si="244"/>
        <v>#DIV/0!</v>
      </c>
      <c r="AS86" s="14" t="e">
        <f t="shared" si="244"/>
        <v>#DIV/0!</v>
      </c>
      <c r="AT86" s="13" t="e">
        <f t="shared" si="244"/>
        <v>#DIV/0!</v>
      </c>
      <c r="AU86" s="44" t="e">
        <f t="shared" si="244"/>
        <v>#DIV/0!</v>
      </c>
      <c r="AV86" s="44" t="e">
        <f t="shared" si="244"/>
        <v>#DIV/0!</v>
      </c>
      <c r="AW86" s="14" t="e">
        <f t="shared" si="244"/>
        <v>#DIV/0!</v>
      </c>
      <c r="AX86" s="13" t="e">
        <f t="shared" si="244"/>
        <v>#DIV/0!</v>
      </c>
      <c r="AY86" s="44" t="e">
        <f t="shared" si="244"/>
        <v>#DIV/0!</v>
      </c>
      <c r="AZ86" s="44" t="e">
        <f t="shared" si="244"/>
        <v>#DIV/0!</v>
      </c>
      <c r="BA86" s="14" t="e">
        <f t="shared" si="244"/>
        <v>#DIV/0!</v>
      </c>
      <c r="BB86" s="13" t="e">
        <f t="shared" si="244"/>
        <v>#DIV/0!</v>
      </c>
      <c r="BC86" s="44" t="e">
        <f t="shared" si="244"/>
        <v>#DIV/0!</v>
      </c>
      <c r="BD86" s="44" t="e">
        <f t="shared" si="244"/>
        <v>#DIV/0!</v>
      </c>
      <c r="BE86" s="14" t="e">
        <f t="shared" si="244"/>
        <v>#DIV/0!</v>
      </c>
      <c r="BF86" s="13" t="e">
        <f t="shared" si="244"/>
        <v>#DIV/0!</v>
      </c>
      <c r="BG86" s="44" t="e">
        <f t="shared" si="244"/>
        <v>#DIV/0!</v>
      </c>
      <c r="BH86" s="44" t="e">
        <f t="shared" si="244"/>
        <v>#DIV/0!</v>
      </c>
      <c r="BI86" s="14" t="e">
        <f t="shared" si="244"/>
        <v>#DIV/0!</v>
      </c>
      <c r="BJ86" s="13" t="e">
        <f t="shared" si="244"/>
        <v>#DIV/0!</v>
      </c>
      <c r="BK86" s="44" t="e">
        <f t="shared" si="244"/>
        <v>#DIV/0!</v>
      </c>
      <c r="BL86" s="44" t="e">
        <f t="shared" si="244"/>
        <v>#DIV/0!</v>
      </c>
      <c r="BM86" s="14" t="e">
        <f t="shared" si="244"/>
        <v>#DIV/0!</v>
      </c>
      <c r="BN86" s="13" t="e">
        <f t="shared" si="244"/>
        <v>#DIV/0!</v>
      </c>
      <c r="BO86" s="44" t="e">
        <f t="shared" si="244"/>
        <v>#DIV/0!</v>
      </c>
      <c r="BP86" s="44" t="e">
        <f t="shared" si="244"/>
        <v>#DIV/0!</v>
      </c>
      <c r="BQ86" s="14" t="e">
        <f t="shared" ref="BQ86:CK86" si="245">((1/BQ78) - (BQ93+(1/BQ78))*EXP(-BQ78*BQ93))/(1-EXP(-BQ78*BQ93))</f>
        <v>#DIV/0!</v>
      </c>
      <c r="BR86" s="13" t="e">
        <f t="shared" si="245"/>
        <v>#DIV/0!</v>
      </c>
      <c r="BS86" s="44" t="e">
        <f t="shared" si="245"/>
        <v>#DIV/0!</v>
      </c>
      <c r="BT86" s="44" t="e">
        <f t="shared" si="245"/>
        <v>#DIV/0!</v>
      </c>
      <c r="BU86" s="14" t="e">
        <f t="shared" si="245"/>
        <v>#DIV/0!</v>
      </c>
      <c r="BV86" s="13" t="e">
        <f t="shared" si="245"/>
        <v>#DIV/0!</v>
      </c>
      <c r="BW86" s="44" t="e">
        <f t="shared" si="245"/>
        <v>#DIV/0!</v>
      </c>
      <c r="BX86" s="44" t="e">
        <f t="shared" si="245"/>
        <v>#DIV/0!</v>
      </c>
      <c r="BY86" s="14" t="e">
        <f t="shared" si="245"/>
        <v>#DIV/0!</v>
      </c>
      <c r="BZ86" s="13" t="e">
        <f t="shared" si="245"/>
        <v>#DIV/0!</v>
      </c>
      <c r="CA86" s="44" t="e">
        <f t="shared" si="245"/>
        <v>#DIV/0!</v>
      </c>
      <c r="CB86" s="44" t="e">
        <f t="shared" si="245"/>
        <v>#DIV/0!</v>
      </c>
      <c r="CC86" s="14" t="e">
        <f t="shared" si="245"/>
        <v>#DIV/0!</v>
      </c>
      <c r="CD86" s="13" t="e">
        <f t="shared" si="245"/>
        <v>#DIV/0!</v>
      </c>
      <c r="CE86" s="44" t="e">
        <f t="shared" si="245"/>
        <v>#DIV/0!</v>
      </c>
      <c r="CF86" s="44" t="e">
        <f t="shared" si="245"/>
        <v>#DIV/0!</v>
      </c>
      <c r="CG86" s="14" t="e">
        <f t="shared" si="245"/>
        <v>#DIV/0!</v>
      </c>
      <c r="CH86" s="13" t="e">
        <f t="shared" si="245"/>
        <v>#DIV/0!</v>
      </c>
      <c r="CI86" s="44" t="e">
        <f t="shared" si="245"/>
        <v>#DIV/0!</v>
      </c>
      <c r="CJ86" s="44" t="e">
        <f t="shared" si="245"/>
        <v>#DIV/0!</v>
      </c>
      <c r="CK86" s="14" t="e">
        <f t="shared" si="245"/>
        <v>#DIV/0!</v>
      </c>
      <c r="CL86" s="49"/>
      <c r="CM86" s="28"/>
    </row>
    <row r="87" spans="2:91" x14ac:dyDescent="0.25">
      <c r="B87" s="55"/>
      <c r="C87" s="10" t="s">
        <v>285</v>
      </c>
      <c r="D87" s="93" t="s">
        <v>295</v>
      </c>
      <c r="E87" s="125">
        <f t="shared" ref="E87:AJ87" si="246">ROUND(1/EXP(-E78*E82),0)</f>
        <v>1</v>
      </c>
      <c r="F87" s="13">
        <f t="shared" si="246"/>
        <v>15</v>
      </c>
      <c r="G87" s="44">
        <f t="shared" si="246"/>
        <v>15</v>
      </c>
      <c r="H87" s="44">
        <f t="shared" si="246"/>
        <v>15</v>
      </c>
      <c r="I87" s="14">
        <f t="shared" si="246"/>
        <v>15</v>
      </c>
      <c r="J87" s="13">
        <f t="shared" si="246"/>
        <v>3</v>
      </c>
      <c r="K87" s="44" t="e">
        <f t="shared" si="246"/>
        <v>#DIV/0!</v>
      </c>
      <c r="L87" s="44">
        <f t="shared" si="246"/>
        <v>1</v>
      </c>
      <c r="M87" s="14">
        <f t="shared" si="246"/>
        <v>1</v>
      </c>
      <c r="N87" s="13">
        <f t="shared" si="246"/>
        <v>7</v>
      </c>
      <c r="O87" s="44">
        <f t="shared" si="246"/>
        <v>7</v>
      </c>
      <c r="P87" s="44">
        <f t="shared" si="246"/>
        <v>20</v>
      </c>
      <c r="Q87" s="14">
        <f t="shared" si="246"/>
        <v>56</v>
      </c>
      <c r="R87" s="13">
        <f t="shared" si="246"/>
        <v>9</v>
      </c>
      <c r="S87" s="44" t="e">
        <f t="shared" si="246"/>
        <v>#DIV/0!</v>
      </c>
      <c r="T87" s="44">
        <f t="shared" si="246"/>
        <v>1</v>
      </c>
      <c r="U87" s="14">
        <f t="shared" si="246"/>
        <v>1</v>
      </c>
      <c r="V87" s="13">
        <f t="shared" si="246"/>
        <v>7</v>
      </c>
      <c r="W87" s="44" t="e">
        <f t="shared" si="246"/>
        <v>#DIV/0!</v>
      </c>
      <c r="X87" s="44">
        <f t="shared" si="246"/>
        <v>1</v>
      </c>
      <c r="Y87" s="14">
        <f t="shared" si="246"/>
        <v>1</v>
      </c>
      <c r="Z87" s="13">
        <f t="shared" si="246"/>
        <v>4</v>
      </c>
      <c r="AA87" s="44" t="e">
        <f t="shared" si="246"/>
        <v>#DIV/0!</v>
      </c>
      <c r="AB87" s="44">
        <f t="shared" si="246"/>
        <v>1</v>
      </c>
      <c r="AC87" s="14">
        <f t="shared" si="246"/>
        <v>1</v>
      </c>
      <c r="AD87" s="13">
        <f t="shared" si="246"/>
        <v>3</v>
      </c>
      <c r="AE87" s="44" t="e">
        <f t="shared" si="246"/>
        <v>#DIV/0!</v>
      </c>
      <c r="AF87" s="44">
        <f t="shared" si="246"/>
        <v>1</v>
      </c>
      <c r="AG87" s="14">
        <f t="shared" si="246"/>
        <v>1</v>
      </c>
      <c r="AH87" s="13">
        <f t="shared" si="246"/>
        <v>3</v>
      </c>
      <c r="AI87" s="44">
        <f t="shared" si="246"/>
        <v>3</v>
      </c>
      <c r="AJ87" s="44">
        <f t="shared" si="246"/>
        <v>3</v>
      </c>
      <c r="AK87" s="14">
        <f t="shared" ref="AK87:BP87" si="247">ROUND(1/EXP(-AK78*AK82),0)</f>
        <v>4</v>
      </c>
      <c r="AL87" s="13" t="e">
        <f t="shared" si="247"/>
        <v>#DIV/0!</v>
      </c>
      <c r="AM87" s="44" t="e">
        <f t="shared" si="247"/>
        <v>#DIV/0!</v>
      </c>
      <c r="AN87" s="44" t="e">
        <f t="shared" si="247"/>
        <v>#DIV/0!</v>
      </c>
      <c r="AO87" s="14" t="e">
        <f t="shared" si="247"/>
        <v>#DIV/0!</v>
      </c>
      <c r="AP87" s="13" t="e">
        <f t="shared" si="247"/>
        <v>#DIV/0!</v>
      </c>
      <c r="AQ87" s="44" t="e">
        <f t="shared" si="247"/>
        <v>#DIV/0!</v>
      </c>
      <c r="AR87" s="44" t="e">
        <f t="shared" si="247"/>
        <v>#DIV/0!</v>
      </c>
      <c r="AS87" s="14" t="e">
        <f t="shared" si="247"/>
        <v>#DIV/0!</v>
      </c>
      <c r="AT87" s="13" t="e">
        <f t="shared" si="247"/>
        <v>#DIV/0!</v>
      </c>
      <c r="AU87" s="44" t="e">
        <f t="shared" si="247"/>
        <v>#DIV/0!</v>
      </c>
      <c r="AV87" s="44" t="e">
        <f t="shared" si="247"/>
        <v>#DIV/0!</v>
      </c>
      <c r="AW87" s="14" t="e">
        <f t="shared" si="247"/>
        <v>#DIV/0!</v>
      </c>
      <c r="AX87" s="13" t="e">
        <f t="shared" si="247"/>
        <v>#DIV/0!</v>
      </c>
      <c r="AY87" s="44" t="e">
        <f t="shared" si="247"/>
        <v>#DIV/0!</v>
      </c>
      <c r="AZ87" s="44" t="e">
        <f t="shared" si="247"/>
        <v>#DIV/0!</v>
      </c>
      <c r="BA87" s="14" t="e">
        <f t="shared" si="247"/>
        <v>#DIV/0!</v>
      </c>
      <c r="BB87" s="13" t="e">
        <f t="shared" si="247"/>
        <v>#DIV/0!</v>
      </c>
      <c r="BC87" s="44" t="e">
        <f t="shared" si="247"/>
        <v>#DIV/0!</v>
      </c>
      <c r="BD87" s="44" t="e">
        <f t="shared" si="247"/>
        <v>#DIV/0!</v>
      </c>
      <c r="BE87" s="14" t="e">
        <f t="shared" si="247"/>
        <v>#DIV/0!</v>
      </c>
      <c r="BF87" s="13" t="e">
        <f t="shared" si="247"/>
        <v>#DIV/0!</v>
      </c>
      <c r="BG87" s="44" t="e">
        <f t="shared" si="247"/>
        <v>#DIV/0!</v>
      </c>
      <c r="BH87" s="44" t="e">
        <f t="shared" si="247"/>
        <v>#DIV/0!</v>
      </c>
      <c r="BI87" s="14" t="e">
        <f t="shared" si="247"/>
        <v>#DIV/0!</v>
      </c>
      <c r="BJ87" s="13" t="e">
        <f t="shared" si="247"/>
        <v>#DIV/0!</v>
      </c>
      <c r="BK87" s="44" t="e">
        <f t="shared" si="247"/>
        <v>#DIV/0!</v>
      </c>
      <c r="BL87" s="44" t="e">
        <f t="shared" si="247"/>
        <v>#DIV/0!</v>
      </c>
      <c r="BM87" s="14" t="e">
        <f t="shared" si="247"/>
        <v>#DIV/0!</v>
      </c>
      <c r="BN87" s="13" t="e">
        <f t="shared" si="247"/>
        <v>#DIV/0!</v>
      </c>
      <c r="BO87" s="44" t="e">
        <f t="shared" si="247"/>
        <v>#DIV/0!</v>
      </c>
      <c r="BP87" s="44" t="e">
        <f t="shared" si="247"/>
        <v>#DIV/0!</v>
      </c>
      <c r="BQ87" s="14" t="e">
        <f t="shared" ref="BQ87:CK87" si="248">ROUND(1/EXP(-BQ78*BQ82),0)</f>
        <v>#DIV/0!</v>
      </c>
      <c r="BR87" s="13" t="e">
        <f t="shared" si="248"/>
        <v>#DIV/0!</v>
      </c>
      <c r="BS87" s="44" t="e">
        <f t="shared" si="248"/>
        <v>#DIV/0!</v>
      </c>
      <c r="BT87" s="44" t="e">
        <f t="shared" si="248"/>
        <v>#DIV/0!</v>
      </c>
      <c r="BU87" s="14" t="e">
        <f t="shared" si="248"/>
        <v>#DIV/0!</v>
      </c>
      <c r="BV87" s="13" t="e">
        <f t="shared" si="248"/>
        <v>#DIV/0!</v>
      </c>
      <c r="BW87" s="44" t="e">
        <f t="shared" si="248"/>
        <v>#DIV/0!</v>
      </c>
      <c r="BX87" s="44" t="e">
        <f t="shared" si="248"/>
        <v>#DIV/0!</v>
      </c>
      <c r="BY87" s="14" t="e">
        <f t="shared" si="248"/>
        <v>#DIV/0!</v>
      </c>
      <c r="BZ87" s="13" t="e">
        <f t="shared" si="248"/>
        <v>#DIV/0!</v>
      </c>
      <c r="CA87" s="44" t="e">
        <f t="shared" si="248"/>
        <v>#DIV/0!</v>
      </c>
      <c r="CB87" s="44" t="e">
        <f t="shared" si="248"/>
        <v>#DIV/0!</v>
      </c>
      <c r="CC87" s="14" t="e">
        <f t="shared" si="248"/>
        <v>#DIV/0!</v>
      </c>
      <c r="CD87" s="13" t="e">
        <f t="shared" si="248"/>
        <v>#DIV/0!</v>
      </c>
      <c r="CE87" s="44" t="e">
        <f t="shared" si="248"/>
        <v>#DIV/0!</v>
      </c>
      <c r="CF87" s="44" t="e">
        <f t="shared" si="248"/>
        <v>#DIV/0!</v>
      </c>
      <c r="CG87" s="14" t="e">
        <f t="shared" si="248"/>
        <v>#DIV/0!</v>
      </c>
      <c r="CH87" s="13" t="e">
        <f t="shared" si="248"/>
        <v>#DIV/0!</v>
      </c>
      <c r="CI87" s="44" t="e">
        <f t="shared" si="248"/>
        <v>#DIV/0!</v>
      </c>
      <c r="CJ87" s="44" t="e">
        <f t="shared" si="248"/>
        <v>#DIV/0!</v>
      </c>
      <c r="CK87" s="14" t="e">
        <f t="shared" si="248"/>
        <v>#DIV/0!</v>
      </c>
      <c r="CL87" s="49"/>
      <c r="CM87" s="28"/>
    </row>
    <row r="88" spans="2:91" ht="14.25" x14ac:dyDescent="0.25">
      <c r="B88" s="55"/>
      <c r="C88" s="203" t="s">
        <v>405</v>
      </c>
      <c r="D88" s="177" t="s">
        <v>406</v>
      </c>
      <c r="E88" s="126" t="e" cm="1">
        <f t="array" ref="E88">PEDBIKE_DELAY(E79,E78,E32,E33,E41,E42,E39,E11,FALSE)</f>
        <v>#VALUE!</v>
      </c>
      <c r="F88" s="13" cm="1">
        <f t="array" ref="F88">IF(F44="Free", PEDBIKE_DELAY(F79,F78,F32,F33,F41,F42,F39,F11,FALSE),0)</f>
        <v>0</v>
      </c>
      <c r="G88" s="44" cm="1">
        <f t="array" ref="G88">IF(G44="Free", PEDBIKE_DELAY(G79,G78,G32,G33,G41,G42,G39,G11,FALSE),0)</f>
        <v>0</v>
      </c>
      <c r="H88" s="44" cm="1">
        <f t="array" ref="H88">IF(H44="Free", PEDBIKE_DELAY(H79,H78,H32,H33,H41,H42,H39,H11,FALSE),0)</f>
        <v>0</v>
      </c>
      <c r="I88" s="14" cm="1">
        <f t="array" ref="I88">IF(I44="Free", PEDBIKE_DELAY(I79,I78,I32,I33,I41,I42,I39,I11,FALSE),0)</f>
        <v>0</v>
      </c>
      <c r="J88" s="13" cm="1">
        <f t="array" ref="J88">IF(J44="Free", PEDBIKE_DELAY(J79,J78,J32,J33,J41,J42,J39,J11,FALSE),0)</f>
        <v>0</v>
      </c>
      <c r="K88" s="44" cm="1">
        <f t="array" ref="K88">IF(K44="Free", PEDBIKE_DELAY(K79,K78,K32,K33,K41,K42,K39,K11,FALSE),0)</f>
        <v>0</v>
      </c>
      <c r="L88" s="44" cm="1">
        <f t="array" ref="L88">IF(L44="Free", PEDBIKE_DELAY(L79,L78,L32,L33,L41,L42,L39,L11,FALSE),0)</f>
        <v>0.1512145009069536</v>
      </c>
      <c r="M88" s="14" cm="1">
        <f t="array" ref="M88">IF(M44="Free", PEDBIKE_DELAY(M79,M78,M32,M33,M41,M42,M39,M11,FALSE),0)</f>
        <v>0.1512145009069536</v>
      </c>
      <c r="N88" s="13" cm="1">
        <f t="array" ref="N88">IF(N44="Free", PEDBIKE_DELAY(N79,N78,N32,N33,N41,N42,N39,N11,FALSE),0)</f>
        <v>0</v>
      </c>
      <c r="O88" s="44" cm="1">
        <f t="array" ref="O88">IF(O44="Free", PEDBIKE_DELAY(O79,O78,O32,O33,O41,O42,O39,O11,FALSE),0)</f>
        <v>0</v>
      </c>
      <c r="P88" s="44" cm="1">
        <f t="array" ref="P88">IF(P44="Free", PEDBIKE_DELAY(P79,P78,P32,P33,P41,P42,P39,P11,FALSE),0)</f>
        <v>0</v>
      </c>
      <c r="Q88" s="14" cm="1">
        <f t="array" ref="Q88">IF(Q44="Free", PEDBIKE_DELAY(Q79,Q78,Q32,Q33,Q41,Q42,Q39,Q11,FALSE),0)</f>
        <v>0</v>
      </c>
      <c r="R88" s="13" cm="1">
        <f t="array" ref="R88">IF(R44="Free", PEDBIKE_DELAY(R79,R78,R32,R33,R41,R42,R39,R11,FALSE),0)</f>
        <v>0</v>
      </c>
      <c r="S88" s="44" cm="1">
        <f t="array" ref="S88">IF(S44="Free", PEDBIKE_DELAY(S79,S78,S32,S33,S41,S42,S39,S11,FALSE),0)</f>
        <v>0</v>
      </c>
      <c r="T88" s="44" cm="1">
        <f t="array" ref="T88">IF(T44="Free", PEDBIKE_DELAY(T79,T78,T32,T33,T41,T42,T39,T11,FALSE),0)</f>
        <v>0.17036462761959559</v>
      </c>
      <c r="U88" s="14" cm="1">
        <f t="array" ref="U88">IF(U44="Free", PEDBIKE_DELAY(U79,U78,U32,U33,U41,U42,U39,U11,FALSE),0)</f>
        <v>0.17036462761959559</v>
      </c>
      <c r="V88" s="13" cm="1">
        <f t="array" ref="V88">IF(V44="Free", PEDBIKE_DELAY(V79,V78,V32,V33,V41,V42,V39,V11,FALSE),0)</f>
        <v>0</v>
      </c>
      <c r="W88" s="44" cm="1">
        <f t="array" ref="W88">IF(W44="Free", PEDBIKE_DELAY(W79,W78,W32,W33,W41,W42,W39,W11,FALSE),0)</f>
        <v>0</v>
      </c>
      <c r="X88" s="44" cm="1">
        <f t="array" ref="X88">IF(X44="Free", PEDBIKE_DELAY(X79,X78,X32,X33,X41,X42,X39,X11,FALSE),0)</f>
        <v>0</v>
      </c>
      <c r="Y88" s="14" cm="1">
        <f t="array" ref="Y88">IF(Y44="Free", PEDBIKE_DELAY(Y79,Y78,Y32,Y33,Y41,Y42,Y39,Y11,FALSE),0)</f>
        <v>0</v>
      </c>
      <c r="Z88" s="13" cm="1">
        <f t="array" ref="Z88">IF(Z44="Free", PEDBIKE_DELAY(Z79,Z78,Z32,Z33,Z41,Z42,Z39,Z11,FALSE),0)</f>
        <v>0</v>
      </c>
      <c r="AA88" s="44" cm="1">
        <f t="array" ref="AA88">IF(AA44="Free", PEDBIKE_DELAY(AA79,AA78,AA32,AA33,AA41,AA42,AA39,AA11,FALSE),0)</f>
        <v>0</v>
      </c>
      <c r="AB88" s="44" cm="1">
        <f t="array" ref="AB88">IF(AB44="Free", PEDBIKE_DELAY(AB79,AB78,AB32,AB33,AB41,AB42,AB39,AB11,FALSE),0)</f>
        <v>0</v>
      </c>
      <c r="AC88" s="14" cm="1">
        <f t="array" ref="AC88">IF(AC44="Free", PEDBIKE_DELAY(AC79,AC78,AC32,AC33,AC41,AC42,AC39,AC11,FALSE),0)</f>
        <v>0</v>
      </c>
      <c r="AD88" s="13" cm="1">
        <f t="array" ref="AD88">IF(AD44="Free", PEDBIKE_DELAY(AD79,AD78,AD32,AD33,AD41,AD42,AD39,AD11,FALSE),0)</f>
        <v>0</v>
      </c>
      <c r="AE88" s="44" cm="1">
        <f t="array" ref="AE88">IF(AE44="Free", PEDBIKE_DELAY(AE79,AE78,AE32,AE33,AE41,AE42,AE39,AE11,FALSE),0)</f>
        <v>0</v>
      </c>
      <c r="AF88" s="44" cm="1">
        <f t="array" ref="AF88">IF(AF44="Free", PEDBIKE_DELAY(AF79,AF78,AF32,AF33,AF41,AF42,AF39,AF11,FALSE),0)</f>
        <v>0</v>
      </c>
      <c r="AG88" s="14" cm="1">
        <f t="array" ref="AG88">IF(AG44="Free", PEDBIKE_DELAY(AG79,AG78,AG32,AG33,AG41,AG42,AG39,AG11,FALSE),0)</f>
        <v>0</v>
      </c>
      <c r="AH88" s="13" cm="1">
        <f t="array" ref="AH88">IF(AH44="Free", PEDBIKE_DELAY(AH79,AH78,AH32,AH33,AH41,AH42,AH39,AH11,FALSE),0)</f>
        <v>0</v>
      </c>
      <c r="AI88" s="44" cm="1">
        <f t="array" ref="AI88">IF(AI44="Free", PEDBIKE_DELAY(AI79,AI78,AI32,AI33,AI41,AI42,AI39,AI11,FALSE),0)</f>
        <v>0</v>
      </c>
      <c r="AJ88" s="44" cm="1">
        <f t="array" ref="AJ88">IF(AJ44="Free", PEDBIKE_DELAY(AJ79,AJ78,AJ32,AJ33,AJ41,AJ42,AJ39,AJ11,FALSE),0)</f>
        <v>0</v>
      </c>
      <c r="AK88" s="14" cm="1">
        <f t="array" ref="AK88">IF(AK44="Free", PEDBIKE_DELAY(AK79,AK78,AK32,AK33,AK41,AK42,AK39,AK11,FALSE),0)</f>
        <v>0</v>
      </c>
      <c r="AL88" s="13" cm="1">
        <f t="array" ref="AL88">IF(AL44="Free", PEDBIKE_DELAY(AL79,AL78,AL32,AL33,AL41,AL42,AL39,AL11,FALSE),0)</f>
        <v>0</v>
      </c>
      <c r="AM88" s="44" cm="1">
        <f t="array" ref="AM88">IF(AM44="Free", PEDBIKE_DELAY(AM79,AM78,AM32,AM33,AM41,AM42,AM39,AM11,FALSE),0)</f>
        <v>0</v>
      </c>
      <c r="AN88" s="44" cm="1">
        <f t="array" ref="AN88">IF(AN44="Free", PEDBIKE_DELAY(AN79,AN78,AN32,AN33,AN41,AN42,AN39,AN11,FALSE),0)</f>
        <v>0</v>
      </c>
      <c r="AO88" s="14" cm="1">
        <f t="array" ref="AO88">IF(AO44="Free", PEDBIKE_DELAY(AO79,AO78,AO32,AO33,AO41,AO42,AO39,AO11,FALSE),0)</f>
        <v>0</v>
      </c>
      <c r="AP88" s="13" cm="1">
        <f t="array" ref="AP88">IF(AP44="Free", PEDBIKE_DELAY(AP79,AP78,AP32,AP33,AP41,AP42,AP39,AP11,FALSE),0)</f>
        <v>0</v>
      </c>
      <c r="AQ88" s="44" cm="1">
        <f t="array" ref="AQ88">IF(AQ44="Free", PEDBIKE_DELAY(AQ79,AQ78,AQ32,AQ33,AQ41,AQ42,AQ39,AQ11,FALSE),0)</f>
        <v>0</v>
      </c>
      <c r="AR88" s="44" cm="1">
        <f t="array" ref="AR88">IF(AR44="Free", PEDBIKE_DELAY(AR79,AR78,AR32,AR33,AR41,AR42,AR39,AR11,FALSE),0)</f>
        <v>0</v>
      </c>
      <c r="AS88" s="14" cm="1">
        <f t="array" ref="AS88">IF(AS44="Free", PEDBIKE_DELAY(AS79,AS78,AS32,AS33,AS41,AS42,AS39,AS11,FALSE),0)</f>
        <v>0</v>
      </c>
      <c r="AT88" s="13" cm="1">
        <f t="array" ref="AT88">IF(AT44="Free", PEDBIKE_DELAY(AT79,AT78,AT32,AT33,AT41,AT42,AT39,AT11,FALSE),0)</f>
        <v>0</v>
      </c>
      <c r="AU88" s="44" cm="1">
        <f t="array" ref="AU88">IF(AU44="Free", PEDBIKE_DELAY(AU79,AU78,AU32,AU33,AU41,AU42,AU39,AU11,FALSE),0)</f>
        <v>0</v>
      </c>
      <c r="AV88" s="44" cm="1">
        <f t="array" ref="AV88">IF(AV44="Free", PEDBIKE_DELAY(AV79,AV78,AV32,AV33,AV41,AV42,AV39,AV11,FALSE),0)</f>
        <v>0</v>
      </c>
      <c r="AW88" s="14" cm="1">
        <f t="array" ref="AW88">IF(AW44="Free", PEDBIKE_DELAY(AW79,AW78,AW32,AW33,AW41,AW42,AW39,AW11,FALSE),0)</f>
        <v>0</v>
      </c>
      <c r="AX88" s="13" cm="1">
        <f t="array" ref="AX88">IF(AX44="Free", PEDBIKE_DELAY(AX79,AX78,AX32,AX33,AX41,AX42,AX39,AX11,FALSE),0)</f>
        <v>0</v>
      </c>
      <c r="AY88" s="44" cm="1">
        <f t="array" ref="AY88">IF(AY44="Free", PEDBIKE_DELAY(AY79,AY78,AY32,AY33,AY41,AY42,AY39,AY11,FALSE),0)</f>
        <v>0</v>
      </c>
      <c r="AZ88" s="44" cm="1">
        <f t="array" ref="AZ88">IF(AZ44="Free", PEDBIKE_DELAY(AZ79,AZ78,AZ32,AZ33,AZ41,AZ42,AZ39,AZ11,FALSE),0)</f>
        <v>0</v>
      </c>
      <c r="BA88" s="14" cm="1">
        <f t="array" ref="BA88">IF(BA44="Free", PEDBIKE_DELAY(BA79,BA78,BA32,BA33,BA41,BA42,BA39,BA11,FALSE),0)</f>
        <v>0</v>
      </c>
      <c r="BB88" s="13" cm="1">
        <f t="array" ref="BB88">IF(BB44="Free", PEDBIKE_DELAY(BB79,BB78,BB32,BB33,BB41,BB42,BB39,BB11,FALSE),0)</f>
        <v>0</v>
      </c>
      <c r="BC88" s="44" cm="1">
        <f t="array" ref="BC88">IF(BC44="Free", PEDBIKE_DELAY(BC79,BC78,BC32,BC33,BC41,BC42,BC39,BC11,FALSE),0)</f>
        <v>0</v>
      </c>
      <c r="BD88" s="44" cm="1">
        <f t="array" ref="BD88">IF(BD44="Free", PEDBIKE_DELAY(BD79,BD78,BD32,BD33,BD41,BD42,BD39,BD11,FALSE),0)</f>
        <v>0</v>
      </c>
      <c r="BE88" s="14" cm="1">
        <f t="array" ref="BE88">IF(BE44="Free", PEDBIKE_DELAY(BE79,BE78,BE32,BE33,BE41,BE42,BE39,BE11,FALSE),0)</f>
        <v>0</v>
      </c>
      <c r="BF88" s="13" cm="1">
        <f t="array" ref="BF88">IF(BF44="Free", PEDBIKE_DELAY(BF79,BF78,BF32,BF33,BF41,BF42,BF39,BF11,FALSE),0)</f>
        <v>0</v>
      </c>
      <c r="BG88" s="44" cm="1">
        <f t="array" ref="BG88">IF(BG44="Free", PEDBIKE_DELAY(BG79,BG78,BG32,BG33,BG41,BG42,BG39,BG11,FALSE),0)</f>
        <v>0</v>
      </c>
      <c r="BH88" s="44" cm="1">
        <f t="array" ref="BH88">IF(BH44="Free", PEDBIKE_DELAY(BH79,BH78,BH32,BH33,BH41,BH42,BH39,BH11,FALSE),0)</f>
        <v>0</v>
      </c>
      <c r="BI88" s="14" cm="1">
        <f t="array" ref="BI88">IF(BI44="Free", PEDBIKE_DELAY(BI79,BI78,BI32,BI33,BI41,BI42,BI39,BI11,FALSE),0)</f>
        <v>0</v>
      </c>
      <c r="BJ88" s="13" cm="1">
        <f t="array" ref="BJ88">IF(BJ44="Free", PEDBIKE_DELAY(BJ79,BJ78,BJ32,BJ33,BJ41,BJ42,BJ39,BJ11,FALSE),0)</f>
        <v>0</v>
      </c>
      <c r="BK88" s="44" cm="1">
        <f t="array" ref="BK88">IF(BK44="Free", PEDBIKE_DELAY(BK79,BK78,BK32,BK33,BK41,BK42,BK39,BK11,FALSE),0)</f>
        <v>0</v>
      </c>
      <c r="BL88" s="44" cm="1">
        <f t="array" ref="BL88">IF(BL44="Free", PEDBIKE_DELAY(BL79,BL78,BL32,BL33,BL41,BL42,BL39,BL11,FALSE),0)</f>
        <v>0</v>
      </c>
      <c r="BM88" s="14" cm="1">
        <f t="array" ref="BM88">IF(BM44="Free", PEDBIKE_DELAY(BM79,BM78,BM32,BM33,BM41,BM42,BM39,BM11,FALSE),0)</f>
        <v>0</v>
      </c>
      <c r="BN88" s="13" cm="1">
        <f t="array" ref="BN88">IF(BN44="Free", PEDBIKE_DELAY(BN79,BN78,BN32,BN33,BN41,BN42,BN39,BN11,FALSE),0)</f>
        <v>0</v>
      </c>
      <c r="BO88" s="44" cm="1">
        <f t="array" ref="BO88">IF(BO44="Free", PEDBIKE_DELAY(BO79,BO78,BO32,BO33,BO41,BO42,BO39,BO11,FALSE),0)</f>
        <v>0</v>
      </c>
      <c r="BP88" s="44" cm="1">
        <f t="array" ref="BP88">IF(BP44="Free", PEDBIKE_DELAY(BP79,BP78,BP32,BP33,BP41,BP42,BP39,BP11,FALSE),0)</f>
        <v>0</v>
      </c>
      <c r="BQ88" s="14" cm="1">
        <f t="array" ref="BQ88">IF(BQ44="Free", PEDBIKE_DELAY(BQ79,BQ78,BQ32,BQ33,BQ41,BQ42,BQ39,BQ11,FALSE),0)</f>
        <v>0</v>
      </c>
      <c r="BR88" s="13" cm="1">
        <f t="array" ref="BR88">IF(BR44="Free", PEDBIKE_DELAY(BR79,BR78,BR32,BR33,BR41,BR42,BR39,BR11,FALSE),0)</f>
        <v>0</v>
      </c>
      <c r="BS88" s="44" cm="1">
        <f t="array" ref="BS88">IF(BS44="Free", PEDBIKE_DELAY(BS79,BS78,BS32,BS33,BS41,BS42,BS39,BS11,FALSE),0)</f>
        <v>0</v>
      </c>
      <c r="BT88" s="44" cm="1">
        <f t="array" ref="BT88">IF(BT44="Free", PEDBIKE_DELAY(BT79,BT78,BT32,BT33,BT41,BT42,BT39,BT11,FALSE),0)</f>
        <v>0</v>
      </c>
      <c r="BU88" s="14" cm="1">
        <f t="array" ref="BU88">IF(BU44="Free", PEDBIKE_DELAY(BU79,BU78,BU32,BU33,BU41,BU42,BU39,BU11,FALSE),0)</f>
        <v>0</v>
      </c>
      <c r="BV88" s="13" cm="1">
        <f t="array" ref="BV88">IF(BV44="Free", PEDBIKE_DELAY(BV79,BV78,BV32,BV33,BV41,BV42,BV39,BV11,FALSE),0)</f>
        <v>0</v>
      </c>
      <c r="BW88" s="44" cm="1">
        <f t="array" ref="BW88">IF(BW44="Free", PEDBIKE_DELAY(BW79,BW78,BW32,BW33,BW41,BW42,BW39,BW11,FALSE),0)</f>
        <v>0</v>
      </c>
      <c r="BX88" s="44" cm="1">
        <f t="array" ref="BX88">IF(BX44="Free", PEDBIKE_DELAY(BX79,BX78,BX32,BX33,BX41,BX42,BX39,BX11,FALSE),0)</f>
        <v>0</v>
      </c>
      <c r="BY88" s="14" cm="1">
        <f t="array" ref="BY88">IF(BY44="Free", PEDBIKE_DELAY(BY79,BY78,BY32,BY33,BY41,BY42,BY39,BY11,FALSE),0)</f>
        <v>0</v>
      </c>
      <c r="BZ88" s="13" cm="1">
        <f t="array" ref="BZ88">IF(BZ44="Free", PEDBIKE_DELAY(BZ79,BZ78,BZ32,BZ33,BZ41,BZ42,BZ39,BZ11,FALSE),0)</f>
        <v>0</v>
      </c>
      <c r="CA88" s="44" cm="1">
        <f t="array" ref="CA88">IF(CA44="Free", PEDBIKE_DELAY(CA79,CA78,CA32,CA33,CA41,CA42,CA39,CA11,FALSE),0)</f>
        <v>0</v>
      </c>
      <c r="CB88" s="44" cm="1">
        <f t="array" ref="CB88">IF(CB44="Free", PEDBIKE_DELAY(CB79,CB78,CB32,CB33,CB41,CB42,CB39,CB11,FALSE),0)</f>
        <v>0</v>
      </c>
      <c r="CC88" s="14" cm="1">
        <f t="array" ref="CC88">IF(CC44="Free", PEDBIKE_DELAY(CC79,CC78,CC32,CC33,CC41,CC42,CC39,CC11,FALSE),0)</f>
        <v>0</v>
      </c>
      <c r="CD88" s="13" cm="1">
        <f t="array" ref="CD88">IF(CD44="Free", PEDBIKE_DELAY(CD79,CD78,CD32,CD33,CD41,CD42,CD39,CD11,FALSE),0)</f>
        <v>0</v>
      </c>
      <c r="CE88" s="44" cm="1">
        <f t="array" ref="CE88">IF(CE44="Free", PEDBIKE_DELAY(CE79,CE78,CE32,CE33,CE41,CE42,CE39,CE11,FALSE),0)</f>
        <v>0</v>
      </c>
      <c r="CF88" s="44" cm="1">
        <f t="array" ref="CF88">IF(CF44="Free", PEDBIKE_DELAY(CF79,CF78,CF32,CF33,CF41,CF42,CF39,CF11,FALSE),0)</f>
        <v>0</v>
      </c>
      <c r="CG88" s="14" cm="1">
        <f t="array" ref="CG88">IF(CG44="Free", PEDBIKE_DELAY(CG79,CG78,CG32,CG33,CG41,CG42,CG39,CG11,FALSE),0)</f>
        <v>0</v>
      </c>
      <c r="CH88" s="13" cm="1">
        <f t="array" ref="CH88">IF(CH44="Free", PEDBIKE_DELAY(CH79,CH78,CH32,CH33,CH41,CH42,CH39,CH11,FALSE),0)</f>
        <v>0</v>
      </c>
      <c r="CI88" s="44" cm="1">
        <f t="array" ref="CI88">IF(CI44="Free", PEDBIKE_DELAY(CI79,CI78,CI32,CI33,CI41,CI42,CI39,CI11,FALSE),0)</f>
        <v>0</v>
      </c>
      <c r="CJ88" s="44" cm="1">
        <f t="array" ref="CJ88">IF(CJ44="Free", PEDBIKE_DELAY(CJ79,CJ78,CJ32,CJ33,CJ41,CJ42,CJ39,CJ11,FALSE),0)</f>
        <v>0</v>
      </c>
      <c r="CK88" s="14" cm="1">
        <f t="array" ref="CK88">IF(CK44="Free", PEDBIKE_DELAY(CK79,CK78,CK32,CK33,CK41,CK42,CK39,CK11,FALSE),0)</f>
        <v>0</v>
      </c>
      <c r="CL88" s="49"/>
      <c r="CM88" s="28"/>
    </row>
    <row r="89" spans="2:91" x14ac:dyDescent="0.25">
      <c r="B89" s="55"/>
      <c r="C89" s="287" t="s">
        <v>420</v>
      </c>
      <c r="D89" s="288"/>
      <c r="E89" s="125"/>
      <c r="F89" s="13"/>
      <c r="G89" s="44"/>
      <c r="H89" s="44"/>
      <c r="I89" s="14"/>
      <c r="J89" s="13"/>
      <c r="K89" s="44"/>
      <c r="L89" s="44"/>
      <c r="M89" s="14"/>
      <c r="N89" s="13"/>
      <c r="O89" s="44"/>
      <c r="P89" s="44"/>
      <c r="Q89" s="14"/>
      <c r="R89" s="13"/>
      <c r="S89" s="44"/>
      <c r="T89" s="44"/>
      <c r="U89" s="14"/>
      <c r="V89" s="13"/>
      <c r="W89" s="44"/>
      <c r="X89" s="44"/>
      <c r="Y89" s="14"/>
      <c r="Z89" s="13"/>
      <c r="AA89" s="44"/>
      <c r="AB89" s="44"/>
      <c r="AC89" s="14"/>
      <c r="AD89" s="13"/>
      <c r="AE89" s="44"/>
      <c r="AF89" s="44"/>
      <c r="AG89" s="14"/>
      <c r="AH89" s="13"/>
      <c r="AI89" s="44"/>
      <c r="AJ89" s="44"/>
      <c r="AK89" s="14"/>
      <c r="AL89" s="13"/>
      <c r="AM89" s="44"/>
      <c r="AN89" s="44"/>
      <c r="AO89" s="14"/>
      <c r="AP89" s="13"/>
      <c r="AQ89" s="44"/>
      <c r="AR89" s="44"/>
      <c r="AS89" s="14"/>
      <c r="AT89" s="13"/>
      <c r="AU89" s="44"/>
      <c r="AV89" s="44"/>
      <c r="AW89" s="14"/>
      <c r="AX89" s="13"/>
      <c r="AY89" s="44"/>
      <c r="AZ89" s="44"/>
      <c r="BA89" s="14"/>
      <c r="BB89" s="13"/>
      <c r="BC89" s="44"/>
      <c r="BD89" s="44"/>
      <c r="BE89" s="14"/>
      <c r="BF89" s="13"/>
      <c r="BG89" s="44"/>
      <c r="BH89" s="44"/>
      <c r="BI89" s="14"/>
      <c r="BJ89" s="13"/>
      <c r="BK89" s="44"/>
      <c r="BL89" s="44"/>
      <c r="BM89" s="14"/>
      <c r="BN89" s="13"/>
      <c r="BO89" s="44"/>
      <c r="BP89" s="44"/>
      <c r="BQ89" s="14"/>
      <c r="BR89" s="13"/>
      <c r="BS89" s="44"/>
      <c r="BT89" s="44"/>
      <c r="BU89" s="14"/>
      <c r="BV89" s="13"/>
      <c r="BW89" s="44"/>
      <c r="BX89" s="44"/>
      <c r="BY89" s="14"/>
      <c r="BZ89" s="13"/>
      <c r="CA89" s="44"/>
      <c r="CB89" s="44"/>
      <c r="CC89" s="14"/>
      <c r="CD89" s="13"/>
      <c r="CE89" s="44"/>
      <c r="CF89" s="44"/>
      <c r="CG89" s="14"/>
      <c r="CH89" s="13"/>
      <c r="CI89" s="44"/>
      <c r="CJ89" s="44"/>
      <c r="CK89" s="14"/>
      <c r="CL89" s="49"/>
      <c r="CM89" s="28"/>
    </row>
    <row r="90" spans="2:91" ht="14.25" x14ac:dyDescent="0.25">
      <c r="B90" s="55"/>
      <c r="C90" s="10" t="s">
        <v>297</v>
      </c>
      <c r="D90" s="93" t="s">
        <v>412</v>
      </c>
      <c r="E90" s="125">
        <f t="shared" ref="E90:AJ90" si="249">E31/E41 +E42</f>
        <v>3</v>
      </c>
      <c r="F90" s="13">
        <f t="shared" si="249"/>
        <v>8.1999999999999993</v>
      </c>
      <c r="G90" s="44">
        <f t="shared" si="249"/>
        <v>8.1999999999999993</v>
      </c>
      <c r="H90" s="44">
        <f t="shared" si="249"/>
        <v>9.4</v>
      </c>
      <c r="I90" s="14">
        <f t="shared" si="249"/>
        <v>9.4</v>
      </c>
      <c r="J90" s="13">
        <f t="shared" si="249"/>
        <v>7</v>
      </c>
      <c r="K90" s="44" t="e">
        <f t="shared" si="249"/>
        <v>#DIV/0!</v>
      </c>
      <c r="L90" s="44">
        <f t="shared" si="249"/>
        <v>8</v>
      </c>
      <c r="M90" s="14">
        <f t="shared" si="249"/>
        <v>8</v>
      </c>
      <c r="N90" s="13">
        <f t="shared" si="249"/>
        <v>9</v>
      </c>
      <c r="O90" s="44">
        <f t="shared" si="249"/>
        <v>12</v>
      </c>
      <c r="P90" s="44">
        <f t="shared" si="249"/>
        <v>7.8</v>
      </c>
      <c r="Q90" s="14">
        <f t="shared" si="249"/>
        <v>8.3000000000000007</v>
      </c>
      <c r="R90" s="13">
        <f t="shared" si="249"/>
        <v>5.8</v>
      </c>
      <c r="S90" s="44" t="e">
        <f t="shared" si="249"/>
        <v>#DIV/0!</v>
      </c>
      <c r="T90" s="44">
        <f t="shared" si="249"/>
        <v>8</v>
      </c>
      <c r="U90" s="14">
        <f t="shared" si="249"/>
        <v>8</v>
      </c>
      <c r="V90" s="13">
        <f t="shared" si="249"/>
        <v>10.4</v>
      </c>
      <c r="W90" s="44" t="e">
        <f t="shared" si="249"/>
        <v>#DIV/0!</v>
      </c>
      <c r="X90" s="44">
        <f t="shared" si="249"/>
        <v>7.5</v>
      </c>
      <c r="Y90" s="14">
        <f t="shared" si="249"/>
        <v>7.5</v>
      </c>
      <c r="Z90" s="13">
        <f t="shared" si="249"/>
        <v>6.5</v>
      </c>
      <c r="AA90" s="44" t="e">
        <f t="shared" si="249"/>
        <v>#DIV/0!</v>
      </c>
      <c r="AB90" s="44">
        <f t="shared" si="249"/>
        <v>7.2</v>
      </c>
      <c r="AC90" s="14">
        <f t="shared" si="249"/>
        <v>7.2</v>
      </c>
      <c r="AD90" s="13">
        <f t="shared" si="249"/>
        <v>6.3</v>
      </c>
      <c r="AE90" s="44" t="e">
        <f t="shared" si="249"/>
        <v>#DIV/0!</v>
      </c>
      <c r="AF90" s="44">
        <f t="shared" si="249"/>
        <v>6</v>
      </c>
      <c r="AG90" s="14">
        <f t="shared" si="249"/>
        <v>6</v>
      </c>
      <c r="AH90" s="13">
        <f t="shared" si="249"/>
        <v>6.4</v>
      </c>
      <c r="AI90" s="44">
        <f t="shared" si="249"/>
        <v>7.4</v>
      </c>
      <c r="AJ90" s="44">
        <f t="shared" si="249"/>
        <v>7.1</v>
      </c>
      <c r="AK90" s="14">
        <f t="shared" ref="AK90:BP90" si="250">AK31/AK41 +AK42</f>
        <v>7.1</v>
      </c>
      <c r="AL90" s="13" t="e">
        <f t="shared" si="250"/>
        <v>#DIV/0!</v>
      </c>
      <c r="AM90" s="44" t="e">
        <f t="shared" si="250"/>
        <v>#DIV/0!</v>
      </c>
      <c r="AN90" s="44" t="e">
        <f t="shared" si="250"/>
        <v>#DIV/0!</v>
      </c>
      <c r="AO90" s="14" t="e">
        <f t="shared" si="250"/>
        <v>#DIV/0!</v>
      </c>
      <c r="AP90" s="13" t="e">
        <f t="shared" si="250"/>
        <v>#DIV/0!</v>
      </c>
      <c r="AQ90" s="44" t="e">
        <f t="shared" si="250"/>
        <v>#DIV/0!</v>
      </c>
      <c r="AR90" s="44" t="e">
        <f t="shared" si="250"/>
        <v>#DIV/0!</v>
      </c>
      <c r="AS90" s="14" t="e">
        <f t="shared" si="250"/>
        <v>#DIV/0!</v>
      </c>
      <c r="AT90" s="13" t="e">
        <f t="shared" si="250"/>
        <v>#DIV/0!</v>
      </c>
      <c r="AU90" s="44" t="e">
        <f t="shared" si="250"/>
        <v>#DIV/0!</v>
      </c>
      <c r="AV90" s="44" t="e">
        <f t="shared" si="250"/>
        <v>#DIV/0!</v>
      </c>
      <c r="AW90" s="14" t="e">
        <f t="shared" si="250"/>
        <v>#DIV/0!</v>
      </c>
      <c r="AX90" s="13" t="e">
        <f t="shared" si="250"/>
        <v>#DIV/0!</v>
      </c>
      <c r="AY90" s="44" t="e">
        <f t="shared" si="250"/>
        <v>#DIV/0!</v>
      </c>
      <c r="AZ90" s="44" t="e">
        <f t="shared" si="250"/>
        <v>#DIV/0!</v>
      </c>
      <c r="BA90" s="14" t="e">
        <f t="shared" si="250"/>
        <v>#DIV/0!</v>
      </c>
      <c r="BB90" s="13" t="e">
        <f t="shared" si="250"/>
        <v>#DIV/0!</v>
      </c>
      <c r="BC90" s="44" t="e">
        <f t="shared" si="250"/>
        <v>#DIV/0!</v>
      </c>
      <c r="BD90" s="44" t="e">
        <f t="shared" si="250"/>
        <v>#DIV/0!</v>
      </c>
      <c r="BE90" s="14" t="e">
        <f t="shared" si="250"/>
        <v>#DIV/0!</v>
      </c>
      <c r="BF90" s="13" t="e">
        <f t="shared" si="250"/>
        <v>#DIV/0!</v>
      </c>
      <c r="BG90" s="44" t="e">
        <f t="shared" si="250"/>
        <v>#DIV/0!</v>
      </c>
      <c r="BH90" s="44" t="e">
        <f t="shared" si="250"/>
        <v>#DIV/0!</v>
      </c>
      <c r="BI90" s="14" t="e">
        <f t="shared" si="250"/>
        <v>#DIV/0!</v>
      </c>
      <c r="BJ90" s="13" t="e">
        <f t="shared" si="250"/>
        <v>#DIV/0!</v>
      </c>
      <c r="BK90" s="44" t="e">
        <f t="shared" si="250"/>
        <v>#DIV/0!</v>
      </c>
      <c r="BL90" s="44" t="e">
        <f t="shared" si="250"/>
        <v>#DIV/0!</v>
      </c>
      <c r="BM90" s="14" t="e">
        <f t="shared" si="250"/>
        <v>#DIV/0!</v>
      </c>
      <c r="BN90" s="13" t="e">
        <f t="shared" si="250"/>
        <v>#DIV/0!</v>
      </c>
      <c r="BO90" s="44" t="e">
        <f t="shared" si="250"/>
        <v>#DIV/0!</v>
      </c>
      <c r="BP90" s="44" t="e">
        <f t="shared" si="250"/>
        <v>#DIV/0!</v>
      </c>
      <c r="BQ90" s="14" t="e">
        <f t="shared" ref="BQ90:CK90" si="251">BQ31/BQ41 +BQ42</f>
        <v>#DIV/0!</v>
      </c>
      <c r="BR90" s="13" t="e">
        <f t="shared" si="251"/>
        <v>#DIV/0!</v>
      </c>
      <c r="BS90" s="44" t="e">
        <f t="shared" si="251"/>
        <v>#DIV/0!</v>
      </c>
      <c r="BT90" s="44" t="e">
        <f t="shared" si="251"/>
        <v>#DIV/0!</v>
      </c>
      <c r="BU90" s="14" t="e">
        <f t="shared" si="251"/>
        <v>#DIV/0!</v>
      </c>
      <c r="BV90" s="13" t="e">
        <f t="shared" si="251"/>
        <v>#DIV/0!</v>
      </c>
      <c r="BW90" s="44" t="e">
        <f t="shared" si="251"/>
        <v>#DIV/0!</v>
      </c>
      <c r="BX90" s="44" t="e">
        <f t="shared" si="251"/>
        <v>#DIV/0!</v>
      </c>
      <c r="BY90" s="14" t="e">
        <f t="shared" si="251"/>
        <v>#DIV/0!</v>
      </c>
      <c r="BZ90" s="13" t="e">
        <f t="shared" si="251"/>
        <v>#DIV/0!</v>
      </c>
      <c r="CA90" s="44" t="e">
        <f t="shared" si="251"/>
        <v>#DIV/0!</v>
      </c>
      <c r="CB90" s="44" t="e">
        <f t="shared" si="251"/>
        <v>#DIV/0!</v>
      </c>
      <c r="CC90" s="14" t="e">
        <f t="shared" si="251"/>
        <v>#DIV/0!</v>
      </c>
      <c r="CD90" s="13" t="e">
        <f t="shared" si="251"/>
        <v>#DIV/0!</v>
      </c>
      <c r="CE90" s="44" t="e">
        <f t="shared" si="251"/>
        <v>#DIV/0!</v>
      </c>
      <c r="CF90" s="44" t="e">
        <f t="shared" si="251"/>
        <v>#DIV/0!</v>
      </c>
      <c r="CG90" s="14" t="e">
        <f t="shared" si="251"/>
        <v>#DIV/0!</v>
      </c>
      <c r="CH90" s="13" t="e">
        <f t="shared" si="251"/>
        <v>#DIV/0!</v>
      </c>
      <c r="CI90" s="44" t="e">
        <f t="shared" si="251"/>
        <v>#DIV/0!</v>
      </c>
      <c r="CJ90" s="44" t="e">
        <f t="shared" si="251"/>
        <v>#DIV/0!</v>
      </c>
      <c r="CK90" s="14" t="e">
        <f t="shared" si="251"/>
        <v>#DIV/0!</v>
      </c>
      <c r="CL90" s="49"/>
      <c r="CM90" s="28"/>
    </row>
    <row r="91" spans="2:91" ht="14.25" x14ac:dyDescent="0.25">
      <c r="B91" s="55"/>
      <c r="C91" s="10" t="s">
        <v>300</v>
      </c>
      <c r="D91" s="93" t="s">
        <v>386</v>
      </c>
      <c r="E91" s="125">
        <f>MAX(IF(E33=0,0,4*E92/E33),1)</f>
        <v>1</v>
      </c>
      <c r="F91" s="13">
        <f t="shared" ref="F91:AK91" si="252">MAX(IF(F33=0,0,2.5*F92/F33),1)</f>
        <v>1</v>
      </c>
      <c r="G91" s="44">
        <f t="shared" si="252"/>
        <v>1</v>
      </c>
      <c r="H91" s="44">
        <f t="shared" si="252"/>
        <v>1</v>
      </c>
      <c r="I91" s="14">
        <f t="shared" si="252"/>
        <v>1</v>
      </c>
      <c r="J91" s="13">
        <f t="shared" si="252"/>
        <v>1</v>
      </c>
      <c r="K91" s="44">
        <f t="shared" si="252"/>
        <v>1</v>
      </c>
      <c r="L91" s="44">
        <f t="shared" si="252"/>
        <v>1</v>
      </c>
      <c r="M91" s="14">
        <f t="shared" si="252"/>
        <v>1</v>
      </c>
      <c r="N91" s="13">
        <f t="shared" si="252"/>
        <v>1</v>
      </c>
      <c r="O91" s="44">
        <f t="shared" si="252"/>
        <v>1</v>
      </c>
      <c r="P91" s="44">
        <f t="shared" si="252"/>
        <v>1</v>
      </c>
      <c r="Q91" s="14">
        <f t="shared" si="252"/>
        <v>1</v>
      </c>
      <c r="R91" s="13">
        <f t="shared" si="252"/>
        <v>1</v>
      </c>
      <c r="S91" s="44">
        <f t="shared" si="252"/>
        <v>1</v>
      </c>
      <c r="T91" s="44">
        <f t="shared" si="252"/>
        <v>1</v>
      </c>
      <c r="U91" s="14">
        <f t="shared" si="252"/>
        <v>1</v>
      </c>
      <c r="V91" s="13">
        <f t="shared" si="252"/>
        <v>1</v>
      </c>
      <c r="W91" s="44">
        <f t="shared" si="252"/>
        <v>1</v>
      </c>
      <c r="X91" s="44">
        <f t="shared" si="252"/>
        <v>1</v>
      </c>
      <c r="Y91" s="14">
        <f t="shared" si="252"/>
        <v>1</v>
      </c>
      <c r="Z91" s="13">
        <f t="shared" si="252"/>
        <v>1</v>
      </c>
      <c r="AA91" s="44">
        <f t="shared" si="252"/>
        <v>1</v>
      </c>
      <c r="AB91" s="44">
        <f t="shared" si="252"/>
        <v>1</v>
      </c>
      <c r="AC91" s="14">
        <f t="shared" si="252"/>
        <v>1</v>
      </c>
      <c r="AD91" s="13">
        <f t="shared" si="252"/>
        <v>1</v>
      </c>
      <c r="AE91" s="44">
        <f t="shared" si="252"/>
        <v>1</v>
      </c>
      <c r="AF91" s="44">
        <f t="shared" si="252"/>
        <v>1</v>
      </c>
      <c r="AG91" s="14">
        <f t="shared" si="252"/>
        <v>1</v>
      </c>
      <c r="AH91" s="13">
        <f t="shared" si="252"/>
        <v>1</v>
      </c>
      <c r="AI91" s="44">
        <f t="shared" si="252"/>
        <v>1</v>
      </c>
      <c r="AJ91" s="44">
        <f t="shared" si="252"/>
        <v>1</v>
      </c>
      <c r="AK91" s="14">
        <f t="shared" si="252"/>
        <v>1</v>
      </c>
      <c r="AL91" s="13">
        <f t="shared" ref="AL91:BQ91" si="253">MAX(IF(AL33=0,0,2.5*AL92/AL33),1)</f>
        <v>1</v>
      </c>
      <c r="AM91" s="44">
        <f t="shared" si="253"/>
        <v>1</v>
      </c>
      <c r="AN91" s="44">
        <f t="shared" si="253"/>
        <v>1</v>
      </c>
      <c r="AO91" s="14">
        <f t="shared" si="253"/>
        <v>1</v>
      </c>
      <c r="AP91" s="13">
        <f t="shared" si="253"/>
        <v>1</v>
      </c>
      <c r="AQ91" s="44">
        <f t="shared" si="253"/>
        <v>1</v>
      </c>
      <c r="AR91" s="44">
        <f t="shared" si="253"/>
        <v>1</v>
      </c>
      <c r="AS91" s="14">
        <f t="shared" si="253"/>
        <v>1</v>
      </c>
      <c r="AT91" s="13">
        <f t="shared" si="253"/>
        <v>1</v>
      </c>
      <c r="AU91" s="44">
        <f t="shared" si="253"/>
        <v>1</v>
      </c>
      <c r="AV91" s="44">
        <f t="shared" si="253"/>
        <v>1</v>
      </c>
      <c r="AW91" s="14">
        <f t="shared" si="253"/>
        <v>1</v>
      </c>
      <c r="AX91" s="13">
        <f t="shared" si="253"/>
        <v>1</v>
      </c>
      <c r="AY91" s="44">
        <f t="shared" si="253"/>
        <v>1</v>
      </c>
      <c r="AZ91" s="44">
        <f t="shared" si="253"/>
        <v>1</v>
      </c>
      <c r="BA91" s="14">
        <f t="shared" si="253"/>
        <v>1</v>
      </c>
      <c r="BB91" s="13">
        <f t="shared" si="253"/>
        <v>1</v>
      </c>
      <c r="BC91" s="44">
        <f t="shared" si="253"/>
        <v>1</v>
      </c>
      <c r="BD91" s="44">
        <f t="shared" si="253"/>
        <v>1</v>
      </c>
      <c r="BE91" s="14">
        <f t="shared" si="253"/>
        <v>1</v>
      </c>
      <c r="BF91" s="13">
        <f t="shared" si="253"/>
        <v>1</v>
      </c>
      <c r="BG91" s="44">
        <f t="shared" si="253"/>
        <v>1</v>
      </c>
      <c r="BH91" s="44">
        <f t="shared" si="253"/>
        <v>1</v>
      </c>
      <c r="BI91" s="14">
        <f t="shared" si="253"/>
        <v>1</v>
      </c>
      <c r="BJ91" s="13">
        <f t="shared" si="253"/>
        <v>1</v>
      </c>
      <c r="BK91" s="44">
        <f t="shared" si="253"/>
        <v>1</v>
      </c>
      <c r="BL91" s="44">
        <f t="shared" si="253"/>
        <v>1</v>
      </c>
      <c r="BM91" s="14">
        <f t="shared" si="253"/>
        <v>1</v>
      </c>
      <c r="BN91" s="13">
        <f t="shared" si="253"/>
        <v>1</v>
      </c>
      <c r="BO91" s="44">
        <f t="shared" si="253"/>
        <v>1</v>
      </c>
      <c r="BP91" s="44">
        <f t="shared" si="253"/>
        <v>1</v>
      </c>
      <c r="BQ91" s="14">
        <f t="shared" si="253"/>
        <v>1</v>
      </c>
      <c r="BR91" s="13">
        <f t="shared" ref="BR91:CW91" si="254">MAX(IF(BR33=0,0,2.5*BR92/BR33),1)</f>
        <v>1</v>
      </c>
      <c r="BS91" s="44">
        <f t="shared" si="254"/>
        <v>1</v>
      </c>
      <c r="BT91" s="44">
        <f t="shared" si="254"/>
        <v>1</v>
      </c>
      <c r="BU91" s="14">
        <f t="shared" si="254"/>
        <v>1</v>
      </c>
      <c r="BV91" s="13">
        <f t="shared" si="254"/>
        <v>1</v>
      </c>
      <c r="BW91" s="44">
        <f t="shared" si="254"/>
        <v>1</v>
      </c>
      <c r="BX91" s="44">
        <f t="shared" si="254"/>
        <v>1</v>
      </c>
      <c r="BY91" s="14">
        <f t="shared" si="254"/>
        <v>1</v>
      </c>
      <c r="BZ91" s="13">
        <f t="shared" si="254"/>
        <v>1</v>
      </c>
      <c r="CA91" s="44">
        <f t="shared" si="254"/>
        <v>1</v>
      </c>
      <c r="CB91" s="44">
        <f t="shared" si="254"/>
        <v>1</v>
      </c>
      <c r="CC91" s="14">
        <f t="shared" si="254"/>
        <v>1</v>
      </c>
      <c r="CD91" s="13">
        <f t="shared" si="254"/>
        <v>1</v>
      </c>
      <c r="CE91" s="44">
        <f t="shared" si="254"/>
        <v>1</v>
      </c>
      <c r="CF91" s="44">
        <f t="shared" si="254"/>
        <v>1</v>
      </c>
      <c r="CG91" s="14">
        <f t="shared" si="254"/>
        <v>1</v>
      </c>
      <c r="CH91" s="13">
        <f t="shared" si="254"/>
        <v>1</v>
      </c>
      <c r="CI91" s="44">
        <f t="shared" si="254"/>
        <v>1</v>
      </c>
      <c r="CJ91" s="44">
        <f t="shared" si="254"/>
        <v>1</v>
      </c>
      <c r="CK91" s="14">
        <f t="shared" si="254"/>
        <v>1</v>
      </c>
      <c r="CL91" s="49"/>
      <c r="CM91" s="28"/>
    </row>
    <row r="92" spans="2:91" ht="14.25" x14ac:dyDescent="0.25">
      <c r="B92" s="55"/>
      <c r="C92" s="10" t="s">
        <v>301</v>
      </c>
      <c r="D92" s="93" t="s">
        <v>387</v>
      </c>
      <c r="E92" s="125" t="e">
        <f t="shared" ref="E92:AJ92" si="255">((E21/3600)*EXP(E90*E21/3600) + E51*EXP(-E51*E90))/(((E21/3600)+E51)*EXP(((E21/3600)-E51))*E90)</f>
        <v>#DIV/0!</v>
      </c>
      <c r="F92" s="13">
        <f t="shared" si="255"/>
        <v>1.4985933152656224E-2</v>
      </c>
      <c r="G92" s="44">
        <f t="shared" si="255"/>
        <v>1.1993333916259473E-2</v>
      </c>
      <c r="H92" s="44">
        <f t="shared" si="255"/>
        <v>2.3909703475830397E-2</v>
      </c>
      <c r="I92" s="14">
        <f t="shared" si="255"/>
        <v>1.1529347216859673E-2</v>
      </c>
      <c r="J92" s="13">
        <f t="shared" si="255"/>
        <v>0.13654449371074351</v>
      </c>
      <c r="K92" s="44" t="e">
        <f t="shared" si="255"/>
        <v>#DIV/0!</v>
      </c>
      <c r="L92" s="44">
        <f t="shared" si="255"/>
        <v>5.6805836095184449E-2</v>
      </c>
      <c r="M92" s="14">
        <f t="shared" si="255"/>
        <v>4.4321761699937831E-2</v>
      </c>
      <c r="N92" s="13">
        <f t="shared" si="255"/>
        <v>1.0858506120348416E-2</v>
      </c>
      <c r="O92" s="44">
        <f t="shared" si="255"/>
        <v>2.6583393460968248E-3</v>
      </c>
      <c r="P92" s="44">
        <f t="shared" si="255"/>
        <v>4.0179883366294397E-2</v>
      </c>
      <c r="Q92" s="14">
        <f t="shared" si="255"/>
        <v>2.2994360499322061E-2</v>
      </c>
      <c r="R92" s="13">
        <f t="shared" si="255"/>
        <v>0.15509780661615527</v>
      </c>
      <c r="S92" s="44" t="e">
        <f t="shared" si="255"/>
        <v>#DIV/0!</v>
      </c>
      <c r="T92" s="44">
        <f t="shared" si="255"/>
        <v>2.4891186404806684E-2</v>
      </c>
      <c r="U92" s="14">
        <f t="shared" si="255"/>
        <v>1.8095483676211551E-2</v>
      </c>
      <c r="V92" s="13">
        <f t="shared" si="255"/>
        <v>7.6413122093901331E-2</v>
      </c>
      <c r="W92" s="44" t="e">
        <f t="shared" si="255"/>
        <v>#DIV/0!</v>
      </c>
      <c r="X92" s="44">
        <f t="shared" si="255"/>
        <v>2.8886223624530988E-2</v>
      </c>
      <c r="Y92" s="14">
        <f t="shared" si="255"/>
        <v>2.6373689948590871E-2</v>
      </c>
      <c r="Z92" s="13">
        <f t="shared" si="255"/>
        <v>0.13249648502979761</v>
      </c>
      <c r="AA92" s="44" t="e">
        <f t="shared" si="255"/>
        <v>#DIV/0!</v>
      </c>
      <c r="AB92" s="44">
        <f t="shared" si="255"/>
        <v>4.3061777589764642E-2</v>
      </c>
      <c r="AC92" s="14">
        <f t="shared" si="255"/>
        <v>4.2545751187232486E-2</v>
      </c>
      <c r="AD92" s="13">
        <f t="shared" si="255"/>
        <v>0.15278243726112536</v>
      </c>
      <c r="AE92" s="44" t="e">
        <f t="shared" si="255"/>
        <v>#DIV/0!</v>
      </c>
      <c r="AF92" s="44">
        <f t="shared" si="255"/>
        <v>6.983018187399237E-2</v>
      </c>
      <c r="AG92" s="14">
        <f t="shared" si="255"/>
        <v>6.9643646774063775E-2</v>
      </c>
      <c r="AH92" s="13">
        <f t="shared" si="255"/>
        <v>6.4645496069293679E-2</v>
      </c>
      <c r="AI92" s="44">
        <f t="shared" si="255"/>
        <v>4.1037401502627413E-2</v>
      </c>
      <c r="AJ92" s="44">
        <f t="shared" si="255"/>
        <v>6.2954872501142553E-2</v>
      </c>
      <c r="AK92" s="14">
        <f t="shared" ref="AK92:BP92" si="256">((AK21/3600)*EXP(AK90*AK21/3600) + AK51*EXP(-AK51*AK90))/(((AK21/3600)+AK51)*EXP(((AK21/3600)-AK51))*AK90)</f>
        <v>6.2331094931121538E-2</v>
      </c>
      <c r="AL92" s="13" t="e">
        <f t="shared" si="256"/>
        <v>#DIV/0!</v>
      </c>
      <c r="AM92" s="44" t="e">
        <f t="shared" si="256"/>
        <v>#DIV/0!</v>
      </c>
      <c r="AN92" s="44" t="e">
        <f t="shared" si="256"/>
        <v>#DIV/0!</v>
      </c>
      <c r="AO92" s="14" t="e">
        <f t="shared" si="256"/>
        <v>#DIV/0!</v>
      </c>
      <c r="AP92" s="13" t="e">
        <f t="shared" si="256"/>
        <v>#DIV/0!</v>
      </c>
      <c r="AQ92" s="44" t="e">
        <f t="shared" si="256"/>
        <v>#DIV/0!</v>
      </c>
      <c r="AR92" s="44" t="e">
        <f t="shared" si="256"/>
        <v>#DIV/0!</v>
      </c>
      <c r="AS92" s="14" t="e">
        <f t="shared" si="256"/>
        <v>#DIV/0!</v>
      </c>
      <c r="AT92" s="13" t="e">
        <f t="shared" si="256"/>
        <v>#DIV/0!</v>
      </c>
      <c r="AU92" s="44" t="e">
        <f t="shared" si="256"/>
        <v>#DIV/0!</v>
      </c>
      <c r="AV92" s="44" t="e">
        <f t="shared" si="256"/>
        <v>#DIV/0!</v>
      </c>
      <c r="AW92" s="14" t="e">
        <f t="shared" si="256"/>
        <v>#DIV/0!</v>
      </c>
      <c r="AX92" s="13" t="e">
        <f t="shared" si="256"/>
        <v>#DIV/0!</v>
      </c>
      <c r="AY92" s="44" t="e">
        <f t="shared" si="256"/>
        <v>#DIV/0!</v>
      </c>
      <c r="AZ92" s="44" t="e">
        <f t="shared" si="256"/>
        <v>#DIV/0!</v>
      </c>
      <c r="BA92" s="14" t="e">
        <f t="shared" si="256"/>
        <v>#DIV/0!</v>
      </c>
      <c r="BB92" s="13" t="e">
        <f t="shared" si="256"/>
        <v>#DIV/0!</v>
      </c>
      <c r="BC92" s="44" t="e">
        <f t="shared" si="256"/>
        <v>#DIV/0!</v>
      </c>
      <c r="BD92" s="44" t="e">
        <f t="shared" si="256"/>
        <v>#DIV/0!</v>
      </c>
      <c r="BE92" s="14" t="e">
        <f t="shared" si="256"/>
        <v>#DIV/0!</v>
      </c>
      <c r="BF92" s="13" t="e">
        <f t="shared" si="256"/>
        <v>#DIV/0!</v>
      </c>
      <c r="BG92" s="44" t="e">
        <f t="shared" si="256"/>
        <v>#DIV/0!</v>
      </c>
      <c r="BH92" s="44" t="e">
        <f t="shared" si="256"/>
        <v>#DIV/0!</v>
      </c>
      <c r="BI92" s="14" t="e">
        <f t="shared" si="256"/>
        <v>#DIV/0!</v>
      </c>
      <c r="BJ92" s="13" t="e">
        <f t="shared" si="256"/>
        <v>#DIV/0!</v>
      </c>
      <c r="BK92" s="44" t="e">
        <f t="shared" si="256"/>
        <v>#DIV/0!</v>
      </c>
      <c r="BL92" s="44" t="e">
        <f t="shared" si="256"/>
        <v>#DIV/0!</v>
      </c>
      <c r="BM92" s="14" t="e">
        <f t="shared" si="256"/>
        <v>#DIV/0!</v>
      </c>
      <c r="BN92" s="13" t="e">
        <f t="shared" si="256"/>
        <v>#DIV/0!</v>
      </c>
      <c r="BO92" s="44" t="e">
        <f t="shared" si="256"/>
        <v>#DIV/0!</v>
      </c>
      <c r="BP92" s="44" t="e">
        <f t="shared" si="256"/>
        <v>#DIV/0!</v>
      </c>
      <c r="BQ92" s="14" t="e">
        <f t="shared" ref="BQ92:CK92" si="257">((BQ21/3600)*EXP(BQ90*BQ21/3600) + BQ51*EXP(-BQ51*BQ90))/(((BQ21/3600)+BQ51)*EXP(((BQ21/3600)-BQ51))*BQ90)</f>
        <v>#DIV/0!</v>
      </c>
      <c r="BR92" s="13" t="e">
        <f t="shared" si="257"/>
        <v>#DIV/0!</v>
      </c>
      <c r="BS92" s="44" t="e">
        <f t="shared" si="257"/>
        <v>#DIV/0!</v>
      </c>
      <c r="BT92" s="44" t="e">
        <f t="shared" si="257"/>
        <v>#DIV/0!</v>
      </c>
      <c r="BU92" s="14" t="e">
        <f t="shared" si="257"/>
        <v>#DIV/0!</v>
      </c>
      <c r="BV92" s="13" t="e">
        <f t="shared" si="257"/>
        <v>#DIV/0!</v>
      </c>
      <c r="BW92" s="44" t="e">
        <f t="shared" si="257"/>
        <v>#DIV/0!</v>
      </c>
      <c r="BX92" s="44" t="e">
        <f t="shared" si="257"/>
        <v>#DIV/0!</v>
      </c>
      <c r="BY92" s="14" t="e">
        <f t="shared" si="257"/>
        <v>#DIV/0!</v>
      </c>
      <c r="BZ92" s="13" t="e">
        <f t="shared" si="257"/>
        <v>#DIV/0!</v>
      </c>
      <c r="CA92" s="44" t="e">
        <f t="shared" si="257"/>
        <v>#DIV/0!</v>
      </c>
      <c r="CB92" s="44" t="e">
        <f t="shared" si="257"/>
        <v>#DIV/0!</v>
      </c>
      <c r="CC92" s="14" t="e">
        <f t="shared" si="257"/>
        <v>#DIV/0!</v>
      </c>
      <c r="CD92" s="13" t="e">
        <f t="shared" si="257"/>
        <v>#DIV/0!</v>
      </c>
      <c r="CE92" s="44" t="e">
        <f t="shared" si="257"/>
        <v>#DIV/0!</v>
      </c>
      <c r="CF92" s="44" t="e">
        <f t="shared" si="257"/>
        <v>#DIV/0!</v>
      </c>
      <c r="CG92" s="14" t="e">
        <f t="shared" si="257"/>
        <v>#DIV/0!</v>
      </c>
      <c r="CH92" s="13" t="e">
        <f t="shared" si="257"/>
        <v>#DIV/0!</v>
      </c>
      <c r="CI92" s="44" t="e">
        <f t="shared" si="257"/>
        <v>#DIV/0!</v>
      </c>
      <c r="CJ92" s="44" t="e">
        <f t="shared" si="257"/>
        <v>#DIV/0!</v>
      </c>
      <c r="CK92" s="14" t="e">
        <f t="shared" si="257"/>
        <v>#DIV/0!</v>
      </c>
      <c r="CL92" s="49"/>
      <c r="CM92" s="28"/>
    </row>
    <row r="93" spans="2:91" ht="14.25" x14ac:dyDescent="0.25">
      <c r="B93" s="55"/>
      <c r="C93" s="10" t="s">
        <v>302</v>
      </c>
      <c r="D93" s="93" t="s">
        <v>390</v>
      </c>
      <c r="E93" s="125">
        <f t="shared" ref="E93:AJ93" si="258">E90+2*(E91-1)</f>
        <v>3</v>
      </c>
      <c r="F93" s="13">
        <f t="shared" si="258"/>
        <v>8.1999999999999993</v>
      </c>
      <c r="G93" s="44">
        <f t="shared" si="258"/>
        <v>8.1999999999999993</v>
      </c>
      <c r="H93" s="44">
        <f t="shared" si="258"/>
        <v>9.4</v>
      </c>
      <c r="I93" s="14">
        <f t="shared" si="258"/>
        <v>9.4</v>
      </c>
      <c r="J93" s="13">
        <f t="shared" si="258"/>
        <v>7</v>
      </c>
      <c r="K93" s="44" t="e">
        <f t="shared" si="258"/>
        <v>#DIV/0!</v>
      </c>
      <c r="L93" s="44">
        <f t="shared" si="258"/>
        <v>8</v>
      </c>
      <c r="M93" s="14">
        <f t="shared" si="258"/>
        <v>8</v>
      </c>
      <c r="N93" s="13">
        <f t="shared" si="258"/>
        <v>9</v>
      </c>
      <c r="O93" s="44">
        <f t="shared" si="258"/>
        <v>12</v>
      </c>
      <c r="P93" s="44">
        <f t="shared" si="258"/>
        <v>7.8</v>
      </c>
      <c r="Q93" s="14">
        <f t="shared" si="258"/>
        <v>8.3000000000000007</v>
      </c>
      <c r="R93" s="13">
        <f t="shared" si="258"/>
        <v>5.8</v>
      </c>
      <c r="S93" s="44" t="e">
        <f t="shared" si="258"/>
        <v>#DIV/0!</v>
      </c>
      <c r="T93" s="44">
        <f t="shared" si="258"/>
        <v>8</v>
      </c>
      <c r="U93" s="14">
        <f t="shared" si="258"/>
        <v>8</v>
      </c>
      <c r="V93" s="13">
        <f t="shared" si="258"/>
        <v>10.4</v>
      </c>
      <c r="W93" s="44" t="e">
        <f t="shared" si="258"/>
        <v>#DIV/0!</v>
      </c>
      <c r="X93" s="44">
        <f t="shared" si="258"/>
        <v>7.5</v>
      </c>
      <c r="Y93" s="14">
        <f t="shared" si="258"/>
        <v>7.5</v>
      </c>
      <c r="Z93" s="13">
        <f t="shared" si="258"/>
        <v>6.5</v>
      </c>
      <c r="AA93" s="44" t="e">
        <f t="shared" si="258"/>
        <v>#DIV/0!</v>
      </c>
      <c r="AB93" s="44">
        <f t="shared" si="258"/>
        <v>7.2</v>
      </c>
      <c r="AC93" s="14">
        <f t="shared" si="258"/>
        <v>7.2</v>
      </c>
      <c r="AD93" s="13">
        <f t="shared" si="258"/>
        <v>6.3</v>
      </c>
      <c r="AE93" s="44" t="e">
        <f t="shared" si="258"/>
        <v>#DIV/0!</v>
      </c>
      <c r="AF93" s="44">
        <f t="shared" si="258"/>
        <v>6</v>
      </c>
      <c r="AG93" s="14">
        <f t="shared" si="258"/>
        <v>6</v>
      </c>
      <c r="AH93" s="13">
        <f t="shared" si="258"/>
        <v>6.4</v>
      </c>
      <c r="AI93" s="44">
        <f t="shared" si="258"/>
        <v>7.4</v>
      </c>
      <c r="AJ93" s="44">
        <f t="shared" si="258"/>
        <v>7.1</v>
      </c>
      <c r="AK93" s="14">
        <f t="shared" ref="AK93:BP93" si="259">AK90+2*(AK91-1)</f>
        <v>7.1</v>
      </c>
      <c r="AL93" s="13" t="e">
        <f t="shared" si="259"/>
        <v>#DIV/0!</v>
      </c>
      <c r="AM93" s="44" t="e">
        <f t="shared" si="259"/>
        <v>#DIV/0!</v>
      </c>
      <c r="AN93" s="44" t="e">
        <f t="shared" si="259"/>
        <v>#DIV/0!</v>
      </c>
      <c r="AO93" s="14" t="e">
        <f t="shared" si="259"/>
        <v>#DIV/0!</v>
      </c>
      <c r="AP93" s="13" t="e">
        <f t="shared" si="259"/>
        <v>#DIV/0!</v>
      </c>
      <c r="AQ93" s="44" t="e">
        <f t="shared" si="259"/>
        <v>#DIV/0!</v>
      </c>
      <c r="AR93" s="44" t="e">
        <f t="shared" si="259"/>
        <v>#DIV/0!</v>
      </c>
      <c r="AS93" s="14" t="e">
        <f t="shared" si="259"/>
        <v>#DIV/0!</v>
      </c>
      <c r="AT93" s="13" t="e">
        <f t="shared" si="259"/>
        <v>#DIV/0!</v>
      </c>
      <c r="AU93" s="44" t="e">
        <f t="shared" si="259"/>
        <v>#DIV/0!</v>
      </c>
      <c r="AV93" s="44" t="e">
        <f t="shared" si="259"/>
        <v>#DIV/0!</v>
      </c>
      <c r="AW93" s="14" t="e">
        <f t="shared" si="259"/>
        <v>#DIV/0!</v>
      </c>
      <c r="AX93" s="13" t="e">
        <f t="shared" si="259"/>
        <v>#DIV/0!</v>
      </c>
      <c r="AY93" s="44" t="e">
        <f t="shared" si="259"/>
        <v>#DIV/0!</v>
      </c>
      <c r="AZ93" s="44" t="e">
        <f t="shared" si="259"/>
        <v>#DIV/0!</v>
      </c>
      <c r="BA93" s="14" t="e">
        <f t="shared" si="259"/>
        <v>#DIV/0!</v>
      </c>
      <c r="BB93" s="13" t="e">
        <f t="shared" si="259"/>
        <v>#DIV/0!</v>
      </c>
      <c r="BC93" s="44" t="e">
        <f t="shared" si="259"/>
        <v>#DIV/0!</v>
      </c>
      <c r="BD93" s="44" t="e">
        <f t="shared" si="259"/>
        <v>#DIV/0!</v>
      </c>
      <c r="BE93" s="14" t="e">
        <f t="shared" si="259"/>
        <v>#DIV/0!</v>
      </c>
      <c r="BF93" s="13" t="e">
        <f t="shared" si="259"/>
        <v>#DIV/0!</v>
      </c>
      <c r="BG93" s="44" t="e">
        <f t="shared" si="259"/>
        <v>#DIV/0!</v>
      </c>
      <c r="BH93" s="44" t="e">
        <f t="shared" si="259"/>
        <v>#DIV/0!</v>
      </c>
      <c r="BI93" s="14" t="e">
        <f t="shared" si="259"/>
        <v>#DIV/0!</v>
      </c>
      <c r="BJ93" s="13" t="e">
        <f t="shared" si="259"/>
        <v>#DIV/0!</v>
      </c>
      <c r="BK93" s="44" t="e">
        <f t="shared" si="259"/>
        <v>#DIV/0!</v>
      </c>
      <c r="BL93" s="44" t="e">
        <f t="shared" si="259"/>
        <v>#DIV/0!</v>
      </c>
      <c r="BM93" s="14" t="e">
        <f t="shared" si="259"/>
        <v>#DIV/0!</v>
      </c>
      <c r="BN93" s="13" t="e">
        <f t="shared" si="259"/>
        <v>#DIV/0!</v>
      </c>
      <c r="BO93" s="44" t="e">
        <f t="shared" si="259"/>
        <v>#DIV/0!</v>
      </c>
      <c r="BP93" s="44" t="e">
        <f t="shared" si="259"/>
        <v>#DIV/0!</v>
      </c>
      <c r="BQ93" s="14" t="e">
        <f t="shared" ref="BQ93:CK93" si="260">BQ90+2*(BQ91-1)</f>
        <v>#DIV/0!</v>
      </c>
      <c r="BR93" s="13" t="e">
        <f t="shared" si="260"/>
        <v>#DIV/0!</v>
      </c>
      <c r="BS93" s="44" t="e">
        <f t="shared" si="260"/>
        <v>#DIV/0!</v>
      </c>
      <c r="BT93" s="44" t="e">
        <f t="shared" si="260"/>
        <v>#DIV/0!</v>
      </c>
      <c r="BU93" s="14" t="e">
        <f t="shared" si="260"/>
        <v>#DIV/0!</v>
      </c>
      <c r="BV93" s="13" t="e">
        <f t="shared" si="260"/>
        <v>#DIV/0!</v>
      </c>
      <c r="BW93" s="44" t="e">
        <f t="shared" si="260"/>
        <v>#DIV/0!</v>
      </c>
      <c r="BX93" s="44" t="e">
        <f t="shared" si="260"/>
        <v>#DIV/0!</v>
      </c>
      <c r="BY93" s="14" t="e">
        <f t="shared" si="260"/>
        <v>#DIV/0!</v>
      </c>
      <c r="BZ93" s="13" t="e">
        <f t="shared" si="260"/>
        <v>#DIV/0!</v>
      </c>
      <c r="CA93" s="44" t="e">
        <f t="shared" si="260"/>
        <v>#DIV/0!</v>
      </c>
      <c r="CB93" s="44" t="e">
        <f t="shared" si="260"/>
        <v>#DIV/0!</v>
      </c>
      <c r="CC93" s="14" t="e">
        <f t="shared" si="260"/>
        <v>#DIV/0!</v>
      </c>
      <c r="CD93" s="13" t="e">
        <f t="shared" si="260"/>
        <v>#DIV/0!</v>
      </c>
      <c r="CE93" s="44" t="e">
        <f t="shared" si="260"/>
        <v>#DIV/0!</v>
      </c>
      <c r="CF93" s="44" t="e">
        <f t="shared" si="260"/>
        <v>#DIV/0!</v>
      </c>
      <c r="CG93" s="14" t="e">
        <f t="shared" si="260"/>
        <v>#DIV/0!</v>
      </c>
      <c r="CH93" s="13" t="e">
        <f t="shared" si="260"/>
        <v>#DIV/0!</v>
      </c>
      <c r="CI93" s="44" t="e">
        <f t="shared" si="260"/>
        <v>#DIV/0!</v>
      </c>
      <c r="CJ93" s="44" t="e">
        <f t="shared" si="260"/>
        <v>#DIV/0!</v>
      </c>
      <c r="CK93" s="14" t="e">
        <f t="shared" si="260"/>
        <v>#DIV/0!</v>
      </c>
      <c r="CL93" s="49"/>
      <c r="CM93" s="28"/>
    </row>
    <row r="94" spans="2:91" ht="14.25" x14ac:dyDescent="0.25">
      <c r="B94" s="55"/>
      <c r="C94" s="10" t="s">
        <v>303</v>
      </c>
      <c r="D94" s="93" t="s">
        <v>388</v>
      </c>
      <c r="E94" s="125">
        <f t="shared" ref="E94:AJ94" si="261">1-EXP(-E93*E51)</f>
        <v>0</v>
      </c>
      <c r="F94" s="13">
        <f t="shared" si="261"/>
        <v>0.93455204288343052</v>
      </c>
      <c r="G94" s="44">
        <f t="shared" si="261"/>
        <v>0.93455204288343052</v>
      </c>
      <c r="H94" s="44">
        <f t="shared" si="261"/>
        <v>0.93261128968088547</v>
      </c>
      <c r="I94" s="14">
        <f t="shared" si="261"/>
        <v>0.93261128968088547</v>
      </c>
      <c r="J94" s="13">
        <f t="shared" si="261"/>
        <v>8.3781128349122436E-2</v>
      </c>
      <c r="K94" s="44" t="e">
        <f t="shared" si="261"/>
        <v>#DIV/0!</v>
      </c>
      <c r="L94" s="44">
        <f t="shared" si="261"/>
        <v>0.70673148807343744</v>
      </c>
      <c r="M94" s="14">
        <f t="shared" si="261"/>
        <v>0.70673148807343744</v>
      </c>
      <c r="N94" s="13">
        <f t="shared" si="261"/>
        <v>0.95107662596110865</v>
      </c>
      <c r="O94" s="44">
        <f t="shared" si="261"/>
        <v>0.98210677864899654</v>
      </c>
      <c r="P94" s="44">
        <f t="shared" si="261"/>
        <v>0.84618427746657066</v>
      </c>
      <c r="Q94" s="14">
        <f t="shared" si="261"/>
        <v>0.86357769219668579</v>
      </c>
      <c r="R94" s="13">
        <f t="shared" si="261"/>
        <v>0.13078664556667818</v>
      </c>
      <c r="S94" s="44" t="e">
        <f t="shared" si="261"/>
        <v>#DIV/0!</v>
      </c>
      <c r="T94" s="44">
        <f t="shared" si="261"/>
        <v>0.89114926923048099</v>
      </c>
      <c r="U94" s="14">
        <f t="shared" si="261"/>
        <v>0.89114926923048099</v>
      </c>
      <c r="V94" s="13">
        <f t="shared" si="261"/>
        <v>0.24000577502249842</v>
      </c>
      <c r="W94" s="44" t="e">
        <f t="shared" si="261"/>
        <v>#DIV/0!</v>
      </c>
      <c r="X94" s="44">
        <f t="shared" si="261"/>
        <v>0.84791768114729249</v>
      </c>
      <c r="Y94" s="14">
        <f t="shared" si="261"/>
        <v>0.84791768114729249</v>
      </c>
      <c r="Z94" s="13">
        <f t="shared" si="261"/>
        <v>0.23449705920195518</v>
      </c>
      <c r="AA94" s="44" t="e">
        <f t="shared" si="261"/>
        <v>#DIV/0!</v>
      </c>
      <c r="AB94" s="44">
        <f t="shared" si="261"/>
        <v>0.75042604627619269</v>
      </c>
      <c r="AC94" s="14">
        <f t="shared" si="261"/>
        <v>0.75042604627619269</v>
      </c>
      <c r="AD94" s="13">
        <f t="shared" si="261"/>
        <v>4.781887030149512E-2</v>
      </c>
      <c r="AE94" s="44" t="e">
        <f t="shared" si="261"/>
        <v>#DIV/0!</v>
      </c>
      <c r="AF94" s="44">
        <f t="shared" si="261"/>
        <v>0.65354418966994254</v>
      </c>
      <c r="AG94" s="14">
        <f t="shared" si="261"/>
        <v>0.65354418966994254</v>
      </c>
      <c r="AH94" s="13">
        <f t="shared" si="261"/>
        <v>0.70463859050560873</v>
      </c>
      <c r="AI94" s="44">
        <f t="shared" si="261"/>
        <v>0.75588384237102302</v>
      </c>
      <c r="AJ94" s="44">
        <f t="shared" si="261"/>
        <v>0.61728788186972028</v>
      </c>
      <c r="AK94" s="14">
        <f t="shared" ref="AK94:BP94" si="262">1-EXP(-AK93*AK51)</f>
        <v>0.61728788186972028</v>
      </c>
      <c r="AL94" s="13" t="e">
        <f t="shared" si="262"/>
        <v>#DIV/0!</v>
      </c>
      <c r="AM94" s="44" t="e">
        <f t="shared" si="262"/>
        <v>#DIV/0!</v>
      </c>
      <c r="AN94" s="44" t="e">
        <f t="shared" si="262"/>
        <v>#DIV/0!</v>
      </c>
      <c r="AO94" s="14" t="e">
        <f t="shared" si="262"/>
        <v>#DIV/0!</v>
      </c>
      <c r="AP94" s="13" t="e">
        <f t="shared" si="262"/>
        <v>#DIV/0!</v>
      </c>
      <c r="AQ94" s="44" t="e">
        <f t="shared" si="262"/>
        <v>#DIV/0!</v>
      </c>
      <c r="AR94" s="44" t="e">
        <f t="shared" si="262"/>
        <v>#DIV/0!</v>
      </c>
      <c r="AS94" s="14" t="e">
        <f t="shared" si="262"/>
        <v>#DIV/0!</v>
      </c>
      <c r="AT94" s="13" t="e">
        <f t="shared" si="262"/>
        <v>#DIV/0!</v>
      </c>
      <c r="AU94" s="44" t="e">
        <f t="shared" si="262"/>
        <v>#DIV/0!</v>
      </c>
      <c r="AV94" s="44" t="e">
        <f t="shared" si="262"/>
        <v>#DIV/0!</v>
      </c>
      <c r="AW94" s="14" t="e">
        <f t="shared" si="262"/>
        <v>#DIV/0!</v>
      </c>
      <c r="AX94" s="13" t="e">
        <f t="shared" si="262"/>
        <v>#DIV/0!</v>
      </c>
      <c r="AY94" s="44" t="e">
        <f t="shared" si="262"/>
        <v>#DIV/0!</v>
      </c>
      <c r="AZ94" s="44" t="e">
        <f t="shared" si="262"/>
        <v>#DIV/0!</v>
      </c>
      <c r="BA94" s="14" t="e">
        <f t="shared" si="262"/>
        <v>#DIV/0!</v>
      </c>
      <c r="BB94" s="13" t="e">
        <f t="shared" si="262"/>
        <v>#DIV/0!</v>
      </c>
      <c r="BC94" s="44" t="e">
        <f t="shared" si="262"/>
        <v>#DIV/0!</v>
      </c>
      <c r="BD94" s="44" t="e">
        <f t="shared" si="262"/>
        <v>#DIV/0!</v>
      </c>
      <c r="BE94" s="14" t="e">
        <f t="shared" si="262"/>
        <v>#DIV/0!</v>
      </c>
      <c r="BF94" s="13" t="e">
        <f t="shared" si="262"/>
        <v>#DIV/0!</v>
      </c>
      <c r="BG94" s="44" t="e">
        <f t="shared" si="262"/>
        <v>#DIV/0!</v>
      </c>
      <c r="BH94" s="44" t="e">
        <f t="shared" si="262"/>
        <v>#DIV/0!</v>
      </c>
      <c r="BI94" s="14" t="e">
        <f t="shared" si="262"/>
        <v>#DIV/0!</v>
      </c>
      <c r="BJ94" s="13" t="e">
        <f t="shared" si="262"/>
        <v>#DIV/0!</v>
      </c>
      <c r="BK94" s="44" t="e">
        <f t="shared" si="262"/>
        <v>#DIV/0!</v>
      </c>
      <c r="BL94" s="44" t="e">
        <f t="shared" si="262"/>
        <v>#DIV/0!</v>
      </c>
      <c r="BM94" s="14" t="e">
        <f t="shared" si="262"/>
        <v>#DIV/0!</v>
      </c>
      <c r="BN94" s="13" t="e">
        <f t="shared" si="262"/>
        <v>#DIV/0!</v>
      </c>
      <c r="BO94" s="44" t="e">
        <f t="shared" si="262"/>
        <v>#DIV/0!</v>
      </c>
      <c r="BP94" s="44" t="e">
        <f t="shared" si="262"/>
        <v>#DIV/0!</v>
      </c>
      <c r="BQ94" s="14" t="e">
        <f t="shared" ref="BQ94:CV94" si="263">1-EXP(-BQ93*BQ51)</f>
        <v>#DIV/0!</v>
      </c>
      <c r="BR94" s="13" t="e">
        <f t="shared" si="263"/>
        <v>#DIV/0!</v>
      </c>
      <c r="BS94" s="44" t="e">
        <f t="shared" si="263"/>
        <v>#DIV/0!</v>
      </c>
      <c r="BT94" s="44" t="e">
        <f t="shared" si="263"/>
        <v>#DIV/0!</v>
      </c>
      <c r="BU94" s="14" t="e">
        <f t="shared" si="263"/>
        <v>#DIV/0!</v>
      </c>
      <c r="BV94" s="13" t="e">
        <f t="shared" si="263"/>
        <v>#DIV/0!</v>
      </c>
      <c r="BW94" s="44" t="e">
        <f t="shared" si="263"/>
        <v>#DIV/0!</v>
      </c>
      <c r="BX94" s="44" t="e">
        <f t="shared" si="263"/>
        <v>#DIV/0!</v>
      </c>
      <c r="BY94" s="14" t="e">
        <f t="shared" si="263"/>
        <v>#DIV/0!</v>
      </c>
      <c r="BZ94" s="13" t="e">
        <f t="shared" si="263"/>
        <v>#DIV/0!</v>
      </c>
      <c r="CA94" s="44" t="e">
        <f t="shared" si="263"/>
        <v>#DIV/0!</v>
      </c>
      <c r="CB94" s="44" t="e">
        <f t="shared" si="263"/>
        <v>#DIV/0!</v>
      </c>
      <c r="CC94" s="14" t="e">
        <f t="shared" si="263"/>
        <v>#DIV/0!</v>
      </c>
      <c r="CD94" s="13" t="e">
        <f t="shared" si="263"/>
        <v>#DIV/0!</v>
      </c>
      <c r="CE94" s="44" t="e">
        <f t="shared" si="263"/>
        <v>#DIV/0!</v>
      </c>
      <c r="CF94" s="44" t="e">
        <f t="shared" si="263"/>
        <v>#DIV/0!</v>
      </c>
      <c r="CG94" s="14" t="e">
        <f t="shared" si="263"/>
        <v>#DIV/0!</v>
      </c>
      <c r="CH94" s="13" t="e">
        <f t="shared" si="263"/>
        <v>#DIV/0!</v>
      </c>
      <c r="CI94" s="44" t="e">
        <f t="shared" si="263"/>
        <v>#DIV/0!</v>
      </c>
      <c r="CJ94" s="44" t="e">
        <f t="shared" si="263"/>
        <v>#DIV/0!</v>
      </c>
      <c r="CK94" s="14" t="e">
        <f t="shared" si="263"/>
        <v>#DIV/0!</v>
      </c>
      <c r="CL94" s="49"/>
      <c r="CM94" s="28"/>
    </row>
    <row r="95" spans="2:91" ht="14.25" x14ac:dyDescent="0.25">
      <c r="B95" s="55"/>
      <c r="C95" s="10" t="s">
        <v>304</v>
      </c>
      <c r="D95" s="93" t="s">
        <v>389</v>
      </c>
      <c r="E95" s="125">
        <f t="shared" ref="E95:AJ95" si="264">1-(1-E94)^E31</f>
        <v>0</v>
      </c>
      <c r="F95" s="13">
        <f t="shared" si="264"/>
        <v>1</v>
      </c>
      <c r="G95" s="44">
        <f t="shared" si="264"/>
        <v>1</v>
      </c>
      <c r="H95" s="44">
        <f t="shared" si="264"/>
        <v>1</v>
      </c>
      <c r="I95" s="14">
        <f t="shared" si="264"/>
        <v>1</v>
      </c>
      <c r="J95" s="13">
        <f t="shared" si="264"/>
        <v>0.96980261657768163</v>
      </c>
      <c r="K95" s="44" t="e">
        <f t="shared" si="264"/>
        <v>#DIV/0!</v>
      </c>
      <c r="L95" s="44">
        <f t="shared" si="264"/>
        <v>1</v>
      </c>
      <c r="M95" s="14">
        <f t="shared" si="264"/>
        <v>1</v>
      </c>
      <c r="N95" s="13">
        <f t="shared" si="264"/>
        <v>1</v>
      </c>
      <c r="O95" s="44">
        <f t="shared" si="264"/>
        <v>1</v>
      </c>
      <c r="P95" s="44">
        <f t="shared" si="264"/>
        <v>1</v>
      </c>
      <c r="Q95" s="14">
        <f t="shared" si="264"/>
        <v>1</v>
      </c>
      <c r="R95" s="13">
        <f t="shared" si="264"/>
        <v>0.9802512813193095</v>
      </c>
      <c r="S95" s="44" t="e">
        <f t="shared" si="264"/>
        <v>#DIV/0!</v>
      </c>
      <c r="T95" s="44">
        <f t="shared" si="264"/>
        <v>1</v>
      </c>
      <c r="U95" s="14">
        <f t="shared" si="264"/>
        <v>1</v>
      </c>
      <c r="V95" s="13">
        <f t="shared" si="264"/>
        <v>0.99999999848657251</v>
      </c>
      <c r="W95" s="44" t="e">
        <f t="shared" si="264"/>
        <v>#DIV/0!</v>
      </c>
      <c r="X95" s="44">
        <f t="shared" si="264"/>
        <v>1</v>
      </c>
      <c r="Y95" s="14">
        <f t="shared" si="264"/>
        <v>1</v>
      </c>
      <c r="Z95" s="13">
        <f t="shared" si="264"/>
        <v>0.99991327581630995</v>
      </c>
      <c r="AA95" s="44" t="e">
        <f t="shared" si="264"/>
        <v>#DIV/0!</v>
      </c>
      <c r="AB95" s="44">
        <f t="shared" si="264"/>
        <v>1</v>
      </c>
      <c r="AC95" s="14">
        <f t="shared" si="264"/>
        <v>1</v>
      </c>
      <c r="AD95" s="13">
        <f t="shared" si="264"/>
        <v>0.8015067133837761</v>
      </c>
      <c r="AE95" s="44" t="e">
        <f t="shared" si="264"/>
        <v>#DIV/0!</v>
      </c>
      <c r="AF95" s="44">
        <f t="shared" si="264"/>
        <v>0.99999999999998457</v>
      </c>
      <c r="AG95" s="14">
        <f t="shared" si="264"/>
        <v>0.99999999999998457</v>
      </c>
      <c r="AH95" s="13">
        <f t="shared" si="264"/>
        <v>1</v>
      </c>
      <c r="AI95" s="44">
        <f t="shared" si="264"/>
        <v>1</v>
      </c>
      <c r="AJ95" s="44">
        <f t="shared" si="264"/>
        <v>1</v>
      </c>
      <c r="AK95" s="14">
        <f t="shared" ref="AK95:BP95" si="265">1-(1-AK94)^AK31</f>
        <v>1</v>
      </c>
      <c r="AL95" s="13" t="e">
        <f t="shared" si="265"/>
        <v>#DIV/0!</v>
      </c>
      <c r="AM95" s="44" t="e">
        <f t="shared" si="265"/>
        <v>#DIV/0!</v>
      </c>
      <c r="AN95" s="44" t="e">
        <f t="shared" si="265"/>
        <v>#DIV/0!</v>
      </c>
      <c r="AO95" s="14" t="e">
        <f t="shared" si="265"/>
        <v>#DIV/0!</v>
      </c>
      <c r="AP95" s="13" t="e">
        <f t="shared" si="265"/>
        <v>#DIV/0!</v>
      </c>
      <c r="AQ95" s="44" t="e">
        <f t="shared" si="265"/>
        <v>#DIV/0!</v>
      </c>
      <c r="AR95" s="44" t="e">
        <f t="shared" si="265"/>
        <v>#DIV/0!</v>
      </c>
      <c r="AS95" s="14" t="e">
        <f t="shared" si="265"/>
        <v>#DIV/0!</v>
      </c>
      <c r="AT95" s="13" t="e">
        <f t="shared" si="265"/>
        <v>#DIV/0!</v>
      </c>
      <c r="AU95" s="44" t="e">
        <f t="shared" si="265"/>
        <v>#DIV/0!</v>
      </c>
      <c r="AV95" s="44" t="e">
        <f t="shared" si="265"/>
        <v>#DIV/0!</v>
      </c>
      <c r="AW95" s="14" t="e">
        <f t="shared" si="265"/>
        <v>#DIV/0!</v>
      </c>
      <c r="AX95" s="13" t="e">
        <f t="shared" si="265"/>
        <v>#DIV/0!</v>
      </c>
      <c r="AY95" s="44" t="e">
        <f t="shared" si="265"/>
        <v>#DIV/0!</v>
      </c>
      <c r="AZ95" s="44" t="e">
        <f t="shared" si="265"/>
        <v>#DIV/0!</v>
      </c>
      <c r="BA95" s="14" t="e">
        <f t="shared" si="265"/>
        <v>#DIV/0!</v>
      </c>
      <c r="BB95" s="13" t="e">
        <f t="shared" si="265"/>
        <v>#DIV/0!</v>
      </c>
      <c r="BC95" s="44" t="e">
        <f t="shared" si="265"/>
        <v>#DIV/0!</v>
      </c>
      <c r="BD95" s="44" t="e">
        <f t="shared" si="265"/>
        <v>#DIV/0!</v>
      </c>
      <c r="BE95" s="14" t="e">
        <f t="shared" si="265"/>
        <v>#DIV/0!</v>
      </c>
      <c r="BF95" s="13" t="e">
        <f t="shared" si="265"/>
        <v>#DIV/0!</v>
      </c>
      <c r="BG95" s="44" t="e">
        <f t="shared" si="265"/>
        <v>#DIV/0!</v>
      </c>
      <c r="BH95" s="44" t="e">
        <f t="shared" si="265"/>
        <v>#DIV/0!</v>
      </c>
      <c r="BI95" s="14" t="e">
        <f t="shared" si="265"/>
        <v>#DIV/0!</v>
      </c>
      <c r="BJ95" s="13" t="e">
        <f t="shared" si="265"/>
        <v>#DIV/0!</v>
      </c>
      <c r="BK95" s="44" t="e">
        <f t="shared" si="265"/>
        <v>#DIV/0!</v>
      </c>
      <c r="BL95" s="44" t="e">
        <f t="shared" si="265"/>
        <v>#DIV/0!</v>
      </c>
      <c r="BM95" s="14" t="e">
        <f t="shared" si="265"/>
        <v>#DIV/0!</v>
      </c>
      <c r="BN95" s="13" t="e">
        <f t="shared" si="265"/>
        <v>#DIV/0!</v>
      </c>
      <c r="BO95" s="44" t="e">
        <f t="shared" si="265"/>
        <v>#DIV/0!</v>
      </c>
      <c r="BP95" s="44" t="e">
        <f t="shared" si="265"/>
        <v>#DIV/0!</v>
      </c>
      <c r="BQ95" s="14" t="e">
        <f t="shared" ref="BQ95:CV95" si="266">1-(1-BQ94)^BQ31</f>
        <v>#DIV/0!</v>
      </c>
      <c r="BR95" s="13" t="e">
        <f t="shared" si="266"/>
        <v>#DIV/0!</v>
      </c>
      <c r="BS95" s="44" t="e">
        <f t="shared" si="266"/>
        <v>#DIV/0!</v>
      </c>
      <c r="BT95" s="44" t="e">
        <f t="shared" si="266"/>
        <v>#DIV/0!</v>
      </c>
      <c r="BU95" s="14" t="e">
        <f t="shared" si="266"/>
        <v>#DIV/0!</v>
      </c>
      <c r="BV95" s="13" t="e">
        <f t="shared" si="266"/>
        <v>#DIV/0!</v>
      </c>
      <c r="BW95" s="44" t="e">
        <f t="shared" si="266"/>
        <v>#DIV/0!</v>
      </c>
      <c r="BX95" s="44" t="e">
        <f t="shared" si="266"/>
        <v>#DIV/0!</v>
      </c>
      <c r="BY95" s="14" t="e">
        <f t="shared" si="266"/>
        <v>#DIV/0!</v>
      </c>
      <c r="BZ95" s="13" t="e">
        <f t="shared" si="266"/>
        <v>#DIV/0!</v>
      </c>
      <c r="CA95" s="44" t="e">
        <f t="shared" si="266"/>
        <v>#DIV/0!</v>
      </c>
      <c r="CB95" s="44" t="e">
        <f t="shared" si="266"/>
        <v>#DIV/0!</v>
      </c>
      <c r="CC95" s="14" t="e">
        <f t="shared" si="266"/>
        <v>#DIV/0!</v>
      </c>
      <c r="CD95" s="13" t="e">
        <f t="shared" si="266"/>
        <v>#DIV/0!</v>
      </c>
      <c r="CE95" s="44" t="e">
        <f t="shared" si="266"/>
        <v>#DIV/0!</v>
      </c>
      <c r="CF95" s="44" t="e">
        <f t="shared" si="266"/>
        <v>#DIV/0!</v>
      </c>
      <c r="CG95" s="14" t="e">
        <f t="shared" si="266"/>
        <v>#DIV/0!</v>
      </c>
      <c r="CH95" s="13" t="e">
        <f t="shared" si="266"/>
        <v>#DIV/0!</v>
      </c>
      <c r="CI95" s="44" t="e">
        <f t="shared" si="266"/>
        <v>#DIV/0!</v>
      </c>
      <c r="CJ95" s="44" t="e">
        <f t="shared" si="266"/>
        <v>#DIV/0!</v>
      </c>
      <c r="CK95" s="14" t="e">
        <f t="shared" si="266"/>
        <v>#DIV/0!</v>
      </c>
      <c r="CL95" s="49"/>
      <c r="CM95" s="28"/>
    </row>
    <row r="96" spans="2:91" ht="14.25" x14ac:dyDescent="0.25">
      <c r="B96" s="55"/>
      <c r="C96" s="10" t="s">
        <v>305</v>
      </c>
      <c r="D96" s="93" t="s">
        <v>391</v>
      </c>
      <c r="E96" s="125" t="e">
        <f t="shared" ref="E96:AJ96" si="267">(1/E51)*(EXP(E51*E93)-E51*E93-1)/E95</f>
        <v>#DIV/0!</v>
      </c>
      <c r="F96" s="13">
        <f t="shared" si="267"/>
        <v>34.745310435488904</v>
      </c>
      <c r="G96" s="44">
        <f t="shared" si="267"/>
        <v>34.745310435488904</v>
      </c>
      <c r="H96" s="44">
        <f t="shared" si="267"/>
        <v>38.829826851643496</v>
      </c>
      <c r="I96" s="14">
        <f t="shared" si="267"/>
        <v>38.829826851643496</v>
      </c>
      <c r="J96" s="13">
        <f t="shared" si="267"/>
        <v>0.3252013863904516</v>
      </c>
      <c r="K96" s="44" t="e">
        <f t="shared" si="267"/>
        <v>#DIV/0!</v>
      </c>
      <c r="L96" s="44">
        <f t="shared" si="267"/>
        <v>7.7163766754240308</v>
      </c>
      <c r="M96" s="14">
        <f t="shared" si="267"/>
        <v>7.7163766754240308</v>
      </c>
      <c r="N96" s="13">
        <f t="shared" si="267"/>
        <v>48.982153084492509</v>
      </c>
      <c r="O96" s="44">
        <f t="shared" si="267"/>
        <v>151.70630447998082</v>
      </c>
      <c r="P96" s="44">
        <f t="shared" si="267"/>
        <v>15.122024905556131</v>
      </c>
      <c r="Q96" s="14">
        <f t="shared" si="267"/>
        <v>18.075747794419311</v>
      </c>
      <c r="R96" s="13">
        <f t="shared" si="267"/>
        <v>0.43474540823880525</v>
      </c>
      <c r="S96" s="44" t="e">
        <f t="shared" si="267"/>
        <v>#DIV/0!</v>
      </c>
      <c r="T96" s="44">
        <f t="shared" si="267"/>
        <v>21.531878008616566</v>
      </c>
      <c r="U96" s="14">
        <f t="shared" si="267"/>
        <v>21.531878008616566</v>
      </c>
      <c r="V96" s="13">
        <f t="shared" si="267"/>
        <v>1.567137891258126</v>
      </c>
      <c r="W96" s="44" t="e">
        <f t="shared" si="267"/>
        <v>#DIV/0!</v>
      </c>
      <c r="X96" s="44">
        <f t="shared" si="267"/>
        <v>14.702865904963007</v>
      </c>
      <c r="Y96" s="14">
        <f t="shared" si="267"/>
        <v>14.702865904963007</v>
      </c>
      <c r="Z96" s="13">
        <f t="shared" si="267"/>
        <v>0.95137004225317079</v>
      </c>
      <c r="AA96" s="44" t="e">
        <f t="shared" si="267"/>
        <v>#DIV/0!</v>
      </c>
      <c r="AB96" s="44">
        <f t="shared" si="267"/>
        <v>8.3973806312050439</v>
      </c>
      <c r="AC96" s="14">
        <f t="shared" si="267"/>
        <v>8.3973806312050439</v>
      </c>
      <c r="AD96" s="13">
        <f t="shared" si="267"/>
        <v>0.1957591064224676</v>
      </c>
      <c r="AE96" s="44" t="e">
        <f t="shared" si="267"/>
        <v>#DIV/0!</v>
      </c>
      <c r="AF96" s="44">
        <f t="shared" si="267"/>
        <v>4.6775716373658742</v>
      </c>
      <c r="AG96" s="14">
        <f t="shared" si="267"/>
        <v>4.6775716373658742</v>
      </c>
      <c r="AH96" s="13">
        <f t="shared" si="267"/>
        <v>6.1196174122711779</v>
      </c>
      <c r="AI96" s="44">
        <f t="shared" si="267"/>
        <v>8.8493847344642411</v>
      </c>
      <c r="AJ96" s="44">
        <f t="shared" si="267"/>
        <v>4.8230969954805314</v>
      </c>
      <c r="AK96" s="14">
        <f t="shared" ref="AK96:BP96" si="268">(1/AK51)*(EXP(AK51*AK93)-AK51*AK93-1)/AK95</f>
        <v>4.8230969954805314</v>
      </c>
      <c r="AL96" s="13" t="e">
        <f t="shared" si="268"/>
        <v>#DIV/0!</v>
      </c>
      <c r="AM96" s="44" t="e">
        <f t="shared" si="268"/>
        <v>#DIV/0!</v>
      </c>
      <c r="AN96" s="44" t="e">
        <f t="shared" si="268"/>
        <v>#DIV/0!</v>
      </c>
      <c r="AO96" s="14" t="e">
        <f t="shared" si="268"/>
        <v>#DIV/0!</v>
      </c>
      <c r="AP96" s="13" t="e">
        <f t="shared" si="268"/>
        <v>#DIV/0!</v>
      </c>
      <c r="AQ96" s="44" t="e">
        <f t="shared" si="268"/>
        <v>#DIV/0!</v>
      </c>
      <c r="AR96" s="44" t="e">
        <f t="shared" si="268"/>
        <v>#DIV/0!</v>
      </c>
      <c r="AS96" s="14" t="e">
        <f t="shared" si="268"/>
        <v>#DIV/0!</v>
      </c>
      <c r="AT96" s="13" t="e">
        <f t="shared" si="268"/>
        <v>#DIV/0!</v>
      </c>
      <c r="AU96" s="44" t="e">
        <f t="shared" si="268"/>
        <v>#DIV/0!</v>
      </c>
      <c r="AV96" s="44" t="e">
        <f t="shared" si="268"/>
        <v>#DIV/0!</v>
      </c>
      <c r="AW96" s="14" t="e">
        <f t="shared" si="268"/>
        <v>#DIV/0!</v>
      </c>
      <c r="AX96" s="13" t="e">
        <f t="shared" si="268"/>
        <v>#DIV/0!</v>
      </c>
      <c r="AY96" s="44" t="e">
        <f t="shared" si="268"/>
        <v>#DIV/0!</v>
      </c>
      <c r="AZ96" s="44" t="e">
        <f t="shared" si="268"/>
        <v>#DIV/0!</v>
      </c>
      <c r="BA96" s="14" t="e">
        <f t="shared" si="268"/>
        <v>#DIV/0!</v>
      </c>
      <c r="BB96" s="13" t="e">
        <f t="shared" si="268"/>
        <v>#DIV/0!</v>
      </c>
      <c r="BC96" s="44" t="e">
        <f t="shared" si="268"/>
        <v>#DIV/0!</v>
      </c>
      <c r="BD96" s="44" t="e">
        <f t="shared" si="268"/>
        <v>#DIV/0!</v>
      </c>
      <c r="BE96" s="14" t="e">
        <f t="shared" si="268"/>
        <v>#DIV/0!</v>
      </c>
      <c r="BF96" s="13" t="e">
        <f t="shared" si="268"/>
        <v>#DIV/0!</v>
      </c>
      <c r="BG96" s="44" t="e">
        <f t="shared" si="268"/>
        <v>#DIV/0!</v>
      </c>
      <c r="BH96" s="44" t="e">
        <f t="shared" si="268"/>
        <v>#DIV/0!</v>
      </c>
      <c r="BI96" s="14" t="e">
        <f t="shared" si="268"/>
        <v>#DIV/0!</v>
      </c>
      <c r="BJ96" s="13" t="e">
        <f t="shared" si="268"/>
        <v>#DIV/0!</v>
      </c>
      <c r="BK96" s="44" t="e">
        <f t="shared" si="268"/>
        <v>#DIV/0!</v>
      </c>
      <c r="BL96" s="44" t="e">
        <f t="shared" si="268"/>
        <v>#DIV/0!</v>
      </c>
      <c r="BM96" s="14" t="e">
        <f t="shared" si="268"/>
        <v>#DIV/0!</v>
      </c>
      <c r="BN96" s="13" t="e">
        <f t="shared" si="268"/>
        <v>#DIV/0!</v>
      </c>
      <c r="BO96" s="44" t="e">
        <f t="shared" si="268"/>
        <v>#DIV/0!</v>
      </c>
      <c r="BP96" s="44" t="e">
        <f t="shared" si="268"/>
        <v>#DIV/0!</v>
      </c>
      <c r="BQ96" s="14" t="e">
        <f t="shared" ref="BQ96:CV96" si="269">(1/BQ51)*(EXP(BQ51*BQ93)-BQ51*BQ93-1)/BQ95</f>
        <v>#DIV/0!</v>
      </c>
      <c r="BR96" s="13" t="e">
        <f t="shared" si="269"/>
        <v>#DIV/0!</v>
      </c>
      <c r="BS96" s="44" t="e">
        <f t="shared" si="269"/>
        <v>#DIV/0!</v>
      </c>
      <c r="BT96" s="44" t="e">
        <f t="shared" si="269"/>
        <v>#DIV/0!</v>
      </c>
      <c r="BU96" s="14" t="e">
        <f t="shared" si="269"/>
        <v>#DIV/0!</v>
      </c>
      <c r="BV96" s="13" t="e">
        <f t="shared" si="269"/>
        <v>#DIV/0!</v>
      </c>
      <c r="BW96" s="44" t="e">
        <f t="shared" si="269"/>
        <v>#DIV/0!</v>
      </c>
      <c r="BX96" s="44" t="e">
        <f t="shared" si="269"/>
        <v>#DIV/0!</v>
      </c>
      <c r="BY96" s="14" t="e">
        <f t="shared" si="269"/>
        <v>#DIV/0!</v>
      </c>
      <c r="BZ96" s="13" t="e">
        <f t="shared" si="269"/>
        <v>#DIV/0!</v>
      </c>
      <c r="CA96" s="44" t="e">
        <f t="shared" si="269"/>
        <v>#DIV/0!</v>
      </c>
      <c r="CB96" s="44" t="e">
        <f t="shared" si="269"/>
        <v>#DIV/0!</v>
      </c>
      <c r="CC96" s="14" t="e">
        <f t="shared" si="269"/>
        <v>#DIV/0!</v>
      </c>
      <c r="CD96" s="13" t="e">
        <f t="shared" si="269"/>
        <v>#DIV/0!</v>
      </c>
      <c r="CE96" s="44" t="e">
        <f t="shared" si="269"/>
        <v>#DIV/0!</v>
      </c>
      <c r="CF96" s="44" t="e">
        <f t="shared" si="269"/>
        <v>#DIV/0!</v>
      </c>
      <c r="CG96" s="14" t="e">
        <f t="shared" si="269"/>
        <v>#DIV/0!</v>
      </c>
      <c r="CH96" s="13" t="e">
        <f t="shared" si="269"/>
        <v>#DIV/0!</v>
      </c>
      <c r="CI96" s="44" t="e">
        <f t="shared" si="269"/>
        <v>#DIV/0!</v>
      </c>
      <c r="CJ96" s="44" t="e">
        <f t="shared" si="269"/>
        <v>#DIV/0!</v>
      </c>
      <c r="CK96" s="14" t="e">
        <f t="shared" si="269"/>
        <v>#DIV/0!</v>
      </c>
      <c r="CL96" s="49"/>
      <c r="CM96" s="28"/>
    </row>
    <row r="97" spans="2:91" x14ac:dyDescent="0.25">
      <c r="B97" s="55"/>
      <c r="C97" s="10" t="s">
        <v>286</v>
      </c>
      <c r="D97" s="93" t="s">
        <v>392</v>
      </c>
      <c r="E97" s="125" t="e">
        <f t="shared" ref="E97:AJ97" si="270">((1/E51) - (E93+(1/E51))*EXP(-E51*E93))/(1-EXP(-E51*E93))</f>
        <v>#DIV/0!</v>
      </c>
      <c r="F97" s="13">
        <f t="shared" si="270"/>
        <v>2.4332615874099748</v>
      </c>
      <c r="G97" s="44">
        <f t="shared" si="270"/>
        <v>2.4332615874099748</v>
      </c>
      <c r="H97" s="44">
        <f t="shared" si="270"/>
        <v>2.8057691156002842</v>
      </c>
      <c r="I97" s="14">
        <f t="shared" si="270"/>
        <v>2.8057691156002842</v>
      </c>
      <c r="J97" s="13">
        <f t="shared" si="270"/>
        <v>3.4489648452756025</v>
      </c>
      <c r="K97" s="44" t="e">
        <f t="shared" si="270"/>
        <v>#DIV/0!</v>
      </c>
      <c r="L97" s="44">
        <f t="shared" si="270"/>
        <v>3.2020227529911507</v>
      </c>
      <c r="M97" s="14">
        <f t="shared" si="270"/>
        <v>3.2020227529911507</v>
      </c>
      <c r="N97" s="13">
        <f t="shared" si="270"/>
        <v>2.5196415632244276</v>
      </c>
      <c r="O97" s="44">
        <f t="shared" si="270"/>
        <v>2.7639708282404492</v>
      </c>
      <c r="P97" s="44">
        <f t="shared" si="270"/>
        <v>2.7488163618219912</v>
      </c>
      <c r="Q97" s="14">
        <f t="shared" si="270"/>
        <v>2.8554874120390261</v>
      </c>
      <c r="R97" s="13">
        <f t="shared" si="270"/>
        <v>2.8322749508888792</v>
      </c>
      <c r="S97" s="44" t="e">
        <f t="shared" si="270"/>
        <v>#DIV/0!</v>
      </c>
      <c r="T97" s="44">
        <f t="shared" si="270"/>
        <v>2.6300427290951114</v>
      </c>
      <c r="U97" s="14">
        <f t="shared" si="270"/>
        <v>2.6300427290951114</v>
      </c>
      <c r="V97" s="13">
        <f t="shared" si="270"/>
        <v>4.9624461960777069</v>
      </c>
      <c r="W97" s="44" t="e">
        <f t="shared" si="270"/>
        <v>#DIV/0!</v>
      </c>
      <c r="X97" s="44">
        <f t="shared" si="270"/>
        <v>2.6371026224876664</v>
      </c>
      <c r="Y97" s="14">
        <f t="shared" si="270"/>
        <v>2.6371026224876664</v>
      </c>
      <c r="Z97" s="13">
        <f t="shared" si="270"/>
        <v>3.1054266028734694</v>
      </c>
      <c r="AA97" s="44" t="e">
        <f t="shared" si="270"/>
        <v>#DIV/0!</v>
      </c>
      <c r="AB97" s="44">
        <f t="shared" si="270"/>
        <v>2.7927701809569401</v>
      </c>
      <c r="AC97" s="14">
        <f t="shared" si="270"/>
        <v>2.7927701809569401</v>
      </c>
      <c r="AD97" s="13">
        <f t="shared" si="270"/>
        <v>3.1242760293694785</v>
      </c>
      <c r="AE97" s="44" t="e">
        <f t="shared" si="270"/>
        <v>#DIV/0!</v>
      </c>
      <c r="AF97" s="44">
        <f t="shared" si="270"/>
        <v>2.4796668650958331</v>
      </c>
      <c r="AG97" s="14">
        <f t="shared" si="270"/>
        <v>2.4796668650958331</v>
      </c>
      <c r="AH97" s="13">
        <f t="shared" si="270"/>
        <v>2.5651431085513998</v>
      </c>
      <c r="AI97" s="44">
        <f t="shared" si="270"/>
        <v>2.8579494330526645</v>
      </c>
      <c r="AJ97" s="44">
        <f t="shared" si="270"/>
        <v>2.9902703767603107</v>
      </c>
      <c r="AK97" s="14">
        <f t="shared" ref="AK97:BP97" si="271">((1/AK51) - (AK93+(1/AK51))*EXP(-AK51*AK93))/(1-EXP(-AK51*AK93))</f>
        <v>2.9902703767603107</v>
      </c>
      <c r="AL97" s="13" t="e">
        <f t="shared" si="271"/>
        <v>#DIV/0!</v>
      </c>
      <c r="AM97" s="44" t="e">
        <f t="shared" si="271"/>
        <v>#DIV/0!</v>
      </c>
      <c r="AN97" s="44" t="e">
        <f t="shared" si="271"/>
        <v>#DIV/0!</v>
      </c>
      <c r="AO97" s="14" t="e">
        <f t="shared" si="271"/>
        <v>#DIV/0!</v>
      </c>
      <c r="AP97" s="13" t="e">
        <f t="shared" si="271"/>
        <v>#DIV/0!</v>
      </c>
      <c r="AQ97" s="44" t="e">
        <f t="shared" si="271"/>
        <v>#DIV/0!</v>
      </c>
      <c r="AR97" s="44" t="e">
        <f t="shared" si="271"/>
        <v>#DIV/0!</v>
      </c>
      <c r="AS97" s="14" t="e">
        <f t="shared" si="271"/>
        <v>#DIV/0!</v>
      </c>
      <c r="AT97" s="13" t="e">
        <f t="shared" si="271"/>
        <v>#DIV/0!</v>
      </c>
      <c r="AU97" s="44" t="e">
        <f t="shared" si="271"/>
        <v>#DIV/0!</v>
      </c>
      <c r="AV97" s="44" t="e">
        <f t="shared" si="271"/>
        <v>#DIV/0!</v>
      </c>
      <c r="AW97" s="14" t="e">
        <f t="shared" si="271"/>
        <v>#DIV/0!</v>
      </c>
      <c r="AX97" s="13" t="e">
        <f t="shared" si="271"/>
        <v>#DIV/0!</v>
      </c>
      <c r="AY97" s="44" t="e">
        <f t="shared" si="271"/>
        <v>#DIV/0!</v>
      </c>
      <c r="AZ97" s="44" t="e">
        <f t="shared" si="271"/>
        <v>#DIV/0!</v>
      </c>
      <c r="BA97" s="14" t="e">
        <f t="shared" si="271"/>
        <v>#DIV/0!</v>
      </c>
      <c r="BB97" s="13" t="e">
        <f t="shared" si="271"/>
        <v>#DIV/0!</v>
      </c>
      <c r="BC97" s="44" t="e">
        <f t="shared" si="271"/>
        <v>#DIV/0!</v>
      </c>
      <c r="BD97" s="44" t="e">
        <f t="shared" si="271"/>
        <v>#DIV/0!</v>
      </c>
      <c r="BE97" s="14" t="e">
        <f t="shared" si="271"/>
        <v>#DIV/0!</v>
      </c>
      <c r="BF97" s="13" t="e">
        <f t="shared" si="271"/>
        <v>#DIV/0!</v>
      </c>
      <c r="BG97" s="44" t="e">
        <f t="shared" si="271"/>
        <v>#DIV/0!</v>
      </c>
      <c r="BH97" s="44" t="e">
        <f t="shared" si="271"/>
        <v>#DIV/0!</v>
      </c>
      <c r="BI97" s="14" t="e">
        <f t="shared" si="271"/>
        <v>#DIV/0!</v>
      </c>
      <c r="BJ97" s="13" t="e">
        <f t="shared" si="271"/>
        <v>#DIV/0!</v>
      </c>
      <c r="BK97" s="44" t="e">
        <f t="shared" si="271"/>
        <v>#DIV/0!</v>
      </c>
      <c r="BL97" s="44" t="e">
        <f t="shared" si="271"/>
        <v>#DIV/0!</v>
      </c>
      <c r="BM97" s="14" t="e">
        <f t="shared" si="271"/>
        <v>#DIV/0!</v>
      </c>
      <c r="BN97" s="13" t="e">
        <f t="shared" si="271"/>
        <v>#DIV/0!</v>
      </c>
      <c r="BO97" s="44" t="e">
        <f t="shared" si="271"/>
        <v>#DIV/0!</v>
      </c>
      <c r="BP97" s="44" t="e">
        <f t="shared" si="271"/>
        <v>#DIV/0!</v>
      </c>
      <c r="BQ97" s="14" t="e">
        <f t="shared" ref="BQ97:CK97" si="272">((1/BQ51) - (BQ93+(1/BQ51))*EXP(-BQ51*BQ93))/(1-EXP(-BQ51*BQ93))</f>
        <v>#DIV/0!</v>
      </c>
      <c r="BR97" s="13" t="e">
        <f t="shared" si="272"/>
        <v>#DIV/0!</v>
      </c>
      <c r="BS97" s="44" t="e">
        <f t="shared" si="272"/>
        <v>#DIV/0!</v>
      </c>
      <c r="BT97" s="44" t="e">
        <f t="shared" si="272"/>
        <v>#DIV/0!</v>
      </c>
      <c r="BU97" s="14" t="e">
        <f t="shared" si="272"/>
        <v>#DIV/0!</v>
      </c>
      <c r="BV97" s="13" t="e">
        <f t="shared" si="272"/>
        <v>#DIV/0!</v>
      </c>
      <c r="BW97" s="44" t="e">
        <f t="shared" si="272"/>
        <v>#DIV/0!</v>
      </c>
      <c r="BX97" s="44" t="e">
        <f t="shared" si="272"/>
        <v>#DIV/0!</v>
      </c>
      <c r="BY97" s="14" t="e">
        <f t="shared" si="272"/>
        <v>#DIV/0!</v>
      </c>
      <c r="BZ97" s="13" t="e">
        <f t="shared" si="272"/>
        <v>#DIV/0!</v>
      </c>
      <c r="CA97" s="44" t="e">
        <f t="shared" si="272"/>
        <v>#DIV/0!</v>
      </c>
      <c r="CB97" s="44" t="e">
        <f t="shared" si="272"/>
        <v>#DIV/0!</v>
      </c>
      <c r="CC97" s="14" t="e">
        <f t="shared" si="272"/>
        <v>#DIV/0!</v>
      </c>
      <c r="CD97" s="13" t="e">
        <f t="shared" si="272"/>
        <v>#DIV/0!</v>
      </c>
      <c r="CE97" s="44" t="e">
        <f t="shared" si="272"/>
        <v>#DIV/0!</v>
      </c>
      <c r="CF97" s="44" t="e">
        <f t="shared" si="272"/>
        <v>#DIV/0!</v>
      </c>
      <c r="CG97" s="14" t="e">
        <f t="shared" si="272"/>
        <v>#DIV/0!</v>
      </c>
      <c r="CH97" s="13" t="e">
        <f t="shared" si="272"/>
        <v>#DIV/0!</v>
      </c>
      <c r="CI97" s="44" t="e">
        <f t="shared" si="272"/>
        <v>#DIV/0!</v>
      </c>
      <c r="CJ97" s="44" t="e">
        <f t="shared" si="272"/>
        <v>#DIV/0!</v>
      </c>
      <c r="CK97" s="14" t="e">
        <f t="shared" si="272"/>
        <v>#DIV/0!</v>
      </c>
      <c r="CL97" s="49"/>
      <c r="CM97" s="28"/>
    </row>
    <row r="98" spans="2:91" x14ac:dyDescent="0.25">
      <c r="B98" s="55"/>
      <c r="C98" s="10" t="s">
        <v>285</v>
      </c>
      <c r="D98" s="93" t="s">
        <v>295</v>
      </c>
      <c r="E98" s="127">
        <f t="shared" ref="E98:AJ98" si="273">ROUND(1/EXP(-E51*E93),0)</f>
        <v>1</v>
      </c>
      <c r="F98" s="13">
        <f t="shared" si="273"/>
        <v>15</v>
      </c>
      <c r="G98" s="44">
        <f t="shared" si="273"/>
        <v>15</v>
      </c>
      <c r="H98" s="44">
        <f t="shared" si="273"/>
        <v>15</v>
      </c>
      <c r="I98" s="14">
        <f t="shared" si="273"/>
        <v>15</v>
      </c>
      <c r="J98" s="13">
        <f t="shared" si="273"/>
        <v>1</v>
      </c>
      <c r="K98" s="44" t="e">
        <f t="shared" si="273"/>
        <v>#DIV/0!</v>
      </c>
      <c r="L98" s="44">
        <f t="shared" si="273"/>
        <v>3</v>
      </c>
      <c r="M98" s="14">
        <f t="shared" si="273"/>
        <v>3</v>
      </c>
      <c r="N98" s="13">
        <f t="shared" si="273"/>
        <v>20</v>
      </c>
      <c r="O98" s="44">
        <f t="shared" si="273"/>
        <v>56</v>
      </c>
      <c r="P98" s="44">
        <f t="shared" si="273"/>
        <v>7</v>
      </c>
      <c r="Q98" s="14">
        <f t="shared" si="273"/>
        <v>7</v>
      </c>
      <c r="R98" s="13">
        <f t="shared" si="273"/>
        <v>1</v>
      </c>
      <c r="S98" s="44" t="e">
        <f t="shared" si="273"/>
        <v>#DIV/0!</v>
      </c>
      <c r="T98" s="44">
        <f t="shared" si="273"/>
        <v>9</v>
      </c>
      <c r="U98" s="14">
        <f t="shared" si="273"/>
        <v>9</v>
      </c>
      <c r="V98" s="13">
        <f t="shared" si="273"/>
        <v>1</v>
      </c>
      <c r="W98" s="44" t="e">
        <f t="shared" si="273"/>
        <v>#DIV/0!</v>
      </c>
      <c r="X98" s="44">
        <f t="shared" si="273"/>
        <v>7</v>
      </c>
      <c r="Y98" s="14">
        <f t="shared" si="273"/>
        <v>7</v>
      </c>
      <c r="Z98" s="13">
        <f t="shared" si="273"/>
        <v>1</v>
      </c>
      <c r="AA98" s="44" t="e">
        <f t="shared" si="273"/>
        <v>#DIV/0!</v>
      </c>
      <c r="AB98" s="44">
        <f t="shared" si="273"/>
        <v>4</v>
      </c>
      <c r="AC98" s="14">
        <f t="shared" si="273"/>
        <v>4</v>
      </c>
      <c r="AD98" s="13">
        <f t="shared" si="273"/>
        <v>1</v>
      </c>
      <c r="AE98" s="44" t="e">
        <f t="shared" si="273"/>
        <v>#DIV/0!</v>
      </c>
      <c r="AF98" s="44">
        <f t="shared" si="273"/>
        <v>3</v>
      </c>
      <c r="AG98" s="14">
        <f t="shared" si="273"/>
        <v>3</v>
      </c>
      <c r="AH98" s="13">
        <f t="shared" si="273"/>
        <v>3</v>
      </c>
      <c r="AI98" s="44">
        <f t="shared" si="273"/>
        <v>4</v>
      </c>
      <c r="AJ98" s="44">
        <f t="shared" si="273"/>
        <v>3</v>
      </c>
      <c r="AK98" s="14">
        <f t="shared" ref="AK98:BP98" si="274">ROUND(1/EXP(-AK51*AK93),0)</f>
        <v>3</v>
      </c>
      <c r="AL98" s="13" t="e">
        <f t="shared" si="274"/>
        <v>#DIV/0!</v>
      </c>
      <c r="AM98" s="44" t="e">
        <f t="shared" si="274"/>
        <v>#DIV/0!</v>
      </c>
      <c r="AN98" s="44" t="e">
        <f t="shared" si="274"/>
        <v>#DIV/0!</v>
      </c>
      <c r="AO98" s="14" t="e">
        <f t="shared" si="274"/>
        <v>#DIV/0!</v>
      </c>
      <c r="AP98" s="13" t="e">
        <f t="shared" si="274"/>
        <v>#DIV/0!</v>
      </c>
      <c r="AQ98" s="44" t="e">
        <f t="shared" si="274"/>
        <v>#DIV/0!</v>
      </c>
      <c r="AR98" s="44" t="e">
        <f t="shared" si="274"/>
        <v>#DIV/0!</v>
      </c>
      <c r="AS98" s="14" t="e">
        <f t="shared" si="274"/>
        <v>#DIV/0!</v>
      </c>
      <c r="AT98" s="13" t="e">
        <f t="shared" si="274"/>
        <v>#DIV/0!</v>
      </c>
      <c r="AU98" s="44" t="e">
        <f t="shared" si="274"/>
        <v>#DIV/0!</v>
      </c>
      <c r="AV98" s="44" t="e">
        <f t="shared" si="274"/>
        <v>#DIV/0!</v>
      </c>
      <c r="AW98" s="14" t="e">
        <f t="shared" si="274"/>
        <v>#DIV/0!</v>
      </c>
      <c r="AX98" s="13" t="e">
        <f t="shared" si="274"/>
        <v>#DIV/0!</v>
      </c>
      <c r="AY98" s="44" t="e">
        <f t="shared" si="274"/>
        <v>#DIV/0!</v>
      </c>
      <c r="AZ98" s="44" t="e">
        <f t="shared" si="274"/>
        <v>#DIV/0!</v>
      </c>
      <c r="BA98" s="14" t="e">
        <f t="shared" si="274"/>
        <v>#DIV/0!</v>
      </c>
      <c r="BB98" s="13" t="e">
        <f t="shared" si="274"/>
        <v>#DIV/0!</v>
      </c>
      <c r="BC98" s="44" t="e">
        <f t="shared" si="274"/>
        <v>#DIV/0!</v>
      </c>
      <c r="BD98" s="44" t="e">
        <f t="shared" si="274"/>
        <v>#DIV/0!</v>
      </c>
      <c r="BE98" s="14" t="e">
        <f t="shared" si="274"/>
        <v>#DIV/0!</v>
      </c>
      <c r="BF98" s="13" t="e">
        <f t="shared" si="274"/>
        <v>#DIV/0!</v>
      </c>
      <c r="BG98" s="44" t="e">
        <f t="shared" si="274"/>
        <v>#DIV/0!</v>
      </c>
      <c r="BH98" s="44" t="e">
        <f t="shared" si="274"/>
        <v>#DIV/0!</v>
      </c>
      <c r="BI98" s="14" t="e">
        <f t="shared" si="274"/>
        <v>#DIV/0!</v>
      </c>
      <c r="BJ98" s="13" t="e">
        <f t="shared" si="274"/>
        <v>#DIV/0!</v>
      </c>
      <c r="BK98" s="44" t="e">
        <f t="shared" si="274"/>
        <v>#DIV/0!</v>
      </c>
      <c r="BL98" s="44" t="e">
        <f t="shared" si="274"/>
        <v>#DIV/0!</v>
      </c>
      <c r="BM98" s="14" t="e">
        <f t="shared" si="274"/>
        <v>#DIV/0!</v>
      </c>
      <c r="BN98" s="13" t="e">
        <f t="shared" si="274"/>
        <v>#DIV/0!</v>
      </c>
      <c r="BO98" s="44" t="e">
        <f t="shared" si="274"/>
        <v>#DIV/0!</v>
      </c>
      <c r="BP98" s="44" t="e">
        <f t="shared" si="274"/>
        <v>#DIV/0!</v>
      </c>
      <c r="BQ98" s="14" t="e">
        <f t="shared" ref="BQ98:CK98" si="275">ROUND(1/EXP(-BQ51*BQ93),0)</f>
        <v>#DIV/0!</v>
      </c>
      <c r="BR98" s="13" t="e">
        <f t="shared" si="275"/>
        <v>#DIV/0!</v>
      </c>
      <c r="BS98" s="44" t="e">
        <f t="shared" si="275"/>
        <v>#DIV/0!</v>
      </c>
      <c r="BT98" s="44" t="e">
        <f t="shared" si="275"/>
        <v>#DIV/0!</v>
      </c>
      <c r="BU98" s="14" t="e">
        <f t="shared" si="275"/>
        <v>#DIV/0!</v>
      </c>
      <c r="BV98" s="13" t="e">
        <f t="shared" si="275"/>
        <v>#DIV/0!</v>
      </c>
      <c r="BW98" s="44" t="e">
        <f t="shared" si="275"/>
        <v>#DIV/0!</v>
      </c>
      <c r="BX98" s="44" t="e">
        <f t="shared" si="275"/>
        <v>#DIV/0!</v>
      </c>
      <c r="BY98" s="14" t="e">
        <f t="shared" si="275"/>
        <v>#DIV/0!</v>
      </c>
      <c r="BZ98" s="13" t="e">
        <f t="shared" si="275"/>
        <v>#DIV/0!</v>
      </c>
      <c r="CA98" s="44" t="e">
        <f t="shared" si="275"/>
        <v>#DIV/0!</v>
      </c>
      <c r="CB98" s="44" t="e">
        <f t="shared" si="275"/>
        <v>#DIV/0!</v>
      </c>
      <c r="CC98" s="14" t="e">
        <f t="shared" si="275"/>
        <v>#DIV/0!</v>
      </c>
      <c r="CD98" s="13" t="e">
        <f t="shared" si="275"/>
        <v>#DIV/0!</v>
      </c>
      <c r="CE98" s="44" t="e">
        <f t="shared" si="275"/>
        <v>#DIV/0!</v>
      </c>
      <c r="CF98" s="44" t="e">
        <f t="shared" si="275"/>
        <v>#DIV/0!</v>
      </c>
      <c r="CG98" s="14" t="e">
        <f t="shared" si="275"/>
        <v>#DIV/0!</v>
      </c>
      <c r="CH98" s="13" t="e">
        <f t="shared" si="275"/>
        <v>#DIV/0!</v>
      </c>
      <c r="CI98" s="44" t="e">
        <f t="shared" si="275"/>
        <v>#DIV/0!</v>
      </c>
      <c r="CJ98" s="44" t="e">
        <f t="shared" si="275"/>
        <v>#DIV/0!</v>
      </c>
      <c r="CK98" s="14" t="e">
        <f t="shared" si="275"/>
        <v>#DIV/0!</v>
      </c>
      <c r="CL98" s="49"/>
      <c r="CM98" s="28"/>
    </row>
    <row r="99" spans="2:91" ht="14.25" x14ac:dyDescent="0.25">
      <c r="B99" s="55"/>
      <c r="C99" s="10" t="s">
        <v>306</v>
      </c>
      <c r="D99" s="93" t="s">
        <v>393</v>
      </c>
      <c r="E99" s="125" t="e" cm="1">
        <f t="array" ref="E99">PEDBIKE_DELAY(E79,E51,E32,E33,E41,E42,E39,E11,FALSE)</f>
        <v>#VALUE!</v>
      </c>
      <c r="F99" s="13" cm="1">
        <f t="array" ref="F99">PEDBIKE_DELAY(F79,F51,F32,F33,F41,F42,F39,F11,FALSE)</f>
        <v>20.174962664478521</v>
      </c>
      <c r="G99" s="44" cm="1">
        <f t="array" ref="G99">PEDBIKE_DELAY(G79,G51,G32,G33,G41,G42,G39,G11,FALSE)</f>
        <v>20.174962664478521</v>
      </c>
      <c r="H99" s="44" cm="1">
        <f t="array" ref="H99">PEDBIKE_DELAY(H79,H51,H32,H33,H41,H42,H39,H11,FALSE)</f>
        <v>9.1145973975573789</v>
      </c>
      <c r="I99" s="14" cm="1">
        <f t="array" ref="I99">PEDBIKE_DELAY(I79,I51,I32,I33,I41,I42,I39,I11,FALSE)</f>
        <v>9.1145973975573789</v>
      </c>
      <c r="J99" s="13" cm="1">
        <f t="array" ref="J99">PEDBIKE_DELAY(J79,J51,J32,J33,J41,J42,J39,J11,FALSE)</f>
        <v>0.21857059511772522</v>
      </c>
      <c r="K99" s="44" t="e" cm="1">
        <f t="array" ref="K99">PEDBIKE_DELAY(K79,K51,K32,K33,K41,K42,K39,K11,FALSE)</f>
        <v>#VALUE!</v>
      </c>
      <c r="L99" s="44" cm="1">
        <f t="array" ref="L99">PEDBIKE_DELAY(L79,L51,L32,L33,L41,L42,L39,L11,FALSE)</f>
        <v>2.2984804500930873</v>
      </c>
      <c r="M99" s="14" cm="1">
        <f t="array" ref="M99">PEDBIKE_DELAY(M79,M51,M32,M33,M41,M42,M39,M11,FALSE)</f>
        <v>2.2984804500930873</v>
      </c>
      <c r="N99" s="13" cm="1">
        <f t="array" ref="N99">PEDBIKE_DELAY(N79,N51,N32,N33,N41,N42,N39,N11,FALSE)</f>
        <v>10.288884870797826</v>
      </c>
      <c r="O99" s="44" cm="1">
        <f t="array" ref="O99">PEDBIKE_DELAY(O79,O51,O32,O33,O41,O42,O39,O11,FALSE)</f>
        <v>12.922123130260676</v>
      </c>
      <c r="P99" s="44" cm="1">
        <f t="array" ref="P99">PEDBIKE_DELAY(P79,P51,P32,P33,P41,P42,P39,P11,FALSE)</f>
        <v>9.7450827143119056</v>
      </c>
      <c r="Q99" s="14" cm="1">
        <f t="array" ref="Q99">PEDBIKE_DELAY(Q79,Q51,Q32,Q33,Q41,Q42,Q39,Q11,FALSE)</f>
        <v>25.981558527375704</v>
      </c>
      <c r="R99" s="13" cm="1">
        <f t="array" ref="R99">PEDBIKE_DELAY(R79,R51,R32,R33,R41,R42,R39,R11,FALSE)</f>
        <v>0.43173173919395941</v>
      </c>
      <c r="S99" s="44" t="e" cm="1">
        <f t="array" ref="S99">PEDBIKE_DELAY(S79,S51,S32,S33,S41,S42,S39,S11,FALSE)</f>
        <v>#VALUE!</v>
      </c>
      <c r="T99" s="44" cm="1">
        <f t="array" ref="T99">PEDBIKE_DELAY(T79,T51,T32,T33,T41,T42,T39,T11,FALSE)</f>
        <v>2.6262668404005263</v>
      </c>
      <c r="U99" s="14" cm="1">
        <f t="array" ref="U99">PEDBIKE_DELAY(U79,U51,U32,U33,U41,U42,U39,U11,FALSE)</f>
        <v>2.6262668404005263</v>
      </c>
      <c r="V99" s="13" cm="1">
        <f t="array" ref="V99">PEDBIKE_DELAY(V79,V51,V32,V33,V41,V42,V39,V11,FALSE)</f>
        <v>0.39615026343270676</v>
      </c>
      <c r="W99" s="44" t="e" cm="1">
        <f t="array" ref="W99">PEDBIKE_DELAY(W79,W51,W32,W33,W41,W42,W39,W11,FALSE)</f>
        <v>#VALUE!</v>
      </c>
      <c r="X99" s="44" cm="1">
        <f t="array" ref="X99">PEDBIKE_DELAY(X79,X51,X32,X33,X41,X42,X39,X11,FALSE)</f>
        <v>16.247419530875078</v>
      </c>
      <c r="Y99" s="14" cm="1">
        <f t="array" ref="Y99">PEDBIKE_DELAY(Y79,Y51,Y32,Y33,Y41,Y42,Y39,Y11,FALSE)</f>
        <v>16.247419530875078</v>
      </c>
      <c r="Z99" s="13" cm="1">
        <f t="array" ref="Z99">PEDBIKE_DELAY(Z79,Z51,Z32,Z33,Z41,Z42,Z39,Z11,FALSE)</f>
        <v>0.56371919902324574</v>
      </c>
      <c r="AA99" s="44" t="e" cm="1">
        <f t="array" ref="AA99">PEDBIKE_DELAY(AA79,AA51,AA32,AA33,AA41,AA42,AA39,AA11,FALSE)</f>
        <v>#VALUE!</v>
      </c>
      <c r="AB99" s="44" cm="1">
        <f t="array" ref="AB99">PEDBIKE_DELAY(AB79,AB51,AB32,AB33,AB41,AB42,AB39,AB11,FALSE)</f>
        <v>2.4202840636756742</v>
      </c>
      <c r="AC99" s="14" cm="1">
        <f t="array" ref="AC99">PEDBIKE_DELAY(AC79,AC51,AC32,AC33,AC41,AC42,AC39,AC11,FALSE)</f>
        <v>2.4202840636756742</v>
      </c>
      <c r="AD99" s="13" cm="1">
        <f t="array" ref="AD99">PEDBIKE_DELAY(AD79,AD51,AD32,AD33,AD41,AD42,AD39,AD11,FALSE)</f>
        <v>5.9655295837268869E-2</v>
      </c>
      <c r="AE99" s="44" t="e" cm="1">
        <f t="array" ref="AE99">PEDBIKE_DELAY(AE79,AE51,AE32,AE33,AE41,AE42,AE39,AE11,FALSE)</f>
        <v>#VALUE!</v>
      </c>
      <c r="AF99" s="44" cm="1">
        <f t="array" ref="AF99">PEDBIKE_DELAY(AF79,AF51,AF32,AF33,AF41,AF42,AF39,AF11,FALSE)</f>
        <v>1.9542294887704328</v>
      </c>
      <c r="AG99" s="14" cm="1">
        <f t="array" ref="AG99">PEDBIKE_DELAY(AG79,AG51,AG32,AG33,AG41,AG42,AG39,AG11,FALSE)</f>
        <v>1.9542294887704328</v>
      </c>
      <c r="AH99" s="13" cm="1">
        <f t="array" ref="AH99">PEDBIKE_DELAY(AH79,AH51,AH32,AH33,AH41,AH42,AH39,AH11,FALSE)</f>
        <v>3.173872441937716</v>
      </c>
      <c r="AI99" s="44" cm="1">
        <f t="array" ref="AI99">PEDBIKE_DELAY(AI79,AI51,AI32,AI33,AI41,AI42,AI39,AI11,FALSE)</f>
        <v>3.173872441937716</v>
      </c>
      <c r="AJ99" s="44" cm="1">
        <f t="array" ref="AJ99">PEDBIKE_DELAY(AJ79,AJ51,AJ32,AJ33,AJ41,AJ42,AJ39,AJ11,FALSE)</f>
        <v>1.4896871073996458</v>
      </c>
      <c r="AK99" s="14" cm="1">
        <f t="array" ref="AK99">PEDBIKE_DELAY(AK79,AK51,AK32,AK33,AK41,AK42,AK39,AK11,FALSE)</f>
        <v>2.3380510338355323</v>
      </c>
      <c r="AL99" s="13" t="e" cm="1">
        <f t="array" ref="AL99">PEDBIKE_DELAY(AL79,AL51,AL32,AL33,AL41,AL42,AL39,AL11,FALSE)</f>
        <v>#VALUE!</v>
      </c>
      <c r="AM99" s="44" t="e" cm="1">
        <f t="array" ref="AM99">PEDBIKE_DELAY(AM79,AM51,AM32,AM33,AM41,AM42,AM39,AM11,FALSE)</f>
        <v>#VALUE!</v>
      </c>
      <c r="AN99" s="44" t="e" cm="1">
        <f t="array" ref="AN99">PEDBIKE_DELAY(AN79,AN51,AN32,AN33,AN41,AN42,AN39,AN11,FALSE)</f>
        <v>#VALUE!</v>
      </c>
      <c r="AO99" s="14" t="e" cm="1">
        <f t="array" ref="AO99">PEDBIKE_DELAY(AO79,AO51,AO32,AO33,AO41,AO42,AO39,AO11,FALSE)</f>
        <v>#VALUE!</v>
      </c>
      <c r="AP99" s="13" t="e" cm="1">
        <f t="array" ref="AP99">PEDBIKE_DELAY(AP79,AP51,AP32,AP33,AP41,AP42,AP39,AP11,FALSE)</f>
        <v>#VALUE!</v>
      </c>
      <c r="AQ99" s="44" t="e" cm="1">
        <f t="array" ref="AQ99">PEDBIKE_DELAY(AQ79,AQ51,AQ32,AQ33,AQ41,AQ42,AQ39,AQ11,FALSE)</f>
        <v>#VALUE!</v>
      </c>
      <c r="AR99" s="44" t="e" cm="1">
        <f t="array" ref="AR99">PEDBIKE_DELAY(AR79,AR51,AR32,AR33,AR41,AR42,AR39,AR11,FALSE)</f>
        <v>#VALUE!</v>
      </c>
      <c r="AS99" s="14" t="e" cm="1">
        <f t="array" ref="AS99">PEDBIKE_DELAY(AS79,AS51,AS32,AS33,AS41,AS42,AS39,AS11,FALSE)</f>
        <v>#VALUE!</v>
      </c>
      <c r="AT99" s="13" t="e" cm="1">
        <f t="array" ref="AT99">PEDBIKE_DELAY(AT79,AT51,AT32,AT33,AT41,AT42,AT39,AT11,FALSE)</f>
        <v>#VALUE!</v>
      </c>
      <c r="AU99" s="44" t="e" cm="1">
        <f t="array" ref="AU99">PEDBIKE_DELAY(AU79,AU51,AU32,AU33,AU41,AU42,AU39,AU11,FALSE)</f>
        <v>#VALUE!</v>
      </c>
      <c r="AV99" s="44" t="e" cm="1">
        <f t="array" ref="AV99">PEDBIKE_DELAY(AV79,AV51,AV32,AV33,AV41,AV42,AV39,AV11,FALSE)</f>
        <v>#VALUE!</v>
      </c>
      <c r="AW99" s="14" t="e" cm="1">
        <f t="array" ref="AW99">PEDBIKE_DELAY(AW79,AW51,AW32,AW33,AW41,AW42,AW39,AW11,FALSE)</f>
        <v>#VALUE!</v>
      </c>
      <c r="AX99" s="13" t="e" cm="1">
        <f t="array" ref="AX99">PEDBIKE_DELAY(AX79,AX51,AX32,AX33,AX41,AX42,AX39,AX11,FALSE)</f>
        <v>#VALUE!</v>
      </c>
      <c r="AY99" s="44" t="e" cm="1">
        <f t="array" ref="AY99">PEDBIKE_DELAY(AY79,AY51,AY32,AY33,AY41,AY42,AY39,AY11,FALSE)</f>
        <v>#VALUE!</v>
      </c>
      <c r="AZ99" s="44" t="e" cm="1">
        <f t="array" ref="AZ99">PEDBIKE_DELAY(AZ79,AZ51,AZ32,AZ33,AZ41,AZ42,AZ39,AZ11,FALSE)</f>
        <v>#VALUE!</v>
      </c>
      <c r="BA99" s="14" t="e" cm="1">
        <f t="array" ref="BA99">PEDBIKE_DELAY(BA79,BA51,BA32,BA33,BA41,BA42,BA39,BA11,FALSE)</f>
        <v>#VALUE!</v>
      </c>
      <c r="BB99" s="13" t="e" cm="1">
        <f t="array" ref="BB99">PEDBIKE_DELAY(BB79,BB51,BB32,BB33,BB41,BB42,BB39,BB11,FALSE)</f>
        <v>#VALUE!</v>
      </c>
      <c r="BC99" s="44" t="e" cm="1">
        <f t="array" ref="BC99">PEDBIKE_DELAY(BC79,BC51,BC32,BC33,BC41,BC42,BC39,BC11,FALSE)</f>
        <v>#VALUE!</v>
      </c>
      <c r="BD99" s="44" t="e" cm="1">
        <f t="array" ref="BD99">PEDBIKE_DELAY(BD79,BD51,BD32,BD33,BD41,BD42,BD39,BD11,FALSE)</f>
        <v>#VALUE!</v>
      </c>
      <c r="BE99" s="14" t="e" cm="1">
        <f t="array" ref="BE99">PEDBIKE_DELAY(BE79,BE51,BE32,BE33,BE41,BE42,BE39,BE11,FALSE)</f>
        <v>#VALUE!</v>
      </c>
      <c r="BF99" s="13" t="e" cm="1">
        <f t="array" ref="BF99">PEDBIKE_DELAY(BF79,BF51,BF32,BF33,BF41,BF42,BF39,BF11,FALSE)</f>
        <v>#VALUE!</v>
      </c>
      <c r="BG99" s="44" t="e" cm="1">
        <f t="array" ref="BG99">PEDBIKE_DELAY(BG79,BG51,BG32,BG33,BG41,BG42,BG39,BG11,FALSE)</f>
        <v>#VALUE!</v>
      </c>
      <c r="BH99" s="44" t="e" cm="1">
        <f t="array" ref="BH99">PEDBIKE_DELAY(BH79,BH51,BH32,BH33,BH41,BH42,BH39,BH11,FALSE)</f>
        <v>#VALUE!</v>
      </c>
      <c r="BI99" s="14" t="e" cm="1">
        <f t="array" ref="BI99">PEDBIKE_DELAY(BI79,BI51,BI32,BI33,BI41,BI42,BI39,BI11,FALSE)</f>
        <v>#VALUE!</v>
      </c>
      <c r="BJ99" s="13" t="e" cm="1">
        <f t="array" ref="BJ99">PEDBIKE_DELAY(BJ79,BJ51,BJ32,BJ33,BJ41,BJ42,BJ39,BJ11,FALSE)</f>
        <v>#VALUE!</v>
      </c>
      <c r="BK99" s="44" t="e" cm="1">
        <f t="array" ref="BK99">PEDBIKE_DELAY(BK79,BK51,BK32,BK33,BK41,BK42,BK39,BK11,FALSE)</f>
        <v>#VALUE!</v>
      </c>
      <c r="BL99" s="44" t="e" cm="1">
        <f t="array" ref="BL99">PEDBIKE_DELAY(BL79,BL51,BL32,BL33,BL41,BL42,BL39,BL11,FALSE)</f>
        <v>#VALUE!</v>
      </c>
      <c r="BM99" s="14" t="e" cm="1">
        <f t="array" ref="BM99">PEDBIKE_DELAY(BM79,BM51,BM32,BM33,BM41,BM42,BM39,BM11,FALSE)</f>
        <v>#VALUE!</v>
      </c>
      <c r="BN99" s="13" t="e" cm="1">
        <f t="array" ref="BN99">PEDBIKE_DELAY(BN79,BN51,BN32,BN33,BN41,BN42,BN39,BN11,FALSE)</f>
        <v>#VALUE!</v>
      </c>
      <c r="BO99" s="44" t="e" cm="1">
        <f t="array" ref="BO99">PEDBIKE_DELAY(BO79,BO51,BO32,BO33,BO41,BO42,BO39,BO11,FALSE)</f>
        <v>#VALUE!</v>
      </c>
      <c r="BP99" s="44" t="e" cm="1">
        <f t="array" ref="BP99">PEDBIKE_DELAY(BP79,BP51,BP32,BP33,BP41,BP42,BP39,BP11,FALSE)</f>
        <v>#VALUE!</v>
      </c>
      <c r="BQ99" s="14" t="e" cm="1">
        <f t="array" ref="BQ99">PEDBIKE_DELAY(BQ79,BQ51,BQ32,BQ33,BQ41,BQ42,BQ39,BQ11,FALSE)</f>
        <v>#VALUE!</v>
      </c>
      <c r="BR99" s="13" t="e" cm="1">
        <f t="array" ref="BR99">PEDBIKE_DELAY(BR79,BR51,BR32,BR33,BR41,BR42,BR39,BR11,FALSE)</f>
        <v>#VALUE!</v>
      </c>
      <c r="BS99" s="44" t="e" cm="1">
        <f t="array" ref="BS99">PEDBIKE_DELAY(BS79,BS51,BS32,BS33,BS41,BS42,BS39,BS11,FALSE)</f>
        <v>#VALUE!</v>
      </c>
      <c r="BT99" s="44" t="e" cm="1">
        <f t="array" ref="BT99">PEDBIKE_DELAY(BT79,BT51,BT32,BT33,BT41,BT42,BT39,BT11,FALSE)</f>
        <v>#VALUE!</v>
      </c>
      <c r="BU99" s="14" t="e" cm="1">
        <f t="array" ref="BU99">PEDBIKE_DELAY(BU79,BU51,BU32,BU33,BU41,BU42,BU39,BU11,FALSE)</f>
        <v>#VALUE!</v>
      </c>
      <c r="BV99" s="13" t="e" cm="1">
        <f t="array" ref="BV99">PEDBIKE_DELAY(BV79,BV51,BV32,BV33,BV41,BV42,BV39,BV11,FALSE)</f>
        <v>#VALUE!</v>
      </c>
      <c r="BW99" s="44" t="e" cm="1">
        <f t="array" ref="BW99">PEDBIKE_DELAY(BW79,BW51,BW32,BW33,BW41,BW42,BW39,BW11,FALSE)</f>
        <v>#VALUE!</v>
      </c>
      <c r="BX99" s="44" t="e" cm="1">
        <f t="array" ref="BX99">PEDBIKE_DELAY(BX79,BX51,BX32,BX33,BX41,BX42,BX39,BX11,FALSE)</f>
        <v>#VALUE!</v>
      </c>
      <c r="BY99" s="14" t="e" cm="1">
        <f t="array" ref="BY99">PEDBIKE_DELAY(BY79,BY51,BY32,BY33,BY41,BY42,BY39,BY11,FALSE)</f>
        <v>#VALUE!</v>
      </c>
      <c r="BZ99" s="13" t="e" cm="1">
        <f t="array" ref="BZ99">PEDBIKE_DELAY(BZ79,BZ51,BZ32,BZ33,BZ41,BZ42,BZ39,BZ11,FALSE)</f>
        <v>#VALUE!</v>
      </c>
      <c r="CA99" s="44" t="e" cm="1">
        <f t="array" ref="CA99">PEDBIKE_DELAY(CA79,CA51,CA32,CA33,CA41,CA42,CA39,CA11,FALSE)</f>
        <v>#VALUE!</v>
      </c>
      <c r="CB99" s="44" t="e" cm="1">
        <f t="array" ref="CB99">PEDBIKE_DELAY(CB79,CB51,CB32,CB33,CB41,CB42,CB39,CB11,FALSE)</f>
        <v>#VALUE!</v>
      </c>
      <c r="CC99" s="14" t="e" cm="1">
        <f t="array" ref="CC99">PEDBIKE_DELAY(CC79,CC51,CC32,CC33,CC41,CC42,CC39,CC11,FALSE)</f>
        <v>#VALUE!</v>
      </c>
      <c r="CD99" s="13" t="e" cm="1">
        <f t="array" ref="CD99">PEDBIKE_DELAY(CD79,CD51,CD32,CD33,CD41,CD42,CD39,CD11,FALSE)</f>
        <v>#VALUE!</v>
      </c>
      <c r="CE99" s="44" t="e" cm="1">
        <f t="array" ref="CE99">PEDBIKE_DELAY(CE79,CE51,CE32,CE33,CE41,CE42,CE39,CE11,FALSE)</f>
        <v>#VALUE!</v>
      </c>
      <c r="CF99" s="44" t="e" cm="1">
        <f t="array" ref="CF99">PEDBIKE_DELAY(CF79,CF51,CF32,CF33,CF41,CF42,CF39,CF11,FALSE)</f>
        <v>#VALUE!</v>
      </c>
      <c r="CG99" s="14" t="e" cm="1">
        <f t="array" ref="CG99">PEDBIKE_DELAY(CG79,CG51,CG32,CG33,CG41,CG42,CG39,CG11,FALSE)</f>
        <v>#VALUE!</v>
      </c>
      <c r="CH99" s="13" t="e" cm="1">
        <f t="array" ref="CH99">PEDBIKE_DELAY(CH79,CH51,CH32,CH33,CH41,CH42,CH39,CH11,FALSE)</f>
        <v>#VALUE!</v>
      </c>
      <c r="CI99" s="44" t="e" cm="1">
        <f t="array" ref="CI99">PEDBIKE_DELAY(CI79,CI51,CI32,CI33,CI41,CI42,CI39,CI11,FALSE)</f>
        <v>#VALUE!</v>
      </c>
      <c r="CJ99" s="44" t="e" cm="1">
        <f t="array" ref="CJ99">PEDBIKE_DELAY(CJ79,CJ51,CJ32,CJ33,CJ41,CJ42,CJ39,CJ11,FALSE)</f>
        <v>#VALUE!</v>
      </c>
      <c r="CK99" s="14" t="e" cm="1">
        <f t="array" ref="CK99">PEDBIKE_DELAY(CK79,CK51,CK32,CK33,CK41,CK42,CK39,CK11,FALSE)</f>
        <v>#VALUE!</v>
      </c>
      <c r="CL99" s="49"/>
      <c r="CM99" s="28"/>
    </row>
    <row r="100" spans="2:91" ht="14.25" x14ac:dyDescent="0.25">
      <c r="B100" s="55"/>
      <c r="C100" s="10" t="s">
        <v>307</v>
      </c>
      <c r="D100" s="93" t="s">
        <v>394</v>
      </c>
      <c r="E100" s="126">
        <f t="shared" ref="E100:AJ100" si="276">(E26)/2 + E27 + E42</f>
        <v>23</v>
      </c>
      <c r="F100" s="13">
        <f t="shared" si="276"/>
        <v>22.150000000000002</v>
      </c>
      <c r="G100" s="44">
        <f t="shared" si="276"/>
        <v>22.150000000000002</v>
      </c>
      <c r="H100" s="44">
        <f t="shared" si="276"/>
        <v>22.45</v>
      </c>
      <c r="I100" s="14">
        <f t="shared" si="276"/>
        <v>22.45</v>
      </c>
      <c r="J100" s="13">
        <f t="shared" si="276"/>
        <v>3</v>
      </c>
      <c r="K100" s="44">
        <f t="shared" si="276"/>
        <v>0</v>
      </c>
      <c r="L100" s="44">
        <f t="shared" si="276"/>
        <v>3</v>
      </c>
      <c r="M100" s="14">
        <f t="shared" si="276"/>
        <v>3</v>
      </c>
      <c r="N100" s="13">
        <f t="shared" si="276"/>
        <v>18</v>
      </c>
      <c r="O100" s="44">
        <f t="shared" si="276"/>
        <v>18</v>
      </c>
      <c r="P100" s="44">
        <f t="shared" si="276"/>
        <v>20.5</v>
      </c>
      <c r="Q100" s="14">
        <f t="shared" si="276"/>
        <v>34</v>
      </c>
      <c r="R100" s="13">
        <f t="shared" si="276"/>
        <v>3</v>
      </c>
      <c r="S100" s="44">
        <f t="shared" si="276"/>
        <v>0</v>
      </c>
      <c r="T100" s="44">
        <f t="shared" si="276"/>
        <v>3</v>
      </c>
      <c r="U100" s="14">
        <f t="shared" si="276"/>
        <v>3</v>
      </c>
      <c r="V100" s="13">
        <f t="shared" si="276"/>
        <v>9</v>
      </c>
      <c r="W100" s="44">
        <f t="shared" si="276"/>
        <v>0</v>
      </c>
      <c r="X100" s="44">
        <f t="shared" si="276"/>
        <v>22</v>
      </c>
      <c r="Y100" s="14">
        <f t="shared" si="276"/>
        <v>15.5</v>
      </c>
      <c r="Z100" s="13">
        <f t="shared" si="276"/>
        <v>20.5</v>
      </c>
      <c r="AA100" s="44">
        <f t="shared" si="276"/>
        <v>0</v>
      </c>
      <c r="AB100" s="44">
        <f t="shared" si="276"/>
        <v>21.5</v>
      </c>
      <c r="AC100" s="14">
        <f t="shared" si="276"/>
        <v>15</v>
      </c>
      <c r="AD100" s="13">
        <f t="shared" si="276"/>
        <v>15</v>
      </c>
      <c r="AE100" s="44">
        <f t="shared" si="276"/>
        <v>0</v>
      </c>
      <c r="AF100" s="44">
        <f t="shared" si="276"/>
        <v>23</v>
      </c>
      <c r="AG100" s="14">
        <f t="shared" si="276"/>
        <v>23</v>
      </c>
      <c r="AH100" s="13">
        <f t="shared" si="276"/>
        <v>23.75</v>
      </c>
      <c r="AI100" s="44">
        <f t="shared" si="276"/>
        <v>23.75</v>
      </c>
      <c r="AJ100" s="44">
        <f t="shared" si="276"/>
        <v>17.25</v>
      </c>
      <c r="AK100" s="14">
        <f t="shared" ref="AK100:BP100" si="277">(AK26)/2 + AK27 + AK42</f>
        <v>17.25</v>
      </c>
      <c r="AL100" s="13">
        <f t="shared" si="277"/>
        <v>0</v>
      </c>
      <c r="AM100" s="44">
        <f t="shared" si="277"/>
        <v>0</v>
      </c>
      <c r="AN100" s="44">
        <f t="shared" si="277"/>
        <v>0</v>
      </c>
      <c r="AO100" s="14">
        <f t="shared" si="277"/>
        <v>0</v>
      </c>
      <c r="AP100" s="13">
        <f t="shared" si="277"/>
        <v>0</v>
      </c>
      <c r="AQ100" s="44">
        <f t="shared" si="277"/>
        <v>0</v>
      </c>
      <c r="AR100" s="44">
        <f t="shared" si="277"/>
        <v>0</v>
      </c>
      <c r="AS100" s="14">
        <f t="shared" si="277"/>
        <v>0</v>
      </c>
      <c r="AT100" s="13">
        <f t="shared" si="277"/>
        <v>0</v>
      </c>
      <c r="AU100" s="44">
        <f t="shared" si="277"/>
        <v>0</v>
      </c>
      <c r="AV100" s="44">
        <f t="shared" si="277"/>
        <v>0</v>
      </c>
      <c r="AW100" s="14">
        <f t="shared" si="277"/>
        <v>0</v>
      </c>
      <c r="AX100" s="13">
        <f t="shared" si="277"/>
        <v>0</v>
      </c>
      <c r="AY100" s="44">
        <f t="shared" si="277"/>
        <v>0</v>
      </c>
      <c r="AZ100" s="44">
        <f t="shared" si="277"/>
        <v>0</v>
      </c>
      <c r="BA100" s="14">
        <f t="shared" si="277"/>
        <v>0</v>
      </c>
      <c r="BB100" s="13">
        <f t="shared" si="277"/>
        <v>0</v>
      </c>
      <c r="BC100" s="44">
        <f t="shared" si="277"/>
        <v>0</v>
      </c>
      <c r="BD100" s="44">
        <f t="shared" si="277"/>
        <v>0</v>
      </c>
      <c r="BE100" s="14">
        <f t="shared" si="277"/>
        <v>0</v>
      </c>
      <c r="BF100" s="13">
        <f t="shared" si="277"/>
        <v>0</v>
      </c>
      <c r="BG100" s="44">
        <f t="shared" si="277"/>
        <v>0</v>
      </c>
      <c r="BH100" s="44">
        <f t="shared" si="277"/>
        <v>0</v>
      </c>
      <c r="BI100" s="14">
        <f t="shared" si="277"/>
        <v>0</v>
      </c>
      <c r="BJ100" s="13">
        <f t="shared" si="277"/>
        <v>0</v>
      </c>
      <c r="BK100" s="44">
        <f t="shared" si="277"/>
        <v>0</v>
      </c>
      <c r="BL100" s="44">
        <f t="shared" si="277"/>
        <v>0</v>
      </c>
      <c r="BM100" s="14">
        <f t="shared" si="277"/>
        <v>0</v>
      </c>
      <c r="BN100" s="13">
        <f t="shared" si="277"/>
        <v>0</v>
      </c>
      <c r="BO100" s="44">
        <f t="shared" si="277"/>
        <v>0</v>
      </c>
      <c r="BP100" s="44">
        <f t="shared" si="277"/>
        <v>0</v>
      </c>
      <c r="BQ100" s="14">
        <f t="shared" ref="BQ100:CK100" si="278">(BQ26)/2 + BQ27 + BQ42</f>
        <v>0</v>
      </c>
      <c r="BR100" s="13">
        <f t="shared" si="278"/>
        <v>0</v>
      </c>
      <c r="BS100" s="44">
        <f t="shared" si="278"/>
        <v>0</v>
      </c>
      <c r="BT100" s="44">
        <f t="shared" si="278"/>
        <v>0</v>
      </c>
      <c r="BU100" s="14">
        <f t="shared" si="278"/>
        <v>0</v>
      </c>
      <c r="BV100" s="13">
        <f t="shared" si="278"/>
        <v>0</v>
      </c>
      <c r="BW100" s="44">
        <f t="shared" si="278"/>
        <v>0</v>
      </c>
      <c r="BX100" s="44">
        <f t="shared" si="278"/>
        <v>0</v>
      </c>
      <c r="BY100" s="14">
        <f t="shared" si="278"/>
        <v>0</v>
      </c>
      <c r="BZ100" s="13">
        <f t="shared" si="278"/>
        <v>0</v>
      </c>
      <c r="CA100" s="44">
        <f t="shared" si="278"/>
        <v>0</v>
      </c>
      <c r="CB100" s="44">
        <f t="shared" si="278"/>
        <v>0</v>
      </c>
      <c r="CC100" s="14">
        <f t="shared" si="278"/>
        <v>0</v>
      </c>
      <c r="CD100" s="13">
        <f t="shared" si="278"/>
        <v>0</v>
      </c>
      <c r="CE100" s="44">
        <f t="shared" si="278"/>
        <v>0</v>
      </c>
      <c r="CF100" s="44">
        <f t="shared" si="278"/>
        <v>0</v>
      </c>
      <c r="CG100" s="14">
        <f t="shared" si="278"/>
        <v>0</v>
      </c>
      <c r="CH100" s="13">
        <f t="shared" si="278"/>
        <v>0</v>
      </c>
      <c r="CI100" s="44">
        <f t="shared" si="278"/>
        <v>0</v>
      </c>
      <c r="CJ100" s="44">
        <f t="shared" si="278"/>
        <v>0</v>
      </c>
      <c r="CK100" s="14">
        <f t="shared" si="278"/>
        <v>0</v>
      </c>
      <c r="CL100" s="49"/>
      <c r="CM100" s="28"/>
    </row>
    <row r="101" spans="2:91" ht="14.25" x14ac:dyDescent="0.25">
      <c r="B101" s="55"/>
      <c r="C101" s="10" t="s">
        <v>322</v>
      </c>
      <c r="D101" s="93" t="s">
        <v>395</v>
      </c>
      <c r="E101" s="126">
        <f t="shared" ref="E101:AJ101" si="279">((E28-E26)/2)+E26+E27+2*E42</f>
        <v>76</v>
      </c>
      <c r="F101" s="13">
        <f t="shared" si="279"/>
        <v>70.150000000000006</v>
      </c>
      <c r="G101" s="44">
        <f t="shared" si="279"/>
        <v>70.150000000000006</v>
      </c>
      <c r="H101" s="44">
        <f t="shared" si="279"/>
        <v>70.45</v>
      </c>
      <c r="I101" s="14">
        <f t="shared" si="279"/>
        <v>70.45</v>
      </c>
      <c r="J101" s="13">
        <f t="shared" si="279"/>
        <v>6</v>
      </c>
      <c r="K101" s="44">
        <f t="shared" si="279"/>
        <v>0</v>
      </c>
      <c r="L101" s="44">
        <f t="shared" si="279"/>
        <v>6</v>
      </c>
      <c r="M101" s="14">
        <f t="shared" si="279"/>
        <v>6</v>
      </c>
      <c r="N101" s="13">
        <f t="shared" si="279"/>
        <v>66</v>
      </c>
      <c r="O101" s="44">
        <f t="shared" si="279"/>
        <v>66</v>
      </c>
      <c r="P101" s="44">
        <f t="shared" si="279"/>
        <v>68.5</v>
      </c>
      <c r="Q101" s="14">
        <f t="shared" si="279"/>
        <v>82</v>
      </c>
      <c r="R101" s="13">
        <f t="shared" si="279"/>
        <v>6</v>
      </c>
      <c r="S101" s="44">
        <f t="shared" si="279"/>
        <v>0</v>
      </c>
      <c r="T101" s="44">
        <f t="shared" si="279"/>
        <v>6</v>
      </c>
      <c r="U101" s="14">
        <f t="shared" si="279"/>
        <v>6</v>
      </c>
      <c r="V101" s="13">
        <f t="shared" si="279"/>
        <v>46.5</v>
      </c>
      <c r="W101" s="44">
        <f t="shared" si="279"/>
        <v>0</v>
      </c>
      <c r="X101" s="44">
        <f t="shared" si="279"/>
        <v>59.5</v>
      </c>
      <c r="Y101" s="14">
        <f t="shared" si="279"/>
        <v>53</v>
      </c>
      <c r="Z101" s="13">
        <f t="shared" si="279"/>
        <v>61</v>
      </c>
      <c r="AA101" s="44">
        <f t="shared" si="279"/>
        <v>0</v>
      </c>
      <c r="AB101" s="44">
        <f t="shared" si="279"/>
        <v>62</v>
      </c>
      <c r="AC101" s="14">
        <f t="shared" si="279"/>
        <v>55.5</v>
      </c>
      <c r="AD101" s="13">
        <f t="shared" si="279"/>
        <v>48</v>
      </c>
      <c r="AE101" s="44">
        <f t="shared" si="279"/>
        <v>0</v>
      </c>
      <c r="AF101" s="44">
        <f t="shared" si="279"/>
        <v>56</v>
      </c>
      <c r="AG101" s="14">
        <f t="shared" si="279"/>
        <v>56</v>
      </c>
      <c r="AH101" s="13">
        <f t="shared" si="279"/>
        <v>59.25</v>
      </c>
      <c r="AI101" s="13">
        <f t="shared" si="279"/>
        <v>59.25</v>
      </c>
      <c r="AJ101" s="13">
        <f t="shared" si="279"/>
        <v>52.75</v>
      </c>
      <c r="AK101" s="13">
        <f t="shared" ref="AK101:BP101" si="280">((AK28-AK26)/2)+AK26+AK27+2*AK42</f>
        <v>52.75</v>
      </c>
      <c r="AL101" s="13">
        <f t="shared" si="280"/>
        <v>0</v>
      </c>
      <c r="AM101" s="44">
        <f t="shared" si="280"/>
        <v>0</v>
      </c>
      <c r="AN101" s="44">
        <f t="shared" si="280"/>
        <v>0</v>
      </c>
      <c r="AO101" s="14">
        <f t="shared" si="280"/>
        <v>0</v>
      </c>
      <c r="AP101" s="13">
        <f t="shared" si="280"/>
        <v>0</v>
      </c>
      <c r="AQ101" s="44">
        <f t="shared" si="280"/>
        <v>0</v>
      </c>
      <c r="AR101" s="44">
        <f t="shared" si="280"/>
        <v>0</v>
      </c>
      <c r="AS101" s="14">
        <f t="shared" si="280"/>
        <v>0</v>
      </c>
      <c r="AT101" s="13">
        <f t="shared" si="280"/>
        <v>0</v>
      </c>
      <c r="AU101" s="44">
        <f t="shared" si="280"/>
        <v>0</v>
      </c>
      <c r="AV101" s="44">
        <f t="shared" si="280"/>
        <v>0</v>
      </c>
      <c r="AW101" s="14">
        <f t="shared" si="280"/>
        <v>0</v>
      </c>
      <c r="AX101" s="13">
        <f t="shared" si="280"/>
        <v>0</v>
      </c>
      <c r="AY101" s="44">
        <f t="shared" si="280"/>
        <v>0</v>
      </c>
      <c r="AZ101" s="44">
        <f t="shared" si="280"/>
        <v>0</v>
      </c>
      <c r="BA101" s="14">
        <f t="shared" si="280"/>
        <v>0</v>
      </c>
      <c r="BB101" s="13">
        <f t="shared" si="280"/>
        <v>0</v>
      </c>
      <c r="BC101" s="44">
        <f t="shared" si="280"/>
        <v>0</v>
      </c>
      <c r="BD101" s="44">
        <f t="shared" si="280"/>
        <v>0</v>
      </c>
      <c r="BE101" s="14">
        <f t="shared" si="280"/>
        <v>0</v>
      </c>
      <c r="BF101" s="13">
        <f t="shared" si="280"/>
        <v>0</v>
      </c>
      <c r="BG101" s="44">
        <f t="shared" si="280"/>
        <v>0</v>
      </c>
      <c r="BH101" s="44">
        <f t="shared" si="280"/>
        <v>0</v>
      </c>
      <c r="BI101" s="14">
        <f t="shared" si="280"/>
        <v>0</v>
      </c>
      <c r="BJ101" s="13">
        <f t="shared" si="280"/>
        <v>0</v>
      </c>
      <c r="BK101" s="44">
        <f t="shared" si="280"/>
        <v>0</v>
      </c>
      <c r="BL101" s="44">
        <f t="shared" si="280"/>
        <v>0</v>
      </c>
      <c r="BM101" s="14">
        <f t="shared" si="280"/>
        <v>0</v>
      </c>
      <c r="BN101" s="13">
        <f t="shared" si="280"/>
        <v>0</v>
      </c>
      <c r="BO101" s="44">
        <f t="shared" si="280"/>
        <v>0</v>
      </c>
      <c r="BP101" s="44">
        <f t="shared" si="280"/>
        <v>0</v>
      </c>
      <c r="BQ101" s="14">
        <f t="shared" ref="BQ101:CK101" si="281">((BQ28-BQ26)/2)+BQ26+BQ27+2*BQ42</f>
        <v>0</v>
      </c>
      <c r="BR101" s="13">
        <f t="shared" si="281"/>
        <v>0</v>
      </c>
      <c r="BS101" s="44">
        <f t="shared" si="281"/>
        <v>0</v>
      </c>
      <c r="BT101" s="44">
        <f t="shared" si="281"/>
        <v>0</v>
      </c>
      <c r="BU101" s="14">
        <f t="shared" si="281"/>
        <v>0</v>
      </c>
      <c r="BV101" s="13">
        <f t="shared" si="281"/>
        <v>0</v>
      </c>
      <c r="BW101" s="44">
        <f t="shared" si="281"/>
        <v>0</v>
      </c>
      <c r="BX101" s="44">
        <f t="shared" si="281"/>
        <v>0</v>
      </c>
      <c r="BY101" s="14">
        <f t="shared" si="281"/>
        <v>0</v>
      </c>
      <c r="BZ101" s="13">
        <f t="shared" si="281"/>
        <v>0</v>
      </c>
      <c r="CA101" s="44">
        <f t="shared" si="281"/>
        <v>0</v>
      </c>
      <c r="CB101" s="44">
        <f t="shared" si="281"/>
        <v>0</v>
      </c>
      <c r="CC101" s="14">
        <f t="shared" si="281"/>
        <v>0</v>
      </c>
      <c r="CD101" s="13">
        <f t="shared" si="281"/>
        <v>0</v>
      </c>
      <c r="CE101" s="44">
        <f t="shared" si="281"/>
        <v>0</v>
      </c>
      <c r="CF101" s="44">
        <f t="shared" si="281"/>
        <v>0</v>
      </c>
      <c r="CG101" s="14">
        <f t="shared" si="281"/>
        <v>0</v>
      </c>
      <c r="CH101" s="13">
        <f t="shared" si="281"/>
        <v>0</v>
      </c>
      <c r="CI101" s="44">
        <f t="shared" si="281"/>
        <v>0</v>
      </c>
      <c r="CJ101" s="44">
        <f t="shared" si="281"/>
        <v>0</v>
      </c>
      <c r="CK101" s="14">
        <f t="shared" si="281"/>
        <v>0</v>
      </c>
      <c r="CL101" s="49"/>
      <c r="CM101" s="28"/>
    </row>
    <row r="102" spans="2:91" ht="14.25" x14ac:dyDescent="0.25">
      <c r="B102" s="55"/>
      <c r="C102" s="10" t="s">
        <v>308</v>
      </c>
      <c r="D102" s="93" t="s">
        <v>396</v>
      </c>
      <c r="E102" s="126">
        <f t="shared" ref="E102:AJ102" si="282">(E26/E28)*E100+((E28-E26)/E28)*E101</f>
        <v>60.099999999999994</v>
      </c>
      <c r="F102" s="13">
        <f t="shared" si="282"/>
        <v>53.243333333333339</v>
      </c>
      <c r="G102" s="44">
        <f t="shared" si="282"/>
        <v>53.243333333333339</v>
      </c>
      <c r="H102" s="44">
        <f t="shared" si="282"/>
        <v>53.86333333333333</v>
      </c>
      <c r="I102" s="14">
        <f t="shared" si="282"/>
        <v>53.86333333333333</v>
      </c>
      <c r="J102" s="13" t="e">
        <f t="shared" si="282"/>
        <v>#DIV/0!</v>
      </c>
      <c r="K102" s="44" t="e">
        <f t="shared" si="282"/>
        <v>#DIV/0!</v>
      </c>
      <c r="L102" s="44" t="e">
        <f t="shared" si="282"/>
        <v>#DIV/0!</v>
      </c>
      <c r="M102" s="14" t="e">
        <f t="shared" si="282"/>
        <v>#DIV/0!</v>
      </c>
      <c r="N102" s="13">
        <f t="shared" si="282"/>
        <v>53.199999999999996</v>
      </c>
      <c r="O102" s="44">
        <f t="shared" si="282"/>
        <v>53.199999999999996</v>
      </c>
      <c r="P102" s="44">
        <f t="shared" si="282"/>
        <v>53.033333333333331</v>
      </c>
      <c r="Q102" s="14">
        <f t="shared" si="282"/>
        <v>52.133333333333333</v>
      </c>
      <c r="R102" s="13" t="e">
        <f t="shared" si="282"/>
        <v>#DIV/0!</v>
      </c>
      <c r="S102" s="44" t="e">
        <f t="shared" si="282"/>
        <v>#DIV/0!</v>
      </c>
      <c r="T102" s="44" t="e">
        <f t="shared" si="282"/>
        <v>#DIV/0!</v>
      </c>
      <c r="U102" s="14" t="e">
        <f t="shared" si="282"/>
        <v>#DIV/0!</v>
      </c>
      <c r="V102" s="13">
        <f t="shared" si="282"/>
        <v>43.239130434782602</v>
      </c>
      <c r="W102" s="44" t="e">
        <f t="shared" si="282"/>
        <v>#DIV/0!</v>
      </c>
      <c r="X102" s="44">
        <f t="shared" si="282"/>
        <v>42.108695652173914</v>
      </c>
      <c r="Y102" s="14">
        <f t="shared" si="282"/>
        <v>42.673913043478258</v>
      </c>
      <c r="Z102" s="13">
        <f t="shared" si="282"/>
        <v>45.339999999999996</v>
      </c>
      <c r="AA102" s="44" t="e">
        <f t="shared" si="282"/>
        <v>#DIV/0!</v>
      </c>
      <c r="AB102" s="44">
        <f t="shared" si="282"/>
        <v>45.260000000000005</v>
      </c>
      <c r="AC102" s="14">
        <f t="shared" si="282"/>
        <v>45.78</v>
      </c>
      <c r="AD102" s="13">
        <f t="shared" si="282"/>
        <v>38.099999999999994</v>
      </c>
      <c r="AE102" s="44" t="e">
        <f t="shared" si="282"/>
        <v>#DIV/0!</v>
      </c>
      <c r="AF102" s="44">
        <f t="shared" si="282"/>
        <v>37.299999999999997</v>
      </c>
      <c r="AG102" s="14">
        <f t="shared" si="282"/>
        <v>37.299999999999997</v>
      </c>
      <c r="AH102" s="13">
        <f t="shared" si="282"/>
        <v>40.407692307692308</v>
      </c>
      <c r="AI102" s="13">
        <f t="shared" si="282"/>
        <v>40.407692307692308</v>
      </c>
      <c r="AJ102" s="13">
        <f t="shared" si="282"/>
        <v>41.007692307692302</v>
      </c>
      <c r="AK102" s="13">
        <f t="shared" ref="AK102:BP102" si="283">(AK26/AK28)*AK100+((AK28-AK26)/AK28)*AK101</f>
        <v>41.007692307692302</v>
      </c>
      <c r="AL102" s="13" t="e">
        <f t="shared" si="283"/>
        <v>#DIV/0!</v>
      </c>
      <c r="AM102" s="44" t="e">
        <f t="shared" si="283"/>
        <v>#DIV/0!</v>
      </c>
      <c r="AN102" s="44" t="e">
        <f t="shared" si="283"/>
        <v>#DIV/0!</v>
      </c>
      <c r="AO102" s="14" t="e">
        <f t="shared" si="283"/>
        <v>#DIV/0!</v>
      </c>
      <c r="AP102" s="13" t="e">
        <f t="shared" si="283"/>
        <v>#DIV/0!</v>
      </c>
      <c r="AQ102" s="44" t="e">
        <f t="shared" si="283"/>
        <v>#DIV/0!</v>
      </c>
      <c r="AR102" s="44" t="e">
        <f t="shared" si="283"/>
        <v>#DIV/0!</v>
      </c>
      <c r="AS102" s="14" t="e">
        <f t="shared" si="283"/>
        <v>#DIV/0!</v>
      </c>
      <c r="AT102" s="13" t="e">
        <f t="shared" si="283"/>
        <v>#DIV/0!</v>
      </c>
      <c r="AU102" s="44" t="e">
        <f t="shared" si="283"/>
        <v>#DIV/0!</v>
      </c>
      <c r="AV102" s="44" t="e">
        <f t="shared" si="283"/>
        <v>#DIV/0!</v>
      </c>
      <c r="AW102" s="14" t="e">
        <f t="shared" si="283"/>
        <v>#DIV/0!</v>
      </c>
      <c r="AX102" s="13" t="e">
        <f t="shared" si="283"/>
        <v>#DIV/0!</v>
      </c>
      <c r="AY102" s="44" t="e">
        <f t="shared" si="283"/>
        <v>#DIV/0!</v>
      </c>
      <c r="AZ102" s="44" t="e">
        <f t="shared" si="283"/>
        <v>#DIV/0!</v>
      </c>
      <c r="BA102" s="14" t="e">
        <f t="shared" si="283"/>
        <v>#DIV/0!</v>
      </c>
      <c r="BB102" s="13" t="e">
        <f t="shared" si="283"/>
        <v>#DIV/0!</v>
      </c>
      <c r="BC102" s="44" t="e">
        <f t="shared" si="283"/>
        <v>#DIV/0!</v>
      </c>
      <c r="BD102" s="44" t="e">
        <f t="shared" si="283"/>
        <v>#DIV/0!</v>
      </c>
      <c r="BE102" s="14" t="e">
        <f t="shared" si="283"/>
        <v>#DIV/0!</v>
      </c>
      <c r="BF102" s="13" t="e">
        <f t="shared" si="283"/>
        <v>#DIV/0!</v>
      </c>
      <c r="BG102" s="44" t="e">
        <f t="shared" si="283"/>
        <v>#DIV/0!</v>
      </c>
      <c r="BH102" s="44" t="e">
        <f t="shared" si="283"/>
        <v>#DIV/0!</v>
      </c>
      <c r="BI102" s="14" t="e">
        <f t="shared" si="283"/>
        <v>#DIV/0!</v>
      </c>
      <c r="BJ102" s="13" t="e">
        <f t="shared" si="283"/>
        <v>#DIV/0!</v>
      </c>
      <c r="BK102" s="44" t="e">
        <f t="shared" si="283"/>
        <v>#DIV/0!</v>
      </c>
      <c r="BL102" s="44" t="e">
        <f t="shared" si="283"/>
        <v>#DIV/0!</v>
      </c>
      <c r="BM102" s="14" t="e">
        <f t="shared" si="283"/>
        <v>#DIV/0!</v>
      </c>
      <c r="BN102" s="13" t="e">
        <f t="shared" si="283"/>
        <v>#DIV/0!</v>
      </c>
      <c r="BO102" s="44" t="e">
        <f t="shared" si="283"/>
        <v>#DIV/0!</v>
      </c>
      <c r="BP102" s="44" t="e">
        <f t="shared" si="283"/>
        <v>#DIV/0!</v>
      </c>
      <c r="BQ102" s="14" t="e">
        <f t="shared" ref="BQ102:CV102" si="284">(BQ26/BQ28)*BQ100+((BQ28-BQ26)/BQ28)*BQ101</f>
        <v>#DIV/0!</v>
      </c>
      <c r="BR102" s="13" t="e">
        <f t="shared" si="284"/>
        <v>#DIV/0!</v>
      </c>
      <c r="BS102" s="44" t="e">
        <f t="shared" si="284"/>
        <v>#DIV/0!</v>
      </c>
      <c r="BT102" s="44" t="e">
        <f t="shared" si="284"/>
        <v>#DIV/0!</v>
      </c>
      <c r="BU102" s="14" t="e">
        <f t="shared" si="284"/>
        <v>#DIV/0!</v>
      </c>
      <c r="BV102" s="13" t="e">
        <f t="shared" si="284"/>
        <v>#DIV/0!</v>
      </c>
      <c r="BW102" s="44" t="e">
        <f t="shared" si="284"/>
        <v>#DIV/0!</v>
      </c>
      <c r="BX102" s="44" t="e">
        <f t="shared" si="284"/>
        <v>#DIV/0!</v>
      </c>
      <c r="BY102" s="14" t="e">
        <f t="shared" si="284"/>
        <v>#DIV/0!</v>
      </c>
      <c r="BZ102" s="13" t="e">
        <f t="shared" si="284"/>
        <v>#DIV/0!</v>
      </c>
      <c r="CA102" s="44" t="e">
        <f t="shared" si="284"/>
        <v>#DIV/0!</v>
      </c>
      <c r="CB102" s="44" t="e">
        <f t="shared" si="284"/>
        <v>#DIV/0!</v>
      </c>
      <c r="CC102" s="14" t="e">
        <f t="shared" si="284"/>
        <v>#DIV/0!</v>
      </c>
      <c r="CD102" s="13" t="e">
        <f t="shared" si="284"/>
        <v>#DIV/0!</v>
      </c>
      <c r="CE102" s="44" t="e">
        <f t="shared" si="284"/>
        <v>#DIV/0!</v>
      </c>
      <c r="CF102" s="44" t="e">
        <f t="shared" si="284"/>
        <v>#DIV/0!</v>
      </c>
      <c r="CG102" s="14" t="e">
        <f t="shared" si="284"/>
        <v>#DIV/0!</v>
      </c>
      <c r="CH102" s="13" t="e">
        <f t="shared" si="284"/>
        <v>#DIV/0!</v>
      </c>
      <c r="CI102" s="44" t="e">
        <f t="shared" si="284"/>
        <v>#DIV/0!</v>
      </c>
      <c r="CJ102" s="44" t="e">
        <f t="shared" si="284"/>
        <v>#DIV/0!</v>
      </c>
      <c r="CK102" s="14" t="e">
        <f t="shared" si="284"/>
        <v>#DIV/0!</v>
      </c>
      <c r="CL102" s="49"/>
      <c r="CM102" s="28"/>
    </row>
    <row r="103" spans="2:91" ht="14.25" x14ac:dyDescent="0.25">
      <c r="B103" s="55"/>
      <c r="C103" s="10" t="s">
        <v>299</v>
      </c>
      <c r="D103" s="93" t="s">
        <v>407</v>
      </c>
      <c r="E103" s="126" t="e">
        <f t="shared" ref="E103:AJ103" si="285">E75+(E22/E21)*((1-E24)*80 + E24*E102)</f>
        <v>#DIV/0!</v>
      </c>
      <c r="F103" s="13">
        <f t="shared" si="285"/>
        <v>24.400323440723039</v>
      </c>
      <c r="G103" s="44">
        <f t="shared" si="285"/>
        <v>41.177449584258348</v>
      </c>
      <c r="H103" s="44">
        <f t="shared" si="285"/>
        <v>62.07238749249484</v>
      </c>
      <c r="I103" s="14">
        <f t="shared" si="285"/>
        <v>52.851673535381458</v>
      </c>
      <c r="J103" s="13" t="e">
        <f t="shared" si="285"/>
        <v>#DIV/0!</v>
      </c>
      <c r="K103" s="44" t="e">
        <f t="shared" si="285"/>
        <v>#DIV/0!</v>
      </c>
      <c r="L103" s="44" t="e">
        <f t="shared" si="285"/>
        <v>#DIV/0!</v>
      </c>
      <c r="M103" s="14" t="e">
        <f t="shared" si="285"/>
        <v>#DIV/0!</v>
      </c>
      <c r="N103" s="13">
        <f t="shared" si="285"/>
        <v>29.548731893094828</v>
      </c>
      <c r="O103" s="44">
        <f t="shared" si="285"/>
        <v>46.559313713233593</v>
      </c>
      <c r="P103" s="44">
        <f t="shared" si="285"/>
        <v>63.236293335175269</v>
      </c>
      <c r="Q103" s="14">
        <f t="shared" si="285"/>
        <v>39.486475489830482</v>
      </c>
      <c r="R103" s="13" t="e">
        <f t="shared" si="285"/>
        <v>#DIV/0!</v>
      </c>
      <c r="S103" s="44" t="e">
        <f t="shared" si="285"/>
        <v>#DIV/0!</v>
      </c>
      <c r="T103" s="44" t="e">
        <f t="shared" si="285"/>
        <v>#DIV/0!</v>
      </c>
      <c r="U103" s="14" t="e">
        <f t="shared" si="285"/>
        <v>#DIV/0!</v>
      </c>
      <c r="V103" s="13">
        <f t="shared" si="285"/>
        <v>28.892373753889849</v>
      </c>
      <c r="W103" s="44" t="e">
        <f t="shared" si="285"/>
        <v>#DIV/0!</v>
      </c>
      <c r="X103" s="44">
        <f t="shared" si="285"/>
        <v>9.9801708803545885</v>
      </c>
      <c r="Y103" s="14">
        <f t="shared" si="285"/>
        <v>18.128179498269247</v>
      </c>
      <c r="Z103" s="13">
        <f t="shared" si="285"/>
        <v>17.504788384835454</v>
      </c>
      <c r="AA103" s="44" t="e">
        <f t="shared" si="285"/>
        <v>#DIV/0!</v>
      </c>
      <c r="AB103" s="44">
        <f t="shared" si="285"/>
        <v>23.370865063460254</v>
      </c>
      <c r="AC103" s="14">
        <f t="shared" si="285"/>
        <v>21.682200232666133</v>
      </c>
      <c r="AD103" s="13">
        <f t="shared" si="285"/>
        <v>44.245095718842755</v>
      </c>
      <c r="AE103" s="44" t="e">
        <f t="shared" si="285"/>
        <v>#DIV/0!</v>
      </c>
      <c r="AF103" s="44">
        <f t="shared" si="285"/>
        <v>5.6521739130434785</v>
      </c>
      <c r="AG103" s="14">
        <f t="shared" si="285"/>
        <v>20.31110695245194</v>
      </c>
      <c r="AH103" s="14">
        <f t="shared" si="285"/>
        <v>10.19400850109013</v>
      </c>
      <c r="AI103" s="14">
        <f t="shared" si="285"/>
        <v>7.191876750461013</v>
      </c>
      <c r="AJ103" s="14">
        <f t="shared" si="285"/>
        <v>24.730056226385251</v>
      </c>
      <c r="AK103" s="14">
        <f t="shared" ref="AK103:BP103" si="286">AK75+(AK22/AK21)*((1-AK24)*80 + AK24*AK102)</f>
        <v>14.588086670651977</v>
      </c>
      <c r="AL103" s="13" t="e">
        <f t="shared" si="286"/>
        <v>#DIV/0!</v>
      </c>
      <c r="AM103" s="44" t="e">
        <f t="shared" si="286"/>
        <v>#DIV/0!</v>
      </c>
      <c r="AN103" s="44" t="e">
        <f t="shared" si="286"/>
        <v>#DIV/0!</v>
      </c>
      <c r="AO103" s="14" t="e">
        <f t="shared" si="286"/>
        <v>#DIV/0!</v>
      </c>
      <c r="AP103" s="13" t="e">
        <f t="shared" si="286"/>
        <v>#DIV/0!</v>
      </c>
      <c r="AQ103" s="44" t="e">
        <f t="shared" si="286"/>
        <v>#DIV/0!</v>
      </c>
      <c r="AR103" s="44" t="e">
        <f t="shared" si="286"/>
        <v>#DIV/0!</v>
      </c>
      <c r="AS103" s="14" t="e">
        <f t="shared" si="286"/>
        <v>#DIV/0!</v>
      </c>
      <c r="AT103" s="13" t="e">
        <f t="shared" si="286"/>
        <v>#DIV/0!</v>
      </c>
      <c r="AU103" s="44" t="e">
        <f t="shared" si="286"/>
        <v>#DIV/0!</v>
      </c>
      <c r="AV103" s="44" t="e">
        <f t="shared" si="286"/>
        <v>#DIV/0!</v>
      </c>
      <c r="AW103" s="14" t="e">
        <f t="shared" si="286"/>
        <v>#DIV/0!</v>
      </c>
      <c r="AX103" s="13" t="e">
        <f t="shared" si="286"/>
        <v>#DIV/0!</v>
      </c>
      <c r="AY103" s="44" t="e">
        <f t="shared" si="286"/>
        <v>#DIV/0!</v>
      </c>
      <c r="AZ103" s="44" t="e">
        <f t="shared" si="286"/>
        <v>#DIV/0!</v>
      </c>
      <c r="BA103" s="14" t="e">
        <f t="shared" si="286"/>
        <v>#DIV/0!</v>
      </c>
      <c r="BB103" s="13" t="e">
        <f t="shared" si="286"/>
        <v>#DIV/0!</v>
      </c>
      <c r="BC103" s="44" t="e">
        <f t="shared" si="286"/>
        <v>#DIV/0!</v>
      </c>
      <c r="BD103" s="44" t="e">
        <f t="shared" si="286"/>
        <v>#DIV/0!</v>
      </c>
      <c r="BE103" s="14" t="e">
        <f t="shared" si="286"/>
        <v>#DIV/0!</v>
      </c>
      <c r="BF103" s="13" t="e">
        <f t="shared" si="286"/>
        <v>#DIV/0!</v>
      </c>
      <c r="BG103" s="44" t="e">
        <f t="shared" si="286"/>
        <v>#DIV/0!</v>
      </c>
      <c r="BH103" s="44" t="e">
        <f t="shared" si="286"/>
        <v>#DIV/0!</v>
      </c>
      <c r="BI103" s="14" t="e">
        <f t="shared" si="286"/>
        <v>#DIV/0!</v>
      </c>
      <c r="BJ103" s="13" t="e">
        <f t="shared" si="286"/>
        <v>#DIV/0!</v>
      </c>
      <c r="BK103" s="44" t="e">
        <f t="shared" si="286"/>
        <v>#DIV/0!</v>
      </c>
      <c r="BL103" s="44" t="e">
        <f t="shared" si="286"/>
        <v>#DIV/0!</v>
      </c>
      <c r="BM103" s="14" t="e">
        <f t="shared" si="286"/>
        <v>#DIV/0!</v>
      </c>
      <c r="BN103" s="13" t="e">
        <f t="shared" si="286"/>
        <v>#DIV/0!</v>
      </c>
      <c r="BO103" s="44" t="e">
        <f t="shared" si="286"/>
        <v>#DIV/0!</v>
      </c>
      <c r="BP103" s="44" t="e">
        <f t="shared" si="286"/>
        <v>#DIV/0!</v>
      </c>
      <c r="BQ103" s="14" t="e">
        <f t="shared" ref="BQ103:CV103" si="287">BQ75+(BQ22/BQ21)*((1-BQ24)*80 + BQ24*BQ102)</f>
        <v>#DIV/0!</v>
      </c>
      <c r="BR103" s="13" t="e">
        <f t="shared" si="287"/>
        <v>#DIV/0!</v>
      </c>
      <c r="BS103" s="44" t="e">
        <f t="shared" si="287"/>
        <v>#DIV/0!</v>
      </c>
      <c r="BT103" s="44" t="e">
        <f t="shared" si="287"/>
        <v>#DIV/0!</v>
      </c>
      <c r="BU103" s="14" t="e">
        <f t="shared" si="287"/>
        <v>#DIV/0!</v>
      </c>
      <c r="BV103" s="13" t="e">
        <f t="shared" si="287"/>
        <v>#DIV/0!</v>
      </c>
      <c r="BW103" s="44" t="e">
        <f t="shared" si="287"/>
        <v>#DIV/0!</v>
      </c>
      <c r="BX103" s="44" t="e">
        <f t="shared" si="287"/>
        <v>#DIV/0!</v>
      </c>
      <c r="BY103" s="14" t="e">
        <f t="shared" si="287"/>
        <v>#DIV/0!</v>
      </c>
      <c r="BZ103" s="13" t="e">
        <f t="shared" si="287"/>
        <v>#DIV/0!</v>
      </c>
      <c r="CA103" s="44" t="e">
        <f t="shared" si="287"/>
        <v>#DIV/0!</v>
      </c>
      <c r="CB103" s="44" t="e">
        <f t="shared" si="287"/>
        <v>#DIV/0!</v>
      </c>
      <c r="CC103" s="14" t="e">
        <f t="shared" si="287"/>
        <v>#DIV/0!</v>
      </c>
      <c r="CD103" s="13" t="e">
        <f t="shared" si="287"/>
        <v>#DIV/0!</v>
      </c>
      <c r="CE103" s="44" t="e">
        <f t="shared" si="287"/>
        <v>#DIV/0!</v>
      </c>
      <c r="CF103" s="44" t="e">
        <f t="shared" si="287"/>
        <v>#DIV/0!</v>
      </c>
      <c r="CG103" s="14" t="e">
        <f t="shared" si="287"/>
        <v>#DIV/0!</v>
      </c>
      <c r="CH103" s="13" t="e">
        <f t="shared" si="287"/>
        <v>#DIV/0!</v>
      </c>
      <c r="CI103" s="44" t="e">
        <f t="shared" si="287"/>
        <v>#DIV/0!</v>
      </c>
      <c r="CJ103" s="44" t="e">
        <f t="shared" si="287"/>
        <v>#DIV/0!</v>
      </c>
      <c r="CK103" s="14" t="e">
        <f t="shared" si="287"/>
        <v>#DIV/0!</v>
      </c>
      <c r="CL103" s="49"/>
      <c r="CM103" s="28"/>
    </row>
    <row r="104" spans="2:91" x14ac:dyDescent="0.25">
      <c r="B104" s="55"/>
      <c r="C104" s="203"/>
      <c r="D104" s="229"/>
      <c r="E104" s="126"/>
      <c r="F104" s="13"/>
      <c r="G104" s="44"/>
      <c r="H104" s="44"/>
      <c r="I104" s="14"/>
      <c r="J104" s="13"/>
      <c r="K104" s="44"/>
      <c r="L104" s="44"/>
      <c r="M104" s="14"/>
      <c r="N104" s="13"/>
      <c r="O104" s="44"/>
      <c r="P104" s="44"/>
      <c r="Q104" s="14"/>
      <c r="R104" s="13"/>
      <c r="S104" s="44"/>
      <c r="T104" s="44"/>
      <c r="U104" s="14"/>
      <c r="V104" s="13"/>
      <c r="W104" s="44"/>
      <c r="X104" s="44"/>
      <c r="Y104" s="14"/>
      <c r="Z104" s="13"/>
      <c r="AA104" s="44"/>
      <c r="AB104" s="44"/>
      <c r="AC104" s="14"/>
      <c r="AD104" s="13"/>
      <c r="AE104" s="44"/>
      <c r="AF104" s="44"/>
      <c r="AG104" s="14"/>
      <c r="AH104" s="13"/>
      <c r="AI104" s="44"/>
      <c r="AJ104" s="44"/>
      <c r="AK104" s="14"/>
      <c r="AL104" s="13"/>
      <c r="AM104" s="44"/>
      <c r="AN104" s="44"/>
      <c r="AO104" s="14"/>
      <c r="AP104" s="13"/>
      <c r="AQ104" s="44"/>
      <c r="AR104" s="44"/>
      <c r="AS104" s="14"/>
      <c r="AT104" s="13"/>
      <c r="AU104" s="44"/>
      <c r="AV104" s="44"/>
      <c r="AW104" s="14"/>
      <c r="AX104" s="13"/>
      <c r="AY104" s="44"/>
      <c r="AZ104" s="44"/>
      <c r="BA104" s="14"/>
      <c r="BB104" s="13"/>
      <c r="BC104" s="44"/>
      <c r="BD104" s="44"/>
      <c r="BE104" s="14"/>
      <c r="BF104" s="13"/>
      <c r="BG104" s="44"/>
      <c r="BH104" s="44"/>
      <c r="BI104" s="14"/>
      <c r="BJ104" s="13"/>
      <c r="BK104" s="44"/>
      <c r="BL104" s="44"/>
      <c r="BM104" s="14"/>
      <c r="BN104" s="13"/>
      <c r="BO104" s="44"/>
      <c r="BP104" s="44"/>
      <c r="BQ104" s="14"/>
      <c r="BR104" s="13"/>
      <c r="BS104" s="44"/>
      <c r="BT104" s="44"/>
      <c r="BU104" s="14"/>
      <c r="BV104" s="13"/>
      <c r="BW104" s="44"/>
      <c r="BX104" s="44"/>
      <c r="BY104" s="14"/>
      <c r="BZ104" s="13"/>
      <c r="CA104" s="44"/>
      <c r="CB104" s="44"/>
      <c r="CC104" s="14"/>
      <c r="CD104" s="13"/>
      <c r="CE104" s="44"/>
      <c r="CF104" s="44"/>
      <c r="CG104" s="14"/>
      <c r="CH104" s="13"/>
      <c r="CI104" s="44"/>
      <c r="CJ104" s="44"/>
      <c r="CK104" s="14"/>
      <c r="CL104" s="49"/>
      <c r="CM104" s="28"/>
    </row>
    <row r="105" spans="2:91" ht="14.25" x14ac:dyDescent="0.25">
      <c r="B105" s="55"/>
      <c r="C105" s="10" t="s">
        <v>422</v>
      </c>
      <c r="D105" s="93" t="s">
        <v>423</v>
      </c>
      <c r="E105" s="126">
        <f>E76</f>
        <v>0</v>
      </c>
      <c r="F105" s="13">
        <f t="shared" ref="F105:AK105" si="288">IF(F44="Signalized",F103,IF(F44="Stop - Two way",F88,IF(F44="Stop - All way",0,IF(F44="Free",0,"Control N/A!"))))</f>
        <v>24.400323440723039</v>
      </c>
      <c r="G105" s="44">
        <f t="shared" si="288"/>
        <v>41.177449584258348</v>
      </c>
      <c r="H105" s="44">
        <f t="shared" si="288"/>
        <v>62.07238749249484</v>
      </c>
      <c r="I105" s="14">
        <f t="shared" si="288"/>
        <v>52.851673535381458</v>
      </c>
      <c r="J105" s="13">
        <f t="shared" si="288"/>
        <v>0</v>
      </c>
      <c r="K105" s="44" t="str">
        <f t="shared" si="288"/>
        <v>Control N/A!</v>
      </c>
      <c r="L105" s="44">
        <f t="shared" si="288"/>
        <v>0</v>
      </c>
      <c r="M105" s="14">
        <f t="shared" si="288"/>
        <v>0</v>
      </c>
      <c r="N105" s="13">
        <f t="shared" si="288"/>
        <v>29.548731893094828</v>
      </c>
      <c r="O105" s="44">
        <f t="shared" si="288"/>
        <v>46.559313713233593</v>
      </c>
      <c r="P105" s="44">
        <f t="shared" si="288"/>
        <v>63.236293335175269</v>
      </c>
      <c r="Q105" s="14">
        <f t="shared" si="288"/>
        <v>39.486475489830482</v>
      </c>
      <c r="R105" s="13">
        <f t="shared" si="288"/>
        <v>0</v>
      </c>
      <c r="S105" s="44" t="str">
        <f t="shared" si="288"/>
        <v>Control N/A!</v>
      </c>
      <c r="T105" s="44">
        <f t="shared" si="288"/>
        <v>0</v>
      </c>
      <c r="U105" s="14">
        <f t="shared" si="288"/>
        <v>0</v>
      </c>
      <c r="V105" s="13">
        <f t="shared" si="288"/>
        <v>28.892373753889849</v>
      </c>
      <c r="W105" s="44" t="str">
        <f t="shared" si="288"/>
        <v>Control N/A!</v>
      </c>
      <c r="X105" s="44">
        <f t="shared" si="288"/>
        <v>9.9801708803545885</v>
      </c>
      <c r="Y105" s="14">
        <f t="shared" si="288"/>
        <v>18.128179498269247</v>
      </c>
      <c r="Z105" s="13">
        <f t="shared" si="288"/>
        <v>17.504788384835454</v>
      </c>
      <c r="AA105" s="44" t="str">
        <f t="shared" si="288"/>
        <v>Control N/A!</v>
      </c>
      <c r="AB105" s="44">
        <f t="shared" si="288"/>
        <v>23.370865063460254</v>
      </c>
      <c r="AC105" s="14">
        <f t="shared" si="288"/>
        <v>21.682200232666133</v>
      </c>
      <c r="AD105" s="13">
        <f t="shared" si="288"/>
        <v>44.245095718842755</v>
      </c>
      <c r="AE105" s="44" t="str">
        <f t="shared" si="288"/>
        <v>Control N/A!</v>
      </c>
      <c r="AF105" s="44">
        <f t="shared" si="288"/>
        <v>5.6521739130434785</v>
      </c>
      <c r="AG105" s="14">
        <f t="shared" si="288"/>
        <v>20.31110695245194</v>
      </c>
      <c r="AH105" s="13">
        <f t="shared" si="288"/>
        <v>10.19400850109013</v>
      </c>
      <c r="AI105" s="44">
        <f t="shared" si="288"/>
        <v>7.191876750461013</v>
      </c>
      <c r="AJ105" s="44">
        <f t="shared" si="288"/>
        <v>24.730056226385251</v>
      </c>
      <c r="AK105" s="14">
        <f t="shared" si="288"/>
        <v>14.588086670651977</v>
      </c>
      <c r="AL105" s="13" t="str">
        <f t="shared" ref="AL105:BQ105" si="289">IF(AL44="Signalized",AL103,IF(AL44="Stop - Two way",AL88,IF(AL44="Stop - All way",0,IF(AL44="Free",0,"Control N/A!"))))</f>
        <v>Control N/A!</v>
      </c>
      <c r="AM105" s="44" t="str">
        <f t="shared" si="289"/>
        <v>Control N/A!</v>
      </c>
      <c r="AN105" s="44" t="str">
        <f t="shared" si="289"/>
        <v>Control N/A!</v>
      </c>
      <c r="AO105" s="14" t="str">
        <f t="shared" si="289"/>
        <v>Control N/A!</v>
      </c>
      <c r="AP105" s="13" t="str">
        <f t="shared" si="289"/>
        <v>Control N/A!</v>
      </c>
      <c r="AQ105" s="44" t="str">
        <f t="shared" si="289"/>
        <v>Control N/A!</v>
      </c>
      <c r="AR105" s="44" t="str">
        <f t="shared" si="289"/>
        <v>Control N/A!</v>
      </c>
      <c r="AS105" s="14" t="str">
        <f t="shared" si="289"/>
        <v>Control N/A!</v>
      </c>
      <c r="AT105" s="13" t="str">
        <f t="shared" si="289"/>
        <v>Control N/A!</v>
      </c>
      <c r="AU105" s="44" t="str">
        <f t="shared" si="289"/>
        <v>Control N/A!</v>
      </c>
      <c r="AV105" s="44" t="str">
        <f t="shared" si="289"/>
        <v>Control N/A!</v>
      </c>
      <c r="AW105" s="14" t="str">
        <f t="shared" si="289"/>
        <v>Control N/A!</v>
      </c>
      <c r="AX105" s="13" t="str">
        <f t="shared" si="289"/>
        <v>Control N/A!</v>
      </c>
      <c r="AY105" s="44" t="str">
        <f t="shared" si="289"/>
        <v>Control N/A!</v>
      </c>
      <c r="AZ105" s="44" t="str">
        <f t="shared" si="289"/>
        <v>Control N/A!</v>
      </c>
      <c r="BA105" s="14" t="str">
        <f t="shared" si="289"/>
        <v>Control N/A!</v>
      </c>
      <c r="BB105" s="13" t="str">
        <f t="shared" si="289"/>
        <v>Control N/A!</v>
      </c>
      <c r="BC105" s="44" t="str">
        <f t="shared" si="289"/>
        <v>Control N/A!</v>
      </c>
      <c r="BD105" s="44" t="str">
        <f t="shared" si="289"/>
        <v>Control N/A!</v>
      </c>
      <c r="BE105" s="14" t="str">
        <f t="shared" si="289"/>
        <v>Control N/A!</v>
      </c>
      <c r="BF105" s="13" t="str">
        <f t="shared" si="289"/>
        <v>Control N/A!</v>
      </c>
      <c r="BG105" s="44" t="str">
        <f t="shared" si="289"/>
        <v>Control N/A!</v>
      </c>
      <c r="BH105" s="44" t="str">
        <f t="shared" si="289"/>
        <v>Control N/A!</v>
      </c>
      <c r="BI105" s="14" t="str">
        <f t="shared" si="289"/>
        <v>Control N/A!</v>
      </c>
      <c r="BJ105" s="13" t="str">
        <f t="shared" si="289"/>
        <v>Control N/A!</v>
      </c>
      <c r="BK105" s="44" t="str">
        <f t="shared" si="289"/>
        <v>Control N/A!</v>
      </c>
      <c r="BL105" s="44" t="str">
        <f t="shared" si="289"/>
        <v>Control N/A!</v>
      </c>
      <c r="BM105" s="14" t="str">
        <f t="shared" si="289"/>
        <v>Control N/A!</v>
      </c>
      <c r="BN105" s="13" t="str">
        <f t="shared" si="289"/>
        <v>Control N/A!</v>
      </c>
      <c r="BO105" s="44" t="str">
        <f t="shared" si="289"/>
        <v>Control N/A!</v>
      </c>
      <c r="BP105" s="44" t="str">
        <f t="shared" si="289"/>
        <v>Control N/A!</v>
      </c>
      <c r="BQ105" s="14" t="str">
        <f t="shared" si="289"/>
        <v>Control N/A!</v>
      </c>
      <c r="BR105" s="13" t="str">
        <f t="shared" ref="BR105:CK105" si="290">IF(BR44="Signalized",BR103,IF(BR44="Stop - Two way",BR88,IF(BR44="Stop - All way",0,IF(BR44="Free",0,"Control N/A!"))))</f>
        <v>Control N/A!</v>
      </c>
      <c r="BS105" s="44" t="str">
        <f t="shared" si="290"/>
        <v>Control N/A!</v>
      </c>
      <c r="BT105" s="44" t="str">
        <f t="shared" si="290"/>
        <v>Control N/A!</v>
      </c>
      <c r="BU105" s="14" t="str">
        <f t="shared" si="290"/>
        <v>Control N/A!</v>
      </c>
      <c r="BV105" s="13" t="str">
        <f t="shared" si="290"/>
        <v>Control N/A!</v>
      </c>
      <c r="BW105" s="44" t="str">
        <f t="shared" si="290"/>
        <v>Control N/A!</v>
      </c>
      <c r="BX105" s="44" t="str">
        <f t="shared" si="290"/>
        <v>Control N/A!</v>
      </c>
      <c r="BY105" s="14" t="str">
        <f t="shared" si="290"/>
        <v>Control N/A!</v>
      </c>
      <c r="BZ105" s="13" t="str">
        <f t="shared" si="290"/>
        <v>Control N/A!</v>
      </c>
      <c r="CA105" s="44" t="str">
        <f t="shared" si="290"/>
        <v>Control N/A!</v>
      </c>
      <c r="CB105" s="44" t="str">
        <f t="shared" si="290"/>
        <v>Control N/A!</v>
      </c>
      <c r="CC105" s="14" t="str">
        <f t="shared" si="290"/>
        <v>Control N/A!</v>
      </c>
      <c r="CD105" s="13" t="str">
        <f t="shared" si="290"/>
        <v>Control N/A!</v>
      </c>
      <c r="CE105" s="44" t="str">
        <f t="shared" si="290"/>
        <v>Control N/A!</v>
      </c>
      <c r="CF105" s="44" t="str">
        <f t="shared" si="290"/>
        <v>Control N/A!</v>
      </c>
      <c r="CG105" s="14" t="str">
        <f t="shared" si="290"/>
        <v>Control N/A!</v>
      </c>
      <c r="CH105" s="13" t="str">
        <f t="shared" si="290"/>
        <v>Control N/A!</v>
      </c>
      <c r="CI105" s="44" t="str">
        <f t="shared" si="290"/>
        <v>Control N/A!</v>
      </c>
      <c r="CJ105" s="44" t="str">
        <f t="shared" si="290"/>
        <v>Control N/A!</v>
      </c>
      <c r="CK105" s="14" t="str">
        <f t="shared" si="290"/>
        <v>Control N/A!</v>
      </c>
      <c r="CL105" s="49"/>
      <c r="CM105" s="28"/>
    </row>
    <row r="106" spans="2:91" ht="14.25" x14ac:dyDescent="0.25">
      <c r="B106" s="55"/>
      <c r="C106" s="10" t="s">
        <v>109</v>
      </c>
      <c r="D106" s="93" t="s">
        <v>110</v>
      </c>
      <c r="E106" s="126">
        <f t="shared" ref="E106:AJ106" si="291">IF(AND(E45="Yes",(E37-1.5)&gt;0),E37-1.5,E37)</f>
        <v>0</v>
      </c>
      <c r="F106" s="13">
        <f t="shared" si="291"/>
        <v>0</v>
      </c>
      <c r="G106" s="44">
        <f t="shared" si="291"/>
        <v>0</v>
      </c>
      <c r="H106" s="44">
        <f t="shared" si="291"/>
        <v>0</v>
      </c>
      <c r="I106" s="14">
        <f t="shared" si="291"/>
        <v>0</v>
      </c>
      <c r="J106" s="13">
        <f t="shared" si="291"/>
        <v>0</v>
      </c>
      <c r="K106" s="44">
        <f t="shared" si="291"/>
        <v>0</v>
      </c>
      <c r="L106" s="44">
        <f t="shared" si="291"/>
        <v>0</v>
      </c>
      <c r="M106" s="14">
        <f t="shared" si="291"/>
        <v>0</v>
      </c>
      <c r="N106" s="13">
        <f t="shared" si="291"/>
        <v>0</v>
      </c>
      <c r="O106" s="44">
        <f t="shared" si="291"/>
        <v>0</v>
      </c>
      <c r="P106" s="44">
        <f t="shared" si="291"/>
        <v>0</v>
      </c>
      <c r="Q106" s="14">
        <f t="shared" si="291"/>
        <v>0</v>
      </c>
      <c r="R106" s="13">
        <f t="shared" si="291"/>
        <v>0</v>
      </c>
      <c r="S106" s="44">
        <f t="shared" si="291"/>
        <v>0</v>
      </c>
      <c r="T106" s="44">
        <f t="shared" si="291"/>
        <v>0</v>
      </c>
      <c r="U106" s="14">
        <f t="shared" si="291"/>
        <v>0</v>
      </c>
      <c r="V106" s="13">
        <f t="shared" si="291"/>
        <v>0</v>
      </c>
      <c r="W106" s="44">
        <f t="shared" si="291"/>
        <v>0</v>
      </c>
      <c r="X106" s="44">
        <f t="shared" si="291"/>
        <v>0</v>
      </c>
      <c r="Y106" s="14">
        <f t="shared" si="291"/>
        <v>0</v>
      </c>
      <c r="Z106" s="13">
        <f t="shared" si="291"/>
        <v>0</v>
      </c>
      <c r="AA106" s="44">
        <f t="shared" si="291"/>
        <v>0</v>
      </c>
      <c r="AB106" s="44">
        <f t="shared" si="291"/>
        <v>0</v>
      </c>
      <c r="AC106" s="14">
        <f t="shared" si="291"/>
        <v>0</v>
      </c>
      <c r="AD106" s="13">
        <f t="shared" si="291"/>
        <v>0</v>
      </c>
      <c r="AE106" s="44">
        <f t="shared" si="291"/>
        <v>0</v>
      </c>
      <c r="AF106" s="44">
        <f t="shared" si="291"/>
        <v>0</v>
      </c>
      <c r="AG106" s="14">
        <f t="shared" si="291"/>
        <v>0</v>
      </c>
      <c r="AH106" s="13">
        <f t="shared" si="291"/>
        <v>0</v>
      </c>
      <c r="AI106" s="44">
        <f t="shared" si="291"/>
        <v>0</v>
      </c>
      <c r="AJ106" s="44">
        <f t="shared" si="291"/>
        <v>0</v>
      </c>
      <c r="AK106" s="14">
        <f t="shared" ref="AK106:BP106" si="292">IF(AND(AK45="Yes",(AK37-1.5)&gt;0),AK37-1.5,AK37)</f>
        <v>0</v>
      </c>
      <c r="AL106" s="13">
        <f t="shared" si="292"/>
        <v>0</v>
      </c>
      <c r="AM106" s="44">
        <f t="shared" si="292"/>
        <v>0</v>
      </c>
      <c r="AN106" s="44">
        <f t="shared" si="292"/>
        <v>0</v>
      </c>
      <c r="AO106" s="14">
        <f t="shared" si="292"/>
        <v>0</v>
      </c>
      <c r="AP106" s="13">
        <f t="shared" si="292"/>
        <v>0</v>
      </c>
      <c r="AQ106" s="44">
        <f t="shared" si="292"/>
        <v>0</v>
      </c>
      <c r="AR106" s="44">
        <f t="shared" si="292"/>
        <v>0</v>
      </c>
      <c r="AS106" s="14">
        <f t="shared" si="292"/>
        <v>0</v>
      </c>
      <c r="AT106" s="13">
        <f t="shared" si="292"/>
        <v>0</v>
      </c>
      <c r="AU106" s="44">
        <f t="shared" si="292"/>
        <v>0</v>
      </c>
      <c r="AV106" s="44">
        <f t="shared" si="292"/>
        <v>0</v>
      </c>
      <c r="AW106" s="14">
        <f t="shared" si="292"/>
        <v>0</v>
      </c>
      <c r="AX106" s="13">
        <f t="shared" si="292"/>
        <v>0</v>
      </c>
      <c r="AY106" s="44">
        <f t="shared" si="292"/>
        <v>0</v>
      </c>
      <c r="AZ106" s="44">
        <f t="shared" si="292"/>
        <v>0</v>
      </c>
      <c r="BA106" s="14">
        <f t="shared" si="292"/>
        <v>0</v>
      </c>
      <c r="BB106" s="13">
        <f t="shared" si="292"/>
        <v>0</v>
      </c>
      <c r="BC106" s="44">
        <f t="shared" si="292"/>
        <v>0</v>
      </c>
      <c r="BD106" s="44">
        <f t="shared" si="292"/>
        <v>0</v>
      </c>
      <c r="BE106" s="14">
        <f t="shared" si="292"/>
        <v>0</v>
      </c>
      <c r="BF106" s="13">
        <f t="shared" si="292"/>
        <v>0</v>
      </c>
      <c r="BG106" s="44">
        <f t="shared" si="292"/>
        <v>0</v>
      </c>
      <c r="BH106" s="44">
        <f t="shared" si="292"/>
        <v>0</v>
      </c>
      <c r="BI106" s="14">
        <f t="shared" si="292"/>
        <v>0</v>
      </c>
      <c r="BJ106" s="13">
        <f t="shared" si="292"/>
        <v>0</v>
      </c>
      <c r="BK106" s="44">
        <f t="shared" si="292"/>
        <v>0</v>
      </c>
      <c r="BL106" s="44">
        <f t="shared" si="292"/>
        <v>0</v>
      </c>
      <c r="BM106" s="14">
        <f t="shared" si="292"/>
        <v>0</v>
      </c>
      <c r="BN106" s="13">
        <f t="shared" si="292"/>
        <v>0</v>
      </c>
      <c r="BO106" s="44">
        <f t="shared" si="292"/>
        <v>0</v>
      </c>
      <c r="BP106" s="44">
        <f t="shared" si="292"/>
        <v>0</v>
      </c>
      <c r="BQ106" s="14">
        <f t="shared" ref="BQ106:CK106" si="293">IF(AND(BQ45="Yes",(BQ37-1.5)&gt;0),BQ37-1.5,BQ37)</f>
        <v>0</v>
      </c>
      <c r="BR106" s="13">
        <f t="shared" si="293"/>
        <v>0</v>
      </c>
      <c r="BS106" s="44">
        <f t="shared" si="293"/>
        <v>0</v>
      </c>
      <c r="BT106" s="44">
        <f t="shared" si="293"/>
        <v>0</v>
      </c>
      <c r="BU106" s="14">
        <f t="shared" si="293"/>
        <v>0</v>
      </c>
      <c r="BV106" s="13">
        <f t="shared" si="293"/>
        <v>0</v>
      </c>
      <c r="BW106" s="44">
        <f t="shared" si="293"/>
        <v>0</v>
      </c>
      <c r="BX106" s="44">
        <f t="shared" si="293"/>
        <v>0</v>
      </c>
      <c r="BY106" s="14">
        <f t="shared" si="293"/>
        <v>0</v>
      </c>
      <c r="BZ106" s="13">
        <f t="shared" si="293"/>
        <v>0</v>
      </c>
      <c r="CA106" s="44">
        <f t="shared" si="293"/>
        <v>0</v>
      </c>
      <c r="CB106" s="44">
        <f t="shared" si="293"/>
        <v>0</v>
      </c>
      <c r="CC106" s="14">
        <f t="shared" si="293"/>
        <v>0</v>
      </c>
      <c r="CD106" s="13">
        <f t="shared" si="293"/>
        <v>0</v>
      </c>
      <c r="CE106" s="44">
        <f t="shared" si="293"/>
        <v>0</v>
      </c>
      <c r="CF106" s="44">
        <f t="shared" si="293"/>
        <v>0</v>
      </c>
      <c r="CG106" s="14">
        <f t="shared" si="293"/>
        <v>0</v>
      </c>
      <c r="CH106" s="13">
        <f t="shared" si="293"/>
        <v>0</v>
      </c>
      <c r="CI106" s="44">
        <f t="shared" si="293"/>
        <v>0</v>
      </c>
      <c r="CJ106" s="44">
        <f t="shared" si="293"/>
        <v>0</v>
      </c>
      <c r="CK106" s="14">
        <f t="shared" si="293"/>
        <v>0</v>
      </c>
      <c r="CL106" s="49"/>
      <c r="CM106" s="28"/>
    </row>
    <row r="107" spans="2:91" ht="14.25" x14ac:dyDescent="0.25">
      <c r="B107" s="55"/>
      <c r="C107" s="10" t="s">
        <v>174</v>
      </c>
      <c r="D107" s="93" t="s">
        <v>175</v>
      </c>
      <c r="E107" s="127">
        <f t="shared" ref="E107:AJ107" si="294">IF(E35&gt;0,0,1)</f>
        <v>0</v>
      </c>
      <c r="F107" s="42">
        <f t="shared" si="294"/>
        <v>0</v>
      </c>
      <c r="G107" s="45">
        <f t="shared" si="294"/>
        <v>0</v>
      </c>
      <c r="H107" s="45">
        <f t="shared" si="294"/>
        <v>0</v>
      </c>
      <c r="I107" s="94">
        <f t="shared" si="294"/>
        <v>0</v>
      </c>
      <c r="J107" s="172">
        <f t="shared" si="294"/>
        <v>0</v>
      </c>
      <c r="K107" s="173">
        <f t="shared" si="294"/>
        <v>1</v>
      </c>
      <c r="L107" s="173">
        <f t="shared" si="294"/>
        <v>0</v>
      </c>
      <c r="M107" s="174">
        <f t="shared" si="294"/>
        <v>0</v>
      </c>
      <c r="N107" s="172">
        <f t="shared" si="294"/>
        <v>0</v>
      </c>
      <c r="O107" s="173">
        <f t="shared" si="294"/>
        <v>0</v>
      </c>
      <c r="P107" s="173">
        <f t="shared" si="294"/>
        <v>0</v>
      </c>
      <c r="Q107" s="174">
        <f t="shared" si="294"/>
        <v>0</v>
      </c>
      <c r="R107" s="172">
        <f t="shared" si="294"/>
        <v>0</v>
      </c>
      <c r="S107" s="173">
        <f t="shared" si="294"/>
        <v>1</v>
      </c>
      <c r="T107" s="173">
        <f t="shared" si="294"/>
        <v>0</v>
      </c>
      <c r="U107" s="174">
        <f t="shared" si="294"/>
        <v>0</v>
      </c>
      <c r="V107" s="172">
        <f t="shared" si="294"/>
        <v>0</v>
      </c>
      <c r="W107" s="173">
        <f t="shared" si="294"/>
        <v>1</v>
      </c>
      <c r="X107" s="173">
        <f t="shared" si="294"/>
        <v>0</v>
      </c>
      <c r="Y107" s="174">
        <f t="shared" si="294"/>
        <v>0</v>
      </c>
      <c r="Z107" s="172">
        <f t="shared" si="294"/>
        <v>0</v>
      </c>
      <c r="AA107" s="173">
        <f t="shared" si="294"/>
        <v>1</v>
      </c>
      <c r="AB107" s="173">
        <f t="shared" si="294"/>
        <v>0</v>
      </c>
      <c r="AC107" s="174">
        <f t="shared" si="294"/>
        <v>0</v>
      </c>
      <c r="AD107" s="172">
        <f t="shared" si="294"/>
        <v>0</v>
      </c>
      <c r="AE107" s="173">
        <f t="shared" si="294"/>
        <v>1</v>
      </c>
      <c r="AF107" s="173">
        <f t="shared" si="294"/>
        <v>0</v>
      </c>
      <c r="AG107" s="174">
        <f t="shared" si="294"/>
        <v>0</v>
      </c>
      <c r="AH107" s="172">
        <f t="shared" si="294"/>
        <v>0</v>
      </c>
      <c r="AI107" s="173">
        <f t="shared" si="294"/>
        <v>0</v>
      </c>
      <c r="AJ107" s="173">
        <f t="shared" si="294"/>
        <v>0</v>
      </c>
      <c r="AK107" s="174">
        <f t="shared" ref="AK107:BP107" si="295">IF(AK35&gt;0,0,1)</f>
        <v>0</v>
      </c>
      <c r="AL107" s="172">
        <f t="shared" si="295"/>
        <v>1</v>
      </c>
      <c r="AM107" s="173">
        <f t="shared" si="295"/>
        <v>1</v>
      </c>
      <c r="AN107" s="173">
        <f t="shared" si="295"/>
        <v>1</v>
      </c>
      <c r="AO107" s="174">
        <f t="shared" si="295"/>
        <v>1</v>
      </c>
      <c r="AP107" s="172">
        <f t="shared" si="295"/>
        <v>1</v>
      </c>
      <c r="AQ107" s="173">
        <f t="shared" si="295"/>
        <v>1</v>
      </c>
      <c r="AR107" s="173">
        <f t="shared" si="295"/>
        <v>1</v>
      </c>
      <c r="AS107" s="174">
        <f t="shared" si="295"/>
        <v>1</v>
      </c>
      <c r="AT107" s="172">
        <f t="shared" si="295"/>
        <v>1</v>
      </c>
      <c r="AU107" s="173">
        <f t="shared" si="295"/>
        <v>1</v>
      </c>
      <c r="AV107" s="173">
        <f t="shared" si="295"/>
        <v>1</v>
      </c>
      <c r="AW107" s="174">
        <f t="shared" si="295"/>
        <v>1</v>
      </c>
      <c r="AX107" s="172">
        <f t="shared" si="295"/>
        <v>1</v>
      </c>
      <c r="AY107" s="173">
        <f t="shared" si="295"/>
        <v>1</v>
      </c>
      <c r="AZ107" s="173">
        <f t="shared" si="295"/>
        <v>1</v>
      </c>
      <c r="BA107" s="174">
        <f t="shared" si="295"/>
        <v>1</v>
      </c>
      <c r="BB107" s="172">
        <f t="shared" si="295"/>
        <v>1</v>
      </c>
      <c r="BC107" s="173">
        <f t="shared" si="295"/>
        <v>1</v>
      </c>
      <c r="BD107" s="173">
        <f t="shared" si="295"/>
        <v>1</v>
      </c>
      <c r="BE107" s="174">
        <f t="shared" si="295"/>
        <v>1</v>
      </c>
      <c r="BF107" s="172">
        <f t="shared" si="295"/>
        <v>1</v>
      </c>
      <c r="BG107" s="173">
        <f t="shared" si="295"/>
        <v>1</v>
      </c>
      <c r="BH107" s="173">
        <f t="shared" si="295"/>
        <v>1</v>
      </c>
      <c r="BI107" s="174">
        <f t="shared" si="295"/>
        <v>1</v>
      </c>
      <c r="BJ107" s="172">
        <f t="shared" si="295"/>
        <v>1</v>
      </c>
      <c r="BK107" s="173">
        <f t="shared" si="295"/>
        <v>1</v>
      </c>
      <c r="BL107" s="173">
        <f t="shared" si="295"/>
        <v>1</v>
      </c>
      <c r="BM107" s="174">
        <f t="shared" si="295"/>
        <v>1</v>
      </c>
      <c r="BN107" s="172">
        <f t="shared" si="295"/>
        <v>1</v>
      </c>
      <c r="BO107" s="173">
        <f t="shared" si="295"/>
        <v>1</v>
      </c>
      <c r="BP107" s="173">
        <f t="shared" si="295"/>
        <v>1</v>
      </c>
      <c r="BQ107" s="174">
        <f t="shared" ref="BQ107:CK107" si="296">IF(BQ35&gt;0,0,1)</f>
        <v>1</v>
      </c>
      <c r="BR107" s="172">
        <f t="shared" si="296"/>
        <v>1</v>
      </c>
      <c r="BS107" s="173">
        <f t="shared" si="296"/>
        <v>1</v>
      </c>
      <c r="BT107" s="173">
        <f t="shared" si="296"/>
        <v>1</v>
      </c>
      <c r="BU107" s="174">
        <f t="shared" si="296"/>
        <v>1</v>
      </c>
      <c r="BV107" s="172">
        <f t="shared" si="296"/>
        <v>1</v>
      </c>
      <c r="BW107" s="173">
        <f t="shared" si="296"/>
        <v>1</v>
      </c>
      <c r="BX107" s="173">
        <f t="shared" si="296"/>
        <v>1</v>
      </c>
      <c r="BY107" s="174">
        <f t="shared" si="296"/>
        <v>1</v>
      </c>
      <c r="BZ107" s="172">
        <f t="shared" si="296"/>
        <v>1</v>
      </c>
      <c r="CA107" s="173">
        <f t="shared" si="296"/>
        <v>1</v>
      </c>
      <c r="CB107" s="173">
        <f t="shared" si="296"/>
        <v>1</v>
      </c>
      <c r="CC107" s="174">
        <f t="shared" si="296"/>
        <v>1</v>
      </c>
      <c r="CD107" s="172">
        <f t="shared" si="296"/>
        <v>1</v>
      </c>
      <c r="CE107" s="173">
        <f t="shared" si="296"/>
        <v>1</v>
      </c>
      <c r="CF107" s="173">
        <f t="shared" si="296"/>
        <v>1</v>
      </c>
      <c r="CG107" s="174">
        <f t="shared" si="296"/>
        <v>1</v>
      </c>
      <c r="CH107" s="172">
        <f t="shared" si="296"/>
        <v>1</v>
      </c>
      <c r="CI107" s="173">
        <f t="shared" si="296"/>
        <v>1</v>
      </c>
      <c r="CJ107" s="173">
        <f t="shared" si="296"/>
        <v>1</v>
      </c>
      <c r="CK107" s="174">
        <f t="shared" si="296"/>
        <v>1</v>
      </c>
      <c r="CL107" s="49"/>
      <c r="CM107" s="28"/>
    </row>
    <row r="108" spans="2:91" ht="14.25" x14ac:dyDescent="0.25">
      <c r="B108" s="55"/>
      <c r="C108" s="10" t="s">
        <v>45</v>
      </c>
      <c r="D108" s="93" t="s">
        <v>107</v>
      </c>
      <c r="E108" s="124">
        <f t="shared" ref="E108:AJ108" si="297">E34+E33+E106+E107*E36</f>
        <v>12</v>
      </c>
      <c r="F108" s="10">
        <f t="shared" si="297"/>
        <v>12</v>
      </c>
      <c r="G108" s="71">
        <f t="shared" si="297"/>
        <v>12</v>
      </c>
      <c r="H108" s="71">
        <f t="shared" si="297"/>
        <v>17</v>
      </c>
      <c r="I108" s="75">
        <f t="shared" si="297"/>
        <v>17</v>
      </c>
      <c r="J108" s="10">
        <f t="shared" si="297"/>
        <v>12</v>
      </c>
      <c r="K108" s="166">
        <f t="shared" si="297"/>
        <v>0</v>
      </c>
      <c r="L108" s="166">
        <f t="shared" si="297"/>
        <v>17</v>
      </c>
      <c r="M108" s="170">
        <f t="shared" si="297"/>
        <v>17</v>
      </c>
      <c r="N108" s="10">
        <f t="shared" si="297"/>
        <v>17</v>
      </c>
      <c r="O108" s="166">
        <f t="shared" si="297"/>
        <v>12</v>
      </c>
      <c r="P108" s="166">
        <f t="shared" si="297"/>
        <v>17</v>
      </c>
      <c r="Q108" s="170">
        <f t="shared" si="297"/>
        <v>17</v>
      </c>
      <c r="R108" s="10">
        <f t="shared" si="297"/>
        <v>12</v>
      </c>
      <c r="S108" s="166">
        <f t="shared" si="297"/>
        <v>0</v>
      </c>
      <c r="T108" s="166">
        <f t="shared" si="297"/>
        <v>17</v>
      </c>
      <c r="U108" s="170">
        <f t="shared" si="297"/>
        <v>17</v>
      </c>
      <c r="V108" s="10">
        <f t="shared" si="297"/>
        <v>12</v>
      </c>
      <c r="W108" s="166">
        <f t="shared" si="297"/>
        <v>0</v>
      </c>
      <c r="X108" s="166">
        <f t="shared" si="297"/>
        <v>17</v>
      </c>
      <c r="Y108" s="170">
        <f t="shared" si="297"/>
        <v>17</v>
      </c>
      <c r="Z108" s="10">
        <f t="shared" si="297"/>
        <v>12</v>
      </c>
      <c r="AA108" s="166">
        <f t="shared" si="297"/>
        <v>0</v>
      </c>
      <c r="AB108" s="166">
        <f t="shared" si="297"/>
        <v>17</v>
      </c>
      <c r="AC108" s="170">
        <f t="shared" si="297"/>
        <v>17</v>
      </c>
      <c r="AD108" s="10">
        <f t="shared" si="297"/>
        <v>12</v>
      </c>
      <c r="AE108" s="166">
        <f t="shared" si="297"/>
        <v>0</v>
      </c>
      <c r="AF108" s="166">
        <f t="shared" si="297"/>
        <v>12</v>
      </c>
      <c r="AG108" s="170">
        <f t="shared" si="297"/>
        <v>12</v>
      </c>
      <c r="AH108" s="10">
        <f t="shared" si="297"/>
        <v>12</v>
      </c>
      <c r="AI108" s="166">
        <f t="shared" si="297"/>
        <v>12</v>
      </c>
      <c r="AJ108" s="166">
        <f t="shared" si="297"/>
        <v>12</v>
      </c>
      <c r="AK108" s="170">
        <f t="shared" ref="AK108:BP108" si="298">AK34+AK33+AK106+AK107*AK36</f>
        <v>12</v>
      </c>
      <c r="AL108" s="10">
        <f t="shared" si="298"/>
        <v>0</v>
      </c>
      <c r="AM108" s="166">
        <f t="shared" si="298"/>
        <v>0</v>
      </c>
      <c r="AN108" s="166">
        <f t="shared" si="298"/>
        <v>0</v>
      </c>
      <c r="AO108" s="170">
        <f t="shared" si="298"/>
        <v>0</v>
      </c>
      <c r="AP108" s="10">
        <f t="shared" si="298"/>
        <v>0</v>
      </c>
      <c r="AQ108" s="166">
        <f t="shared" si="298"/>
        <v>0</v>
      </c>
      <c r="AR108" s="166">
        <f t="shared" si="298"/>
        <v>0</v>
      </c>
      <c r="AS108" s="170">
        <f t="shared" si="298"/>
        <v>0</v>
      </c>
      <c r="AT108" s="10">
        <f t="shared" si="298"/>
        <v>0</v>
      </c>
      <c r="AU108" s="166">
        <f t="shared" si="298"/>
        <v>0</v>
      </c>
      <c r="AV108" s="166">
        <f t="shared" si="298"/>
        <v>0</v>
      </c>
      <c r="AW108" s="170">
        <f t="shared" si="298"/>
        <v>0</v>
      </c>
      <c r="AX108" s="10">
        <f t="shared" si="298"/>
        <v>0</v>
      </c>
      <c r="AY108" s="166">
        <f t="shared" si="298"/>
        <v>0</v>
      </c>
      <c r="AZ108" s="166">
        <f t="shared" si="298"/>
        <v>0</v>
      </c>
      <c r="BA108" s="170">
        <f t="shared" si="298"/>
        <v>0</v>
      </c>
      <c r="BB108" s="10">
        <f t="shared" si="298"/>
        <v>0</v>
      </c>
      <c r="BC108" s="166">
        <f t="shared" si="298"/>
        <v>0</v>
      </c>
      <c r="BD108" s="166">
        <f t="shared" si="298"/>
        <v>0</v>
      </c>
      <c r="BE108" s="170">
        <f t="shared" si="298"/>
        <v>0</v>
      </c>
      <c r="BF108" s="10">
        <f t="shared" si="298"/>
        <v>0</v>
      </c>
      <c r="BG108" s="166">
        <f t="shared" si="298"/>
        <v>0</v>
      </c>
      <c r="BH108" s="166">
        <f t="shared" si="298"/>
        <v>0</v>
      </c>
      <c r="BI108" s="170">
        <f t="shared" si="298"/>
        <v>0</v>
      </c>
      <c r="BJ108" s="10">
        <f t="shared" si="298"/>
        <v>0</v>
      </c>
      <c r="BK108" s="166">
        <f t="shared" si="298"/>
        <v>0</v>
      </c>
      <c r="BL108" s="166">
        <f t="shared" si="298"/>
        <v>0</v>
      </c>
      <c r="BM108" s="170">
        <f t="shared" si="298"/>
        <v>0</v>
      </c>
      <c r="BN108" s="10">
        <f t="shared" si="298"/>
        <v>0</v>
      </c>
      <c r="BO108" s="166">
        <f t="shared" si="298"/>
        <v>0</v>
      </c>
      <c r="BP108" s="166">
        <f t="shared" si="298"/>
        <v>0</v>
      </c>
      <c r="BQ108" s="170">
        <f t="shared" ref="BQ108:CV108" si="299">BQ34+BQ33+BQ106+BQ107*BQ36</f>
        <v>0</v>
      </c>
      <c r="BR108" s="10">
        <f t="shared" si="299"/>
        <v>0</v>
      </c>
      <c r="BS108" s="166">
        <f t="shared" si="299"/>
        <v>0</v>
      </c>
      <c r="BT108" s="166">
        <f t="shared" si="299"/>
        <v>0</v>
      </c>
      <c r="BU108" s="170">
        <f t="shared" si="299"/>
        <v>0</v>
      </c>
      <c r="BV108" s="10">
        <f t="shared" si="299"/>
        <v>0</v>
      </c>
      <c r="BW108" s="166">
        <f t="shared" si="299"/>
        <v>0</v>
      </c>
      <c r="BX108" s="166">
        <f t="shared" si="299"/>
        <v>0</v>
      </c>
      <c r="BY108" s="170">
        <f t="shared" si="299"/>
        <v>0</v>
      </c>
      <c r="BZ108" s="10">
        <f t="shared" si="299"/>
        <v>0</v>
      </c>
      <c r="CA108" s="166">
        <f t="shared" si="299"/>
        <v>0</v>
      </c>
      <c r="CB108" s="166">
        <f t="shared" si="299"/>
        <v>0</v>
      </c>
      <c r="CC108" s="170">
        <f t="shared" si="299"/>
        <v>0</v>
      </c>
      <c r="CD108" s="10">
        <f t="shared" si="299"/>
        <v>0</v>
      </c>
      <c r="CE108" s="166">
        <f t="shared" si="299"/>
        <v>0</v>
      </c>
      <c r="CF108" s="166">
        <f t="shared" si="299"/>
        <v>0</v>
      </c>
      <c r="CG108" s="170">
        <f t="shared" si="299"/>
        <v>0</v>
      </c>
      <c r="CH108" s="10">
        <f t="shared" si="299"/>
        <v>0</v>
      </c>
      <c r="CI108" s="166">
        <f t="shared" si="299"/>
        <v>0</v>
      </c>
      <c r="CJ108" s="166">
        <f t="shared" si="299"/>
        <v>0</v>
      </c>
      <c r="CK108" s="170">
        <f t="shared" si="299"/>
        <v>0</v>
      </c>
      <c r="CL108" s="49"/>
      <c r="CM108" s="28"/>
    </row>
    <row r="109" spans="2:91" ht="14.25" x14ac:dyDescent="0.25">
      <c r="B109" s="55"/>
      <c r="C109" s="10" t="s">
        <v>103</v>
      </c>
      <c r="D109" s="93" t="s">
        <v>39</v>
      </c>
      <c r="E109" s="125">
        <f t="shared" ref="E109:AJ109" si="300">0.0153*E31-0.2144*E108</f>
        <v>-2.5728</v>
      </c>
      <c r="F109" s="72">
        <f t="shared" si="300"/>
        <v>-1.7772000000000001</v>
      </c>
      <c r="G109" s="73">
        <f t="shared" si="300"/>
        <v>-1.7772000000000001</v>
      </c>
      <c r="H109" s="73">
        <f t="shared" si="300"/>
        <v>-2.6656</v>
      </c>
      <c r="I109" s="74">
        <f t="shared" si="300"/>
        <v>-2.6656</v>
      </c>
      <c r="J109" s="168">
        <f t="shared" si="300"/>
        <v>-1.9607999999999999</v>
      </c>
      <c r="K109" s="171">
        <f t="shared" si="300"/>
        <v>0</v>
      </c>
      <c r="L109" s="171">
        <f t="shared" si="300"/>
        <v>-2.8797999999999999</v>
      </c>
      <c r="M109" s="169">
        <f t="shared" si="300"/>
        <v>-2.8797999999999999</v>
      </c>
      <c r="N109" s="168">
        <f t="shared" si="300"/>
        <v>-2.7267999999999999</v>
      </c>
      <c r="O109" s="171">
        <f t="shared" si="300"/>
        <v>-1.1958</v>
      </c>
      <c r="P109" s="171">
        <f t="shared" si="300"/>
        <v>-2.9104000000000001</v>
      </c>
      <c r="Q109" s="169">
        <f t="shared" si="300"/>
        <v>-2.8338999999999999</v>
      </c>
      <c r="R109" s="168">
        <f t="shared" si="300"/>
        <v>-2.1444000000000001</v>
      </c>
      <c r="S109" s="171">
        <f t="shared" si="300"/>
        <v>0</v>
      </c>
      <c r="T109" s="171">
        <f t="shared" si="300"/>
        <v>-2.8797999999999999</v>
      </c>
      <c r="U109" s="169">
        <f t="shared" si="300"/>
        <v>-2.8797999999999999</v>
      </c>
      <c r="V109" s="168">
        <f t="shared" si="300"/>
        <v>-1.4406000000000001</v>
      </c>
      <c r="W109" s="171">
        <f t="shared" si="300"/>
        <v>0</v>
      </c>
      <c r="X109" s="171">
        <f t="shared" si="300"/>
        <v>-2.9563000000000001</v>
      </c>
      <c r="Y109" s="169">
        <f t="shared" si="300"/>
        <v>-2.9563000000000001</v>
      </c>
      <c r="Z109" s="168">
        <f t="shared" si="300"/>
        <v>-2.0373000000000001</v>
      </c>
      <c r="AA109" s="171">
        <f t="shared" si="300"/>
        <v>0</v>
      </c>
      <c r="AB109" s="171">
        <f t="shared" si="300"/>
        <v>-3.0022000000000002</v>
      </c>
      <c r="AC109" s="169">
        <f t="shared" si="300"/>
        <v>-3.0022000000000002</v>
      </c>
      <c r="AD109" s="168">
        <f t="shared" si="300"/>
        <v>-2.0678999999999998</v>
      </c>
      <c r="AE109" s="171">
        <f t="shared" si="300"/>
        <v>0</v>
      </c>
      <c r="AF109" s="171">
        <f t="shared" si="300"/>
        <v>-2.1137999999999999</v>
      </c>
      <c r="AG109" s="169">
        <f t="shared" si="300"/>
        <v>-2.1137999999999999</v>
      </c>
      <c r="AH109" s="168">
        <f t="shared" si="300"/>
        <v>-2.0526</v>
      </c>
      <c r="AI109" s="171">
        <f t="shared" si="300"/>
        <v>-1.8996</v>
      </c>
      <c r="AJ109" s="171">
        <f t="shared" si="300"/>
        <v>-1.9455</v>
      </c>
      <c r="AK109" s="169">
        <f t="shared" ref="AK109:BP109" si="301">0.0153*AK31-0.2144*AK108</f>
        <v>-1.9455</v>
      </c>
      <c r="AL109" s="168">
        <f t="shared" si="301"/>
        <v>0</v>
      </c>
      <c r="AM109" s="171">
        <f t="shared" si="301"/>
        <v>0</v>
      </c>
      <c r="AN109" s="171">
        <f t="shared" si="301"/>
        <v>0</v>
      </c>
      <c r="AO109" s="169">
        <f t="shared" si="301"/>
        <v>0</v>
      </c>
      <c r="AP109" s="168">
        <f t="shared" si="301"/>
        <v>0</v>
      </c>
      <c r="AQ109" s="171">
        <f t="shared" si="301"/>
        <v>0</v>
      </c>
      <c r="AR109" s="171">
        <f t="shared" si="301"/>
        <v>0</v>
      </c>
      <c r="AS109" s="169">
        <f t="shared" si="301"/>
        <v>0</v>
      </c>
      <c r="AT109" s="168">
        <f t="shared" si="301"/>
        <v>0</v>
      </c>
      <c r="AU109" s="171">
        <f t="shared" si="301"/>
        <v>0</v>
      </c>
      <c r="AV109" s="171">
        <f t="shared" si="301"/>
        <v>0</v>
      </c>
      <c r="AW109" s="169">
        <f t="shared" si="301"/>
        <v>0</v>
      </c>
      <c r="AX109" s="168">
        <f t="shared" si="301"/>
        <v>0</v>
      </c>
      <c r="AY109" s="171">
        <f t="shared" si="301"/>
        <v>0</v>
      </c>
      <c r="AZ109" s="171">
        <f t="shared" si="301"/>
        <v>0</v>
      </c>
      <c r="BA109" s="169">
        <f t="shared" si="301"/>
        <v>0</v>
      </c>
      <c r="BB109" s="168">
        <f t="shared" si="301"/>
        <v>0</v>
      </c>
      <c r="BC109" s="171">
        <f t="shared" si="301"/>
        <v>0</v>
      </c>
      <c r="BD109" s="171">
        <f t="shared" si="301"/>
        <v>0</v>
      </c>
      <c r="BE109" s="169">
        <f t="shared" si="301"/>
        <v>0</v>
      </c>
      <c r="BF109" s="168">
        <f t="shared" si="301"/>
        <v>0</v>
      </c>
      <c r="BG109" s="171">
        <f t="shared" si="301"/>
        <v>0</v>
      </c>
      <c r="BH109" s="171">
        <f t="shared" si="301"/>
        <v>0</v>
      </c>
      <c r="BI109" s="169">
        <f t="shared" si="301"/>
        <v>0</v>
      </c>
      <c r="BJ109" s="168">
        <f t="shared" si="301"/>
        <v>0</v>
      </c>
      <c r="BK109" s="171">
        <f t="shared" si="301"/>
        <v>0</v>
      </c>
      <c r="BL109" s="171">
        <f t="shared" si="301"/>
        <v>0</v>
      </c>
      <c r="BM109" s="169">
        <f t="shared" si="301"/>
        <v>0</v>
      </c>
      <c r="BN109" s="168">
        <f t="shared" si="301"/>
        <v>0</v>
      </c>
      <c r="BO109" s="171">
        <f t="shared" si="301"/>
        <v>0</v>
      </c>
      <c r="BP109" s="171">
        <f t="shared" si="301"/>
        <v>0</v>
      </c>
      <c r="BQ109" s="169">
        <f t="shared" ref="BQ109:CV109" si="302">0.0153*BQ31-0.2144*BQ108</f>
        <v>0</v>
      </c>
      <c r="BR109" s="168">
        <f t="shared" si="302"/>
        <v>0</v>
      </c>
      <c r="BS109" s="171">
        <f t="shared" si="302"/>
        <v>0</v>
      </c>
      <c r="BT109" s="171">
        <f t="shared" si="302"/>
        <v>0</v>
      </c>
      <c r="BU109" s="169">
        <f t="shared" si="302"/>
        <v>0</v>
      </c>
      <c r="BV109" s="168">
        <f t="shared" si="302"/>
        <v>0</v>
      </c>
      <c r="BW109" s="171">
        <f t="shared" si="302"/>
        <v>0</v>
      </c>
      <c r="BX109" s="171">
        <f t="shared" si="302"/>
        <v>0</v>
      </c>
      <c r="BY109" s="169">
        <f t="shared" si="302"/>
        <v>0</v>
      </c>
      <c r="BZ109" s="168">
        <f t="shared" si="302"/>
        <v>0</v>
      </c>
      <c r="CA109" s="171">
        <f t="shared" si="302"/>
        <v>0</v>
      </c>
      <c r="CB109" s="171">
        <f t="shared" si="302"/>
        <v>0</v>
      </c>
      <c r="CC109" s="169">
        <f t="shared" si="302"/>
        <v>0</v>
      </c>
      <c r="CD109" s="168">
        <f t="shared" si="302"/>
        <v>0</v>
      </c>
      <c r="CE109" s="171">
        <f t="shared" si="302"/>
        <v>0</v>
      </c>
      <c r="CF109" s="171">
        <f t="shared" si="302"/>
        <v>0</v>
      </c>
      <c r="CG109" s="169">
        <f t="shared" si="302"/>
        <v>0</v>
      </c>
      <c r="CH109" s="168">
        <f t="shared" si="302"/>
        <v>0</v>
      </c>
      <c r="CI109" s="171">
        <f t="shared" si="302"/>
        <v>0</v>
      </c>
      <c r="CJ109" s="171">
        <f t="shared" si="302"/>
        <v>0</v>
      </c>
      <c r="CK109" s="169">
        <f t="shared" si="302"/>
        <v>0</v>
      </c>
      <c r="CL109" s="49"/>
      <c r="CM109" s="28"/>
    </row>
    <row r="110" spans="2:91" ht="14.25" x14ac:dyDescent="0.25">
      <c r="B110" s="55"/>
      <c r="C110" s="10" t="s">
        <v>102</v>
      </c>
      <c r="D110" s="93" t="s">
        <v>33</v>
      </c>
      <c r="E110" s="125" t="e">
        <f t="shared" ref="E110:AJ110" si="303">0.0066*SUM(E13:E15)/(4*E11)</f>
        <v>#DIV/0!</v>
      </c>
      <c r="F110" s="72">
        <f t="shared" si="303"/>
        <v>0.35557499999999997</v>
      </c>
      <c r="G110" s="73">
        <f t="shared" si="303"/>
        <v>0.13818749999999999</v>
      </c>
      <c r="H110" s="73">
        <f t="shared" si="303"/>
        <v>0.53047500000000003</v>
      </c>
      <c r="I110" s="74">
        <f t="shared" si="303"/>
        <v>0.32174999999999998</v>
      </c>
      <c r="J110" s="168">
        <f t="shared" si="303"/>
        <v>3.7124999999999998E-2</v>
      </c>
      <c r="K110" s="171" t="e">
        <f t="shared" si="303"/>
        <v>#DIV/0!</v>
      </c>
      <c r="L110" s="171">
        <f t="shared" si="303"/>
        <v>0.27224999999999999</v>
      </c>
      <c r="M110" s="169">
        <f t="shared" si="303"/>
        <v>0.18315000000000001</v>
      </c>
      <c r="N110" s="168">
        <f t="shared" si="303"/>
        <v>0.22976250000000001</v>
      </c>
      <c r="O110" s="171">
        <f t="shared" si="303"/>
        <v>0.268125</v>
      </c>
      <c r="P110" s="171">
        <f t="shared" si="303"/>
        <v>0.165825</v>
      </c>
      <c r="Q110" s="169">
        <f t="shared" si="303"/>
        <v>0.19057499999999999</v>
      </c>
      <c r="R110" s="168">
        <f t="shared" si="303"/>
        <v>7.1775000000000005E-2</v>
      </c>
      <c r="S110" s="171" t="e">
        <f t="shared" si="303"/>
        <v>#DIV/0!</v>
      </c>
      <c r="T110" s="171">
        <f t="shared" si="303"/>
        <v>0.53790000000000004</v>
      </c>
      <c r="U110" s="169">
        <f t="shared" si="303"/>
        <v>0.28544999999999998</v>
      </c>
      <c r="V110" s="168">
        <f t="shared" si="303"/>
        <v>7.8375E-2</v>
      </c>
      <c r="W110" s="171" t="e">
        <f t="shared" si="303"/>
        <v>#DIV/0!</v>
      </c>
      <c r="X110" s="171">
        <f t="shared" si="303"/>
        <v>0.52964999999999995</v>
      </c>
      <c r="Y110" s="169">
        <f t="shared" si="303"/>
        <v>0.21615000000000001</v>
      </c>
      <c r="Z110" s="168">
        <f t="shared" si="303"/>
        <v>0.1221</v>
      </c>
      <c r="AA110" s="171" t="e">
        <f t="shared" si="303"/>
        <v>#DIV/0!</v>
      </c>
      <c r="AB110" s="171">
        <f t="shared" si="303"/>
        <v>0.40260000000000001</v>
      </c>
      <c r="AC110" s="169">
        <f t="shared" si="303"/>
        <v>0.16994999999999999</v>
      </c>
      <c r="AD110" s="168">
        <f t="shared" si="303"/>
        <v>2.3099999999999999E-2</v>
      </c>
      <c r="AE110" s="171" t="e">
        <f t="shared" si="303"/>
        <v>#DIV/0!</v>
      </c>
      <c r="AF110" s="171">
        <f t="shared" si="303"/>
        <v>0.36712499999999998</v>
      </c>
      <c r="AG110" s="169">
        <f t="shared" si="303"/>
        <v>0.15757499999999999</v>
      </c>
      <c r="AH110" s="168">
        <f t="shared" si="303"/>
        <v>0.205425</v>
      </c>
      <c r="AI110" s="171">
        <f t="shared" si="303"/>
        <v>0.36052499999999998</v>
      </c>
      <c r="AJ110" s="171">
        <f t="shared" si="303"/>
        <v>0.35557499999999997</v>
      </c>
      <c r="AK110" s="169">
        <f t="shared" ref="AK110:BP110" si="304">0.0066*SUM(AK13:AK15)/(4*AK11)</f>
        <v>4.6199999999999998E-2</v>
      </c>
      <c r="AL110" s="168" t="e">
        <f t="shared" si="304"/>
        <v>#DIV/0!</v>
      </c>
      <c r="AM110" s="171" t="e">
        <f t="shared" si="304"/>
        <v>#DIV/0!</v>
      </c>
      <c r="AN110" s="171" t="e">
        <f t="shared" si="304"/>
        <v>#DIV/0!</v>
      </c>
      <c r="AO110" s="169" t="e">
        <f t="shared" si="304"/>
        <v>#DIV/0!</v>
      </c>
      <c r="AP110" s="168" t="e">
        <f t="shared" si="304"/>
        <v>#DIV/0!</v>
      </c>
      <c r="AQ110" s="171" t="e">
        <f t="shared" si="304"/>
        <v>#DIV/0!</v>
      </c>
      <c r="AR110" s="171" t="e">
        <f t="shared" si="304"/>
        <v>#DIV/0!</v>
      </c>
      <c r="AS110" s="169" t="e">
        <f t="shared" si="304"/>
        <v>#DIV/0!</v>
      </c>
      <c r="AT110" s="168" t="e">
        <f t="shared" si="304"/>
        <v>#DIV/0!</v>
      </c>
      <c r="AU110" s="171" t="e">
        <f t="shared" si="304"/>
        <v>#DIV/0!</v>
      </c>
      <c r="AV110" s="171" t="e">
        <f t="shared" si="304"/>
        <v>#DIV/0!</v>
      </c>
      <c r="AW110" s="169" t="e">
        <f t="shared" si="304"/>
        <v>#DIV/0!</v>
      </c>
      <c r="AX110" s="168" t="e">
        <f t="shared" si="304"/>
        <v>#DIV/0!</v>
      </c>
      <c r="AY110" s="171" t="e">
        <f t="shared" si="304"/>
        <v>#DIV/0!</v>
      </c>
      <c r="AZ110" s="171" t="e">
        <f t="shared" si="304"/>
        <v>#DIV/0!</v>
      </c>
      <c r="BA110" s="169" t="e">
        <f t="shared" si="304"/>
        <v>#DIV/0!</v>
      </c>
      <c r="BB110" s="168" t="e">
        <f t="shared" si="304"/>
        <v>#DIV/0!</v>
      </c>
      <c r="BC110" s="171" t="e">
        <f t="shared" si="304"/>
        <v>#DIV/0!</v>
      </c>
      <c r="BD110" s="171" t="e">
        <f t="shared" si="304"/>
        <v>#DIV/0!</v>
      </c>
      <c r="BE110" s="169" t="e">
        <f t="shared" si="304"/>
        <v>#DIV/0!</v>
      </c>
      <c r="BF110" s="168" t="e">
        <f t="shared" si="304"/>
        <v>#DIV/0!</v>
      </c>
      <c r="BG110" s="171" t="e">
        <f t="shared" si="304"/>
        <v>#DIV/0!</v>
      </c>
      <c r="BH110" s="171" t="e">
        <f t="shared" si="304"/>
        <v>#DIV/0!</v>
      </c>
      <c r="BI110" s="169" t="e">
        <f t="shared" si="304"/>
        <v>#DIV/0!</v>
      </c>
      <c r="BJ110" s="168" t="e">
        <f t="shared" si="304"/>
        <v>#DIV/0!</v>
      </c>
      <c r="BK110" s="171" t="e">
        <f t="shared" si="304"/>
        <v>#DIV/0!</v>
      </c>
      <c r="BL110" s="171" t="e">
        <f t="shared" si="304"/>
        <v>#DIV/0!</v>
      </c>
      <c r="BM110" s="169" t="e">
        <f t="shared" si="304"/>
        <v>#DIV/0!</v>
      </c>
      <c r="BN110" s="168" t="e">
        <f t="shared" si="304"/>
        <v>#DIV/0!</v>
      </c>
      <c r="BO110" s="171" t="e">
        <f t="shared" si="304"/>
        <v>#DIV/0!</v>
      </c>
      <c r="BP110" s="171" t="e">
        <f t="shared" si="304"/>
        <v>#DIV/0!</v>
      </c>
      <c r="BQ110" s="169" t="e">
        <f t="shared" ref="BQ110:CK110" si="305">0.0066*SUM(BQ13:BQ15)/(4*BQ11)</f>
        <v>#DIV/0!</v>
      </c>
      <c r="BR110" s="168" t="e">
        <f t="shared" si="305"/>
        <v>#DIV/0!</v>
      </c>
      <c r="BS110" s="171" t="e">
        <f t="shared" si="305"/>
        <v>#DIV/0!</v>
      </c>
      <c r="BT110" s="171" t="e">
        <f t="shared" si="305"/>
        <v>#DIV/0!</v>
      </c>
      <c r="BU110" s="169" t="e">
        <f t="shared" si="305"/>
        <v>#DIV/0!</v>
      </c>
      <c r="BV110" s="168" t="e">
        <f t="shared" si="305"/>
        <v>#DIV/0!</v>
      </c>
      <c r="BW110" s="171" t="e">
        <f t="shared" si="305"/>
        <v>#DIV/0!</v>
      </c>
      <c r="BX110" s="171" t="e">
        <f t="shared" si="305"/>
        <v>#DIV/0!</v>
      </c>
      <c r="BY110" s="169" t="e">
        <f t="shared" si="305"/>
        <v>#DIV/0!</v>
      </c>
      <c r="BZ110" s="168" t="e">
        <f t="shared" si="305"/>
        <v>#DIV/0!</v>
      </c>
      <c r="CA110" s="171" t="e">
        <f t="shared" si="305"/>
        <v>#DIV/0!</v>
      </c>
      <c r="CB110" s="171" t="e">
        <f t="shared" si="305"/>
        <v>#DIV/0!</v>
      </c>
      <c r="CC110" s="169" t="e">
        <f t="shared" si="305"/>
        <v>#DIV/0!</v>
      </c>
      <c r="CD110" s="168" t="e">
        <f t="shared" si="305"/>
        <v>#DIV/0!</v>
      </c>
      <c r="CE110" s="171" t="e">
        <f t="shared" si="305"/>
        <v>#DIV/0!</v>
      </c>
      <c r="CF110" s="171" t="e">
        <f t="shared" si="305"/>
        <v>#DIV/0!</v>
      </c>
      <c r="CG110" s="169" t="e">
        <f t="shared" si="305"/>
        <v>#DIV/0!</v>
      </c>
      <c r="CH110" s="168" t="e">
        <f t="shared" si="305"/>
        <v>#DIV/0!</v>
      </c>
      <c r="CI110" s="171" t="e">
        <f t="shared" si="305"/>
        <v>#DIV/0!</v>
      </c>
      <c r="CJ110" s="171" t="e">
        <f t="shared" si="305"/>
        <v>#DIV/0!</v>
      </c>
      <c r="CK110" s="169" t="e">
        <f t="shared" si="305"/>
        <v>#DIV/0!</v>
      </c>
      <c r="CL110" s="49"/>
      <c r="CM110" s="28"/>
    </row>
    <row r="111" spans="2:91" ht="14.25" x14ac:dyDescent="0.25">
      <c r="B111" s="55"/>
      <c r="C111" s="10" t="s">
        <v>98</v>
      </c>
      <c r="D111" s="93" t="s">
        <v>210</v>
      </c>
      <c r="E111" s="125" t="e">
        <f t="shared" ref="E111:AJ111" si="306">IF(E9&gt;0,4.1324+E110+E109,0)</f>
        <v>#DIV/0!</v>
      </c>
      <c r="F111" s="72">
        <f t="shared" si="306"/>
        <v>2.7107749999999995</v>
      </c>
      <c r="G111" s="73">
        <f t="shared" si="306"/>
        <v>2.4933874999999994</v>
      </c>
      <c r="H111" s="73">
        <f t="shared" si="306"/>
        <v>1.9972749999999997</v>
      </c>
      <c r="I111" s="74">
        <f t="shared" si="306"/>
        <v>1.7885499999999994</v>
      </c>
      <c r="J111" s="168">
        <f t="shared" si="306"/>
        <v>2.2087249999999994</v>
      </c>
      <c r="K111" s="171">
        <f t="shared" si="306"/>
        <v>0</v>
      </c>
      <c r="L111" s="171">
        <f t="shared" si="306"/>
        <v>1.5248499999999994</v>
      </c>
      <c r="M111" s="169">
        <f t="shared" si="306"/>
        <v>1.4357500000000001</v>
      </c>
      <c r="N111" s="168">
        <f t="shared" si="306"/>
        <v>1.6353624999999994</v>
      </c>
      <c r="O111" s="171">
        <f t="shared" si="306"/>
        <v>3.2047249999999998</v>
      </c>
      <c r="P111" s="171">
        <f t="shared" si="306"/>
        <v>1.3878249999999994</v>
      </c>
      <c r="Q111" s="169">
        <f t="shared" si="306"/>
        <v>1.4890749999999997</v>
      </c>
      <c r="R111" s="168">
        <f t="shared" si="306"/>
        <v>2.0597749999999992</v>
      </c>
      <c r="S111" s="171">
        <f t="shared" si="306"/>
        <v>0</v>
      </c>
      <c r="T111" s="171">
        <f t="shared" si="306"/>
        <v>1.7904999999999993</v>
      </c>
      <c r="U111" s="169">
        <f t="shared" si="306"/>
        <v>1.5380499999999997</v>
      </c>
      <c r="V111" s="168">
        <f t="shared" si="306"/>
        <v>2.7701750000000001</v>
      </c>
      <c r="W111" s="171">
        <f t="shared" si="306"/>
        <v>0</v>
      </c>
      <c r="X111" s="171">
        <f t="shared" si="306"/>
        <v>1.7057499999999997</v>
      </c>
      <c r="Y111" s="169">
        <f t="shared" si="306"/>
        <v>1.3922499999999993</v>
      </c>
      <c r="Z111" s="168">
        <f t="shared" si="306"/>
        <v>2.2171999999999992</v>
      </c>
      <c r="AA111" s="171">
        <f t="shared" si="306"/>
        <v>0</v>
      </c>
      <c r="AB111" s="171">
        <f t="shared" si="306"/>
        <v>1.5327999999999991</v>
      </c>
      <c r="AC111" s="169">
        <f t="shared" si="306"/>
        <v>1.3001499999999995</v>
      </c>
      <c r="AD111" s="168">
        <f t="shared" si="306"/>
        <v>2.0876000000000001</v>
      </c>
      <c r="AE111" s="171">
        <f t="shared" si="306"/>
        <v>0</v>
      </c>
      <c r="AF111" s="171">
        <f t="shared" si="306"/>
        <v>2.3857249999999994</v>
      </c>
      <c r="AG111" s="169">
        <f t="shared" si="306"/>
        <v>2.1761749999999993</v>
      </c>
      <c r="AH111" s="168">
        <f t="shared" si="306"/>
        <v>2.2852249999999996</v>
      </c>
      <c r="AI111" s="171">
        <f t="shared" si="306"/>
        <v>2.5933249999999997</v>
      </c>
      <c r="AJ111" s="171">
        <f t="shared" si="306"/>
        <v>2.5424749999999996</v>
      </c>
      <c r="AK111" s="169">
        <f t="shared" ref="AK111:BP111" si="307">IF(AK9&gt;0,4.1324+AK110+AK109,0)</f>
        <v>2.2330999999999994</v>
      </c>
      <c r="AL111" s="168">
        <f t="shared" si="307"/>
        <v>0</v>
      </c>
      <c r="AM111" s="171">
        <f t="shared" si="307"/>
        <v>0</v>
      </c>
      <c r="AN111" s="171">
        <f t="shared" si="307"/>
        <v>0</v>
      </c>
      <c r="AO111" s="169">
        <f t="shared" si="307"/>
        <v>0</v>
      </c>
      <c r="AP111" s="168">
        <f t="shared" si="307"/>
        <v>0</v>
      </c>
      <c r="AQ111" s="171">
        <f t="shared" si="307"/>
        <v>0</v>
      </c>
      <c r="AR111" s="171">
        <f t="shared" si="307"/>
        <v>0</v>
      </c>
      <c r="AS111" s="169">
        <f t="shared" si="307"/>
        <v>0</v>
      </c>
      <c r="AT111" s="168">
        <f t="shared" si="307"/>
        <v>0</v>
      </c>
      <c r="AU111" s="171">
        <f t="shared" si="307"/>
        <v>0</v>
      </c>
      <c r="AV111" s="171">
        <f t="shared" si="307"/>
        <v>0</v>
      </c>
      <c r="AW111" s="169">
        <f t="shared" si="307"/>
        <v>0</v>
      </c>
      <c r="AX111" s="168">
        <f t="shared" si="307"/>
        <v>0</v>
      </c>
      <c r="AY111" s="171">
        <f t="shared" si="307"/>
        <v>0</v>
      </c>
      <c r="AZ111" s="171">
        <f t="shared" si="307"/>
        <v>0</v>
      </c>
      <c r="BA111" s="169">
        <f t="shared" si="307"/>
        <v>0</v>
      </c>
      <c r="BB111" s="168">
        <f t="shared" si="307"/>
        <v>0</v>
      </c>
      <c r="BC111" s="171">
        <f t="shared" si="307"/>
        <v>0</v>
      </c>
      <c r="BD111" s="171">
        <f t="shared" si="307"/>
        <v>0</v>
      </c>
      <c r="BE111" s="169">
        <f t="shared" si="307"/>
        <v>0</v>
      </c>
      <c r="BF111" s="168">
        <f t="shared" si="307"/>
        <v>0</v>
      </c>
      <c r="BG111" s="171">
        <f t="shared" si="307"/>
        <v>0</v>
      </c>
      <c r="BH111" s="171">
        <f t="shared" si="307"/>
        <v>0</v>
      </c>
      <c r="BI111" s="169">
        <f t="shared" si="307"/>
        <v>0</v>
      </c>
      <c r="BJ111" s="168">
        <f t="shared" si="307"/>
        <v>0</v>
      </c>
      <c r="BK111" s="171">
        <f t="shared" si="307"/>
        <v>0</v>
      </c>
      <c r="BL111" s="171">
        <f t="shared" si="307"/>
        <v>0</v>
      </c>
      <c r="BM111" s="169">
        <f t="shared" si="307"/>
        <v>0</v>
      </c>
      <c r="BN111" s="168">
        <f t="shared" si="307"/>
        <v>0</v>
      </c>
      <c r="BO111" s="171">
        <f t="shared" si="307"/>
        <v>0</v>
      </c>
      <c r="BP111" s="171">
        <f t="shared" si="307"/>
        <v>0</v>
      </c>
      <c r="BQ111" s="169">
        <f t="shared" ref="BQ111:CV111" si="308">IF(BQ9&gt;0,4.1324+BQ110+BQ109,0)</f>
        <v>0</v>
      </c>
      <c r="BR111" s="168">
        <f t="shared" si="308"/>
        <v>0</v>
      </c>
      <c r="BS111" s="171">
        <f t="shared" si="308"/>
        <v>0</v>
      </c>
      <c r="BT111" s="171">
        <f t="shared" si="308"/>
        <v>0</v>
      </c>
      <c r="BU111" s="169">
        <f t="shared" si="308"/>
        <v>0</v>
      </c>
      <c r="BV111" s="168">
        <f t="shared" si="308"/>
        <v>0</v>
      </c>
      <c r="BW111" s="171">
        <f t="shared" si="308"/>
        <v>0</v>
      </c>
      <c r="BX111" s="171">
        <f t="shared" si="308"/>
        <v>0</v>
      </c>
      <c r="BY111" s="169">
        <f t="shared" si="308"/>
        <v>0</v>
      </c>
      <c r="BZ111" s="168">
        <f t="shared" si="308"/>
        <v>0</v>
      </c>
      <c r="CA111" s="171">
        <f t="shared" si="308"/>
        <v>0</v>
      </c>
      <c r="CB111" s="171">
        <f t="shared" si="308"/>
        <v>0</v>
      </c>
      <c r="CC111" s="169">
        <f t="shared" si="308"/>
        <v>0</v>
      </c>
      <c r="CD111" s="168">
        <f t="shared" si="308"/>
        <v>0</v>
      </c>
      <c r="CE111" s="171">
        <f t="shared" si="308"/>
        <v>0</v>
      </c>
      <c r="CF111" s="171">
        <f t="shared" si="308"/>
        <v>0</v>
      </c>
      <c r="CG111" s="169">
        <f t="shared" si="308"/>
        <v>0</v>
      </c>
      <c r="CH111" s="168">
        <f t="shared" si="308"/>
        <v>0</v>
      </c>
      <c r="CI111" s="171">
        <f t="shared" si="308"/>
        <v>0</v>
      </c>
      <c r="CJ111" s="171">
        <f t="shared" si="308"/>
        <v>0</v>
      </c>
      <c r="CK111" s="169">
        <f t="shared" si="308"/>
        <v>0</v>
      </c>
      <c r="CL111" s="49"/>
      <c r="CM111" s="28"/>
    </row>
    <row r="112" spans="2:91" x14ac:dyDescent="0.25">
      <c r="B112" s="55"/>
      <c r="C112" s="10"/>
      <c r="D112" s="93" t="s">
        <v>51</v>
      </c>
      <c r="E112" s="124" t="e">
        <f>IF(E111&lt;=2,"A",IF(E111&lt;=2.75,"B",IF(E111&lt;=3.5,"C",IF(E111&lt;=4.25,"D",IF(E111&lt;=5,"E","F")))))</f>
        <v>#DIV/0!</v>
      </c>
      <c r="F112" s="10" t="str">
        <f t="shared" ref="F112" si="309">IF(F111&lt;=2,"A",IF(F111&lt;=2.75,"B",IF(F111&lt;=3.5,"C",IF(F111&lt;=4.25,"D",IF(F111&lt;=5,"E","F")))))</f>
        <v>B</v>
      </c>
      <c r="G112" s="71" t="str">
        <f t="shared" ref="G112:J112" si="310">IF(G111&lt;=2,"A",IF(G111&lt;=2.75,"B",IF(G111&lt;=3.5,"C",IF(G111&lt;=4.25,"D",IF(G111&lt;=5,"E","F")))))</f>
        <v>B</v>
      </c>
      <c r="H112" s="71" t="str">
        <f t="shared" si="310"/>
        <v>A</v>
      </c>
      <c r="I112" s="75" t="str">
        <f t="shared" si="310"/>
        <v>A</v>
      </c>
      <c r="J112" s="10" t="str">
        <f t="shared" si="310"/>
        <v>B</v>
      </c>
      <c r="K112" s="166" t="str">
        <f t="shared" ref="K112:N112" si="311">IF(K111&lt;=2,"A",IF(K111&lt;=2.75,"B",IF(K111&lt;=3.5,"C",IF(K111&lt;=4.25,"D",IF(K111&lt;=5,"E","F")))))</f>
        <v>A</v>
      </c>
      <c r="L112" s="166" t="str">
        <f t="shared" si="311"/>
        <v>A</v>
      </c>
      <c r="M112" s="170" t="str">
        <f t="shared" si="311"/>
        <v>A</v>
      </c>
      <c r="N112" s="10" t="str">
        <f t="shared" si="311"/>
        <v>A</v>
      </c>
      <c r="O112" s="166" t="str">
        <f t="shared" ref="O112:BZ112" si="312">IF(O111&lt;=2,"A",IF(O111&lt;=2.75,"B",IF(O111&lt;=3.5,"C",IF(O111&lt;=4.25,"D",IF(O111&lt;=5,"E","F")))))</f>
        <v>C</v>
      </c>
      <c r="P112" s="166" t="str">
        <f t="shared" si="312"/>
        <v>A</v>
      </c>
      <c r="Q112" s="170" t="str">
        <f t="shared" si="312"/>
        <v>A</v>
      </c>
      <c r="R112" s="10" t="str">
        <f t="shared" si="312"/>
        <v>B</v>
      </c>
      <c r="S112" s="166" t="str">
        <f t="shared" si="312"/>
        <v>A</v>
      </c>
      <c r="T112" s="166" t="str">
        <f t="shared" si="312"/>
        <v>A</v>
      </c>
      <c r="U112" s="170" t="str">
        <f t="shared" si="312"/>
        <v>A</v>
      </c>
      <c r="V112" s="10" t="str">
        <f t="shared" si="312"/>
        <v>C</v>
      </c>
      <c r="W112" s="166" t="str">
        <f t="shared" si="312"/>
        <v>A</v>
      </c>
      <c r="X112" s="166" t="str">
        <f t="shared" si="312"/>
        <v>A</v>
      </c>
      <c r="Y112" s="170" t="str">
        <f t="shared" si="312"/>
        <v>A</v>
      </c>
      <c r="Z112" s="10" t="str">
        <f t="shared" si="312"/>
        <v>B</v>
      </c>
      <c r="AA112" s="166" t="str">
        <f t="shared" si="312"/>
        <v>A</v>
      </c>
      <c r="AB112" s="166" t="str">
        <f t="shared" si="312"/>
        <v>A</v>
      </c>
      <c r="AC112" s="170" t="str">
        <f t="shared" si="312"/>
        <v>A</v>
      </c>
      <c r="AD112" s="10" t="str">
        <f t="shared" si="312"/>
        <v>B</v>
      </c>
      <c r="AE112" s="166" t="str">
        <f t="shared" si="312"/>
        <v>A</v>
      </c>
      <c r="AF112" s="166" t="str">
        <f t="shared" si="312"/>
        <v>B</v>
      </c>
      <c r="AG112" s="170" t="str">
        <f t="shared" si="312"/>
        <v>B</v>
      </c>
      <c r="AH112" s="10" t="str">
        <f t="shared" si="312"/>
        <v>B</v>
      </c>
      <c r="AI112" s="166" t="str">
        <f t="shared" si="312"/>
        <v>B</v>
      </c>
      <c r="AJ112" s="166" t="str">
        <f t="shared" si="312"/>
        <v>B</v>
      </c>
      <c r="AK112" s="170" t="str">
        <f t="shared" si="312"/>
        <v>B</v>
      </c>
      <c r="AL112" s="10" t="str">
        <f t="shared" si="312"/>
        <v>A</v>
      </c>
      <c r="AM112" s="166" t="str">
        <f t="shared" si="312"/>
        <v>A</v>
      </c>
      <c r="AN112" s="166" t="str">
        <f t="shared" si="312"/>
        <v>A</v>
      </c>
      <c r="AO112" s="170" t="str">
        <f t="shared" si="312"/>
        <v>A</v>
      </c>
      <c r="AP112" s="10" t="str">
        <f t="shared" si="312"/>
        <v>A</v>
      </c>
      <c r="AQ112" s="166" t="str">
        <f t="shared" si="312"/>
        <v>A</v>
      </c>
      <c r="AR112" s="166" t="str">
        <f t="shared" si="312"/>
        <v>A</v>
      </c>
      <c r="AS112" s="170" t="str">
        <f t="shared" si="312"/>
        <v>A</v>
      </c>
      <c r="AT112" s="10" t="str">
        <f t="shared" si="312"/>
        <v>A</v>
      </c>
      <c r="AU112" s="166" t="str">
        <f t="shared" si="312"/>
        <v>A</v>
      </c>
      <c r="AV112" s="166" t="str">
        <f t="shared" si="312"/>
        <v>A</v>
      </c>
      <c r="AW112" s="170" t="str">
        <f t="shared" si="312"/>
        <v>A</v>
      </c>
      <c r="AX112" s="10" t="str">
        <f t="shared" si="312"/>
        <v>A</v>
      </c>
      <c r="AY112" s="166" t="str">
        <f t="shared" si="312"/>
        <v>A</v>
      </c>
      <c r="AZ112" s="166" t="str">
        <f t="shared" si="312"/>
        <v>A</v>
      </c>
      <c r="BA112" s="170" t="str">
        <f t="shared" si="312"/>
        <v>A</v>
      </c>
      <c r="BB112" s="10" t="str">
        <f t="shared" si="312"/>
        <v>A</v>
      </c>
      <c r="BC112" s="166" t="str">
        <f t="shared" si="312"/>
        <v>A</v>
      </c>
      <c r="BD112" s="166" t="str">
        <f t="shared" si="312"/>
        <v>A</v>
      </c>
      <c r="BE112" s="170" t="str">
        <f t="shared" si="312"/>
        <v>A</v>
      </c>
      <c r="BF112" s="10" t="str">
        <f t="shared" si="312"/>
        <v>A</v>
      </c>
      <c r="BG112" s="166" t="str">
        <f t="shared" si="312"/>
        <v>A</v>
      </c>
      <c r="BH112" s="166" t="str">
        <f t="shared" si="312"/>
        <v>A</v>
      </c>
      <c r="BI112" s="170" t="str">
        <f t="shared" si="312"/>
        <v>A</v>
      </c>
      <c r="BJ112" s="10" t="str">
        <f t="shared" si="312"/>
        <v>A</v>
      </c>
      <c r="BK112" s="166" t="str">
        <f t="shared" si="312"/>
        <v>A</v>
      </c>
      <c r="BL112" s="166" t="str">
        <f t="shared" si="312"/>
        <v>A</v>
      </c>
      <c r="BM112" s="170" t="str">
        <f t="shared" si="312"/>
        <v>A</v>
      </c>
      <c r="BN112" s="10" t="str">
        <f t="shared" si="312"/>
        <v>A</v>
      </c>
      <c r="BO112" s="166" t="str">
        <f t="shared" si="312"/>
        <v>A</v>
      </c>
      <c r="BP112" s="166" t="str">
        <f t="shared" si="312"/>
        <v>A</v>
      </c>
      <c r="BQ112" s="170" t="str">
        <f t="shared" si="312"/>
        <v>A</v>
      </c>
      <c r="BR112" s="10" t="str">
        <f t="shared" si="312"/>
        <v>A</v>
      </c>
      <c r="BS112" s="166" t="str">
        <f t="shared" si="312"/>
        <v>A</v>
      </c>
      <c r="BT112" s="166" t="str">
        <f t="shared" si="312"/>
        <v>A</v>
      </c>
      <c r="BU112" s="170" t="str">
        <f t="shared" si="312"/>
        <v>A</v>
      </c>
      <c r="BV112" s="10" t="str">
        <f t="shared" si="312"/>
        <v>A</v>
      </c>
      <c r="BW112" s="166" t="str">
        <f t="shared" si="312"/>
        <v>A</v>
      </c>
      <c r="BX112" s="166" t="str">
        <f t="shared" si="312"/>
        <v>A</v>
      </c>
      <c r="BY112" s="170" t="str">
        <f t="shared" si="312"/>
        <v>A</v>
      </c>
      <c r="BZ112" s="10" t="str">
        <f t="shared" si="312"/>
        <v>A</v>
      </c>
      <c r="CA112" s="166" t="str">
        <f t="shared" ref="CA112:CK112" si="313">IF(CA111&lt;=2,"A",IF(CA111&lt;=2.75,"B",IF(CA111&lt;=3.5,"C",IF(CA111&lt;=4.25,"D",IF(CA111&lt;=5,"E","F")))))</f>
        <v>A</v>
      </c>
      <c r="CB112" s="166" t="str">
        <f t="shared" si="313"/>
        <v>A</v>
      </c>
      <c r="CC112" s="170" t="str">
        <f t="shared" si="313"/>
        <v>A</v>
      </c>
      <c r="CD112" s="10" t="str">
        <f t="shared" si="313"/>
        <v>A</v>
      </c>
      <c r="CE112" s="166" t="str">
        <f t="shared" si="313"/>
        <v>A</v>
      </c>
      <c r="CF112" s="166" t="str">
        <f t="shared" si="313"/>
        <v>A</v>
      </c>
      <c r="CG112" s="170" t="str">
        <f t="shared" si="313"/>
        <v>A</v>
      </c>
      <c r="CH112" s="10" t="str">
        <f t="shared" si="313"/>
        <v>A</v>
      </c>
      <c r="CI112" s="166" t="str">
        <f t="shared" si="313"/>
        <v>A</v>
      </c>
      <c r="CJ112" s="166" t="str">
        <f t="shared" si="313"/>
        <v>A</v>
      </c>
      <c r="CK112" s="170" t="str">
        <f t="shared" si="313"/>
        <v>A</v>
      </c>
      <c r="CL112" s="49"/>
      <c r="CM112" s="28"/>
    </row>
    <row r="113" spans="1:91" x14ac:dyDescent="0.25">
      <c r="B113" s="55"/>
      <c r="C113" s="10"/>
      <c r="D113" s="93" t="s">
        <v>177</v>
      </c>
      <c r="E113" s="131"/>
      <c r="F113" s="299">
        <f>F13*IF(F46="Yes",1,0)+G13*IF(G46="Yes",1,0)+H13*IF(H46="Yes",1,0)+I13*IF(I46="Yes",1,0)</f>
        <v>206</v>
      </c>
      <c r="G113" s="314"/>
      <c r="H113" s="314"/>
      <c r="I113" s="315"/>
      <c r="J113" s="299">
        <f>J13*IF(J46="Yes",1,0)+K13*IF(K46="Yes",1,0)+L13*IF(L46="Yes",1,0)+M13*IF(M46="Yes",1,0)</f>
        <v>46</v>
      </c>
      <c r="K113" s="314"/>
      <c r="L113" s="314"/>
      <c r="M113" s="315"/>
      <c r="N113" s="299">
        <f>N13*IF(N46="Yes",1,0)+O13*IF(O46="Yes",1,0)+P13*IF(P46="Yes",1,0)+Q13*IF(Q46="Yes",1,0)</f>
        <v>501</v>
      </c>
      <c r="O113" s="314"/>
      <c r="P113" s="314"/>
      <c r="Q113" s="315"/>
      <c r="R113" s="299">
        <f>R13*IF(R46="Yes",1,0)+S13*IF(S46="Yes",1,0)+T13*IF(T46="Yes",1,0)+U13*IF(U46="Yes",1,0)</f>
        <v>96</v>
      </c>
      <c r="S113" s="314"/>
      <c r="T113" s="314"/>
      <c r="U113" s="315"/>
      <c r="V113" s="299">
        <f>V13*IF(V46="Yes",1,0)+W13*IF(W46="Yes",1,0)+X13*IF(X46="Yes",1,0)+Y13*IF(Y46="Yes",1,0)</f>
        <v>102</v>
      </c>
      <c r="W113" s="314"/>
      <c r="X113" s="314"/>
      <c r="Y113" s="315"/>
      <c r="Z113" s="299">
        <f>Z13*IF(Z46="Yes",1,0)+AA13*IF(AA46="Yes",1,0)+AB13*IF(AB46="Yes",1,0)+AC13*IF(AC46="Yes",1,0)</f>
        <v>121</v>
      </c>
      <c r="AA113" s="314"/>
      <c r="AB113" s="314"/>
      <c r="AC113" s="315"/>
      <c r="AD113" s="299">
        <f>AD13*IF(AD46="Yes",1,0)+AE13*IF(AE46="Yes",1,0)+AF13*IF(AF46="Yes",1,0)+AG13*IF(AG46="Yes",1,0)</f>
        <v>27</v>
      </c>
      <c r="AE113" s="314"/>
      <c r="AF113" s="314"/>
      <c r="AG113" s="315"/>
      <c r="AH113" s="299">
        <f>AH13*IF(AH46="Yes",1,0)+AI13*IF(AI46="Yes",1,0)+AJ13*IF(AJ46="Yes",1,0)+AK13*IF(AK46="Yes",1,0)</f>
        <v>358</v>
      </c>
      <c r="AI113" s="314"/>
      <c r="AJ113" s="314"/>
      <c r="AK113" s="315"/>
      <c r="AL113" s="299">
        <f>AL13*IF(AL46="Yes",1,0)+AM13*IF(AM46="Yes",1,0)+AN13*IF(AN46="Yes",1,0)+AO13*IF(AO46="Yes",1,0)</f>
        <v>0</v>
      </c>
      <c r="AM113" s="314"/>
      <c r="AN113" s="314"/>
      <c r="AO113" s="315"/>
      <c r="AP113" s="299">
        <f>AP13*IF(AP46="Yes",1,0)+AQ13*IF(AQ46="Yes",1,0)+AR13*IF(AR46="Yes",1,0)+AS13*IF(AS46="Yes",1,0)</f>
        <v>0</v>
      </c>
      <c r="AQ113" s="314"/>
      <c r="AR113" s="314"/>
      <c r="AS113" s="315"/>
      <c r="AT113" s="299">
        <f>AT13*IF(AT46="Yes",1,0)+AU13*IF(AU46="Yes",1,0)+AV13*IF(AV46="Yes",1,0)+AW13*IF(AW46="Yes",1,0)</f>
        <v>0</v>
      </c>
      <c r="AU113" s="314"/>
      <c r="AV113" s="314"/>
      <c r="AW113" s="315"/>
      <c r="AX113" s="299">
        <f>AX13*IF(AX46="Yes",1,0)+AY13*IF(AY46="Yes",1,0)+AZ13*IF(AZ46="Yes",1,0)+BA13*IF(BA46="Yes",1,0)</f>
        <v>0</v>
      </c>
      <c r="AY113" s="314"/>
      <c r="AZ113" s="314"/>
      <c r="BA113" s="315"/>
      <c r="BB113" s="299">
        <f>BB13*IF(BB46="Yes",1,0)+BC13*IF(BC46="Yes",1,0)+BD13*IF(BD46="Yes",1,0)+BE13*IF(BE46="Yes",1,0)</f>
        <v>0</v>
      </c>
      <c r="BC113" s="314"/>
      <c r="BD113" s="314"/>
      <c r="BE113" s="315"/>
      <c r="BF113" s="299">
        <f>BF13*IF(BF46="Yes",1,0)+BG13*IF(BG46="Yes",1,0)+BH13*IF(BH46="Yes",1,0)+BI13*IF(BI46="Yes",1,0)</f>
        <v>0</v>
      </c>
      <c r="BG113" s="314"/>
      <c r="BH113" s="314"/>
      <c r="BI113" s="315"/>
      <c r="BJ113" s="299">
        <f>BJ13*IF(BJ46="Yes",1,0)+BK13*IF(BK46="Yes",1,0)+BL13*IF(BL46="Yes",1,0)+BM13*IF(BM46="Yes",1,0)</f>
        <v>0</v>
      </c>
      <c r="BK113" s="314"/>
      <c r="BL113" s="314"/>
      <c r="BM113" s="315"/>
      <c r="BN113" s="299">
        <f>BN13*IF(BN46="Yes",1,0)+BO13*IF(BO46="Yes",1,0)+BP13*IF(BP46="Yes",1,0)+BQ13*IF(BQ46="Yes",1,0)</f>
        <v>0</v>
      </c>
      <c r="BO113" s="314"/>
      <c r="BP113" s="314"/>
      <c r="BQ113" s="315"/>
      <c r="BR113" s="299">
        <f>BR13*IF(BR46="Yes",1,0)+BS13*IF(BS46="Yes",1,0)+BT13*IF(BT46="Yes",1,0)+BU13*IF(BU46="Yes",1,0)</f>
        <v>0</v>
      </c>
      <c r="BS113" s="314"/>
      <c r="BT113" s="314"/>
      <c r="BU113" s="315"/>
      <c r="BV113" s="299">
        <f>BV13*IF(BV46="Yes",1,0)+BW13*IF(BW46="Yes",1,0)+BX13*IF(BX46="Yes",1,0)+BY13*IF(BY46="Yes",1,0)</f>
        <v>0</v>
      </c>
      <c r="BW113" s="314"/>
      <c r="BX113" s="314"/>
      <c r="BY113" s="315"/>
      <c r="BZ113" s="299">
        <f>BZ13*IF(BZ46="Yes",1,0)+CA13*IF(CA46="Yes",1,0)+CB13*IF(CB46="Yes",1,0)+CC13*IF(CC46="Yes",1,0)</f>
        <v>0</v>
      </c>
      <c r="CA113" s="314"/>
      <c r="CB113" s="314"/>
      <c r="CC113" s="315"/>
      <c r="CD113" s="299">
        <f>CD13*IF(CD46="Yes",1,0)+CE13*IF(CE46="Yes",1,0)+CF13*IF(CF46="Yes",1,0)+CG13*IF(CG46="Yes",1,0)</f>
        <v>0</v>
      </c>
      <c r="CE113" s="314"/>
      <c r="CF113" s="314"/>
      <c r="CG113" s="315"/>
      <c r="CH113" s="299">
        <f>CH13*IF(CH46="Yes",1,0)+CI13*IF(CI46="Yes",1,0)+CJ13*IF(CJ46="Yes",1,0)+CK13*IF(CK46="Yes",1,0)</f>
        <v>0</v>
      </c>
      <c r="CI113" s="314"/>
      <c r="CJ113" s="314"/>
      <c r="CK113" s="315"/>
      <c r="CL113" s="49"/>
      <c r="CM113" s="28"/>
    </row>
    <row r="114" spans="1:91" ht="14.25" thickBot="1" x14ac:dyDescent="0.3">
      <c r="B114" s="55"/>
      <c r="C114" s="37"/>
      <c r="D114" s="60"/>
      <c r="E114" s="11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28"/>
    </row>
    <row r="115" spans="1:91" x14ac:dyDescent="0.25">
      <c r="A115" s="21"/>
      <c r="B115" s="57"/>
      <c r="C115" s="284" t="s">
        <v>49</v>
      </c>
      <c r="D115" s="302"/>
      <c r="E115" s="88"/>
      <c r="F115" s="284" t="str">
        <f>F3</f>
        <v>Intersection 1 (Shattuck)</v>
      </c>
      <c r="G115" s="285"/>
      <c r="H115" s="285"/>
      <c r="I115" s="302"/>
      <c r="J115" s="284" t="str">
        <f>J3</f>
        <v>Intersection 2 (Walnut)</v>
      </c>
      <c r="K115" s="285"/>
      <c r="L115" s="285"/>
      <c r="M115" s="302"/>
      <c r="N115" s="284" t="str">
        <f>N3</f>
        <v>Intersection 3 (Oxford)</v>
      </c>
      <c r="O115" s="285"/>
      <c r="P115" s="285"/>
      <c r="Q115" s="302"/>
      <c r="R115" s="284" t="str">
        <f>R3</f>
        <v>Intersection 4 (Spruce)</v>
      </c>
      <c r="S115" s="285"/>
      <c r="T115" s="285"/>
      <c r="U115" s="302"/>
      <c r="V115" s="284" t="str">
        <f>V3</f>
        <v>Intersection 5 (Arch, Le Conte)</v>
      </c>
      <c r="W115" s="285"/>
      <c r="X115" s="285"/>
      <c r="Y115" s="302"/>
      <c r="Z115" s="284" t="str">
        <f>Z3</f>
        <v>Intersection 6 (Euclid)</v>
      </c>
      <c r="AA115" s="285"/>
      <c r="AB115" s="285"/>
      <c r="AC115" s="302"/>
      <c r="AD115" s="284" t="str">
        <f>AD3</f>
        <v>Intersection 7 (Le Roy)</v>
      </c>
      <c r="AE115" s="285"/>
      <c r="AF115" s="285"/>
      <c r="AG115" s="302"/>
      <c r="AH115" s="284" t="str">
        <f>AH3</f>
        <v>Intersection 8 (La Loma)</v>
      </c>
      <c r="AI115" s="285"/>
      <c r="AJ115" s="285"/>
      <c r="AK115" s="302"/>
      <c r="AL115" s="284" t="str">
        <f>AL3</f>
        <v>Intersection 9</v>
      </c>
      <c r="AM115" s="285"/>
      <c r="AN115" s="285"/>
      <c r="AO115" s="302"/>
      <c r="AP115" s="284" t="str">
        <f>AP3</f>
        <v>Intersection 10</v>
      </c>
      <c r="AQ115" s="285"/>
      <c r="AR115" s="285"/>
      <c r="AS115" s="302"/>
      <c r="AT115" s="284" t="str">
        <f>AT3</f>
        <v>Intersection 11</v>
      </c>
      <c r="AU115" s="285"/>
      <c r="AV115" s="285"/>
      <c r="AW115" s="302"/>
      <c r="AX115" s="284" t="str">
        <f>AX3</f>
        <v>Intersection 12</v>
      </c>
      <c r="AY115" s="285"/>
      <c r="AZ115" s="285"/>
      <c r="BA115" s="302"/>
      <c r="BB115" s="284" t="str">
        <f>BB3</f>
        <v>Intersection 13</v>
      </c>
      <c r="BC115" s="285"/>
      <c r="BD115" s="285"/>
      <c r="BE115" s="302"/>
      <c r="BF115" s="284" t="str">
        <f>BF3</f>
        <v>Intersection 14</v>
      </c>
      <c r="BG115" s="285"/>
      <c r="BH115" s="285"/>
      <c r="BI115" s="302"/>
      <c r="BJ115" s="284" t="str">
        <f>BJ3</f>
        <v>Intersection 15</v>
      </c>
      <c r="BK115" s="285"/>
      <c r="BL115" s="285"/>
      <c r="BM115" s="302"/>
      <c r="BN115" s="284" t="str">
        <f>BN3</f>
        <v>Intersection 16</v>
      </c>
      <c r="BO115" s="285"/>
      <c r="BP115" s="285"/>
      <c r="BQ115" s="302"/>
      <c r="BR115" s="284" t="str">
        <f>BR3</f>
        <v>Intersection 17</v>
      </c>
      <c r="BS115" s="285"/>
      <c r="BT115" s="285"/>
      <c r="BU115" s="302"/>
      <c r="BV115" s="284" t="str">
        <f>BV3</f>
        <v>Intersection 18</v>
      </c>
      <c r="BW115" s="285"/>
      <c r="BX115" s="285"/>
      <c r="BY115" s="302"/>
      <c r="BZ115" s="284" t="str">
        <f>BZ3</f>
        <v>Intersection 19</v>
      </c>
      <c r="CA115" s="285"/>
      <c r="CB115" s="285"/>
      <c r="CC115" s="302"/>
      <c r="CD115" s="284" t="str">
        <f>CD3</f>
        <v>Intersection 20</v>
      </c>
      <c r="CE115" s="285"/>
      <c r="CF115" s="285"/>
      <c r="CG115" s="302"/>
      <c r="CH115" s="284" t="str">
        <f>CH3</f>
        <v>Intersection 21</v>
      </c>
      <c r="CI115" s="285"/>
      <c r="CJ115" s="285"/>
      <c r="CK115" s="302"/>
      <c r="CL115" s="47" t="str">
        <f>CL3</f>
        <v>Total</v>
      </c>
      <c r="CM115" s="28"/>
    </row>
    <row r="116" spans="1:91" x14ac:dyDescent="0.25">
      <c r="B116" s="55"/>
      <c r="C116" s="4"/>
      <c r="D116" s="8" t="s">
        <v>50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1:91" ht="14.25" x14ac:dyDescent="0.25">
      <c r="B117" s="55"/>
      <c r="C117" s="10" t="s">
        <v>213</v>
      </c>
      <c r="D117" s="11" t="s">
        <v>209</v>
      </c>
      <c r="E117" s="115"/>
      <c r="F117" s="297">
        <f>IF(SUM(F9:I9)=0,"",MAX(F68*IF(F46="Yes",1,0), G68*IF(G46="Yes",1,0), H68*IF(H46="Yes",1,0), I68*IF(I46="Yes",1,0)))</f>
        <v>2.6137476156342201</v>
      </c>
      <c r="G117" s="313"/>
      <c r="H117" s="313"/>
      <c r="I117" s="301"/>
      <c r="J117" s="297">
        <f>IF(SUM(J9:M9)=0,"",MAX(J68*IF(J46="Yes",1,0), K68*IF(K46="Yes",1,0), L68*IF(L46="Yes",1,0), M68*IF(M46="Yes",1,0)))</f>
        <v>2.0399954640252118</v>
      </c>
      <c r="K117" s="313"/>
      <c r="L117" s="313"/>
      <c r="M117" s="301"/>
      <c r="N117" s="297">
        <f>IF(SUM(N9:Q9)=0,"",MAX(N68*IF(N46="Yes",1,0), O68*IF(O46="Yes",1,0), P68*IF(P46="Yes",1,0), Q68*IF(Q46="Yes",1,0)))</f>
        <v>2.7298069022034546</v>
      </c>
      <c r="O117" s="313"/>
      <c r="P117" s="313"/>
      <c r="Q117" s="301"/>
      <c r="R117" s="297">
        <f>IF(SUM(R9:U9)=0,"",MAX(R68*IF(R46="Yes",1,0), S68*IF(S46="Yes",1,0), T68*IF(T46="Yes",1,0), U68*IF(U46="Yes",1,0)))</f>
        <v>2.2377169516427688</v>
      </c>
      <c r="S117" s="313"/>
      <c r="T117" s="313"/>
      <c r="U117" s="301"/>
      <c r="V117" s="297">
        <f>IF(SUM(V9:Y9)=0,"",MAX(V68*IF(V46="Yes",1,0), W68*IF(W46="Yes",1,0), X68*IF(X46="Yes",1,0), Y68*IF(Y46="Yes",1,0)))</f>
        <v>2.2093809944067542</v>
      </c>
      <c r="W117" s="313"/>
      <c r="X117" s="313"/>
      <c r="Y117" s="301"/>
      <c r="Z117" s="297">
        <f>IF(SUM(Z9:AC9)=0,"",MAX(Z68*IF(Z46="Yes",1,0), AA68*IF(AA46="Yes",1,0), AB68*IF(AB46="Yes",1,0), AC68*IF(AC46="Yes",1,0)))</f>
        <v>2.1410783676786238</v>
      </c>
      <c r="AA117" s="313"/>
      <c r="AB117" s="313"/>
      <c r="AC117" s="301"/>
      <c r="AD117" s="297">
        <f>IF(SUM(AD9:AG9)=0,"",MAX(AD68*IF(AD46="Yes",1,0), AE68*IF(AE46="Yes",1,0), AF68*IF(AF46="Yes",1,0), AG68*IF(AG46="Yes",1,0)))</f>
        <v>1.899554646039306</v>
      </c>
      <c r="AE117" s="313"/>
      <c r="AF117" s="313"/>
      <c r="AG117" s="301"/>
      <c r="AH117" s="297">
        <f>IF(SUM(AH9:AK9)=0,"",MAX(AH68*IF(AH46="Yes",1,0), AI68*IF(AI46="Yes",1,0), AJ68*IF(AJ46="Yes",1,0), AK68*IF(AK46="Yes",1,0)))</f>
        <v>2.1093521370504922</v>
      </c>
      <c r="AI117" s="313"/>
      <c r="AJ117" s="313"/>
      <c r="AK117" s="301"/>
      <c r="AL117" s="297" t="str">
        <f>IF(SUM(AL9:AO9)=0,"",MAX(AL68*IF(AL46="Yes",1,0), AM68*IF(AM46="Yes",1,0), AN68*IF(AN46="Yes",1,0), AO68*IF(AO46="Yes",1,0)))</f>
        <v/>
      </c>
      <c r="AM117" s="313"/>
      <c r="AN117" s="313"/>
      <c r="AO117" s="301"/>
      <c r="AP117" s="297" t="str">
        <f>IF(SUM(AP9:AS9)=0,"",MAX(AP68*IF(AP46="Yes",1,0), AQ68*IF(AQ46="Yes",1,0), AR68*IF(AR46="Yes",1,0), AS68*IF(AS46="Yes",1,0)))</f>
        <v/>
      </c>
      <c r="AQ117" s="313"/>
      <c r="AR117" s="313"/>
      <c r="AS117" s="301"/>
      <c r="AT117" s="297" t="str">
        <f>IF(SUM(AT9:AW9)=0,"",MAX(AT68*IF(AT46="Yes",1,0), AU68*IF(AU46="Yes",1,0), AV68*IF(AV46="Yes",1,0), AW68*IF(AW46="Yes",1,0)))</f>
        <v/>
      </c>
      <c r="AU117" s="313"/>
      <c r="AV117" s="313"/>
      <c r="AW117" s="301"/>
      <c r="AX117" s="297" t="str">
        <f>IF(SUM(AX9:BA9)=0,"",MAX(AX68*IF(AX46="Yes",1,0), AY68*IF(AY46="Yes",1,0), AZ68*IF(AZ46="Yes",1,0), BA68*IF(BA46="Yes",1,0)))</f>
        <v/>
      </c>
      <c r="AY117" s="313"/>
      <c r="AZ117" s="313"/>
      <c r="BA117" s="301"/>
      <c r="BB117" s="297" t="str">
        <f>IF(SUM(BB9:BE9)=0,"",MAX(BB68*IF(BB46="Yes",1,0), BC68*IF(BC46="Yes",1,0), BD68*IF(BD46="Yes",1,0), BE68*IF(BE46="Yes",1,0)))</f>
        <v/>
      </c>
      <c r="BC117" s="313"/>
      <c r="BD117" s="313"/>
      <c r="BE117" s="301"/>
      <c r="BF117" s="297" t="str">
        <f>IF(SUM(BF9:BI9)=0,"",MAX(BF68*IF(BF46="Yes",1,0), BG68*IF(BG46="Yes",1,0), BH68*IF(BH46="Yes",1,0), BI68*IF(BI46="Yes",1,0)))</f>
        <v/>
      </c>
      <c r="BG117" s="313"/>
      <c r="BH117" s="313"/>
      <c r="BI117" s="301"/>
      <c r="BJ117" s="297" t="str">
        <f>IF(SUM(BJ9:BM9)=0,"",MAX(BJ68*IF(BJ46="Yes",1,0), BK68*IF(BK46="Yes",1,0), BL68*IF(BL46="Yes",1,0), BM68*IF(BM46="Yes",1,0)))</f>
        <v/>
      </c>
      <c r="BK117" s="313"/>
      <c r="BL117" s="313"/>
      <c r="BM117" s="301"/>
      <c r="BN117" s="297" t="str">
        <f>IF(SUM(BN9:BQ9)=0,"",MAX(BN68*IF(BN46="Yes",1,0), BO68*IF(BO46="Yes",1,0), BP68*IF(BP46="Yes",1,0), BQ68*IF(BQ46="Yes",1,0)))</f>
        <v/>
      </c>
      <c r="BO117" s="313"/>
      <c r="BP117" s="313"/>
      <c r="BQ117" s="301"/>
      <c r="BR117" s="297" t="str">
        <f>IF(SUM(BR9:BU9)=0,"",MAX(BR68*IF(BR46="Yes",1,0), BS68*IF(BS46="Yes",1,0), BT68*IF(BT46="Yes",1,0), BU68*IF(BU46="Yes",1,0)))</f>
        <v/>
      </c>
      <c r="BS117" s="313"/>
      <c r="BT117" s="313"/>
      <c r="BU117" s="301"/>
      <c r="BV117" s="297" t="str">
        <f>IF(SUM(BV9:BY9)=0,"",MAX(BV68*IF(BV46="Yes",1,0), BW68*IF(BW46="Yes",1,0), BX68*IF(BX46="Yes",1,0), BY68*IF(BY46="Yes",1,0)))</f>
        <v/>
      </c>
      <c r="BW117" s="313"/>
      <c r="BX117" s="313"/>
      <c r="BY117" s="301"/>
      <c r="BZ117" s="297" t="str">
        <f>IF(SUM(BZ9:CC9)=0,"",MAX(BZ68*IF(BZ46="Yes",1,0), CA68*IF(CA46="Yes",1,0), CB68*IF(CB46="Yes",1,0), CC68*IF(CC46="Yes",1,0)))</f>
        <v/>
      </c>
      <c r="CA117" s="313"/>
      <c r="CB117" s="313"/>
      <c r="CC117" s="301"/>
      <c r="CD117" s="297" t="str">
        <f>IF(SUM(CD9:CG9)=0,"",MAX(CD68*IF(CD46="Yes",1,0), CE68*IF(CE46="Yes",1,0), CF68*IF(CF46="Yes",1,0), CG68*IF(CG46="Yes",1,0)))</f>
        <v/>
      </c>
      <c r="CE117" s="313"/>
      <c r="CF117" s="313"/>
      <c r="CG117" s="301"/>
      <c r="CH117" s="297" t="str">
        <f>IF(SUM(CH9:CK9)=0,"",MAX(CH68*IF(CH46="Yes",1,0), CI68*IF(CI46="Yes",1,0), CJ68*IF(CJ46="Yes",1,0), CK68*IF(CK46="Yes",1,0)))</f>
        <v/>
      </c>
      <c r="CI117" s="313"/>
      <c r="CJ117" s="313"/>
      <c r="CK117" s="301"/>
      <c r="CL117" s="67">
        <f>SUMPRODUCT(F117:CK117,F70:CK70)/SUM(F70:CK70)</f>
        <v>2.4195345688005991</v>
      </c>
      <c r="CM117" s="28"/>
    </row>
    <row r="118" spans="1:91" x14ac:dyDescent="0.25">
      <c r="B118" s="55"/>
      <c r="C118" s="10"/>
      <c r="D118" s="11" t="s">
        <v>41</v>
      </c>
      <c r="E118" s="115"/>
      <c r="F118" s="287" t="str">
        <f>IF(F117="","",IF(F117&lt;=2,"A",IF(F117&lt;=2.75,"B",IF(F117&lt;=3.5,"C",IF(F117&lt;=4.25,"D",IF(F117&lt;=5,"E","F"))))))</f>
        <v>B</v>
      </c>
      <c r="G118" s="311"/>
      <c r="H118" s="311"/>
      <c r="I118" s="288"/>
      <c r="J118" s="287" t="str">
        <f t="shared" ref="J118" si="314">IF(J117="","",IF(J117&lt;=2,"A",IF(J117&lt;=2.75,"B",IF(J117&lt;=3.5,"C",IF(J117&lt;=4.25,"D",IF(J117&lt;=5,"E","F"))))))</f>
        <v>B</v>
      </c>
      <c r="K118" s="311"/>
      <c r="L118" s="311"/>
      <c r="M118" s="288"/>
      <c r="N118" s="287" t="str">
        <f t="shared" ref="N118" si="315">IF(N117="","",IF(N117&lt;=2,"A",IF(N117&lt;=2.75,"B",IF(N117&lt;=3.5,"C",IF(N117&lt;=4.25,"D",IF(N117&lt;=5,"E","F"))))))</f>
        <v>B</v>
      </c>
      <c r="O118" s="311"/>
      <c r="P118" s="311"/>
      <c r="Q118" s="288"/>
      <c r="R118" s="287" t="str">
        <f t="shared" ref="R118" si="316">IF(R117="","",IF(R117&lt;=2,"A",IF(R117&lt;=2.75,"B",IF(R117&lt;=3.5,"C",IF(R117&lt;=4.25,"D",IF(R117&lt;=5,"E","F"))))))</f>
        <v>B</v>
      </c>
      <c r="S118" s="311"/>
      <c r="T118" s="311"/>
      <c r="U118" s="288"/>
      <c r="V118" s="287" t="str">
        <f t="shared" ref="V118" si="317">IF(V117="","",IF(V117&lt;=2,"A",IF(V117&lt;=2.75,"B",IF(V117&lt;=3.5,"C",IF(V117&lt;=4.25,"D",IF(V117&lt;=5,"E","F"))))))</f>
        <v>B</v>
      </c>
      <c r="W118" s="311"/>
      <c r="X118" s="311"/>
      <c r="Y118" s="288"/>
      <c r="Z118" s="287" t="str">
        <f t="shared" ref="Z118" si="318">IF(Z117="","",IF(Z117&lt;=2,"A",IF(Z117&lt;=2.75,"B",IF(Z117&lt;=3.5,"C",IF(Z117&lt;=4.25,"D",IF(Z117&lt;=5,"E","F"))))))</f>
        <v>B</v>
      </c>
      <c r="AA118" s="311"/>
      <c r="AB118" s="311"/>
      <c r="AC118" s="288"/>
      <c r="AD118" s="287" t="str">
        <f t="shared" ref="AD118" si="319">IF(AD117="","",IF(AD117&lt;=2,"A",IF(AD117&lt;=2.75,"B",IF(AD117&lt;=3.5,"C",IF(AD117&lt;=4.25,"D",IF(AD117&lt;=5,"E","F"))))))</f>
        <v>A</v>
      </c>
      <c r="AE118" s="311"/>
      <c r="AF118" s="311"/>
      <c r="AG118" s="288"/>
      <c r="AH118" s="287" t="str">
        <f t="shared" ref="AH118" si="320">IF(AH117="","",IF(AH117&lt;=2,"A",IF(AH117&lt;=2.75,"B",IF(AH117&lt;=3.5,"C",IF(AH117&lt;=4.25,"D",IF(AH117&lt;=5,"E","F"))))))</f>
        <v>B</v>
      </c>
      <c r="AI118" s="311"/>
      <c r="AJ118" s="311"/>
      <c r="AK118" s="288"/>
      <c r="AL118" s="287" t="str">
        <f t="shared" ref="AL118" si="321">IF(AL117="","",IF(AL117&lt;=2,"A",IF(AL117&lt;=2.75,"B",IF(AL117&lt;=3.5,"C",IF(AL117&lt;=4.25,"D",IF(AL117&lt;=5,"E","F"))))))</f>
        <v/>
      </c>
      <c r="AM118" s="311"/>
      <c r="AN118" s="311"/>
      <c r="AO118" s="288"/>
      <c r="AP118" s="287" t="str">
        <f t="shared" ref="AP118" si="322">IF(AP117="","",IF(AP117&lt;=2,"A",IF(AP117&lt;=2.75,"B",IF(AP117&lt;=3.5,"C",IF(AP117&lt;=4.25,"D",IF(AP117&lt;=5,"E","F"))))))</f>
        <v/>
      </c>
      <c r="AQ118" s="311"/>
      <c r="AR118" s="311"/>
      <c r="AS118" s="288"/>
      <c r="AT118" s="287" t="str">
        <f t="shared" ref="AT118" si="323">IF(AT117="","",IF(AT117&lt;=2,"A",IF(AT117&lt;=2.75,"B",IF(AT117&lt;=3.5,"C",IF(AT117&lt;=4.25,"D",IF(AT117&lt;=5,"E","F"))))))</f>
        <v/>
      </c>
      <c r="AU118" s="311"/>
      <c r="AV118" s="311"/>
      <c r="AW118" s="288"/>
      <c r="AX118" s="287" t="str">
        <f t="shared" ref="AX118" si="324">IF(AX117="","",IF(AX117&lt;=2,"A",IF(AX117&lt;=2.75,"B",IF(AX117&lt;=3.5,"C",IF(AX117&lt;=4.25,"D",IF(AX117&lt;=5,"E","F"))))))</f>
        <v/>
      </c>
      <c r="AY118" s="311"/>
      <c r="AZ118" s="311"/>
      <c r="BA118" s="288"/>
      <c r="BB118" s="287" t="str">
        <f t="shared" ref="BB118" si="325">IF(BB117="","",IF(BB117&lt;=2,"A",IF(BB117&lt;=2.75,"B",IF(BB117&lt;=3.5,"C",IF(BB117&lt;=4.25,"D",IF(BB117&lt;=5,"E","F"))))))</f>
        <v/>
      </c>
      <c r="BC118" s="311"/>
      <c r="BD118" s="311"/>
      <c r="BE118" s="288"/>
      <c r="BF118" s="287" t="str">
        <f t="shared" ref="BF118" si="326">IF(BF117="","",IF(BF117&lt;=2,"A",IF(BF117&lt;=2.75,"B",IF(BF117&lt;=3.5,"C",IF(BF117&lt;=4.25,"D",IF(BF117&lt;=5,"E","F"))))))</f>
        <v/>
      </c>
      <c r="BG118" s="311"/>
      <c r="BH118" s="311"/>
      <c r="BI118" s="288"/>
      <c r="BJ118" s="287" t="str">
        <f t="shared" ref="BJ118" si="327">IF(BJ117="","",IF(BJ117&lt;=2,"A",IF(BJ117&lt;=2.75,"B",IF(BJ117&lt;=3.5,"C",IF(BJ117&lt;=4.25,"D",IF(BJ117&lt;=5,"E","F"))))))</f>
        <v/>
      </c>
      <c r="BK118" s="311"/>
      <c r="BL118" s="311"/>
      <c r="BM118" s="288"/>
      <c r="BN118" s="287" t="str">
        <f t="shared" ref="BN118" si="328">IF(BN117="","",IF(BN117&lt;=2,"A",IF(BN117&lt;=2.75,"B",IF(BN117&lt;=3.5,"C",IF(BN117&lt;=4.25,"D",IF(BN117&lt;=5,"E","F"))))))</f>
        <v/>
      </c>
      <c r="BO118" s="311"/>
      <c r="BP118" s="311"/>
      <c r="BQ118" s="288"/>
      <c r="BR118" s="287" t="str">
        <f t="shared" ref="BR118" si="329">IF(BR117="","",IF(BR117&lt;=2,"A",IF(BR117&lt;=2.75,"B",IF(BR117&lt;=3.5,"C",IF(BR117&lt;=4.25,"D",IF(BR117&lt;=5,"E","F"))))))</f>
        <v/>
      </c>
      <c r="BS118" s="311"/>
      <c r="BT118" s="311"/>
      <c r="BU118" s="288"/>
      <c r="BV118" s="287" t="str">
        <f t="shared" ref="BV118" si="330">IF(BV117="","",IF(BV117&lt;=2,"A",IF(BV117&lt;=2.75,"B",IF(BV117&lt;=3.5,"C",IF(BV117&lt;=4.25,"D",IF(BV117&lt;=5,"E","F"))))))</f>
        <v/>
      </c>
      <c r="BW118" s="311"/>
      <c r="BX118" s="311"/>
      <c r="BY118" s="288"/>
      <c r="BZ118" s="287" t="str">
        <f t="shared" ref="BZ118" si="331">IF(BZ117="","",IF(BZ117&lt;=2,"A",IF(BZ117&lt;=2.75,"B",IF(BZ117&lt;=3.5,"C",IF(BZ117&lt;=4.25,"D",IF(BZ117&lt;=5,"E","F"))))))</f>
        <v/>
      </c>
      <c r="CA118" s="311"/>
      <c r="CB118" s="311"/>
      <c r="CC118" s="288"/>
      <c r="CD118" s="287" t="str">
        <f t="shared" ref="CD118" si="332">IF(CD117="","",IF(CD117&lt;=2,"A",IF(CD117&lt;=2.75,"B",IF(CD117&lt;=3.5,"C",IF(CD117&lt;=4.25,"D",IF(CD117&lt;=5,"E","F"))))))</f>
        <v/>
      </c>
      <c r="CE118" s="311"/>
      <c r="CF118" s="311"/>
      <c r="CG118" s="288"/>
      <c r="CH118" s="287" t="str">
        <f t="shared" ref="CH118" si="333">IF(CH117="","",IF(CH117&lt;=2,"A",IF(CH117&lt;=2.75,"B",IF(CH117&lt;=3.5,"C",IF(CH117&lt;=4.25,"D",IF(CH117&lt;=5,"E","F"))))))</f>
        <v/>
      </c>
      <c r="CI118" s="311"/>
      <c r="CJ118" s="311"/>
      <c r="CK118" s="288"/>
      <c r="CL118" s="68" t="str">
        <f>IF(CL117&lt;=2,"A",IF(CL117&lt;=2.75,"B",IF(CL117&lt;=3.5,"C",IF(CL117&lt;=4.25,"D",IF(CL117&lt;=5,"E","F")))))</f>
        <v>B</v>
      </c>
      <c r="CM118" s="28"/>
    </row>
    <row r="119" spans="1:91" x14ac:dyDescent="0.25">
      <c r="B119" s="55"/>
      <c r="C119" s="4"/>
      <c r="D119" s="8" t="s">
        <v>20</v>
      </c>
      <c r="E119" s="115"/>
      <c r="F119" s="4"/>
      <c r="G119" s="19"/>
      <c r="H119" s="19"/>
      <c r="I119" s="5"/>
      <c r="J119" s="4"/>
      <c r="K119" s="19"/>
      <c r="L119" s="19"/>
      <c r="M119" s="5"/>
      <c r="N119" s="4"/>
      <c r="O119" s="19"/>
      <c r="P119" s="19"/>
      <c r="Q119" s="5"/>
      <c r="R119" s="4"/>
      <c r="S119" s="19"/>
      <c r="T119" s="19"/>
      <c r="U119" s="5"/>
      <c r="V119" s="4"/>
      <c r="W119" s="19"/>
      <c r="X119" s="19"/>
      <c r="Y119" s="5"/>
      <c r="Z119" s="4"/>
      <c r="AA119" s="19"/>
      <c r="AB119" s="19"/>
      <c r="AC119" s="5"/>
      <c r="AD119" s="4"/>
      <c r="AE119" s="19"/>
      <c r="AF119" s="19"/>
      <c r="AG119" s="5"/>
      <c r="AH119" s="4"/>
      <c r="AI119" s="19"/>
      <c r="AJ119" s="19"/>
      <c r="AK119" s="5"/>
      <c r="AL119" s="4"/>
      <c r="AM119" s="19"/>
      <c r="AN119" s="19"/>
      <c r="AO119" s="5"/>
      <c r="AP119" s="4"/>
      <c r="AQ119" s="19"/>
      <c r="AR119" s="19"/>
      <c r="AS119" s="5"/>
      <c r="AT119" s="4"/>
      <c r="AU119" s="19"/>
      <c r="AV119" s="19"/>
      <c r="AW119" s="5"/>
      <c r="AX119" s="4"/>
      <c r="AY119" s="19"/>
      <c r="AZ119" s="19"/>
      <c r="BA119" s="5"/>
      <c r="BB119" s="4"/>
      <c r="BC119" s="19"/>
      <c r="BD119" s="19"/>
      <c r="BE119" s="5"/>
      <c r="BF119" s="4"/>
      <c r="BG119" s="19"/>
      <c r="BH119" s="19"/>
      <c r="BI119" s="5"/>
      <c r="BJ119" s="4"/>
      <c r="BK119" s="19"/>
      <c r="BL119" s="19"/>
      <c r="BM119" s="5"/>
      <c r="BN119" s="4"/>
      <c r="BO119" s="19"/>
      <c r="BP119" s="19"/>
      <c r="BQ119" s="5"/>
      <c r="BR119" s="4"/>
      <c r="BS119" s="19"/>
      <c r="BT119" s="19"/>
      <c r="BU119" s="5"/>
      <c r="BV119" s="4"/>
      <c r="BW119" s="19"/>
      <c r="BX119" s="19"/>
      <c r="BY119" s="5"/>
      <c r="BZ119" s="4"/>
      <c r="CA119" s="19"/>
      <c r="CB119" s="19"/>
      <c r="CC119" s="5"/>
      <c r="CD119" s="4"/>
      <c r="CE119" s="19"/>
      <c r="CF119" s="19"/>
      <c r="CG119" s="5"/>
      <c r="CH119" s="4"/>
      <c r="CI119" s="19"/>
      <c r="CJ119" s="19"/>
      <c r="CK119" s="5"/>
      <c r="CL119" s="46"/>
      <c r="CM119" s="28"/>
    </row>
    <row r="120" spans="1:91" ht="14.25" x14ac:dyDescent="0.25">
      <c r="B120" s="55"/>
      <c r="C120" s="10" t="s">
        <v>214</v>
      </c>
      <c r="D120" s="11" t="s">
        <v>210</v>
      </c>
      <c r="E120" s="115"/>
      <c r="F120" s="297">
        <f>IF(SUM(F9:I9)=0,"",MAX(F111*IF(F46="Yes",1,0),G111*IF(G46="Yes",1,0),H111*IF(H46="Yes",1,0),I111*IF(I46="Yes",1,0)))</f>
        <v>2.7107749999999995</v>
      </c>
      <c r="G120" s="313"/>
      <c r="H120" s="313"/>
      <c r="I120" s="301"/>
      <c r="J120" s="297">
        <f>IF(SUM(J9:M9)=0,"",MAX(J111*IF(J46="Yes",1,0),K111*IF(K46="Yes",1,0),L111*IF(L46="Yes",1,0),M111*IF(M46="Yes",1,0)))</f>
        <v>2.2087249999999994</v>
      </c>
      <c r="K120" s="313"/>
      <c r="L120" s="313"/>
      <c r="M120" s="301"/>
      <c r="N120" s="297">
        <f>IF(SUM(N9:Q9)=0,"",MAX(N111*IF(N46="Yes",1,0),O111*IF(O46="Yes",1,0),P111*IF(P46="Yes",1,0),Q111*IF(Q46="Yes",1,0)))</f>
        <v>3.2047249999999998</v>
      </c>
      <c r="O120" s="313"/>
      <c r="P120" s="313"/>
      <c r="Q120" s="301"/>
      <c r="R120" s="297">
        <f>IF(SUM(R9:U9)=0,"",MAX(R111*IF(R46="Yes",1,0),S111*IF(S46="Yes",1,0),T111*IF(T46="Yes",1,0),U111*IF(U46="Yes",1,0)))</f>
        <v>2.0597749999999992</v>
      </c>
      <c r="S120" s="313"/>
      <c r="T120" s="313"/>
      <c r="U120" s="301"/>
      <c r="V120" s="297">
        <f>IF(SUM(V9:Y9)=0,"",MAX(V111*IF(V46="Yes",1,0),W111*IF(W46="Yes",1,0),X111*IF(X46="Yes",1,0),Y111*IF(Y46="Yes",1,0)))</f>
        <v>2.7701750000000001</v>
      </c>
      <c r="W120" s="313"/>
      <c r="X120" s="313"/>
      <c r="Y120" s="301"/>
      <c r="Z120" s="297">
        <f>IF(SUM(Z9:AC9)=0,"",MAX(Z111*IF(Z46="Yes",1,0),AA111*IF(AA46="Yes",1,0),AB111*IF(AB46="Yes",1,0),AC111*IF(AC46="Yes",1,0)))</f>
        <v>2.2171999999999992</v>
      </c>
      <c r="AA120" s="313"/>
      <c r="AB120" s="313"/>
      <c r="AC120" s="301"/>
      <c r="AD120" s="297">
        <f>IF(SUM(AD9:AG9)=0,"",MAX(AD111*IF(AD46="Yes",1,0),AE111*IF(AE46="Yes",1,0),AF111*IF(AF46="Yes",1,0),AG111*IF(AG46="Yes",1,0)))</f>
        <v>2.3857249999999994</v>
      </c>
      <c r="AE120" s="313"/>
      <c r="AF120" s="313"/>
      <c r="AG120" s="301"/>
      <c r="AH120" s="297">
        <f>IF(SUM(AH9:AK9)=0,"",MAX(AH111*IF(AH46="Yes",1,0),AI111*IF(AI46="Yes",1,0),AJ111*IF(AJ46="Yes",1,0),AK111*IF(AK46="Yes",1,0)))</f>
        <v>2.5933249999999997</v>
      </c>
      <c r="AI120" s="313"/>
      <c r="AJ120" s="313"/>
      <c r="AK120" s="301"/>
      <c r="AL120" s="297" t="str">
        <f>IF(SUM(AL9:AO9)=0,"",MAX(AL111*IF(AL46="Yes",1,0),AM111*IF(AM46="Yes",1,0),AN111*IF(AN46="Yes",1,0),AO111*IF(AO46="Yes",1,0)))</f>
        <v/>
      </c>
      <c r="AM120" s="313"/>
      <c r="AN120" s="313"/>
      <c r="AO120" s="301"/>
      <c r="AP120" s="297" t="str">
        <f>IF(SUM(AP9:AS9)=0,"",MAX(AP111*IF(AP46="Yes",1,0),AQ111*IF(AQ46="Yes",1,0),AR111*IF(AR46="Yes",1,0),AS111*IF(AS46="Yes",1,0)))</f>
        <v/>
      </c>
      <c r="AQ120" s="313"/>
      <c r="AR120" s="313"/>
      <c r="AS120" s="301"/>
      <c r="AT120" s="297" t="str">
        <f>IF(SUM(AT9:AW9)=0,"",MAX(AT111*IF(AT46="Yes",1,0),AU111*IF(AU46="Yes",1,0),AV111*IF(AV46="Yes",1,0),AW111*IF(AW46="Yes",1,0)))</f>
        <v/>
      </c>
      <c r="AU120" s="313"/>
      <c r="AV120" s="313"/>
      <c r="AW120" s="301"/>
      <c r="AX120" s="297" t="str">
        <f>IF(SUM(AX9:BA9)=0,"",MAX(AX111*IF(AX46="Yes",1,0),AY111*IF(AY46="Yes",1,0),AZ111*IF(AZ46="Yes",1,0),BA111*IF(BA46="Yes",1,0)))</f>
        <v/>
      </c>
      <c r="AY120" s="313"/>
      <c r="AZ120" s="313"/>
      <c r="BA120" s="301"/>
      <c r="BB120" s="297" t="str">
        <f>IF(SUM(BB9:BE9)=0,"",MAX(BB111*IF(BB46="Yes",1,0),BC111*IF(BC46="Yes",1,0),BD111*IF(BD46="Yes",1,0),BE111*IF(BE46="Yes",1,0)))</f>
        <v/>
      </c>
      <c r="BC120" s="313"/>
      <c r="BD120" s="313"/>
      <c r="BE120" s="301"/>
      <c r="BF120" s="297" t="str">
        <f>IF(SUM(BF9:BI9)=0,"",MAX(BF111*IF(BF46="Yes",1,0),BG111*IF(BG46="Yes",1,0),BH111*IF(BH46="Yes",1,0),BI111*IF(BI46="Yes",1,0)))</f>
        <v/>
      </c>
      <c r="BG120" s="313"/>
      <c r="BH120" s="313"/>
      <c r="BI120" s="301"/>
      <c r="BJ120" s="297" t="str">
        <f>IF(SUM(BJ9:BM9)=0,"",MAX(BJ111*IF(BJ46="Yes",1,0),BK111*IF(BK46="Yes",1,0),BL111*IF(BL46="Yes",1,0),BM111*IF(BM46="Yes",1,0)))</f>
        <v/>
      </c>
      <c r="BK120" s="313"/>
      <c r="BL120" s="313"/>
      <c r="BM120" s="301"/>
      <c r="BN120" s="297" t="str">
        <f>IF(SUM(BN9:BQ9)=0,"",MAX(BN111*IF(BN46="Yes",1,0),BO111*IF(BO46="Yes",1,0),BP111*IF(BP46="Yes",1,0),BQ111*IF(BQ46="Yes",1,0)))</f>
        <v/>
      </c>
      <c r="BO120" s="313"/>
      <c r="BP120" s="313"/>
      <c r="BQ120" s="301"/>
      <c r="BR120" s="297" t="str">
        <f>IF(SUM(BR9:BU9)=0,"",MAX(BR111*IF(BR46="Yes",1,0),BS111*IF(BS46="Yes",1,0),BT111*IF(BT46="Yes",1,0),BU111*IF(BU46="Yes",1,0)))</f>
        <v/>
      </c>
      <c r="BS120" s="313"/>
      <c r="BT120" s="313"/>
      <c r="BU120" s="301"/>
      <c r="BV120" s="297" t="str">
        <f>IF(SUM(BV9:BY9)=0,"",MAX(BV111*IF(BV46="Yes",1,0),BW111*IF(BW46="Yes",1,0),BX111*IF(BX46="Yes",1,0),BY111*IF(BY46="Yes",1,0)))</f>
        <v/>
      </c>
      <c r="BW120" s="313"/>
      <c r="BX120" s="313"/>
      <c r="BY120" s="301"/>
      <c r="BZ120" s="297" t="str">
        <f>IF(SUM(BZ9:CC9)=0,"",MAX(BZ111*IF(BZ46="Yes",1,0),CA111*IF(CA46="Yes",1,0),CB111*IF(CB46="Yes",1,0),CC111*IF(CC46="Yes",1,0)))</f>
        <v/>
      </c>
      <c r="CA120" s="313"/>
      <c r="CB120" s="313"/>
      <c r="CC120" s="301"/>
      <c r="CD120" s="297" t="str">
        <f>IF(SUM(CD9:CG9)=0,"",MAX(CD111*IF(CD46="Yes",1,0),CE111*IF(CE46="Yes",1,0),CF111*IF(CF46="Yes",1,0),CG111*IF(CG46="Yes",1,0)))</f>
        <v/>
      </c>
      <c r="CE120" s="313"/>
      <c r="CF120" s="313"/>
      <c r="CG120" s="301"/>
      <c r="CH120" s="297" t="str">
        <f>IF(SUM(CH9:CK9)=0,"",MAX(CH111*IF(CH46="Yes",1,0),CI111*IF(CI46="Yes",1,0),CJ111*IF(CJ46="Yes",1,0),CK111*IF(CK46="Yes",1,0)))</f>
        <v/>
      </c>
      <c r="CI120" s="313"/>
      <c r="CJ120" s="313"/>
      <c r="CK120" s="301"/>
      <c r="CL120" s="67">
        <f>SUMPRODUCT(F120:CK120,F113:CK113)/SUM(F113:CK113)</f>
        <v>2.7501651338366502</v>
      </c>
      <c r="CM120" s="28"/>
    </row>
    <row r="121" spans="1:91" ht="14.25" thickBot="1" x14ac:dyDescent="0.3">
      <c r="B121" s="55"/>
      <c r="C121" s="10"/>
      <c r="D121" s="11" t="s">
        <v>51</v>
      </c>
      <c r="E121" s="115"/>
      <c r="F121" s="287" t="str">
        <f>IF(F120="","",IF(F120&lt;=2,"A",IF(F120&lt;=2.75,"B",IF(F120&lt;=3.5,"C",IF(F120&lt;=4.25,"D",IF(F120&lt;=5,"E","F"))))))</f>
        <v>B</v>
      </c>
      <c r="G121" s="311"/>
      <c r="H121" s="311"/>
      <c r="I121" s="288"/>
      <c r="J121" s="287" t="str">
        <f t="shared" ref="J121" si="334">IF(J120="","",IF(J120&lt;=2,"A",IF(J120&lt;=2.75,"B",IF(J120&lt;=3.5,"C",IF(J120&lt;=4.25,"D",IF(J120&lt;=5,"E","F"))))))</f>
        <v>B</v>
      </c>
      <c r="K121" s="311"/>
      <c r="L121" s="311"/>
      <c r="M121" s="288"/>
      <c r="N121" s="287" t="str">
        <f t="shared" ref="N121" si="335">IF(N120="","",IF(N120&lt;=2,"A",IF(N120&lt;=2.75,"B",IF(N120&lt;=3.5,"C",IF(N120&lt;=4.25,"D",IF(N120&lt;=5,"E","F"))))))</f>
        <v>C</v>
      </c>
      <c r="O121" s="311"/>
      <c r="P121" s="311"/>
      <c r="Q121" s="288"/>
      <c r="R121" s="287" t="str">
        <f t="shared" ref="R121" si="336">IF(R120="","",IF(R120&lt;=2,"A",IF(R120&lt;=2.75,"B",IF(R120&lt;=3.5,"C",IF(R120&lt;=4.25,"D",IF(R120&lt;=5,"E","F"))))))</f>
        <v>B</v>
      </c>
      <c r="S121" s="311"/>
      <c r="T121" s="311"/>
      <c r="U121" s="288"/>
      <c r="V121" s="287" t="str">
        <f t="shared" ref="V121" si="337">IF(V120="","",IF(V120&lt;=2,"A",IF(V120&lt;=2.75,"B",IF(V120&lt;=3.5,"C",IF(V120&lt;=4.25,"D",IF(V120&lt;=5,"E","F"))))))</f>
        <v>C</v>
      </c>
      <c r="W121" s="311"/>
      <c r="X121" s="311"/>
      <c r="Y121" s="288"/>
      <c r="Z121" s="287" t="str">
        <f t="shared" ref="Z121" si="338">IF(Z120="","",IF(Z120&lt;=2,"A",IF(Z120&lt;=2.75,"B",IF(Z120&lt;=3.5,"C",IF(Z120&lt;=4.25,"D",IF(Z120&lt;=5,"E","F"))))))</f>
        <v>B</v>
      </c>
      <c r="AA121" s="311"/>
      <c r="AB121" s="311"/>
      <c r="AC121" s="288"/>
      <c r="AD121" s="287" t="str">
        <f t="shared" ref="AD121" si="339">IF(AD120="","",IF(AD120&lt;=2,"A",IF(AD120&lt;=2.75,"B",IF(AD120&lt;=3.5,"C",IF(AD120&lt;=4.25,"D",IF(AD120&lt;=5,"E","F"))))))</f>
        <v>B</v>
      </c>
      <c r="AE121" s="311"/>
      <c r="AF121" s="311"/>
      <c r="AG121" s="288"/>
      <c r="AH121" s="287" t="str">
        <f t="shared" ref="AH121" si="340">IF(AH120="","",IF(AH120&lt;=2,"A",IF(AH120&lt;=2.75,"B",IF(AH120&lt;=3.5,"C",IF(AH120&lt;=4.25,"D",IF(AH120&lt;=5,"E","F"))))))</f>
        <v>B</v>
      </c>
      <c r="AI121" s="311"/>
      <c r="AJ121" s="311"/>
      <c r="AK121" s="288"/>
      <c r="AL121" s="287" t="str">
        <f t="shared" ref="AL121" si="341">IF(AL120="","",IF(AL120&lt;=2,"A",IF(AL120&lt;=2.75,"B",IF(AL120&lt;=3.5,"C",IF(AL120&lt;=4.25,"D",IF(AL120&lt;=5,"E","F"))))))</f>
        <v/>
      </c>
      <c r="AM121" s="311"/>
      <c r="AN121" s="311"/>
      <c r="AO121" s="288"/>
      <c r="AP121" s="287" t="str">
        <f t="shared" ref="AP121" si="342">IF(AP120="","",IF(AP120&lt;=2,"A",IF(AP120&lt;=2.75,"B",IF(AP120&lt;=3.5,"C",IF(AP120&lt;=4.25,"D",IF(AP120&lt;=5,"E","F"))))))</f>
        <v/>
      </c>
      <c r="AQ121" s="311"/>
      <c r="AR121" s="311"/>
      <c r="AS121" s="288"/>
      <c r="AT121" s="287" t="str">
        <f t="shared" ref="AT121" si="343">IF(AT120="","",IF(AT120&lt;=2,"A",IF(AT120&lt;=2.75,"B",IF(AT120&lt;=3.5,"C",IF(AT120&lt;=4.25,"D",IF(AT120&lt;=5,"E","F"))))))</f>
        <v/>
      </c>
      <c r="AU121" s="311"/>
      <c r="AV121" s="311"/>
      <c r="AW121" s="288"/>
      <c r="AX121" s="287" t="str">
        <f t="shared" ref="AX121" si="344">IF(AX120="","",IF(AX120&lt;=2,"A",IF(AX120&lt;=2.75,"B",IF(AX120&lt;=3.5,"C",IF(AX120&lt;=4.25,"D",IF(AX120&lt;=5,"E","F"))))))</f>
        <v/>
      </c>
      <c r="AY121" s="311"/>
      <c r="AZ121" s="311"/>
      <c r="BA121" s="288"/>
      <c r="BB121" s="287" t="str">
        <f t="shared" ref="BB121" si="345">IF(BB120="","",IF(BB120&lt;=2,"A",IF(BB120&lt;=2.75,"B",IF(BB120&lt;=3.5,"C",IF(BB120&lt;=4.25,"D",IF(BB120&lt;=5,"E","F"))))))</f>
        <v/>
      </c>
      <c r="BC121" s="311"/>
      <c r="BD121" s="311"/>
      <c r="BE121" s="288"/>
      <c r="BF121" s="287" t="str">
        <f t="shared" ref="BF121" si="346">IF(BF120="","",IF(BF120&lt;=2,"A",IF(BF120&lt;=2.75,"B",IF(BF120&lt;=3.5,"C",IF(BF120&lt;=4.25,"D",IF(BF120&lt;=5,"E","F"))))))</f>
        <v/>
      </c>
      <c r="BG121" s="311"/>
      <c r="BH121" s="311"/>
      <c r="BI121" s="288"/>
      <c r="BJ121" s="287" t="str">
        <f t="shared" ref="BJ121" si="347">IF(BJ120="","",IF(BJ120&lt;=2,"A",IF(BJ120&lt;=2.75,"B",IF(BJ120&lt;=3.5,"C",IF(BJ120&lt;=4.25,"D",IF(BJ120&lt;=5,"E","F"))))))</f>
        <v/>
      </c>
      <c r="BK121" s="311"/>
      <c r="BL121" s="311"/>
      <c r="BM121" s="288"/>
      <c r="BN121" s="287" t="str">
        <f t="shared" ref="BN121" si="348">IF(BN120="","",IF(BN120&lt;=2,"A",IF(BN120&lt;=2.75,"B",IF(BN120&lt;=3.5,"C",IF(BN120&lt;=4.25,"D",IF(BN120&lt;=5,"E","F"))))))</f>
        <v/>
      </c>
      <c r="BO121" s="311"/>
      <c r="BP121" s="311"/>
      <c r="BQ121" s="288"/>
      <c r="BR121" s="287" t="str">
        <f t="shared" ref="BR121" si="349">IF(BR120="","",IF(BR120&lt;=2,"A",IF(BR120&lt;=2.75,"B",IF(BR120&lt;=3.5,"C",IF(BR120&lt;=4.25,"D",IF(BR120&lt;=5,"E","F"))))))</f>
        <v/>
      </c>
      <c r="BS121" s="311"/>
      <c r="BT121" s="311"/>
      <c r="BU121" s="288"/>
      <c r="BV121" s="287" t="str">
        <f t="shared" ref="BV121" si="350">IF(BV120="","",IF(BV120&lt;=2,"A",IF(BV120&lt;=2.75,"B",IF(BV120&lt;=3.5,"C",IF(BV120&lt;=4.25,"D",IF(BV120&lt;=5,"E","F"))))))</f>
        <v/>
      </c>
      <c r="BW121" s="311"/>
      <c r="BX121" s="311"/>
      <c r="BY121" s="288"/>
      <c r="BZ121" s="287" t="str">
        <f t="shared" ref="BZ121" si="351">IF(BZ120="","",IF(BZ120&lt;=2,"A",IF(BZ120&lt;=2.75,"B",IF(BZ120&lt;=3.5,"C",IF(BZ120&lt;=4.25,"D",IF(BZ120&lt;=5,"E","F"))))))</f>
        <v/>
      </c>
      <c r="CA121" s="311"/>
      <c r="CB121" s="311"/>
      <c r="CC121" s="288"/>
      <c r="CD121" s="287" t="str">
        <f t="shared" ref="CD121" si="352">IF(CD120="","",IF(CD120&lt;=2,"A",IF(CD120&lt;=2.75,"B",IF(CD120&lt;=3.5,"C",IF(CD120&lt;=4.25,"D",IF(CD120&lt;=5,"E","F"))))))</f>
        <v/>
      </c>
      <c r="CE121" s="311"/>
      <c r="CF121" s="311"/>
      <c r="CG121" s="288"/>
      <c r="CH121" s="287" t="str">
        <f t="shared" ref="CH121" si="353">IF(CH120="","",IF(CH120&lt;=2,"A",IF(CH120&lt;=2.75,"B",IF(CH120&lt;=3.5,"C",IF(CH120&lt;=4.25,"D",IF(CH120&lt;=5,"E","F"))))))</f>
        <v/>
      </c>
      <c r="CI121" s="311"/>
      <c r="CJ121" s="311"/>
      <c r="CK121" s="288"/>
      <c r="CL121" s="69" t="str">
        <f>IF(CL120&lt;=2,"A",IF(CL120&lt;=2.75,"B",IF(CL120&lt;=3.5,"C",IF(CL120&lt;=4.25,"D",IF(CL120&lt;=5,"E","F")))))</f>
        <v>C</v>
      </c>
      <c r="CM121" s="28"/>
    </row>
    <row r="122" spans="1:91" ht="14.25" thickBot="1" x14ac:dyDescent="0.3">
      <c r="B122" s="63"/>
      <c r="C122" s="30"/>
      <c r="D122" s="64"/>
      <c r="E122" s="135"/>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1"/>
    </row>
    <row r="124" spans="1:91" ht="38.25" x14ac:dyDescent="0.25">
      <c r="C124" s="21" t="s">
        <v>198</v>
      </c>
      <c r="D124" s="142" t="s">
        <v>228</v>
      </c>
    </row>
    <row r="125" spans="1:91" ht="15.75" x14ac:dyDescent="0.25">
      <c r="C125" s="21" t="s">
        <v>199</v>
      </c>
      <c r="D125" s="20" t="s">
        <v>203</v>
      </c>
    </row>
    <row r="126" spans="1:91" ht="15.75" x14ac:dyDescent="0.25">
      <c r="C126" s="21" t="s">
        <v>200</v>
      </c>
      <c r="D126" s="20" t="s">
        <v>204</v>
      </c>
    </row>
  </sheetData>
  <mergeCells count="218">
    <mergeCell ref="C115:D115"/>
    <mergeCell ref="F115:I115"/>
    <mergeCell ref="J117:M117"/>
    <mergeCell ref="F117:I117"/>
    <mergeCell ref="F118:I118"/>
    <mergeCell ref="F120:I120"/>
    <mergeCell ref="F121:I121"/>
    <mergeCell ref="C3:D4"/>
    <mergeCell ref="F3:I3"/>
    <mergeCell ref="C7:D7"/>
    <mergeCell ref="F7:I7"/>
    <mergeCell ref="C48:D48"/>
    <mergeCell ref="F48:I48"/>
    <mergeCell ref="F70:I70"/>
    <mergeCell ref="F113:I113"/>
    <mergeCell ref="J118:M118"/>
    <mergeCell ref="J120:M120"/>
    <mergeCell ref="J121:M121"/>
    <mergeCell ref="E3:E4"/>
    <mergeCell ref="C76:D76"/>
    <mergeCell ref="C89:D89"/>
    <mergeCell ref="N3:Q3"/>
    <mergeCell ref="N7:Q7"/>
    <mergeCell ref="N48:Q48"/>
    <mergeCell ref="N70:Q70"/>
    <mergeCell ref="N113:Q113"/>
    <mergeCell ref="N115:Q115"/>
    <mergeCell ref="N117:Q117"/>
    <mergeCell ref="N118:Q118"/>
    <mergeCell ref="N120:Q120"/>
    <mergeCell ref="N121:Q121"/>
    <mergeCell ref="J3:M3"/>
    <mergeCell ref="J7:M7"/>
    <mergeCell ref="J48:M48"/>
    <mergeCell ref="J70:M70"/>
    <mergeCell ref="J113:M113"/>
    <mergeCell ref="J115:M115"/>
    <mergeCell ref="R121:U121"/>
    <mergeCell ref="V3:Y3"/>
    <mergeCell ref="V7:Y7"/>
    <mergeCell ref="V48:Y48"/>
    <mergeCell ref="V70:Y70"/>
    <mergeCell ref="V113:Y113"/>
    <mergeCell ref="V115:Y115"/>
    <mergeCell ref="V117:Y117"/>
    <mergeCell ref="V118:Y118"/>
    <mergeCell ref="V120:Y120"/>
    <mergeCell ref="V121:Y121"/>
    <mergeCell ref="R3:U3"/>
    <mergeCell ref="R7:U7"/>
    <mergeCell ref="R48:U48"/>
    <mergeCell ref="R70:U70"/>
    <mergeCell ref="R113:U113"/>
    <mergeCell ref="R115:U115"/>
    <mergeCell ref="R117:U117"/>
    <mergeCell ref="R118:U118"/>
    <mergeCell ref="R120:U120"/>
    <mergeCell ref="Z121:AC121"/>
    <mergeCell ref="AD3:AG3"/>
    <mergeCell ref="AD7:AG7"/>
    <mergeCell ref="AD48:AG48"/>
    <mergeCell ref="AD70:AG70"/>
    <mergeCell ref="AD113:AG113"/>
    <mergeCell ref="AD115:AG115"/>
    <mergeCell ref="AD117:AG117"/>
    <mergeCell ref="AD118:AG118"/>
    <mergeCell ref="AD120:AG120"/>
    <mergeCell ref="AD121:AG121"/>
    <mergeCell ref="Z3:AC3"/>
    <mergeCell ref="Z7:AC7"/>
    <mergeCell ref="Z48:AC48"/>
    <mergeCell ref="Z70:AC70"/>
    <mergeCell ref="Z113:AC113"/>
    <mergeCell ref="Z115:AC115"/>
    <mergeCell ref="Z117:AC117"/>
    <mergeCell ref="Z118:AC118"/>
    <mergeCell ref="Z120:AC120"/>
    <mergeCell ref="AH121:AK121"/>
    <mergeCell ref="AL3:AO3"/>
    <mergeCell ref="AL7:AO7"/>
    <mergeCell ref="AL48:AO48"/>
    <mergeCell ref="AL70:AO70"/>
    <mergeCell ref="AL113:AO113"/>
    <mergeCell ref="AL115:AO115"/>
    <mergeCell ref="AL117:AO117"/>
    <mergeCell ref="AL118:AO118"/>
    <mergeCell ref="AL120:AO120"/>
    <mergeCell ref="AL121:AO121"/>
    <mergeCell ref="AH3:AK3"/>
    <mergeCell ref="AH7:AK7"/>
    <mergeCell ref="AH48:AK48"/>
    <mergeCell ref="AH70:AK70"/>
    <mergeCell ref="AH113:AK113"/>
    <mergeCell ref="AH115:AK115"/>
    <mergeCell ref="AH117:AK117"/>
    <mergeCell ref="AH118:AK118"/>
    <mergeCell ref="AH120:AK120"/>
    <mergeCell ref="AP121:AS121"/>
    <mergeCell ref="AT3:AW3"/>
    <mergeCell ref="AT7:AW7"/>
    <mergeCell ref="AT48:AW48"/>
    <mergeCell ref="AT70:AW70"/>
    <mergeCell ref="AT113:AW113"/>
    <mergeCell ref="AT115:AW115"/>
    <mergeCell ref="AT117:AW117"/>
    <mergeCell ref="AT118:AW118"/>
    <mergeCell ref="AT120:AW120"/>
    <mergeCell ref="AT121:AW121"/>
    <mergeCell ref="AP3:AS3"/>
    <mergeCell ref="AP7:AS7"/>
    <mergeCell ref="AP48:AS48"/>
    <mergeCell ref="AP70:AS70"/>
    <mergeCell ref="AP113:AS113"/>
    <mergeCell ref="AP115:AS115"/>
    <mergeCell ref="AP117:AS117"/>
    <mergeCell ref="AP118:AS118"/>
    <mergeCell ref="AP120:AS120"/>
    <mergeCell ref="AX121:BA121"/>
    <mergeCell ref="BB3:BE3"/>
    <mergeCell ref="BB7:BE7"/>
    <mergeCell ref="BB48:BE48"/>
    <mergeCell ref="BB70:BE70"/>
    <mergeCell ref="BB113:BE113"/>
    <mergeCell ref="BB115:BE115"/>
    <mergeCell ref="BB117:BE117"/>
    <mergeCell ref="BB118:BE118"/>
    <mergeCell ref="BB120:BE120"/>
    <mergeCell ref="BB121:BE121"/>
    <mergeCell ref="AX3:BA3"/>
    <mergeCell ref="AX7:BA7"/>
    <mergeCell ref="AX48:BA48"/>
    <mergeCell ref="AX70:BA70"/>
    <mergeCell ref="AX113:BA113"/>
    <mergeCell ref="AX115:BA115"/>
    <mergeCell ref="AX117:BA117"/>
    <mergeCell ref="AX118:BA118"/>
    <mergeCell ref="AX120:BA120"/>
    <mergeCell ref="BF121:BI121"/>
    <mergeCell ref="BJ3:BM3"/>
    <mergeCell ref="BJ7:BM7"/>
    <mergeCell ref="BJ48:BM48"/>
    <mergeCell ref="BJ70:BM70"/>
    <mergeCell ref="BJ113:BM113"/>
    <mergeCell ref="BJ115:BM115"/>
    <mergeCell ref="BJ117:BM117"/>
    <mergeCell ref="BJ118:BM118"/>
    <mergeCell ref="BJ120:BM120"/>
    <mergeCell ref="BJ121:BM121"/>
    <mergeCell ref="BF3:BI3"/>
    <mergeCell ref="BF7:BI7"/>
    <mergeCell ref="BF48:BI48"/>
    <mergeCell ref="BF70:BI70"/>
    <mergeCell ref="BF113:BI113"/>
    <mergeCell ref="BF115:BI115"/>
    <mergeCell ref="BF117:BI117"/>
    <mergeCell ref="BF118:BI118"/>
    <mergeCell ref="BF120:BI120"/>
    <mergeCell ref="BN121:BQ121"/>
    <mergeCell ref="BR3:BU3"/>
    <mergeCell ref="BR7:BU7"/>
    <mergeCell ref="BR48:BU48"/>
    <mergeCell ref="BR70:BU70"/>
    <mergeCell ref="BR113:BU113"/>
    <mergeCell ref="BR115:BU115"/>
    <mergeCell ref="BR117:BU117"/>
    <mergeCell ref="BR118:BU118"/>
    <mergeCell ref="BR120:BU120"/>
    <mergeCell ref="BR121:BU121"/>
    <mergeCell ref="BN3:BQ3"/>
    <mergeCell ref="BN7:BQ7"/>
    <mergeCell ref="BN48:BQ48"/>
    <mergeCell ref="BN70:BQ70"/>
    <mergeCell ref="BN113:BQ113"/>
    <mergeCell ref="BN115:BQ115"/>
    <mergeCell ref="BN117:BQ117"/>
    <mergeCell ref="BN118:BQ118"/>
    <mergeCell ref="BN120:BQ120"/>
    <mergeCell ref="BV121:BY121"/>
    <mergeCell ref="BZ3:CC3"/>
    <mergeCell ref="BZ7:CC7"/>
    <mergeCell ref="BZ48:CC48"/>
    <mergeCell ref="BZ70:CC70"/>
    <mergeCell ref="BZ113:CC113"/>
    <mergeCell ref="BZ115:CC115"/>
    <mergeCell ref="BZ117:CC117"/>
    <mergeCell ref="BZ118:CC118"/>
    <mergeCell ref="BZ120:CC120"/>
    <mergeCell ref="BZ121:CC121"/>
    <mergeCell ref="BV3:BY3"/>
    <mergeCell ref="BV7:BY7"/>
    <mergeCell ref="BV48:BY48"/>
    <mergeCell ref="BV70:BY70"/>
    <mergeCell ref="BV113:BY113"/>
    <mergeCell ref="BV115:BY115"/>
    <mergeCell ref="BV117:BY117"/>
    <mergeCell ref="BV118:BY118"/>
    <mergeCell ref="BV120:BY120"/>
    <mergeCell ref="CH121:CK121"/>
    <mergeCell ref="CL3:CL5"/>
    <mergeCell ref="CD117:CG117"/>
    <mergeCell ref="CD118:CG118"/>
    <mergeCell ref="CD120:CG120"/>
    <mergeCell ref="CD121:CG121"/>
    <mergeCell ref="CH3:CK3"/>
    <mergeCell ref="CH7:CK7"/>
    <mergeCell ref="CH48:CK48"/>
    <mergeCell ref="CH70:CK70"/>
    <mergeCell ref="CH113:CK113"/>
    <mergeCell ref="CH115:CK115"/>
    <mergeCell ref="CD3:CG3"/>
    <mergeCell ref="CD7:CG7"/>
    <mergeCell ref="CD48:CG48"/>
    <mergeCell ref="CD70:CG70"/>
    <mergeCell ref="CD113:CG113"/>
    <mergeCell ref="CD115:CG115"/>
    <mergeCell ref="CH117:CK117"/>
    <mergeCell ref="CH118:CK118"/>
    <mergeCell ref="CH120:CK120"/>
  </mergeCells>
  <dataValidations count="4">
    <dataValidation type="list" allowBlank="1" showInputMessage="1" showErrorMessage="1" sqref="E45:CK46"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4" xr:uid="{AB79CDA3-FCBB-483B-8A3D-CE3BB4F5D7D4}">
      <formula1>"Signalized, Stop, Free"</formula1>
    </dataValidation>
    <dataValidation type="list" allowBlank="1" showInputMessage="1" showErrorMessage="1" sqref="F44:CK44"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316" t="s">
        <v>239</v>
      </c>
      <c r="C2" s="317"/>
      <c r="D2" s="316" t="s">
        <v>240</v>
      </c>
      <c r="E2" s="317"/>
    </row>
    <row r="3" spans="2:5" x14ac:dyDescent="0.25">
      <c r="B3" s="4"/>
      <c r="C3" s="8" t="s">
        <v>115</v>
      </c>
      <c r="D3" s="4"/>
      <c r="E3" s="8" t="s">
        <v>115</v>
      </c>
    </row>
    <row r="4" spans="2:5" x14ac:dyDescent="0.25">
      <c r="B4" s="151"/>
      <c r="C4" s="152" t="s">
        <v>88</v>
      </c>
      <c r="D4" s="153" t="s">
        <v>145</v>
      </c>
      <c r="E4" s="152" t="s">
        <v>146</v>
      </c>
    </row>
    <row r="5" spans="2:5" x14ac:dyDescent="0.25">
      <c r="B5" s="153" t="s">
        <v>122</v>
      </c>
      <c r="C5" s="152" t="s">
        <v>17</v>
      </c>
      <c r="D5" s="153" t="s">
        <v>117</v>
      </c>
      <c r="E5" s="152" t="s">
        <v>173</v>
      </c>
    </row>
    <row r="6" spans="2:5" x14ac:dyDescent="0.25">
      <c r="B6" s="153" t="s">
        <v>108</v>
      </c>
      <c r="C6" s="152" t="s">
        <v>90</v>
      </c>
      <c r="D6" s="153" t="s">
        <v>147</v>
      </c>
      <c r="E6" s="152" t="s">
        <v>148</v>
      </c>
    </row>
    <row r="7" spans="2:5" x14ac:dyDescent="0.25">
      <c r="B7" s="153" t="s">
        <v>31</v>
      </c>
      <c r="C7" s="152" t="s">
        <v>18</v>
      </c>
      <c r="D7" s="153" t="s">
        <v>152</v>
      </c>
      <c r="E7" s="152" t="s">
        <v>241</v>
      </c>
    </row>
    <row r="8" spans="2:5" x14ac:dyDescent="0.25">
      <c r="B8" s="153" t="s">
        <v>117</v>
      </c>
      <c r="C8" s="152" t="s">
        <v>118</v>
      </c>
      <c r="D8" s="153" t="s">
        <v>151</v>
      </c>
      <c r="E8" s="152" t="s">
        <v>156</v>
      </c>
    </row>
    <row r="9" spans="2:5" x14ac:dyDescent="0.25">
      <c r="B9" s="153" t="s">
        <v>25</v>
      </c>
      <c r="C9" s="152" t="s">
        <v>242</v>
      </c>
      <c r="D9" s="153" t="s">
        <v>169</v>
      </c>
      <c r="E9" s="152" t="s">
        <v>157</v>
      </c>
    </row>
    <row r="10" spans="2:5" x14ac:dyDescent="0.25">
      <c r="B10" s="153" t="s">
        <v>26</v>
      </c>
      <c r="C10" s="152" t="s">
        <v>11</v>
      </c>
      <c r="D10" s="153" t="s">
        <v>243</v>
      </c>
      <c r="E10" s="152" t="s">
        <v>153</v>
      </c>
    </row>
    <row r="11" spans="2:5" x14ac:dyDescent="0.25">
      <c r="B11" s="153" t="s">
        <v>28</v>
      </c>
      <c r="C11" s="152" t="s">
        <v>15</v>
      </c>
      <c r="D11" s="153" t="s">
        <v>154</v>
      </c>
      <c r="E11" s="152" t="s">
        <v>155</v>
      </c>
    </row>
    <row r="12" spans="2:5" x14ac:dyDescent="0.25">
      <c r="B12" s="153" t="s">
        <v>29</v>
      </c>
      <c r="C12" s="152" t="s">
        <v>22</v>
      </c>
      <c r="D12" s="153" t="s">
        <v>158</v>
      </c>
      <c r="E12" s="152" t="s">
        <v>159</v>
      </c>
    </row>
    <row r="13" spans="2:5" x14ac:dyDescent="0.25">
      <c r="B13" s="153" t="s">
        <v>30</v>
      </c>
      <c r="C13" s="152" t="s">
        <v>16</v>
      </c>
      <c r="D13" s="153" t="s">
        <v>160</v>
      </c>
      <c r="E13" s="152" t="s">
        <v>161</v>
      </c>
    </row>
    <row r="14" spans="2:5" x14ac:dyDescent="0.25">
      <c r="B14" s="153" t="s">
        <v>27</v>
      </c>
      <c r="C14" s="152" t="s">
        <v>14</v>
      </c>
      <c r="D14" s="153" t="s">
        <v>162</v>
      </c>
      <c r="E14" s="152" t="s">
        <v>164</v>
      </c>
    </row>
    <row r="15" spans="2:5" x14ac:dyDescent="0.25">
      <c r="B15" s="153" t="s">
        <v>121</v>
      </c>
      <c r="C15" s="152" t="s">
        <v>23</v>
      </c>
      <c r="D15" s="153" t="s">
        <v>170</v>
      </c>
      <c r="E15" s="152" t="s">
        <v>171</v>
      </c>
    </row>
    <row r="16" spans="2:5" x14ac:dyDescent="0.25">
      <c r="B16" s="153" t="s">
        <v>116</v>
      </c>
      <c r="C16" s="152" t="s">
        <v>91</v>
      </c>
      <c r="D16" s="153" t="s">
        <v>28</v>
      </c>
      <c r="E16" s="152" t="s">
        <v>15</v>
      </c>
    </row>
    <row r="17" spans="2:5" x14ac:dyDescent="0.25">
      <c r="B17" s="153"/>
      <c r="C17" s="152" t="s">
        <v>244</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172</v>
      </c>
      <c r="D20" s="153" t="s">
        <v>29</v>
      </c>
      <c r="E20" s="152" t="s">
        <v>22</v>
      </c>
    </row>
    <row r="21" spans="2:5" x14ac:dyDescent="0.25">
      <c r="B21" s="4"/>
      <c r="C21" s="8" t="s">
        <v>21</v>
      </c>
      <c r="D21" s="154"/>
      <c r="E21" s="155" t="s">
        <v>172</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245</v>
      </c>
      <c r="C2" s="157" t="s">
        <v>246</v>
      </c>
      <c r="D2" s="157" t="s">
        <v>247</v>
      </c>
    </row>
    <row r="3" spans="2:4" ht="25.5" x14ac:dyDescent="0.25">
      <c r="B3" s="159" t="s">
        <v>248</v>
      </c>
      <c r="C3" s="160" t="s">
        <v>249</v>
      </c>
      <c r="D3" s="161" t="s">
        <v>250</v>
      </c>
    </row>
    <row r="4" spans="2:4" ht="38.25" x14ac:dyDescent="0.25">
      <c r="B4" s="159" t="s">
        <v>251</v>
      </c>
      <c r="C4" s="160" t="s">
        <v>252</v>
      </c>
      <c r="D4" s="161" t="s">
        <v>250</v>
      </c>
    </row>
    <row r="5" spans="2:4" ht="38.25" x14ac:dyDescent="0.25">
      <c r="B5" s="159" t="s">
        <v>253</v>
      </c>
      <c r="C5" s="160" t="s">
        <v>254</v>
      </c>
      <c r="D5" s="160" t="s">
        <v>255</v>
      </c>
    </row>
    <row r="6" spans="2:4" ht="51" x14ac:dyDescent="0.25">
      <c r="B6" s="159" t="s">
        <v>256</v>
      </c>
      <c r="C6" s="160" t="s">
        <v>257</v>
      </c>
      <c r="D6" s="160" t="s">
        <v>258</v>
      </c>
    </row>
    <row r="7" spans="2:4" ht="38.1" customHeight="1" x14ac:dyDescent="0.25">
      <c r="B7" s="159" t="s">
        <v>259</v>
      </c>
      <c r="C7" s="160" t="s">
        <v>260</v>
      </c>
      <c r="D7" s="160" t="s">
        <v>261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A69F-85D7-4413-A6B5-CBACF77CC65E}">
  <dimension ref="A1"/>
  <sheetViews>
    <sheetView workbookViewId="0"/>
  </sheetViews>
  <sheetFormatPr defaultRowHeight="15.7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Report</vt:lpstr>
      <vt:lpstr>Segments</vt:lpstr>
      <vt:lpstr>Links</vt:lpstr>
      <vt:lpstr>Intersections (2)</vt:lpstr>
      <vt:lpstr>Intersections</vt:lpstr>
      <vt:lpstr>Variables</vt:lpstr>
      <vt:lpstr>Pavement Condition Rating</vt:lpstr>
      <vt:lpstr>Sheet1</vt:lpstr>
      <vt:lpstr>'Intersections (2)'!Print_Area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2020-04-03T21:51:38Z</dcterms:modified>
</cp:coreProperties>
</file>