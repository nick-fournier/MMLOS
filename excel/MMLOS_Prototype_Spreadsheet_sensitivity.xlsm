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65AEFF35-C196-4DFD-901E-DFD573094B4E}" xr6:coauthVersionLast="45" xr6:coauthVersionMax="45" xr10:uidLastSave="{00000000-0000-0000-0000-000000000000}"/>
  <bookViews>
    <workbookView xWindow="14235" yWindow="150" windowWidth="19995" windowHeight="15300" tabRatio="720" activeTab="3" xr2:uid="{00000000-000D-0000-FFFF-FFFF00000000}"/>
  </bookViews>
  <sheets>
    <sheet name="Report" sheetId="9" r:id="rId1"/>
    <sheet name="Segments" sheetId="11" r:id="rId2"/>
    <sheet name="Links" sheetId="2" r:id="rId3"/>
    <sheet name="Intersections Sensitivity" sheetId="15" r:id="rId4"/>
    <sheet name="Sheet1" sheetId="17" r:id="rId5"/>
    <sheet name="Intersections" sheetId="3" r:id="rId6"/>
    <sheet name="Variables" sheetId="4" r:id="rId7"/>
    <sheet name="Pavement Condition Rating" sheetId="5" r:id="rId8"/>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H60" i="15" l="1"/>
  <c r="D14" i="17" l="1"/>
  <c r="Y6" i="17" a="1"/>
  <c r="AA6" i="17" a="1"/>
  <c r="AC6" i="17" a="1"/>
  <c r="AE6" i="17" a="1"/>
  <c r="AG6" i="17" a="1"/>
  <c r="Y7" i="17" a="1"/>
  <c r="Z6" i="17" a="1"/>
  <c r="AB6" i="17" a="1"/>
  <c r="AD6" i="17" a="1"/>
  <c r="AF6" i="17" a="1"/>
  <c r="AH6" i="17" a="1"/>
  <c r="Z7" i="17" a="1"/>
  <c r="AB7" i="17" a="1"/>
  <c r="AD7" i="17" a="1"/>
  <c r="AF7" i="17" a="1"/>
  <c r="AH7" i="17" a="1"/>
  <c r="Z8" i="17" a="1"/>
  <c r="AB8" i="17" a="1"/>
  <c r="AD8" i="17" a="1"/>
  <c r="AF8" i="17" a="1"/>
  <c r="AH8" i="17" a="1"/>
  <c r="Z9" i="17" a="1"/>
  <c r="AC7" i="17" a="1"/>
  <c r="AG7" i="17" a="1"/>
  <c r="AA8" i="17" a="1"/>
  <c r="AE8" i="17" a="1"/>
  <c r="Y9" i="17" a="1"/>
  <c r="AE9" i="17" a="1"/>
  <c r="AH9" i="17" a="1"/>
  <c r="AC10" i="17" a="1"/>
  <c r="AF10" i="17" a="1"/>
  <c r="AA11" i="17" a="1"/>
  <c r="AD11" i="17" a="1"/>
  <c r="Y12" i="17" a="1"/>
  <c r="AB12" i="17" a="1"/>
  <c r="AG12" i="17" a="1"/>
  <c r="Z13" i="17" a="1"/>
  <c r="AE13" i="17" a="1"/>
  <c r="AH13" i="17" a="1"/>
  <c r="AC14" i="17" a="1"/>
  <c r="AF14" i="17" a="1"/>
  <c r="AA15" i="17" a="1"/>
  <c r="AD15" i="17" a="1"/>
  <c r="Y16" i="17" a="1"/>
  <c r="AB16" i="17" a="1"/>
  <c r="AG16" i="17" a="1"/>
  <c r="Z17" i="17" a="1"/>
  <c r="AE17" i="17" a="1"/>
  <c r="AH17" i="17" a="1"/>
  <c r="AC18" i="17" a="1"/>
  <c r="AF18" i="17" a="1"/>
  <c r="AA19" i="17" a="1"/>
  <c r="AD19" i="17" a="1"/>
  <c r="Y20" i="17" a="1"/>
  <c r="AB20" i="17" a="1"/>
  <c r="AG20" i="17" a="1"/>
  <c r="Z21" i="17" a="1"/>
  <c r="AE21" i="17" a="1"/>
  <c r="AH21" i="17" a="1"/>
  <c r="AC22" i="17" a="1"/>
  <c r="AF22" i="17" a="1"/>
  <c r="AC9" i="17" a="1"/>
  <c r="AF9" i="17" a="1"/>
  <c r="AA10" i="17" a="1"/>
  <c r="AD10" i="17" a="1"/>
  <c r="Y11" i="17" a="1"/>
  <c r="AB11" i="17" a="1"/>
  <c r="AG11" i="17" a="1"/>
  <c r="Z12" i="17" a="1"/>
  <c r="AE12" i="17" a="1"/>
  <c r="AH12" i="17" a="1"/>
  <c r="AC13" i="17" a="1"/>
  <c r="AF13" i="17" a="1"/>
  <c r="AA14" i="17" a="1"/>
  <c r="AD14" i="17" a="1"/>
  <c r="Y15" i="17" a="1"/>
  <c r="AB15" i="17" a="1"/>
  <c r="AG15" i="17" a="1"/>
  <c r="Z16" i="17" a="1"/>
  <c r="AE16" i="17" a="1"/>
  <c r="AH16" i="17" a="1"/>
  <c r="AC17" i="17" a="1"/>
  <c r="AF17" i="17" a="1"/>
  <c r="AA18" i="17" a="1"/>
  <c r="AD18" i="17" a="1"/>
  <c r="Y19" i="17" a="1"/>
  <c r="AB19" i="17" a="1"/>
  <c r="AG19" i="17" a="1"/>
  <c r="Z20" i="17" a="1"/>
  <c r="AE20" i="17" a="1"/>
  <c r="AH20" i="17" a="1"/>
  <c r="AC21" i="17" a="1"/>
  <c r="AF21" i="17" a="1"/>
  <c r="AA22" i="17" a="1"/>
  <c r="AD22" i="17" a="1"/>
  <c r="Y23" i="17" a="1"/>
  <c r="AA23" i="17" a="1"/>
  <c r="AC23" i="17" a="1"/>
  <c r="AE23" i="17" a="1"/>
  <c r="AG23" i="17" a="1"/>
  <c r="Y24" i="17" a="1"/>
  <c r="AA24" i="17" a="1"/>
  <c r="AC24" i="17" a="1"/>
  <c r="AE24" i="17" a="1"/>
  <c r="AG24" i="17" a="1"/>
  <c r="Y25" i="17" a="1"/>
  <c r="AA25" i="17" a="1"/>
  <c r="AC25" i="17" a="1"/>
  <c r="AE25" i="17" a="1"/>
  <c r="AG25" i="17" a="1"/>
  <c r="Y26" i="17" a="1"/>
  <c r="AA7" i="17" a="1"/>
  <c r="AE7" i="17" a="1"/>
  <c r="Y8" i="17" a="1"/>
  <c r="AC8" i="17" a="1"/>
  <c r="AG8" i="17" a="1"/>
  <c r="AA9" i="17" a="1"/>
  <c r="AD9" i="17" a="1"/>
  <c r="Y10" i="17" a="1"/>
  <c r="AB10" i="17" a="1"/>
  <c r="AG10" i="17" a="1"/>
  <c r="Z11" i="17" a="1"/>
  <c r="AE11" i="17" a="1"/>
  <c r="AH11" i="17" a="1"/>
  <c r="AC12" i="17" a="1"/>
  <c r="AF12" i="17" a="1"/>
  <c r="AA13" i="17" a="1"/>
  <c r="AD13" i="17" a="1"/>
  <c r="Y14" i="17" a="1"/>
  <c r="AB14" i="17" a="1"/>
  <c r="AG14" i="17" a="1"/>
  <c r="Z15" i="17" a="1"/>
  <c r="AE15" i="17" a="1"/>
  <c r="AH15" i="17" a="1"/>
  <c r="AC16" i="17" a="1"/>
  <c r="AF16" i="17" a="1"/>
  <c r="AA17" i="17" a="1"/>
  <c r="AD17" i="17" a="1"/>
  <c r="Y18" i="17" a="1"/>
  <c r="AB18" i="17" a="1"/>
  <c r="AG18" i="17" a="1"/>
  <c r="Z19" i="17" a="1"/>
  <c r="AE19" i="17" a="1"/>
  <c r="AH19" i="17" a="1"/>
  <c r="AC20" i="17" a="1"/>
  <c r="AF20" i="17" a="1"/>
  <c r="AA21" i="17" a="1"/>
  <c r="AD21" i="17" a="1"/>
  <c r="Y22" i="17" a="1"/>
  <c r="AB22" i="17" a="1"/>
  <c r="AG22" i="17" a="1"/>
  <c r="AG9" i="17" a="1"/>
  <c r="AH10" i="17" a="1"/>
  <c r="Y13" i="17" a="1"/>
  <c r="Z14" i="17" a="1"/>
  <c r="AA16" i="17" a="1"/>
  <c r="AB17" i="17" a="1"/>
  <c r="AC19" i="17" a="1"/>
  <c r="AD20" i="17" a="1"/>
  <c r="AE22" i="17" a="1"/>
  <c r="AD23" i="17" a="1"/>
  <c r="AB24" i="17" a="1"/>
  <c r="Z25" i="17" a="1"/>
  <c r="AH25" i="17" a="1"/>
  <c r="AC26" i="17" a="1"/>
  <c r="AG26" i="17" a="1"/>
  <c r="AA27" i="17" a="1"/>
  <c r="AE27" i="17" a="1"/>
  <c r="AA28" i="17" a="1"/>
  <c r="AD28" i="17" a="1"/>
  <c r="Y29" i="17" a="1"/>
  <c r="AB29" i="17" a="1"/>
  <c r="AG29" i="17" a="1"/>
  <c r="Z30" i="17" a="1"/>
  <c r="AE30" i="17" a="1"/>
  <c r="AH30" i="17" a="1"/>
  <c r="Z31" i="17" a="1"/>
  <c r="AB31" i="17" a="1"/>
  <c r="AD31" i="17" a="1"/>
  <c r="AF31" i="17" a="1"/>
  <c r="AH31" i="17" a="1"/>
  <c r="Z32" i="17" a="1"/>
  <c r="AB32" i="17" a="1"/>
  <c r="AD32" i="17" a="1"/>
  <c r="AF32" i="17" a="1"/>
  <c r="AH32" i="17" a="1"/>
  <c r="Z33" i="17" a="1"/>
  <c r="AB33" i="17" a="1"/>
  <c r="AD33" i="17" a="1"/>
  <c r="AF33" i="17" a="1"/>
  <c r="AH33" i="17" a="1"/>
  <c r="Z34" i="17" a="1"/>
  <c r="AB34" i="17" a="1"/>
  <c r="AD34" i="17" a="1"/>
  <c r="AF34" i="17" a="1"/>
  <c r="AH34" i="17" a="1"/>
  <c r="Z35" i="17" a="1"/>
  <c r="AB35" i="17" a="1"/>
  <c r="AD35" i="17" a="1"/>
  <c r="AF35" i="17" a="1"/>
  <c r="AH35" i="17" a="1"/>
  <c r="Z36" i="17" a="1"/>
  <c r="AB36" i="17" a="1"/>
  <c r="AD36" i="17" a="1"/>
  <c r="AF36" i="17" a="1"/>
  <c r="AH36" i="17" a="1"/>
  <c r="Z37" i="17" a="1"/>
  <c r="AB37" i="17" a="1"/>
  <c r="AD37" i="17" a="1"/>
  <c r="AF37" i="17" a="1"/>
  <c r="AH37" i="17" a="1"/>
  <c r="Z38" i="17" a="1"/>
  <c r="AB38" i="17" a="1"/>
  <c r="Z10" i="17" a="1"/>
  <c r="AA12" i="17" a="1"/>
  <c r="AB13" i="17" a="1"/>
  <c r="AC15" i="17" a="1"/>
  <c r="AD16" i="17" a="1"/>
  <c r="AE18" i="17" a="1"/>
  <c r="AF19" i="17" a="1"/>
  <c r="AG21" i="17" a="1"/>
  <c r="AH22" i="17" a="1"/>
  <c r="AF23" i="17" a="1"/>
  <c r="AD24" i="17" a="1"/>
  <c r="AB25" i="17" a="1"/>
  <c r="Z26" i="17" a="1"/>
  <c r="AD26" i="17" a="1"/>
  <c r="AH26" i="17" a="1"/>
  <c r="AB27" i="17" a="1"/>
  <c r="AF27" i="17" a="1"/>
  <c r="Y28" i="17" a="1"/>
  <c r="AB28" i="17" a="1"/>
  <c r="AG28" i="17" a="1"/>
  <c r="Z29" i="17" a="1"/>
  <c r="AE29" i="17" a="1"/>
  <c r="AH29" i="17" a="1"/>
  <c r="AC30" i="17" a="1"/>
  <c r="AF30" i="17" a="1"/>
  <c r="AB9" i="17" a="1"/>
  <c r="AC11" i="17" a="1"/>
  <c r="AD12" i="17" a="1"/>
  <c r="AE14" i="17" a="1"/>
  <c r="AF15" i="17" a="1"/>
  <c r="AG17" i="17" a="1"/>
  <c r="AH18" i="17" a="1"/>
  <c r="Y21" i="17" a="1"/>
  <c r="Z22" i="17" a="1"/>
  <c r="Z23" i="17" a="1"/>
  <c r="AH23" i="17" a="1"/>
  <c r="AF24" i="17" a="1"/>
  <c r="AD25" i="17" a="1"/>
  <c r="AA26" i="17" a="1"/>
  <c r="AE26" i="17" a="1"/>
  <c r="Y27" i="17" a="1"/>
  <c r="AC27" i="17" a="1"/>
  <c r="AG27" i="17" a="1"/>
  <c r="Z28" i="17" a="1"/>
  <c r="AE28" i="17" a="1"/>
  <c r="AH28" i="17" a="1"/>
  <c r="AC29" i="17" a="1"/>
  <c r="AF29" i="17" a="1"/>
  <c r="AA30" i="17" a="1"/>
  <c r="AD30" i="17" a="1"/>
  <c r="Y31" i="17" a="1"/>
  <c r="AA31" i="17" a="1"/>
  <c r="AC31" i="17" a="1"/>
  <c r="AE31" i="17" a="1"/>
  <c r="AG31" i="17" a="1"/>
  <c r="Y32" i="17" a="1"/>
  <c r="AA32" i="17" a="1"/>
  <c r="AC32" i="17" a="1"/>
  <c r="AE32" i="17" a="1"/>
  <c r="AG32" i="17" a="1"/>
  <c r="Y33" i="17" a="1"/>
  <c r="AA33" i="17" a="1"/>
  <c r="AC33" i="17" a="1"/>
  <c r="AE33" i="17" a="1"/>
  <c r="AG33" i="17" a="1"/>
  <c r="Y34" i="17" a="1"/>
  <c r="AA34" i="17" a="1"/>
  <c r="AC34" i="17" a="1"/>
  <c r="AE34" i="17" a="1"/>
  <c r="AG34" i="17" a="1"/>
  <c r="Y35" i="17" a="1"/>
  <c r="AA35" i="17" a="1"/>
  <c r="AC35" i="17" a="1"/>
  <c r="AE35" i="17" a="1"/>
  <c r="AG35" i="17" a="1"/>
  <c r="Y36" i="17" a="1"/>
  <c r="AA36" i="17" a="1"/>
  <c r="AC36" i="17" a="1"/>
  <c r="AE36" i="17" a="1"/>
  <c r="AG36" i="17" a="1"/>
  <c r="Y37" i="17" a="1"/>
  <c r="AA37" i="17" a="1"/>
  <c r="AC37" i="17" a="1"/>
  <c r="AE37" i="17" a="1"/>
  <c r="AG37" i="17" a="1"/>
  <c r="Y38" i="17" a="1"/>
  <c r="AA38" i="17" a="1"/>
  <c r="AC38" i="17" a="1"/>
  <c r="AE38" i="17" a="1"/>
  <c r="Y17" i="17" a="1"/>
  <c r="AB21" i="17" a="1"/>
  <c r="AH24" i="17" a="1"/>
  <c r="Z27" i="17" a="1"/>
  <c r="AC28" i="17" a="1"/>
  <c r="AD29" i="17" a="1"/>
  <c r="AD38" i="17" a="1"/>
  <c r="Z39" i="17" a="1"/>
  <c r="AC39" i="17" a="1"/>
  <c r="AH39" i="17" a="1"/>
  <c r="AA40" i="17" a="1"/>
  <c r="AF40" i="17" a="1"/>
  <c r="Y41" i="17" a="1"/>
  <c r="AD41" i="17" a="1"/>
  <c r="AG41" i="17" a="1"/>
  <c r="AB42" i="17" a="1"/>
  <c r="AE42" i="17" a="1"/>
  <c r="Z43" i="17" a="1"/>
  <c r="AC43" i="17" a="1"/>
  <c r="AH43" i="17" a="1"/>
  <c r="AA44" i="17" a="1"/>
  <c r="AF44" i="17" a="1"/>
  <c r="Y45" i="17" a="1"/>
  <c r="AD45" i="17" a="1"/>
  <c r="AG45" i="17" a="1"/>
  <c r="AB46" i="17" a="1"/>
  <c r="AE46" i="17" a="1"/>
  <c r="Z47" i="17" a="1"/>
  <c r="AC47" i="17" a="1"/>
  <c r="AH47" i="17" a="1"/>
  <c r="AA48" i="17" a="1"/>
  <c r="AF48" i="17" a="1"/>
  <c r="Y49" i="17" a="1"/>
  <c r="AD49" i="17" a="1"/>
  <c r="AG49" i="17" a="1"/>
  <c r="AB50" i="17" a="1"/>
  <c r="AE50" i="17" a="1"/>
  <c r="Z51" i="17" a="1"/>
  <c r="AC51" i="17" a="1"/>
  <c r="AH51" i="17" a="1"/>
  <c r="AA52" i="17" a="1"/>
  <c r="AF52" i="17" a="1"/>
  <c r="Y53" i="17" a="1"/>
  <c r="AD53" i="17" a="1"/>
  <c r="AG53" i="17" a="1"/>
  <c r="AB54" i="17" a="1"/>
  <c r="AE54" i="17" a="1"/>
  <c r="Z55" i="17" a="1"/>
  <c r="AC55" i="17" a="1"/>
  <c r="AH55" i="17" a="1"/>
  <c r="AA56" i="17" a="1"/>
  <c r="AF56" i="17" a="1"/>
  <c r="Y57" i="17" a="1"/>
  <c r="AD57" i="17" a="1"/>
  <c r="AG57" i="17" a="1"/>
  <c r="AB58" i="17" a="1"/>
  <c r="AE58" i="17" a="1"/>
  <c r="Z59" i="17" a="1"/>
  <c r="AC59" i="17" a="1"/>
  <c r="AH59" i="17" a="1"/>
  <c r="Z60" i="17" a="1"/>
  <c r="AB60" i="17" a="1"/>
  <c r="AD60" i="17" a="1"/>
  <c r="AF60" i="17" a="1"/>
  <c r="AH60" i="17" a="1"/>
  <c r="Z61" i="17" a="1"/>
  <c r="AB61" i="17" a="1"/>
  <c r="AD61" i="17" a="1"/>
  <c r="AF61" i="17" a="1"/>
  <c r="AG13" i="17" a="1"/>
  <c r="Z18" i="17" a="1"/>
  <c r="AF25" i="17" a="1"/>
  <c r="AD27" i="17" a="1"/>
  <c r="AF28" i="17" a="1"/>
  <c r="AG30" i="17" a="1"/>
  <c r="AH38" i="17" a="1"/>
  <c r="AA39" i="17" a="1"/>
  <c r="AF39" i="17" a="1"/>
  <c r="Y40" i="17" a="1"/>
  <c r="AD40" i="17" a="1"/>
  <c r="AG40" i="17" a="1"/>
  <c r="AB41" i="17" a="1"/>
  <c r="AE41" i="17" a="1"/>
  <c r="Z42" i="17" a="1"/>
  <c r="AC42" i="17" a="1"/>
  <c r="AH42" i="17" a="1"/>
  <c r="AA43" i="17" a="1"/>
  <c r="AF43" i="17" a="1"/>
  <c r="Y44" i="17" a="1"/>
  <c r="AD44" i="17" a="1"/>
  <c r="AG44" i="17" a="1"/>
  <c r="AB45" i="17" a="1"/>
  <c r="AE45" i="17" a="1"/>
  <c r="Z46" i="17" a="1"/>
  <c r="AC46" i="17" a="1"/>
  <c r="AH46" i="17" a="1"/>
  <c r="AA47" i="17" a="1"/>
  <c r="AF47" i="17" a="1"/>
  <c r="Y48" i="17" a="1"/>
  <c r="AD48" i="17" a="1"/>
  <c r="AG48" i="17" a="1"/>
  <c r="AB49" i="17" a="1"/>
  <c r="AE49" i="17" a="1"/>
  <c r="Z50" i="17" a="1"/>
  <c r="AC50" i="17" a="1"/>
  <c r="AH50" i="17" a="1"/>
  <c r="AA51" i="17" a="1"/>
  <c r="AF51" i="17" a="1"/>
  <c r="Y52" i="17" a="1"/>
  <c r="AD52" i="17" a="1"/>
  <c r="AG52" i="17" a="1"/>
  <c r="AB53" i="17" a="1"/>
  <c r="AE53" i="17" a="1"/>
  <c r="Z54" i="17" a="1"/>
  <c r="AC54" i="17" a="1"/>
  <c r="AH54" i="17" a="1"/>
  <c r="AA55" i="17" a="1"/>
  <c r="AF55" i="17" a="1"/>
  <c r="Y56" i="17" a="1"/>
  <c r="AD56" i="17" a="1"/>
  <c r="AG56" i="17" a="1"/>
  <c r="AB57" i="17" a="1"/>
  <c r="AE57" i="17" a="1"/>
  <c r="Z58" i="17" a="1"/>
  <c r="AC58" i="17" a="1"/>
  <c r="AH58" i="17" a="1"/>
  <c r="AA59" i="17" a="1"/>
  <c r="AF59" i="17" a="1"/>
  <c r="AE10" i="17" a="1"/>
  <c r="AH14" i="17" a="1"/>
  <c r="AB23" i="17" a="1"/>
  <c r="AB26" i="17" a="1"/>
  <c r="AH27" i="17" a="1"/>
  <c r="Y30" i="17" a="1"/>
  <c r="AF38" i="17" a="1"/>
  <c r="Y39" i="17" a="1"/>
  <c r="AD39" i="17" a="1"/>
  <c r="AG39" i="17" a="1"/>
  <c r="AB40" i="17" a="1"/>
  <c r="AE40" i="17" a="1"/>
  <c r="Z41" i="17" a="1"/>
  <c r="AC41" i="17" a="1"/>
  <c r="AH41" i="17" a="1"/>
  <c r="AA42" i="17" a="1"/>
  <c r="AF42" i="17" a="1"/>
  <c r="Y43" i="17" a="1"/>
  <c r="AD43" i="17" a="1"/>
  <c r="AG43" i="17" a="1"/>
  <c r="AB44" i="17" a="1"/>
  <c r="AE44" i="17" a="1"/>
  <c r="Z45" i="17" a="1"/>
  <c r="AC45" i="17" a="1"/>
  <c r="AH45" i="17" a="1"/>
  <c r="AA46" i="17" a="1"/>
  <c r="AF46" i="17" a="1"/>
  <c r="Y47" i="17" a="1"/>
  <c r="AD47" i="17" a="1"/>
  <c r="AG47" i="17" a="1"/>
  <c r="AB48" i="17" a="1"/>
  <c r="AE48" i="17" a="1"/>
  <c r="Z49" i="17" a="1"/>
  <c r="AC49" i="17" a="1"/>
  <c r="AH49" i="17" a="1"/>
  <c r="AA50" i="17" a="1"/>
  <c r="AF50" i="17" a="1"/>
  <c r="Y51" i="17" a="1"/>
  <c r="AD51" i="17" a="1"/>
  <c r="AG51" i="17" a="1"/>
  <c r="AB52" i="17" a="1"/>
  <c r="AE52" i="17" a="1"/>
  <c r="Z53" i="17" a="1"/>
  <c r="AC53" i="17" a="1"/>
  <c r="AH53" i="17" a="1"/>
  <c r="AA54" i="17" a="1"/>
  <c r="AF54" i="17" a="1"/>
  <c r="Y55" i="17" a="1"/>
  <c r="AD55" i="17" a="1"/>
  <c r="AG55" i="17" a="1"/>
  <c r="AB56" i="17" a="1"/>
  <c r="AE56" i="17" a="1"/>
  <c r="Z57" i="17" a="1"/>
  <c r="AC57" i="17" a="1"/>
  <c r="AH57" i="17" a="1"/>
  <c r="AA58" i="17" a="1"/>
  <c r="AF58" i="17" a="1"/>
  <c r="Y59" i="17" a="1"/>
  <c r="AD59" i="17" a="1"/>
  <c r="AG59" i="17" a="1"/>
  <c r="Y60" i="17" a="1"/>
  <c r="AA60" i="17" a="1"/>
  <c r="AC60" i="17" a="1"/>
  <c r="AE60" i="17" a="1"/>
  <c r="AG60" i="17" a="1"/>
  <c r="Y61" i="17" a="1"/>
  <c r="AA61" i="17" a="1"/>
  <c r="AC61" i="17" a="1"/>
  <c r="AE61" i="17" a="1"/>
  <c r="AG61" i="17" a="1"/>
  <c r="AF11" i="17" a="1"/>
  <c r="AF26" i="17" a="1"/>
  <c r="AB39" i="17" a="1"/>
  <c r="AC40" i="17" a="1"/>
  <c r="AD42" i="17" a="1"/>
  <c r="AE43" i="17" a="1"/>
  <c r="AF45" i="17" a="1"/>
  <c r="AG46" i="17" a="1"/>
  <c r="AH48" i="17" a="1"/>
  <c r="Y50" i="17" a="1"/>
  <c r="Z52" i="17" a="1"/>
  <c r="AA53" i="17" a="1"/>
  <c r="AB55" i="17" a="1"/>
  <c r="AC56" i="17" a="1"/>
  <c r="AD58" i="17" a="1"/>
  <c r="AE59" i="17" a="1"/>
  <c r="AH61" i="17" a="1"/>
  <c r="AA62" i="17" a="1"/>
  <c r="AF62" i="17" a="1"/>
  <c r="Y63" i="17" a="1"/>
  <c r="AD63" i="17" a="1"/>
  <c r="AG63" i="17" a="1"/>
  <c r="AB64" i="17" a="1"/>
  <c r="AE64" i="17" a="1"/>
  <c r="Z65" i="17" a="1"/>
  <c r="AC65" i="17" a="1"/>
  <c r="AH65" i="17" a="1"/>
  <c r="AA66" i="17" a="1"/>
  <c r="AF66" i="17" a="1"/>
  <c r="Y67" i="17" a="1"/>
  <c r="AD67" i="17" a="1"/>
  <c r="AF67" i="17" a="1"/>
  <c r="AH67" i="17" a="1"/>
  <c r="Z68" i="17" a="1"/>
  <c r="AB68" i="17" a="1"/>
  <c r="AD68" i="17" a="1"/>
  <c r="AF68" i="17" a="1"/>
  <c r="AH68" i="17" a="1"/>
  <c r="Z69" i="17" a="1"/>
  <c r="AB69" i="17" a="1"/>
  <c r="AD69" i="17" a="1"/>
  <c r="AF69" i="17" a="1"/>
  <c r="AH69" i="17" a="1"/>
  <c r="Z70" i="17" a="1"/>
  <c r="AB70" i="17" a="1"/>
  <c r="AD70" i="17" a="1"/>
  <c r="AF70" i="17" a="1"/>
  <c r="AH70" i="17" a="1"/>
  <c r="Z71" i="17" a="1"/>
  <c r="AB71" i="17" a="1"/>
  <c r="AD71" i="17" a="1"/>
  <c r="AF71" i="17" a="1"/>
  <c r="AH71" i="17" a="1"/>
  <c r="Z72" i="17" a="1"/>
  <c r="AB72" i="17" a="1"/>
  <c r="AD72" i="17" a="1"/>
  <c r="AF72" i="17" a="1"/>
  <c r="AH72" i="17" a="1"/>
  <c r="Z73" i="17" a="1"/>
  <c r="AB73" i="17" a="1"/>
  <c r="AD73" i="17" a="1"/>
  <c r="AF73" i="17" a="1"/>
  <c r="AH73" i="17" a="1"/>
  <c r="Z74" i="17" a="1"/>
  <c r="AB74" i="17" a="1"/>
  <c r="AD74" i="17" a="1"/>
  <c r="AF74" i="17" a="1"/>
  <c r="AH74" i="17" a="1"/>
  <c r="Z75" i="17" a="1"/>
  <c r="AB75" i="17" a="1"/>
  <c r="AD75" i="17" a="1"/>
  <c r="AF75" i="17" a="1"/>
  <c r="AH75" i="17" a="1"/>
  <c r="Z76" i="17" a="1"/>
  <c r="AB76" i="17" a="1"/>
  <c r="AD76" i="17" a="1"/>
  <c r="AF76" i="17" a="1"/>
  <c r="AH76" i="17" a="1"/>
  <c r="Z77" i="17" a="1"/>
  <c r="AB77" i="17" a="1"/>
  <c r="AD77" i="17" a="1"/>
  <c r="AF77" i="17" a="1"/>
  <c r="AH77" i="17" a="1"/>
  <c r="Z78" i="17" a="1"/>
  <c r="AB78" i="17" a="1"/>
  <c r="AD78" i="17" a="1"/>
  <c r="AF78" i="17" a="1"/>
  <c r="AH78" i="17" a="1"/>
  <c r="Z79" i="17" a="1"/>
  <c r="AB79" i="17" a="1"/>
  <c r="AD79" i="17" a="1"/>
  <c r="AF79" i="17" a="1"/>
  <c r="AH79" i="17" a="1"/>
  <c r="Z80" i="17" a="1"/>
  <c r="AB80" i="17" a="1"/>
  <c r="AD80" i="17" a="1"/>
  <c r="AF80" i="17" a="1"/>
  <c r="AH80" i="17" a="1"/>
  <c r="Z81" i="17" a="1"/>
  <c r="AB81" i="17" a="1"/>
  <c r="AD81" i="17" a="1"/>
  <c r="AF81" i="17" a="1"/>
  <c r="AH81" i="17" a="1"/>
  <c r="Z82" i="17" a="1"/>
  <c r="AB82" i="17" a="1"/>
  <c r="AD82" i="17" a="1"/>
  <c r="AF82" i="17" a="1"/>
  <c r="AH82" i="17" a="1"/>
  <c r="Z83" i="17" a="1"/>
  <c r="AB83" i="17" a="1"/>
  <c r="AD83" i="17" a="1"/>
  <c r="AF83" i="17" a="1"/>
  <c r="AH83" i="17" a="1"/>
  <c r="Z84" i="17" a="1"/>
  <c r="AB84" i="17" a="1"/>
  <c r="AD84" i="17" a="1"/>
  <c r="AF84" i="17" a="1"/>
  <c r="AH84" i="17" a="1"/>
  <c r="Z85" i="17" a="1"/>
  <c r="AB85" i="17" a="1"/>
  <c r="AD85" i="17" a="1"/>
  <c r="AF85" i="17" a="1"/>
  <c r="AH85" i="17" a="1"/>
  <c r="Z86" i="17" a="1"/>
  <c r="AB86" i="17" a="1"/>
  <c r="AD86" i="17" a="1"/>
  <c r="AF86" i="17" a="1"/>
  <c r="AH86" i="17" a="1"/>
  <c r="Z87" i="17" a="1"/>
  <c r="AB87" i="17" a="1"/>
  <c r="AD87" i="17" a="1"/>
  <c r="AF87" i="17" a="1"/>
  <c r="AH87" i="17" a="1"/>
  <c r="Z88" i="17" a="1"/>
  <c r="AB88" i="17" a="1"/>
  <c r="AD88" i="17" a="1"/>
  <c r="AF88" i="17" a="1"/>
  <c r="AH88" i="17" a="1"/>
  <c r="Z89" i="17" a="1"/>
  <c r="AB89" i="17" a="1"/>
  <c r="AD89" i="17" a="1"/>
  <c r="AF89" i="17" a="1"/>
  <c r="AH89" i="17" a="1"/>
  <c r="Z90" i="17" a="1"/>
  <c r="AB90" i="17" a="1"/>
  <c r="AD90" i="17" a="1"/>
  <c r="AF90" i="17" a="1"/>
  <c r="AH90" i="17" a="1"/>
  <c r="Z91" i="17" a="1"/>
  <c r="AB91" i="17" a="1"/>
  <c r="AD91" i="17" a="1"/>
  <c r="AF91" i="17" a="1"/>
  <c r="AH91" i="17" a="1"/>
  <c r="Z92" i="17" a="1"/>
  <c r="AB92" i="17" a="1"/>
  <c r="AD92" i="17" a="1"/>
  <c r="AF92" i="17" a="1"/>
  <c r="AH92" i="17" a="1"/>
  <c r="Z93" i="17" a="1"/>
  <c r="AB93" i="17" a="1"/>
  <c r="AD93" i="17" a="1"/>
  <c r="AF93" i="17" a="1"/>
  <c r="AH93" i="17" a="1"/>
  <c r="Z94" i="17" a="1"/>
  <c r="AB94" i="17" a="1"/>
  <c r="AD94" i="17" a="1"/>
  <c r="AF94" i="17" a="1"/>
  <c r="AH94" i="17" a="1"/>
  <c r="Z95" i="17" a="1"/>
  <c r="AB95" i="17" a="1"/>
  <c r="AD95" i="17" a="1"/>
  <c r="AF95" i="17" a="1"/>
  <c r="AH95" i="17" a="1"/>
  <c r="Z96" i="17" a="1"/>
  <c r="AB96" i="17" a="1"/>
  <c r="AD96" i="17" a="1"/>
  <c r="AF96" i="17" a="1"/>
  <c r="AH96" i="17" a="1"/>
  <c r="Z97" i="17" a="1"/>
  <c r="AB97" i="17" a="1"/>
  <c r="AD97" i="17" a="1"/>
  <c r="AF97" i="17" a="1"/>
  <c r="AH97" i="17" a="1"/>
  <c r="Z98" i="17" a="1"/>
  <c r="AB98" i="17" a="1"/>
  <c r="AD98" i="17" a="1"/>
  <c r="AE39" i="17" a="1"/>
  <c r="AF41" i="17" a="1"/>
  <c r="AG42" i="17" a="1"/>
  <c r="AH44" i="17" a="1"/>
  <c r="Y46" i="17" a="1"/>
  <c r="Z48" i="17" a="1"/>
  <c r="AA49" i="17" a="1"/>
  <c r="AB51" i="17" a="1"/>
  <c r="AC52" i="17" a="1"/>
  <c r="AD54" i="17" a="1"/>
  <c r="AE55" i="17" a="1"/>
  <c r="AF57" i="17" a="1"/>
  <c r="AG58" i="17" a="1"/>
  <c r="Y62" i="17" a="1"/>
  <c r="AD62" i="17" a="1"/>
  <c r="AG62" i="17" a="1"/>
  <c r="AB63" i="17" a="1"/>
  <c r="AE63" i="17" a="1"/>
  <c r="Z64" i="17" a="1"/>
  <c r="AC64" i="17" a="1"/>
  <c r="AH64" i="17" a="1"/>
  <c r="AA65" i="17" a="1"/>
  <c r="AF65" i="17" a="1"/>
  <c r="Y66" i="17" a="1"/>
  <c r="AD66" i="17" a="1"/>
  <c r="AG66" i="17" a="1"/>
  <c r="AB67" i="17" a="1"/>
  <c r="AC80" i="17" a="1"/>
  <c r="AE81" i="17" a="1"/>
  <c r="Y82" i="17" a="1"/>
  <c r="AC82" i="17" a="1"/>
  <c r="AG82" i="17" a="1"/>
  <c r="AA83" i="17" a="1"/>
  <c r="AE83" i="17" a="1"/>
  <c r="Y84" i="17" a="1"/>
  <c r="AC84" i="17" a="1"/>
  <c r="AG84" i="17" a="1"/>
  <c r="AA85" i="17" a="1"/>
  <c r="AE85" i="17" a="1"/>
  <c r="Y86" i="17" a="1"/>
  <c r="AC86" i="17" a="1"/>
  <c r="AG86" i="17" a="1"/>
  <c r="AA87" i="17" a="1"/>
  <c r="AE87" i="17" a="1"/>
  <c r="Y88" i="17" a="1"/>
  <c r="AC88" i="17" a="1"/>
  <c r="AG88" i="17" a="1"/>
  <c r="AA89" i="17" a="1"/>
  <c r="AE89" i="17" a="1"/>
  <c r="Y90" i="17" a="1"/>
  <c r="AC90" i="17" a="1"/>
  <c r="AG90" i="17" a="1"/>
  <c r="AA91" i="17" a="1"/>
  <c r="AE91" i="17" a="1"/>
  <c r="Y92" i="17" a="1"/>
  <c r="AC92" i="17" a="1"/>
  <c r="AG92" i="17" a="1"/>
  <c r="AA93" i="17" a="1"/>
  <c r="AE93" i="17" a="1"/>
  <c r="Y94" i="17" a="1"/>
  <c r="AC94" i="17" a="1"/>
  <c r="AG94" i="17" a="1"/>
  <c r="AA95" i="17" a="1"/>
  <c r="AE95" i="17" a="1"/>
  <c r="Y96" i="17" a="1"/>
  <c r="AC96" i="17" a="1"/>
  <c r="AG96" i="17" a="1"/>
  <c r="AA97" i="17" a="1"/>
  <c r="AE97" i="17" a="1"/>
  <c r="Y98" i="17" a="1"/>
  <c r="AC98" i="17" a="1"/>
  <c r="AG98" i="17" a="1"/>
  <c r="AA99" i="17" a="1"/>
  <c r="AE99" i="17" a="1"/>
  <c r="Y100" i="17" a="1"/>
  <c r="AC100" i="17" a="1"/>
  <c r="AG100" i="17" a="1"/>
  <c r="AA101" i="17" a="1"/>
  <c r="AC101" i="17" a="1"/>
  <c r="AG101" i="17" a="1"/>
  <c r="AA102" i="17" a="1"/>
  <c r="AE102" i="17" a="1"/>
  <c r="Y103" i="17" a="1"/>
  <c r="AA103" i="17" a="1"/>
  <c r="AE103" i="17" a="1"/>
  <c r="Y104" i="17" a="1"/>
  <c r="AC104" i="17" a="1"/>
  <c r="AG104" i="17" a="1"/>
  <c r="AA105" i="17" a="1"/>
  <c r="AE105" i="17" a="1"/>
  <c r="Y106" i="17" a="1"/>
  <c r="AC106" i="17" a="1"/>
  <c r="AG106" i="17" a="1"/>
  <c r="AA107" i="17" a="1"/>
  <c r="AE107" i="17" a="1"/>
  <c r="Y108" i="17" a="1"/>
  <c r="AE108" i="17" a="1"/>
  <c r="AG108" i="17" a="1"/>
  <c r="AA109" i="17" a="1"/>
  <c r="AE109" i="17" a="1"/>
  <c r="Y110" i="17" a="1"/>
  <c r="AC110" i="17" a="1"/>
  <c r="AG110" i="17" a="1"/>
  <c r="AA111" i="17" a="1"/>
  <c r="AE111" i="17" a="1"/>
  <c r="Y112" i="17" a="1"/>
  <c r="AC112" i="17" a="1"/>
  <c r="AG112" i="17" a="1"/>
  <c r="AA113" i="17" a="1"/>
  <c r="AE113" i="17" a="1"/>
  <c r="Y114" i="17" a="1"/>
  <c r="AC114" i="17" a="1"/>
  <c r="AG114" i="17" a="1"/>
  <c r="AA115" i="17" a="1"/>
  <c r="AE115" i="17" a="1"/>
  <c r="AA20" i="17" a="1"/>
  <c r="AA29" i="17" a="1"/>
  <c r="AG38" i="17" a="1"/>
  <c r="AH40" i="17" a="1"/>
  <c r="Y42" i="17" a="1"/>
  <c r="Z44" i="17" a="1"/>
  <c r="AA45" i="17" a="1"/>
  <c r="AB47" i="17" a="1"/>
  <c r="AC48" i="17" a="1"/>
  <c r="AD50" i="17" a="1"/>
  <c r="AE51" i="17" a="1"/>
  <c r="AF53" i="17" a="1"/>
  <c r="AG54" i="17" a="1"/>
  <c r="AH56" i="17" a="1"/>
  <c r="Y58" i="17" a="1"/>
  <c r="AB62" i="17" a="1"/>
  <c r="AE62" i="17" a="1"/>
  <c r="Z63" i="17" a="1"/>
  <c r="AC63" i="17" a="1"/>
  <c r="AH63" i="17" a="1"/>
  <c r="AA64" i="17" a="1"/>
  <c r="AF64" i="17" a="1"/>
  <c r="Y65" i="17" a="1"/>
  <c r="AD65" i="17" a="1"/>
  <c r="AG65" i="17" a="1"/>
  <c r="AB66" i="17" a="1"/>
  <c r="AE66" i="17" a="1"/>
  <c r="Z67" i="17" a="1"/>
  <c r="AC67" i="17" a="1"/>
  <c r="AE67" i="17" a="1"/>
  <c r="AG67" i="17" a="1"/>
  <c r="Y68" i="17" a="1"/>
  <c r="AA68" i="17" a="1"/>
  <c r="AC68" i="17" a="1"/>
  <c r="AE68" i="17" a="1"/>
  <c r="AG68" i="17" a="1"/>
  <c r="Y69" i="17" a="1"/>
  <c r="AA69" i="17" a="1"/>
  <c r="AC69" i="17" a="1"/>
  <c r="AE69" i="17" a="1"/>
  <c r="AG69" i="17" a="1"/>
  <c r="Y70" i="17" a="1"/>
  <c r="AA70" i="17" a="1"/>
  <c r="AC70" i="17" a="1"/>
  <c r="AE70" i="17" a="1"/>
  <c r="AG70" i="17" a="1"/>
  <c r="Y71" i="17" a="1"/>
  <c r="AA71" i="17" a="1"/>
  <c r="AC71" i="17" a="1"/>
  <c r="AE71" i="17" a="1"/>
  <c r="AG71" i="17" a="1"/>
  <c r="Y72" i="17" a="1"/>
  <c r="AA72" i="17" a="1"/>
  <c r="AC72" i="17" a="1"/>
  <c r="AE72" i="17" a="1"/>
  <c r="AG72" i="17" a="1"/>
  <c r="Y73" i="17" a="1"/>
  <c r="AA73" i="17" a="1"/>
  <c r="AC73" i="17" a="1"/>
  <c r="AE73" i="17" a="1"/>
  <c r="AG73" i="17" a="1"/>
  <c r="Y74" i="17" a="1"/>
  <c r="AA74" i="17" a="1"/>
  <c r="AC74" i="17" a="1"/>
  <c r="AE74" i="17" a="1"/>
  <c r="AG74" i="17" a="1"/>
  <c r="Y75" i="17" a="1"/>
  <c r="AA75" i="17" a="1"/>
  <c r="AC75" i="17" a="1"/>
  <c r="AE75" i="17" a="1"/>
  <c r="AG75" i="17" a="1"/>
  <c r="Y76" i="17" a="1"/>
  <c r="AA76" i="17" a="1"/>
  <c r="AC76" i="17" a="1"/>
  <c r="AE76" i="17" a="1"/>
  <c r="AG76" i="17" a="1"/>
  <c r="Y77" i="17" a="1"/>
  <c r="AA77" i="17" a="1"/>
  <c r="AC77" i="17" a="1"/>
  <c r="AE77" i="17" a="1"/>
  <c r="AG77" i="17" a="1"/>
  <c r="Y78" i="17" a="1"/>
  <c r="AA78" i="17" a="1"/>
  <c r="AC78" i="17" a="1"/>
  <c r="AE78" i="17" a="1"/>
  <c r="AG78" i="17" a="1"/>
  <c r="Y79" i="17" a="1"/>
  <c r="AA79" i="17" a="1"/>
  <c r="AC79" i="17" a="1"/>
  <c r="AE79" i="17" a="1"/>
  <c r="AG79" i="17" a="1"/>
  <c r="Y80" i="17" a="1"/>
  <c r="AA80" i="17" a="1"/>
  <c r="AE80" i="17" a="1"/>
  <c r="AG80" i="17" a="1"/>
  <c r="Y81" i="17" a="1"/>
  <c r="AA81" i="17" a="1"/>
  <c r="AC81" i="17" a="1"/>
  <c r="AG81" i="17" a="1"/>
  <c r="AA82" i="17" a="1"/>
  <c r="AE82" i="17" a="1"/>
  <c r="Y83" i="17" a="1"/>
  <c r="AC83" i="17" a="1"/>
  <c r="AG83" i="17" a="1"/>
  <c r="AA84" i="17" a="1"/>
  <c r="AE84" i="17" a="1"/>
  <c r="Y85" i="17" a="1"/>
  <c r="AC85" i="17" a="1"/>
  <c r="AG85" i="17" a="1"/>
  <c r="AA86" i="17" a="1"/>
  <c r="AE86" i="17" a="1"/>
  <c r="Y87" i="17" a="1"/>
  <c r="AC87" i="17" a="1"/>
  <c r="AG87" i="17" a="1"/>
  <c r="AA88" i="17" a="1"/>
  <c r="AE88" i="17" a="1"/>
  <c r="Y89" i="17" a="1"/>
  <c r="AC89" i="17" a="1"/>
  <c r="AG89" i="17" a="1"/>
  <c r="AA90" i="17" a="1"/>
  <c r="AE90" i="17" a="1"/>
  <c r="Y91" i="17" a="1"/>
  <c r="AC91" i="17" a="1"/>
  <c r="AG91" i="17" a="1"/>
  <c r="AA92" i="17" a="1"/>
  <c r="AE92" i="17" a="1"/>
  <c r="Y93" i="17" a="1"/>
  <c r="AC93" i="17" a="1"/>
  <c r="AG93" i="17" a="1"/>
  <c r="AA94" i="17" a="1"/>
  <c r="AE94" i="17" a="1"/>
  <c r="Y95" i="17" a="1"/>
  <c r="AC95" i="17" a="1"/>
  <c r="AG95" i="17" a="1"/>
  <c r="AA96" i="17" a="1"/>
  <c r="AE96" i="17" a="1"/>
  <c r="Y97" i="17" a="1"/>
  <c r="AC97" i="17" a="1"/>
  <c r="AG97" i="17" a="1"/>
  <c r="AA98" i="17" a="1"/>
  <c r="AE98" i="17" a="1"/>
  <c r="Y99" i="17" a="1"/>
  <c r="AC99" i="17" a="1"/>
  <c r="AG99" i="17" a="1"/>
  <c r="AA100" i="17" a="1"/>
  <c r="AE100" i="17" a="1"/>
  <c r="Y101" i="17" a="1"/>
  <c r="AE101" i="17" a="1"/>
  <c r="Y102" i="17" a="1"/>
  <c r="AC102" i="17" a="1"/>
  <c r="AG102" i="17" a="1"/>
  <c r="AC103" i="17" a="1"/>
  <c r="AG103" i="17" a="1"/>
  <c r="AA104" i="17" a="1"/>
  <c r="AE104" i="17" a="1"/>
  <c r="Y105" i="17" a="1"/>
  <c r="AC105" i="17" a="1"/>
  <c r="AG105" i="17" a="1"/>
  <c r="AA106" i="17" a="1"/>
  <c r="AE106" i="17" a="1"/>
  <c r="Y107" i="17" a="1"/>
  <c r="AC107" i="17" a="1"/>
  <c r="AG107" i="17" a="1"/>
  <c r="AA108" i="17" a="1"/>
  <c r="AC108" i="17" a="1"/>
  <c r="Y109" i="17" a="1"/>
  <c r="AC109" i="17" a="1"/>
  <c r="AG109" i="17" a="1"/>
  <c r="AA110" i="17" a="1"/>
  <c r="AE110" i="17" a="1"/>
  <c r="Y111" i="17" a="1"/>
  <c r="AC111" i="17" a="1"/>
  <c r="AG111" i="17" a="1"/>
  <c r="AA112" i="17" a="1"/>
  <c r="AE112" i="17" a="1"/>
  <c r="Y113" i="17" a="1"/>
  <c r="AC113" i="17" a="1"/>
  <c r="AG113" i="17" a="1"/>
  <c r="AA114" i="17" a="1"/>
  <c r="AE114" i="17" a="1"/>
  <c r="Y115" i="17" a="1"/>
  <c r="AC115" i="17" a="1"/>
  <c r="AG115" i="17" a="1"/>
  <c r="Z24" i="17" a="1"/>
  <c r="AB43" i="17" a="1"/>
  <c r="AE47" i="17" a="1"/>
  <c r="Z56" i="17" a="1"/>
  <c r="AC62" i="17" a="1"/>
  <c r="AD64" i="17" a="1"/>
  <c r="AE65" i="17" a="1"/>
  <c r="AF98" i="17" a="1"/>
  <c r="Z99" i="17" a="1"/>
  <c r="AD99" i="17" a="1"/>
  <c r="AH99" i="17" a="1"/>
  <c r="AB100" i="17" a="1"/>
  <c r="AF100" i="17" a="1"/>
  <c r="Z101" i="17" a="1"/>
  <c r="AD101" i="17" a="1"/>
  <c r="AH101" i="17" a="1"/>
  <c r="AB102" i="17" a="1"/>
  <c r="AF102" i="17" a="1"/>
  <c r="Z103" i="17" a="1"/>
  <c r="AD103" i="17" a="1"/>
  <c r="AH103" i="17" a="1"/>
  <c r="AB104" i="17" a="1"/>
  <c r="AF104" i="17" a="1"/>
  <c r="Z105" i="17" a="1"/>
  <c r="AD105" i="17" a="1"/>
  <c r="AH105" i="17" a="1"/>
  <c r="AB106" i="17" a="1"/>
  <c r="AF106" i="17" a="1"/>
  <c r="Z107" i="17" a="1"/>
  <c r="AD107" i="17" a="1"/>
  <c r="AH107" i="17" a="1"/>
  <c r="AB108" i="17" a="1"/>
  <c r="AF108" i="17" a="1"/>
  <c r="Z109" i="17" a="1"/>
  <c r="AD109" i="17" a="1"/>
  <c r="AH109" i="17" a="1"/>
  <c r="AB110" i="17" a="1"/>
  <c r="AF110" i="17" a="1"/>
  <c r="Z111" i="17" a="1"/>
  <c r="AD111" i="17" a="1"/>
  <c r="AH111" i="17" a="1"/>
  <c r="AB112" i="17" a="1"/>
  <c r="AF112" i="17" a="1"/>
  <c r="Z113" i="17" a="1"/>
  <c r="AD113" i="17" a="1"/>
  <c r="AH113" i="17" a="1"/>
  <c r="AB114" i="17" a="1"/>
  <c r="AF114" i="17" a="1"/>
  <c r="Z115" i="17" a="1"/>
  <c r="AB30" i="17" a="1"/>
  <c r="Z40" i="17" a="1"/>
  <c r="AC44" i="17" a="1"/>
  <c r="AH52" i="17" a="1"/>
  <c r="AA57" i="17" a="1"/>
  <c r="AF63" i="17" a="1"/>
  <c r="AG64" i="17" a="1"/>
  <c r="AH66" i="17" a="1"/>
  <c r="AF103" i="17" a="1"/>
  <c r="AH104" i="17" a="1"/>
  <c r="AF105" i="17" a="1"/>
  <c r="AD106" i="17" a="1"/>
  <c r="AB107" i="17" a="1"/>
  <c r="Z108" i="17" a="1"/>
  <c r="AH108" i="17" a="1"/>
  <c r="AF109" i="17" a="1"/>
  <c r="AD110" i="17" a="1"/>
  <c r="AB111" i="17" a="1"/>
  <c r="Z112" i="17" a="1"/>
  <c r="AH112" i="17" a="1"/>
  <c r="AF113" i="17" a="1"/>
  <c r="AD114" i="17" a="1"/>
  <c r="AB115" i="17" a="1"/>
  <c r="AG50" i="17" a="1"/>
  <c r="AB59" i="17" a="1"/>
  <c r="AA63" i="17" a="1"/>
  <c r="AC66" i="17" a="1"/>
  <c r="AH115" i="17" a="1"/>
  <c r="AA41" i="17" a="1"/>
  <c r="AF49" i="17" a="1"/>
  <c r="Y54" i="17" a="1"/>
  <c r="AH62" i="17" a="1"/>
  <c r="Y64" i="17" a="1"/>
  <c r="Z66" i="17" a="1"/>
  <c r="AA67" i="17" a="1"/>
  <c r="AH98" i="17" a="1"/>
  <c r="AB99" i="17" a="1"/>
  <c r="AF99" i="17" a="1"/>
  <c r="Z100" i="17" a="1"/>
  <c r="AD100" i="17" a="1"/>
  <c r="AH100" i="17" a="1"/>
  <c r="AB101" i="17" a="1"/>
  <c r="AF101" i="17" a="1"/>
  <c r="Z102" i="17" a="1"/>
  <c r="AD102" i="17" a="1"/>
  <c r="AH102" i="17" a="1"/>
  <c r="AB103" i="17" a="1"/>
  <c r="Z104" i="17" a="1"/>
  <c r="AD104" i="17" a="1"/>
  <c r="AB105" i="17" a="1"/>
  <c r="Z106" i="17" a="1"/>
  <c r="AH106" i="17" a="1"/>
  <c r="AF107" i="17" a="1"/>
  <c r="AD108" i="17" a="1"/>
  <c r="AB109" i="17" a="1"/>
  <c r="Z110" i="17" a="1"/>
  <c r="AH110" i="17" a="1"/>
  <c r="AF111" i="17" a="1"/>
  <c r="AD112" i="17" a="1"/>
  <c r="AB113" i="17" a="1"/>
  <c r="Z114" i="17" a="1"/>
  <c r="AH114" i="17" a="1"/>
  <c r="AF115" i="17" a="1"/>
  <c r="AD46" i="17" a="1"/>
  <c r="Z62" i="17" a="1"/>
  <c r="AB65" i="17" a="1"/>
  <c r="AD115" i="17" a="1"/>
  <c r="Z5" i="17" a="1"/>
  <c r="AB5" i="17" a="1"/>
  <c r="AD5" i="17" a="1"/>
  <c r="AF5" i="17" a="1"/>
  <c r="AC5" i="17" a="1"/>
  <c r="AG5" i="17" a="1"/>
  <c r="AH5" i="17" a="1"/>
  <c r="AA5" i="17" a="1"/>
  <c r="AE5" i="17" a="1"/>
  <c r="Y5" i="17" a="1"/>
  <c r="D13" i="17" a="1"/>
  <c r="AD115" i="17" l="1"/>
  <c r="AB65" i="17"/>
  <c r="Z62" i="17"/>
  <c r="AD46" i="17"/>
  <c r="AF115" i="17"/>
  <c r="AH114" i="17"/>
  <c r="Z114" i="17"/>
  <c r="AB113" i="17"/>
  <c r="AD112" i="17"/>
  <c r="AF111" i="17"/>
  <c r="AH110" i="17"/>
  <c r="Z110" i="17"/>
  <c r="AB109" i="17"/>
  <c r="AD108" i="17"/>
  <c r="AF107" i="17"/>
  <c r="AH106" i="17"/>
  <c r="Z106" i="17"/>
  <c r="AB105" i="17"/>
  <c r="AD104" i="17"/>
  <c r="Z104" i="17"/>
  <c r="AB103" i="17"/>
  <c r="AH102" i="17"/>
  <c r="AD102" i="17"/>
  <c r="Z102" i="17"/>
  <c r="AF101" i="17"/>
  <c r="AB101" i="17"/>
  <c r="AH100" i="17"/>
  <c r="AD100" i="17"/>
  <c r="Z100" i="17"/>
  <c r="AF99" i="17"/>
  <c r="AB99" i="17"/>
  <c r="AH98" i="17"/>
  <c r="AA67" i="17"/>
  <c r="Z66" i="17"/>
  <c r="Y64" i="17"/>
  <c r="AH62" i="17"/>
  <c r="Y54" i="17"/>
  <c r="AF49" i="17"/>
  <c r="AA41" i="17"/>
  <c r="AH115" i="17"/>
  <c r="AC66" i="17"/>
  <c r="AA63" i="17"/>
  <c r="AB59" i="17"/>
  <c r="AG50" i="17"/>
  <c r="AB115" i="17"/>
  <c r="AD114" i="17"/>
  <c r="AF113" i="17"/>
  <c r="AH112" i="17"/>
  <c r="Z112" i="17"/>
  <c r="AB111" i="17"/>
  <c r="AD110" i="17"/>
  <c r="AF109" i="17"/>
  <c r="AH108" i="17"/>
  <c r="Z108" i="17"/>
  <c r="AB107" i="17"/>
  <c r="AD106" i="17"/>
  <c r="AF105" i="17"/>
  <c r="AH104" i="17"/>
  <c r="AF103" i="17"/>
  <c r="AH66" i="17"/>
  <c r="AG64" i="17"/>
  <c r="AF63" i="17"/>
  <c r="AA57" i="17"/>
  <c r="AH52" i="17"/>
  <c r="AC44" i="17"/>
  <c r="Z40" i="17"/>
  <c r="AB30" i="17"/>
  <c r="Z115" i="17"/>
  <c r="AF114" i="17"/>
  <c r="AB114" i="17"/>
  <c r="AH113" i="17"/>
  <c r="AD113" i="17"/>
  <c r="Z113" i="17"/>
  <c r="AF112" i="17"/>
  <c r="AB112" i="17"/>
  <c r="AH111" i="17"/>
  <c r="AD111" i="17"/>
  <c r="Z111" i="17"/>
  <c r="AF110" i="17"/>
  <c r="AB110" i="17"/>
  <c r="AH109" i="17"/>
  <c r="AD109" i="17"/>
  <c r="Z109" i="17"/>
  <c r="AF108" i="17"/>
  <c r="AB108" i="17"/>
  <c r="AH107" i="17"/>
  <c r="AD107" i="17"/>
  <c r="Z107" i="17"/>
  <c r="AF106" i="17"/>
  <c r="AB106" i="17"/>
  <c r="AH105" i="17"/>
  <c r="AD105" i="17"/>
  <c r="Z105" i="17"/>
  <c r="AF104" i="17"/>
  <c r="AB104" i="17"/>
  <c r="AH103" i="17"/>
  <c r="AD103" i="17"/>
  <c r="Z103" i="17"/>
  <c r="AF102" i="17"/>
  <c r="AB102" i="17"/>
  <c r="AH101" i="17"/>
  <c r="AD101" i="17"/>
  <c r="Z101" i="17"/>
  <c r="AF100" i="17"/>
  <c r="AB100" i="17"/>
  <c r="AH99" i="17"/>
  <c r="AD99" i="17"/>
  <c r="Z99" i="17"/>
  <c r="AF98" i="17"/>
  <c r="AE65" i="17"/>
  <c r="AD64" i="17"/>
  <c r="AC62" i="17"/>
  <c r="Z56" i="17"/>
  <c r="AE47" i="17"/>
  <c r="AB43" i="17"/>
  <c r="Z24" i="17"/>
  <c r="AG115" i="17"/>
  <c r="AC115" i="17"/>
  <c r="Y115" i="17"/>
  <c r="AE114" i="17"/>
  <c r="AA114" i="17"/>
  <c r="AG113" i="17"/>
  <c r="AC113" i="17"/>
  <c r="Y113" i="17"/>
  <c r="AE112" i="17"/>
  <c r="AA112" i="17"/>
  <c r="AG111" i="17"/>
  <c r="AC111" i="17"/>
  <c r="Y111" i="17"/>
  <c r="AE110" i="17"/>
  <c r="AA110" i="17"/>
  <c r="AG109" i="17"/>
  <c r="AC109" i="17"/>
  <c r="Y109" i="17"/>
  <c r="AC108" i="17"/>
  <c r="AA108" i="17"/>
  <c r="AG107" i="17"/>
  <c r="AC107" i="17"/>
  <c r="Y107" i="17"/>
  <c r="AE106" i="17"/>
  <c r="AA106" i="17"/>
  <c r="AG105" i="17"/>
  <c r="AC105" i="17"/>
  <c r="Y105" i="17"/>
  <c r="AE104" i="17"/>
  <c r="AA104" i="17"/>
  <c r="AG103" i="17"/>
  <c r="AC103" i="17"/>
  <c r="AG102" i="17"/>
  <c r="AC102" i="17"/>
  <c r="Y102" i="17"/>
  <c r="AE101" i="17"/>
  <c r="Y101" i="17"/>
  <c r="AE100" i="17"/>
  <c r="AA100" i="17"/>
  <c r="AG99" i="17"/>
  <c r="AC99" i="17"/>
  <c r="Y99" i="17"/>
  <c r="AE98" i="17"/>
  <c r="AA98" i="17"/>
  <c r="AG97" i="17"/>
  <c r="AC97" i="17"/>
  <c r="Y97" i="17"/>
  <c r="AE96" i="17"/>
  <c r="AA96" i="17"/>
  <c r="AG95" i="17"/>
  <c r="AC95" i="17"/>
  <c r="Y95" i="17"/>
  <c r="AE94" i="17"/>
  <c r="AA94" i="17"/>
  <c r="AG93" i="17"/>
  <c r="AC93" i="17"/>
  <c r="Y93" i="17"/>
  <c r="AE92" i="17"/>
  <c r="AA92" i="17"/>
  <c r="AG91" i="17"/>
  <c r="AC91" i="17"/>
  <c r="Y91" i="17"/>
  <c r="AE90" i="17"/>
  <c r="AA90" i="17"/>
  <c r="AG89" i="17"/>
  <c r="AC89" i="17"/>
  <c r="Y89" i="17"/>
  <c r="AE88" i="17"/>
  <c r="AA88" i="17"/>
  <c r="AG87" i="17"/>
  <c r="AC87" i="17"/>
  <c r="Y87" i="17"/>
  <c r="AE86" i="17"/>
  <c r="AA86" i="17"/>
  <c r="AG85" i="17"/>
  <c r="AC85" i="17"/>
  <c r="Y85" i="17"/>
  <c r="AE84" i="17"/>
  <c r="AA84" i="17"/>
  <c r="AG83" i="17"/>
  <c r="AC83" i="17"/>
  <c r="Y83" i="17"/>
  <c r="AE82" i="17"/>
  <c r="AA82" i="17"/>
  <c r="AG81" i="17"/>
  <c r="AC81" i="17"/>
  <c r="AA81" i="17"/>
  <c r="Y81" i="17"/>
  <c r="AG80" i="17"/>
  <c r="AE80" i="17"/>
  <c r="AA80" i="17"/>
  <c r="Y80" i="17"/>
  <c r="AG79" i="17"/>
  <c r="AE79" i="17"/>
  <c r="AC79" i="17"/>
  <c r="AA79" i="17"/>
  <c r="Y79" i="17"/>
  <c r="AG78" i="17"/>
  <c r="AE78" i="17"/>
  <c r="AC78" i="17"/>
  <c r="AA78" i="17"/>
  <c r="Y78" i="17"/>
  <c r="AG77" i="17"/>
  <c r="AE77" i="17"/>
  <c r="AC77" i="17"/>
  <c r="AA77" i="17"/>
  <c r="Y77" i="17"/>
  <c r="AG76" i="17"/>
  <c r="AE76" i="17"/>
  <c r="AC76" i="17"/>
  <c r="AA76" i="17"/>
  <c r="Y76" i="17"/>
  <c r="AG75" i="17"/>
  <c r="AE75" i="17"/>
  <c r="AC75" i="17"/>
  <c r="AA75" i="17"/>
  <c r="Y75" i="17"/>
  <c r="AG74" i="17"/>
  <c r="AE74" i="17"/>
  <c r="AC74" i="17"/>
  <c r="AA74" i="17"/>
  <c r="Y74" i="17"/>
  <c r="AG73" i="17"/>
  <c r="AE73" i="17"/>
  <c r="AC73" i="17"/>
  <c r="AA73" i="17"/>
  <c r="Y73" i="17"/>
  <c r="AG72" i="17"/>
  <c r="AE72" i="17"/>
  <c r="AC72" i="17"/>
  <c r="AA72" i="17"/>
  <c r="Y72" i="17"/>
  <c r="AG71" i="17"/>
  <c r="AE71" i="17"/>
  <c r="AC71" i="17"/>
  <c r="AA71" i="17"/>
  <c r="Y71" i="17"/>
  <c r="AG70" i="17"/>
  <c r="AE70" i="17"/>
  <c r="AC70" i="17"/>
  <c r="AA70" i="17"/>
  <c r="Y70" i="17"/>
  <c r="AG69" i="17"/>
  <c r="AE69" i="17"/>
  <c r="AC69" i="17"/>
  <c r="AA69" i="17"/>
  <c r="Y69" i="17"/>
  <c r="AG68" i="17"/>
  <c r="AE68" i="17"/>
  <c r="AC68" i="17"/>
  <c r="AA68" i="17"/>
  <c r="Y68" i="17"/>
  <c r="AG67" i="17"/>
  <c r="AE67" i="17"/>
  <c r="AC67" i="17"/>
  <c r="Z67" i="17"/>
  <c r="AE66" i="17"/>
  <c r="AB66" i="17"/>
  <c r="AG65" i="17"/>
  <c r="AD65" i="17"/>
  <c r="Y65" i="17"/>
  <c r="AF64" i="17"/>
  <c r="AA64" i="17"/>
  <c r="AH63" i="17"/>
  <c r="AC63" i="17"/>
  <c r="Z63" i="17"/>
  <c r="AE62" i="17"/>
  <c r="AB62" i="17"/>
  <c r="Y58" i="17"/>
  <c r="AH56" i="17"/>
  <c r="AG54" i="17"/>
  <c r="AF53" i="17"/>
  <c r="AE51" i="17"/>
  <c r="AD50" i="17"/>
  <c r="AC48" i="17"/>
  <c r="AB47" i="17"/>
  <c r="AA45" i="17"/>
  <c r="Z44" i="17"/>
  <c r="Y42" i="17"/>
  <c r="AH40" i="17"/>
  <c r="AG38" i="17"/>
  <c r="AA29" i="17"/>
  <c r="AA20" i="17"/>
  <c r="AE115" i="17"/>
  <c r="AA115" i="17"/>
  <c r="AG114" i="17"/>
  <c r="AC114" i="17"/>
  <c r="Y114" i="17"/>
  <c r="AE113" i="17"/>
  <c r="AA113" i="17"/>
  <c r="AG112" i="17"/>
  <c r="AC112" i="17"/>
  <c r="Y112" i="17"/>
  <c r="AE111" i="17"/>
  <c r="AA111" i="17"/>
  <c r="AG110" i="17"/>
  <c r="AC110" i="17"/>
  <c r="Y110" i="17"/>
  <c r="AE109" i="17"/>
  <c r="AA109" i="17"/>
  <c r="AG108" i="17"/>
  <c r="AE108" i="17"/>
  <c r="Y108" i="17"/>
  <c r="AE107" i="17"/>
  <c r="AA107" i="17"/>
  <c r="AG106" i="17"/>
  <c r="AC106" i="17"/>
  <c r="Y106" i="17"/>
  <c r="AE105" i="17"/>
  <c r="AA105" i="17"/>
  <c r="AG104" i="17"/>
  <c r="AC104" i="17"/>
  <c r="Y104" i="17"/>
  <c r="AE103" i="17"/>
  <c r="AA103" i="17"/>
  <c r="Y103" i="17"/>
  <c r="AE102" i="17"/>
  <c r="AA102" i="17"/>
  <c r="AG101" i="17"/>
  <c r="AC101" i="17"/>
  <c r="AA101" i="17"/>
  <c r="AG100" i="17"/>
  <c r="AC100" i="17"/>
  <c r="Y100" i="17"/>
  <c r="AE99" i="17"/>
  <c r="AA99" i="17"/>
  <c r="AG98" i="17"/>
  <c r="AC98" i="17"/>
  <c r="Y98" i="17"/>
  <c r="AE97" i="17"/>
  <c r="AA97" i="17"/>
  <c r="AG96" i="17"/>
  <c r="AC96" i="17"/>
  <c r="Y96" i="17"/>
  <c r="AE95" i="17"/>
  <c r="AA95" i="17"/>
  <c r="AG94" i="17"/>
  <c r="AC94" i="17"/>
  <c r="Y94" i="17"/>
  <c r="AE93" i="17"/>
  <c r="AA93" i="17"/>
  <c r="AG92" i="17"/>
  <c r="AC92" i="17"/>
  <c r="Y92" i="17"/>
  <c r="AE91" i="17"/>
  <c r="AA91" i="17"/>
  <c r="AG90" i="17"/>
  <c r="AC90" i="17"/>
  <c r="Y90" i="17"/>
  <c r="AE89" i="17"/>
  <c r="AA89" i="17"/>
  <c r="AG88" i="17"/>
  <c r="AC88" i="17"/>
  <c r="Y88" i="17"/>
  <c r="AE87" i="17"/>
  <c r="AA87" i="17"/>
  <c r="AG86" i="17"/>
  <c r="AC86" i="17"/>
  <c r="Y86" i="17"/>
  <c r="AE85" i="17"/>
  <c r="AA85" i="17"/>
  <c r="AG84" i="17"/>
  <c r="AC84" i="17"/>
  <c r="Y84" i="17"/>
  <c r="AE83" i="17"/>
  <c r="AA83" i="17"/>
  <c r="AG82" i="17"/>
  <c r="AC82" i="17"/>
  <c r="Y82" i="17"/>
  <c r="AE81" i="17"/>
  <c r="AC80" i="17"/>
  <c r="AB67" i="17"/>
  <c r="AG66" i="17"/>
  <c r="AD66" i="17"/>
  <c r="Y66" i="17"/>
  <c r="AF65" i="17"/>
  <c r="AA65" i="17"/>
  <c r="AH64" i="17"/>
  <c r="AC64" i="17"/>
  <c r="Z64" i="17"/>
  <c r="AE63" i="17"/>
  <c r="AB63" i="17"/>
  <c r="AG62" i="17"/>
  <c r="AD62" i="17"/>
  <c r="Y62" i="17"/>
  <c r="AG58" i="17"/>
  <c r="AF57" i="17"/>
  <c r="AE55" i="17"/>
  <c r="AD54" i="17"/>
  <c r="AC52" i="17"/>
  <c r="AB51" i="17"/>
  <c r="AA49" i="17"/>
  <c r="Z48" i="17"/>
  <c r="Y46" i="17"/>
  <c r="AH44" i="17"/>
  <c r="AG42" i="17"/>
  <c r="AF41" i="17"/>
  <c r="AE39" i="17"/>
  <c r="AD98" i="17"/>
  <c r="AB98" i="17"/>
  <c r="Z98" i="17"/>
  <c r="AH97" i="17"/>
  <c r="AF97" i="17"/>
  <c r="AD97" i="17"/>
  <c r="AB97" i="17"/>
  <c r="Z97" i="17"/>
  <c r="AH96" i="17"/>
  <c r="AF96" i="17"/>
  <c r="AD96" i="17"/>
  <c r="AB96" i="17"/>
  <c r="Z96" i="17"/>
  <c r="AH95" i="17"/>
  <c r="AF95" i="17"/>
  <c r="AD95" i="17"/>
  <c r="AB95" i="17"/>
  <c r="Z95" i="17"/>
  <c r="AH94" i="17"/>
  <c r="AF94" i="17"/>
  <c r="AD94" i="17"/>
  <c r="AB94" i="17"/>
  <c r="Z94" i="17"/>
  <c r="AH93" i="17"/>
  <c r="AF93" i="17"/>
  <c r="AD93" i="17"/>
  <c r="AB93" i="17"/>
  <c r="Z93" i="17"/>
  <c r="AH92" i="17"/>
  <c r="AF92" i="17"/>
  <c r="AD92" i="17"/>
  <c r="AB92" i="17"/>
  <c r="Z92" i="17"/>
  <c r="AH91" i="17"/>
  <c r="AF91" i="17"/>
  <c r="AD91" i="17"/>
  <c r="AB91" i="17"/>
  <c r="Z91" i="17"/>
  <c r="AH90" i="17"/>
  <c r="AF90" i="17"/>
  <c r="AD90" i="17"/>
  <c r="AB90" i="17"/>
  <c r="Z90" i="17"/>
  <c r="AH89" i="17"/>
  <c r="AF89" i="17"/>
  <c r="AD89" i="17"/>
  <c r="AB89" i="17"/>
  <c r="Z89" i="17"/>
  <c r="AH88" i="17"/>
  <c r="AF88" i="17"/>
  <c r="AD88" i="17"/>
  <c r="AB88" i="17"/>
  <c r="Z88" i="17"/>
  <c r="AH87" i="17"/>
  <c r="AF87" i="17"/>
  <c r="AD87" i="17"/>
  <c r="AB87" i="17"/>
  <c r="Z87" i="17"/>
  <c r="AH86" i="17"/>
  <c r="AF86" i="17"/>
  <c r="AD86" i="17"/>
  <c r="AB86" i="17"/>
  <c r="Z86" i="17"/>
  <c r="AH85" i="17"/>
  <c r="AF85" i="17"/>
  <c r="AD85" i="17"/>
  <c r="AB85" i="17"/>
  <c r="Z85" i="17"/>
  <c r="AH84" i="17"/>
  <c r="AF84" i="17"/>
  <c r="AD84" i="17"/>
  <c r="AB84" i="17"/>
  <c r="Z84" i="17"/>
  <c r="AH83" i="17"/>
  <c r="AF83" i="17"/>
  <c r="AD83" i="17"/>
  <c r="AB83" i="17"/>
  <c r="Z83" i="17"/>
  <c r="AH82" i="17"/>
  <c r="AF82" i="17"/>
  <c r="AD82" i="17"/>
  <c r="AB82" i="17"/>
  <c r="Z82" i="17"/>
  <c r="AH81" i="17"/>
  <c r="AF81" i="17"/>
  <c r="AD81" i="17"/>
  <c r="AB81" i="17"/>
  <c r="Z81" i="17"/>
  <c r="AH80" i="17"/>
  <c r="AF80" i="17"/>
  <c r="AD80" i="17"/>
  <c r="AB80" i="17"/>
  <c r="Z80" i="17"/>
  <c r="AH79" i="17"/>
  <c r="AF79" i="17"/>
  <c r="AD79" i="17"/>
  <c r="AB79" i="17"/>
  <c r="Z79" i="17"/>
  <c r="AH78" i="17"/>
  <c r="AF78" i="17"/>
  <c r="AD78" i="17"/>
  <c r="AB78" i="17"/>
  <c r="Z78" i="17"/>
  <c r="AH77" i="17"/>
  <c r="AF77" i="17"/>
  <c r="AD77" i="17"/>
  <c r="AB77" i="17"/>
  <c r="Z77" i="17"/>
  <c r="AH76" i="17"/>
  <c r="AF76" i="17"/>
  <c r="AD76" i="17"/>
  <c r="AB76" i="17"/>
  <c r="Z76" i="17"/>
  <c r="AH75" i="17"/>
  <c r="AF75" i="17"/>
  <c r="AD75" i="17"/>
  <c r="AB75" i="17"/>
  <c r="Z75" i="17"/>
  <c r="AH74" i="17"/>
  <c r="AF74" i="17"/>
  <c r="AD74" i="17"/>
  <c r="AB74" i="17"/>
  <c r="Z74" i="17"/>
  <c r="AH73" i="17"/>
  <c r="AF73" i="17"/>
  <c r="AD73" i="17"/>
  <c r="AB73" i="17"/>
  <c r="Z73" i="17"/>
  <c r="AH72" i="17"/>
  <c r="AF72" i="17"/>
  <c r="AD72" i="17"/>
  <c r="AB72" i="17"/>
  <c r="Z72" i="17"/>
  <c r="AH71" i="17"/>
  <c r="AF71" i="17"/>
  <c r="AD71" i="17"/>
  <c r="AB71" i="17"/>
  <c r="Z71" i="17"/>
  <c r="AH70" i="17"/>
  <c r="AF70" i="17"/>
  <c r="AD70" i="17"/>
  <c r="AB70" i="17"/>
  <c r="Z70" i="17"/>
  <c r="AH69" i="17"/>
  <c r="AF69" i="17"/>
  <c r="AD69" i="17"/>
  <c r="AB69" i="17"/>
  <c r="Z69" i="17"/>
  <c r="AH68" i="17"/>
  <c r="AF68" i="17"/>
  <c r="AD68" i="17"/>
  <c r="AB68" i="17"/>
  <c r="Z68" i="17"/>
  <c r="AH67" i="17"/>
  <c r="AF67" i="17"/>
  <c r="AD67" i="17"/>
  <c r="Y67" i="17"/>
  <c r="AF66" i="17"/>
  <c r="AA66" i="17"/>
  <c r="AH65" i="17"/>
  <c r="AC65" i="17"/>
  <c r="Z65" i="17"/>
  <c r="AE64" i="17"/>
  <c r="AB64" i="17"/>
  <c r="AG63" i="17"/>
  <c r="AD63" i="17"/>
  <c r="Y63" i="17"/>
  <c r="AF62" i="17"/>
  <c r="AA62" i="17"/>
  <c r="AH61" i="17"/>
  <c r="AE59" i="17"/>
  <c r="AD58" i="17"/>
  <c r="AC56" i="17"/>
  <c r="AB55" i="17"/>
  <c r="AA53" i="17"/>
  <c r="Z52" i="17"/>
  <c r="Y50" i="17"/>
  <c r="AH48" i="17"/>
  <c r="AG46" i="17"/>
  <c r="AF45" i="17"/>
  <c r="AE43" i="17"/>
  <c r="AD42" i="17"/>
  <c r="AC40" i="17"/>
  <c r="AB39" i="17"/>
  <c r="AF26" i="17"/>
  <c r="AF11" i="17"/>
  <c r="AG61" i="17"/>
  <c r="AE61" i="17"/>
  <c r="AC61" i="17"/>
  <c r="AA61" i="17"/>
  <c r="Y61" i="17"/>
  <c r="AG60" i="17"/>
  <c r="AE60" i="17"/>
  <c r="AC60" i="17"/>
  <c r="AA60" i="17"/>
  <c r="Y60" i="17"/>
  <c r="AG59" i="17"/>
  <c r="AD59" i="17"/>
  <c r="Y59" i="17"/>
  <c r="AF58" i="17"/>
  <c r="AA58" i="17"/>
  <c r="AH57" i="17"/>
  <c r="AC57" i="17"/>
  <c r="Z57" i="17"/>
  <c r="AE56" i="17"/>
  <c r="AB56" i="17"/>
  <c r="AG55" i="17"/>
  <c r="AD55" i="17"/>
  <c r="Y55" i="17"/>
  <c r="AF54" i="17"/>
  <c r="AA54" i="17"/>
  <c r="AH53" i="17"/>
  <c r="AC53" i="17"/>
  <c r="Z53" i="17"/>
  <c r="AE52" i="17"/>
  <c r="AB52" i="17"/>
  <c r="AG51" i="17"/>
  <c r="AD51" i="17"/>
  <c r="Y51" i="17"/>
  <c r="AF50" i="17"/>
  <c r="AA50" i="17"/>
  <c r="AH49" i="17"/>
  <c r="AC49" i="17"/>
  <c r="Z49" i="17"/>
  <c r="AE48" i="17"/>
  <c r="AB48" i="17"/>
  <c r="AG47" i="17"/>
  <c r="AD47" i="17"/>
  <c r="Y47" i="17"/>
  <c r="AF46" i="17"/>
  <c r="AA46" i="17"/>
  <c r="AH45" i="17"/>
  <c r="AC45" i="17"/>
  <c r="Z45" i="17"/>
  <c r="AE44" i="17"/>
  <c r="AB44" i="17"/>
  <c r="AG43" i="17"/>
  <c r="AD43" i="17"/>
  <c r="Y43" i="17"/>
  <c r="AF42" i="17"/>
  <c r="AA42" i="17"/>
  <c r="AH41" i="17"/>
  <c r="AC41" i="17"/>
  <c r="Z41" i="17"/>
  <c r="AE40" i="17"/>
  <c r="AB40" i="17"/>
  <c r="AG39" i="17"/>
  <c r="AD39" i="17"/>
  <c r="Y39" i="17"/>
  <c r="AF38" i="17"/>
  <c r="Y30" i="17"/>
  <c r="AH27" i="17"/>
  <c r="AB26" i="17"/>
  <c r="AB23" i="17"/>
  <c r="AH14" i="17"/>
  <c r="AE10" i="17"/>
  <c r="AF59" i="17"/>
  <c r="AA59" i="17"/>
  <c r="AH58" i="17"/>
  <c r="AC58" i="17"/>
  <c r="Z58" i="17"/>
  <c r="AE57" i="17"/>
  <c r="AB57" i="17"/>
  <c r="AG56" i="17"/>
  <c r="AD56" i="17"/>
  <c r="Y56" i="17"/>
  <c r="AF55" i="17"/>
  <c r="AA55" i="17"/>
  <c r="AH54" i="17"/>
  <c r="AC54" i="17"/>
  <c r="Z54" i="17"/>
  <c r="AE53" i="17"/>
  <c r="AB53" i="17"/>
  <c r="AG52" i="17"/>
  <c r="AD52" i="17"/>
  <c r="Y52" i="17"/>
  <c r="AF51" i="17"/>
  <c r="AA51" i="17"/>
  <c r="AH50" i="17"/>
  <c r="AC50" i="17"/>
  <c r="Z50" i="17"/>
  <c r="AE49" i="17"/>
  <c r="AB49" i="17"/>
  <c r="AG48" i="17"/>
  <c r="AD48" i="17"/>
  <c r="Y48" i="17"/>
  <c r="AF47" i="17"/>
  <c r="AA47" i="17"/>
  <c r="AH46" i="17"/>
  <c r="AC46" i="17"/>
  <c r="Z46" i="17"/>
  <c r="AE45" i="17"/>
  <c r="AB45" i="17"/>
  <c r="AG44" i="17"/>
  <c r="AD44" i="17"/>
  <c r="Y44" i="17"/>
  <c r="AF43" i="17"/>
  <c r="AA43" i="17"/>
  <c r="AH42" i="17"/>
  <c r="AC42" i="17"/>
  <c r="Z42" i="17"/>
  <c r="AE41" i="17"/>
  <c r="AB41" i="17"/>
  <c r="AG40" i="17"/>
  <c r="AD40" i="17"/>
  <c r="Y40" i="17"/>
  <c r="AF39" i="17"/>
  <c r="AA39" i="17"/>
  <c r="AH38" i="17"/>
  <c r="AG30" i="17"/>
  <c r="AF28" i="17"/>
  <c r="AD27" i="17"/>
  <c r="AF25" i="17"/>
  <c r="Z18" i="17"/>
  <c r="AG13" i="17"/>
  <c r="AF61" i="17"/>
  <c r="AD61" i="17"/>
  <c r="AB61" i="17"/>
  <c r="Z61" i="17"/>
  <c r="AH60" i="17"/>
  <c r="AF60" i="17"/>
  <c r="AD60" i="17"/>
  <c r="AB60" i="17"/>
  <c r="Z60" i="17"/>
  <c r="AH59" i="17"/>
  <c r="AC59" i="17"/>
  <c r="Z59" i="17"/>
  <c r="AE58" i="17"/>
  <c r="AB58" i="17"/>
  <c r="AG57" i="17"/>
  <c r="AD57" i="17"/>
  <c r="Y57" i="17"/>
  <c r="AF56" i="17"/>
  <c r="AA56" i="17"/>
  <c r="AH55" i="17"/>
  <c r="AC55" i="17"/>
  <c r="Z55" i="17"/>
  <c r="AE54" i="17"/>
  <c r="AB54" i="17"/>
  <c r="AG53" i="17"/>
  <c r="AD53" i="17"/>
  <c r="Y53" i="17"/>
  <c r="AF52" i="17"/>
  <c r="AA52" i="17"/>
  <c r="AH51" i="17"/>
  <c r="AC51" i="17"/>
  <c r="Z51" i="17"/>
  <c r="AE50" i="17"/>
  <c r="AB50" i="17"/>
  <c r="AG49" i="17"/>
  <c r="AD49" i="17"/>
  <c r="Y49" i="17"/>
  <c r="AF48" i="17"/>
  <c r="AA48" i="17"/>
  <c r="AH47" i="17"/>
  <c r="AC47" i="17"/>
  <c r="Z47" i="17"/>
  <c r="AE46" i="17"/>
  <c r="AB46" i="17"/>
  <c r="AG45" i="17"/>
  <c r="AD45" i="17"/>
  <c r="Y45" i="17"/>
  <c r="AF44" i="17"/>
  <c r="AA44" i="17"/>
  <c r="AH43" i="17"/>
  <c r="AC43" i="17"/>
  <c r="Z43" i="17"/>
  <c r="AE42" i="17"/>
  <c r="AB42" i="17"/>
  <c r="AG41" i="17"/>
  <c r="AD41" i="17"/>
  <c r="Y41" i="17"/>
  <c r="AF40" i="17"/>
  <c r="AA40" i="17"/>
  <c r="AH39" i="17"/>
  <c r="AC39" i="17"/>
  <c r="Z39" i="17"/>
  <c r="AD38" i="17"/>
  <c r="AD29" i="17"/>
  <c r="AC28" i="17"/>
  <c r="Z27" i="17"/>
  <c r="AH24" i="17"/>
  <c r="AB21" i="17"/>
  <c r="Y17" i="17"/>
  <c r="AE38" i="17"/>
  <c r="AC38" i="17"/>
  <c r="AA38" i="17"/>
  <c r="Y38" i="17"/>
  <c r="AG37" i="17"/>
  <c r="AE37" i="17"/>
  <c r="AC37" i="17"/>
  <c r="AA37" i="17"/>
  <c r="Y37" i="17"/>
  <c r="AG36" i="17"/>
  <c r="AE36" i="17"/>
  <c r="AC36" i="17"/>
  <c r="AA36" i="17"/>
  <c r="Y36" i="17"/>
  <c r="AG35" i="17"/>
  <c r="AE35" i="17"/>
  <c r="AC35" i="17"/>
  <c r="AA35" i="17"/>
  <c r="Y35" i="17"/>
  <c r="AG34" i="17"/>
  <c r="AE34" i="17"/>
  <c r="AC34" i="17"/>
  <c r="AA34" i="17"/>
  <c r="Y34" i="17"/>
  <c r="AG33" i="17"/>
  <c r="AE33" i="17"/>
  <c r="AC33" i="17"/>
  <c r="AA33" i="17"/>
  <c r="Y33" i="17"/>
  <c r="AG32" i="17"/>
  <c r="AE32" i="17"/>
  <c r="AC32" i="17"/>
  <c r="AA32" i="17"/>
  <c r="Y32" i="17"/>
  <c r="AG31" i="17"/>
  <c r="AE31" i="17"/>
  <c r="AC31" i="17"/>
  <c r="AA31" i="17"/>
  <c r="Y31" i="17"/>
  <c r="AD30" i="17"/>
  <c r="AA30" i="17"/>
  <c r="AF29" i="17"/>
  <c r="AC29" i="17"/>
  <c r="AH28" i="17"/>
  <c r="AE28" i="17"/>
  <c r="Z28" i="17"/>
  <c r="AG27" i="17"/>
  <c r="AC27" i="17"/>
  <c r="Y27" i="17"/>
  <c r="AE26" i="17"/>
  <c r="AA26" i="17"/>
  <c r="AD25" i="17"/>
  <c r="AF24" i="17"/>
  <c r="AH23" i="17"/>
  <c r="Z23" i="17"/>
  <c r="Z22" i="17"/>
  <c r="Y21" i="17"/>
  <c r="AH18" i="17"/>
  <c r="AG17" i="17"/>
  <c r="AF15" i="17"/>
  <c r="AE14" i="17"/>
  <c r="AD12" i="17"/>
  <c r="AC11" i="17"/>
  <c r="AB9" i="17"/>
  <c r="AF30" i="17"/>
  <c r="AC30" i="17"/>
  <c r="AH29" i="17"/>
  <c r="AE29" i="17"/>
  <c r="Z29" i="17"/>
  <c r="AG28" i="17"/>
  <c r="AB28" i="17"/>
  <c r="Y28" i="17"/>
  <c r="AF27" i="17"/>
  <c r="AB27" i="17"/>
  <c r="AH26" i="17"/>
  <c r="AD26" i="17"/>
  <c r="Z26" i="17"/>
  <c r="AB25" i="17"/>
  <c r="AD24" i="17"/>
  <c r="AF23" i="17"/>
  <c r="AH22" i="17"/>
  <c r="AG21" i="17"/>
  <c r="AF19" i="17"/>
  <c r="AE18" i="17"/>
  <c r="AD16" i="17"/>
  <c r="AC15" i="17"/>
  <c r="AB13" i="17"/>
  <c r="AA12" i="17"/>
  <c r="Z10" i="17"/>
  <c r="AB38" i="17"/>
  <c r="Z38" i="17"/>
  <c r="AH37" i="17"/>
  <c r="AF37" i="17"/>
  <c r="AD37" i="17"/>
  <c r="AB37" i="17"/>
  <c r="Z37" i="17"/>
  <c r="AH36" i="17"/>
  <c r="AF36" i="17"/>
  <c r="AD36" i="17"/>
  <c r="AB36" i="17"/>
  <c r="Z36" i="17"/>
  <c r="AH35" i="17"/>
  <c r="AF35" i="17"/>
  <c r="AD35" i="17"/>
  <c r="AB35" i="17"/>
  <c r="Z35" i="17"/>
  <c r="AH34" i="17"/>
  <c r="AF34" i="17"/>
  <c r="AD34" i="17"/>
  <c r="AB34" i="17"/>
  <c r="Z34" i="17"/>
  <c r="AH33" i="17"/>
  <c r="AF33" i="17"/>
  <c r="AD33" i="17"/>
  <c r="AB33" i="17"/>
  <c r="Z33" i="17"/>
  <c r="AH32" i="17"/>
  <c r="AF32" i="17"/>
  <c r="AD32" i="17"/>
  <c r="AB32" i="17"/>
  <c r="Z32" i="17"/>
  <c r="AH31" i="17"/>
  <c r="AF31" i="17"/>
  <c r="AD31" i="17"/>
  <c r="AB31" i="17"/>
  <c r="Z31" i="17"/>
  <c r="AH30" i="17"/>
  <c r="AE30" i="17"/>
  <c r="Z30" i="17"/>
  <c r="AG29" i="17"/>
  <c r="AB29" i="17"/>
  <c r="Y29" i="17"/>
  <c r="AD28" i="17"/>
  <c r="AA28" i="17"/>
  <c r="AE27" i="17"/>
  <c r="AA27" i="17"/>
  <c r="AG26" i="17"/>
  <c r="AC26" i="17"/>
  <c r="AH25" i="17"/>
  <c r="Z25" i="17"/>
  <c r="AB24" i="17"/>
  <c r="AD23" i="17"/>
  <c r="AE22" i="17"/>
  <c r="AD20" i="17"/>
  <c r="AC19" i="17"/>
  <c r="AB17" i="17"/>
  <c r="AA16" i="17"/>
  <c r="Z14" i="17"/>
  <c r="Y13" i="17"/>
  <c r="AH10" i="17"/>
  <c r="AG9" i="17"/>
  <c r="AG22" i="17"/>
  <c r="AB22" i="17"/>
  <c r="Y22" i="17"/>
  <c r="AD21" i="17"/>
  <c r="AA21" i="17"/>
  <c r="AF20" i="17"/>
  <c r="AC20" i="17"/>
  <c r="AH19" i="17"/>
  <c r="AE19" i="17"/>
  <c r="Z19" i="17"/>
  <c r="AG18" i="17"/>
  <c r="AB18" i="17"/>
  <c r="Y18" i="17"/>
  <c r="AD17" i="17"/>
  <c r="AA17" i="17"/>
  <c r="AF16" i="17"/>
  <c r="AC16" i="17"/>
  <c r="AH15" i="17"/>
  <c r="AE15" i="17"/>
  <c r="Z15" i="17"/>
  <c r="AG14" i="17"/>
  <c r="AB14" i="17"/>
  <c r="Y14" i="17"/>
  <c r="AD13" i="17"/>
  <c r="AA13" i="17"/>
  <c r="AF12" i="17"/>
  <c r="AC12" i="17"/>
  <c r="AH11" i="17"/>
  <c r="AE11" i="17"/>
  <c r="Z11" i="17"/>
  <c r="AG10" i="17"/>
  <c r="AB10" i="17"/>
  <c r="Y10" i="17"/>
  <c r="AD9" i="17"/>
  <c r="AA9" i="17"/>
  <c r="AG8" i="17"/>
  <c r="AC8" i="17"/>
  <c r="Y8" i="17"/>
  <c r="AE7" i="17"/>
  <c r="AA7" i="17"/>
  <c r="Y26" i="17"/>
  <c r="AG25" i="17"/>
  <c r="AE25" i="17"/>
  <c r="AC25" i="17"/>
  <c r="AA25" i="17"/>
  <c r="Y25" i="17"/>
  <c r="AG24" i="17"/>
  <c r="AE24" i="17"/>
  <c r="AC24" i="17"/>
  <c r="AA24" i="17"/>
  <c r="Y24" i="17"/>
  <c r="AG23" i="17"/>
  <c r="AE23" i="17"/>
  <c r="AC23" i="17"/>
  <c r="AA23" i="17"/>
  <c r="Y23" i="17"/>
  <c r="AD22" i="17"/>
  <c r="AA22" i="17"/>
  <c r="AF21" i="17"/>
  <c r="AC21" i="17"/>
  <c r="AH20" i="17"/>
  <c r="AE20" i="17"/>
  <c r="Z20" i="17"/>
  <c r="AG19" i="17"/>
  <c r="AB19" i="17"/>
  <c r="Y19" i="17"/>
  <c r="AD18" i="17"/>
  <c r="AA18" i="17"/>
  <c r="AF17" i="17"/>
  <c r="AC17" i="17"/>
  <c r="AH16" i="17"/>
  <c r="AE16" i="17"/>
  <c r="Z16" i="17"/>
  <c r="AG15" i="17"/>
  <c r="AB15" i="17"/>
  <c r="Y15" i="17"/>
  <c r="AD14" i="17"/>
  <c r="AA14" i="17"/>
  <c r="AF13" i="17"/>
  <c r="AC13" i="17"/>
  <c r="AH12" i="17"/>
  <c r="AE12" i="17"/>
  <c r="Z12" i="17"/>
  <c r="AG11" i="17"/>
  <c r="AB11" i="17"/>
  <c r="Y11" i="17"/>
  <c r="AD10" i="17"/>
  <c r="AA10" i="17"/>
  <c r="AF9" i="17"/>
  <c r="AC9" i="17"/>
  <c r="AF22" i="17"/>
  <c r="AC22" i="17"/>
  <c r="AH21" i="17"/>
  <c r="AE21" i="17"/>
  <c r="Z21" i="17"/>
  <c r="AG20" i="17"/>
  <c r="AB20" i="17"/>
  <c r="Y20" i="17"/>
  <c r="AD19" i="17"/>
  <c r="AA19" i="17"/>
  <c r="AF18" i="17"/>
  <c r="AC18" i="17"/>
  <c r="AH17" i="17"/>
  <c r="AE17" i="17"/>
  <c r="Z17" i="17"/>
  <c r="AG16" i="17"/>
  <c r="AB16" i="17"/>
  <c r="Y16" i="17"/>
  <c r="AD15" i="17"/>
  <c r="AA15" i="17"/>
  <c r="AF14" i="17"/>
  <c r="AC14" i="17"/>
  <c r="AH13" i="17"/>
  <c r="AE13" i="17"/>
  <c r="Z13" i="17"/>
  <c r="AG12" i="17"/>
  <c r="AB12" i="17"/>
  <c r="Y12" i="17"/>
  <c r="AD11" i="17"/>
  <c r="AA11" i="17"/>
  <c r="AF10" i="17"/>
  <c r="AC10" i="17"/>
  <c r="AH9" i="17"/>
  <c r="AE9" i="17"/>
  <c r="Y9" i="17"/>
  <c r="AE8" i="17"/>
  <c r="AA8" i="17"/>
  <c r="AG7" i="17"/>
  <c r="AC7" i="17"/>
  <c r="Z9" i="17"/>
  <c r="AH8" i="17"/>
  <c r="AF8" i="17"/>
  <c r="AD8" i="17"/>
  <c r="AB8" i="17"/>
  <c r="Z8" i="17"/>
  <c r="AH7" i="17"/>
  <c r="AF7" i="17"/>
  <c r="AD7" i="17"/>
  <c r="AB7" i="17"/>
  <c r="Z7" i="17"/>
  <c r="AH6" i="17"/>
  <c r="AF6" i="17"/>
  <c r="AD6" i="17"/>
  <c r="AB6" i="17"/>
  <c r="Z6" i="17"/>
  <c r="Y7" i="17"/>
  <c r="AG6" i="17"/>
  <c r="AE6" i="17"/>
  <c r="AC6" i="17"/>
  <c r="AA6" i="17"/>
  <c r="Y6" i="17"/>
  <c r="AE5" i="17"/>
  <c r="AA5" i="17"/>
  <c r="AH5" i="17"/>
  <c r="AG5" i="17"/>
  <c r="AC5" i="17"/>
  <c r="AF5" i="17"/>
  <c r="AD5" i="17"/>
  <c r="AB5" i="17"/>
  <c r="Z5" i="17"/>
  <c r="Y5" i="17"/>
  <c r="D13" i="17"/>
  <c r="D18" i="17"/>
  <c r="D19" i="17"/>
  <c r="D20" i="17"/>
  <c r="X6" i="17" a="1"/>
  <c r="X7" i="17" a="1"/>
  <c r="X8" i="17" a="1"/>
  <c r="X9" i="17" a="1"/>
  <c r="X10" i="17" a="1"/>
  <c r="X11" i="17" a="1"/>
  <c r="X12" i="17" a="1"/>
  <c r="X13" i="17" a="1"/>
  <c r="X14" i="17" a="1"/>
  <c r="X15" i="17" a="1"/>
  <c r="X16" i="17" a="1"/>
  <c r="X17" i="17" a="1"/>
  <c r="X18" i="17" a="1"/>
  <c r="X19" i="17" a="1"/>
  <c r="X20" i="17" a="1"/>
  <c r="X21" i="17" a="1"/>
  <c r="X22" i="17" a="1"/>
  <c r="X23" i="17" a="1"/>
  <c r="X24" i="17" a="1"/>
  <c r="X25" i="17" a="1"/>
  <c r="X26" i="17" a="1"/>
  <c r="X27" i="17" a="1"/>
  <c r="X28" i="17" a="1"/>
  <c r="X29" i="17" a="1"/>
  <c r="X30" i="17" a="1"/>
  <c r="X31" i="17" a="1"/>
  <c r="X32" i="17" a="1"/>
  <c r="X33" i="17" a="1"/>
  <c r="X34" i="17" a="1"/>
  <c r="X35" i="17" a="1"/>
  <c r="X36" i="17" a="1"/>
  <c r="X37" i="17" a="1"/>
  <c r="X38" i="17" a="1"/>
  <c r="X39" i="17" a="1"/>
  <c r="X40" i="17" a="1"/>
  <c r="X41" i="17" a="1"/>
  <c r="X42" i="17" a="1"/>
  <c r="X43" i="17" a="1"/>
  <c r="X44" i="17" a="1"/>
  <c r="X45" i="17" a="1"/>
  <c r="X46" i="17" a="1"/>
  <c r="X47" i="17" a="1"/>
  <c r="X48" i="17" a="1"/>
  <c r="X49" i="17" a="1"/>
  <c r="X50" i="17" a="1"/>
  <c r="X51" i="17" a="1"/>
  <c r="X52" i="17" a="1"/>
  <c r="X53" i="17" a="1"/>
  <c r="X54" i="17" a="1"/>
  <c r="X55" i="17" a="1"/>
  <c r="X56" i="17" a="1"/>
  <c r="X57" i="17" a="1"/>
  <c r="X58" i="17" a="1"/>
  <c r="X59" i="17" a="1"/>
  <c r="X60" i="17" a="1"/>
  <c r="X61" i="17" a="1"/>
  <c r="X62" i="17" a="1"/>
  <c r="X63" i="17" a="1"/>
  <c r="X64" i="17" a="1"/>
  <c r="X65" i="17" a="1"/>
  <c r="X66" i="17" a="1"/>
  <c r="X67" i="17" a="1"/>
  <c r="X68" i="17" a="1"/>
  <c r="X72" i="17" a="1"/>
  <c r="X76" i="17" a="1"/>
  <c r="X80" i="17" a="1"/>
  <c r="X84" i="17" a="1"/>
  <c r="X88" i="17" a="1"/>
  <c r="X110" i="17" a="1"/>
  <c r="X112" i="17" a="1"/>
  <c r="X114" i="17" a="1"/>
  <c r="X73" i="17" a="1"/>
  <c r="X81" i="17" a="1"/>
  <c r="X71" i="17" a="1"/>
  <c r="X75" i="17" a="1"/>
  <c r="X79" i="17" a="1"/>
  <c r="X83" i="17" a="1"/>
  <c r="X87" i="17" a="1"/>
  <c r="X91" i="17" a="1"/>
  <c r="X92" i="17" a="1"/>
  <c r="X93" i="17" a="1"/>
  <c r="X94" i="17" a="1"/>
  <c r="X95" i="17" a="1"/>
  <c r="X96" i="17" a="1"/>
  <c r="X97" i="17" a="1"/>
  <c r="X98" i="17" a="1"/>
  <c r="X99" i="17" a="1"/>
  <c r="X100" i="17" a="1"/>
  <c r="X101" i="17" a="1"/>
  <c r="X102" i="17" a="1"/>
  <c r="X103" i="17" a="1"/>
  <c r="X104" i="17" a="1"/>
  <c r="X105" i="17" a="1"/>
  <c r="X106" i="17" a="1"/>
  <c r="X107" i="17" a="1"/>
  <c r="X108" i="17" a="1"/>
  <c r="X109" i="17" a="1"/>
  <c r="X111" i="17" a="1"/>
  <c r="X113" i="17" a="1"/>
  <c r="X115" i="17" a="1"/>
  <c r="X77" i="17" a="1"/>
  <c r="X89" i="17" a="1"/>
  <c r="X70" i="17" a="1"/>
  <c r="X74" i="17" a="1"/>
  <c r="X78" i="17" a="1"/>
  <c r="X82" i="17" a="1"/>
  <c r="X86" i="17" a="1"/>
  <c r="X90" i="17" a="1"/>
  <c r="X69" i="17" a="1"/>
  <c r="X85" i="17" a="1"/>
  <c r="X5" i="17" a="1"/>
  <c r="X85" i="17" l="1"/>
  <c r="X69" i="17"/>
  <c r="X90" i="17"/>
  <c r="X86" i="17"/>
  <c r="X82" i="17"/>
  <c r="X78" i="17"/>
  <c r="X74" i="17"/>
  <c r="X70" i="17"/>
  <c r="X89" i="17"/>
  <c r="X77" i="17"/>
  <c r="X115" i="17"/>
  <c r="X113" i="17"/>
  <c r="X111" i="17"/>
  <c r="X109" i="17"/>
  <c r="X108" i="17"/>
  <c r="X107" i="17"/>
  <c r="X106" i="17"/>
  <c r="X105" i="17"/>
  <c r="X104" i="17"/>
  <c r="X103" i="17"/>
  <c r="X102" i="17"/>
  <c r="X101" i="17"/>
  <c r="X100" i="17"/>
  <c r="X99" i="17"/>
  <c r="X98" i="17"/>
  <c r="X97" i="17"/>
  <c r="X96" i="17"/>
  <c r="X95" i="17"/>
  <c r="X94" i="17"/>
  <c r="X93" i="17"/>
  <c r="X92" i="17"/>
  <c r="X91" i="17"/>
  <c r="X87" i="17"/>
  <c r="X83" i="17"/>
  <c r="X79" i="17"/>
  <c r="X75" i="17"/>
  <c r="X71" i="17"/>
  <c r="X81" i="17"/>
  <c r="X73" i="17"/>
  <c r="X114" i="17"/>
  <c r="X112" i="17"/>
  <c r="X110" i="17"/>
  <c r="X88" i="17"/>
  <c r="X84" i="17"/>
  <c r="X80" i="17"/>
  <c r="X76" i="17"/>
  <c r="X72" i="17"/>
  <c r="X68" i="17"/>
  <c r="X67" i="17"/>
  <c r="X66" i="17"/>
  <c r="X65" i="17"/>
  <c r="X64" i="17"/>
  <c r="X63" i="17"/>
  <c r="X62" i="17"/>
  <c r="X61" i="17"/>
  <c r="X60" i="17"/>
  <c r="X59" i="17"/>
  <c r="X58" i="17"/>
  <c r="X57" i="17"/>
  <c r="X56" i="17"/>
  <c r="X55" i="17"/>
  <c r="X54" i="17"/>
  <c r="X53" i="17"/>
  <c r="X52" i="17"/>
  <c r="X51" i="17"/>
  <c r="X50" i="17"/>
  <c r="X49" i="17"/>
  <c r="X48" i="17"/>
  <c r="X47" i="17"/>
  <c r="X46" i="17"/>
  <c r="X45" i="17"/>
  <c r="X44" i="17"/>
  <c r="X43" i="17"/>
  <c r="X42" i="17"/>
  <c r="X41" i="17"/>
  <c r="X40" i="17"/>
  <c r="X39" i="17"/>
  <c r="X38" i="17"/>
  <c r="X37" i="17"/>
  <c r="X36" i="17"/>
  <c r="X35" i="17"/>
  <c r="X34" i="17"/>
  <c r="X33" i="17"/>
  <c r="X32" i="17"/>
  <c r="X31" i="17"/>
  <c r="X30" i="17"/>
  <c r="X29" i="17"/>
  <c r="X28" i="17"/>
  <c r="X27" i="17"/>
  <c r="X26" i="17"/>
  <c r="X25" i="17"/>
  <c r="X24" i="17"/>
  <c r="X23" i="17"/>
  <c r="X22" i="17"/>
  <c r="X21" i="17"/>
  <c r="X20" i="17"/>
  <c r="X19" i="17"/>
  <c r="X18" i="17"/>
  <c r="X17" i="17"/>
  <c r="X16" i="17"/>
  <c r="X15" i="17"/>
  <c r="X14" i="17"/>
  <c r="X13" i="17"/>
  <c r="X12" i="17"/>
  <c r="X11" i="17"/>
  <c r="X10" i="17"/>
  <c r="X9" i="17"/>
  <c r="X8" i="17"/>
  <c r="X7" i="17"/>
  <c r="X6" i="17"/>
  <c r="X5" i="17"/>
  <c r="D22" i="17"/>
  <c r="D21" i="17" s="1"/>
  <c r="D23" i="17" s="1"/>
  <c r="D29" i="17" s="1"/>
  <c r="D28" i="17" l="1"/>
  <c r="D26" i="17"/>
  <c r="D24" i="17"/>
  <c r="D25" i="17" l="1"/>
  <c r="D27" i="17" s="1"/>
  <c r="F33" i="17" s="1"/>
  <c r="G22" i="17"/>
  <c r="H24" i="17"/>
  <c r="G24" i="17"/>
  <c r="H23" i="17"/>
  <c r="H25" i="17"/>
  <c r="G23" i="17"/>
  <c r="H22" i="17"/>
  <c r="E33" i="17"/>
  <c r="H104" i="15"/>
  <c r="G104" i="15"/>
  <c r="F104" i="15"/>
  <c r="H103" i="15"/>
  <c r="H105" i="15" s="1"/>
  <c r="G103" i="15"/>
  <c r="G105" i="15" s="1"/>
  <c r="F103" i="15"/>
  <c r="F105" i="15" s="1"/>
  <c r="H98" i="15"/>
  <c r="H99" i="15" s="1"/>
  <c r="G98" i="15"/>
  <c r="F98" i="15"/>
  <c r="H97" i="15"/>
  <c r="G97" i="15"/>
  <c r="G99" i="15" s="1"/>
  <c r="F97" i="15"/>
  <c r="F99" i="15" s="1"/>
  <c r="H88" i="15"/>
  <c r="G88" i="15"/>
  <c r="F88" i="15"/>
  <c r="H77" i="15"/>
  <c r="G77" i="15"/>
  <c r="F77" i="15"/>
  <c r="H70" i="15"/>
  <c r="G70" i="15"/>
  <c r="F70" i="15"/>
  <c r="H63" i="15"/>
  <c r="G63" i="15"/>
  <c r="F63" i="15"/>
  <c r="H59" i="15"/>
  <c r="G59" i="15"/>
  <c r="F59" i="15"/>
  <c r="H50" i="15"/>
  <c r="G50" i="15"/>
  <c r="F50" i="15"/>
  <c r="H42" i="15"/>
  <c r="H102" i="15" s="1"/>
  <c r="G42" i="15"/>
  <c r="F42" i="15"/>
  <c r="H32" i="15"/>
  <c r="H75" i="15" s="1"/>
  <c r="G32" i="15"/>
  <c r="G75" i="15" s="1"/>
  <c r="F32" i="15"/>
  <c r="F75" i="15" s="1"/>
  <c r="H31" i="15"/>
  <c r="H106" i="15" s="1"/>
  <c r="G31" i="15"/>
  <c r="G48" i="15" s="1"/>
  <c r="F31" i="15"/>
  <c r="F87" i="15" s="1"/>
  <c r="H23" i="15"/>
  <c r="G23" i="15"/>
  <c r="F23" i="15"/>
  <c r="H22" i="15"/>
  <c r="G22" i="15"/>
  <c r="F22" i="15"/>
  <c r="H19" i="15"/>
  <c r="G19" i="15"/>
  <c r="F19" i="15"/>
  <c r="H15" i="15"/>
  <c r="H14" i="15" s="1"/>
  <c r="G15" i="15"/>
  <c r="G14" i="15" s="1"/>
  <c r="F15" i="15"/>
  <c r="F13" i="15" s="1"/>
  <c r="H13" i="15"/>
  <c r="H110" i="15" s="1"/>
  <c r="G13" i="15"/>
  <c r="G60" i="15" s="1"/>
  <c r="H12" i="15"/>
  <c r="G12" i="15"/>
  <c r="F12" i="15"/>
  <c r="I105" i="15"/>
  <c r="I106" i="15" s="1"/>
  <c r="I104" i="15"/>
  <c r="I103" i="15"/>
  <c r="I102" i="15"/>
  <c r="I99" i="15"/>
  <c r="I98" i="15"/>
  <c r="I97" i="15"/>
  <c r="I88" i="15"/>
  <c r="I87" i="15"/>
  <c r="I77" i="15"/>
  <c r="I75" i="15"/>
  <c r="I70" i="15"/>
  <c r="I63" i="15"/>
  <c r="I59" i="15"/>
  <c r="I50" i="15"/>
  <c r="I48" i="15"/>
  <c r="I42" i="15"/>
  <c r="I32" i="15"/>
  <c r="I31" i="15"/>
  <c r="I23" i="15"/>
  <c r="I22" i="15"/>
  <c r="I19" i="15"/>
  <c r="I15" i="15"/>
  <c r="I13" i="15" s="1"/>
  <c r="I107" i="15" s="1"/>
  <c r="I108" i="15" s="1"/>
  <c r="I14" i="15"/>
  <c r="I12" i="15"/>
  <c r="L104" i="15"/>
  <c r="K104" i="15"/>
  <c r="J104" i="15"/>
  <c r="L103" i="15"/>
  <c r="L105" i="15" s="1"/>
  <c r="K103" i="15"/>
  <c r="K105" i="15" s="1"/>
  <c r="J103" i="15"/>
  <c r="J105" i="15" s="1"/>
  <c r="L99" i="15"/>
  <c r="L98" i="15"/>
  <c r="K98" i="15"/>
  <c r="J98" i="15"/>
  <c r="L97" i="15"/>
  <c r="K97" i="15"/>
  <c r="K99" i="15" s="1"/>
  <c r="J97" i="15"/>
  <c r="J99" i="15" s="1"/>
  <c r="L88" i="15"/>
  <c r="K88" i="15"/>
  <c r="J88" i="15"/>
  <c r="L87" i="15"/>
  <c r="L77" i="15"/>
  <c r="K77" i="15"/>
  <c r="J77" i="15"/>
  <c r="L70" i="15"/>
  <c r="K70" i="15"/>
  <c r="J70" i="15"/>
  <c r="L63" i="15"/>
  <c r="K63" i="15"/>
  <c r="J63" i="15"/>
  <c r="L59" i="15"/>
  <c r="K59" i="15"/>
  <c r="J59" i="15"/>
  <c r="L50" i="15"/>
  <c r="K50" i="15"/>
  <c r="J50" i="15"/>
  <c r="L42" i="15"/>
  <c r="L102" i="15" s="1"/>
  <c r="K42" i="15"/>
  <c r="J42" i="15"/>
  <c r="L32" i="15"/>
  <c r="L75" i="15" s="1"/>
  <c r="K32" i="15"/>
  <c r="K75" i="15" s="1"/>
  <c r="J32" i="15"/>
  <c r="J75" i="15" s="1"/>
  <c r="L31" i="15"/>
  <c r="L106" i="15" s="1"/>
  <c r="K31" i="15"/>
  <c r="K48" i="15" s="1"/>
  <c r="J31" i="15"/>
  <c r="J87" i="15" s="1"/>
  <c r="L23" i="15"/>
  <c r="K23" i="15"/>
  <c r="J23" i="15"/>
  <c r="L22" i="15"/>
  <c r="K22" i="15"/>
  <c r="J22" i="15"/>
  <c r="L19" i="15"/>
  <c r="K19" i="15"/>
  <c r="J19" i="15"/>
  <c r="L15" i="15"/>
  <c r="L14" i="15" s="1"/>
  <c r="K15" i="15"/>
  <c r="K13" i="15" s="1"/>
  <c r="J15" i="15"/>
  <c r="J14" i="15"/>
  <c r="J13" i="15"/>
  <c r="L12" i="15"/>
  <c r="K12" i="15"/>
  <c r="J12" i="15"/>
  <c r="M105" i="15"/>
  <c r="M106" i="15" s="1"/>
  <c r="M104" i="15"/>
  <c r="M103" i="15"/>
  <c r="M102" i="15"/>
  <c r="M99" i="15"/>
  <c r="M98" i="15"/>
  <c r="M97" i="15"/>
  <c r="M88" i="15"/>
  <c r="M87" i="15"/>
  <c r="M77" i="15"/>
  <c r="M75" i="15"/>
  <c r="M70" i="15"/>
  <c r="M63" i="15"/>
  <c r="M59" i="15"/>
  <c r="M50" i="15"/>
  <c r="M48" i="15"/>
  <c r="M42" i="15"/>
  <c r="M32" i="15"/>
  <c r="M31" i="15"/>
  <c r="M23" i="15"/>
  <c r="M22" i="15"/>
  <c r="M19" i="15"/>
  <c r="M15" i="15"/>
  <c r="M13" i="15" s="1"/>
  <c r="M14" i="15"/>
  <c r="M12" i="15"/>
  <c r="N104" i="15"/>
  <c r="N103" i="15"/>
  <c r="N105" i="15" s="1"/>
  <c r="N98" i="15"/>
  <c r="N97" i="15"/>
  <c r="N88" i="15"/>
  <c r="N77" i="15"/>
  <c r="N75" i="15"/>
  <c r="N70" i="15"/>
  <c r="N63" i="15"/>
  <c r="N59" i="15"/>
  <c r="N50" i="15"/>
  <c r="N48" i="15"/>
  <c r="N42" i="15"/>
  <c r="N102" i="15" s="1"/>
  <c r="N32" i="15"/>
  <c r="N31" i="15"/>
  <c r="N23" i="15"/>
  <c r="N22" i="15"/>
  <c r="N19" i="15"/>
  <c r="N15" i="15"/>
  <c r="N14" i="15" s="1"/>
  <c r="N12" i="15"/>
  <c r="O106" i="15"/>
  <c r="O105" i="15"/>
  <c r="O104" i="15"/>
  <c r="O103" i="15"/>
  <c r="O99" i="15"/>
  <c r="O98" i="15"/>
  <c r="O97" i="15"/>
  <c r="O88" i="15"/>
  <c r="O87" i="15"/>
  <c r="O77" i="15"/>
  <c r="O75" i="15"/>
  <c r="O79" i="15" s="1"/>
  <c r="O70" i="15"/>
  <c r="O63" i="15"/>
  <c r="O59" i="15"/>
  <c r="O50" i="15"/>
  <c r="O48" i="15"/>
  <c r="O42" i="15"/>
  <c r="O102" i="15" s="1"/>
  <c r="O32" i="15"/>
  <c r="O31" i="15"/>
  <c r="O23" i="15"/>
  <c r="O22" i="15"/>
  <c r="O19" i="15"/>
  <c r="O15" i="15"/>
  <c r="O13" i="15" s="1"/>
  <c r="O12" i="15"/>
  <c r="P106" i="15"/>
  <c r="P105" i="15"/>
  <c r="P104" i="15"/>
  <c r="P103" i="15"/>
  <c r="P102" i="15"/>
  <c r="P99" i="15"/>
  <c r="P98" i="15"/>
  <c r="P97" i="15"/>
  <c r="P88" i="15"/>
  <c r="P90" i="15" s="1"/>
  <c r="P87" i="15"/>
  <c r="P77" i="15"/>
  <c r="P79" i="15" s="1"/>
  <c r="P75" i="15"/>
  <c r="P70" i="15"/>
  <c r="P63" i="15"/>
  <c r="P59" i="15"/>
  <c r="P50" i="15"/>
  <c r="P48" i="15"/>
  <c r="P42" i="15"/>
  <c r="P32" i="15"/>
  <c r="P31" i="15"/>
  <c r="P23" i="15"/>
  <c r="P22" i="15"/>
  <c r="P19" i="15"/>
  <c r="P15" i="15"/>
  <c r="P14" i="15" s="1"/>
  <c r="P12" i="15"/>
  <c r="H26" i="17" l="1"/>
  <c r="G26" i="17"/>
  <c r="H34" i="17"/>
  <c r="K33" i="17"/>
  <c r="C34" i="17"/>
  <c r="E34" i="17" s="1"/>
  <c r="G33" i="17"/>
  <c r="J33" i="17" s="1"/>
  <c r="I79" i="15"/>
  <c r="I90" i="15"/>
  <c r="H72" i="15"/>
  <c r="H73" i="15" s="1"/>
  <c r="H100" i="15" s="1"/>
  <c r="G72" i="15"/>
  <c r="G73" i="15" s="1"/>
  <c r="G100" i="15" s="1"/>
  <c r="F79" i="15"/>
  <c r="F110" i="15"/>
  <c r="F18" i="15"/>
  <c r="F68" i="15" s="1"/>
  <c r="F90" i="15"/>
  <c r="G79" i="15"/>
  <c r="I109" i="15"/>
  <c r="G61" i="15"/>
  <c r="H79" i="15"/>
  <c r="F72" i="15"/>
  <c r="F73" i="15" s="1"/>
  <c r="F100" i="15" s="1"/>
  <c r="I16" i="15"/>
  <c r="G16" i="15"/>
  <c r="H48" i="15"/>
  <c r="G87" i="15"/>
  <c r="I60" i="15"/>
  <c r="F14" i="15"/>
  <c r="F16" i="15" s="1"/>
  <c r="H16" i="15"/>
  <c r="H87" i="15"/>
  <c r="F102" i="15"/>
  <c r="F106" i="15"/>
  <c r="G107" i="15"/>
  <c r="N106" i="15"/>
  <c r="N99" i="15"/>
  <c r="I18" i="15"/>
  <c r="I68" i="15" s="1"/>
  <c r="I110" i="15"/>
  <c r="G18" i="15"/>
  <c r="G68" i="15" s="1"/>
  <c r="F48" i="15"/>
  <c r="G102" i="15"/>
  <c r="G106" i="15"/>
  <c r="H107" i="15"/>
  <c r="H108" i="15" s="1"/>
  <c r="G110" i="15"/>
  <c r="I72" i="15"/>
  <c r="I73" i="15" s="1"/>
  <c r="I100" i="15" s="1"/>
  <c r="H18" i="15"/>
  <c r="H68" i="15" s="1"/>
  <c r="M107" i="15"/>
  <c r="M108" i="15" s="1"/>
  <c r="O14" i="15"/>
  <c r="O60" i="15" s="1"/>
  <c r="O61" i="15" s="1"/>
  <c r="J16" i="15"/>
  <c r="J17" i="15" s="1"/>
  <c r="J76" i="15" s="1"/>
  <c r="J78" i="15" s="1"/>
  <c r="M90" i="15"/>
  <c r="M79" i="15"/>
  <c r="J18" i="15"/>
  <c r="J68" i="15" s="1"/>
  <c r="J72" i="15"/>
  <c r="J73" i="15" s="1"/>
  <c r="J100" i="15" s="1"/>
  <c r="M109" i="15"/>
  <c r="L79" i="15"/>
  <c r="J79" i="15"/>
  <c r="K110" i="15"/>
  <c r="K18" i="15"/>
  <c r="K68" i="15" s="1"/>
  <c r="K72" i="15"/>
  <c r="K73" i="15" s="1"/>
  <c r="K100" i="15" s="1"/>
  <c r="J90" i="15"/>
  <c r="K79" i="15"/>
  <c r="M16" i="15"/>
  <c r="L13" i="15"/>
  <c r="L48" i="15"/>
  <c r="K87" i="15"/>
  <c r="J107" i="15"/>
  <c r="J108" i="15" s="1"/>
  <c r="I117" i="15" s="1"/>
  <c r="I118" i="15" s="1"/>
  <c r="J102" i="15"/>
  <c r="J106" i="15"/>
  <c r="J110" i="15"/>
  <c r="M110" i="15"/>
  <c r="K14" i="15"/>
  <c r="K107" i="15" s="1"/>
  <c r="K108" i="15" s="1"/>
  <c r="J48" i="15"/>
  <c r="J60" i="15"/>
  <c r="L90" i="15"/>
  <c r="K102" i="15"/>
  <c r="K106" i="15"/>
  <c r="M60" i="15"/>
  <c r="M18" i="15"/>
  <c r="M68" i="15" s="1"/>
  <c r="M72" i="15"/>
  <c r="M73" i="15" s="1"/>
  <c r="M100" i="15" s="1"/>
  <c r="O72" i="15"/>
  <c r="O73" i="15" s="1"/>
  <c r="O100" i="15" s="1"/>
  <c r="O18" i="15"/>
  <c r="O68" i="15" s="1"/>
  <c r="O16" i="15"/>
  <c r="O17" i="15" s="1"/>
  <c r="O76" i="15" s="1"/>
  <c r="O84" i="15" s="1"/>
  <c r="O90" i="15"/>
  <c r="P13" i="15"/>
  <c r="N13" i="15"/>
  <c r="N110" i="15" s="1"/>
  <c r="N79" i="15"/>
  <c r="O110" i="15"/>
  <c r="N72" i="15"/>
  <c r="N73" i="15" s="1"/>
  <c r="O107" i="15"/>
  <c r="O108" i="15" s="1"/>
  <c r="N16" i="15"/>
  <c r="N87" i="15"/>
  <c r="Q42" i="15"/>
  <c r="L33" i="17" l="1"/>
  <c r="I34" i="17"/>
  <c r="F17" i="15"/>
  <c r="F76" i="15" s="1"/>
  <c r="F49" i="15"/>
  <c r="H61" i="15"/>
  <c r="H62" i="15"/>
  <c r="H90" i="15"/>
  <c r="G62" i="15"/>
  <c r="F80" i="15"/>
  <c r="F81" i="15" s="1"/>
  <c r="I49" i="15"/>
  <c r="I17" i="15"/>
  <c r="I76" i="15" s="1"/>
  <c r="I62" i="15"/>
  <c r="I61" i="15"/>
  <c r="H117" i="15"/>
  <c r="H118" i="15" s="1"/>
  <c r="H109" i="15"/>
  <c r="G108" i="15"/>
  <c r="G90" i="15"/>
  <c r="F60" i="15"/>
  <c r="N100" i="15"/>
  <c r="H49" i="15"/>
  <c r="H89" i="15" s="1"/>
  <c r="H17" i="15"/>
  <c r="H76" i="15" s="1"/>
  <c r="G17" i="15"/>
  <c r="G76" i="15" s="1"/>
  <c r="G49" i="15"/>
  <c r="F107" i="15"/>
  <c r="F108" i="15" s="1"/>
  <c r="N18" i="15"/>
  <c r="N68" i="15" s="1"/>
  <c r="J80" i="15"/>
  <c r="J81" i="15" s="1"/>
  <c r="J82" i="15" s="1"/>
  <c r="J49" i="15"/>
  <c r="N60" i="15"/>
  <c r="N61" i="15" s="1"/>
  <c r="N107" i="15"/>
  <c r="N108" i="15" s="1"/>
  <c r="M117" i="15" s="1"/>
  <c r="M118" i="15" s="1"/>
  <c r="O62" i="15"/>
  <c r="O83" i="15"/>
  <c r="J91" i="15"/>
  <c r="J92" i="15" s="1"/>
  <c r="J93" i="15" s="1"/>
  <c r="K109" i="15"/>
  <c r="J52" i="15"/>
  <c r="J51" i="15" s="1"/>
  <c r="J53" i="15" s="1"/>
  <c r="K16" i="15"/>
  <c r="J83" i="15"/>
  <c r="J84" i="15"/>
  <c r="M49" i="15"/>
  <c r="M57" i="15" s="1"/>
  <c r="M17" i="15"/>
  <c r="M76" i="15" s="1"/>
  <c r="K60" i="15"/>
  <c r="J109" i="15"/>
  <c r="M62" i="15"/>
  <c r="M61" i="15"/>
  <c r="J61" i="15"/>
  <c r="J62" i="15"/>
  <c r="K90" i="15"/>
  <c r="L110" i="15"/>
  <c r="L18" i="15"/>
  <c r="L68" i="15" s="1"/>
  <c r="L107" i="15"/>
  <c r="L108" i="15" s="1"/>
  <c r="L72" i="15"/>
  <c r="L73" i="15" s="1"/>
  <c r="L100" i="15" s="1"/>
  <c r="L16" i="15"/>
  <c r="L60" i="15"/>
  <c r="J95" i="15"/>
  <c r="J94" i="15"/>
  <c r="J58" i="15"/>
  <c r="O49" i="15"/>
  <c r="O78" i="15"/>
  <c r="O80" i="15"/>
  <c r="O81" i="15" s="1"/>
  <c r="O82" i="15" s="1"/>
  <c r="P107" i="15"/>
  <c r="P108" i="15" s="1"/>
  <c r="P72" i="15"/>
  <c r="P73" i="15" s="1"/>
  <c r="P100" i="15" s="1"/>
  <c r="P16" i="15"/>
  <c r="P60" i="15"/>
  <c r="P61" i="15" s="1"/>
  <c r="P18" i="15"/>
  <c r="P110" i="15"/>
  <c r="O109" i="15"/>
  <c r="N90" i="15"/>
  <c r="N117" i="15"/>
  <c r="N118" i="15" s="1"/>
  <c r="N109" i="15"/>
  <c r="O52" i="15"/>
  <c r="O51" i="15" s="1"/>
  <c r="O53" i="15" s="1"/>
  <c r="O54" i="15" s="1"/>
  <c r="O55" i="15" s="1"/>
  <c r="O94" i="15"/>
  <c r="O58" i="15"/>
  <c r="O95" i="15"/>
  <c r="O91" i="15"/>
  <c r="O92" i="15" s="1"/>
  <c r="O93" i="15" s="1"/>
  <c r="N49" i="15"/>
  <c r="N17" i="15"/>
  <c r="N76" i="15" s="1"/>
  <c r="E64" i="3"/>
  <c r="R42" i="15"/>
  <c r="S42" i="15"/>
  <c r="E9" i="15"/>
  <c r="E31" i="15" s="1"/>
  <c r="E12" i="15"/>
  <c r="Q12" i="15"/>
  <c r="R12" i="15"/>
  <c r="S12" i="15"/>
  <c r="E15" i="15"/>
  <c r="E13" i="15" s="1"/>
  <c r="Q15" i="15"/>
  <c r="Q13" i="15" s="1"/>
  <c r="R15" i="15"/>
  <c r="R13" i="15" s="1"/>
  <c r="S15" i="15"/>
  <c r="S13" i="15" s="1"/>
  <c r="E19" i="15"/>
  <c r="Q19" i="15"/>
  <c r="R19" i="15"/>
  <c r="S19" i="15"/>
  <c r="E22" i="15"/>
  <c r="Q22" i="15"/>
  <c r="R22" i="15"/>
  <c r="S22" i="15"/>
  <c r="E23" i="15"/>
  <c r="Q23" i="15"/>
  <c r="R23" i="15"/>
  <c r="S23" i="15"/>
  <c r="Q31" i="15"/>
  <c r="Q87" i="15" s="1"/>
  <c r="R31" i="15"/>
  <c r="R48" i="15" s="1"/>
  <c r="S31" i="15"/>
  <c r="S48" i="15" s="1"/>
  <c r="Q32" i="15"/>
  <c r="Q75" i="15" s="1"/>
  <c r="R32" i="15"/>
  <c r="R75" i="15" s="1"/>
  <c r="S32" i="15"/>
  <c r="S75" i="15" s="1"/>
  <c r="E50" i="15"/>
  <c r="Q50" i="15"/>
  <c r="R50" i="15"/>
  <c r="S50" i="15"/>
  <c r="E59" i="15"/>
  <c r="Q59" i="15"/>
  <c r="R59" i="15"/>
  <c r="S59" i="15"/>
  <c r="E63" i="15"/>
  <c r="Q63" i="15"/>
  <c r="R63" i="15"/>
  <c r="S63" i="15"/>
  <c r="E70" i="15"/>
  <c r="Q70" i="15"/>
  <c r="R70" i="15"/>
  <c r="S70" i="15"/>
  <c r="E77" i="15"/>
  <c r="Q77" i="15"/>
  <c r="R77" i="15"/>
  <c r="S77" i="15"/>
  <c r="E88" i="15"/>
  <c r="Q88" i="15"/>
  <c r="R88" i="15"/>
  <c r="S88" i="15"/>
  <c r="E97" i="15"/>
  <c r="Q97" i="15"/>
  <c r="R97" i="15"/>
  <c r="S97" i="15"/>
  <c r="E98" i="15"/>
  <c r="E99" i="15" s="1"/>
  <c r="Q98" i="15"/>
  <c r="R98" i="15"/>
  <c r="S98" i="15"/>
  <c r="E103" i="15"/>
  <c r="E105" i="15" s="1"/>
  <c r="Q103" i="15"/>
  <c r="R103" i="15"/>
  <c r="S103" i="15"/>
  <c r="E104" i="15"/>
  <c r="Q104" i="15"/>
  <c r="R104" i="15"/>
  <c r="S104" i="15"/>
  <c r="Q105" i="15"/>
  <c r="E112" i="15"/>
  <c r="J85" i="15"/>
  <c r="O85" i="15"/>
  <c r="L64" i="3"/>
  <c r="O96" i="15"/>
  <c r="J96" i="15"/>
  <c r="K34" i="17" l="1"/>
  <c r="H35" i="17"/>
  <c r="I35" i="17" s="1"/>
  <c r="H91" i="15"/>
  <c r="H92" i="15" s="1"/>
  <c r="I84" i="15"/>
  <c r="I83" i="15"/>
  <c r="I82" i="15"/>
  <c r="I78" i="15"/>
  <c r="I80" i="15"/>
  <c r="I81" i="15" s="1"/>
  <c r="G83" i="15"/>
  <c r="G84" i="15"/>
  <c r="G82" i="15"/>
  <c r="G78" i="15"/>
  <c r="G91" i="15"/>
  <c r="G92" i="15" s="1"/>
  <c r="I94" i="15"/>
  <c r="I58" i="15"/>
  <c r="I57" i="15"/>
  <c r="I52" i="15"/>
  <c r="I51" i="15" s="1"/>
  <c r="I53" i="15" s="1"/>
  <c r="I54" i="15" s="1"/>
  <c r="I55" i="15" s="1"/>
  <c r="I95" i="15"/>
  <c r="I91" i="15"/>
  <c r="I92" i="15" s="1"/>
  <c r="I93" i="15" s="1"/>
  <c r="I89" i="15"/>
  <c r="G93" i="15"/>
  <c r="G94" i="15"/>
  <c r="G58" i="15"/>
  <c r="G95" i="15"/>
  <c r="G52" i="15"/>
  <c r="G51" i="15" s="1"/>
  <c r="G53" i="15" s="1"/>
  <c r="G54" i="15" s="1"/>
  <c r="G55" i="15" s="1"/>
  <c r="G57" i="15"/>
  <c r="H84" i="15"/>
  <c r="H83" i="15"/>
  <c r="H78" i="15"/>
  <c r="F61" i="15"/>
  <c r="F62" i="15"/>
  <c r="G89" i="15"/>
  <c r="F95" i="15"/>
  <c r="F94" i="15"/>
  <c r="F58" i="15"/>
  <c r="F89" i="15"/>
  <c r="F57" i="15"/>
  <c r="F52" i="15"/>
  <c r="F51" i="15" s="1"/>
  <c r="F53" i="15" s="1"/>
  <c r="F54" i="15" s="1"/>
  <c r="F55" i="15" s="1"/>
  <c r="F117" i="15"/>
  <c r="F118" i="15" s="1"/>
  <c r="F109" i="15"/>
  <c r="H93" i="15"/>
  <c r="H94" i="15"/>
  <c r="H58" i="15"/>
  <c r="H95" i="15"/>
  <c r="H52" i="15"/>
  <c r="H51" i="15" s="1"/>
  <c r="H53" i="15" s="1"/>
  <c r="H54" i="15" s="1"/>
  <c r="H55" i="15" s="1"/>
  <c r="H56" i="15"/>
  <c r="H57" i="15"/>
  <c r="H80" i="15"/>
  <c r="H81" i="15" s="1"/>
  <c r="H82" i="15" s="1"/>
  <c r="G117" i="15"/>
  <c r="G118" i="15" s="1"/>
  <c r="G109" i="15"/>
  <c r="F91" i="15"/>
  <c r="F92" i="15" s="1"/>
  <c r="F93" i="15" s="1"/>
  <c r="G80" i="15"/>
  <c r="G81" i="15" s="1"/>
  <c r="F82" i="15"/>
  <c r="F83" i="15"/>
  <c r="F84" i="15"/>
  <c r="F78" i="15"/>
  <c r="N89" i="15"/>
  <c r="N57" i="15"/>
  <c r="J57" i="15"/>
  <c r="J89" i="15"/>
  <c r="N62" i="15"/>
  <c r="O89" i="15"/>
  <c r="O57" i="15"/>
  <c r="J54" i="15"/>
  <c r="J55" i="15" s="1"/>
  <c r="J56" i="15" s="1"/>
  <c r="L117" i="15"/>
  <c r="L118" i="15" s="1"/>
  <c r="L109" i="15"/>
  <c r="J117" i="15"/>
  <c r="J118" i="15" s="1"/>
  <c r="M84" i="15"/>
  <c r="M83" i="15"/>
  <c r="M80" i="15"/>
  <c r="M81" i="15" s="1"/>
  <c r="M82" i="15" s="1"/>
  <c r="M78" i="15"/>
  <c r="L61" i="15"/>
  <c r="L62" i="15"/>
  <c r="M94" i="15"/>
  <c r="M58" i="15"/>
  <c r="M89" i="15"/>
  <c r="M95" i="15"/>
  <c r="M52" i="15"/>
  <c r="M51" i="15" s="1"/>
  <c r="M53" i="15" s="1"/>
  <c r="M54" i="15" s="1"/>
  <c r="M55" i="15" s="1"/>
  <c r="M91" i="15"/>
  <c r="M92" i="15" s="1"/>
  <c r="M93" i="15" s="1"/>
  <c r="L49" i="15"/>
  <c r="L57" i="15" s="1"/>
  <c r="L17" i="15"/>
  <c r="L76" i="15" s="1"/>
  <c r="K61" i="15"/>
  <c r="K62" i="15"/>
  <c r="K17" i="15"/>
  <c r="K76" i="15" s="1"/>
  <c r="K49" i="15"/>
  <c r="K117" i="15"/>
  <c r="K118" i="15" s="1"/>
  <c r="P49" i="15"/>
  <c r="P57" i="15" s="1"/>
  <c r="P17" i="15"/>
  <c r="P76" i="15" s="1"/>
  <c r="P62" i="15"/>
  <c r="P68" i="15"/>
  <c r="P109" i="15"/>
  <c r="N91" i="15"/>
  <c r="N92" i="15" s="1"/>
  <c r="N93" i="15" s="1"/>
  <c r="N84" i="15"/>
  <c r="N83" i="15"/>
  <c r="N78" i="15"/>
  <c r="N80" i="15"/>
  <c r="N81" i="15" s="1"/>
  <c r="N82" i="15" s="1"/>
  <c r="O56" i="15"/>
  <c r="N95" i="15"/>
  <c r="N94" i="15"/>
  <c r="N58" i="15"/>
  <c r="N52" i="15"/>
  <c r="N51" i="15" s="1"/>
  <c r="N53" i="15" s="1"/>
  <c r="N54" i="15" s="1"/>
  <c r="N55" i="15" s="1"/>
  <c r="R87" i="15"/>
  <c r="S79" i="15"/>
  <c r="R105" i="15"/>
  <c r="R106" i="15" s="1"/>
  <c r="R99" i="15"/>
  <c r="R79" i="15"/>
  <c r="Q99" i="15"/>
  <c r="S99" i="15"/>
  <c r="R90" i="15"/>
  <c r="S105" i="15"/>
  <c r="S106" i="15" s="1"/>
  <c r="S87" i="15"/>
  <c r="S90" i="15" s="1"/>
  <c r="Q106" i="15"/>
  <c r="Q48" i="15"/>
  <c r="Q90" i="15"/>
  <c r="Q79" i="15"/>
  <c r="E48" i="15"/>
  <c r="E87" i="15"/>
  <c r="E90" i="15" s="1"/>
  <c r="E106" i="15"/>
  <c r="E32" i="15"/>
  <c r="E75" i="15" s="1"/>
  <c r="E79" i="15" s="1"/>
  <c r="R72" i="15"/>
  <c r="R73" i="15" s="1"/>
  <c r="R110" i="15"/>
  <c r="R18" i="15"/>
  <c r="Q18" i="15"/>
  <c r="Q72" i="15"/>
  <c r="Q73" i="15" s="1"/>
  <c r="Q100" i="15" s="1"/>
  <c r="Q102" i="15" s="1"/>
  <c r="Q110" i="15"/>
  <c r="E18" i="15"/>
  <c r="E72" i="15"/>
  <c r="E73" i="15" s="1"/>
  <c r="E100" i="15" s="1"/>
  <c r="E102" i="15" s="1"/>
  <c r="E110" i="15"/>
  <c r="S18" i="15"/>
  <c r="S72" i="15"/>
  <c r="S73" i="15" s="1"/>
  <c r="S110" i="15"/>
  <c r="Q14" i="15"/>
  <c r="Q60" i="15" s="1"/>
  <c r="Q61" i="15" s="1"/>
  <c r="R14" i="15"/>
  <c r="R16" i="15" s="1"/>
  <c r="E14" i="15"/>
  <c r="E60" i="15" s="1"/>
  <c r="E61" i="15" s="1"/>
  <c r="S14" i="15"/>
  <c r="S16" i="15" s="1"/>
  <c r="F16" i="3"/>
  <c r="G8" i="11"/>
  <c r="G40" i="11" s="1"/>
  <c r="G11" i="11"/>
  <c r="G47" i="11" s="1"/>
  <c r="R9" i="9" s="1"/>
  <c r="S9" i="9" s="1"/>
  <c r="AQ53" i="11"/>
  <c r="AO53" i="11"/>
  <c r="AM53" i="11"/>
  <c r="AK53" i="11"/>
  <c r="AI53" i="11"/>
  <c r="AG53" i="11"/>
  <c r="AE53" i="11"/>
  <c r="AC53" i="11"/>
  <c r="AA53" i="11"/>
  <c r="Y53" i="11"/>
  <c r="W53" i="11"/>
  <c r="U53" i="11"/>
  <c r="S53" i="11"/>
  <c r="Q53" i="11"/>
  <c r="O53" i="11"/>
  <c r="M53" i="11"/>
  <c r="K53" i="11"/>
  <c r="I53" i="11"/>
  <c r="G53" i="11"/>
  <c r="E53" i="11"/>
  <c r="CK64" i="3"/>
  <c r="CK65" i="3" s="1"/>
  <c r="CJ64" i="3"/>
  <c r="CJ65" i="3" s="1"/>
  <c r="CI64" i="3"/>
  <c r="CI65" i="3" s="1"/>
  <c r="CH64" i="3"/>
  <c r="CH65" i="3" s="1"/>
  <c r="CG64" i="3"/>
  <c r="CG65" i="3" s="1"/>
  <c r="CF64" i="3"/>
  <c r="CF65" i="3" s="1"/>
  <c r="CE64" i="3"/>
  <c r="CE65" i="3" s="1"/>
  <c r="CD64" i="3"/>
  <c r="CD65" i="3" s="1"/>
  <c r="CC64" i="3"/>
  <c r="CC65" i="3" s="1"/>
  <c r="CB64" i="3"/>
  <c r="CB65" i="3" s="1"/>
  <c r="CA64" i="3"/>
  <c r="CA65" i="3" s="1"/>
  <c r="BZ64" i="3"/>
  <c r="BZ65" i="3" s="1"/>
  <c r="BY64" i="3"/>
  <c r="BY65" i="3" s="1"/>
  <c r="BX64" i="3"/>
  <c r="BX65" i="3" s="1"/>
  <c r="BW64" i="3"/>
  <c r="BW65" i="3" s="1"/>
  <c r="BV64" i="3"/>
  <c r="BV65" i="3" s="1"/>
  <c r="BU64" i="3"/>
  <c r="BU65" i="3" s="1"/>
  <c r="BT64" i="3"/>
  <c r="BT65" i="3" s="1"/>
  <c r="BS64" i="3"/>
  <c r="BS65" i="3" s="1"/>
  <c r="BR64" i="3"/>
  <c r="BR65" i="3" s="1"/>
  <c r="BQ64" i="3"/>
  <c r="BQ65" i="3" s="1"/>
  <c r="BP64" i="3"/>
  <c r="BP65" i="3" s="1"/>
  <c r="BO64" i="3"/>
  <c r="BO65" i="3" s="1"/>
  <c r="BN64" i="3"/>
  <c r="BN65" i="3" s="1"/>
  <c r="BM64" i="3"/>
  <c r="BM65" i="3" s="1"/>
  <c r="BL64" i="3"/>
  <c r="BL65" i="3" s="1"/>
  <c r="BK64" i="3"/>
  <c r="BK65" i="3" s="1"/>
  <c r="BJ64" i="3"/>
  <c r="BJ65" i="3" s="1"/>
  <c r="BI64" i="3"/>
  <c r="BI65" i="3" s="1"/>
  <c r="BH64" i="3"/>
  <c r="BH65" i="3" s="1"/>
  <c r="BG64" i="3"/>
  <c r="BF64" i="3"/>
  <c r="BF65" i="3" s="1"/>
  <c r="BE64" i="3"/>
  <c r="BE65" i="3" s="1"/>
  <c r="BD64" i="3"/>
  <c r="BD65" i="3" s="1"/>
  <c r="BC64" i="3"/>
  <c r="BC65" i="3" s="1"/>
  <c r="BB64" i="3"/>
  <c r="BB65" i="3" s="1"/>
  <c r="BA64" i="3"/>
  <c r="BA65" i="3" s="1"/>
  <c r="AZ64" i="3"/>
  <c r="AZ65" i="3" s="1"/>
  <c r="AY64" i="3"/>
  <c r="AX64" i="3"/>
  <c r="AX65" i="3" s="1"/>
  <c r="AW64" i="3"/>
  <c r="AW65" i="3" s="1"/>
  <c r="AV64" i="3"/>
  <c r="AV65" i="3" s="1"/>
  <c r="AU64" i="3"/>
  <c r="AU65" i="3" s="1"/>
  <c r="AT64" i="3"/>
  <c r="AT65" i="3" s="1"/>
  <c r="AS64" i="3"/>
  <c r="AS65" i="3" s="1"/>
  <c r="AR64" i="3"/>
  <c r="AR65" i="3" s="1"/>
  <c r="AQ64" i="3"/>
  <c r="AQ65" i="3" s="1"/>
  <c r="AP64" i="3"/>
  <c r="AP65" i="3" s="1"/>
  <c r="AO64" i="3"/>
  <c r="AO65" i="3" s="1"/>
  <c r="AN64" i="3"/>
  <c r="AN65" i="3" s="1"/>
  <c r="AM64" i="3"/>
  <c r="AM65" i="3" s="1"/>
  <c r="AL64" i="3"/>
  <c r="AL65" i="3" s="1"/>
  <c r="AK64" i="3"/>
  <c r="AK65" i="3" s="1"/>
  <c r="AJ64" i="3"/>
  <c r="AJ65" i="3" s="1"/>
  <c r="AI64" i="3"/>
  <c r="AI65" i="3" s="1"/>
  <c r="AH64" i="3"/>
  <c r="AH65" i="3" s="1"/>
  <c r="AG64" i="3"/>
  <c r="AG65" i="3" s="1"/>
  <c r="AF64" i="3"/>
  <c r="AF65" i="3" s="1"/>
  <c r="AE64" i="3"/>
  <c r="AE65" i="3" s="1"/>
  <c r="AD64" i="3"/>
  <c r="AD65" i="3" s="1"/>
  <c r="AC64" i="3"/>
  <c r="AC65" i="3" s="1"/>
  <c r="AB64" i="3"/>
  <c r="AB65" i="3" s="1"/>
  <c r="AA64" i="3"/>
  <c r="AA65" i="3" s="1"/>
  <c r="Z64" i="3"/>
  <c r="Z65" i="3" s="1"/>
  <c r="Y64" i="3"/>
  <c r="Y65" i="3" s="1"/>
  <c r="X64" i="3"/>
  <c r="X65" i="3" s="1"/>
  <c r="W64" i="3"/>
  <c r="V64" i="3"/>
  <c r="V65" i="3" s="1"/>
  <c r="U64" i="3"/>
  <c r="U65" i="3" s="1"/>
  <c r="T64" i="3"/>
  <c r="T65" i="3" s="1"/>
  <c r="S64" i="3"/>
  <c r="S65" i="3" s="1"/>
  <c r="R64" i="3"/>
  <c r="R65" i="3" s="1"/>
  <c r="Q64" i="3"/>
  <c r="Q65" i="3" s="1"/>
  <c r="P64" i="3"/>
  <c r="P65" i="3" s="1"/>
  <c r="O64" i="3"/>
  <c r="O65" i="3" s="1"/>
  <c r="N64" i="3"/>
  <c r="N65" i="3" s="1"/>
  <c r="K64" i="3"/>
  <c r="K65" i="3" s="1"/>
  <c r="J64" i="3"/>
  <c r="CH117" i="3"/>
  <c r="CH118" i="3" s="1"/>
  <c r="CH114" i="3"/>
  <c r="CH115" i="3" s="1"/>
  <c r="CH112" i="3"/>
  <c r="CH110" i="3"/>
  <c r="CK108" i="3"/>
  <c r="CK109" i="3" s="1"/>
  <c r="CJ108" i="3"/>
  <c r="CJ109" i="3" s="1"/>
  <c r="CI108" i="3"/>
  <c r="CI109" i="3" s="1"/>
  <c r="CH108" i="3"/>
  <c r="CH109" i="3" s="1"/>
  <c r="CK107" i="3"/>
  <c r="CJ107" i="3"/>
  <c r="CI107" i="3"/>
  <c r="CH107" i="3"/>
  <c r="CK104" i="3"/>
  <c r="CJ104" i="3"/>
  <c r="CI104" i="3"/>
  <c r="CH104" i="3"/>
  <c r="CK103" i="3"/>
  <c r="CK105" i="3" s="1"/>
  <c r="CK106" i="3" s="1"/>
  <c r="CJ103" i="3"/>
  <c r="CJ105" i="3" s="1"/>
  <c r="CJ106" i="3" s="1"/>
  <c r="CI103" i="3"/>
  <c r="CI105" i="3" s="1"/>
  <c r="CI106" i="3" s="1"/>
  <c r="CH103" i="3"/>
  <c r="CH105" i="3" s="1"/>
  <c r="CH106" i="3" s="1"/>
  <c r="CK102" i="3"/>
  <c r="CJ102" i="3"/>
  <c r="CI102" i="3"/>
  <c r="CH102" i="3"/>
  <c r="CK98" i="3"/>
  <c r="CJ98" i="3"/>
  <c r="CI98" i="3"/>
  <c r="CH98" i="3"/>
  <c r="CK97" i="3"/>
  <c r="CK99" i="3" s="1"/>
  <c r="CJ97" i="3"/>
  <c r="CJ99" i="3" s="1"/>
  <c r="CI97" i="3"/>
  <c r="CI99" i="3" s="1"/>
  <c r="CH97" i="3"/>
  <c r="CH99" i="3" s="1"/>
  <c r="CK88" i="3"/>
  <c r="CJ88" i="3"/>
  <c r="CI88" i="3"/>
  <c r="CH88" i="3"/>
  <c r="CK87" i="3"/>
  <c r="CK90" i="3" s="1"/>
  <c r="CJ87" i="3"/>
  <c r="CJ90" i="3" s="1"/>
  <c r="CI87" i="3"/>
  <c r="CI90" i="3" s="1"/>
  <c r="CH87" i="3"/>
  <c r="CH90" i="3" s="1"/>
  <c r="CK77" i="3"/>
  <c r="CJ77" i="3"/>
  <c r="CI77" i="3"/>
  <c r="CH77" i="3"/>
  <c r="CK76" i="3"/>
  <c r="CJ76" i="3"/>
  <c r="CJ83" i="3" s="1"/>
  <c r="CI76" i="3"/>
  <c r="CH76" i="3"/>
  <c r="CK75" i="3"/>
  <c r="CK79" i="3" s="1"/>
  <c r="CK80" i="3" s="1"/>
  <c r="CK81" i="3" s="1"/>
  <c r="CJ75" i="3"/>
  <c r="CJ78" i="3" s="1"/>
  <c r="CI75" i="3"/>
  <c r="CI79" i="3" s="1"/>
  <c r="CI80" i="3" s="1"/>
  <c r="CI81" i="3" s="1"/>
  <c r="CH75" i="3"/>
  <c r="CH79" i="3" s="1"/>
  <c r="CH80" i="3" s="1"/>
  <c r="CH81" i="3" s="1"/>
  <c r="CK70" i="3"/>
  <c r="CK72" i="3" s="1"/>
  <c r="CK73" i="3" s="1"/>
  <c r="CK100" i="3" s="1"/>
  <c r="CJ70" i="3"/>
  <c r="CJ72" i="3" s="1"/>
  <c r="CJ73" i="3" s="1"/>
  <c r="CJ100" i="3" s="1"/>
  <c r="CI70" i="3"/>
  <c r="CI72" i="3" s="1"/>
  <c r="CI73" i="3" s="1"/>
  <c r="CI100" i="3" s="1"/>
  <c r="CH70" i="3"/>
  <c r="CH72" i="3" s="1"/>
  <c r="CH73" i="3" s="1"/>
  <c r="CH100" i="3" s="1"/>
  <c r="CD117" i="3"/>
  <c r="CD118" i="3" s="1"/>
  <c r="CD114" i="3"/>
  <c r="CD115" i="3" s="1"/>
  <c r="CD112" i="3"/>
  <c r="CD110" i="3"/>
  <c r="CG108" i="3"/>
  <c r="CG109" i="3" s="1"/>
  <c r="CF108" i="3"/>
  <c r="CF109" i="3" s="1"/>
  <c r="CE108" i="3"/>
  <c r="CE109" i="3" s="1"/>
  <c r="CD108" i="3"/>
  <c r="CD109" i="3" s="1"/>
  <c r="CG107" i="3"/>
  <c r="CF107" i="3"/>
  <c r="CE107" i="3"/>
  <c r="CD107" i="3"/>
  <c r="CG104" i="3"/>
  <c r="CF104" i="3"/>
  <c r="CE104" i="3"/>
  <c r="CD104" i="3"/>
  <c r="CG103" i="3"/>
  <c r="CG105" i="3" s="1"/>
  <c r="CG106" i="3" s="1"/>
  <c r="CF103" i="3"/>
  <c r="CF105" i="3" s="1"/>
  <c r="CF106" i="3" s="1"/>
  <c r="CE103" i="3"/>
  <c r="CE105" i="3" s="1"/>
  <c r="CE106" i="3" s="1"/>
  <c r="CD103" i="3"/>
  <c r="CD105" i="3" s="1"/>
  <c r="CD106" i="3" s="1"/>
  <c r="CG102" i="3"/>
  <c r="CF102" i="3"/>
  <c r="CE102" i="3"/>
  <c r="CD102" i="3"/>
  <c r="CG98" i="3"/>
  <c r="CF98" i="3"/>
  <c r="CE98" i="3"/>
  <c r="CD98" i="3"/>
  <c r="CG97" i="3"/>
  <c r="CG99" i="3" s="1"/>
  <c r="CF97" i="3"/>
  <c r="CF99" i="3" s="1"/>
  <c r="CE97" i="3"/>
  <c r="CE99" i="3" s="1"/>
  <c r="CD97" i="3"/>
  <c r="CD99" i="3" s="1"/>
  <c r="CG88" i="3"/>
  <c r="CF88" i="3"/>
  <c r="CE88" i="3"/>
  <c r="CD88" i="3"/>
  <c r="CG87" i="3"/>
  <c r="CG90" i="3" s="1"/>
  <c r="CF87" i="3"/>
  <c r="CF90" i="3" s="1"/>
  <c r="CE87" i="3"/>
  <c r="CE90" i="3" s="1"/>
  <c r="CD87" i="3"/>
  <c r="CD90" i="3" s="1"/>
  <c r="CG77" i="3"/>
  <c r="CF77" i="3"/>
  <c r="CE77" i="3"/>
  <c r="CD77" i="3"/>
  <c r="CG76" i="3"/>
  <c r="CF76" i="3"/>
  <c r="CE76" i="3"/>
  <c r="CD76" i="3"/>
  <c r="CG75" i="3"/>
  <c r="CG79" i="3" s="1"/>
  <c r="CG80" i="3" s="1"/>
  <c r="CG81" i="3" s="1"/>
  <c r="CF75" i="3"/>
  <c r="CF78" i="3" s="1"/>
  <c r="CE75" i="3"/>
  <c r="CE79" i="3" s="1"/>
  <c r="CE80" i="3" s="1"/>
  <c r="CE81" i="3" s="1"/>
  <c r="CD75" i="3"/>
  <c r="CD79" i="3" s="1"/>
  <c r="CD80" i="3" s="1"/>
  <c r="CD81" i="3" s="1"/>
  <c r="CG70" i="3"/>
  <c r="CG72" i="3" s="1"/>
  <c r="CG73" i="3" s="1"/>
  <c r="CG100" i="3" s="1"/>
  <c r="CF70" i="3"/>
  <c r="CF72" i="3" s="1"/>
  <c r="CF73" i="3" s="1"/>
  <c r="CF100" i="3" s="1"/>
  <c r="CE70" i="3"/>
  <c r="CE72" i="3" s="1"/>
  <c r="CE73" i="3" s="1"/>
  <c r="CE100" i="3" s="1"/>
  <c r="CD70" i="3"/>
  <c r="CD72" i="3" s="1"/>
  <c r="CD73" i="3" s="1"/>
  <c r="CD100" i="3" s="1"/>
  <c r="BZ117" i="3"/>
  <c r="BZ118" i="3" s="1"/>
  <c r="BZ114" i="3"/>
  <c r="BZ115" i="3" s="1"/>
  <c r="BZ112" i="3"/>
  <c r="BZ110" i="3"/>
  <c r="CC108" i="3"/>
  <c r="CC109" i="3" s="1"/>
  <c r="CB108" i="3"/>
  <c r="CB109" i="3" s="1"/>
  <c r="CA108" i="3"/>
  <c r="CA109" i="3" s="1"/>
  <c r="BZ108" i="3"/>
  <c r="BZ109" i="3" s="1"/>
  <c r="CC107" i="3"/>
  <c r="CB107" i="3"/>
  <c r="CA107" i="3"/>
  <c r="BZ107" i="3"/>
  <c r="CC104" i="3"/>
  <c r="CB104" i="3"/>
  <c r="CA104" i="3"/>
  <c r="BZ104" i="3"/>
  <c r="CC103" i="3"/>
  <c r="CC105" i="3" s="1"/>
  <c r="CC106" i="3" s="1"/>
  <c r="CB103" i="3"/>
  <c r="CB105" i="3" s="1"/>
  <c r="CB106" i="3" s="1"/>
  <c r="CA103" i="3"/>
  <c r="CA105" i="3" s="1"/>
  <c r="CA106" i="3" s="1"/>
  <c r="BZ103" i="3"/>
  <c r="BZ105" i="3" s="1"/>
  <c r="BZ106" i="3" s="1"/>
  <c r="CC102" i="3"/>
  <c r="CB102" i="3"/>
  <c r="CA102" i="3"/>
  <c r="BZ102" i="3"/>
  <c r="CC98" i="3"/>
  <c r="CB98" i="3"/>
  <c r="CA98" i="3"/>
  <c r="BZ98" i="3"/>
  <c r="CC97" i="3"/>
  <c r="CC99" i="3" s="1"/>
  <c r="CB97" i="3"/>
  <c r="CB99" i="3" s="1"/>
  <c r="CA97" i="3"/>
  <c r="CA99" i="3" s="1"/>
  <c r="BZ97" i="3"/>
  <c r="BZ99" i="3" s="1"/>
  <c r="CC88" i="3"/>
  <c r="CB88" i="3"/>
  <c r="CA88" i="3"/>
  <c r="BZ88" i="3"/>
  <c r="CC87" i="3"/>
  <c r="CC90" i="3" s="1"/>
  <c r="CB87" i="3"/>
  <c r="CA87" i="3"/>
  <c r="CA90" i="3" s="1"/>
  <c r="BZ87" i="3"/>
  <c r="BZ90" i="3" s="1"/>
  <c r="CC77" i="3"/>
  <c r="CB77" i="3"/>
  <c r="CA77" i="3"/>
  <c r="BZ77" i="3"/>
  <c r="CC76" i="3"/>
  <c r="CB76" i="3"/>
  <c r="CA76" i="3"/>
  <c r="BZ76" i="3"/>
  <c r="CC75" i="3"/>
  <c r="CC79" i="3" s="1"/>
  <c r="CC80" i="3" s="1"/>
  <c r="CC81" i="3" s="1"/>
  <c r="CB75" i="3"/>
  <c r="CB79" i="3" s="1"/>
  <c r="CB80" i="3" s="1"/>
  <c r="CB81" i="3" s="1"/>
  <c r="CA75" i="3"/>
  <c r="CA79" i="3" s="1"/>
  <c r="CA80" i="3" s="1"/>
  <c r="CA81" i="3" s="1"/>
  <c r="BZ75" i="3"/>
  <c r="BZ79" i="3" s="1"/>
  <c r="BZ80" i="3" s="1"/>
  <c r="BZ81" i="3" s="1"/>
  <c r="CC70" i="3"/>
  <c r="CC72" i="3" s="1"/>
  <c r="CC73" i="3" s="1"/>
  <c r="CC100" i="3" s="1"/>
  <c r="CB70" i="3"/>
  <c r="CB72" i="3" s="1"/>
  <c r="CB73" i="3" s="1"/>
  <c r="CB100" i="3" s="1"/>
  <c r="CA70" i="3"/>
  <c r="CA72" i="3" s="1"/>
  <c r="CA73" i="3" s="1"/>
  <c r="CA100" i="3" s="1"/>
  <c r="BZ70" i="3"/>
  <c r="BZ72" i="3" s="1"/>
  <c r="BZ73" i="3" s="1"/>
  <c r="BZ100" i="3" s="1"/>
  <c r="BV117" i="3"/>
  <c r="BV114" i="3"/>
  <c r="BV115" i="3" s="1"/>
  <c r="BV112" i="3"/>
  <c r="BV110" i="3"/>
  <c r="BY108" i="3"/>
  <c r="BY109" i="3" s="1"/>
  <c r="BX108" i="3"/>
  <c r="BX109" i="3" s="1"/>
  <c r="BW108" i="3"/>
  <c r="BW109" i="3" s="1"/>
  <c r="BV108" i="3"/>
  <c r="BV109" i="3" s="1"/>
  <c r="BY107" i="3"/>
  <c r="BX107" i="3"/>
  <c r="BW107" i="3"/>
  <c r="BV107" i="3"/>
  <c r="BY104" i="3"/>
  <c r="BX104" i="3"/>
  <c r="BW104" i="3"/>
  <c r="BV104" i="3"/>
  <c r="BY103" i="3"/>
  <c r="BY105" i="3" s="1"/>
  <c r="BY106" i="3" s="1"/>
  <c r="BX103" i="3"/>
  <c r="BX105" i="3" s="1"/>
  <c r="BX106" i="3" s="1"/>
  <c r="BW103" i="3"/>
  <c r="BW105" i="3" s="1"/>
  <c r="BW106" i="3" s="1"/>
  <c r="BV103" i="3"/>
  <c r="BV105" i="3" s="1"/>
  <c r="BV106" i="3" s="1"/>
  <c r="BY102" i="3"/>
  <c r="BX102" i="3"/>
  <c r="BW102" i="3"/>
  <c r="BV102" i="3"/>
  <c r="BY98" i="3"/>
  <c r="BX98" i="3"/>
  <c r="BW98" i="3"/>
  <c r="BV98" i="3"/>
  <c r="BY97" i="3"/>
  <c r="BY99" i="3" s="1"/>
  <c r="BX97" i="3"/>
  <c r="BX99" i="3" s="1"/>
  <c r="BW97" i="3"/>
  <c r="BW99" i="3" s="1"/>
  <c r="BV97" i="3"/>
  <c r="BV99" i="3" s="1"/>
  <c r="BY88" i="3"/>
  <c r="BX88" i="3"/>
  <c r="BW88" i="3"/>
  <c r="BV88" i="3"/>
  <c r="BY87" i="3"/>
  <c r="BY90" i="3" s="1"/>
  <c r="BX87" i="3"/>
  <c r="BX90" i="3" s="1"/>
  <c r="BW87" i="3"/>
  <c r="BW90" i="3" s="1"/>
  <c r="BV87" i="3"/>
  <c r="BV90" i="3" s="1"/>
  <c r="BY77" i="3"/>
  <c r="BX77" i="3"/>
  <c r="BW77" i="3"/>
  <c r="BV77" i="3"/>
  <c r="BY76" i="3"/>
  <c r="BX76" i="3"/>
  <c r="BW76" i="3"/>
  <c r="BV76" i="3"/>
  <c r="BY75" i="3"/>
  <c r="BY79" i="3" s="1"/>
  <c r="BY80" i="3" s="1"/>
  <c r="BY81" i="3" s="1"/>
  <c r="BX75" i="3"/>
  <c r="BX78" i="3" s="1"/>
  <c r="BW75" i="3"/>
  <c r="BW79" i="3" s="1"/>
  <c r="BW80" i="3" s="1"/>
  <c r="BW81" i="3" s="1"/>
  <c r="BV75" i="3"/>
  <c r="BV79" i="3" s="1"/>
  <c r="BV80" i="3" s="1"/>
  <c r="BV81" i="3" s="1"/>
  <c r="BY70" i="3"/>
  <c r="BY72" i="3" s="1"/>
  <c r="BY73" i="3" s="1"/>
  <c r="BY100" i="3" s="1"/>
  <c r="BX70" i="3"/>
  <c r="BX72" i="3" s="1"/>
  <c r="BX73" i="3" s="1"/>
  <c r="BX100" i="3" s="1"/>
  <c r="BW70" i="3"/>
  <c r="BW72" i="3" s="1"/>
  <c r="BW73" i="3" s="1"/>
  <c r="BW100" i="3" s="1"/>
  <c r="BV70" i="3"/>
  <c r="BV72" i="3" s="1"/>
  <c r="BV73" i="3" s="1"/>
  <c r="BV100" i="3" s="1"/>
  <c r="BR117" i="3"/>
  <c r="BR118" i="3" s="1"/>
  <c r="BR114" i="3"/>
  <c r="BR115" i="3" s="1"/>
  <c r="BR112" i="3"/>
  <c r="BR110" i="3"/>
  <c r="BU108" i="3"/>
  <c r="BU109" i="3" s="1"/>
  <c r="BT108" i="3"/>
  <c r="BT109" i="3" s="1"/>
  <c r="BS108" i="3"/>
  <c r="BS109" i="3" s="1"/>
  <c r="BR108" i="3"/>
  <c r="BR109" i="3" s="1"/>
  <c r="BU107" i="3"/>
  <c r="BT107" i="3"/>
  <c r="BS107" i="3"/>
  <c r="BR107" i="3"/>
  <c r="BU104" i="3"/>
  <c r="BT104" i="3"/>
  <c r="BS104" i="3"/>
  <c r="BR104" i="3"/>
  <c r="BU103" i="3"/>
  <c r="BU105" i="3" s="1"/>
  <c r="BU106" i="3" s="1"/>
  <c r="BT103" i="3"/>
  <c r="BT105" i="3" s="1"/>
  <c r="BT106" i="3" s="1"/>
  <c r="BS103" i="3"/>
  <c r="BS105" i="3" s="1"/>
  <c r="BS106" i="3" s="1"/>
  <c r="BR103" i="3"/>
  <c r="BR105" i="3" s="1"/>
  <c r="BR106" i="3" s="1"/>
  <c r="BU102" i="3"/>
  <c r="BT102" i="3"/>
  <c r="BS102" i="3"/>
  <c r="BR102" i="3"/>
  <c r="BU98" i="3"/>
  <c r="BT98" i="3"/>
  <c r="BS98" i="3"/>
  <c r="BR98" i="3"/>
  <c r="BU97" i="3"/>
  <c r="BU99" i="3" s="1"/>
  <c r="BT97" i="3"/>
  <c r="BT99" i="3" s="1"/>
  <c r="BS97" i="3"/>
  <c r="BS99" i="3" s="1"/>
  <c r="BR97" i="3"/>
  <c r="BR99" i="3" s="1"/>
  <c r="BU88" i="3"/>
  <c r="BT88" i="3"/>
  <c r="BS88" i="3"/>
  <c r="BR88" i="3"/>
  <c r="BU87" i="3"/>
  <c r="BU90" i="3" s="1"/>
  <c r="BT87" i="3"/>
  <c r="BS87" i="3"/>
  <c r="BS90" i="3" s="1"/>
  <c r="BR87" i="3"/>
  <c r="BR90" i="3" s="1"/>
  <c r="BU77" i="3"/>
  <c r="BT77" i="3"/>
  <c r="BS77" i="3"/>
  <c r="BR77" i="3"/>
  <c r="BU76" i="3"/>
  <c r="BU83" i="3" s="1"/>
  <c r="BT76" i="3"/>
  <c r="BS76" i="3"/>
  <c r="BR76" i="3"/>
  <c r="BU75" i="3"/>
  <c r="BU78" i="3" s="1"/>
  <c r="BT75" i="3"/>
  <c r="BT79" i="3" s="1"/>
  <c r="BT80" i="3" s="1"/>
  <c r="BT81" i="3" s="1"/>
  <c r="BS75" i="3"/>
  <c r="BS79" i="3" s="1"/>
  <c r="BS80" i="3" s="1"/>
  <c r="BS81" i="3" s="1"/>
  <c r="BR75" i="3"/>
  <c r="BR79" i="3" s="1"/>
  <c r="BR80" i="3" s="1"/>
  <c r="BR81" i="3" s="1"/>
  <c r="BU70" i="3"/>
  <c r="BU72" i="3" s="1"/>
  <c r="BU73" i="3" s="1"/>
  <c r="BU100" i="3" s="1"/>
  <c r="BT70" i="3"/>
  <c r="BT72" i="3" s="1"/>
  <c r="BT73" i="3" s="1"/>
  <c r="BT100" i="3" s="1"/>
  <c r="BS70" i="3"/>
  <c r="BS72" i="3" s="1"/>
  <c r="BS73" i="3" s="1"/>
  <c r="BS100" i="3" s="1"/>
  <c r="BR70" i="3"/>
  <c r="BR72" i="3" s="1"/>
  <c r="BR73" i="3" s="1"/>
  <c r="BR100" i="3" s="1"/>
  <c r="BN117" i="3"/>
  <c r="BN118" i="3" s="1"/>
  <c r="BN114" i="3"/>
  <c r="BN115" i="3" s="1"/>
  <c r="BN112" i="3"/>
  <c r="BN110" i="3"/>
  <c r="BQ108" i="3"/>
  <c r="BQ109" i="3" s="1"/>
  <c r="BP108" i="3"/>
  <c r="BP109" i="3" s="1"/>
  <c r="BO108" i="3"/>
  <c r="BO109" i="3" s="1"/>
  <c r="BN108" i="3"/>
  <c r="BN109" i="3" s="1"/>
  <c r="BQ107" i="3"/>
  <c r="BP107" i="3"/>
  <c r="BO107" i="3"/>
  <c r="BN107" i="3"/>
  <c r="BQ104" i="3"/>
  <c r="BP104" i="3"/>
  <c r="BO104" i="3"/>
  <c r="BN104" i="3"/>
  <c r="BQ103" i="3"/>
  <c r="BQ105" i="3" s="1"/>
  <c r="BQ106" i="3" s="1"/>
  <c r="BP103" i="3"/>
  <c r="BP105" i="3" s="1"/>
  <c r="BP106" i="3" s="1"/>
  <c r="BO103" i="3"/>
  <c r="BO105" i="3" s="1"/>
  <c r="BO106" i="3" s="1"/>
  <c r="BN103" i="3"/>
  <c r="BN105" i="3" s="1"/>
  <c r="BN106" i="3" s="1"/>
  <c r="BQ102" i="3"/>
  <c r="BP102" i="3"/>
  <c r="BO102" i="3"/>
  <c r="BN102" i="3"/>
  <c r="BQ98" i="3"/>
  <c r="BP98" i="3"/>
  <c r="BO98" i="3"/>
  <c r="BN98" i="3"/>
  <c r="BQ97" i="3"/>
  <c r="BQ99" i="3" s="1"/>
  <c r="BP97" i="3"/>
  <c r="BP99" i="3" s="1"/>
  <c r="BO97" i="3"/>
  <c r="BO99" i="3" s="1"/>
  <c r="BN97" i="3"/>
  <c r="BN99" i="3" s="1"/>
  <c r="BQ88" i="3"/>
  <c r="BP88" i="3"/>
  <c r="BO88" i="3"/>
  <c r="BN88" i="3"/>
  <c r="BQ87" i="3"/>
  <c r="BQ90" i="3" s="1"/>
  <c r="BP87" i="3"/>
  <c r="BP90" i="3" s="1"/>
  <c r="BO87" i="3"/>
  <c r="BO90" i="3" s="1"/>
  <c r="BN87" i="3"/>
  <c r="BN90" i="3" s="1"/>
  <c r="BQ77" i="3"/>
  <c r="BP77" i="3"/>
  <c r="BO77" i="3"/>
  <c r="BN77" i="3"/>
  <c r="BQ76" i="3"/>
  <c r="BP76" i="3"/>
  <c r="BO76" i="3"/>
  <c r="BN76" i="3"/>
  <c r="BQ75" i="3"/>
  <c r="BQ79" i="3" s="1"/>
  <c r="BQ80" i="3" s="1"/>
  <c r="BQ81" i="3" s="1"/>
  <c r="BP75" i="3"/>
  <c r="BP79" i="3" s="1"/>
  <c r="BP80" i="3" s="1"/>
  <c r="BP81" i="3" s="1"/>
  <c r="BO75" i="3"/>
  <c r="BO79" i="3" s="1"/>
  <c r="BO80" i="3" s="1"/>
  <c r="BO81" i="3" s="1"/>
  <c r="BN75" i="3"/>
  <c r="BN79" i="3" s="1"/>
  <c r="BN80" i="3" s="1"/>
  <c r="BN81" i="3" s="1"/>
  <c r="BQ70" i="3"/>
  <c r="BQ72" i="3" s="1"/>
  <c r="BQ73" i="3" s="1"/>
  <c r="BQ100" i="3" s="1"/>
  <c r="BP70" i="3"/>
  <c r="BP72" i="3" s="1"/>
  <c r="BP73" i="3" s="1"/>
  <c r="BP100" i="3" s="1"/>
  <c r="BO70" i="3"/>
  <c r="BO72" i="3" s="1"/>
  <c r="BO73" i="3" s="1"/>
  <c r="BO100" i="3" s="1"/>
  <c r="BN70" i="3"/>
  <c r="BN72" i="3" s="1"/>
  <c r="BN73" i="3" s="1"/>
  <c r="BN100" i="3" s="1"/>
  <c r="BJ117" i="3"/>
  <c r="AE31" i="11" s="1"/>
  <c r="BJ114" i="3"/>
  <c r="BJ115" i="3" s="1"/>
  <c r="BJ112" i="3"/>
  <c r="BJ110" i="3"/>
  <c r="BM108" i="3"/>
  <c r="BM109" i="3" s="1"/>
  <c r="BL108" i="3"/>
  <c r="BL109" i="3" s="1"/>
  <c r="BK108" i="3"/>
  <c r="BK109" i="3" s="1"/>
  <c r="BJ108" i="3"/>
  <c r="BJ109" i="3" s="1"/>
  <c r="BM107" i="3"/>
  <c r="BL107" i="3"/>
  <c r="BK107" i="3"/>
  <c r="BJ107" i="3"/>
  <c r="BM104" i="3"/>
  <c r="BL104" i="3"/>
  <c r="BK104" i="3"/>
  <c r="BJ104" i="3"/>
  <c r="BM103" i="3"/>
  <c r="BM105" i="3" s="1"/>
  <c r="BM106" i="3" s="1"/>
  <c r="BL103" i="3"/>
  <c r="BL105" i="3" s="1"/>
  <c r="BL106" i="3" s="1"/>
  <c r="BK103" i="3"/>
  <c r="BK105" i="3" s="1"/>
  <c r="BK106" i="3" s="1"/>
  <c r="BJ103" i="3"/>
  <c r="BJ105" i="3" s="1"/>
  <c r="BJ106" i="3" s="1"/>
  <c r="BM102" i="3"/>
  <c r="BL102" i="3"/>
  <c r="BK102" i="3"/>
  <c r="BJ102" i="3"/>
  <c r="BM98" i="3"/>
  <c r="BL98" i="3"/>
  <c r="BK98" i="3"/>
  <c r="BJ98" i="3"/>
  <c r="BM97" i="3"/>
  <c r="BM99" i="3" s="1"/>
  <c r="BL97" i="3"/>
  <c r="BL99" i="3" s="1"/>
  <c r="BK97" i="3"/>
  <c r="BK99" i="3" s="1"/>
  <c r="BJ97" i="3"/>
  <c r="BJ99" i="3" s="1"/>
  <c r="BM88" i="3"/>
  <c r="BL88" i="3"/>
  <c r="BK88" i="3"/>
  <c r="BJ88" i="3"/>
  <c r="BM87" i="3"/>
  <c r="BM90" i="3" s="1"/>
  <c r="BL87" i="3"/>
  <c r="BL90" i="3" s="1"/>
  <c r="BK87" i="3"/>
  <c r="BK90" i="3" s="1"/>
  <c r="BJ87" i="3"/>
  <c r="BJ90" i="3" s="1"/>
  <c r="BM77" i="3"/>
  <c r="BL77" i="3"/>
  <c r="BK77" i="3"/>
  <c r="BJ77" i="3"/>
  <c r="BM76" i="3"/>
  <c r="BL76" i="3"/>
  <c r="BK76" i="3"/>
  <c r="BJ76" i="3"/>
  <c r="BM75" i="3"/>
  <c r="BM79" i="3" s="1"/>
  <c r="BM80" i="3" s="1"/>
  <c r="BM81" i="3" s="1"/>
  <c r="BL75" i="3"/>
  <c r="BL78" i="3" s="1"/>
  <c r="BK75" i="3"/>
  <c r="BK79" i="3" s="1"/>
  <c r="BK80" i="3" s="1"/>
  <c r="BK81" i="3" s="1"/>
  <c r="BJ75" i="3"/>
  <c r="BJ79" i="3" s="1"/>
  <c r="BJ80" i="3" s="1"/>
  <c r="BJ81" i="3" s="1"/>
  <c r="BM70" i="3"/>
  <c r="BM72" i="3" s="1"/>
  <c r="BM73" i="3" s="1"/>
  <c r="BM100" i="3" s="1"/>
  <c r="BL70" i="3"/>
  <c r="BL72" i="3" s="1"/>
  <c r="BL73" i="3" s="1"/>
  <c r="BL100" i="3" s="1"/>
  <c r="BK70" i="3"/>
  <c r="BK72" i="3" s="1"/>
  <c r="BK73" i="3" s="1"/>
  <c r="BK100" i="3" s="1"/>
  <c r="BJ70" i="3"/>
  <c r="BJ72" i="3" s="1"/>
  <c r="BJ73" i="3" s="1"/>
  <c r="BJ100" i="3" s="1"/>
  <c r="BF117" i="3"/>
  <c r="BF114" i="3"/>
  <c r="BF115" i="3" s="1"/>
  <c r="BF112" i="3"/>
  <c r="BF110" i="3"/>
  <c r="BI108" i="3"/>
  <c r="BI109" i="3" s="1"/>
  <c r="BH108" i="3"/>
  <c r="BH109" i="3" s="1"/>
  <c r="BG108" i="3"/>
  <c r="BG109" i="3" s="1"/>
  <c r="BF108" i="3"/>
  <c r="BF109" i="3" s="1"/>
  <c r="BI107" i="3"/>
  <c r="BH107" i="3"/>
  <c r="BG107" i="3"/>
  <c r="BF107" i="3"/>
  <c r="BI104" i="3"/>
  <c r="BH104" i="3"/>
  <c r="BG104" i="3"/>
  <c r="BF104" i="3"/>
  <c r="BI103" i="3"/>
  <c r="BI105" i="3" s="1"/>
  <c r="BI106" i="3" s="1"/>
  <c r="BH103" i="3"/>
  <c r="BH105" i="3" s="1"/>
  <c r="BH106" i="3" s="1"/>
  <c r="BG103" i="3"/>
  <c r="BG105" i="3" s="1"/>
  <c r="BG106" i="3" s="1"/>
  <c r="BF103" i="3"/>
  <c r="BF105" i="3" s="1"/>
  <c r="BF106" i="3" s="1"/>
  <c r="BI102" i="3"/>
  <c r="BH102" i="3"/>
  <c r="BG102" i="3"/>
  <c r="BF102" i="3"/>
  <c r="BI98" i="3"/>
  <c r="BH98" i="3"/>
  <c r="BG98" i="3"/>
  <c r="BF98" i="3"/>
  <c r="BI97" i="3"/>
  <c r="BI99" i="3" s="1"/>
  <c r="BH97" i="3"/>
  <c r="BH99" i="3" s="1"/>
  <c r="BG97" i="3"/>
  <c r="BG99" i="3" s="1"/>
  <c r="BF97" i="3"/>
  <c r="BF99" i="3" s="1"/>
  <c r="BI88" i="3"/>
  <c r="BH88" i="3"/>
  <c r="BG88" i="3"/>
  <c r="BF88" i="3"/>
  <c r="BI87" i="3"/>
  <c r="BI90" i="3" s="1"/>
  <c r="BH87" i="3"/>
  <c r="BH90" i="3" s="1"/>
  <c r="BG87" i="3"/>
  <c r="BG90" i="3" s="1"/>
  <c r="BF87" i="3"/>
  <c r="BF90" i="3" s="1"/>
  <c r="BI77" i="3"/>
  <c r="BH77" i="3"/>
  <c r="BG77" i="3"/>
  <c r="BF77" i="3"/>
  <c r="BI76" i="3"/>
  <c r="BH76" i="3"/>
  <c r="BH83" i="3" s="1"/>
  <c r="BG76" i="3"/>
  <c r="BF76" i="3"/>
  <c r="BI75" i="3"/>
  <c r="BI79" i="3" s="1"/>
  <c r="BI80" i="3" s="1"/>
  <c r="BI81" i="3" s="1"/>
  <c r="BH75" i="3"/>
  <c r="BH79" i="3" s="1"/>
  <c r="BH80" i="3" s="1"/>
  <c r="BH81" i="3" s="1"/>
  <c r="BG75" i="3"/>
  <c r="BG79" i="3" s="1"/>
  <c r="BG80" i="3" s="1"/>
  <c r="BG81" i="3" s="1"/>
  <c r="BF75" i="3"/>
  <c r="BF79" i="3" s="1"/>
  <c r="BF80" i="3" s="1"/>
  <c r="BF81" i="3" s="1"/>
  <c r="BI70" i="3"/>
  <c r="BI72" i="3" s="1"/>
  <c r="BI73" i="3" s="1"/>
  <c r="BI100" i="3" s="1"/>
  <c r="BH70" i="3"/>
  <c r="BH72" i="3" s="1"/>
  <c r="BH73" i="3" s="1"/>
  <c r="BH100" i="3" s="1"/>
  <c r="BG70" i="3"/>
  <c r="BG72" i="3" s="1"/>
  <c r="BG73" i="3" s="1"/>
  <c r="BG100" i="3" s="1"/>
  <c r="BF70" i="3"/>
  <c r="BF72" i="3" s="1"/>
  <c r="BF73" i="3" s="1"/>
  <c r="BF100" i="3" s="1"/>
  <c r="BB117" i="3"/>
  <c r="BB118" i="3" s="1"/>
  <c r="BB114" i="3"/>
  <c r="BB115" i="3" s="1"/>
  <c r="BB112" i="3"/>
  <c r="BB110" i="3"/>
  <c r="BE108" i="3"/>
  <c r="BE109" i="3" s="1"/>
  <c r="BD108" i="3"/>
  <c r="BD109" i="3" s="1"/>
  <c r="BC108" i="3"/>
  <c r="BC109" i="3" s="1"/>
  <c r="BB108" i="3"/>
  <c r="BB109" i="3" s="1"/>
  <c r="BE107" i="3"/>
  <c r="BD107" i="3"/>
  <c r="BC107" i="3"/>
  <c r="BB107" i="3"/>
  <c r="BE104" i="3"/>
  <c r="BD104" i="3"/>
  <c r="BC104" i="3"/>
  <c r="BB104" i="3"/>
  <c r="BE103" i="3"/>
  <c r="BE105" i="3" s="1"/>
  <c r="BE106" i="3" s="1"/>
  <c r="BD103" i="3"/>
  <c r="BD105" i="3" s="1"/>
  <c r="BD106" i="3" s="1"/>
  <c r="BC103" i="3"/>
  <c r="BC105" i="3" s="1"/>
  <c r="BC106" i="3" s="1"/>
  <c r="BB103" i="3"/>
  <c r="BB105" i="3" s="1"/>
  <c r="BB106" i="3" s="1"/>
  <c r="BE102" i="3"/>
  <c r="BD102" i="3"/>
  <c r="BC102" i="3"/>
  <c r="BB102" i="3"/>
  <c r="BE98" i="3"/>
  <c r="BD98" i="3"/>
  <c r="BC98" i="3"/>
  <c r="BB98" i="3"/>
  <c r="BE97" i="3"/>
  <c r="BE99" i="3" s="1"/>
  <c r="BD97" i="3"/>
  <c r="BD99" i="3" s="1"/>
  <c r="BC97" i="3"/>
  <c r="BC99" i="3" s="1"/>
  <c r="BB97" i="3"/>
  <c r="BB99" i="3" s="1"/>
  <c r="BE88" i="3"/>
  <c r="BD88" i="3"/>
  <c r="BC88" i="3"/>
  <c r="BB88" i="3"/>
  <c r="BE87" i="3"/>
  <c r="BE90" i="3" s="1"/>
  <c r="BD87" i="3"/>
  <c r="BD90" i="3" s="1"/>
  <c r="BC87" i="3"/>
  <c r="BC90" i="3" s="1"/>
  <c r="BB87" i="3"/>
  <c r="BB90" i="3" s="1"/>
  <c r="BE77" i="3"/>
  <c r="BD77" i="3"/>
  <c r="BC77" i="3"/>
  <c r="BB77" i="3"/>
  <c r="BE76" i="3"/>
  <c r="BD76" i="3"/>
  <c r="BC76" i="3"/>
  <c r="BB76" i="3"/>
  <c r="BE75" i="3"/>
  <c r="BE79" i="3" s="1"/>
  <c r="BE80" i="3" s="1"/>
  <c r="BE81" i="3" s="1"/>
  <c r="BD75" i="3"/>
  <c r="BD79" i="3" s="1"/>
  <c r="BD80" i="3" s="1"/>
  <c r="BD81" i="3" s="1"/>
  <c r="BC75" i="3"/>
  <c r="BC79" i="3" s="1"/>
  <c r="BC80" i="3" s="1"/>
  <c r="BC81" i="3" s="1"/>
  <c r="BB75" i="3"/>
  <c r="BB79" i="3" s="1"/>
  <c r="BB80" i="3" s="1"/>
  <c r="BB81" i="3" s="1"/>
  <c r="BE70" i="3"/>
  <c r="BE72" i="3" s="1"/>
  <c r="BE73" i="3" s="1"/>
  <c r="BE100" i="3" s="1"/>
  <c r="BD70" i="3"/>
  <c r="BD72" i="3" s="1"/>
  <c r="BD73" i="3" s="1"/>
  <c r="BD100" i="3" s="1"/>
  <c r="BC70" i="3"/>
  <c r="BC72" i="3" s="1"/>
  <c r="BC73" i="3" s="1"/>
  <c r="BC100" i="3" s="1"/>
  <c r="BB70" i="3"/>
  <c r="BB72" i="3" s="1"/>
  <c r="BB73" i="3" s="1"/>
  <c r="BB100" i="3" s="1"/>
  <c r="AX117" i="3"/>
  <c r="AX118" i="3" s="1"/>
  <c r="AX114" i="3"/>
  <c r="AX115" i="3" s="1"/>
  <c r="AX112" i="3"/>
  <c r="AX110" i="3"/>
  <c r="BA108" i="3"/>
  <c r="BA109" i="3" s="1"/>
  <c r="AZ108" i="3"/>
  <c r="AZ109" i="3" s="1"/>
  <c r="AY108" i="3"/>
  <c r="AY109" i="3" s="1"/>
  <c r="AX108" i="3"/>
  <c r="AX109" i="3" s="1"/>
  <c r="BA107" i="3"/>
  <c r="AZ107" i="3"/>
  <c r="AY107" i="3"/>
  <c r="AX107" i="3"/>
  <c r="BA104" i="3"/>
  <c r="AZ104" i="3"/>
  <c r="AY104" i="3"/>
  <c r="AX104" i="3"/>
  <c r="BA103" i="3"/>
  <c r="BA105" i="3" s="1"/>
  <c r="BA106" i="3" s="1"/>
  <c r="AZ103" i="3"/>
  <c r="AZ105" i="3" s="1"/>
  <c r="AZ106" i="3" s="1"/>
  <c r="AY103" i="3"/>
  <c r="AY105" i="3" s="1"/>
  <c r="AY106" i="3" s="1"/>
  <c r="AX103" i="3"/>
  <c r="AX105" i="3" s="1"/>
  <c r="AX106" i="3" s="1"/>
  <c r="BA102" i="3"/>
  <c r="AZ102" i="3"/>
  <c r="AY102" i="3"/>
  <c r="AX102" i="3"/>
  <c r="BA98" i="3"/>
  <c r="AZ98" i="3"/>
  <c r="AY98" i="3"/>
  <c r="AX98" i="3"/>
  <c r="BA97" i="3"/>
  <c r="BA99" i="3" s="1"/>
  <c r="AZ97" i="3"/>
  <c r="AZ99" i="3" s="1"/>
  <c r="AY97" i="3"/>
  <c r="AY99" i="3" s="1"/>
  <c r="AX97" i="3"/>
  <c r="AX99" i="3" s="1"/>
  <c r="BA88" i="3"/>
  <c r="AZ88" i="3"/>
  <c r="AY88" i="3"/>
  <c r="AX88" i="3"/>
  <c r="BA87" i="3"/>
  <c r="BA90" i="3" s="1"/>
  <c r="AZ87" i="3"/>
  <c r="AY87" i="3"/>
  <c r="AY90" i="3" s="1"/>
  <c r="AX87" i="3"/>
  <c r="AX90" i="3" s="1"/>
  <c r="BA77" i="3"/>
  <c r="AZ77" i="3"/>
  <c r="AY77" i="3"/>
  <c r="AX77" i="3"/>
  <c r="BA76" i="3"/>
  <c r="AZ76" i="3"/>
  <c r="AY76" i="3"/>
  <c r="AX76" i="3"/>
  <c r="BA75" i="3"/>
  <c r="BA79" i="3" s="1"/>
  <c r="BA80" i="3" s="1"/>
  <c r="BA81" i="3" s="1"/>
  <c r="AZ75" i="3"/>
  <c r="AZ79" i="3" s="1"/>
  <c r="AZ80" i="3" s="1"/>
  <c r="AZ81" i="3" s="1"/>
  <c r="AY75" i="3"/>
  <c r="AY79" i="3" s="1"/>
  <c r="AY80" i="3" s="1"/>
  <c r="AY81" i="3" s="1"/>
  <c r="AX75" i="3"/>
  <c r="AX79" i="3" s="1"/>
  <c r="AX80" i="3" s="1"/>
  <c r="AX81" i="3" s="1"/>
  <c r="BA70" i="3"/>
  <c r="BA72" i="3" s="1"/>
  <c r="BA73" i="3" s="1"/>
  <c r="BA100" i="3" s="1"/>
  <c r="AZ70" i="3"/>
  <c r="AZ72" i="3" s="1"/>
  <c r="AZ73" i="3" s="1"/>
  <c r="AZ100" i="3" s="1"/>
  <c r="AY70" i="3"/>
  <c r="AY72" i="3" s="1"/>
  <c r="AY73" i="3" s="1"/>
  <c r="AY100" i="3" s="1"/>
  <c r="AX70" i="3"/>
  <c r="AX72" i="3" s="1"/>
  <c r="AX73" i="3" s="1"/>
  <c r="AX100" i="3" s="1"/>
  <c r="AT118" i="3"/>
  <c r="AT117" i="3"/>
  <c r="W31" i="11" s="1"/>
  <c r="AT114" i="3"/>
  <c r="AT115" i="3" s="1"/>
  <c r="AT112" i="3"/>
  <c r="AT110" i="3"/>
  <c r="AW108" i="3"/>
  <c r="AW109" i="3" s="1"/>
  <c r="AV108" i="3"/>
  <c r="AV109" i="3" s="1"/>
  <c r="AU108" i="3"/>
  <c r="AU109" i="3" s="1"/>
  <c r="AT108" i="3"/>
  <c r="AT109" i="3" s="1"/>
  <c r="AW107" i="3"/>
  <c r="AV107" i="3"/>
  <c r="AU107" i="3"/>
  <c r="AT107" i="3"/>
  <c r="AW104" i="3"/>
  <c r="AV104" i="3"/>
  <c r="AU104" i="3"/>
  <c r="AT104" i="3"/>
  <c r="AW103" i="3"/>
  <c r="AW105" i="3" s="1"/>
  <c r="AW106" i="3" s="1"/>
  <c r="AV103" i="3"/>
  <c r="AV105" i="3" s="1"/>
  <c r="AV106" i="3" s="1"/>
  <c r="AU103" i="3"/>
  <c r="AU105" i="3" s="1"/>
  <c r="AU106" i="3" s="1"/>
  <c r="AT103" i="3"/>
  <c r="AT105" i="3" s="1"/>
  <c r="AT106" i="3" s="1"/>
  <c r="AW102" i="3"/>
  <c r="AV102" i="3"/>
  <c r="AU102" i="3"/>
  <c r="AT102" i="3"/>
  <c r="AW98" i="3"/>
  <c r="AV98" i="3"/>
  <c r="AU98" i="3"/>
  <c r="AT98" i="3"/>
  <c r="AW97" i="3"/>
  <c r="AW99" i="3" s="1"/>
  <c r="AV97" i="3"/>
  <c r="AV99" i="3" s="1"/>
  <c r="AU97" i="3"/>
  <c r="AU99" i="3" s="1"/>
  <c r="AT97" i="3"/>
  <c r="AT99" i="3" s="1"/>
  <c r="AW88" i="3"/>
  <c r="AV88" i="3"/>
  <c r="AU88" i="3"/>
  <c r="AT88" i="3"/>
  <c r="AW87" i="3"/>
  <c r="AW90" i="3" s="1"/>
  <c r="AV87" i="3"/>
  <c r="AU87" i="3"/>
  <c r="AU90" i="3" s="1"/>
  <c r="AT87" i="3"/>
  <c r="AT90" i="3" s="1"/>
  <c r="AW77" i="3"/>
  <c r="AV77" i="3"/>
  <c r="AU77" i="3"/>
  <c r="AT77" i="3"/>
  <c r="AW76" i="3"/>
  <c r="AV76" i="3"/>
  <c r="AU76" i="3"/>
  <c r="AT76" i="3"/>
  <c r="AW75" i="3"/>
  <c r="AW79" i="3" s="1"/>
  <c r="AW80" i="3" s="1"/>
  <c r="AW81" i="3" s="1"/>
  <c r="AV75" i="3"/>
  <c r="AV78" i="3" s="1"/>
  <c r="AU75" i="3"/>
  <c r="AU79" i="3" s="1"/>
  <c r="AU80" i="3" s="1"/>
  <c r="AU81" i="3" s="1"/>
  <c r="AT75" i="3"/>
  <c r="AT79" i="3" s="1"/>
  <c r="AT80" i="3" s="1"/>
  <c r="AT81" i="3" s="1"/>
  <c r="AW70" i="3"/>
  <c r="AW72" i="3" s="1"/>
  <c r="AW73" i="3" s="1"/>
  <c r="AW100" i="3" s="1"/>
  <c r="AV70" i="3"/>
  <c r="AV72" i="3" s="1"/>
  <c r="AV73" i="3" s="1"/>
  <c r="AV100" i="3" s="1"/>
  <c r="AU70" i="3"/>
  <c r="AU72" i="3" s="1"/>
  <c r="AU73" i="3" s="1"/>
  <c r="AU100" i="3" s="1"/>
  <c r="AT70" i="3"/>
  <c r="AT72" i="3" s="1"/>
  <c r="AT73" i="3" s="1"/>
  <c r="AT100" i="3" s="1"/>
  <c r="AP117" i="3"/>
  <c r="AP114" i="3"/>
  <c r="AP115" i="3" s="1"/>
  <c r="AP112" i="3"/>
  <c r="AP110" i="3"/>
  <c r="AS108" i="3"/>
  <c r="AS109" i="3" s="1"/>
  <c r="AR108" i="3"/>
  <c r="AR109" i="3" s="1"/>
  <c r="AQ108" i="3"/>
  <c r="AQ109" i="3" s="1"/>
  <c r="AP108" i="3"/>
  <c r="AP109" i="3" s="1"/>
  <c r="AS107" i="3"/>
  <c r="AR107" i="3"/>
  <c r="AQ107" i="3"/>
  <c r="AP107" i="3"/>
  <c r="AS104" i="3"/>
  <c r="AR104" i="3"/>
  <c r="AQ104" i="3"/>
  <c r="AP104" i="3"/>
  <c r="AS103" i="3"/>
  <c r="AS105" i="3" s="1"/>
  <c r="AS106" i="3" s="1"/>
  <c r="AR103" i="3"/>
  <c r="AR105" i="3" s="1"/>
  <c r="AR106" i="3" s="1"/>
  <c r="AQ103" i="3"/>
  <c r="AQ105" i="3" s="1"/>
  <c r="AQ106" i="3" s="1"/>
  <c r="AP103" i="3"/>
  <c r="AP105" i="3" s="1"/>
  <c r="AP106" i="3" s="1"/>
  <c r="AS102" i="3"/>
  <c r="AR102" i="3"/>
  <c r="AQ102" i="3"/>
  <c r="AP102" i="3"/>
  <c r="AS98" i="3"/>
  <c r="AR98" i="3"/>
  <c r="AQ98" i="3"/>
  <c r="AP98" i="3"/>
  <c r="AS97" i="3"/>
  <c r="AS99" i="3" s="1"/>
  <c r="AR97" i="3"/>
  <c r="AR99" i="3" s="1"/>
  <c r="AQ97" i="3"/>
  <c r="AQ99" i="3" s="1"/>
  <c r="AP97" i="3"/>
  <c r="AP99" i="3" s="1"/>
  <c r="AS88" i="3"/>
  <c r="AR88" i="3"/>
  <c r="AQ88" i="3"/>
  <c r="AP88" i="3"/>
  <c r="AS87" i="3"/>
  <c r="AS90" i="3" s="1"/>
  <c r="AR87" i="3"/>
  <c r="AR90" i="3" s="1"/>
  <c r="AQ87" i="3"/>
  <c r="AQ90" i="3" s="1"/>
  <c r="AP87" i="3"/>
  <c r="AS77" i="3"/>
  <c r="AR77" i="3"/>
  <c r="AQ77" i="3"/>
  <c r="AP77" i="3"/>
  <c r="AS76" i="3"/>
  <c r="AR76" i="3"/>
  <c r="AR83" i="3" s="1"/>
  <c r="AQ76" i="3"/>
  <c r="AP76" i="3"/>
  <c r="AS75" i="3"/>
  <c r="AS79" i="3" s="1"/>
  <c r="AS80" i="3" s="1"/>
  <c r="AS81" i="3" s="1"/>
  <c r="AR75" i="3"/>
  <c r="AR78" i="3" s="1"/>
  <c r="AQ75" i="3"/>
  <c r="AQ79" i="3" s="1"/>
  <c r="AQ80" i="3" s="1"/>
  <c r="AQ81" i="3" s="1"/>
  <c r="AP75" i="3"/>
  <c r="AP79" i="3" s="1"/>
  <c r="AP80" i="3" s="1"/>
  <c r="AP81" i="3" s="1"/>
  <c r="AS70" i="3"/>
  <c r="AS72" i="3" s="1"/>
  <c r="AS73" i="3" s="1"/>
  <c r="AS100" i="3" s="1"/>
  <c r="AR29" i="11" s="1"/>
  <c r="AR70" i="3"/>
  <c r="AR72" i="3" s="1"/>
  <c r="AR73" i="3" s="1"/>
  <c r="AR100" i="3" s="1"/>
  <c r="AQ29" i="11" s="1"/>
  <c r="AQ70" i="3"/>
  <c r="AQ72" i="3" s="1"/>
  <c r="AQ73" i="3" s="1"/>
  <c r="AQ100" i="3" s="1"/>
  <c r="AP29" i="11" s="1"/>
  <c r="AP70" i="3"/>
  <c r="AP72" i="3" s="1"/>
  <c r="AP73" i="3" s="1"/>
  <c r="AP100" i="3" s="1"/>
  <c r="AO29" i="11" s="1"/>
  <c r="AL117" i="3"/>
  <c r="AL118" i="3" s="1"/>
  <c r="AL114" i="3"/>
  <c r="AL115" i="3" s="1"/>
  <c r="AL112" i="3"/>
  <c r="AL110" i="3"/>
  <c r="AO108" i="3"/>
  <c r="AO109" i="3" s="1"/>
  <c r="AN108" i="3"/>
  <c r="AN109" i="3" s="1"/>
  <c r="AM108" i="3"/>
  <c r="AM109" i="3" s="1"/>
  <c r="AL108" i="3"/>
  <c r="AL109" i="3" s="1"/>
  <c r="AO107" i="3"/>
  <c r="AN107" i="3"/>
  <c r="AM107" i="3"/>
  <c r="AL107" i="3"/>
  <c r="AO104" i="3"/>
  <c r="AN104" i="3"/>
  <c r="AM104" i="3"/>
  <c r="AL104" i="3"/>
  <c r="AO103" i="3"/>
  <c r="AO105" i="3" s="1"/>
  <c r="AO106" i="3" s="1"/>
  <c r="AN103" i="3"/>
  <c r="AN105" i="3" s="1"/>
  <c r="AN106" i="3" s="1"/>
  <c r="AM103" i="3"/>
  <c r="AM105" i="3" s="1"/>
  <c r="AM106" i="3" s="1"/>
  <c r="AL103" i="3"/>
  <c r="AL105" i="3" s="1"/>
  <c r="AL106" i="3" s="1"/>
  <c r="AO102" i="3"/>
  <c r="AN102" i="3"/>
  <c r="AM102" i="3"/>
  <c r="AL102" i="3"/>
  <c r="AO98" i="3"/>
  <c r="AN98" i="3"/>
  <c r="AM98" i="3"/>
  <c r="AL98" i="3"/>
  <c r="AO97" i="3"/>
  <c r="AO99" i="3" s="1"/>
  <c r="AN97" i="3"/>
  <c r="AN99" i="3" s="1"/>
  <c r="AM97" i="3"/>
  <c r="AM99" i="3" s="1"/>
  <c r="AL97" i="3"/>
  <c r="AL99" i="3" s="1"/>
  <c r="AO88" i="3"/>
  <c r="AN88" i="3"/>
  <c r="AM88" i="3"/>
  <c r="AL88" i="3"/>
  <c r="AO87" i="3"/>
  <c r="AO90" i="3" s="1"/>
  <c r="AN87" i="3"/>
  <c r="AN90" i="3" s="1"/>
  <c r="AM87" i="3"/>
  <c r="AM90" i="3" s="1"/>
  <c r="AL87" i="3"/>
  <c r="AL90" i="3" s="1"/>
  <c r="AO77" i="3"/>
  <c r="AN77" i="3"/>
  <c r="AM77" i="3"/>
  <c r="AL77" i="3"/>
  <c r="AO76" i="3"/>
  <c r="AN76" i="3"/>
  <c r="AM76" i="3"/>
  <c r="AL76" i="3"/>
  <c r="AO75" i="3"/>
  <c r="AO79" i="3" s="1"/>
  <c r="AO80" i="3" s="1"/>
  <c r="AO81" i="3" s="1"/>
  <c r="AN75" i="3"/>
  <c r="AN78" i="3" s="1"/>
  <c r="AM75" i="3"/>
  <c r="AM79" i="3" s="1"/>
  <c r="AM80" i="3" s="1"/>
  <c r="AM81" i="3" s="1"/>
  <c r="AL75" i="3"/>
  <c r="AL79" i="3" s="1"/>
  <c r="AL80" i="3" s="1"/>
  <c r="AL81" i="3" s="1"/>
  <c r="AO70" i="3"/>
  <c r="AO72" i="3" s="1"/>
  <c r="AO73" i="3" s="1"/>
  <c r="AO100" i="3" s="1"/>
  <c r="AN29" i="11" s="1"/>
  <c r="AN70" i="3"/>
  <c r="AN72" i="3" s="1"/>
  <c r="AN73" i="3" s="1"/>
  <c r="AN100" i="3" s="1"/>
  <c r="AM29" i="11" s="1"/>
  <c r="AM70" i="3"/>
  <c r="AM72" i="3" s="1"/>
  <c r="AM73" i="3" s="1"/>
  <c r="AM100" i="3" s="1"/>
  <c r="AL29" i="11" s="1"/>
  <c r="AL70" i="3"/>
  <c r="AL72" i="3" s="1"/>
  <c r="AL73" i="3" s="1"/>
  <c r="AL100" i="3" s="1"/>
  <c r="AK29" i="11" s="1"/>
  <c r="AH117" i="3"/>
  <c r="AH118" i="3" s="1"/>
  <c r="AH114" i="3"/>
  <c r="AH115" i="3" s="1"/>
  <c r="AH112" i="3"/>
  <c r="AH110" i="3"/>
  <c r="AK108" i="3"/>
  <c r="AK109" i="3" s="1"/>
  <c r="AJ108" i="3"/>
  <c r="AJ109" i="3" s="1"/>
  <c r="AI108" i="3"/>
  <c r="AI109" i="3" s="1"/>
  <c r="AH108" i="3"/>
  <c r="AH109" i="3" s="1"/>
  <c r="AK107" i="3"/>
  <c r="AJ107" i="3"/>
  <c r="AI107" i="3"/>
  <c r="AH107" i="3"/>
  <c r="AK104" i="3"/>
  <c r="AJ104" i="3"/>
  <c r="AI104" i="3"/>
  <c r="AH104" i="3"/>
  <c r="AK103" i="3"/>
  <c r="AK105" i="3" s="1"/>
  <c r="AK106" i="3" s="1"/>
  <c r="AJ103" i="3"/>
  <c r="AJ105" i="3" s="1"/>
  <c r="AJ106" i="3" s="1"/>
  <c r="AI103" i="3"/>
  <c r="AI105" i="3" s="1"/>
  <c r="AI106" i="3" s="1"/>
  <c r="AH103" i="3"/>
  <c r="AH105" i="3" s="1"/>
  <c r="AH106" i="3" s="1"/>
  <c r="AK102" i="3"/>
  <c r="AJ102" i="3"/>
  <c r="AI102" i="3"/>
  <c r="AH102" i="3"/>
  <c r="AK98" i="3"/>
  <c r="AJ98" i="3"/>
  <c r="AI98" i="3"/>
  <c r="AH98" i="3"/>
  <c r="AK97" i="3"/>
  <c r="AK99" i="3" s="1"/>
  <c r="AJ97" i="3"/>
  <c r="AJ99" i="3" s="1"/>
  <c r="AI97" i="3"/>
  <c r="AI99" i="3" s="1"/>
  <c r="AH97" i="3"/>
  <c r="AH99" i="3" s="1"/>
  <c r="AK88" i="3"/>
  <c r="AJ88" i="3"/>
  <c r="AI88" i="3"/>
  <c r="AH88" i="3"/>
  <c r="AK87" i="3"/>
  <c r="AK90" i="3" s="1"/>
  <c r="AJ87" i="3"/>
  <c r="AI87" i="3"/>
  <c r="AI90" i="3" s="1"/>
  <c r="AH87" i="3"/>
  <c r="AH90" i="3" s="1"/>
  <c r="AK77" i="3"/>
  <c r="AJ77" i="3"/>
  <c r="AI77" i="3"/>
  <c r="AH77" i="3"/>
  <c r="AK76" i="3"/>
  <c r="AJ76" i="3"/>
  <c r="AI76" i="3"/>
  <c r="AH76" i="3"/>
  <c r="AK75" i="3"/>
  <c r="AK79" i="3" s="1"/>
  <c r="AK80" i="3" s="1"/>
  <c r="AK81" i="3" s="1"/>
  <c r="AJ75" i="3"/>
  <c r="AJ79" i="3" s="1"/>
  <c r="AJ80" i="3" s="1"/>
  <c r="AJ81" i="3" s="1"/>
  <c r="AI75" i="3"/>
  <c r="AI79" i="3" s="1"/>
  <c r="AI80" i="3" s="1"/>
  <c r="AI81" i="3" s="1"/>
  <c r="AH75" i="3"/>
  <c r="AH79" i="3" s="1"/>
  <c r="AH80" i="3" s="1"/>
  <c r="AH81" i="3" s="1"/>
  <c r="AK70" i="3"/>
  <c r="AK72" i="3" s="1"/>
  <c r="AK73" i="3" s="1"/>
  <c r="AK100" i="3" s="1"/>
  <c r="AJ29" i="11" s="1"/>
  <c r="AJ70" i="3"/>
  <c r="AJ72" i="3" s="1"/>
  <c r="AJ73" i="3" s="1"/>
  <c r="AJ100" i="3" s="1"/>
  <c r="AI29" i="11" s="1"/>
  <c r="AI70" i="3"/>
  <c r="AI72" i="3" s="1"/>
  <c r="AI73" i="3" s="1"/>
  <c r="AI100" i="3" s="1"/>
  <c r="AH29" i="11" s="1"/>
  <c r="AH70" i="3"/>
  <c r="AH72" i="3" s="1"/>
  <c r="AH73" i="3" s="1"/>
  <c r="AH100" i="3" s="1"/>
  <c r="AG29" i="11" s="1"/>
  <c r="AD117" i="3"/>
  <c r="AD118" i="3" s="1"/>
  <c r="AD114" i="3"/>
  <c r="AD115" i="3" s="1"/>
  <c r="AD112" i="3"/>
  <c r="AD110" i="3"/>
  <c r="AG108" i="3"/>
  <c r="AG109" i="3" s="1"/>
  <c r="AF108" i="3"/>
  <c r="AF109" i="3" s="1"/>
  <c r="AE108" i="3"/>
  <c r="AE109" i="3" s="1"/>
  <c r="AD108" i="3"/>
  <c r="AD109" i="3" s="1"/>
  <c r="AG107" i="3"/>
  <c r="AF107" i="3"/>
  <c r="AE107" i="3"/>
  <c r="AD107" i="3"/>
  <c r="AG104" i="3"/>
  <c r="AF104" i="3"/>
  <c r="AE104" i="3"/>
  <c r="AD104" i="3"/>
  <c r="AG103" i="3"/>
  <c r="AG105" i="3" s="1"/>
  <c r="AG106" i="3" s="1"/>
  <c r="AF103" i="3"/>
  <c r="AF105" i="3" s="1"/>
  <c r="AF106" i="3" s="1"/>
  <c r="AE103" i="3"/>
  <c r="AE105" i="3" s="1"/>
  <c r="AE106" i="3" s="1"/>
  <c r="AD103" i="3"/>
  <c r="AD105" i="3" s="1"/>
  <c r="AD106" i="3" s="1"/>
  <c r="AG102" i="3"/>
  <c r="AF102" i="3"/>
  <c r="AE102" i="3"/>
  <c r="AD102" i="3"/>
  <c r="AG98" i="3"/>
  <c r="AF98" i="3"/>
  <c r="AE98" i="3"/>
  <c r="AD98" i="3"/>
  <c r="AG97" i="3"/>
  <c r="AG99" i="3" s="1"/>
  <c r="AF97" i="3"/>
  <c r="AF99" i="3" s="1"/>
  <c r="AE97" i="3"/>
  <c r="AE99" i="3" s="1"/>
  <c r="AD97" i="3"/>
  <c r="AD99" i="3" s="1"/>
  <c r="AG88" i="3"/>
  <c r="AF88" i="3"/>
  <c r="AE88" i="3"/>
  <c r="AD88" i="3"/>
  <c r="AG87" i="3"/>
  <c r="AG90" i="3" s="1"/>
  <c r="AF87" i="3"/>
  <c r="AE87" i="3"/>
  <c r="AE90" i="3" s="1"/>
  <c r="AD87" i="3"/>
  <c r="AD90" i="3" s="1"/>
  <c r="AG77" i="3"/>
  <c r="AF77" i="3"/>
  <c r="AE77" i="3"/>
  <c r="AD77" i="3"/>
  <c r="AG76" i="3"/>
  <c r="AF76" i="3"/>
  <c r="AE76" i="3"/>
  <c r="AD76" i="3"/>
  <c r="AG75" i="3"/>
  <c r="AG79" i="3" s="1"/>
  <c r="AG80" i="3" s="1"/>
  <c r="AG81" i="3" s="1"/>
  <c r="AF75" i="3"/>
  <c r="AF78" i="3" s="1"/>
  <c r="AE75" i="3"/>
  <c r="AE79" i="3" s="1"/>
  <c r="AE80" i="3" s="1"/>
  <c r="AE81" i="3" s="1"/>
  <c r="AD75" i="3"/>
  <c r="AD79" i="3" s="1"/>
  <c r="AD80" i="3" s="1"/>
  <c r="AD81" i="3" s="1"/>
  <c r="AG70" i="3"/>
  <c r="AG72" i="3" s="1"/>
  <c r="AG73" i="3" s="1"/>
  <c r="AG100" i="3" s="1"/>
  <c r="AF29" i="11" s="1"/>
  <c r="AF70" i="3"/>
  <c r="AF72" i="3" s="1"/>
  <c r="AF73" i="3" s="1"/>
  <c r="AF100" i="3" s="1"/>
  <c r="AE29" i="11" s="1"/>
  <c r="AE70" i="3"/>
  <c r="AE72" i="3" s="1"/>
  <c r="AE73" i="3" s="1"/>
  <c r="AE100" i="3" s="1"/>
  <c r="AD29" i="11" s="1"/>
  <c r="AD70" i="3"/>
  <c r="AD72" i="3" s="1"/>
  <c r="AD73" i="3" s="1"/>
  <c r="AD100" i="3" s="1"/>
  <c r="AC29" i="11" s="1"/>
  <c r="Z117" i="3"/>
  <c r="Z114" i="3"/>
  <c r="Z115" i="3" s="1"/>
  <c r="Z112" i="3"/>
  <c r="Z110" i="3"/>
  <c r="AC108" i="3"/>
  <c r="AC109" i="3" s="1"/>
  <c r="AB108" i="3"/>
  <c r="AB109" i="3" s="1"/>
  <c r="AA108" i="3"/>
  <c r="AA109" i="3" s="1"/>
  <c r="Z108" i="3"/>
  <c r="Z109" i="3" s="1"/>
  <c r="AC107" i="3"/>
  <c r="AB107" i="3"/>
  <c r="AA107" i="3"/>
  <c r="Z107" i="3"/>
  <c r="AC104" i="3"/>
  <c r="AB104" i="3"/>
  <c r="AA104" i="3"/>
  <c r="Z104" i="3"/>
  <c r="AC103" i="3"/>
  <c r="AC105" i="3" s="1"/>
  <c r="AC106" i="3" s="1"/>
  <c r="AB103" i="3"/>
  <c r="AB105" i="3" s="1"/>
  <c r="AB106" i="3" s="1"/>
  <c r="AA103" i="3"/>
  <c r="AA105" i="3" s="1"/>
  <c r="AA106" i="3" s="1"/>
  <c r="Z103" i="3"/>
  <c r="Z105" i="3" s="1"/>
  <c r="Z106" i="3" s="1"/>
  <c r="AC102" i="3"/>
  <c r="AB102" i="3"/>
  <c r="AA102" i="3"/>
  <c r="Z102" i="3"/>
  <c r="AC98" i="3"/>
  <c r="AB98" i="3"/>
  <c r="AA98" i="3"/>
  <c r="Z98" i="3"/>
  <c r="AC97" i="3"/>
  <c r="AC99" i="3" s="1"/>
  <c r="AB97" i="3"/>
  <c r="AB99" i="3" s="1"/>
  <c r="AA97" i="3"/>
  <c r="AA99" i="3" s="1"/>
  <c r="Z97" i="3"/>
  <c r="Z99" i="3" s="1"/>
  <c r="AC88" i="3"/>
  <c r="AB88" i="3"/>
  <c r="AA88" i="3"/>
  <c r="Z88" i="3"/>
  <c r="AC87" i="3"/>
  <c r="AC90" i="3" s="1"/>
  <c r="AB87" i="3"/>
  <c r="AB90" i="3" s="1"/>
  <c r="AA87" i="3"/>
  <c r="AA90" i="3" s="1"/>
  <c r="Z87" i="3"/>
  <c r="Z90" i="3" s="1"/>
  <c r="AC77" i="3"/>
  <c r="AB77" i="3"/>
  <c r="AA77" i="3"/>
  <c r="Z77" i="3"/>
  <c r="AC76" i="3"/>
  <c r="AB76" i="3"/>
  <c r="AB83" i="3" s="1"/>
  <c r="AA76" i="3"/>
  <c r="Z76" i="3"/>
  <c r="AC75" i="3"/>
  <c r="AC79" i="3" s="1"/>
  <c r="AC80" i="3" s="1"/>
  <c r="AC81" i="3" s="1"/>
  <c r="AB75" i="3"/>
  <c r="AB79" i="3" s="1"/>
  <c r="AB80" i="3" s="1"/>
  <c r="AB81" i="3" s="1"/>
  <c r="AA75" i="3"/>
  <c r="AA79" i="3" s="1"/>
  <c r="AA80" i="3" s="1"/>
  <c r="AA81" i="3" s="1"/>
  <c r="Z75" i="3"/>
  <c r="Z79" i="3" s="1"/>
  <c r="Z80" i="3" s="1"/>
  <c r="Z81" i="3" s="1"/>
  <c r="AC70" i="3"/>
  <c r="AC72" i="3" s="1"/>
  <c r="AC73" i="3" s="1"/>
  <c r="AB70" i="3"/>
  <c r="AB72" i="3" s="1"/>
  <c r="AB73" i="3" s="1"/>
  <c r="AB100" i="3" s="1"/>
  <c r="AA29" i="11" s="1"/>
  <c r="AA70" i="3"/>
  <c r="AA72" i="3" s="1"/>
  <c r="AA73" i="3" s="1"/>
  <c r="AA100" i="3" s="1"/>
  <c r="Z29" i="11" s="1"/>
  <c r="Z70" i="3"/>
  <c r="Z72" i="3" s="1"/>
  <c r="Z73" i="3" s="1"/>
  <c r="Z100" i="3" s="1"/>
  <c r="Y29" i="11" s="1"/>
  <c r="V117" i="3"/>
  <c r="V118" i="3" s="1"/>
  <c r="V114" i="3"/>
  <c r="V115" i="3" s="1"/>
  <c r="V112" i="3"/>
  <c r="V110" i="3"/>
  <c r="Y108" i="3"/>
  <c r="Y109" i="3" s="1"/>
  <c r="X108" i="3"/>
  <c r="X109" i="3" s="1"/>
  <c r="W108" i="3"/>
  <c r="W109" i="3" s="1"/>
  <c r="V108" i="3"/>
  <c r="V109" i="3" s="1"/>
  <c r="Y107" i="3"/>
  <c r="X107" i="3"/>
  <c r="W107" i="3"/>
  <c r="V107" i="3"/>
  <c r="Y104" i="3"/>
  <c r="X104" i="3"/>
  <c r="W104" i="3"/>
  <c r="V104" i="3"/>
  <c r="Y103" i="3"/>
  <c r="Y105" i="3" s="1"/>
  <c r="Y106" i="3" s="1"/>
  <c r="X103" i="3"/>
  <c r="X105" i="3" s="1"/>
  <c r="X106" i="3" s="1"/>
  <c r="W103" i="3"/>
  <c r="W105" i="3" s="1"/>
  <c r="W106" i="3" s="1"/>
  <c r="V103" i="3"/>
  <c r="V105" i="3" s="1"/>
  <c r="V106" i="3" s="1"/>
  <c r="Y102" i="3"/>
  <c r="X102" i="3"/>
  <c r="W102" i="3"/>
  <c r="V102" i="3"/>
  <c r="Y98" i="3"/>
  <c r="X98" i="3"/>
  <c r="W98" i="3"/>
  <c r="V98" i="3"/>
  <c r="Y97" i="3"/>
  <c r="Y99" i="3" s="1"/>
  <c r="X97" i="3"/>
  <c r="X99" i="3" s="1"/>
  <c r="W97" i="3"/>
  <c r="W99" i="3" s="1"/>
  <c r="V97" i="3"/>
  <c r="V99" i="3" s="1"/>
  <c r="Y88" i="3"/>
  <c r="X88" i="3"/>
  <c r="W88" i="3"/>
  <c r="V88" i="3"/>
  <c r="Y87" i="3"/>
  <c r="Y90" i="3" s="1"/>
  <c r="X87" i="3"/>
  <c r="X90" i="3" s="1"/>
  <c r="W87" i="3"/>
  <c r="V87" i="3"/>
  <c r="V90" i="3" s="1"/>
  <c r="Y77" i="3"/>
  <c r="X77" i="3"/>
  <c r="W77" i="3"/>
  <c r="V77" i="3"/>
  <c r="Y76" i="3"/>
  <c r="X76" i="3"/>
  <c r="X83" i="3" s="1"/>
  <c r="W76" i="3"/>
  <c r="V76" i="3"/>
  <c r="Y75" i="3"/>
  <c r="Y79" i="3" s="1"/>
  <c r="Y80" i="3" s="1"/>
  <c r="Y81" i="3" s="1"/>
  <c r="X75" i="3"/>
  <c r="X78" i="3" s="1"/>
  <c r="W75" i="3"/>
  <c r="W78" i="3" s="1"/>
  <c r="V75" i="3"/>
  <c r="Y70" i="3"/>
  <c r="Y72" i="3" s="1"/>
  <c r="Y73" i="3" s="1"/>
  <c r="Y100" i="3" s="1"/>
  <c r="X29" i="11" s="1"/>
  <c r="X70" i="3"/>
  <c r="X72" i="3" s="1"/>
  <c r="X73" i="3" s="1"/>
  <c r="X100" i="3" s="1"/>
  <c r="W29" i="11" s="1"/>
  <c r="W70" i="3"/>
  <c r="W72" i="3" s="1"/>
  <c r="W73" i="3" s="1"/>
  <c r="W100" i="3" s="1"/>
  <c r="V29" i="11" s="1"/>
  <c r="V70" i="3"/>
  <c r="V72" i="3" s="1"/>
  <c r="V73" i="3" s="1"/>
  <c r="V100" i="3" s="1"/>
  <c r="U29" i="11" s="1"/>
  <c r="R117" i="3"/>
  <c r="R118" i="3" s="1"/>
  <c r="R114" i="3"/>
  <c r="R115" i="3" s="1"/>
  <c r="R112" i="3"/>
  <c r="R110" i="3"/>
  <c r="U108" i="3"/>
  <c r="U109" i="3" s="1"/>
  <c r="T108" i="3"/>
  <c r="T109" i="3" s="1"/>
  <c r="S108" i="3"/>
  <c r="S109" i="3" s="1"/>
  <c r="R108" i="3"/>
  <c r="R109" i="3" s="1"/>
  <c r="U107" i="3"/>
  <c r="T107" i="3"/>
  <c r="S107" i="3"/>
  <c r="R107" i="3"/>
  <c r="U104" i="3"/>
  <c r="T104" i="3"/>
  <c r="S104" i="3"/>
  <c r="R104" i="3"/>
  <c r="U103" i="3"/>
  <c r="U105" i="3" s="1"/>
  <c r="U106" i="3" s="1"/>
  <c r="T103" i="3"/>
  <c r="T105" i="3" s="1"/>
  <c r="T106" i="3" s="1"/>
  <c r="S103" i="3"/>
  <c r="S105" i="3" s="1"/>
  <c r="S106" i="3" s="1"/>
  <c r="R103" i="3"/>
  <c r="R105" i="3" s="1"/>
  <c r="R106" i="3" s="1"/>
  <c r="U102" i="3"/>
  <c r="T102" i="3"/>
  <c r="S102" i="3"/>
  <c r="R102" i="3"/>
  <c r="U98" i="3"/>
  <c r="T98" i="3"/>
  <c r="S98" i="3"/>
  <c r="R98" i="3"/>
  <c r="U97" i="3"/>
  <c r="U99" i="3" s="1"/>
  <c r="T97" i="3"/>
  <c r="T99" i="3" s="1"/>
  <c r="S97" i="3"/>
  <c r="S99" i="3" s="1"/>
  <c r="R97" i="3"/>
  <c r="R99" i="3" s="1"/>
  <c r="U88" i="3"/>
  <c r="T88" i="3"/>
  <c r="S88" i="3"/>
  <c r="R88" i="3"/>
  <c r="U87" i="3"/>
  <c r="U90" i="3" s="1"/>
  <c r="T87" i="3"/>
  <c r="T90" i="3" s="1"/>
  <c r="S87" i="3"/>
  <c r="S90" i="3" s="1"/>
  <c r="R87" i="3"/>
  <c r="R90" i="3" s="1"/>
  <c r="U77" i="3"/>
  <c r="T77" i="3"/>
  <c r="S77" i="3"/>
  <c r="R77" i="3"/>
  <c r="U76" i="3"/>
  <c r="T76" i="3"/>
  <c r="S76" i="3"/>
  <c r="R76" i="3"/>
  <c r="U75" i="3"/>
  <c r="U79" i="3" s="1"/>
  <c r="U80" i="3" s="1"/>
  <c r="U81" i="3" s="1"/>
  <c r="T75" i="3"/>
  <c r="T79" i="3" s="1"/>
  <c r="T80" i="3" s="1"/>
  <c r="T81" i="3" s="1"/>
  <c r="S75" i="3"/>
  <c r="S79" i="3" s="1"/>
  <c r="S80" i="3" s="1"/>
  <c r="S81" i="3" s="1"/>
  <c r="R75" i="3"/>
  <c r="R79" i="3" s="1"/>
  <c r="R80" i="3" s="1"/>
  <c r="R81" i="3" s="1"/>
  <c r="U70" i="3"/>
  <c r="U72" i="3" s="1"/>
  <c r="U73" i="3" s="1"/>
  <c r="U100" i="3" s="1"/>
  <c r="T29" i="11" s="1"/>
  <c r="T70" i="3"/>
  <c r="T72" i="3" s="1"/>
  <c r="T73" i="3" s="1"/>
  <c r="T100" i="3" s="1"/>
  <c r="S29" i="11" s="1"/>
  <c r="S70" i="3"/>
  <c r="S72" i="3" s="1"/>
  <c r="S73" i="3" s="1"/>
  <c r="S100" i="3" s="1"/>
  <c r="R29" i="11" s="1"/>
  <c r="R70" i="3"/>
  <c r="R72" i="3" s="1"/>
  <c r="R73" i="3" s="1"/>
  <c r="R100" i="3" s="1"/>
  <c r="Q29" i="11" s="1"/>
  <c r="N117" i="3"/>
  <c r="N114" i="3"/>
  <c r="N115" i="3" s="1"/>
  <c r="N112" i="3"/>
  <c r="N110" i="3"/>
  <c r="Q108" i="3"/>
  <c r="Q109" i="3" s="1"/>
  <c r="P108" i="3"/>
  <c r="P109" i="3" s="1"/>
  <c r="O108" i="3"/>
  <c r="O109" i="3" s="1"/>
  <c r="N108" i="3"/>
  <c r="N109" i="3" s="1"/>
  <c r="Q107" i="3"/>
  <c r="P107" i="3"/>
  <c r="O107" i="3"/>
  <c r="N107" i="3"/>
  <c r="Q104" i="3"/>
  <c r="P104" i="3"/>
  <c r="O104" i="3"/>
  <c r="N104" i="3"/>
  <c r="Q103" i="3"/>
  <c r="Q105" i="3" s="1"/>
  <c r="Q106" i="3" s="1"/>
  <c r="P103" i="3"/>
  <c r="P105" i="3" s="1"/>
  <c r="P106" i="3" s="1"/>
  <c r="O103" i="3"/>
  <c r="O105" i="3" s="1"/>
  <c r="O106" i="3" s="1"/>
  <c r="N103" i="3"/>
  <c r="N105" i="3" s="1"/>
  <c r="N106" i="3" s="1"/>
  <c r="Q102" i="3"/>
  <c r="P102" i="3"/>
  <c r="O102" i="3"/>
  <c r="N102" i="3"/>
  <c r="Q98" i="3"/>
  <c r="P98" i="3"/>
  <c r="O98" i="3"/>
  <c r="N98" i="3"/>
  <c r="Q97" i="3"/>
  <c r="Q99" i="3" s="1"/>
  <c r="P97" i="3"/>
  <c r="P99" i="3" s="1"/>
  <c r="O97" i="3"/>
  <c r="O99" i="3" s="1"/>
  <c r="N97" i="3"/>
  <c r="N99" i="3" s="1"/>
  <c r="Q88" i="3"/>
  <c r="P88" i="3"/>
  <c r="O88" i="3"/>
  <c r="N88" i="3"/>
  <c r="Q87" i="3"/>
  <c r="Q90" i="3" s="1"/>
  <c r="P87" i="3"/>
  <c r="P90" i="3" s="1"/>
  <c r="O87" i="3"/>
  <c r="O90" i="3" s="1"/>
  <c r="N87" i="3"/>
  <c r="N90" i="3" s="1"/>
  <c r="Q77" i="3"/>
  <c r="P77" i="3"/>
  <c r="O77" i="3"/>
  <c r="N77" i="3"/>
  <c r="Q76" i="3"/>
  <c r="P76" i="3"/>
  <c r="O76" i="3"/>
  <c r="N76" i="3"/>
  <c r="Q75" i="3"/>
  <c r="Q79" i="3" s="1"/>
  <c r="Q80" i="3" s="1"/>
  <c r="Q81" i="3" s="1"/>
  <c r="P75" i="3"/>
  <c r="P79" i="3" s="1"/>
  <c r="O75" i="3"/>
  <c r="O79" i="3" s="1"/>
  <c r="O80" i="3" s="1"/>
  <c r="O81" i="3" s="1"/>
  <c r="N75" i="3"/>
  <c r="N79" i="3" s="1"/>
  <c r="N80" i="3" s="1"/>
  <c r="N81" i="3" s="1"/>
  <c r="Q70" i="3"/>
  <c r="Q72" i="3" s="1"/>
  <c r="Q73" i="3" s="1"/>
  <c r="Q100" i="3" s="1"/>
  <c r="P29" i="11" s="1"/>
  <c r="P70" i="3"/>
  <c r="P72" i="3" s="1"/>
  <c r="P73" i="3" s="1"/>
  <c r="P100" i="3" s="1"/>
  <c r="O29" i="11" s="1"/>
  <c r="O70" i="3"/>
  <c r="O72" i="3" s="1"/>
  <c r="O73" i="3" s="1"/>
  <c r="O100" i="3" s="1"/>
  <c r="N29" i="11" s="1"/>
  <c r="N70" i="3"/>
  <c r="N72" i="3" s="1"/>
  <c r="N73" i="3" s="1"/>
  <c r="N100" i="3" s="1"/>
  <c r="M29" i="11" s="1"/>
  <c r="CH68" i="3"/>
  <c r="CK66" i="3"/>
  <c r="CK67" i="3" s="1"/>
  <c r="CJ66" i="3"/>
  <c r="CJ67" i="3" s="1"/>
  <c r="CI66" i="3"/>
  <c r="CI67" i="3" s="1"/>
  <c r="CH66" i="3"/>
  <c r="CH67" i="3" s="1"/>
  <c r="CK63" i="3"/>
  <c r="CJ63" i="3"/>
  <c r="CI63" i="3"/>
  <c r="CH63" i="3"/>
  <c r="CK60" i="3"/>
  <c r="CK62" i="3" s="1"/>
  <c r="CJ60" i="3"/>
  <c r="CJ62" i="3" s="1"/>
  <c r="CI60" i="3"/>
  <c r="CI62" i="3" s="1"/>
  <c r="CH60" i="3"/>
  <c r="CH62" i="3" s="1"/>
  <c r="CK59" i="3"/>
  <c r="CJ59" i="3"/>
  <c r="CI59" i="3"/>
  <c r="CH59" i="3"/>
  <c r="CK57" i="3"/>
  <c r="CJ57" i="3"/>
  <c r="CI57" i="3"/>
  <c r="CH57" i="3"/>
  <c r="CK56" i="3"/>
  <c r="CJ56" i="3"/>
  <c r="CI56" i="3"/>
  <c r="CH56" i="3"/>
  <c r="CK50" i="3"/>
  <c r="CJ50" i="3"/>
  <c r="CI50" i="3"/>
  <c r="CH50" i="3"/>
  <c r="CK49" i="3"/>
  <c r="CJ49" i="3"/>
  <c r="CI49" i="3"/>
  <c r="CH49" i="3"/>
  <c r="CH58" i="3" s="1"/>
  <c r="CK48" i="3"/>
  <c r="CJ48" i="3"/>
  <c r="CI48" i="3"/>
  <c r="CH48" i="3"/>
  <c r="CD68" i="3"/>
  <c r="AQ9" i="11" s="1"/>
  <c r="CG66" i="3"/>
  <c r="CG67" i="3" s="1"/>
  <c r="CF66" i="3"/>
  <c r="CF67" i="3" s="1"/>
  <c r="CE66" i="3"/>
  <c r="CE67" i="3" s="1"/>
  <c r="CD66" i="3"/>
  <c r="CD67" i="3" s="1"/>
  <c r="CG63" i="3"/>
  <c r="CF63" i="3"/>
  <c r="CE63" i="3"/>
  <c r="CD63" i="3"/>
  <c r="CG60" i="3"/>
  <c r="CG62" i="3" s="1"/>
  <c r="CF60" i="3"/>
  <c r="CF62" i="3" s="1"/>
  <c r="CE60" i="3"/>
  <c r="CE62" i="3" s="1"/>
  <c r="CD60" i="3"/>
  <c r="CD62" i="3" s="1"/>
  <c r="CG59" i="3"/>
  <c r="CF59" i="3"/>
  <c r="CE59" i="3"/>
  <c r="CD59" i="3"/>
  <c r="CG57" i="3"/>
  <c r="CF57" i="3"/>
  <c r="CE57" i="3"/>
  <c r="CD57" i="3"/>
  <c r="CG56" i="3"/>
  <c r="CF56" i="3"/>
  <c r="CE56" i="3"/>
  <c r="CD56" i="3"/>
  <c r="CG50" i="3"/>
  <c r="CF50" i="3"/>
  <c r="CE50" i="3"/>
  <c r="CD50" i="3"/>
  <c r="CG49" i="3"/>
  <c r="CF49" i="3"/>
  <c r="CE49" i="3"/>
  <c r="CD49" i="3"/>
  <c r="CD58" i="3" s="1"/>
  <c r="CG48" i="3"/>
  <c r="CF48" i="3"/>
  <c r="CE48" i="3"/>
  <c r="CD48" i="3"/>
  <c r="BZ68" i="3"/>
  <c r="AO9" i="11" s="1"/>
  <c r="CC66" i="3"/>
  <c r="CC67" i="3" s="1"/>
  <c r="CB66" i="3"/>
  <c r="CB67" i="3" s="1"/>
  <c r="CA66" i="3"/>
  <c r="CA67" i="3" s="1"/>
  <c r="BZ66" i="3"/>
  <c r="BZ67" i="3" s="1"/>
  <c r="CC63" i="3"/>
  <c r="CB63" i="3"/>
  <c r="CA63" i="3"/>
  <c r="BZ63" i="3"/>
  <c r="CC60" i="3"/>
  <c r="CC62" i="3" s="1"/>
  <c r="CB60" i="3"/>
  <c r="CB62" i="3" s="1"/>
  <c r="CA60" i="3"/>
  <c r="CA62" i="3" s="1"/>
  <c r="BZ60" i="3"/>
  <c r="BZ62" i="3" s="1"/>
  <c r="CC59" i="3"/>
  <c r="CB59" i="3"/>
  <c r="CA59" i="3"/>
  <c r="BZ59" i="3"/>
  <c r="CC57" i="3"/>
  <c r="CB57" i="3"/>
  <c r="CA57" i="3"/>
  <c r="BZ57" i="3"/>
  <c r="CC56" i="3"/>
  <c r="CB56" i="3"/>
  <c r="CA56" i="3"/>
  <c r="BZ56" i="3"/>
  <c r="CC50" i="3"/>
  <c r="CB50" i="3"/>
  <c r="CA50" i="3"/>
  <c r="BZ50" i="3"/>
  <c r="CC49" i="3"/>
  <c r="CB49" i="3"/>
  <c r="CA49" i="3"/>
  <c r="BZ49" i="3"/>
  <c r="BZ58" i="3" s="1"/>
  <c r="CC48" i="3"/>
  <c r="CB48" i="3"/>
  <c r="CA48" i="3"/>
  <c r="BZ48" i="3"/>
  <c r="BV68" i="3"/>
  <c r="AM9" i="11" s="1"/>
  <c r="BY66" i="3"/>
  <c r="BY67" i="3" s="1"/>
  <c r="BX66" i="3"/>
  <c r="BX67" i="3" s="1"/>
  <c r="BW66" i="3"/>
  <c r="BW67" i="3" s="1"/>
  <c r="BV66" i="3"/>
  <c r="BV67" i="3" s="1"/>
  <c r="BY63" i="3"/>
  <c r="BX63" i="3"/>
  <c r="BW63" i="3"/>
  <c r="BV63" i="3"/>
  <c r="BY60" i="3"/>
  <c r="BY62" i="3" s="1"/>
  <c r="BX60" i="3"/>
  <c r="BX62" i="3" s="1"/>
  <c r="BW60" i="3"/>
  <c r="BW61" i="3" s="1"/>
  <c r="BV60" i="3"/>
  <c r="BV62" i="3" s="1"/>
  <c r="BY59" i="3"/>
  <c r="BX59" i="3"/>
  <c r="BW59" i="3"/>
  <c r="BV59" i="3"/>
  <c r="BY57" i="3"/>
  <c r="BX57" i="3"/>
  <c r="BW57" i="3"/>
  <c r="BV57" i="3"/>
  <c r="BY56" i="3"/>
  <c r="BX56" i="3"/>
  <c r="BW56" i="3"/>
  <c r="BV56" i="3"/>
  <c r="BY50" i="3"/>
  <c r="BX50" i="3"/>
  <c r="BW50" i="3"/>
  <c r="BV50" i="3"/>
  <c r="BY49" i="3"/>
  <c r="BX49" i="3"/>
  <c r="BW49" i="3"/>
  <c r="BV49" i="3"/>
  <c r="BV58" i="3" s="1"/>
  <c r="BY48" i="3"/>
  <c r="BX48" i="3"/>
  <c r="BW48" i="3"/>
  <c r="BV48" i="3"/>
  <c r="BR68" i="3"/>
  <c r="AK9" i="11" s="1"/>
  <c r="BU66" i="3"/>
  <c r="BU67" i="3" s="1"/>
  <c r="BT66" i="3"/>
  <c r="BT67" i="3" s="1"/>
  <c r="BS66" i="3"/>
  <c r="BS67" i="3" s="1"/>
  <c r="BR66" i="3"/>
  <c r="BR67" i="3" s="1"/>
  <c r="BU63" i="3"/>
  <c r="BT63" i="3"/>
  <c r="BS63" i="3"/>
  <c r="BR63" i="3"/>
  <c r="BU60" i="3"/>
  <c r="BU62" i="3" s="1"/>
  <c r="BT60" i="3"/>
  <c r="BT62" i="3" s="1"/>
  <c r="BS60" i="3"/>
  <c r="BS62" i="3" s="1"/>
  <c r="BR60" i="3"/>
  <c r="BR62" i="3" s="1"/>
  <c r="BU59" i="3"/>
  <c r="BT59" i="3"/>
  <c r="BS59" i="3"/>
  <c r="BR59" i="3"/>
  <c r="BU57" i="3"/>
  <c r="BT57" i="3"/>
  <c r="BS57" i="3"/>
  <c r="BR57" i="3"/>
  <c r="BU56" i="3"/>
  <c r="BT56" i="3"/>
  <c r="BS56" i="3"/>
  <c r="BR56" i="3"/>
  <c r="BU50" i="3"/>
  <c r="BT50" i="3"/>
  <c r="BS50" i="3"/>
  <c r="BR50" i="3"/>
  <c r="BU49" i="3"/>
  <c r="BT49" i="3"/>
  <c r="BS49" i="3"/>
  <c r="BR49" i="3"/>
  <c r="BR58" i="3" s="1"/>
  <c r="BU48" i="3"/>
  <c r="BT48" i="3"/>
  <c r="BS48" i="3"/>
  <c r="BR48" i="3"/>
  <c r="BN68" i="3"/>
  <c r="AI9" i="11" s="1"/>
  <c r="BQ66" i="3"/>
  <c r="BQ67" i="3" s="1"/>
  <c r="BP66" i="3"/>
  <c r="BP67" i="3" s="1"/>
  <c r="BO66" i="3"/>
  <c r="BO67" i="3" s="1"/>
  <c r="BN66" i="3"/>
  <c r="BN67" i="3" s="1"/>
  <c r="BQ63" i="3"/>
  <c r="BP63" i="3"/>
  <c r="BO63" i="3"/>
  <c r="BN63" i="3"/>
  <c r="BQ60" i="3"/>
  <c r="BQ62" i="3" s="1"/>
  <c r="BP60" i="3"/>
  <c r="BP62" i="3" s="1"/>
  <c r="BO60" i="3"/>
  <c r="BO62" i="3" s="1"/>
  <c r="BN60" i="3"/>
  <c r="BN61" i="3" s="1"/>
  <c r="BQ59" i="3"/>
  <c r="BP59" i="3"/>
  <c r="BO59" i="3"/>
  <c r="BN59" i="3"/>
  <c r="BQ57" i="3"/>
  <c r="BP57" i="3"/>
  <c r="BO57" i="3"/>
  <c r="BN57" i="3"/>
  <c r="BQ56" i="3"/>
  <c r="BP56" i="3"/>
  <c r="BO56" i="3"/>
  <c r="BN56" i="3"/>
  <c r="BQ50" i="3"/>
  <c r="BP50" i="3"/>
  <c r="BO50" i="3"/>
  <c r="BN50" i="3"/>
  <c r="BQ49" i="3"/>
  <c r="BP49" i="3"/>
  <c r="BO49" i="3"/>
  <c r="BN49" i="3"/>
  <c r="BN58" i="3" s="1"/>
  <c r="BQ48" i="3"/>
  <c r="BP48" i="3"/>
  <c r="BO48" i="3"/>
  <c r="BN48" i="3"/>
  <c r="BJ68" i="3"/>
  <c r="AG9" i="11" s="1"/>
  <c r="BM66" i="3"/>
  <c r="BM67" i="3" s="1"/>
  <c r="BL66" i="3"/>
  <c r="BL67" i="3" s="1"/>
  <c r="BK66" i="3"/>
  <c r="BK67" i="3" s="1"/>
  <c r="BJ66" i="3"/>
  <c r="BJ67" i="3" s="1"/>
  <c r="BM63" i="3"/>
  <c r="BL63" i="3"/>
  <c r="BK63" i="3"/>
  <c r="BJ63" i="3"/>
  <c r="BM60" i="3"/>
  <c r="BM62" i="3" s="1"/>
  <c r="BL60" i="3"/>
  <c r="BL62" i="3" s="1"/>
  <c r="BK60" i="3"/>
  <c r="BK62" i="3" s="1"/>
  <c r="BJ60" i="3"/>
  <c r="BJ62" i="3" s="1"/>
  <c r="BM59" i="3"/>
  <c r="BL59" i="3"/>
  <c r="BK59" i="3"/>
  <c r="BJ59" i="3"/>
  <c r="BM57" i="3"/>
  <c r="BL57" i="3"/>
  <c r="BK57" i="3"/>
  <c r="BJ57" i="3"/>
  <c r="BM56" i="3"/>
  <c r="BL56" i="3"/>
  <c r="BK56" i="3"/>
  <c r="BJ56" i="3"/>
  <c r="BM50" i="3"/>
  <c r="BL50" i="3"/>
  <c r="BK50" i="3"/>
  <c r="BJ50" i="3"/>
  <c r="BM49" i="3"/>
  <c r="BL49" i="3"/>
  <c r="BK49" i="3"/>
  <c r="BJ49" i="3"/>
  <c r="BJ58" i="3" s="1"/>
  <c r="BM48" i="3"/>
  <c r="BL48" i="3"/>
  <c r="BK48" i="3"/>
  <c r="BJ48" i="3"/>
  <c r="BF68" i="3"/>
  <c r="AE9" i="11" s="1"/>
  <c r="BI66" i="3"/>
  <c r="BI67" i="3" s="1"/>
  <c r="BH66" i="3"/>
  <c r="BH67" i="3" s="1"/>
  <c r="BG66" i="3"/>
  <c r="BG67" i="3" s="1"/>
  <c r="BF66" i="3"/>
  <c r="BF67" i="3" s="1"/>
  <c r="BG65" i="3"/>
  <c r="BI63" i="3"/>
  <c r="BH63" i="3"/>
  <c r="BG63" i="3"/>
  <c r="BF63" i="3"/>
  <c r="BI60" i="3"/>
  <c r="BI62" i="3" s="1"/>
  <c r="BH60" i="3"/>
  <c r="BH62" i="3" s="1"/>
  <c r="BG60" i="3"/>
  <c r="BG62" i="3" s="1"/>
  <c r="BF60" i="3"/>
  <c r="BF62" i="3" s="1"/>
  <c r="BI59" i="3"/>
  <c r="BH59" i="3"/>
  <c r="BG59" i="3"/>
  <c r="BF59" i="3"/>
  <c r="BI57" i="3"/>
  <c r="BH57" i="3"/>
  <c r="BG57" i="3"/>
  <c r="BF57" i="3"/>
  <c r="BI56" i="3"/>
  <c r="BH56" i="3"/>
  <c r="BG56" i="3"/>
  <c r="BF56" i="3"/>
  <c r="BI50" i="3"/>
  <c r="BH50" i="3"/>
  <c r="BG50" i="3"/>
  <c r="BF50" i="3"/>
  <c r="BI49" i="3"/>
  <c r="BH49" i="3"/>
  <c r="BG49" i="3"/>
  <c r="BF49" i="3"/>
  <c r="BF58" i="3" s="1"/>
  <c r="BI48" i="3"/>
  <c r="BH48" i="3"/>
  <c r="BG48" i="3"/>
  <c r="BF48" i="3"/>
  <c r="BB68" i="3"/>
  <c r="AC9" i="11" s="1"/>
  <c r="BE66" i="3"/>
  <c r="BE67" i="3" s="1"/>
  <c r="BD66" i="3"/>
  <c r="BD67" i="3" s="1"/>
  <c r="BC66" i="3"/>
  <c r="BC67" i="3" s="1"/>
  <c r="BB66" i="3"/>
  <c r="BB67" i="3" s="1"/>
  <c r="BE63" i="3"/>
  <c r="BD63" i="3"/>
  <c r="BC63" i="3"/>
  <c r="BB63" i="3"/>
  <c r="BE60" i="3"/>
  <c r="BE62" i="3" s="1"/>
  <c r="BD60" i="3"/>
  <c r="BD62" i="3" s="1"/>
  <c r="BC60" i="3"/>
  <c r="BC62" i="3" s="1"/>
  <c r="BB60" i="3"/>
  <c r="BB62" i="3" s="1"/>
  <c r="BE59" i="3"/>
  <c r="BD59" i="3"/>
  <c r="BC59" i="3"/>
  <c r="BB59" i="3"/>
  <c r="BE57" i="3"/>
  <c r="BD57" i="3"/>
  <c r="BC57" i="3"/>
  <c r="BB57" i="3"/>
  <c r="BE56" i="3"/>
  <c r="BD56" i="3"/>
  <c r="BC56" i="3"/>
  <c r="BB56" i="3"/>
  <c r="BE50" i="3"/>
  <c r="BD50" i="3"/>
  <c r="BC50" i="3"/>
  <c r="BB50" i="3"/>
  <c r="BE49" i="3"/>
  <c r="BD49" i="3"/>
  <c r="BC49" i="3"/>
  <c r="BB49" i="3"/>
  <c r="BB58" i="3" s="1"/>
  <c r="BE48" i="3"/>
  <c r="BD48" i="3"/>
  <c r="BC48" i="3"/>
  <c r="BB48" i="3"/>
  <c r="AX68" i="3"/>
  <c r="AA9" i="11" s="1"/>
  <c r="BA66" i="3"/>
  <c r="BA67" i="3" s="1"/>
  <c r="AZ66" i="3"/>
  <c r="AZ67" i="3" s="1"/>
  <c r="AY66" i="3"/>
  <c r="AY67" i="3" s="1"/>
  <c r="AX66" i="3"/>
  <c r="AX67" i="3" s="1"/>
  <c r="AY65" i="3"/>
  <c r="BA63" i="3"/>
  <c r="AZ63" i="3"/>
  <c r="AY63" i="3"/>
  <c r="AX63" i="3"/>
  <c r="BA60" i="3"/>
  <c r="BA62" i="3" s="1"/>
  <c r="AZ60" i="3"/>
  <c r="AZ62" i="3" s="1"/>
  <c r="AY60" i="3"/>
  <c r="AY62" i="3" s="1"/>
  <c r="AX60" i="3"/>
  <c r="AX62" i="3" s="1"/>
  <c r="BA59" i="3"/>
  <c r="AZ59" i="3"/>
  <c r="AY59" i="3"/>
  <c r="AX59" i="3"/>
  <c r="BA57" i="3"/>
  <c r="AZ57" i="3"/>
  <c r="AY57" i="3"/>
  <c r="AX57" i="3"/>
  <c r="BA56" i="3"/>
  <c r="AZ56" i="3"/>
  <c r="AY56" i="3"/>
  <c r="AX56" i="3"/>
  <c r="BA50" i="3"/>
  <c r="AZ50" i="3"/>
  <c r="AY50" i="3"/>
  <c r="AX50" i="3"/>
  <c r="BA49" i="3"/>
  <c r="AZ49" i="3"/>
  <c r="AY49" i="3"/>
  <c r="AX49" i="3"/>
  <c r="AX58" i="3" s="1"/>
  <c r="BA48" i="3"/>
  <c r="AZ48" i="3"/>
  <c r="AY48" i="3"/>
  <c r="AX48" i="3"/>
  <c r="AT68" i="3"/>
  <c r="Y9" i="11" s="1"/>
  <c r="AW66" i="3"/>
  <c r="AW67" i="3" s="1"/>
  <c r="AV66" i="3"/>
  <c r="AV67" i="3" s="1"/>
  <c r="AU66" i="3"/>
  <c r="AU67" i="3" s="1"/>
  <c r="AT66" i="3"/>
  <c r="AT67" i="3" s="1"/>
  <c r="AW63" i="3"/>
  <c r="AV63" i="3"/>
  <c r="AU63" i="3"/>
  <c r="AT63" i="3"/>
  <c r="AU62" i="3"/>
  <c r="AW60" i="3"/>
  <c r="AW62" i="3" s="1"/>
  <c r="AV60" i="3"/>
  <c r="AV62" i="3" s="1"/>
  <c r="AU60" i="3"/>
  <c r="AU61" i="3" s="1"/>
  <c r="AT60" i="3"/>
  <c r="AT62" i="3" s="1"/>
  <c r="AW59" i="3"/>
  <c r="AV59" i="3"/>
  <c r="AU59" i="3"/>
  <c r="AT59" i="3"/>
  <c r="AW57" i="3"/>
  <c r="AV57" i="3"/>
  <c r="AU57" i="3"/>
  <c r="AT57" i="3"/>
  <c r="AW56" i="3"/>
  <c r="AV56" i="3"/>
  <c r="AU56" i="3"/>
  <c r="AT56" i="3"/>
  <c r="AW50" i="3"/>
  <c r="AV50" i="3"/>
  <c r="AU50" i="3"/>
  <c r="AT50" i="3"/>
  <c r="AW49" i="3"/>
  <c r="AV49" i="3"/>
  <c r="AU49" i="3"/>
  <c r="AT49" i="3"/>
  <c r="AT58" i="3" s="1"/>
  <c r="AW48" i="3"/>
  <c r="AV48" i="3"/>
  <c r="AU48" i="3"/>
  <c r="AT48" i="3"/>
  <c r="AP68" i="3"/>
  <c r="W9" i="11" s="1"/>
  <c r="AS66" i="3"/>
  <c r="AS67" i="3" s="1"/>
  <c r="AR66" i="3"/>
  <c r="AR67" i="3" s="1"/>
  <c r="AQ66" i="3"/>
  <c r="AQ67" i="3" s="1"/>
  <c r="AP66" i="3"/>
  <c r="AP67" i="3" s="1"/>
  <c r="AS63" i="3"/>
  <c r="AR63" i="3"/>
  <c r="AQ63" i="3"/>
  <c r="AP63" i="3"/>
  <c r="AS60" i="3"/>
  <c r="AS62" i="3" s="1"/>
  <c r="AR60" i="3"/>
  <c r="AR62" i="3" s="1"/>
  <c r="AQ60" i="3"/>
  <c r="AQ62" i="3" s="1"/>
  <c r="AP60" i="3"/>
  <c r="AP62" i="3" s="1"/>
  <c r="AS59" i="3"/>
  <c r="AR59" i="3"/>
  <c r="AQ59" i="3"/>
  <c r="AP59" i="3"/>
  <c r="AS57" i="3"/>
  <c r="AR57" i="3"/>
  <c r="AQ57" i="3"/>
  <c r="AP57" i="3"/>
  <c r="AS56" i="3"/>
  <c r="AR56" i="3"/>
  <c r="AQ56" i="3"/>
  <c r="AP56" i="3"/>
  <c r="AS50" i="3"/>
  <c r="AR50" i="3"/>
  <c r="AQ50" i="3"/>
  <c r="AP50" i="3"/>
  <c r="AS49" i="3"/>
  <c r="AR49" i="3"/>
  <c r="AQ49" i="3"/>
  <c r="AP49" i="3"/>
  <c r="AP58" i="3" s="1"/>
  <c r="AS48" i="3"/>
  <c r="AR48" i="3"/>
  <c r="AQ48" i="3"/>
  <c r="AP48" i="3"/>
  <c r="AL68" i="3"/>
  <c r="U9" i="11" s="1"/>
  <c r="AO66" i="3"/>
  <c r="AO67" i="3" s="1"/>
  <c r="AN66" i="3"/>
  <c r="AN67" i="3" s="1"/>
  <c r="AM66" i="3"/>
  <c r="AM67" i="3" s="1"/>
  <c r="AL66" i="3"/>
  <c r="AL67" i="3" s="1"/>
  <c r="AO63" i="3"/>
  <c r="AN63" i="3"/>
  <c r="AM63" i="3"/>
  <c r="AL63" i="3"/>
  <c r="AO60" i="3"/>
  <c r="AO62" i="3" s="1"/>
  <c r="AN60" i="3"/>
  <c r="AN62" i="3" s="1"/>
  <c r="AM60" i="3"/>
  <c r="AM62" i="3" s="1"/>
  <c r="AL60" i="3"/>
  <c r="AL62" i="3" s="1"/>
  <c r="AO59" i="3"/>
  <c r="AN59" i="3"/>
  <c r="AM59" i="3"/>
  <c r="AL59" i="3"/>
  <c r="AO57" i="3"/>
  <c r="AN57" i="3"/>
  <c r="AM57" i="3"/>
  <c r="AL57" i="3"/>
  <c r="AO56" i="3"/>
  <c r="AN56" i="3"/>
  <c r="AM56" i="3"/>
  <c r="AL56" i="3"/>
  <c r="AO50" i="3"/>
  <c r="AN50" i="3"/>
  <c r="AM50" i="3"/>
  <c r="AL50" i="3"/>
  <c r="AO49" i="3"/>
  <c r="AN49" i="3"/>
  <c r="AM49" i="3"/>
  <c r="AL49" i="3"/>
  <c r="AL58" i="3" s="1"/>
  <c r="AO48" i="3"/>
  <c r="AN48" i="3"/>
  <c r="AM48" i="3"/>
  <c r="AL48" i="3"/>
  <c r="AH68" i="3"/>
  <c r="S9" i="11" s="1"/>
  <c r="AK66" i="3"/>
  <c r="AK67" i="3" s="1"/>
  <c r="AJ66" i="3"/>
  <c r="AJ67" i="3" s="1"/>
  <c r="AI66" i="3"/>
  <c r="AI67" i="3" s="1"/>
  <c r="AH66" i="3"/>
  <c r="AH67" i="3" s="1"/>
  <c r="AK63" i="3"/>
  <c r="AJ63" i="3"/>
  <c r="AI63" i="3"/>
  <c r="AH63" i="3"/>
  <c r="AK60" i="3"/>
  <c r="AK62" i="3" s="1"/>
  <c r="AJ60" i="3"/>
  <c r="AJ62" i="3" s="1"/>
  <c r="AI60" i="3"/>
  <c r="AI62" i="3" s="1"/>
  <c r="AH60" i="3"/>
  <c r="AH62" i="3" s="1"/>
  <c r="AK59" i="3"/>
  <c r="AJ59" i="3"/>
  <c r="AI59" i="3"/>
  <c r="AH59" i="3"/>
  <c r="AK57" i="3"/>
  <c r="AJ57" i="3"/>
  <c r="AI57" i="3"/>
  <c r="AH57" i="3"/>
  <c r="AK56" i="3"/>
  <c r="AJ56" i="3"/>
  <c r="AI56" i="3"/>
  <c r="AH56" i="3"/>
  <c r="AK50" i="3"/>
  <c r="AJ50" i="3"/>
  <c r="AI50" i="3"/>
  <c r="AH50" i="3"/>
  <c r="AK49" i="3"/>
  <c r="AJ49" i="3"/>
  <c r="AI49" i="3"/>
  <c r="AH49" i="3"/>
  <c r="AH58" i="3" s="1"/>
  <c r="AK48" i="3"/>
  <c r="AJ48" i="3"/>
  <c r="AI48" i="3"/>
  <c r="AH48" i="3"/>
  <c r="AD68" i="3"/>
  <c r="Q9" i="11" s="1"/>
  <c r="AG66" i="3"/>
  <c r="AG67" i="3" s="1"/>
  <c r="AF66" i="3"/>
  <c r="AF67" i="3" s="1"/>
  <c r="AE66" i="3"/>
  <c r="AE67" i="3" s="1"/>
  <c r="AD66" i="3"/>
  <c r="AD67" i="3" s="1"/>
  <c r="AG63" i="3"/>
  <c r="AF63" i="3"/>
  <c r="AE63" i="3"/>
  <c r="AD63" i="3"/>
  <c r="AG60" i="3"/>
  <c r="AG62" i="3" s="1"/>
  <c r="AF60" i="3"/>
  <c r="AF62" i="3" s="1"/>
  <c r="AE60" i="3"/>
  <c r="AE62" i="3" s="1"/>
  <c r="AD60" i="3"/>
  <c r="AD62" i="3" s="1"/>
  <c r="AG59" i="3"/>
  <c r="AF59" i="3"/>
  <c r="AE59" i="3"/>
  <c r="AD59" i="3"/>
  <c r="AG57" i="3"/>
  <c r="AF57" i="3"/>
  <c r="AE57" i="3"/>
  <c r="AD57" i="3"/>
  <c r="AG56" i="3"/>
  <c r="AF56" i="3"/>
  <c r="AE56" i="3"/>
  <c r="AD56" i="3"/>
  <c r="AG50" i="3"/>
  <c r="AF50" i="3"/>
  <c r="AE50" i="3"/>
  <c r="AD50" i="3"/>
  <c r="AG49" i="3"/>
  <c r="AF49" i="3"/>
  <c r="AE49" i="3"/>
  <c r="AD49" i="3"/>
  <c r="AD58" i="3" s="1"/>
  <c r="AG48" i="3"/>
  <c r="AF48" i="3"/>
  <c r="AE48" i="3"/>
  <c r="AD48" i="3"/>
  <c r="Z68" i="3"/>
  <c r="O9" i="11" s="1"/>
  <c r="AC66" i="3"/>
  <c r="AC67" i="3" s="1"/>
  <c r="AB66" i="3"/>
  <c r="AB67" i="3" s="1"/>
  <c r="AA66" i="3"/>
  <c r="AA67" i="3" s="1"/>
  <c r="Z66" i="3"/>
  <c r="Z67" i="3" s="1"/>
  <c r="AC63" i="3"/>
  <c r="AB63" i="3"/>
  <c r="AA63" i="3"/>
  <c r="Z63" i="3"/>
  <c r="AC60" i="3"/>
  <c r="AC62" i="3" s="1"/>
  <c r="AB60" i="3"/>
  <c r="AB62" i="3" s="1"/>
  <c r="AA60" i="3"/>
  <c r="AA62" i="3" s="1"/>
  <c r="Z60" i="3"/>
  <c r="Z62" i="3" s="1"/>
  <c r="AC59" i="3"/>
  <c r="AB59" i="3"/>
  <c r="AA59" i="3"/>
  <c r="Z59" i="3"/>
  <c r="AC57" i="3"/>
  <c r="AB57" i="3"/>
  <c r="AA57" i="3"/>
  <c r="Z57" i="3"/>
  <c r="AC56" i="3"/>
  <c r="AB56" i="3"/>
  <c r="AA56" i="3"/>
  <c r="Z56" i="3"/>
  <c r="AC50" i="3"/>
  <c r="AB50" i="3"/>
  <c r="AA50" i="3"/>
  <c r="Z50" i="3"/>
  <c r="AC49" i="3"/>
  <c r="AB49" i="3"/>
  <c r="AA49" i="3"/>
  <c r="Z49" i="3"/>
  <c r="Z58" i="3" s="1"/>
  <c r="AC48" i="3"/>
  <c r="AB48" i="3"/>
  <c r="AA48" i="3"/>
  <c r="Z48" i="3"/>
  <c r="V68" i="3"/>
  <c r="M9" i="11" s="1"/>
  <c r="Y66" i="3"/>
  <c r="Y67" i="3" s="1"/>
  <c r="X66" i="3"/>
  <c r="X67" i="3" s="1"/>
  <c r="W66" i="3"/>
  <c r="W67" i="3" s="1"/>
  <c r="V66" i="3"/>
  <c r="V67" i="3" s="1"/>
  <c r="W65" i="3"/>
  <c r="Y63" i="3"/>
  <c r="X63" i="3"/>
  <c r="W63" i="3"/>
  <c r="V63" i="3"/>
  <c r="Y60" i="3"/>
  <c r="Y62" i="3" s="1"/>
  <c r="X60" i="3"/>
  <c r="X62" i="3" s="1"/>
  <c r="W60" i="3"/>
  <c r="W62" i="3" s="1"/>
  <c r="V60" i="3"/>
  <c r="V62" i="3" s="1"/>
  <c r="Y59" i="3"/>
  <c r="X59" i="3"/>
  <c r="W59" i="3"/>
  <c r="V59" i="3"/>
  <c r="Y57" i="3"/>
  <c r="X57" i="3"/>
  <c r="W57" i="3"/>
  <c r="V57" i="3"/>
  <c r="Y56" i="3"/>
  <c r="X56" i="3"/>
  <c r="W56" i="3"/>
  <c r="V56" i="3"/>
  <c r="Y50" i="3"/>
  <c r="X50" i="3"/>
  <c r="W50" i="3"/>
  <c r="V50" i="3"/>
  <c r="Y49" i="3"/>
  <c r="X49" i="3"/>
  <c r="W49" i="3"/>
  <c r="V49" i="3"/>
  <c r="V58" i="3" s="1"/>
  <c r="Y48" i="3"/>
  <c r="X48" i="3"/>
  <c r="W48" i="3"/>
  <c r="V48" i="3"/>
  <c r="R68" i="3"/>
  <c r="K9" i="11" s="1"/>
  <c r="U66" i="3"/>
  <c r="U67" i="3" s="1"/>
  <c r="T66" i="3"/>
  <c r="T67" i="3" s="1"/>
  <c r="S66" i="3"/>
  <c r="S67" i="3" s="1"/>
  <c r="R66" i="3"/>
  <c r="R67" i="3" s="1"/>
  <c r="U63" i="3"/>
  <c r="T63" i="3"/>
  <c r="S63" i="3"/>
  <c r="R63" i="3"/>
  <c r="U60" i="3"/>
  <c r="U62" i="3" s="1"/>
  <c r="T60" i="3"/>
  <c r="T62" i="3" s="1"/>
  <c r="S60" i="3"/>
  <c r="S62" i="3" s="1"/>
  <c r="R60" i="3"/>
  <c r="R62" i="3" s="1"/>
  <c r="U59" i="3"/>
  <c r="T59" i="3"/>
  <c r="S59" i="3"/>
  <c r="R59" i="3"/>
  <c r="U57" i="3"/>
  <c r="T57" i="3"/>
  <c r="S57" i="3"/>
  <c r="R57" i="3"/>
  <c r="U56" i="3"/>
  <c r="T56" i="3"/>
  <c r="S56" i="3"/>
  <c r="R56" i="3"/>
  <c r="U50" i="3"/>
  <c r="T50" i="3"/>
  <c r="S50" i="3"/>
  <c r="R50" i="3"/>
  <c r="U49" i="3"/>
  <c r="T49" i="3"/>
  <c r="S49" i="3"/>
  <c r="R49" i="3"/>
  <c r="R58" i="3" s="1"/>
  <c r="U48" i="3"/>
  <c r="T48" i="3"/>
  <c r="S48" i="3"/>
  <c r="R48" i="3"/>
  <c r="N68" i="3"/>
  <c r="I9" i="11" s="1"/>
  <c r="Q66" i="3"/>
  <c r="Q67" i="3" s="1"/>
  <c r="P66" i="3"/>
  <c r="P67" i="3" s="1"/>
  <c r="O66" i="3"/>
  <c r="O67" i="3" s="1"/>
  <c r="N66" i="3"/>
  <c r="N67" i="3" s="1"/>
  <c r="Q63" i="3"/>
  <c r="P63" i="3"/>
  <c r="O63" i="3"/>
  <c r="N63" i="3"/>
  <c r="Q60" i="3"/>
  <c r="Q62" i="3" s="1"/>
  <c r="P60" i="3"/>
  <c r="P62" i="3" s="1"/>
  <c r="O60" i="3"/>
  <c r="O61" i="3" s="1"/>
  <c r="N60" i="3"/>
  <c r="N62" i="3" s="1"/>
  <c r="Q59" i="3"/>
  <c r="P59" i="3"/>
  <c r="O59" i="3"/>
  <c r="N59" i="3"/>
  <c r="Q57" i="3"/>
  <c r="P57" i="3"/>
  <c r="O57" i="3"/>
  <c r="N57" i="3"/>
  <c r="Q56" i="3"/>
  <c r="P56" i="3"/>
  <c r="O56" i="3"/>
  <c r="N56" i="3"/>
  <c r="Q50" i="3"/>
  <c r="P50" i="3"/>
  <c r="O50" i="3"/>
  <c r="N50" i="3"/>
  <c r="Q49" i="3"/>
  <c r="P49" i="3"/>
  <c r="O49" i="3"/>
  <c r="N49" i="3"/>
  <c r="N58" i="3" s="1"/>
  <c r="Q48" i="3"/>
  <c r="P48" i="3"/>
  <c r="O48" i="3"/>
  <c r="N48" i="3"/>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S8" i="11"/>
  <c r="R13" i="11"/>
  <c r="Q13" i="11"/>
  <c r="R12" i="11"/>
  <c r="Q12" i="11"/>
  <c r="R11" i="11"/>
  <c r="Q11" i="11"/>
  <c r="R10" i="11"/>
  <c r="Q10" i="11"/>
  <c r="Q46" i="11" s="1"/>
  <c r="Q8" i="11"/>
  <c r="P13" i="11"/>
  <c r="O13" i="11"/>
  <c r="P12" i="11"/>
  <c r="O12" i="11"/>
  <c r="P11" i="11"/>
  <c r="O11" i="11"/>
  <c r="O47" i="11" s="1"/>
  <c r="P10" i="11"/>
  <c r="O10" i="11"/>
  <c r="O8" i="11"/>
  <c r="N13" i="11"/>
  <c r="M13" i="11"/>
  <c r="N12" i="11"/>
  <c r="M12" i="11"/>
  <c r="N11" i="11"/>
  <c r="M11" i="11"/>
  <c r="M42" i="11" s="1"/>
  <c r="N10" i="11"/>
  <c r="M10" i="11"/>
  <c r="M46" i="11" s="1"/>
  <c r="M8" i="11"/>
  <c r="N24" i="11" s="1"/>
  <c r="N25" i="11" s="1"/>
  <c r="L13" i="11"/>
  <c r="K13" i="11"/>
  <c r="L12" i="11"/>
  <c r="K12" i="11"/>
  <c r="L11" i="11"/>
  <c r="K11" i="11"/>
  <c r="L10" i="11"/>
  <c r="L16" i="11" s="1"/>
  <c r="L17" i="11" s="1"/>
  <c r="K10" i="11"/>
  <c r="K46" i="11" s="1"/>
  <c r="K8" i="11"/>
  <c r="J13" i="11"/>
  <c r="I13" i="11"/>
  <c r="J12" i="11"/>
  <c r="I12" i="11"/>
  <c r="J11" i="11"/>
  <c r="I11" i="11"/>
  <c r="J10" i="11"/>
  <c r="J16" i="11" s="1"/>
  <c r="J17" i="11" s="1"/>
  <c r="I10" i="11"/>
  <c r="I46" i="11" s="1"/>
  <c r="I8" i="11"/>
  <c r="I45" i="11" s="1"/>
  <c r="G15" i="11"/>
  <c r="H15" i="11"/>
  <c r="H13" i="11"/>
  <c r="G13" i="11"/>
  <c r="H12" i="11"/>
  <c r="G12" i="11"/>
  <c r="H11" i="11"/>
  <c r="E8" i="11"/>
  <c r="H10" i="11"/>
  <c r="H16" i="11" s="1"/>
  <c r="H17" i="11" s="1"/>
  <c r="G10" i="11"/>
  <c r="F10" i="11"/>
  <c r="F16" i="11" s="1"/>
  <c r="E10" i="11"/>
  <c r="E16" i="11" s="1"/>
  <c r="F13" i="11"/>
  <c r="F12" i="11"/>
  <c r="E13" i="11"/>
  <c r="E12" i="11"/>
  <c r="F11" i="11"/>
  <c r="E11" i="11"/>
  <c r="I85" i="15"/>
  <c r="F96" i="15"/>
  <c r="M85" i="15"/>
  <c r="G85" i="15"/>
  <c r="H85" i="15"/>
  <c r="N85" i="15"/>
  <c r="G96" i="15"/>
  <c r="H96" i="15"/>
  <c r="I96" i="15"/>
  <c r="O64" i="15"/>
  <c r="M64" i="3"/>
  <c r="F85" i="15"/>
  <c r="M96" i="15"/>
  <c r="N96" i="15"/>
  <c r="H64" i="15"/>
  <c r="J64" i="15"/>
  <c r="I20" i="11"/>
  <c r="V20" i="11"/>
  <c r="AF20" i="11"/>
  <c r="J20" i="11"/>
  <c r="AB20" i="11"/>
  <c r="X20" i="11"/>
  <c r="AP20" i="11"/>
  <c r="AJ20" i="11"/>
  <c r="M20" i="11"/>
  <c r="AA20" i="11"/>
  <c r="AG20" i="11"/>
  <c r="AO19" i="11"/>
  <c r="O20" i="11"/>
  <c r="N20" i="11"/>
  <c r="G20" i="11"/>
  <c r="AN20" i="11"/>
  <c r="AK20" i="11"/>
  <c r="R20" i="11"/>
  <c r="L20" i="11"/>
  <c r="K20" i="11"/>
  <c r="AH20" i="11"/>
  <c r="H20" i="11"/>
  <c r="AL20" i="11"/>
  <c r="Q20" i="11"/>
  <c r="AC20" i="11"/>
  <c r="Z20" i="11"/>
  <c r="AE20" i="11"/>
  <c r="P20" i="11"/>
  <c r="AI20" i="11"/>
  <c r="AM20" i="11"/>
  <c r="Y20" i="11"/>
  <c r="S20" i="11"/>
  <c r="AR20" i="11"/>
  <c r="AO20" i="11"/>
  <c r="T20" i="11"/>
  <c r="W20" i="11"/>
  <c r="U20" i="11"/>
  <c r="AQ20" i="11"/>
  <c r="AD20" i="11"/>
  <c r="H36" i="17" l="1"/>
  <c r="I36" i="17" s="1"/>
  <c r="K35" i="17"/>
  <c r="H65" i="15"/>
  <c r="H66" i="15" s="1"/>
  <c r="F56" i="15"/>
  <c r="I56" i="15"/>
  <c r="G56" i="15"/>
  <c r="K91" i="15"/>
  <c r="K92" i="15" s="1"/>
  <c r="K57" i="15"/>
  <c r="J65" i="15"/>
  <c r="J66" i="15" s="1"/>
  <c r="L94" i="15"/>
  <c r="L58" i="15"/>
  <c r="L95" i="15"/>
  <c r="L89" i="15"/>
  <c r="L91" i="15"/>
  <c r="L92" i="15" s="1"/>
  <c r="L93" i="15" s="1"/>
  <c r="L52" i="15"/>
  <c r="L51" i="15" s="1"/>
  <c r="L53" i="15" s="1"/>
  <c r="L54" i="15" s="1"/>
  <c r="L55" i="15" s="1"/>
  <c r="M56" i="15"/>
  <c r="K93" i="15"/>
  <c r="K94" i="15"/>
  <c r="K58" i="15"/>
  <c r="K95" i="15"/>
  <c r="K52" i="15"/>
  <c r="K51" i="15" s="1"/>
  <c r="K53" i="15" s="1"/>
  <c r="K54" i="15" s="1"/>
  <c r="K55" i="15" s="1"/>
  <c r="K89" i="15"/>
  <c r="K83" i="15"/>
  <c r="K84" i="15"/>
  <c r="K78" i="15"/>
  <c r="K80" i="15"/>
  <c r="K81" i="15" s="1"/>
  <c r="K82" i="15" s="1"/>
  <c r="L84" i="15"/>
  <c r="L83" i="15"/>
  <c r="L78" i="15"/>
  <c r="L80" i="15"/>
  <c r="L81" i="15" s="1"/>
  <c r="L82" i="15" s="1"/>
  <c r="P80" i="15"/>
  <c r="P81" i="15" s="1"/>
  <c r="P82" i="15" s="1"/>
  <c r="P84" i="15"/>
  <c r="P78" i="15"/>
  <c r="P83" i="15"/>
  <c r="P95" i="15"/>
  <c r="P58" i="15"/>
  <c r="P91" i="15"/>
  <c r="P92" i="15" s="1"/>
  <c r="P93" i="15" s="1"/>
  <c r="P52" i="15"/>
  <c r="P51" i="15" s="1"/>
  <c r="P53" i="15" s="1"/>
  <c r="P54" i="15" s="1"/>
  <c r="P55" i="15" s="1"/>
  <c r="P89" i="15"/>
  <c r="P94" i="15"/>
  <c r="O65" i="15"/>
  <c r="O66" i="15" s="1"/>
  <c r="N56" i="15"/>
  <c r="R100" i="15"/>
  <c r="R102" i="15" s="1"/>
  <c r="S100" i="15"/>
  <c r="S102" i="15" s="1"/>
  <c r="AP90" i="3"/>
  <c r="V79" i="3"/>
  <c r="V80" i="3" s="1"/>
  <c r="V81" i="3" s="1"/>
  <c r="AO31" i="11"/>
  <c r="S58" i="3"/>
  <c r="AM31" i="11"/>
  <c r="AI31" i="11"/>
  <c r="AQ31" i="11"/>
  <c r="S17" i="15"/>
  <c r="S76" i="15" s="1"/>
  <c r="S49" i="15"/>
  <c r="S57" i="15" s="1"/>
  <c r="R17" i="15"/>
  <c r="R76" i="15" s="1"/>
  <c r="R49" i="15"/>
  <c r="R57" i="15" s="1"/>
  <c r="S60" i="15"/>
  <c r="S61" i="15" s="1"/>
  <c r="E62" i="15"/>
  <c r="E68" i="15"/>
  <c r="Q107" i="15"/>
  <c r="Q108" i="15" s="1"/>
  <c r="Q16" i="15"/>
  <c r="R60" i="15"/>
  <c r="R61" i="15" s="1"/>
  <c r="S68" i="15"/>
  <c r="E107" i="15"/>
  <c r="E108" i="15" s="1"/>
  <c r="E16" i="15"/>
  <c r="R107" i="15"/>
  <c r="R108" i="15" s="1"/>
  <c r="S107" i="15"/>
  <c r="S108" i="15" s="1"/>
  <c r="R68" i="15"/>
  <c r="Q62" i="15"/>
  <c r="Q68" i="15"/>
  <c r="W23" i="11"/>
  <c r="W41" i="11" s="1"/>
  <c r="P52" i="3"/>
  <c r="P51" i="3" s="1"/>
  <c r="P53" i="3" s="1"/>
  <c r="P54" i="3" s="1"/>
  <c r="P55" i="3" s="1"/>
  <c r="U52" i="3"/>
  <c r="U51" i="3" s="1"/>
  <c r="Q58" i="3"/>
  <c r="Q52" i="3"/>
  <c r="Q51" i="3" s="1"/>
  <c r="Q53" i="3" s="1"/>
  <c r="Q54" i="3" s="1"/>
  <c r="Q55" i="3" s="1"/>
  <c r="R52" i="3"/>
  <c r="R51" i="3" s="1"/>
  <c r="R53" i="3" s="1"/>
  <c r="R54" i="3" s="1"/>
  <c r="R55" i="3" s="1"/>
  <c r="W58" i="3"/>
  <c r="W52" i="3"/>
  <c r="W51" i="3" s="1"/>
  <c r="W53" i="3" s="1"/>
  <c r="W54" i="3" s="1"/>
  <c r="W55" i="3" s="1"/>
  <c r="AB58" i="3"/>
  <c r="AB52" i="3"/>
  <c r="AB51" i="3" s="1"/>
  <c r="AB53" i="3" s="1"/>
  <c r="AB54" i="3" s="1"/>
  <c r="AB55" i="3" s="1"/>
  <c r="AF58" i="3"/>
  <c r="AF52" i="3"/>
  <c r="AF51" i="3" s="1"/>
  <c r="AF53" i="3" s="1"/>
  <c r="AF54" i="3" s="1"/>
  <c r="AF55" i="3" s="1"/>
  <c r="P58" i="3"/>
  <c r="U58" i="3"/>
  <c r="V52" i="3"/>
  <c r="V51" i="3" s="1"/>
  <c r="N52" i="3"/>
  <c r="N51" i="3" s="1"/>
  <c r="N53" i="3" s="1"/>
  <c r="N54" i="3" s="1"/>
  <c r="N55" i="3" s="1"/>
  <c r="S52" i="3"/>
  <c r="S51" i="3" s="1"/>
  <c r="S53" i="3" s="1"/>
  <c r="S54" i="3" s="1"/>
  <c r="S55" i="3" s="1"/>
  <c r="X58" i="3"/>
  <c r="X52" i="3"/>
  <c r="X51" i="3" s="1"/>
  <c r="X53" i="3" s="1"/>
  <c r="X54" i="3" s="1"/>
  <c r="X55" i="3" s="1"/>
  <c r="AC58" i="3"/>
  <c r="AC52" i="3"/>
  <c r="AC51" i="3" s="1"/>
  <c r="AC53" i="3" s="1"/>
  <c r="AC54" i="3" s="1"/>
  <c r="AC55" i="3" s="1"/>
  <c r="AG58" i="3"/>
  <c r="AG52" i="3"/>
  <c r="AG51" i="3" s="1"/>
  <c r="AG53" i="3" s="1"/>
  <c r="AG54" i="3" s="1"/>
  <c r="AG55" i="3" s="1"/>
  <c r="AK58" i="3"/>
  <c r="U53" i="3"/>
  <c r="U54" i="3" s="1"/>
  <c r="U55" i="3" s="1"/>
  <c r="AA58" i="3"/>
  <c r="AA52" i="3"/>
  <c r="AA51" i="3" s="1"/>
  <c r="AA53" i="3" s="1"/>
  <c r="AA54" i="3" s="1"/>
  <c r="AA55" i="3" s="1"/>
  <c r="AE53" i="3"/>
  <c r="AE54" i="3" s="1"/>
  <c r="AE55" i="3" s="1"/>
  <c r="AE58" i="3"/>
  <c r="AE52" i="3"/>
  <c r="AE51" i="3" s="1"/>
  <c r="AI58" i="3"/>
  <c r="AI52" i="3"/>
  <c r="AI51" i="3" s="1"/>
  <c r="AM53" i="3"/>
  <c r="AM54" i="3" s="1"/>
  <c r="AM55" i="3" s="1"/>
  <c r="AM58" i="3"/>
  <c r="AM52" i="3"/>
  <c r="AM51" i="3" s="1"/>
  <c r="AQ58" i="3"/>
  <c r="AQ52" i="3"/>
  <c r="AQ51" i="3" s="1"/>
  <c r="AQ53" i="3" s="1"/>
  <c r="AQ54" i="3" s="1"/>
  <c r="AQ55" i="3" s="1"/>
  <c r="AV58" i="3"/>
  <c r="AV52" i="3"/>
  <c r="AV51" i="3" s="1"/>
  <c r="AY58" i="3"/>
  <c r="AY52" i="3"/>
  <c r="AY51" i="3" s="1"/>
  <c r="AY53" i="3" s="1"/>
  <c r="AY54" i="3" s="1"/>
  <c r="AY55" i="3" s="1"/>
  <c r="BC58" i="3"/>
  <c r="BC52" i="3"/>
  <c r="BC51" i="3" s="1"/>
  <c r="BC53" i="3" s="1"/>
  <c r="BC54" i="3" s="1"/>
  <c r="BC55" i="3" s="1"/>
  <c r="BG53" i="3"/>
  <c r="BG54" i="3" s="1"/>
  <c r="BG55" i="3" s="1"/>
  <c r="BG58" i="3"/>
  <c r="BG52" i="3"/>
  <c r="BG51" i="3" s="1"/>
  <c r="BL58" i="3"/>
  <c r="BL52" i="3"/>
  <c r="BL51" i="3" s="1"/>
  <c r="BL53" i="3" s="1"/>
  <c r="BL54" i="3" s="1"/>
  <c r="BL55" i="3" s="1"/>
  <c r="BQ58" i="3"/>
  <c r="BQ52" i="3"/>
  <c r="BQ51" i="3" s="1"/>
  <c r="BQ53" i="3" s="1"/>
  <c r="BQ54" i="3" s="1"/>
  <c r="BQ55" i="3" s="1"/>
  <c r="BR52" i="3"/>
  <c r="BR51" i="3" s="1"/>
  <c r="BR53" i="3" s="1"/>
  <c r="BR54" i="3" s="1"/>
  <c r="BR55" i="3" s="1"/>
  <c r="CB53" i="3"/>
  <c r="CB54" i="3" s="1"/>
  <c r="CB55" i="3" s="1"/>
  <c r="CB58" i="3"/>
  <c r="CB52" i="3"/>
  <c r="CB51" i="3" s="1"/>
  <c r="CE58" i="3"/>
  <c r="CE52" i="3"/>
  <c r="CE51" i="3" s="1"/>
  <c r="CE53" i="3" s="1"/>
  <c r="CE54" i="3" s="1"/>
  <c r="CE55" i="3" s="1"/>
  <c r="CJ58" i="3"/>
  <c r="CJ52" i="3"/>
  <c r="CJ51" i="3" s="1"/>
  <c r="Z118" i="3"/>
  <c r="M31" i="11"/>
  <c r="AP118" i="3"/>
  <c r="U31" i="11"/>
  <c r="AA31" i="11"/>
  <c r="Q31" i="11"/>
  <c r="AJ58" i="3"/>
  <c r="AJ52" i="3"/>
  <c r="AJ51" i="3" s="1"/>
  <c r="AJ53" i="3" s="1"/>
  <c r="AJ54" i="3" s="1"/>
  <c r="AJ55" i="3" s="1"/>
  <c r="AN58" i="3"/>
  <c r="AN52" i="3"/>
  <c r="AN51" i="3" s="1"/>
  <c r="AN53" i="3" s="1"/>
  <c r="AN54" i="3" s="1"/>
  <c r="AN55" i="3" s="1"/>
  <c r="AR58" i="3"/>
  <c r="AR52" i="3"/>
  <c r="AR51" i="3" s="1"/>
  <c r="AR53" i="3" s="1"/>
  <c r="AR54" i="3" s="1"/>
  <c r="AR55" i="3" s="1"/>
  <c r="AW58" i="3"/>
  <c r="AW52" i="3"/>
  <c r="AW51" i="3" s="1"/>
  <c r="AW53" i="3" s="1"/>
  <c r="AW54" i="3" s="1"/>
  <c r="AW55" i="3" s="1"/>
  <c r="AZ58" i="3"/>
  <c r="AZ52" i="3"/>
  <c r="AZ51" i="3" s="1"/>
  <c r="AZ53" i="3" s="1"/>
  <c r="AZ54" i="3" s="1"/>
  <c r="AZ55" i="3" s="1"/>
  <c r="BD58" i="3"/>
  <c r="BD52" i="3"/>
  <c r="BD51" i="3" s="1"/>
  <c r="BD53" i="3" s="1"/>
  <c r="BD54" i="3" s="1"/>
  <c r="BD55" i="3" s="1"/>
  <c r="BH58" i="3"/>
  <c r="BH52" i="3"/>
  <c r="BH51" i="3" s="1"/>
  <c r="BH53" i="3" s="1"/>
  <c r="BH54" i="3" s="1"/>
  <c r="BH55" i="3" s="1"/>
  <c r="BM58" i="3"/>
  <c r="BM52" i="3"/>
  <c r="BM51" i="3" s="1"/>
  <c r="BM53" i="3" s="1"/>
  <c r="BM54" i="3" s="1"/>
  <c r="BM55" i="3" s="1"/>
  <c r="BN52" i="3"/>
  <c r="BN51" i="3" s="1"/>
  <c r="BN53" i="3" s="1"/>
  <c r="BN54" i="3" s="1"/>
  <c r="BN55" i="3" s="1"/>
  <c r="BS53" i="3"/>
  <c r="BS54" i="3" s="1"/>
  <c r="BS55" i="3" s="1"/>
  <c r="BS58" i="3"/>
  <c r="BS52" i="3"/>
  <c r="BS51" i="3" s="1"/>
  <c r="BX58" i="3"/>
  <c r="BX52" i="3"/>
  <c r="BX51" i="3" s="1"/>
  <c r="BX53" i="3" s="1"/>
  <c r="BX54" i="3" s="1"/>
  <c r="BX55" i="3" s="1"/>
  <c r="CC58" i="3"/>
  <c r="CC52" i="3"/>
  <c r="CC51" i="3" s="1"/>
  <c r="CC53" i="3" s="1"/>
  <c r="CC54" i="3" s="1"/>
  <c r="CC55" i="3" s="1"/>
  <c r="CF58" i="3"/>
  <c r="CF52" i="3"/>
  <c r="CF51" i="3" s="1"/>
  <c r="CF53" i="3" s="1"/>
  <c r="CF54" i="3" s="1"/>
  <c r="CF55" i="3" s="1"/>
  <c r="CK58" i="3"/>
  <c r="CK52" i="3"/>
  <c r="CK51" i="3" s="1"/>
  <c r="CK53" i="3" s="1"/>
  <c r="CK54" i="3" s="1"/>
  <c r="CK55" i="3" s="1"/>
  <c r="BF118" i="3"/>
  <c r="AC31" i="11"/>
  <c r="Y31" i="11"/>
  <c r="O31" i="11"/>
  <c r="BZ52" i="3"/>
  <c r="BZ51" i="3" s="1"/>
  <c r="BZ53" i="3" s="1"/>
  <c r="BZ54" i="3" s="1"/>
  <c r="BZ55" i="3" s="1"/>
  <c r="BT89" i="3"/>
  <c r="CB89" i="3"/>
  <c r="AG31" i="11"/>
  <c r="K31" i="11"/>
  <c r="AK52" i="3"/>
  <c r="AK51" i="3" s="1"/>
  <c r="AK53" i="3" s="1"/>
  <c r="AK54" i="3" s="1"/>
  <c r="AK55" i="3" s="1"/>
  <c r="AO58" i="3"/>
  <c r="AO52" i="3"/>
  <c r="AO51" i="3" s="1"/>
  <c r="AO53" i="3" s="1"/>
  <c r="AO54" i="3" s="1"/>
  <c r="AO55" i="3" s="1"/>
  <c r="AS58" i="3"/>
  <c r="AS52" i="3"/>
  <c r="AS51" i="3" s="1"/>
  <c r="AS53" i="3" s="1"/>
  <c r="AS54" i="3" s="1"/>
  <c r="AS55" i="3" s="1"/>
  <c r="AT52" i="3"/>
  <c r="AT51" i="3" s="1"/>
  <c r="AT53" i="3" s="1"/>
  <c r="AT54" i="3" s="1"/>
  <c r="AT55" i="3" s="1"/>
  <c r="BA58" i="3"/>
  <c r="BA52" i="3"/>
  <c r="BA51" i="3" s="1"/>
  <c r="BA53" i="3" s="1"/>
  <c r="BA54" i="3" s="1"/>
  <c r="BA55" i="3" s="1"/>
  <c r="BE58" i="3"/>
  <c r="BE52" i="3"/>
  <c r="BE51" i="3" s="1"/>
  <c r="BE53" i="3" s="1"/>
  <c r="BE54" i="3" s="1"/>
  <c r="BE55" i="3" s="1"/>
  <c r="BI58" i="3"/>
  <c r="BI52" i="3"/>
  <c r="BI51" i="3" s="1"/>
  <c r="BI53" i="3" s="1"/>
  <c r="BI54" i="3" s="1"/>
  <c r="BI55" i="3" s="1"/>
  <c r="BJ52" i="3"/>
  <c r="BJ51" i="3" s="1"/>
  <c r="BJ53" i="3" s="1"/>
  <c r="BJ54" i="3" s="1"/>
  <c r="BJ55" i="3" s="1"/>
  <c r="BO58" i="3"/>
  <c r="BO52" i="3"/>
  <c r="BO51" i="3" s="1"/>
  <c r="BT58" i="3"/>
  <c r="BT52" i="3"/>
  <c r="BT51" i="3" s="1"/>
  <c r="BT53" i="3" s="1"/>
  <c r="BT54" i="3" s="1"/>
  <c r="BT55" i="3" s="1"/>
  <c r="BY58" i="3"/>
  <c r="BY52" i="3"/>
  <c r="BY51" i="3" s="1"/>
  <c r="BY53" i="3" s="1"/>
  <c r="BY54" i="3" s="1"/>
  <c r="BY55" i="3" s="1"/>
  <c r="O58" i="3"/>
  <c r="O52" i="3"/>
  <c r="O51" i="3" s="1"/>
  <c r="T58" i="3"/>
  <c r="T52" i="3"/>
  <c r="T51" i="3" s="1"/>
  <c r="T53" i="3" s="1"/>
  <c r="T54" i="3" s="1"/>
  <c r="T55" i="3" s="1"/>
  <c r="Y58" i="3"/>
  <c r="Y52" i="3"/>
  <c r="Y51" i="3" s="1"/>
  <c r="Y53" i="3" s="1"/>
  <c r="Y54" i="3" s="1"/>
  <c r="Y55" i="3" s="1"/>
  <c r="Z52" i="3"/>
  <c r="Z51" i="3" s="1"/>
  <c r="Z53" i="3" s="1"/>
  <c r="Z54" i="3" s="1"/>
  <c r="Z55" i="3" s="1"/>
  <c r="AD52" i="3"/>
  <c r="AD51" i="3" s="1"/>
  <c r="AD53" i="3" s="1"/>
  <c r="AD54" i="3" s="1"/>
  <c r="AD55" i="3" s="1"/>
  <c r="AH52" i="3"/>
  <c r="AH51" i="3" s="1"/>
  <c r="AH53" i="3" s="1"/>
  <c r="AH54" i="3" s="1"/>
  <c r="AH55" i="3" s="1"/>
  <c r="AL52" i="3"/>
  <c r="AL51" i="3" s="1"/>
  <c r="AL53" i="3" s="1"/>
  <c r="AL54" i="3" s="1"/>
  <c r="AL55" i="3" s="1"/>
  <c r="AP52" i="3"/>
  <c r="AP51" i="3" s="1"/>
  <c r="AP53" i="3" s="1"/>
  <c r="AP54" i="3" s="1"/>
  <c r="AP55" i="3" s="1"/>
  <c r="AU58" i="3"/>
  <c r="AU52" i="3"/>
  <c r="AU51" i="3" s="1"/>
  <c r="AU53" i="3" s="1"/>
  <c r="AU54" i="3" s="1"/>
  <c r="AU55" i="3" s="1"/>
  <c r="AX52" i="3"/>
  <c r="AX51" i="3" s="1"/>
  <c r="AX53" i="3" s="1"/>
  <c r="AX54" i="3" s="1"/>
  <c r="AX55" i="3" s="1"/>
  <c r="BB52" i="3"/>
  <c r="BB51" i="3" s="1"/>
  <c r="BB53" i="3" s="1"/>
  <c r="BB54" i="3" s="1"/>
  <c r="BB55" i="3" s="1"/>
  <c r="BF52" i="3"/>
  <c r="BF51" i="3" s="1"/>
  <c r="BF53" i="3" s="1"/>
  <c r="BF54" i="3" s="1"/>
  <c r="BF55" i="3" s="1"/>
  <c r="BK58" i="3"/>
  <c r="BK52" i="3"/>
  <c r="BK51" i="3" s="1"/>
  <c r="BP58" i="3"/>
  <c r="BP52" i="3"/>
  <c r="BP51" i="3" s="1"/>
  <c r="BP53" i="3" s="1"/>
  <c r="BP54" i="3" s="1"/>
  <c r="BP55" i="3" s="1"/>
  <c r="BU58" i="3"/>
  <c r="BU52" i="3"/>
  <c r="BU51" i="3" s="1"/>
  <c r="BU53" i="3" s="1"/>
  <c r="BU54" i="3" s="1"/>
  <c r="BU55" i="3" s="1"/>
  <c r="BV52" i="3"/>
  <c r="BV51" i="3" s="1"/>
  <c r="BV53" i="3" s="1"/>
  <c r="BV54" i="3" s="1"/>
  <c r="BV55" i="3" s="1"/>
  <c r="CD52" i="3"/>
  <c r="CD51" i="3" s="1"/>
  <c r="CD53" i="3" s="1"/>
  <c r="CD54" i="3" s="1"/>
  <c r="CD55" i="3" s="1"/>
  <c r="CI58" i="3"/>
  <c r="CI52" i="3"/>
  <c r="CI51" i="3" s="1"/>
  <c r="CI53" i="3" s="1"/>
  <c r="CI54" i="3" s="1"/>
  <c r="CI55" i="3" s="1"/>
  <c r="N118" i="3"/>
  <c r="I31" i="11"/>
  <c r="AC100" i="3"/>
  <c r="AB29" i="11" s="1"/>
  <c r="AF89" i="3"/>
  <c r="AJ89" i="3"/>
  <c r="AV89" i="3"/>
  <c r="BJ118" i="3"/>
  <c r="BV118" i="3"/>
  <c r="AK31" i="11"/>
  <c r="S31" i="11"/>
  <c r="BW58" i="3"/>
  <c r="BW52" i="3"/>
  <c r="BW51" i="3" s="1"/>
  <c r="BW53" i="3" s="1"/>
  <c r="BW54" i="3" s="1"/>
  <c r="BW55" i="3" s="1"/>
  <c r="CA58" i="3"/>
  <c r="CA52" i="3"/>
  <c r="CA51" i="3" s="1"/>
  <c r="CA53" i="3" s="1"/>
  <c r="CA54" i="3" s="1"/>
  <c r="CA55" i="3" s="1"/>
  <c r="CG58" i="3"/>
  <c r="CG52" i="3"/>
  <c r="CG51" i="3" s="1"/>
  <c r="CG53" i="3" s="1"/>
  <c r="CG54" i="3" s="1"/>
  <c r="CG55" i="3" s="1"/>
  <c r="CH53" i="3"/>
  <c r="CH54" i="3" s="1"/>
  <c r="CH55" i="3" s="1"/>
  <c r="CH52" i="3"/>
  <c r="CH51" i="3" s="1"/>
  <c r="W89" i="3"/>
  <c r="AZ89" i="3"/>
  <c r="H24" i="11"/>
  <c r="H25" i="11" s="1"/>
  <c r="AK47" i="11"/>
  <c r="AK48" i="11" s="1"/>
  <c r="Q16" i="11"/>
  <c r="Q17" i="11" s="1"/>
  <c r="U40" i="11"/>
  <c r="AM42" i="11"/>
  <c r="I18" i="11"/>
  <c r="K16" i="11"/>
  <c r="K17" i="11" s="1"/>
  <c r="AG16" i="11"/>
  <c r="AG17" i="11" s="1"/>
  <c r="AC40" i="11"/>
  <c r="M47" i="11"/>
  <c r="M48" i="11" s="1"/>
  <c r="Y18" i="11"/>
  <c r="I16" i="11"/>
  <c r="I17" i="11" s="1"/>
  <c r="G42" i="11"/>
  <c r="P9" i="9" s="1"/>
  <c r="Q9" i="9" s="1"/>
  <c r="H18" i="11"/>
  <c r="O42" i="11"/>
  <c r="K47" i="11"/>
  <c r="K42" i="11"/>
  <c r="N16" i="11"/>
  <c r="N17" i="11" s="1"/>
  <c r="N18" i="11"/>
  <c r="O16" i="11"/>
  <c r="O17" i="11" s="1"/>
  <c r="O46" i="11"/>
  <c r="Q45" i="11"/>
  <c r="Q40" i="11"/>
  <c r="R24" i="11"/>
  <c r="R25"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G18" i="11"/>
  <c r="G46" i="11"/>
  <c r="K45" i="11"/>
  <c r="K40" i="11"/>
  <c r="L24" i="11"/>
  <c r="L25" i="11" s="1"/>
  <c r="K24" i="11"/>
  <c r="K25" i="11" s="1"/>
  <c r="P16" i="11"/>
  <c r="P17" i="11" s="1"/>
  <c r="P18" i="1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O18" i="11"/>
  <c r="AC18" i="11"/>
  <c r="G16" i="11"/>
  <c r="G17" i="11" s="1"/>
  <c r="Y16" i="11"/>
  <c r="Y17" i="11" s="1"/>
  <c r="M24" i="11"/>
  <c r="M25" i="11" s="1"/>
  <c r="AB24" i="11"/>
  <c r="AB25" i="11" s="1"/>
  <c r="AR24" i="11"/>
  <c r="AR25" i="11" s="1"/>
  <c r="W42" i="11"/>
  <c r="U46" i="11"/>
  <c r="AC47" i="11"/>
  <c r="I47" i="11"/>
  <c r="I42" i="11"/>
  <c r="P24" i="11"/>
  <c r="P25" i="11" s="1"/>
  <c r="O24" i="11"/>
  <c r="O25" i="11" s="1"/>
  <c r="O45" i="11"/>
  <c r="O40" i="11"/>
  <c r="Q47" i="11"/>
  <c r="Q42"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L18" i="11"/>
  <c r="U18" i="11"/>
  <c r="AK18" i="11"/>
  <c r="J24" i="11"/>
  <c r="J25" i="11" s="1"/>
  <c r="I40" i="11"/>
  <c r="I24" i="11"/>
  <c r="I25" i="11" s="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M18" i="11"/>
  <c r="O48" i="11"/>
  <c r="R13" i="9"/>
  <c r="S13" i="9" s="1"/>
  <c r="R16" i="11"/>
  <c r="R17" i="11" s="1"/>
  <c r="R18" i="1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K18" i="11"/>
  <c r="Q18" i="11"/>
  <c r="AG18" i="11"/>
  <c r="M16" i="11"/>
  <c r="M17" i="11" s="1"/>
  <c r="G45" i="11"/>
  <c r="G24" i="11"/>
  <c r="G25" i="11" s="1"/>
  <c r="Q24" i="11"/>
  <c r="Q25" i="11" s="1"/>
  <c r="AF24" i="11"/>
  <c r="AF25" i="11" s="1"/>
  <c r="M40" i="11"/>
  <c r="AE42" i="11"/>
  <c r="M45" i="11"/>
  <c r="U47" i="11"/>
  <c r="AK45" i="11"/>
  <c r="AO47" i="11"/>
  <c r="M23" i="11"/>
  <c r="M41" i="11" s="1"/>
  <c r="AQ23" i="11"/>
  <c r="AQ41" i="11" s="1"/>
  <c r="AO23" i="11"/>
  <c r="AO41" i="11" s="1"/>
  <c r="AM23" i="11"/>
  <c r="AM41" i="11" s="1"/>
  <c r="AK23" i="11"/>
  <c r="AK41" i="11" s="1"/>
  <c r="AI23" i="11"/>
  <c r="AI41" i="11" s="1"/>
  <c r="AG23" i="11"/>
  <c r="AG41" i="11" s="1"/>
  <c r="AE23" i="11"/>
  <c r="AE41" i="11" s="1"/>
  <c r="AC23" i="11"/>
  <c r="AC41" i="11" s="1"/>
  <c r="AA23" i="11"/>
  <c r="AA41" i="11" s="1"/>
  <c r="Y23" i="11"/>
  <c r="Y41" i="11" s="1"/>
  <c r="Q23" i="11"/>
  <c r="Q41" i="11" s="1"/>
  <c r="U23" i="11"/>
  <c r="U41" i="11" s="1"/>
  <c r="S23" i="11"/>
  <c r="S41" i="11" s="1"/>
  <c r="K23" i="11"/>
  <c r="K41" i="11" s="1"/>
  <c r="O23" i="11"/>
  <c r="O41" i="11" s="1"/>
  <c r="I23" i="11"/>
  <c r="I41" i="11" s="1"/>
  <c r="CH84" i="3"/>
  <c r="CI84" i="3"/>
  <c r="CI95" i="3"/>
  <c r="CI94" i="3"/>
  <c r="CI91" i="3"/>
  <c r="CI92" i="3" s="1"/>
  <c r="CI93" i="3" s="1"/>
  <c r="CJ95" i="3"/>
  <c r="CJ94" i="3"/>
  <c r="CJ91" i="3"/>
  <c r="CJ92" i="3" s="1"/>
  <c r="CJ93" i="3" s="1"/>
  <c r="CH95" i="3"/>
  <c r="CH94" i="3"/>
  <c r="CH91" i="3"/>
  <c r="CH92" i="3" s="1"/>
  <c r="CH93" i="3" s="1"/>
  <c r="CK84" i="3"/>
  <c r="CK95" i="3"/>
  <c r="CK94" i="3"/>
  <c r="CK91" i="3"/>
  <c r="CK92" i="3" s="1"/>
  <c r="CK93" i="3" s="1"/>
  <c r="CJ79" i="3"/>
  <c r="CJ80" i="3" s="1"/>
  <c r="CJ81" i="3" s="1"/>
  <c r="CJ82" i="3" s="1"/>
  <c r="CK78" i="3"/>
  <c r="CK82" i="3"/>
  <c r="CK83" i="3"/>
  <c r="CK89" i="3"/>
  <c r="CJ89" i="3"/>
  <c r="CH78" i="3"/>
  <c r="CH82" i="3"/>
  <c r="CH83" i="3"/>
  <c r="CH89" i="3"/>
  <c r="CI78" i="3"/>
  <c r="CI82" i="3"/>
  <c r="CI83" i="3"/>
  <c r="CI89" i="3"/>
  <c r="CD84" i="3"/>
  <c r="CE84" i="3"/>
  <c r="CE95" i="3"/>
  <c r="CE94" i="3"/>
  <c r="CE91" i="3"/>
  <c r="CE92" i="3" s="1"/>
  <c r="CE93" i="3" s="1"/>
  <c r="CF95" i="3"/>
  <c r="CF91" i="3"/>
  <c r="CF92" i="3" s="1"/>
  <c r="CF93" i="3" s="1"/>
  <c r="CF94" i="3"/>
  <c r="CD95" i="3"/>
  <c r="CD94" i="3"/>
  <c r="CD91" i="3"/>
  <c r="CD92" i="3" s="1"/>
  <c r="CD93" i="3" s="1"/>
  <c r="CG84" i="3"/>
  <c r="CG95" i="3"/>
  <c r="CG94" i="3"/>
  <c r="CG91" i="3"/>
  <c r="CG92" i="3" s="1"/>
  <c r="CG93" i="3" s="1"/>
  <c r="CF79" i="3"/>
  <c r="CF80" i="3" s="1"/>
  <c r="CF81" i="3" s="1"/>
  <c r="CF82" i="3" s="1"/>
  <c r="CF83" i="3"/>
  <c r="CF89" i="3"/>
  <c r="CG78" i="3"/>
  <c r="CG82" i="3"/>
  <c r="CG83" i="3"/>
  <c r="CG89" i="3"/>
  <c r="CD78" i="3"/>
  <c r="CD82" i="3"/>
  <c r="CD83" i="3"/>
  <c r="CD89" i="3"/>
  <c r="CE78" i="3"/>
  <c r="CE82" i="3"/>
  <c r="CE83" i="3"/>
  <c r="CE89" i="3"/>
  <c r="CA84" i="3"/>
  <c r="CC84" i="3"/>
  <c r="CC95" i="3"/>
  <c r="CC94" i="3"/>
  <c r="CC91" i="3"/>
  <c r="CC92" i="3" s="1"/>
  <c r="CC93" i="3" s="1"/>
  <c r="CA95" i="3"/>
  <c r="CA94" i="3"/>
  <c r="CA91" i="3"/>
  <c r="CA92" i="3" s="1"/>
  <c r="CA93" i="3" s="1"/>
  <c r="BZ84" i="3"/>
  <c r="BZ95" i="3"/>
  <c r="BZ94" i="3"/>
  <c r="BZ91" i="3"/>
  <c r="BZ92" i="3" s="1"/>
  <c r="BZ93" i="3" s="1"/>
  <c r="CB82" i="3"/>
  <c r="CB84" i="3"/>
  <c r="CC78" i="3"/>
  <c r="CC82" i="3"/>
  <c r="CC83" i="3"/>
  <c r="CC89" i="3"/>
  <c r="CB78" i="3"/>
  <c r="CB90" i="3"/>
  <c r="CB83" i="3" s="1"/>
  <c r="BZ78" i="3"/>
  <c r="BZ82" i="3"/>
  <c r="BZ83" i="3"/>
  <c r="BZ89" i="3"/>
  <c r="CA78" i="3"/>
  <c r="CA82" i="3"/>
  <c r="CA83" i="3"/>
  <c r="CA89" i="3"/>
  <c r="BW84" i="3"/>
  <c r="BW95" i="3"/>
  <c r="BW94" i="3"/>
  <c r="BW91" i="3"/>
  <c r="BW92" i="3" s="1"/>
  <c r="BW93" i="3" s="1"/>
  <c r="BV84" i="3"/>
  <c r="BX95" i="3"/>
  <c r="BX91" i="3"/>
  <c r="BX92" i="3" s="1"/>
  <c r="BX94" i="3"/>
  <c r="BX93" i="3"/>
  <c r="BV95" i="3"/>
  <c r="BV94" i="3"/>
  <c r="BV91" i="3"/>
  <c r="BV92" i="3" s="1"/>
  <c r="BV93" i="3" s="1"/>
  <c r="BY84" i="3"/>
  <c r="BY95" i="3"/>
  <c r="BY94" i="3"/>
  <c r="BY91" i="3"/>
  <c r="BY92" i="3" s="1"/>
  <c r="BY93" i="3" s="1"/>
  <c r="BX79" i="3"/>
  <c r="BX80" i="3" s="1"/>
  <c r="BX81" i="3" s="1"/>
  <c r="BX82" i="3" s="1"/>
  <c r="BX89" i="3"/>
  <c r="BY78" i="3"/>
  <c r="BY82" i="3"/>
  <c r="BY83" i="3"/>
  <c r="BY89" i="3"/>
  <c r="BX83" i="3"/>
  <c r="BV78" i="3"/>
  <c r="BV82" i="3"/>
  <c r="BV83" i="3"/>
  <c r="BV89" i="3"/>
  <c r="BW78" i="3"/>
  <c r="BW82" i="3"/>
  <c r="BW83" i="3"/>
  <c r="BW89" i="3"/>
  <c r="BR84" i="3"/>
  <c r="BR95" i="3"/>
  <c r="BR94" i="3"/>
  <c r="BR91" i="3"/>
  <c r="BR92" i="3" s="1"/>
  <c r="BR93" i="3" s="1"/>
  <c r="BT84" i="3"/>
  <c r="BS84" i="3"/>
  <c r="BS95" i="3"/>
  <c r="BS94" i="3"/>
  <c r="BS91" i="3"/>
  <c r="BS92" i="3" s="1"/>
  <c r="BS93" i="3" s="1"/>
  <c r="BU91" i="3"/>
  <c r="BU92" i="3" s="1"/>
  <c r="BU93" i="3" s="1"/>
  <c r="BU95" i="3"/>
  <c r="BU94" i="3"/>
  <c r="BT90" i="3"/>
  <c r="BU79" i="3"/>
  <c r="BU80" i="3" s="1"/>
  <c r="BU81" i="3" s="1"/>
  <c r="BU82" i="3" s="1"/>
  <c r="BU89" i="3"/>
  <c r="BR78" i="3"/>
  <c r="BR82" i="3"/>
  <c r="BR83" i="3"/>
  <c r="BR89" i="3"/>
  <c r="BT78" i="3"/>
  <c r="BT82" i="3"/>
  <c r="BS78" i="3"/>
  <c r="BS82" i="3"/>
  <c r="BS83" i="3"/>
  <c r="BS89" i="3"/>
  <c r="BN84" i="3"/>
  <c r="BO84" i="3"/>
  <c r="BO95" i="3"/>
  <c r="BO94" i="3"/>
  <c r="BO91" i="3"/>
  <c r="BO92" i="3" s="1"/>
  <c r="BO93" i="3" s="1"/>
  <c r="BP82" i="3"/>
  <c r="BP95" i="3"/>
  <c r="BP91" i="3"/>
  <c r="BP92" i="3" s="1"/>
  <c r="BP93" i="3" s="1"/>
  <c r="BP94" i="3"/>
  <c r="BN95" i="3"/>
  <c r="BN94" i="3"/>
  <c r="BN91" i="3"/>
  <c r="BN92" i="3" s="1"/>
  <c r="BN93" i="3" s="1"/>
  <c r="BQ84" i="3"/>
  <c r="BQ95" i="3"/>
  <c r="BQ94" i="3"/>
  <c r="BQ91" i="3"/>
  <c r="BQ92" i="3" s="1"/>
  <c r="BQ93" i="3" s="1"/>
  <c r="BP84" i="3"/>
  <c r="BQ78" i="3"/>
  <c r="BQ82" i="3"/>
  <c r="BQ83" i="3"/>
  <c r="BQ89" i="3"/>
  <c r="BP78" i="3"/>
  <c r="BP83" i="3"/>
  <c r="BN78" i="3"/>
  <c r="BN82" i="3"/>
  <c r="BN83" i="3"/>
  <c r="BN89" i="3"/>
  <c r="BP89" i="3"/>
  <c r="BO78" i="3"/>
  <c r="BO82" i="3"/>
  <c r="BO83" i="3"/>
  <c r="BO89" i="3"/>
  <c r="BM84" i="3"/>
  <c r="BM95" i="3"/>
  <c r="BM94" i="3"/>
  <c r="BM91" i="3"/>
  <c r="BM92" i="3" s="1"/>
  <c r="BM93" i="3" s="1"/>
  <c r="BJ84" i="3"/>
  <c r="BJ95" i="3"/>
  <c r="BJ94" i="3"/>
  <c r="BJ91" i="3"/>
  <c r="BJ92" i="3" s="1"/>
  <c r="BJ93" i="3" s="1"/>
  <c r="BL95" i="3"/>
  <c r="BL94" i="3"/>
  <c r="BL91" i="3"/>
  <c r="BL92" i="3" s="1"/>
  <c r="BL93" i="3" s="1"/>
  <c r="BK84" i="3"/>
  <c r="BK95" i="3"/>
  <c r="BK94" i="3"/>
  <c r="BK91" i="3"/>
  <c r="BK92" i="3" s="1"/>
  <c r="BK93" i="3" s="1"/>
  <c r="BL79" i="3"/>
  <c r="BL80" i="3" s="1"/>
  <c r="BL81" i="3" s="1"/>
  <c r="BL82" i="3" s="1"/>
  <c r="BL83" i="3"/>
  <c r="BM78" i="3"/>
  <c r="BM82" i="3"/>
  <c r="BM83" i="3"/>
  <c r="BM89" i="3"/>
  <c r="BL89" i="3"/>
  <c r="BJ78" i="3"/>
  <c r="BJ82" i="3"/>
  <c r="BJ83" i="3"/>
  <c r="BJ89" i="3"/>
  <c r="BK78" i="3"/>
  <c r="BK82" i="3"/>
  <c r="BK83" i="3"/>
  <c r="BK89" i="3"/>
  <c r="BG84" i="3"/>
  <c r="BG95" i="3"/>
  <c r="BG94" i="3"/>
  <c r="BG91" i="3"/>
  <c r="BG92" i="3" s="1"/>
  <c r="BG93" i="3" s="1"/>
  <c r="BF84" i="3"/>
  <c r="BH95" i="3"/>
  <c r="BH94" i="3"/>
  <c r="BH91" i="3"/>
  <c r="BH92" i="3" s="1"/>
  <c r="BH93" i="3" s="1"/>
  <c r="BF95" i="3"/>
  <c r="BF94" i="3"/>
  <c r="BF91" i="3"/>
  <c r="BF92" i="3" s="1"/>
  <c r="BF93" i="3" s="1"/>
  <c r="BI84" i="3"/>
  <c r="BI95" i="3"/>
  <c r="BI94" i="3"/>
  <c r="BI91" i="3"/>
  <c r="BI92" i="3" s="1"/>
  <c r="BI93" i="3" s="1"/>
  <c r="BH78" i="3"/>
  <c r="BH82" i="3"/>
  <c r="BH84" i="3"/>
  <c r="BH89" i="3"/>
  <c r="BI78" i="3"/>
  <c r="BI82" i="3"/>
  <c r="BI83" i="3"/>
  <c r="BI89" i="3"/>
  <c r="BF78" i="3"/>
  <c r="BF82" i="3"/>
  <c r="BF83" i="3"/>
  <c r="BF89" i="3"/>
  <c r="BG78" i="3"/>
  <c r="BG82" i="3"/>
  <c r="BG83" i="3"/>
  <c r="BG89" i="3"/>
  <c r="BB84" i="3"/>
  <c r="BB95" i="3"/>
  <c r="BB94" i="3"/>
  <c r="BB91" i="3"/>
  <c r="BB92" i="3" s="1"/>
  <c r="BB93" i="3" s="1"/>
  <c r="BC84" i="3"/>
  <c r="BC95" i="3"/>
  <c r="BC94" i="3"/>
  <c r="BC91" i="3"/>
  <c r="BC92" i="3" s="1"/>
  <c r="BC93" i="3" s="1"/>
  <c r="BD84" i="3"/>
  <c r="BD95" i="3"/>
  <c r="BD94" i="3"/>
  <c r="BD91" i="3"/>
  <c r="BD92" i="3" s="1"/>
  <c r="BD93" i="3" s="1"/>
  <c r="BE84" i="3"/>
  <c r="BE95" i="3"/>
  <c r="BE94" i="3"/>
  <c r="BE91" i="3"/>
  <c r="BE92" i="3" s="1"/>
  <c r="BE93" i="3" s="1"/>
  <c r="BD78" i="3"/>
  <c r="BD82" i="3"/>
  <c r="BD83" i="3"/>
  <c r="BD89" i="3"/>
  <c r="BE78" i="3"/>
  <c r="BE82" i="3"/>
  <c r="BE83" i="3"/>
  <c r="BE89" i="3"/>
  <c r="BB78" i="3"/>
  <c r="BB82" i="3"/>
  <c r="BB83" i="3"/>
  <c r="BB89" i="3"/>
  <c r="BC78" i="3"/>
  <c r="BC82" i="3"/>
  <c r="BC83" i="3"/>
  <c r="BC89" i="3"/>
  <c r="AX95" i="3"/>
  <c r="AX94" i="3"/>
  <c r="AX91" i="3"/>
  <c r="AX92" i="3" s="1"/>
  <c r="AX93" i="3" s="1"/>
  <c r="AY84" i="3"/>
  <c r="AY95" i="3"/>
  <c r="AY94" i="3"/>
  <c r="AY91" i="3"/>
  <c r="AY92" i="3" s="1"/>
  <c r="AY93" i="3" s="1"/>
  <c r="AZ84" i="3"/>
  <c r="AX84" i="3"/>
  <c r="BA84" i="3"/>
  <c r="BA95" i="3"/>
  <c r="BA94" i="3"/>
  <c r="BA91" i="3"/>
  <c r="BA92" i="3" s="1"/>
  <c r="BA93" i="3" s="1"/>
  <c r="AZ78" i="3"/>
  <c r="AZ90" i="3"/>
  <c r="AZ83" i="3" s="1"/>
  <c r="BA78" i="3"/>
  <c r="BA82" i="3"/>
  <c r="BA83" i="3"/>
  <c r="BA89" i="3"/>
  <c r="AZ82" i="3"/>
  <c r="AX78" i="3"/>
  <c r="AX82" i="3"/>
  <c r="AX83" i="3"/>
  <c r="AX89" i="3"/>
  <c r="AY78" i="3"/>
  <c r="AY82" i="3"/>
  <c r="AY83" i="3"/>
  <c r="AY89" i="3"/>
  <c r="AW84" i="3"/>
  <c r="AW95" i="3"/>
  <c r="AW94" i="3"/>
  <c r="AW91" i="3"/>
  <c r="AW92" i="3" s="1"/>
  <c r="AW93" i="3" s="1"/>
  <c r="AT84" i="3"/>
  <c r="AT95" i="3"/>
  <c r="AT94" i="3"/>
  <c r="AT91" i="3"/>
  <c r="AT92" i="3" s="1"/>
  <c r="AT93" i="3" s="1"/>
  <c r="AU84" i="3"/>
  <c r="AU95" i="3"/>
  <c r="AU94" i="3"/>
  <c r="AU91" i="3"/>
  <c r="AU92" i="3" s="1"/>
  <c r="AU93" i="3" s="1"/>
  <c r="AV79" i="3"/>
  <c r="AV80" i="3" s="1"/>
  <c r="AV81" i="3" s="1"/>
  <c r="AV82" i="3" s="1"/>
  <c r="AV90" i="3"/>
  <c r="AV83" i="3" s="1"/>
  <c r="AW78" i="3"/>
  <c r="AW82" i="3"/>
  <c r="AW83" i="3"/>
  <c r="AW89" i="3"/>
  <c r="AT78" i="3"/>
  <c r="AT82" i="3"/>
  <c r="AT83" i="3"/>
  <c r="AT89" i="3"/>
  <c r="AU78" i="3"/>
  <c r="AU82" i="3"/>
  <c r="AU83" i="3"/>
  <c r="AU89" i="3"/>
  <c r="AP84" i="3"/>
  <c r="AQ84" i="3"/>
  <c r="AQ95" i="3"/>
  <c r="AQ94" i="3"/>
  <c r="AQ91" i="3"/>
  <c r="AQ92" i="3" s="1"/>
  <c r="AQ93" i="3" s="1"/>
  <c r="AP95" i="3"/>
  <c r="AP94" i="3"/>
  <c r="AP91" i="3"/>
  <c r="AP92" i="3" s="1"/>
  <c r="AP93" i="3" s="1"/>
  <c r="AR94" i="3"/>
  <c r="AR91" i="3"/>
  <c r="AR92" i="3" s="1"/>
  <c r="AR93" i="3" s="1"/>
  <c r="AR95" i="3"/>
  <c r="AS84" i="3"/>
  <c r="AS95" i="3"/>
  <c r="AS94" i="3"/>
  <c r="AS91" i="3"/>
  <c r="AS92" i="3" s="1"/>
  <c r="AS93" i="3" s="1"/>
  <c r="AR79" i="3"/>
  <c r="AR80" i="3" s="1"/>
  <c r="AR81" i="3" s="1"/>
  <c r="AR82" i="3" s="1"/>
  <c r="AR89" i="3"/>
  <c r="AS78" i="3"/>
  <c r="AS82" i="3"/>
  <c r="AS83" i="3"/>
  <c r="AS89" i="3"/>
  <c r="AP78" i="3"/>
  <c r="AP82" i="3"/>
  <c r="AP83" i="3"/>
  <c r="AP89" i="3"/>
  <c r="AQ78" i="3"/>
  <c r="AQ82" i="3"/>
  <c r="AQ83" i="3"/>
  <c r="AQ89" i="3"/>
  <c r="AM84" i="3"/>
  <c r="AM95" i="3"/>
  <c r="AM94" i="3"/>
  <c r="AM91" i="3"/>
  <c r="AM92" i="3" s="1"/>
  <c r="AM93" i="3" s="1"/>
  <c r="AL84" i="3"/>
  <c r="AN95" i="3"/>
  <c r="AN94" i="3"/>
  <c r="AN91" i="3"/>
  <c r="AN92" i="3" s="1"/>
  <c r="AN93" i="3" s="1"/>
  <c r="AL95" i="3"/>
  <c r="AL94" i="3"/>
  <c r="AL91" i="3"/>
  <c r="AL92" i="3" s="1"/>
  <c r="AL93" i="3" s="1"/>
  <c r="AO84" i="3"/>
  <c r="AO94" i="3"/>
  <c r="AO95" i="3"/>
  <c r="AO91" i="3"/>
  <c r="AO92" i="3" s="1"/>
  <c r="AO93" i="3" s="1"/>
  <c r="AN79" i="3"/>
  <c r="AN80" i="3" s="1"/>
  <c r="AN81" i="3" s="1"/>
  <c r="AN82" i="3" s="1"/>
  <c r="AN89" i="3"/>
  <c r="AO78" i="3"/>
  <c r="AO82" i="3"/>
  <c r="AO83" i="3"/>
  <c r="AO89" i="3"/>
  <c r="AN83" i="3"/>
  <c r="AL78" i="3"/>
  <c r="AL82" i="3"/>
  <c r="AL83" i="3"/>
  <c r="AL89" i="3"/>
  <c r="AM78" i="3"/>
  <c r="AM82" i="3"/>
  <c r="AM83" i="3"/>
  <c r="AM89" i="3"/>
  <c r="AI84" i="3"/>
  <c r="AI95" i="3"/>
  <c r="AI94" i="3"/>
  <c r="AI91" i="3"/>
  <c r="AI92" i="3" s="1"/>
  <c r="AI93" i="3" s="1"/>
  <c r="AH84" i="3"/>
  <c r="AH95" i="3"/>
  <c r="AH94" i="3"/>
  <c r="AH91" i="3"/>
  <c r="AH92" i="3" s="1"/>
  <c r="AH93" i="3" s="1"/>
  <c r="AK84" i="3"/>
  <c r="AK95" i="3"/>
  <c r="AK94" i="3"/>
  <c r="AK91" i="3"/>
  <c r="AK92" i="3" s="1"/>
  <c r="AK93" i="3" s="1"/>
  <c r="AJ78" i="3"/>
  <c r="AJ84" i="3"/>
  <c r="AK78" i="3"/>
  <c r="AK82" i="3"/>
  <c r="AK83" i="3"/>
  <c r="AK89" i="3"/>
  <c r="AJ82" i="3"/>
  <c r="AJ90" i="3"/>
  <c r="AH78" i="3"/>
  <c r="AH82" i="3"/>
  <c r="AH83" i="3"/>
  <c r="AH89" i="3"/>
  <c r="AI78" i="3"/>
  <c r="AI82" i="3"/>
  <c r="AI83" i="3"/>
  <c r="AI89" i="3"/>
  <c r="AD84" i="3"/>
  <c r="AE84" i="3"/>
  <c r="AE95" i="3"/>
  <c r="AE94" i="3"/>
  <c r="AE91" i="3"/>
  <c r="AE92" i="3" s="1"/>
  <c r="AE93" i="3" s="1"/>
  <c r="AD95" i="3"/>
  <c r="AD94" i="3"/>
  <c r="AD91" i="3"/>
  <c r="AD92" i="3" s="1"/>
  <c r="AD93" i="3" s="1"/>
  <c r="AG84" i="3"/>
  <c r="AG95" i="3"/>
  <c r="AG94" i="3"/>
  <c r="AG91" i="3"/>
  <c r="AG92" i="3" s="1"/>
  <c r="AG93" i="3" s="1"/>
  <c r="AF79" i="3"/>
  <c r="AF80" i="3" s="1"/>
  <c r="AF81" i="3" s="1"/>
  <c r="AF82" i="3" s="1"/>
  <c r="AG78" i="3"/>
  <c r="AG82" i="3"/>
  <c r="AG83" i="3"/>
  <c r="AG89" i="3"/>
  <c r="AF84" i="3"/>
  <c r="AF90" i="3"/>
  <c r="AD78" i="3"/>
  <c r="AD82" i="3"/>
  <c r="AD83" i="3"/>
  <c r="AD89" i="3"/>
  <c r="AE78" i="3"/>
  <c r="AE82" i="3"/>
  <c r="AE83" i="3"/>
  <c r="AE89" i="3"/>
  <c r="AB95" i="3"/>
  <c r="AB94" i="3"/>
  <c r="AB91" i="3"/>
  <c r="AB92" i="3" s="1"/>
  <c r="AB93" i="3" s="1"/>
  <c r="AA95" i="3"/>
  <c r="AA94" i="3"/>
  <c r="AA91" i="3"/>
  <c r="AA92" i="3" s="1"/>
  <c r="AA93" i="3" s="1"/>
  <c r="AC84" i="3"/>
  <c r="AC95" i="3"/>
  <c r="AC94" i="3"/>
  <c r="AC91" i="3"/>
  <c r="AC92" i="3" s="1"/>
  <c r="AC93" i="3" s="1"/>
  <c r="AA84" i="3"/>
  <c r="Z84" i="3"/>
  <c r="Z95" i="3"/>
  <c r="Z94" i="3"/>
  <c r="Z91" i="3"/>
  <c r="Z92" i="3" s="1"/>
  <c r="Z93" i="3" s="1"/>
  <c r="AB78" i="3"/>
  <c r="AB82" i="3"/>
  <c r="AB84" i="3"/>
  <c r="AB89" i="3"/>
  <c r="AC78" i="3"/>
  <c r="AC89" i="3"/>
  <c r="Z78" i="3"/>
  <c r="Z82" i="3"/>
  <c r="Z83" i="3"/>
  <c r="Z89" i="3"/>
  <c r="AC82" i="3"/>
  <c r="AC83" i="3"/>
  <c r="AA78" i="3"/>
  <c r="AA82" i="3"/>
  <c r="AA83" i="3"/>
  <c r="AA89" i="3"/>
  <c r="V95" i="3"/>
  <c r="V94" i="3"/>
  <c r="V91" i="3"/>
  <c r="V92" i="3" s="1"/>
  <c r="V93" i="3" s="1"/>
  <c r="X95" i="3"/>
  <c r="X94" i="3"/>
  <c r="X91" i="3"/>
  <c r="X92" i="3" s="1"/>
  <c r="X93" i="3" s="1"/>
  <c r="V84" i="3"/>
  <c r="Y84" i="3"/>
  <c r="Y95" i="3"/>
  <c r="Y94" i="3"/>
  <c r="Y91" i="3"/>
  <c r="Y92" i="3" s="1"/>
  <c r="Y93" i="3" s="1"/>
  <c r="W79" i="3"/>
  <c r="W80" i="3" s="1"/>
  <c r="W81" i="3" s="1"/>
  <c r="W82" i="3" s="1"/>
  <c r="W90" i="3"/>
  <c r="W83" i="3" s="1"/>
  <c r="X79" i="3"/>
  <c r="X80" i="3" s="1"/>
  <c r="X81" i="3" s="1"/>
  <c r="X82" i="3" s="1"/>
  <c r="X89" i="3"/>
  <c r="Y78" i="3"/>
  <c r="Y82" i="3"/>
  <c r="Y83" i="3"/>
  <c r="Y89" i="3"/>
  <c r="V78" i="3"/>
  <c r="V82" i="3"/>
  <c r="V83" i="3"/>
  <c r="V89" i="3"/>
  <c r="R84" i="3"/>
  <c r="R95" i="3"/>
  <c r="R94" i="3"/>
  <c r="R91" i="3"/>
  <c r="R92" i="3" s="1"/>
  <c r="R93" i="3" s="1"/>
  <c r="S84" i="3"/>
  <c r="S95" i="3"/>
  <c r="S94" i="3"/>
  <c r="S91" i="3"/>
  <c r="S92" i="3" s="1"/>
  <c r="S93" i="3" s="1"/>
  <c r="T84" i="3"/>
  <c r="T95" i="3"/>
  <c r="T94" i="3"/>
  <c r="T91" i="3"/>
  <c r="T92" i="3" s="1"/>
  <c r="T93" i="3" s="1"/>
  <c r="U84" i="3"/>
  <c r="U95" i="3"/>
  <c r="U94" i="3"/>
  <c r="U91" i="3"/>
  <c r="U92" i="3" s="1"/>
  <c r="U93" i="3" s="1"/>
  <c r="T78" i="3"/>
  <c r="T82" i="3"/>
  <c r="T83" i="3"/>
  <c r="T89" i="3"/>
  <c r="U78" i="3"/>
  <c r="U82" i="3"/>
  <c r="U83" i="3"/>
  <c r="U89" i="3"/>
  <c r="R78" i="3"/>
  <c r="R82" i="3"/>
  <c r="R83" i="3"/>
  <c r="R89" i="3"/>
  <c r="S78" i="3"/>
  <c r="S82" i="3"/>
  <c r="S83" i="3"/>
  <c r="S89" i="3"/>
  <c r="N84" i="3"/>
  <c r="N95" i="3"/>
  <c r="N94" i="3"/>
  <c r="N91" i="3"/>
  <c r="N92" i="3" s="1"/>
  <c r="N93" i="3" s="1"/>
  <c r="O84" i="3"/>
  <c r="O95" i="3"/>
  <c r="O94" i="3"/>
  <c r="O91" i="3"/>
  <c r="O92" i="3" s="1"/>
  <c r="O93" i="3" s="1"/>
  <c r="P83" i="3"/>
  <c r="P95" i="3"/>
  <c r="P94" i="3"/>
  <c r="P91" i="3"/>
  <c r="P92" i="3" s="1"/>
  <c r="P93" i="3" s="1"/>
  <c r="P84" i="3"/>
  <c r="P80" i="3"/>
  <c r="P81" i="3" s="1"/>
  <c r="P82" i="3" s="1"/>
  <c r="Q84" i="3"/>
  <c r="Q95" i="3"/>
  <c r="Q94" i="3"/>
  <c r="Q91" i="3"/>
  <c r="Q92" i="3" s="1"/>
  <c r="Q93" i="3" s="1"/>
  <c r="P78" i="3"/>
  <c r="P89" i="3"/>
  <c r="Q78" i="3"/>
  <c r="Q82" i="3"/>
  <c r="Q83" i="3"/>
  <c r="Q89" i="3"/>
  <c r="N78" i="3"/>
  <c r="N82" i="3"/>
  <c r="N83" i="3"/>
  <c r="N89" i="3"/>
  <c r="O78" i="3"/>
  <c r="O82" i="3"/>
  <c r="O83" i="3"/>
  <c r="O89" i="3"/>
  <c r="CJ53" i="3"/>
  <c r="CJ54" i="3" s="1"/>
  <c r="CJ55" i="3" s="1"/>
  <c r="CI61" i="3"/>
  <c r="CJ61" i="3"/>
  <c r="CK61" i="3"/>
  <c r="CH61" i="3"/>
  <c r="CE61" i="3"/>
  <c r="CF61" i="3"/>
  <c r="CG61" i="3"/>
  <c r="CD61" i="3"/>
  <c r="AO21" i="11"/>
  <c r="CA61" i="3"/>
  <c r="CB61" i="3"/>
  <c r="CC61" i="3"/>
  <c r="BZ61" i="3"/>
  <c r="BW62" i="3"/>
  <c r="BX61" i="3"/>
  <c r="BY61" i="3"/>
  <c r="BV61" i="3"/>
  <c r="BS61" i="3"/>
  <c r="BT61" i="3"/>
  <c r="BU61" i="3"/>
  <c r="BR61" i="3"/>
  <c r="BO53" i="3"/>
  <c r="BO54" i="3" s="1"/>
  <c r="BO55" i="3" s="1"/>
  <c r="BN62" i="3"/>
  <c r="BO61" i="3"/>
  <c r="BP61" i="3"/>
  <c r="BQ61" i="3"/>
  <c r="BK53" i="3"/>
  <c r="BK54" i="3" s="1"/>
  <c r="BK55" i="3" s="1"/>
  <c r="BL61" i="3"/>
  <c r="BM61" i="3"/>
  <c r="BK61" i="3"/>
  <c r="BJ61" i="3"/>
  <c r="BG61" i="3"/>
  <c r="BH61" i="3"/>
  <c r="BI61" i="3"/>
  <c r="BF61" i="3"/>
  <c r="BD61" i="3"/>
  <c r="BE61" i="3"/>
  <c r="BC61" i="3"/>
  <c r="BB61" i="3"/>
  <c r="AY61" i="3"/>
  <c r="AZ61" i="3"/>
  <c r="BA61" i="3"/>
  <c r="AX61" i="3"/>
  <c r="AV53" i="3"/>
  <c r="AV54" i="3" s="1"/>
  <c r="AV55" i="3" s="1"/>
  <c r="AV61" i="3"/>
  <c r="AW61" i="3"/>
  <c r="AT61" i="3"/>
  <c r="AS61" i="3"/>
  <c r="AQ61" i="3"/>
  <c r="AR61" i="3"/>
  <c r="AP61" i="3"/>
  <c r="AM61" i="3"/>
  <c r="AN61" i="3"/>
  <c r="AO61" i="3"/>
  <c r="AL61" i="3"/>
  <c r="AI53" i="3"/>
  <c r="AI54" i="3" s="1"/>
  <c r="AI55" i="3" s="1"/>
  <c r="AI61" i="3"/>
  <c r="AJ61" i="3"/>
  <c r="AK61" i="3"/>
  <c r="AH61" i="3"/>
  <c r="AF61" i="3"/>
  <c r="AE61" i="3"/>
  <c r="AG61" i="3"/>
  <c r="AD61" i="3"/>
  <c r="AA61" i="3"/>
  <c r="AB61" i="3"/>
  <c r="AC61" i="3"/>
  <c r="Z61" i="3"/>
  <c r="V53" i="3"/>
  <c r="V54" i="3" s="1"/>
  <c r="V55" i="3" s="1"/>
  <c r="W61" i="3"/>
  <c r="X61" i="3"/>
  <c r="Y61" i="3"/>
  <c r="V61" i="3"/>
  <c r="S61" i="3"/>
  <c r="T61" i="3"/>
  <c r="U61" i="3"/>
  <c r="R61" i="3"/>
  <c r="O53" i="3"/>
  <c r="O54" i="3" s="1"/>
  <c r="O55" i="3" s="1"/>
  <c r="O62" i="3"/>
  <c r="P61" i="3"/>
  <c r="Q61" i="3"/>
  <c r="N61" i="3"/>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H48" i="2"/>
  <c r="I48" i="2"/>
  <c r="J48" i="2"/>
  <c r="J49" i="2" s="1"/>
  <c r="K48" i="2"/>
  <c r="K49" i="2" s="1"/>
  <c r="L48" i="2"/>
  <c r="M48" i="2"/>
  <c r="M49" i="2" s="1"/>
  <c r="N48" i="2"/>
  <c r="N49" i="2" s="1"/>
  <c r="O48" i="2"/>
  <c r="O49" i="2" s="1"/>
  <c r="P48" i="2"/>
  <c r="P49" i="2" s="1"/>
  <c r="Q48" i="2"/>
  <c r="R48" i="2"/>
  <c r="R49" i="2" s="1"/>
  <c r="S48" i="2"/>
  <c r="S49" i="2" s="1"/>
  <c r="T48" i="2"/>
  <c r="U48" i="2"/>
  <c r="U49" i="2" s="1"/>
  <c r="V48" i="2"/>
  <c r="V49" i="2" s="1"/>
  <c r="W48" i="2"/>
  <c r="X48" i="2"/>
  <c r="Y48" i="2"/>
  <c r="Z48" i="2"/>
  <c r="Z49" i="2" s="1"/>
  <c r="AA48" i="2"/>
  <c r="AA49" i="2" s="1"/>
  <c r="AB48" i="2"/>
  <c r="AC48" i="2"/>
  <c r="AC49" i="2" s="1"/>
  <c r="AD48" i="2"/>
  <c r="AD49" i="2" s="1"/>
  <c r="AE48" i="2"/>
  <c r="AE49" i="2" s="1"/>
  <c r="AF48" i="2"/>
  <c r="AF49" i="2" s="1"/>
  <c r="AG48" i="2"/>
  <c r="AH48" i="2"/>
  <c r="AH49" i="2" s="1"/>
  <c r="AI48" i="2"/>
  <c r="AI49" i="2" s="1"/>
  <c r="AJ48" i="2"/>
  <c r="AK48" i="2"/>
  <c r="AK49" i="2" s="1"/>
  <c r="AL48" i="2"/>
  <c r="AL49" i="2" s="1"/>
  <c r="AM48" i="2"/>
  <c r="AN48" i="2"/>
  <c r="AO48" i="2"/>
  <c r="AP48" i="2"/>
  <c r="AP49" i="2" s="1"/>
  <c r="AQ48" i="2"/>
  <c r="AQ49" i="2" s="1"/>
  <c r="AR48" i="2"/>
  <c r="AS48" i="2"/>
  <c r="AS49" i="2" s="1"/>
  <c r="G49" i="2"/>
  <c r="H49" i="2"/>
  <c r="I49" i="2"/>
  <c r="L49" i="2"/>
  <c r="Q49" i="2"/>
  <c r="T49" i="2"/>
  <c r="W49" i="2"/>
  <c r="X49" i="2"/>
  <c r="Y49" i="2"/>
  <c r="AB49" i="2"/>
  <c r="AG49" i="2"/>
  <c r="AJ49" i="2"/>
  <c r="AM49" i="2"/>
  <c r="AN49" i="2"/>
  <c r="AO49" i="2"/>
  <c r="AR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CC85" i="3"/>
  <c r="BU85" i="3"/>
  <c r="BK85" i="3"/>
  <c r="BB85" i="3"/>
  <c r="AU96" i="3"/>
  <c r="AK85" i="3"/>
  <c r="AA85" i="3"/>
  <c r="T96" i="3"/>
  <c r="CI85" i="3"/>
  <c r="BS96" i="3"/>
  <c r="BE96" i="3"/>
  <c r="AI96" i="3"/>
  <c r="N96" i="3"/>
  <c r="CG85" i="3"/>
  <c r="BX85" i="3"/>
  <c r="BO96" i="3"/>
  <c r="BH96" i="3"/>
  <c r="BA96" i="3"/>
  <c r="AM85" i="3"/>
  <c r="AE85" i="3"/>
  <c r="Y96" i="3"/>
  <c r="Q96" i="3"/>
  <c r="BV85" i="3"/>
  <c r="BG85" i="3"/>
  <c r="AP96" i="3"/>
  <c r="X96" i="3"/>
  <c r="CD96" i="3"/>
  <c r="BY96" i="3"/>
  <c r="BM96" i="3"/>
  <c r="BD85" i="3"/>
  <c r="AW96" i="3"/>
  <c r="AO96" i="3"/>
  <c r="Z85" i="3"/>
  <c r="R85" i="3"/>
  <c r="F64" i="15"/>
  <c r="M64" i="15"/>
  <c r="P85" i="15"/>
  <c r="L96" i="15"/>
  <c r="BW96" i="3"/>
  <c r="BG96" i="3"/>
  <c r="AO85" i="3"/>
  <c r="V96" i="3"/>
  <c r="BK96" i="3"/>
  <c r="AB96" i="3"/>
  <c r="BZ85" i="3"/>
  <c r="BJ96" i="3"/>
  <c r="AS85" i="3"/>
  <c r="AC96" i="3"/>
  <c r="BO85" i="3"/>
  <c r="AF85" i="3"/>
  <c r="CK96" i="3"/>
  <c r="BP85" i="3"/>
  <c r="BF85" i="3"/>
  <c r="AS96" i="3"/>
  <c r="V85" i="3"/>
  <c r="G64" i="15"/>
  <c r="CF85" i="3"/>
  <c r="BW85" i="3"/>
  <c r="BQ96" i="3"/>
  <c r="BC96" i="3"/>
  <c r="AT85" i="3"/>
  <c r="AL85" i="3"/>
  <c r="AD96" i="3"/>
  <c r="S85" i="3"/>
  <c r="BX96" i="3"/>
  <c r="BF96" i="3"/>
  <c r="AN85" i="3"/>
  <c r="U85" i="3"/>
  <c r="CI96" i="3"/>
  <c r="CB85" i="3"/>
  <c r="BN85" i="3"/>
  <c r="BI85" i="3"/>
  <c r="AY85" i="3"/>
  <c r="AR96" i="3"/>
  <c r="AK96" i="3"/>
  <c r="Y85" i="3"/>
  <c r="N85" i="3"/>
  <c r="CG96" i="3"/>
  <c r="BM85" i="3"/>
  <c r="AT96" i="3"/>
  <c r="AB85" i="3"/>
  <c r="CD85" i="3"/>
  <c r="BY85" i="3"/>
  <c r="BP96" i="3"/>
  <c r="BI96" i="3"/>
  <c r="AZ85" i="3"/>
  <c r="AM96" i="3"/>
  <c r="AE96" i="3"/>
  <c r="T85" i="3"/>
  <c r="K96" i="15"/>
  <c r="L85" i="15"/>
  <c r="CJ96" i="3"/>
  <c r="CA96" i="3"/>
  <c r="BU96" i="3"/>
  <c r="BH85" i="3"/>
  <c r="AX85" i="3"/>
  <c r="AQ96" i="3"/>
  <c r="AH96" i="3"/>
  <c r="Z96" i="3"/>
  <c r="Q85" i="3"/>
  <c r="CE85" i="3"/>
  <c r="BN96" i="3"/>
  <c r="AW85" i="3"/>
  <c r="AG96" i="3"/>
  <c r="CE96" i="3"/>
  <c r="BV96" i="3"/>
  <c r="BJ85" i="3"/>
  <c r="BB96" i="3"/>
  <c r="AU85" i="3"/>
  <c r="AL96" i="3"/>
  <c r="AC85" i="3"/>
  <c r="R96" i="3"/>
  <c r="BS85" i="3"/>
  <c r="BE85" i="3"/>
  <c r="AN96" i="3"/>
  <c r="S96" i="3"/>
  <c r="CH85" i="3"/>
  <c r="CA85" i="3"/>
  <c r="BR96" i="3"/>
  <c r="BL96" i="3"/>
  <c r="BD96" i="3"/>
  <c r="AP85" i="3"/>
  <c r="AI85" i="3"/>
  <c r="AA96" i="3"/>
  <c r="O85" i="3"/>
  <c r="I64" i="15"/>
  <c r="P96" i="15"/>
  <c r="CF96" i="3"/>
  <c r="BQ85" i="3"/>
  <c r="AX96" i="3"/>
  <c r="AD85" i="3"/>
  <c r="P85" i="3"/>
  <c r="CC96" i="3"/>
  <c r="AQ85" i="3"/>
  <c r="CK85" i="3"/>
  <c r="BR85" i="3"/>
  <c r="BC85" i="3"/>
  <c r="AH85" i="3"/>
  <c r="U96" i="3"/>
  <c r="CH96" i="3"/>
  <c r="AY96" i="3"/>
  <c r="P96" i="3"/>
  <c r="BZ96" i="3"/>
  <c r="BA85" i="3"/>
  <c r="AG85" i="3"/>
  <c r="O96" i="3"/>
  <c r="K85" i="15"/>
  <c r="N64" i="15"/>
  <c r="AB19" i="11"/>
  <c r="T19" i="11"/>
  <c r="K19" i="11"/>
  <c r="AM19" i="11"/>
  <c r="U19" i="11"/>
  <c r="AF19" i="11"/>
  <c r="AN19" i="11"/>
  <c r="S19" i="11"/>
  <c r="W19" i="11"/>
  <c r="AE19" i="11"/>
  <c r="M19" i="11"/>
  <c r="AP19" i="11"/>
  <c r="I19" i="11"/>
  <c r="G19" i="11"/>
  <c r="AJ19" i="11"/>
  <c r="V19" i="11"/>
  <c r="X19" i="11"/>
  <c r="AQ19" i="11"/>
  <c r="AA19" i="11"/>
  <c r="H19" i="11"/>
  <c r="R19" i="11"/>
  <c r="AG19" i="11"/>
  <c r="Z19" i="11"/>
  <c r="AH19" i="11"/>
  <c r="L19" i="11"/>
  <c r="AR19" i="11"/>
  <c r="AL19" i="11"/>
  <c r="N19" i="11"/>
  <c r="P19" i="11"/>
  <c r="AC19" i="11"/>
  <c r="J19" i="11"/>
  <c r="AD19" i="11"/>
  <c r="O19" i="11"/>
  <c r="AK19" i="11"/>
  <c r="Y19" i="11"/>
  <c r="AI19" i="11"/>
  <c r="Q19" i="11"/>
  <c r="K36" i="17" l="1"/>
  <c r="H37" i="17"/>
  <c r="I37" i="17" s="1"/>
  <c r="G65" i="15"/>
  <c r="G66" i="15" s="1"/>
  <c r="I65" i="15"/>
  <c r="I66" i="15" s="1"/>
  <c r="H114" i="15" s="1"/>
  <c r="H115" i="15" s="1"/>
  <c r="F65" i="15"/>
  <c r="F66" i="15" s="1"/>
  <c r="H67" i="15"/>
  <c r="P56" i="15"/>
  <c r="M65" i="15"/>
  <c r="M66" i="15" s="1"/>
  <c r="K56" i="15"/>
  <c r="L56" i="15"/>
  <c r="J67" i="15"/>
  <c r="O117" i="15"/>
  <c r="O118" i="15" s="1"/>
  <c r="P117" i="15"/>
  <c r="P118" i="15" s="1"/>
  <c r="N65" i="15"/>
  <c r="N66" i="15" s="1"/>
  <c r="O67" i="15"/>
  <c r="BU84" i="3"/>
  <c r="AN84" i="3"/>
  <c r="R62" i="15"/>
  <c r="E17" i="15"/>
  <c r="E76" i="15" s="1"/>
  <c r="E80" i="15" s="1"/>
  <c r="E49" i="15"/>
  <c r="E57" i="15" s="1"/>
  <c r="E109" i="15"/>
  <c r="E117" i="15"/>
  <c r="E118" i="15" s="1"/>
  <c r="Q17" i="15"/>
  <c r="Q76" i="15" s="1"/>
  <c r="Q49" i="15"/>
  <c r="Q57" i="15" s="1"/>
  <c r="S52" i="15"/>
  <c r="S51" i="15" s="1"/>
  <c r="S53" i="15" s="1"/>
  <c r="S54" i="15" s="1"/>
  <c r="S55" i="15" s="1"/>
  <c r="S58" i="15"/>
  <c r="S89" i="15"/>
  <c r="S91" i="15"/>
  <c r="S92" i="15" s="1"/>
  <c r="S93" i="15" s="1"/>
  <c r="S94" i="15"/>
  <c r="S95" i="15"/>
  <c r="S109" i="15"/>
  <c r="S117" i="15"/>
  <c r="S118" i="15" s="1"/>
  <c r="Q117" i="15"/>
  <c r="Q118" i="15" s="1"/>
  <c r="Q109" i="15"/>
  <c r="R89" i="15"/>
  <c r="R95" i="15"/>
  <c r="R58" i="15"/>
  <c r="R94" i="15"/>
  <c r="R91" i="15"/>
  <c r="R92" i="15" s="1"/>
  <c r="R93" i="15" s="1"/>
  <c r="R52" i="15"/>
  <c r="R51" i="15" s="1"/>
  <c r="R53" i="15" s="1"/>
  <c r="R54" i="15" s="1"/>
  <c r="R55" i="15" s="1"/>
  <c r="S78" i="15"/>
  <c r="S80" i="15"/>
  <c r="S81" i="15" s="1"/>
  <c r="S82" i="15" s="1"/>
  <c r="S83" i="15"/>
  <c r="S84" i="15"/>
  <c r="R117" i="15"/>
  <c r="R118" i="15" s="1"/>
  <c r="R109" i="15"/>
  <c r="S62" i="15"/>
  <c r="R78" i="15"/>
  <c r="R84" i="15"/>
  <c r="R83" i="15"/>
  <c r="R80" i="15"/>
  <c r="R81" i="15" s="1"/>
  <c r="R82" i="15" s="1"/>
  <c r="BX84" i="3"/>
  <c r="CF84" i="3"/>
  <c r="R24" i="9"/>
  <c r="S24" i="9" s="1"/>
  <c r="R12" i="9"/>
  <c r="S12" i="9" s="1"/>
  <c r="Y21" i="11"/>
  <c r="H21" i="11"/>
  <c r="I21" i="11"/>
  <c r="AK21" i="11"/>
  <c r="G21" i="11"/>
  <c r="Q21" i="11"/>
  <c r="AI21" i="11"/>
  <c r="U21" i="11"/>
  <c r="P21" i="11"/>
  <c r="R21" i="11"/>
  <c r="AL21" i="11"/>
  <c r="L21" i="11"/>
  <c r="T21" i="11"/>
  <c r="J21" i="11"/>
  <c r="AF21" i="11"/>
  <c r="AG21" i="11"/>
  <c r="AQ21" i="11"/>
  <c r="AH21" i="11"/>
  <c r="AM21" i="11"/>
  <c r="AJ21" i="11"/>
  <c r="AC21" i="11"/>
  <c r="N21" i="11"/>
  <c r="Z21" i="11"/>
  <c r="AD21" i="11"/>
  <c r="O21" i="11"/>
  <c r="AN21" i="11"/>
  <c r="V21" i="11"/>
  <c r="K21" i="11"/>
  <c r="AA21" i="11"/>
  <c r="AP21" i="11"/>
  <c r="S21" i="11"/>
  <c r="M21" i="11"/>
  <c r="AE21" i="11"/>
  <c r="AR21" i="11"/>
  <c r="AB21" i="11"/>
  <c r="X21" i="11"/>
  <c r="W21" i="11"/>
  <c r="Q48" i="11"/>
  <c r="R14" i="9"/>
  <c r="S14" i="9" s="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R10" i="9"/>
  <c r="S10" i="9" s="1"/>
  <c r="I48" i="11"/>
  <c r="K48" i="11"/>
  <c r="R11" i="9"/>
  <c r="S11" i="9" s="1"/>
  <c r="G48" i="11"/>
  <c r="AK43" i="11"/>
  <c r="P24" i="9"/>
  <c r="Q24" i="9" s="1"/>
  <c r="AO43" i="11"/>
  <c r="Q26" i="9"/>
  <c r="AG43" i="11"/>
  <c r="P22" i="9"/>
  <c r="Q22" i="9" s="1"/>
  <c r="AA43" i="11"/>
  <c r="P19" i="9"/>
  <c r="Q19" i="9" s="1"/>
  <c r="Y43" i="11"/>
  <c r="P18" i="9"/>
  <c r="Q18" i="9" s="1"/>
  <c r="CJ84" i="3"/>
  <c r="CB94" i="3"/>
  <c r="CB95" i="3"/>
  <c r="CB91" i="3"/>
  <c r="CB92" i="3" s="1"/>
  <c r="CB93" i="3" s="1"/>
  <c r="BT95" i="3"/>
  <c r="BT94" i="3"/>
  <c r="BT91" i="3"/>
  <c r="BT92" i="3" s="1"/>
  <c r="BT93" i="3" s="1"/>
  <c r="BT83" i="3"/>
  <c r="BL84" i="3"/>
  <c r="AZ94" i="3"/>
  <c r="AZ91" i="3"/>
  <c r="AZ92" i="3" s="1"/>
  <c r="AZ93" i="3" s="1"/>
  <c r="AZ95" i="3"/>
  <c r="AV95" i="3"/>
  <c r="AV94" i="3"/>
  <c r="AV91" i="3"/>
  <c r="AV92" i="3" s="1"/>
  <c r="AV93" i="3" s="1"/>
  <c r="AV84" i="3"/>
  <c r="AR84" i="3"/>
  <c r="AJ94" i="3"/>
  <c r="AJ95" i="3"/>
  <c r="AJ91" i="3"/>
  <c r="AJ92" i="3" s="1"/>
  <c r="AJ93" i="3" s="1"/>
  <c r="AJ83" i="3"/>
  <c r="AF95" i="3"/>
  <c r="AF94" i="3"/>
  <c r="AF91" i="3"/>
  <c r="AF92" i="3" s="1"/>
  <c r="AF93" i="3" s="1"/>
  <c r="AF83" i="3"/>
  <c r="W95" i="3"/>
  <c r="W94" i="3"/>
  <c r="W91" i="3"/>
  <c r="W92" i="3" s="1"/>
  <c r="W93" i="3" s="1"/>
  <c r="X84" i="3"/>
  <c r="W84" i="3"/>
  <c r="AS38" i="11"/>
  <c r="AQ38" i="11"/>
  <c r="AO38" i="11"/>
  <c r="AM38" i="11"/>
  <c r="AK38" i="11"/>
  <c r="AI38" i="11"/>
  <c r="AG38" i="11"/>
  <c r="AE38" i="11"/>
  <c r="AC38" i="11"/>
  <c r="AA38" i="11"/>
  <c r="Y38" i="11"/>
  <c r="W38" i="11"/>
  <c r="U38" i="11"/>
  <c r="S38" i="11"/>
  <c r="Q38" i="11"/>
  <c r="O38" i="11"/>
  <c r="M38" i="11"/>
  <c r="K38" i="11"/>
  <c r="I38" i="11"/>
  <c r="G38" i="11"/>
  <c r="M17" i="3"/>
  <c r="M76" i="3" s="1"/>
  <c r="J76" i="3"/>
  <c r="E76" i="3"/>
  <c r="G16" i="3"/>
  <c r="H17" i="3" s="1"/>
  <c r="H76" i="3" s="1"/>
  <c r="J110" i="3"/>
  <c r="J108" i="3"/>
  <c r="J109" i="3" s="1"/>
  <c r="M107" i="3"/>
  <c r="L107" i="3"/>
  <c r="K107" i="3"/>
  <c r="J107" i="3"/>
  <c r="M104" i="3"/>
  <c r="L104" i="3"/>
  <c r="K104" i="3"/>
  <c r="J104" i="3"/>
  <c r="M103" i="3"/>
  <c r="M105" i="3" s="1"/>
  <c r="M106" i="3" s="1"/>
  <c r="L103" i="3"/>
  <c r="L105" i="3" s="1"/>
  <c r="L106" i="3" s="1"/>
  <c r="K103" i="3"/>
  <c r="K105" i="3" s="1"/>
  <c r="K106" i="3" s="1"/>
  <c r="J103" i="3"/>
  <c r="J105" i="3" s="1"/>
  <c r="J106" i="3" s="1"/>
  <c r="M102" i="3"/>
  <c r="L102" i="3"/>
  <c r="J102" i="3"/>
  <c r="M98" i="3"/>
  <c r="L98" i="3"/>
  <c r="K98" i="3"/>
  <c r="J98" i="3"/>
  <c r="M97" i="3"/>
  <c r="M99" i="3" s="1"/>
  <c r="L97" i="3"/>
  <c r="L99" i="3" s="1"/>
  <c r="K97" i="3"/>
  <c r="K99" i="3" s="1"/>
  <c r="J97" i="3"/>
  <c r="J99" i="3" s="1"/>
  <c r="M88" i="3"/>
  <c r="L88" i="3"/>
  <c r="K88" i="3"/>
  <c r="J88" i="3"/>
  <c r="M87" i="3"/>
  <c r="M90" i="3" s="1"/>
  <c r="L87" i="3"/>
  <c r="L90" i="3" s="1"/>
  <c r="K87" i="3"/>
  <c r="K90" i="3" s="1"/>
  <c r="J87" i="3"/>
  <c r="J90" i="3" s="1"/>
  <c r="M77" i="3"/>
  <c r="L77" i="3"/>
  <c r="K77" i="3"/>
  <c r="J77" i="3"/>
  <c r="M75" i="3"/>
  <c r="L75" i="3"/>
  <c r="L79" i="3" s="1"/>
  <c r="K75" i="3"/>
  <c r="J75" i="3"/>
  <c r="J79" i="3" s="1"/>
  <c r="M70" i="3"/>
  <c r="M72" i="3" s="1"/>
  <c r="M73" i="3" s="1"/>
  <c r="M100" i="3" s="1"/>
  <c r="L29" i="11" s="1"/>
  <c r="L70" i="3"/>
  <c r="L72" i="3" s="1"/>
  <c r="L73" i="3" s="1"/>
  <c r="L100" i="3" s="1"/>
  <c r="K29" i="11" s="1"/>
  <c r="K70" i="3"/>
  <c r="K72" i="3" s="1"/>
  <c r="K73" i="3" s="1"/>
  <c r="K100" i="3" s="1"/>
  <c r="J29" i="11" s="1"/>
  <c r="J70" i="3"/>
  <c r="J72" i="3" s="1"/>
  <c r="J73" i="3" s="1"/>
  <c r="J100" i="3" s="1"/>
  <c r="I29" i="11" s="1"/>
  <c r="E102" i="3"/>
  <c r="I77" i="3"/>
  <c r="I75" i="3"/>
  <c r="H77" i="3"/>
  <c r="H75" i="3"/>
  <c r="G77" i="3"/>
  <c r="G75" i="3"/>
  <c r="F77" i="3"/>
  <c r="F75" i="3"/>
  <c r="E75" i="3"/>
  <c r="F88" i="3"/>
  <c r="E87" i="3"/>
  <c r="E48" i="3"/>
  <c r="F48" i="3"/>
  <c r="F63" i="3"/>
  <c r="F64" i="3" s="1"/>
  <c r="E17" i="11" s="1"/>
  <c r="F60" i="3"/>
  <c r="F62" i="3" s="1"/>
  <c r="F59" i="3"/>
  <c r="F57" i="3"/>
  <c r="F56" i="3"/>
  <c r="G88" i="3"/>
  <c r="H88" i="3"/>
  <c r="I88" i="3"/>
  <c r="I17" i="3"/>
  <c r="I76" i="3" s="1"/>
  <c r="I107" i="3"/>
  <c r="I104" i="3"/>
  <c r="I103" i="3"/>
  <c r="I98" i="3"/>
  <c r="I97" i="3"/>
  <c r="I87" i="3"/>
  <c r="I70" i="3"/>
  <c r="I72" i="3" s="1"/>
  <c r="I73" i="3" s="1"/>
  <c r="H107" i="3"/>
  <c r="H104" i="3"/>
  <c r="H103" i="3"/>
  <c r="H98" i="3"/>
  <c r="H97" i="3"/>
  <c r="H87" i="3"/>
  <c r="H70" i="3"/>
  <c r="H72" i="3" s="1"/>
  <c r="H73" i="3" s="1"/>
  <c r="G107" i="3"/>
  <c r="G104" i="3"/>
  <c r="G103" i="3"/>
  <c r="G98" i="3"/>
  <c r="G97" i="3"/>
  <c r="G87" i="3"/>
  <c r="G70" i="3"/>
  <c r="G72" i="3" s="1"/>
  <c r="G73" i="3" s="1"/>
  <c r="E70" i="3"/>
  <c r="E72" i="3" s="1"/>
  <c r="E73" i="3" s="1"/>
  <c r="F70" i="3"/>
  <c r="F72" i="3" s="1"/>
  <c r="F73" i="3" s="1"/>
  <c r="F98" i="3"/>
  <c r="F97" i="3"/>
  <c r="F87"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1" i="9"/>
  <c r="O11" i="9" s="1"/>
  <c r="N12" i="9"/>
  <c r="O12" i="9" s="1"/>
  <c r="N13" i="9"/>
  <c r="O13" i="9" s="1"/>
  <c r="N14" i="9"/>
  <c r="O14"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J97" i="2"/>
  <c r="I10" i="9" s="1"/>
  <c r="J10" i="9" s="1"/>
  <c r="L97" i="2"/>
  <c r="L98" i="2" s="1"/>
  <c r="N97" i="2"/>
  <c r="N98" i="2" s="1"/>
  <c r="P97" i="2"/>
  <c r="P98" i="2" s="1"/>
  <c r="R97" i="2"/>
  <c r="R98" i="2" s="1"/>
  <c r="T97" i="2"/>
  <c r="T98" i="2" s="1"/>
  <c r="V97" i="2"/>
  <c r="V98" i="2" s="1"/>
  <c r="X97" i="2"/>
  <c r="X98" i="2" s="1"/>
  <c r="Z97" i="2"/>
  <c r="I18" i="9" s="1"/>
  <c r="J18" i="9" s="1"/>
  <c r="AB97" i="2"/>
  <c r="I19" i="9" s="1"/>
  <c r="J19" i="9" s="1"/>
  <c r="AD97" i="2"/>
  <c r="AD98" i="2" s="1"/>
  <c r="AF97" i="2"/>
  <c r="AF98" i="2" s="1"/>
  <c r="AH97" i="2"/>
  <c r="AH98" i="2" s="1"/>
  <c r="AJ97" i="2"/>
  <c r="AL97" i="2"/>
  <c r="AL98" i="2" s="1"/>
  <c r="AN97" i="2"/>
  <c r="I25" i="9" s="1"/>
  <c r="J25" i="9" s="1"/>
  <c r="AP97" i="2"/>
  <c r="AP98" i="2" s="1"/>
  <c r="AR97" i="2"/>
  <c r="AR98" i="2" s="1"/>
  <c r="Z98" i="2"/>
  <c r="AJ98" i="2"/>
  <c r="J94" i="2"/>
  <c r="J95" i="2" s="1"/>
  <c r="L94" i="2"/>
  <c r="L95" i="2" s="1"/>
  <c r="N94" i="2"/>
  <c r="N95" i="2" s="1"/>
  <c r="P94" i="2"/>
  <c r="P95" i="2" s="1"/>
  <c r="R94" i="2"/>
  <c r="R95" i="2" s="1"/>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P91" i="2"/>
  <c r="E13" i="9" s="1"/>
  <c r="F13" i="9" s="1"/>
  <c r="R91" i="2"/>
  <c r="R92" i="2" s="1"/>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L91" i="2"/>
  <c r="L92" i="2" s="1"/>
  <c r="N91" i="2"/>
  <c r="N92" i="2" s="1"/>
  <c r="J91" i="2"/>
  <c r="J92" i="2" s="1"/>
  <c r="H97" i="2"/>
  <c r="H98" i="2" s="1"/>
  <c r="H94" i="2"/>
  <c r="H95" i="2" s="1"/>
  <c r="H91" i="2"/>
  <c r="H92" i="2" s="1"/>
  <c r="I23" i="9"/>
  <c r="J23" i="9" s="1"/>
  <c r="I22" i="9"/>
  <c r="J22" i="9" s="1"/>
  <c r="I14" i="9"/>
  <c r="J14" i="9" s="1"/>
  <c r="I11" i="9"/>
  <c r="J11" i="9" s="1"/>
  <c r="I9" i="9"/>
  <c r="J9" i="9" s="1"/>
  <c r="G22" i="9"/>
  <c r="H22" i="9" s="1"/>
  <c r="E15" i="9"/>
  <c r="F15" i="9" s="1"/>
  <c r="E98" i="3"/>
  <c r="E97" i="3"/>
  <c r="K56" i="3"/>
  <c r="E49" i="3"/>
  <c r="AR85" i="3"/>
  <c r="AV96" i="3"/>
  <c r="W96" i="3"/>
  <c r="AF96" i="3"/>
  <c r="L64" i="15"/>
  <c r="R96" i="15"/>
  <c r="CJ85" i="3"/>
  <c r="AZ96" i="3"/>
  <c r="P64" i="15"/>
  <c r="AJ85" i="3"/>
  <c r="R85" i="15"/>
  <c r="X85" i="3"/>
  <c r="CB96" i="3"/>
  <c r="AV85" i="3"/>
  <c r="S85" i="15"/>
  <c r="W85" i="3"/>
  <c r="K64" i="15"/>
  <c r="BT85" i="3"/>
  <c r="BT96" i="3"/>
  <c r="S96" i="15"/>
  <c r="BL85" i="3"/>
  <c r="AJ96" i="3"/>
  <c r="J104" i="2"/>
  <c r="K37" i="17" l="1"/>
  <c r="H38" i="17"/>
  <c r="I38" i="17" s="1"/>
  <c r="F67" i="15"/>
  <c r="F114" i="15"/>
  <c r="F115" i="15" s="1"/>
  <c r="I67" i="15"/>
  <c r="G114" i="15"/>
  <c r="G115" i="15" s="1"/>
  <c r="G67" i="15"/>
  <c r="P65" i="15"/>
  <c r="P66" i="15" s="1"/>
  <c r="N114" i="15" s="1"/>
  <c r="N115" i="15" s="1"/>
  <c r="L65" i="15"/>
  <c r="L66" i="15" s="1"/>
  <c r="K65" i="15"/>
  <c r="K66" i="15" s="1"/>
  <c r="I114" i="15" s="1"/>
  <c r="I115" i="15" s="1"/>
  <c r="M114" i="15"/>
  <c r="M115" i="15" s="1"/>
  <c r="M67" i="15"/>
  <c r="N67" i="15"/>
  <c r="R56" i="15"/>
  <c r="S56" i="15"/>
  <c r="M79" i="3"/>
  <c r="E57" i="3"/>
  <c r="Q52" i="15"/>
  <c r="Q51" i="15" s="1"/>
  <c r="Q53" i="15" s="1"/>
  <c r="Q54" i="15" s="1"/>
  <c r="Q55" i="15" s="1"/>
  <c r="Q58" i="15"/>
  <c r="Q89" i="15"/>
  <c r="Q91" i="15"/>
  <c r="Q92" i="15" s="1"/>
  <c r="Q93" i="15" s="1"/>
  <c r="Q94" i="15"/>
  <c r="Q95" i="15"/>
  <c r="Q78" i="15"/>
  <c r="Q80" i="15"/>
  <c r="Q81" i="15" s="1"/>
  <c r="Q82" i="15" s="1"/>
  <c r="Q83" i="15"/>
  <c r="Q84" i="15"/>
  <c r="E52" i="15"/>
  <c r="E51" i="15" s="1"/>
  <c r="E53" i="15" s="1"/>
  <c r="E54" i="15" s="1"/>
  <c r="E55" i="15" s="1"/>
  <c r="E58" i="15"/>
  <c r="E89" i="15"/>
  <c r="E91" i="15"/>
  <c r="E92" i="15" s="1"/>
  <c r="E93" i="15" s="1"/>
  <c r="E94" i="15"/>
  <c r="E95" i="15"/>
  <c r="E78" i="15"/>
  <c r="E81" i="15"/>
  <c r="E82" i="15" s="1"/>
  <c r="E83" i="15"/>
  <c r="E84" i="15"/>
  <c r="AM43" i="11"/>
  <c r="P25" i="9"/>
  <c r="Q25" i="9" s="1"/>
  <c r="AC43" i="11"/>
  <c r="P20" i="9"/>
  <c r="Q20" i="9" s="1"/>
  <c r="AI43" i="11"/>
  <c r="P23" i="9"/>
  <c r="Q23" i="9" s="1"/>
  <c r="U43" i="11"/>
  <c r="P16" i="9"/>
  <c r="Q16" i="9" s="1"/>
  <c r="W43" i="11"/>
  <c r="P17" i="9"/>
  <c r="Q17" i="9" s="1"/>
  <c r="S43" i="11"/>
  <c r="P15" i="9"/>
  <c r="Q15" i="9" s="1"/>
  <c r="O43" i="11"/>
  <c r="P13" i="9"/>
  <c r="Q13" i="9" s="1"/>
  <c r="K43" i="11"/>
  <c r="P11" i="9"/>
  <c r="Q11" i="9" s="1"/>
  <c r="I43" i="11"/>
  <c r="P10" i="9"/>
  <c r="Q10" i="9" s="1"/>
  <c r="L26" i="9"/>
  <c r="M26" i="9" s="1"/>
  <c r="L25" i="9"/>
  <c r="M25" i="9" s="1"/>
  <c r="L24" i="9"/>
  <c r="M24" i="9" s="1"/>
  <c r="L23" i="9"/>
  <c r="M23" i="9" s="1"/>
  <c r="L19" i="9"/>
  <c r="M19" i="9" s="1"/>
  <c r="L18" i="9"/>
  <c r="M18" i="9" s="1"/>
  <c r="L17" i="9"/>
  <c r="M17" i="9" s="1"/>
  <c r="L16" i="9"/>
  <c r="M16" i="9" s="1"/>
  <c r="L13" i="9"/>
  <c r="M13" i="9" s="1"/>
  <c r="L28" i="9"/>
  <c r="M28" i="9" s="1"/>
  <c r="L21" i="9"/>
  <c r="M21" i="9" s="1"/>
  <c r="M80" i="3"/>
  <c r="M81" i="3" s="1"/>
  <c r="F99" i="3"/>
  <c r="F100" i="3" s="1"/>
  <c r="G105" i="3"/>
  <c r="G106" i="3" s="1"/>
  <c r="I99" i="3"/>
  <c r="I100" i="3" s="1"/>
  <c r="F65" i="3"/>
  <c r="J80" i="3"/>
  <c r="J81" i="3" s="1"/>
  <c r="L108" i="3"/>
  <c r="L109" i="3" s="1"/>
  <c r="M108" i="3"/>
  <c r="M109" i="3" s="1"/>
  <c r="M84" i="3"/>
  <c r="J84" i="3"/>
  <c r="K108" i="3"/>
  <c r="K109" i="3" s="1"/>
  <c r="K79" i="3"/>
  <c r="M78" i="3"/>
  <c r="M83" i="3"/>
  <c r="J78" i="3"/>
  <c r="J83" i="3"/>
  <c r="G79" i="3"/>
  <c r="H79" i="3"/>
  <c r="I79" i="3"/>
  <c r="L12" i="9"/>
  <c r="M12" i="9" s="1"/>
  <c r="E78" i="3"/>
  <c r="E77" i="3" s="1"/>
  <c r="E79" i="3" s="1"/>
  <c r="E89" i="3"/>
  <c r="E88" i="3" s="1"/>
  <c r="E90" i="3" s="1"/>
  <c r="E83" i="3" s="1"/>
  <c r="G108" i="3"/>
  <c r="F79" i="3"/>
  <c r="L20" i="9"/>
  <c r="M20" i="9" s="1"/>
  <c r="H99" i="3"/>
  <c r="H100" i="3" s="1"/>
  <c r="F61" i="3"/>
  <c r="E99" i="3"/>
  <c r="E100" i="3" s="1"/>
  <c r="G99" i="3"/>
  <c r="G100" i="3" s="1"/>
  <c r="L11" i="9"/>
  <c r="M11" i="9" s="1"/>
  <c r="L14" i="9"/>
  <c r="M14" i="9" s="1"/>
  <c r="L27" i="9"/>
  <c r="M27" i="9" s="1"/>
  <c r="N10" i="9"/>
  <c r="O10" i="9" s="1"/>
  <c r="H105" i="3"/>
  <c r="H106" i="3" s="1"/>
  <c r="H108" i="3" s="1"/>
  <c r="H109" i="3" s="1"/>
  <c r="I105" i="3"/>
  <c r="I106" i="3" s="1"/>
  <c r="I108" i="3" s="1"/>
  <c r="I109" i="3" s="1"/>
  <c r="L10" i="9"/>
  <c r="M10" i="9" s="1"/>
  <c r="L15" i="9"/>
  <c r="M15" i="9" s="1"/>
  <c r="G17" i="9"/>
  <c r="H17" i="9" s="1"/>
  <c r="AB92" i="2"/>
  <c r="E11" i="9"/>
  <c r="F11" i="9" s="1"/>
  <c r="E24" i="9"/>
  <c r="F24" i="9" s="1"/>
  <c r="I27" i="9"/>
  <c r="J27" i="9" s="1"/>
  <c r="AB98" i="2"/>
  <c r="G23" i="9"/>
  <c r="H23" i="9" s="1"/>
  <c r="E26" i="9"/>
  <c r="F26" i="9" s="1"/>
  <c r="G27" i="9"/>
  <c r="H27" i="9" s="1"/>
  <c r="I15" i="9"/>
  <c r="J15" i="9" s="1"/>
  <c r="G9" i="9"/>
  <c r="H9" i="9" s="1"/>
  <c r="E14" i="9"/>
  <c r="F14" i="9" s="1"/>
  <c r="Z92" i="2"/>
  <c r="G16" i="9"/>
  <c r="H16" i="9" s="1"/>
  <c r="E9" i="9"/>
  <c r="F9" i="9" s="1"/>
  <c r="AL95" i="2"/>
  <c r="E27" i="9"/>
  <c r="F27" i="9" s="1"/>
  <c r="I12" i="9"/>
  <c r="J12" i="9" s="1"/>
  <c r="AN92" i="2"/>
  <c r="G20" i="9"/>
  <c r="H20" i="9" s="1"/>
  <c r="AJ92" i="2"/>
  <c r="G12" i="9"/>
  <c r="H12" i="9" s="1"/>
  <c r="G10" i="9"/>
  <c r="H10" i="9" s="1"/>
  <c r="P92" i="2"/>
  <c r="I26" i="9"/>
  <c r="J26" i="9" s="1"/>
  <c r="X92" i="2"/>
  <c r="J98" i="2"/>
  <c r="G14" i="9"/>
  <c r="H14" i="9" s="1"/>
  <c r="I21" i="9"/>
  <c r="J21" i="9" s="1"/>
  <c r="K35" i="9"/>
  <c r="K36" i="9" s="1"/>
  <c r="K37" i="9"/>
  <c r="K38" i="9" s="1"/>
  <c r="I40" i="9"/>
  <c r="K40" i="9" s="1"/>
  <c r="L22" i="9"/>
  <c r="M22" i="9" s="1"/>
  <c r="I17" i="9"/>
  <c r="J17" i="9" s="1"/>
  <c r="AN98" i="2"/>
  <c r="G13" i="9"/>
  <c r="H13" i="9" s="1"/>
  <c r="AN95" i="2"/>
  <c r="AF95" i="2"/>
  <c r="E16" i="9"/>
  <c r="F16" i="9" s="1"/>
  <c r="I13" i="9"/>
  <c r="J13" i="9" s="1"/>
  <c r="I16" i="9"/>
  <c r="J16" i="9" s="1"/>
  <c r="I20" i="9"/>
  <c r="J20" i="9" s="1"/>
  <c r="I24" i="9"/>
  <c r="J24" i="9" s="1"/>
  <c r="G11" i="9"/>
  <c r="H11" i="9" s="1"/>
  <c r="G15" i="9"/>
  <c r="H15" i="9" s="1"/>
  <c r="G19" i="9"/>
  <c r="H19" i="9" s="1"/>
  <c r="G26" i="9"/>
  <c r="H26" i="9" s="1"/>
  <c r="E22" i="9"/>
  <c r="F22" i="9" s="1"/>
  <c r="E21" i="9"/>
  <c r="F21" i="9" s="1"/>
  <c r="E20" i="9"/>
  <c r="F20" i="9" s="1"/>
  <c r="E12" i="9"/>
  <c r="F12" i="9" s="1"/>
  <c r="E10" i="9"/>
  <c r="F10" i="9" s="1"/>
  <c r="J66" i="3"/>
  <c r="M66" i="3"/>
  <c r="M67" i="3" s="1"/>
  <c r="S64" i="15"/>
  <c r="E96" i="15"/>
  <c r="Q85" i="15"/>
  <c r="R64" i="15"/>
  <c r="M85" i="3"/>
  <c r="Q96" i="15"/>
  <c r="J85" i="3"/>
  <c r="E85" i="15" a="1"/>
  <c r="H39" i="17" l="1"/>
  <c r="I39" i="17" s="1"/>
  <c r="K39" i="17" s="1"/>
  <c r="K38" i="17"/>
  <c r="P67" i="15"/>
  <c r="K114" i="15"/>
  <c r="K115" i="15" s="1"/>
  <c r="K67" i="15"/>
  <c r="J114" i="15"/>
  <c r="J115" i="15" s="1"/>
  <c r="L114" i="15"/>
  <c r="L115" i="15" s="1"/>
  <c r="L67" i="15"/>
  <c r="S65" i="15"/>
  <c r="S66" i="15" s="1"/>
  <c r="S114" i="15" s="1"/>
  <c r="S115" i="15" s="1"/>
  <c r="R65" i="15"/>
  <c r="R66" i="15" s="1"/>
  <c r="R67" i="15" s="1"/>
  <c r="E85" i="15"/>
  <c r="Q56" i="15"/>
  <c r="E56" i="15"/>
  <c r="H102" i="3"/>
  <c r="G29" i="11"/>
  <c r="F102" i="3"/>
  <c r="E29" i="11"/>
  <c r="G102" i="3"/>
  <c r="F29" i="11"/>
  <c r="I102" i="3"/>
  <c r="H29" i="11"/>
  <c r="AE43" i="11"/>
  <c r="P21" i="9"/>
  <c r="Q21" i="9" s="1"/>
  <c r="M43" i="11"/>
  <c r="P12" i="9"/>
  <c r="Q12" i="9" s="1"/>
  <c r="Q43" i="11"/>
  <c r="P14" i="9"/>
  <c r="Q14" i="9" s="1"/>
  <c r="E84" i="3"/>
  <c r="E80" i="3"/>
  <c r="E81" i="3" s="1"/>
  <c r="E82" i="3" s="1"/>
  <c r="E91" i="3"/>
  <c r="J117" i="3"/>
  <c r="F90" i="3"/>
  <c r="H90" i="3"/>
  <c r="I90" i="3"/>
  <c r="G90" i="3"/>
  <c r="G109" i="3"/>
  <c r="J67" i="3"/>
  <c r="E107" i="3"/>
  <c r="G57" i="3"/>
  <c r="H57" i="3"/>
  <c r="I57" i="3"/>
  <c r="K57" i="3"/>
  <c r="J57" i="3"/>
  <c r="Q64" i="15"/>
  <c r="E64" i="15"/>
  <c r="E85" i="3"/>
  <c r="H40" i="17" l="1"/>
  <c r="I40" i="17" s="1"/>
  <c r="Q65" i="15"/>
  <c r="Q66" i="15" s="1"/>
  <c r="E65" i="15"/>
  <c r="E66" i="15" s="1"/>
  <c r="S67" i="15"/>
  <c r="R114" i="15"/>
  <c r="R115" i="15" s="1"/>
  <c r="J118" i="3"/>
  <c r="G31" i="11"/>
  <c r="N9" i="9"/>
  <c r="O9" i="9" s="1"/>
  <c r="E94" i="3"/>
  <c r="E95" i="3"/>
  <c r="E92" i="3"/>
  <c r="E93" i="3" s="1"/>
  <c r="K16" i="3"/>
  <c r="L17" i="3" s="1"/>
  <c r="L76" i="3" s="1"/>
  <c r="M50" i="3"/>
  <c r="L50" i="3"/>
  <c r="J65" i="3"/>
  <c r="M16" i="3"/>
  <c r="K17" i="3" s="1"/>
  <c r="K76" i="3" s="1"/>
  <c r="L16" i="3"/>
  <c r="M60" i="3"/>
  <c r="M61" i="3" s="1"/>
  <c r="L60" i="3"/>
  <c r="L61" i="3" s="1"/>
  <c r="K60" i="3"/>
  <c r="K61" i="3" s="1"/>
  <c r="J60" i="3"/>
  <c r="J61" i="3" s="1"/>
  <c r="M59" i="3"/>
  <c r="L59" i="3"/>
  <c r="K59" i="3"/>
  <c r="J59" i="3"/>
  <c r="J49" i="3"/>
  <c r="M48" i="3"/>
  <c r="L48" i="3"/>
  <c r="J56" i="3"/>
  <c r="K48" i="3"/>
  <c r="K50" i="3"/>
  <c r="J48" i="3"/>
  <c r="J50" i="3"/>
  <c r="I56" i="3"/>
  <c r="H56" i="3"/>
  <c r="G56" i="3"/>
  <c r="E50" i="3"/>
  <c r="F49" i="3"/>
  <c r="F58" i="3" s="1"/>
  <c r="F50" i="3"/>
  <c r="I63" i="3"/>
  <c r="H63" i="3"/>
  <c r="H64" i="3" s="1"/>
  <c r="G63" i="3"/>
  <c r="G64" i="3" s="1"/>
  <c r="F17" i="11" s="1"/>
  <c r="J63" i="3"/>
  <c r="E59" i="3"/>
  <c r="E60" i="3"/>
  <c r="E62" i="3" s="1"/>
  <c r="E63" i="3"/>
  <c r="I16" i="3"/>
  <c r="G17" i="3" s="1"/>
  <c r="G76" i="3" s="1"/>
  <c r="H16" i="3"/>
  <c r="F17" i="3" s="1"/>
  <c r="F76" i="3" s="1"/>
  <c r="I48" i="3"/>
  <c r="I50" i="3"/>
  <c r="G48" i="3"/>
  <c r="G50" i="3"/>
  <c r="H50" i="3"/>
  <c r="H48" i="3"/>
  <c r="G59" i="3"/>
  <c r="G60" i="3"/>
  <c r="G62" i="3" s="1"/>
  <c r="K63" i="3"/>
  <c r="L63" i="3"/>
  <c r="M63" i="3"/>
  <c r="H59" i="3"/>
  <c r="H60" i="3"/>
  <c r="H62" i="3" s="1"/>
  <c r="I59" i="3"/>
  <c r="I60" i="3"/>
  <c r="I61" i="3" s="1"/>
  <c r="F68" i="3"/>
  <c r="E9" i="11" s="1"/>
  <c r="J68" i="3"/>
  <c r="G9" i="11" s="1"/>
  <c r="E57" i="2"/>
  <c r="F107" i="3"/>
  <c r="F103" i="3"/>
  <c r="F104" i="3"/>
  <c r="F66" i="2"/>
  <c r="F65" i="2"/>
  <c r="G63" i="2"/>
  <c r="G64" i="2" s="1"/>
  <c r="G66" i="2"/>
  <c r="G65" i="2"/>
  <c r="CL112" i="3"/>
  <c r="F110" i="3"/>
  <c r="E68" i="2"/>
  <c r="AS68" i="2"/>
  <c r="AR68" i="2"/>
  <c r="AQ68" i="2"/>
  <c r="AP68" i="2"/>
  <c r="AO68" i="2"/>
  <c r="AN68" i="2"/>
  <c r="AM68" i="2"/>
  <c r="AL68" i="2"/>
  <c r="AK68" i="2"/>
  <c r="AJ68" i="2"/>
  <c r="AI68" i="2"/>
  <c r="AH68" i="2"/>
  <c r="AG68" i="2"/>
  <c r="AF68" i="2"/>
  <c r="AE68" i="2"/>
  <c r="AD68" i="2"/>
  <c r="AC68" i="2"/>
  <c r="AB68" i="2"/>
  <c r="AB71" i="2" s="1"/>
  <c r="AA68" i="2"/>
  <c r="Z68" i="2"/>
  <c r="Y68" i="2"/>
  <c r="X68" i="2"/>
  <c r="W68" i="2"/>
  <c r="V68" i="2"/>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3" i="3"/>
  <c r="E104" i="3"/>
  <c r="H57" i="2"/>
  <c r="G22" i="11" s="1"/>
  <c r="I57" i="2"/>
  <c r="H22" i="11" s="1"/>
  <c r="J57" i="2"/>
  <c r="I22" i="11" s="1"/>
  <c r="K57" i="2"/>
  <c r="J22" i="11" s="1"/>
  <c r="L57" i="2"/>
  <c r="K22" i="11" s="1"/>
  <c r="M57" i="2"/>
  <c r="L22" i="11" s="1"/>
  <c r="N57" i="2"/>
  <c r="M22" i="11" s="1"/>
  <c r="O57" i="2"/>
  <c r="N22" i="11" s="1"/>
  <c r="P57" i="2"/>
  <c r="O22" i="11" s="1"/>
  <c r="Q57" i="2"/>
  <c r="P22" i="11" s="1"/>
  <c r="R57" i="2"/>
  <c r="Q22" i="11" s="1"/>
  <c r="S57" i="2"/>
  <c r="R22" i="11" s="1"/>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P69" i="2"/>
  <c r="AP70" i="2" s="1"/>
  <c r="AN71" i="2"/>
  <c r="AH71" i="2"/>
  <c r="V71" i="2"/>
  <c r="V69" i="2"/>
  <c r="V70" i="2" s="1"/>
  <c r="G60" i="2"/>
  <c r="H77" i="2"/>
  <c r="H78" i="2" s="1"/>
  <c r="H83" i="2"/>
  <c r="H79" i="2"/>
  <c r="H81" i="2"/>
  <c r="H80" i="2"/>
  <c r="H86" i="2"/>
  <c r="I86" i="2"/>
  <c r="H66" i="2"/>
  <c r="H65" i="2"/>
  <c r="H60" i="2"/>
  <c r="H74" i="2"/>
  <c r="I74"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R86" i="2"/>
  <c r="S86" i="2"/>
  <c r="P86" i="2"/>
  <c r="Q86" i="2"/>
  <c r="N86" i="2"/>
  <c r="O86" i="2"/>
  <c r="L86" i="2"/>
  <c r="M86" i="2"/>
  <c r="J86" i="2"/>
  <c r="K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R74" i="2"/>
  <c r="S74" i="2"/>
  <c r="P74" i="2"/>
  <c r="Q74" i="2"/>
  <c r="N74" i="2"/>
  <c r="O74" i="2"/>
  <c r="L74" i="2"/>
  <c r="M74" i="2"/>
  <c r="J74" i="2"/>
  <c r="K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2" i="3"/>
  <c r="F112" i="3"/>
  <c r="AT89" i="2"/>
  <c r="AL89" i="2"/>
  <c r="AN89" i="2"/>
  <c r="AP89" i="2"/>
  <c r="AR89" i="2"/>
  <c r="AF89" i="2"/>
  <c r="AH89" i="2"/>
  <c r="AJ89" i="2"/>
  <c r="X89" i="2"/>
  <c r="Z89" i="2"/>
  <c r="AB89" i="2"/>
  <c r="AD89" i="2"/>
  <c r="T89" i="2"/>
  <c r="V89" i="2"/>
  <c r="L89" i="2"/>
  <c r="N89" i="2"/>
  <c r="P89" i="2"/>
  <c r="R89" i="2"/>
  <c r="H89" i="2"/>
  <c r="J89" i="2"/>
  <c r="F89" i="2"/>
  <c r="E96" i="3"/>
  <c r="H41" i="17" l="1"/>
  <c r="K40" i="17"/>
  <c r="O114" i="15"/>
  <c r="O115" i="15" s="1"/>
  <c r="P114" i="15"/>
  <c r="P115" i="15" s="1"/>
  <c r="E67" i="15"/>
  <c r="E114" i="15"/>
  <c r="E115" i="15" s="1"/>
  <c r="Q67" i="15"/>
  <c r="Q114" i="15"/>
  <c r="Q115" i="15" s="1"/>
  <c r="L62" i="3"/>
  <c r="Y75" i="2"/>
  <c r="X30" i="11"/>
  <c r="X32" i="11" s="1"/>
  <c r="X33" i="11" s="1"/>
  <c r="AO75" i="2"/>
  <c r="AN30" i="11"/>
  <c r="AN32" i="11" s="1"/>
  <c r="AN33" i="11" s="1"/>
  <c r="U87" i="2"/>
  <c r="T35" i="11"/>
  <c r="T36" i="11" s="1"/>
  <c r="AK87" i="2"/>
  <c r="AJ35" i="11"/>
  <c r="AJ36" i="11" s="1"/>
  <c r="H87" i="2"/>
  <c r="G35" i="11"/>
  <c r="G36" i="11" s="1"/>
  <c r="M75" i="2"/>
  <c r="L30" i="11"/>
  <c r="L32" i="11" s="1"/>
  <c r="L33" i="11" s="1"/>
  <c r="AC75" i="2"/>
  <c r="AB30" i="11"/>
  <c r="AB32" i="11" s="1"/>
  <c r="AB33" i="11" s="1"/>
  <c r="AS75" i="2"/>
  <c r="AR30" i="11"/>
  <c r="AR32" i="11" s="1"/>
  <c r="AR33" i="11" s="1"/>
  <c r="Y87" i="2"/>
  <c r="X35" i="11"/>
  <c r="X36" i="11" s="1"/>
  <c r="AO87" i="2"/>
  <c r="AN35" i="11"/>
  <c r="AN36" i="11" s="1"/>
  <c r="I64" i="3"/>
  <c r="F18" i="11" s="1"/>
  <c r="L75" i="2"/>
  <c r="K30" i="11"/>
  <c r="K32" i="11" s="1"/>
  <c r="K33" i="11" s="1"/>
  <c r="P75" i="2"/>
  <c r="O30" i="11"/>
  <c r="O32" i="11" s="1"/>
  <c r="O33"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L87" i="2"/>
  <c r="K35" i="11"/>
  <c r="K36" i="11" s="1"/>
  <c r="P87" i="2"/>
  <c r="O35" i="11"/>
  <c r="O36" i="11" s="1"/>
  <c r="T87" i="2"/>
  <c r="S35" i="11"/>
  <c r="S36" i="11" s="1"/>
  <c r="X87" i="2"/>
  <c r="W35" i="11"/>
  <c r="W36" i="11" s="1"/>
  <c r="AB87" i="2"/>
  <c r="AA35" i="11"/>
  <c r="AA36" i="11" s="1"/>
  <c r="AF87" i="2"/>
  <c r="AE35" i="11"/>
  <c r="AE36" i="11" s="1"/>
  <c r="AJ87" i="2"/>
  <c r="AI35" i="11"/>
  <c r="AI36" i="11" s="1"/>
  <c r="AN87" i="2"/>
  <c r="AM35" i="11"/>
  <c r="AM36" i="11" s="1"/>
  <c r="AR87" i="2"/>
  <c r="AQ35" i="11"/>
  <c r="AQ36" i="11" s="1"/>
  <c r="AB69" i="2"/>
  <c r="AB70" i="2" s="1"/>
  <c r="Q75" i="2"/>
  <c r="P30" i="11"/>
  <c r="P32" i="11" s="1"/>
  <c r="P33" i="11" s="1"/>
  <c r="AG75" i="2"/>
  <c r="AF30" i="11"/>
  <c r="AF32" i="11" s="1"/>
  <c r="AF33" i="11" s="1"/>
  <c r="M87" i="2"/>
  <c r="L35" i="11"/>
  <c r="L36" i="11" s="1"/>
  <c r="AC87" i="2"/>
  <c r="AB35" i="11"/>
  <c r="AB36" i="11" s="1"/>
  <c r="AS87" i="2"/>
  <c r="AR35" i="11"/>
  <c r="AR36" i="11" s="1"/>
  <c r="K75" i="2"/>
  <c r="J30" i="11"/>
  <c r="J32" i="11" s="1"/>
  <c r="J33" i="11" s="1"/>
  <c r="O75" i="2"/>
  <c r="N30" i="11"/>
  <c r="N32" i="11" s="1"/>
  <c r="N33" i="11" s="1"/>
  <c r="S75" i="2"/>
  <c r="R30" i="11"/>
  <c r="R32" i="11" s="1"/>
  <c r="R33"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K87" i="2"/>
  <c r="J35" i="11"/>
  <c r="J36" i="11" s="1"/>
  <c r="O87" i="2"/>
  <c r="N35" i="11"/>
  <c r="N36" i="11" s="1"/>
  <c r="S87" i="2"/>
  <c r="R35" i="11"/>
  <c r="R36" i="11" s="1"/>
  <c r="W87" i="2"/>
  <c r="V35" i="11"/>
  <c r="V36" i="11" s="1"/>
  <c r="AA87" i="2"/>
  <c r="Z35" i="11"/>
  <c r="Z36" i="11" s="1"/>
  <c r="AE87" i="2"/>
  <c r="AD35" i="11"/>
  <c r="AD36" i="11" s="1"/>
  <c r="AI87" i="2"/>
  <c r="AH35" i="11"/>
  <c r="AH36" i="11" s="1"/>
  <c r="AM87" i="2"/>
  <c r="AL35" i="11"/>
  <c r="AL36" i="11" s="1"/>
  <c r="AQ87" i="2"/>
  <c r="AP35" i="11"/>
  <c r="AP36" i="11" s="1"/>
  <c r="I75" i="2"/>
  <c r="H30" i="11"/>
  <c r="H32" i="11" s="1"/>
  <c r="H33" i="11" s="1"/>
  <c r="U75" i="2"/>
  <c r="T30" i="11"/>
  <c r="T32" i="11" s="1"/>
  <c r="T33" i="11" s="1"/>
  <c r="AK75" i="2"/>
  <c r="AJ30" i="11"/>
  <c r="AJ32" i="11" s="1"/>
  <c r="AJ33" i="11" s="1"/>
  <c r="Q87" i="2"/>
  <c r="P35" i="11"/>
  <c r="P36" i="11" s="1"/>
  <c r="AG87" i="2"/>
  <c r="AF35" i="11"/>
  <c r="AF36" i="11" s="1"/>
  <c r="J75" i="2"/>
  <c r="I30" i="11"/>
  <c r="I32" i="11" s="1"/>
  <c r="I33" i="11" s="1"/>
  <c r="N75" i="2"/>
  <c r="M30" i="11"/>
  <c r="M32" i="11" s="1"/>
  <c r="M33" i="11" s="1"/>
  <c r="R75" i="2"/>
  <c r="Q30" i="11"/>
  <c r="Q32" i="11" s="1"/>
  <c r="Q33" i="11" s="1"/>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J87" i="2"/>
  <c r="I35" i="11"/>
  <c r="I36" i="11" s="1"/>
  <c r="N87" i="2"/>
  <c r="M35" i="11"/>
  <c r="M36" i="11" s="1"/>
  <c r="R87" i="2"/>
  <c r="Q35" i="11"/>
  <c r="Q36" i="11" s="1"/>
  <c r="V87" i="2"/>
  <c r="U35" i="11"/>
  <c r="U36" i="11" s="1"/>
  <c r="Z87" i="2"/>
  <c r="Y35" i="11"/>
  <c r="Y36" i="11" s="1"/>
  <c r="AD87" i="2"/>
  <c r="AC35" i="11"/>
  <c r="AC36" i="11" s="1"/>
  <c r="AH87" i="2"/>
  <c r="AG35" i="11"/>
  <c r="AG36" i="11" s="1"/>
  <c r="AL87" i="2"/>
  <c r="AK35" i="11"/>
  <c r="AK36" i="11" s="1"/>
  <c r="AP87" i="2"/>
  <c r="AO35" i="11"/>
  <c r="AO36" i="11" s="1"/>
  <c r="H75" i="2"/>
  <c r="G30" i="11"/>
  <c r="G32" i="11" s="1"/>
  <c r="G33" i="11" s="1"/>
  <c r="I87" i="2"/>
  <c r="H35" i="11"/>
  <c r="H36" i="11" s="1"/>
  <c r="E18" i="11"/>
  <c r="F56" i="2"/>
  <c r="E15" i="11" s="1"/>
  <c r="J95" i="3"/>
  <c r="J82" i="3"/>
  <c r="J94" i="3"/>
  <c r="J91" i="3"/>
  <c r="J92" i="3" s="1"/>
  <c r="J93" i="3" s="1"/>
  <c r="J89" i="3"/>
  <c r="M62" i="3"/>
  <c r="F78" i="3"/>
  <c r="F80" i="3"/>
  <c r="F81" i="3" s="1"/>
  <c r="F82" i="3" s="1"/>
  <c r="F84" i="3"/>
  <c r="F91" i="3"/>
  <c r="L83" i="3"/>
  <c r="L80" i="3"/>
  <c r="L81" i="3" s="1"/>
  <c r="L84" i="3"/>
  <c r="L78" i="3"/>
  <c r="K78" i="3"/>
  <c r="K83" i="3"/>
  <c r="K80" i="3"/>
  <c r="K81" i="3" s="1"/>
  <c r="K84" i="3"/>
  <c r="F83"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3" i="2"/>
  <c r="AA52" i="2"/>
  <c r="AA53" i="2"/>
  <c r="AE52" i="2"/>
  <c r="AE53" i="2"/>
  <c r="AI52" i="2"/>
  <c r="AI53" i="2"/>
  <c r="AM52" i="2"/>
  <c r="AM53" i="2"/>
  <c r="AQ52" i="2"/>
  <c r="AQ53" i="2"/>
  <c r="AE69" i="2"/>
  <c r="AE70" i="2" s="1"/>
  <c r="F71" i="2"/>
  <c r="F53" i="2"/>
  <c r="F52" i="2"/>
  <c r="J53" i="2"/>
  <c r="J52" i="2"/>
  <c r="N53" i="2"/>
  <c r="N52" i="2"/>
  <c r="N54" i="2" s="1"/>
  <c r="R53" i="2"/>
  <c r="R52" i="2"/>
  <c r="V53" i="2"/>
  <c r="V52" i="2"/>
  <c r="V54" i="2" s="1"/>
  <c r="Z53" i="2"/>
  <c r="Z52" i="2"/>
  <c r="AD53" i="2"/>
  <c r="AD52" i="2"/>
  <c r="AD54" i="2" s="1"/>
  <c r="AH53" i="2"/>
  <c r="AH52" i="2"/>
  <c r="AL71" i="2"/>
  <c r="AL53" i="2"/>
  <c r="AL52" i="2"/>
  <c r="AL54" i="2" s="1"/>
  <c r="AP71" i="2"/>
  <c r="AP72" i="2" s="1"/>
  <c r="AP73" i="2" s="1"/>
  <c r="AP53" i="2"/>
  <c r="AP52" i="2"/>
  <c r="AP54" i="2" s="1"/>
  <c r="E69" i="2"/>
  <c r="E70" i="2" s="1"/>
  <c r="E53" i="2"/>
  <c r="E52" i="2"/>
  <c r="AQ58" i="2"/>
  <c r="AI58" i="2"/>
  <c r="AA58" i="2"/>
  <c r="O58" i="2"/>
  <c r="W58" i="2"/>
  <c r="AL58" i="2"/>
  <c r="AD58" i="2"/>
  <c r="V58" i="2"/>
  <c r="N58" i="2"/>
  <c r="AE58" i="2"/>
  <c r="I71" i="2"/>
  <c r="I72" i="2" s="1"/>
  <c r="I73" i="2" s="1"/>
  <c r="AL69" i="2"/>
  <c r="AL70" i="2" s="1"/>
  <c r="AL72" i="2" s="1"/>
  <c r="AL73" i="2" s="1"/>
  <c r="AS58" i="2"/>
  <c r="AO58" i="2"/>
  <c r="AK58" i="2"/>
  <c r="AG58" i="2"/>
  <c r="AC58" i="2"/>
  <c r="Y58" i="2"/>
  <c r="U58" i="2"/>
  <c r="Q58" i="2"/>
  <c r="M58" i="2"/>
  <c r="I58" i="2"/>
  <c r="AM58" i="2"/>
  <c r="S58" i="2"/>
  <c r="K58" i="2"/>
  <c r="AP58" i="2"/>
  <c r="AH58" i="2"/>
  <c r="Z58" i="2"/>
  <c r="R58" i="2"/>
  <c r="J58" i="2"/>
  <c r="E71" i="2"/>
  <c r="AR58" i="2"/>
  <c r="AN58" i="2"/>
  <c r="AJ58" i="2"/>
  <c r="AF58" i="2"/>
  <c r="AB58" i="2"/>
  <c r="X58" i="2"/>
  <c r="T58" i="2"/>
  <c r="P58" i="2"/>
  <c r="L58" i="2"/>
  <c r="H58" i="2"/>
  <c r="E58" i="2"/>
  <c r="I49" i="3"/>
  <c r="I89" i="3" s="1"/>
  <c r="M49" i="3"/>
  <c r="L49" i="3"/>
  <c r="L58" i="3" s="1"/>
  <c r="H84" i="3"/>
  <c r="H78" i="3"/>
  <c r="H83" i="3"/>
  <c r="H80" i="3"/>
  <c r="H81" i="3" s="1"/>
  <c r="K49" i="3"/>
  <c r="K52" i="3" s="1"/>
  <c r="K51" i="3" s="1"/>
  <c r="K53" i="3" s="1"/>
  <c r="K54" i="3" s="1"/>
  <c r="K55" i="3" s="1"/>
  <c r="G78" i="3"/>
  <c r="G83" i="3"/>
  <c r="G84" i="3"/>
  <c r="G80" i="3"/>
  <c r="G81" i="3" s="1"/>
  <c r="I91" i="3"/>
  <c r="I92" i="3" s="1"/>
  <c r="I93" i="3" s="1"/>
  <c r="H49" i="3"/>
  <c r="H94" i="3" s="1"/>
  <c r="G49" i="3"/>
  <c r="G58" i="3" s="1"/>
  <c r="J58" i="3"/>
  <c r="F89" i="3"/>
  <c r="F95" i="3"/>
  <c r="F94" i="3"/>
  <c r="F92" i="3"/>
  <c r="F93" i="3" s="1"/>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5"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G71" i="2"/>
  <c r="G72" i="2" s="1"/>
  <c r="G73" i="2" s="1"/>
  <c r="AA71" i="2"/>
  <c r="AE71" i="2"/>
  <c r="AI71" i="2"/>
  <c r="AM71" i="2"/>
  <c r="AQ71" i="2"/>
  <c r="H28" i="9"/>
  <c r="E61" i="3"/>
  <c r="J52" i="3"/>
  <c r="J51" i="3" s="1"/>
  <c r="J53" i="3" s="1"/>
  <c r="J54" i="3" s="1"/>
  <c r="J55" i="3" s="1"/>
  <c r="E65" i="3"/>
  <c r="H61" i="3"/>
  <c r="J62" i="3"/>
  <c r="I62" i="3"/>
  <c r="F105" i="3"/>
  <c r="F106" i="3" s="1"/>
  <c r="F108" i="3" s="1"/>
  <c r="E105" i="3"/>
  <c r="E106" i="3" s="1"/>
  <c r="E108" i="3" s="1"/>
  <c r="E109" i="3" s="1"/>
  <c r="E58" i="3"/>
  <c r="K62" i="3"/>
  <c r="K66" i="3" s="1"/>
  <c r="F52" i="3"/>
  <c r="F51" i="3" s="1"/>
  <c r="F53" i="3" s="1"/>
  <c r="F54" i="3" s="1"/>
  <c r="F55" i="3" s="1"/>
  <c r="E52" i="3"/>
  <c r="E51" i="3" s="1"/>
  <c r="E53" i="3" s="1"/>
  <c r="G61" i="3"/>
  <c r="L57" i="3"/>
  <c r="F85" i="3"/>
  <c r="F96" i="3"/>
  <c r="J96" i="3"/>
  <c r="E20" i="11"/>
  <c r="F19" i="11"/>
  <c r="E19" i="11"/>
  <c r="I41" i="17" l="1"/>
  <c r="E21" i="11"/>
  <c r="I65" i="3"/>
  <c r="I66" i="3" s="1"/>
  <c r="I67" i="3" s="1"/>
  <c r="F117" i="3"/>
  <c r="E31" i="11" s="1"/>
  <c r="E46" i="11" s="1"/>
  <c r="AS46" i="11" s="1"/>
  <c r="E54" i="3"/>
  <c r="E55" i="3" s="1"/>
  <c r="E56" i="3" s="1"/>
  <c r="AM54" i="2"/>
  <c r="AE54" i="2"/>
  <c r="W54" i="2"/>
  <c r="K54" i="2"/>
  <c r="Q54" i="2"/>
  <c r="I54" i="2"/>
  <c r="F72" i="2"/>
  <c r="F73" i="2" s="1"/>
  <c r="F74" i="2" s="1"/>
  <c r="E30" i="11" s="1"/>
  <c r="I58" i="3"/>
  <c r="E54" i="2"/>
  <c r="AO54" i="2"/>
  <c r="G56" i="2"/>
  <c r="F15" i="11" s="1"/>
  <c r="K58" i="3"/>
  <c r="L82" i="3"/>
  <c r="I52" i="3"/>
  <c r="I51" i="3" s="1"/>
  <c r="I53" i="3" s="1"/>
  <c r="I54" i="3" s="1"/>
  <c r="I55" i="3" s="1"/>
  <c r="I95" i="3"/>
  <c r="I94" i="3"/>
  <c r="K82" i="3"/>
  <c r="M95" i="3"/>
  <c r="M94" i="3"/>
  <c r="M89" i="3"/>
  <c r="M91" i="3"/>
  <c r="M92" i="3" s="1"/>
  <c r="M93" i="3" s="1"/>
  <c r="M82" i="3"/>
  <c r="E66" i="3"/>
  <c r="E67" i="3" s="1"/>
  <c r="K95" i="3"/>
  <c r="K91" i="3"/>
  <c r="K92" i="3" s="1"/>
  <c r="K93" i="3" s="1"/>
  <c r="K89" i="3"/>
  <c r="K94" i="3"/>
  <c r="M57" i="3"/>
  <c r="M58" i="3"/>
  <c r="H52" i="3"/>
  <c r="H51" i="3" s="1"/>
  <c r="H53" i="3" s="1"/>
  <c r="H54" i="3" s="1"/>
  <c r="H55" i="3" s="1"/>
  <c r="H82" i="3"/>
  <c r="L94" i="3"/>
  <c r="L89" i="3"/>
  <c r="L91" i="3"/>
  <c r="L92" i="3" s="1"/>
  <c r="L93" i="3" s="1"/>
  <c r="L95" i="3"/>
  <c r="E72" i="2"/>
  <c r="E73" i="2" s="1"/>
  <c r="F54" i="2"/>
  <c r="W72" i="2"/>
  <c r="W73" i="2" s="1"/>
  <c r="AG54" i="2"/>
  <c r="AK54" i="2"/>
  <c r="AR54" i="2"/>
  <c r="AJ54" i="2"/>
  <c r="AB54" i="2"/>
  <c r="T54" i="2"/>
  <c r="L54" i="2"/>
  <c r="AQ72" i="2"/>
  <c r="AQ73" i="2" s="1"/>
  <c r="AQ54" i="2"/>
  <c r="AI54" i="2"/>
  <c r="AA54" i="2"/>
  <c r="S54" i="2"/>
  <c r="G54" i="2"/>
  <c r="G57" i="2" s="1"/>
  <c r="AE72" i="2"/>
  <c r="AE73" i="2" s="1"/>
  <c r="AF72" i="2"/>
  <c r="AF73" i="2" s="1"/>
  <c r="L72" i="2"/>
  <c r="L73" i="2" s="1"/>
  <c r="R72" i="2"/>
  <c r="R73" i="2" s="1"/>
  <c r="AH54" i="2"/>
  <c r="Z54" i="2"/>
  <c r="R54" i="2"/>
  <c r="J54" i="2"/>
  <c r="Y54" i="2"/>
  <c r="O54" i="2"/>
  <c r="AN54" i="2"/>
  <c r="AF54" i="2"/>
  <c r="X54" i="2"/>
  <c r="P54" i="2"/>
  <c r="H54" i="2"/>
  <c r="M52" i="3"/>
  <c r="M51" i="3" s="1"/>
  <c r="M53" i="3" s="1"/>
  <c r="M54" i="3" s="1"/>
  <c r="M55" i="3" s="1"/>
  <c r="H91" i="3"/>
  <c r="H92" i="3" s="1"/>
  <c r="H93" i="3" s="1"/>
  <c r="I78" i="3"/>
  <c r="I83" i="3"/>
  <c r="I84" i="3"/>
  <c r="I80" i="3"/>
  <c r="I81" i="3" s="1"/>
  <c r="I82" i="3" s="1"/>
  <c r="L52" i="3"/>
  <c r="L51" i="3" s="1"/>
  <c r="L53" i="3" s="1"/>
  <c r="L54" i="3" s="1"/>
  <c r="L55" i="3" s="1"/>
  <c r="G82" i="3"/>
  <c r="H58" i="3"/>
  <c r="G89" i="3"/>
  <c r="G91" i="3"/>
  <c r="G92" i="3" s="1"/>
  <c r="G93" i="3" s="1"/>
  <c r="G94" i="3"/>
  <c r="G52" i="3"/>
  <c r="G51" i="3" s="1"/>
  <c r="G53" i="3" s="1"/>
  <c r="G54" i="3" s="1"/>
  <c r="G55" i="3" s="1"/>
  <c r="G95" i="3"/>
  <c r="H89" i="3"/>
  <c r="H95" i="3"/>
  <c r="H66" i="3"/>
  <c r="H67" i="3" s="1"/>
  <c r="G65" i="3"/>
  <c r="G66" i="3" s="1"/>
  <c r="G67" i="3" s="1"/>
  <c r="F66" i="3"/>
  <c r="N8" i="9"/>
  <c r="O8" i="9" s="1"/>
  <c r="F118" i="3"/>
  <c r="AM72" i="2"/>
  <c r="AM73" i="2" s="1"/>
  <c r="M72" i="2"/>
  <c r="M73" i="2" s="1"/>
  <c r="AD72" i="2"/>
  <c r="AD73" i="2" s="1"/>
  <c r="O72" i="2"/>
  <c r="O73" i="2" s="1"/>
  <c r="S72" i="2"/>
  <c r="S73" i="2" s="1"/>
  <c r="J72" i="2"/>
  <c r="J73" i="2" s="1"/>
  <c r="H72" i="2"/>
  <c r="H73" i="2" s="1"/>
  <c r="Q72" i="2"/>
  <c r="Q73" i="2" s="1"/>
  <c r="AR72" i="2"/>
  <c r="AR73" i="2" s="1"/>
  <c r="F57" i="2"/>
  <c r="E22" i="11" s="1"/>
  <c r="T72" i="2"/>
  <c r="T73" i="2" s="1"/>
  <c r="AI72" i="2"/>
  <c r="AI73" i="2" s="1"/>
  <c r="Y72" i="2"/>
  <c r="Y73" i="2" s="1"/>
  <c r="P72" i="2"/>
  <c r="P73" i="2" s="1"/>
  <c r="AC72" i="2"/>
  <c r="AC73" i="2" s="1"/>
  <c r="X72" i="2"/>
  <c r="X73" i="2" s="1"/>
  <c r="AK72" i="2"/>
  <c r="AK73" i="2" s="1"/>
  <c r="AJ72" i="2"/>
  <c r="AJ73" i="2" s="1"/>
  <c r="K72" i="2"/>
  <c r="K73" i="2" s="1"/>
  <c r="G74" i="2"/>
  <c r="N72" i="2"/>
  <c r="N73" i="2" s="1"/>
  <c r="AA72" i="2"/>
  <c r="AA73" i="2" s="1"/>
  <c r="AG72" i="2"/>
  <c r="AG73" i="2" s="1"/>
  <c r="Z72" i="2"/>
  <c r="Z73" i="2" s="1"/>
  <c r="AO72" i="2"/>
  <c r="AO73" i="2" s="1"/>
  <c r="F75" i="2"/>
  <c r="AS72" i="2"/>
  <c r="AS73" i="2" s="1"/>
  <c r="K67" i="3"/>
  <c r="L56" i="3"/>
  <c r="F109" i="3"/>
  <c r="K96" i="3"/>
  <c r="I96" i="3"/>
  <c r="G85" i="3"/>
  <c r="H85" i="3"/>
  <c r="M96" i="3"/>
  <c r="G96" i="3"/>
  <c r="I85" i="3"/>
  <c r="H96" i="3"/>
  <c r="L85" i="3"/>
  <c r="L96" i="3"/>
  <c r="K85" i="3"/>
  <c r="F20" i="11"/>
  <c r="H42" i="17" l="1"/>
  <c r="K41" i="17"/>
  <c r="F114" i="3"/>
  <c r="F21" i="11"/>
  <c r="E32" i="11"/>
  <c r="G75" i="2"/>
  <c r="F30" i="11"/>
  <c r="F32" i="11" s="1"/>
  <c r="F33" i="11" s="1"/>
  <c r="F67" i="3"/>
  <c r="M56" i="3"/>
  <c r="K102" i="3"/>
  <c r="F58" i="2"/>
  <c r="F91" i="2"/>
  <c r="AT91" i="2" s="1"/>
  <c r="F22" i="11"/>
  <c r="M65" i="3"/>
  <c r="F86" i="2"/>
  <c r="F94" i="2"/>
  <c r="F95" i="2" s="1"/>
  <c r="G58" i="2"/>
  <c r="G86" i="2"/>
  <c r="F97" i="2"/>
  <c r="E50" i="11" s="1"/>
  <c r="AS50" i="11" s="1"/>
  <c r="AS53" i="11" s="1"/>
  <c r="G8" i="9"/>
  <c r="H8" i="9" s="1"/>
  <c r="L65" i="3"/>
  <c r="L66" i="3" s="1"/>
  <c r="J114" i="3" s="1"/>
  <c r="G23" i="11" s="1"/>
  <c r="G41" i="11" s="1"/>
  <c r="CL117" i="3"/>
  <c r="I42" i="17" l="1"/>
  <c r="E45" i="11"/>
  <c r="AS45" i="11" s="1"/>
  <c r="AS47" i="11" s="1"/>
  <c r="R29" i="9" s="1"/>
  <c r="S29" i="9" s="1"/>
  <c r="CL114" i="3"/>
  <c r="L29" i="9" s="1"/>
  <c r="M29" i="9" s="1"/>
  <c r="E33" i="11"/>
  <c r="E47" i="11"/>
  <c r="F87" i="2"/>
  <c r="E35" i="11"/>
  <c r="E36" i="11" s="1"/>
  <c r="N29" i="9"/>
  <c r="O29" i="9" s="1"/>
  <c r="G87" i="2"/>
  <c r="F35" i="11"/>
  <c r="F36" i="11" s="1"/>
  <c r="E40" i="11"/>
  <c r="AS40" i="11" s="1"/>
  <c r="E23" i="11"/>
  <c r="E41" i="11" s="1"/>
  <c r="L8" i="9"/>
  <c r="M8" i="9" s="1"/>
  <c r="AT94" i="2"/>
  <c r="G29" i="9" s="1"/>
  <c r="H29" i="9" s="1"/>
  <c r="F115" i="3"/>
  <c r="E8" i="9"/>
  <c r="F8" i="9" s="1"/>
  <c r="F92" i="2"/>
  <c r="I8" i="9"/>
  <c r="J8" i="9" s="1"/>
  <c r="F98" i="2"/>
  <c r="AT97" i="2"/>
  <c r="J115" i="3"/>
  <c r="L9" i="9"/>
  <c r="M9" i="9" s="1"/>
  <c r="CL118" i="3"/>
  <c r="L67" i="3"/>
  <c r="K42" i="17" l="1"/>
  <c r="H43" i="17"/>
  <c r="AS48" i="11"/>
  <c r="E24" i="11"/>
  <c r="E25" i="11" s="1"/>
  <c r="AS41" i="11"/>
  <c r="AS42" i="11" s="1"/>
  <c r="R8" i="9"/>
  <c r="S8" i="9" s="1"/>
  <c r="E48" i="11"/>
  <c r="F24" i="11"/>
  <c r="F25" i="11" s="1"/>
  <c r="G43" i="11"/>
  <c r="AT95" i="2"/>
  <c r="J28" i="9"/>
  <c r="I29" i="9"/>
  <c r="J29" i="9" s="1"/>
  <c r="AT98" i="2"/>
  <c r="E29" i="9"/>
  <c r="F29" i="9" s="1"/>
  <c r="AT92" i="2"/>
  <c r="CL115" i="3"/>
  <c r="I43" i="17" l="1"/>
  <c r="P29" i="9"/>
  <c r="Q29" i="9" s="1"/>
  <c r="AS43" i="11"/>
  <c r="E42" i="11"/>
  <c r="K43" i="17" l="1"/>
  <c r="H44" i="17"/>
  <c r="P8" i="9"/>
  <c r="Q8" i="9" s="1"/>
  <c r="E43" i="11"/>
  <c r="I44" i="17" l="1"/>
  <c r="AQ43" i="11"/>
  <c r="Q27" i="9"/>
  <c r="H45" i="17" l="1"/>
  <c r="K44" i="17"/>
  <c r="D34" i="17"/>
  <c r="C35" i="17" s="1"/>
  <c r="E35" i="17" s="1"/>
  <c r="I45" i="17" l="1"/>
  <c r="F34" i="17"/>
  <c r="G34" i="17" s="1"/>
  <c r="J34" i="17" s="1"/>
  <c r="L34" i="17" s="1"/>
  <c r="H46" i="17" l="1"/>
  <c r="K45" i="17"/>
  <c r="D35" i="17"/>
  <c r="C36" i="17" s="1"/>
  <c r="E36" i="17" s="1"/>
  <c r="I46" i="17" l="1"/>
  <c r="F35" i="17"/>
  <c r="G35" i="17" s="1"/>
  <c r="J35" i="17" s="1"/>
  <c r="L35" i="17" s="1"/>
  <c r="K46" i="17" l="1"/>
  <c r="H47" i="17"/>
  <c r="D36" i="17"/>
  <c r="I47" i="17" l="1"/>
  <c r="C37" i="17"/>
  <c r="F36" i="17"/>
  <c r="G36" i="17" s="1"/>
  <c r="J36" i="17" s="1"/>
  <c r="L36" i="17" s="1"/>
  <c r="K47" i="17" l="1"/>
  <c r="H48" i="17"/>
  <c r="E37" i="17"/>
  <c r="D37" i="17"/>
  <c r="C38" i="17" s="1"/>
  <c r="I48" i="17" l="1"/>
  <c r="F37" i="17"/>
  <c r="G37" i="17" s="1"/>
  <c r="J37" i="17" s="1"/>
  <c r="L37" i="17" s="1"/>
  <c r="H49" i="17" l="1"/>
  <c r="K48" i="17"/>
  <c r="E38" i="17"/>
  <c r="D38" i="17"/>
  <c r="I49" i="17" l="1"/>
  <c r="C39" i="17"/>
  <c r="F38" i="17"/>
  <c r="G38" i="17" s="1"/>
  <c r="J38" i="17" s="1"/>
  <c r="L38" i="17" s="1"/>
  <c r="H50" i="17" l="1"/>
  <c r="K49" i="17"/>
  <c r="E39" i="17"/>
  <c r="D39" i="17"/>
  <c r="C40" i="17" s="1"/>
  <c r="I50" i="17" l="1"/>
  <c r="F39" i="17"/>
  <c r="G39" i="17" s="1"/>
  <c r="J39" i="17" s="1"/>
  <c r="L39" i="17" s="1"/>
  <c r="K50" i="17" l="1"/>
  <c r="H51" i="17"/>
  <c r="E40" i="17"/>
  <c r="D40" i="17"/>
  <c r="C41" i="17" s="1"/>
  <c r="I51" i="17" l="1"/>
  <c r="F40" i="17"/>
  <c r="G40" i="17" s="1"/>
  <c r="J40" i="17" s="1"/>
  <c r="L40" i="17" s="1"/>
  <c r="K51" i="17" l="1"/>
  <c r="H52" i="17"/>
  <c r="E41" i="17"/>
  <c r="D41" i="17"/>
  <c r="C42" i="17" s="1"/>
  <c r="I52" i="17" l="1"/>
  <c r="F41" i="17"/>
  <c r="G41" i="17" s="1"/>
  <c r="J41" i="17" s="1"/>
  <c r="L41" i="17" s="1"/>
  <c r="K52" i="17" l="1"/>
  <c r="H53" i="17"/>
  <c r="E42" i="17"/>
  <c r="D42" i="17"/>
  <c r="C43" i="17" s="1"/>
  <c r="I53" i="17" l="1"/>
  <c r="F42" i="17"/>
  <c r="G42" i="17" s="1"/>
  <c r="J42" i="17" s="1"/>
  <c r="L42" i="17" s="1"/>
  <c r="H54" i="17" l="1"/>
  <c r="K53" i="17"/>
  <c r="E43" i="17"/>
  <c r="D43" i="17"/>
  <c r="C44" i="17" s="1"/>
  <c r="I54" i="17" l="1"/>
  <c r="F43" i="17"/>
  <c r="G43" i="17" s="1"/>
  <c r="J43" i="17" s="1"/>
  <c r="L43" i="17" s="1"/>
  <c r="H55" i="17" l="1"/>
  <c r="K54" i="17"/>
  <c r="E44" i="17"/>
  <c r="D44" i="17"/>
  <c r="C45" i="17" s="1"/>
  <c r="I55" i="17" l="1"/>
  <c r="F44" i="17"/>
  <c r="G44" i="17" s="1"/>
  <c r="J44" i="17" s="1"/>
  <c r="L44" i="17" s="1"/>
  <c r="K55" i="17" l="1"/>
  <c r="H56" i="17"/>
  <c r="E45" i="17"/>
  <c r="D45" i="17"/>
  <c r="C46" i="17" s="1"/>
  <c r="I56" i="17" l="1"/>
  <c r="F45" i="17"/>
  <c r="G45" i="17" s="1"/>
  <c r="J45" i="17" s="1"/>
  <c r="L45" i="17" s="1"/>
  <c r="H57" i="17" l="1"/>
  <c r="K56" i="17"/>
  <c r="E46" i="17"/>
  <c r="D46" i="17"/>
  <c r="C47" i="17" s="1"/>
  <c r="I57" i="17" l="1"/>
  <c r="F46" i="17"/>
  <c r="G46" i="17" s="1"/>
  <c r="J46" i="17" s="1"/>
  <c r="L46" i="17" s="1"/>
  <c r="H58" i="17" l="1"/>
  <c r="K57" i="17"/>
  <c r="E47" i="17"/>
  <c r="D47" i="17"/>
  <c r="C48" i="17" s="1"/>
  <c r="I58" i="17" l="1"/>
  <c r="F47" i="17"/>
  <c r="G47" i="17" s="1"/>
  <c r="J47" i="17" s="1"/>
  <c r="L47" i="17" s="1"/>
  <c r="H59" i="17" l="1"/>
  <c r="K58" i="17"/>
  <c r="E48" i="17"/>
  <c r="D48" i="17"/>
  <c r="C49" i="17" s="1"/>
  <c r="I59" i="17" l="1"/>
  <c r="F48" i="17"/>
  <c r="G48" i="17" s="1"/>
  <c r="J48" i="17" s="1"/>
  <c r="L48" i="17" s="1"/>
  <c r="K59" i="17" l="1"/>
  <c r="H60" i="17"/>
  <c r="E49" i="17"/>
  <c r="D49" i="17"/>
  <c r="C50" i="17" s="1"/>
  <c r="I60" i="17" l="1"/>
  <c r="F49" i="17"/>
  <c r="G49" i="17" s="1"/>
  <c r="J49" i="17" s="1"/>
  <c r="L49" i="17" s="1"/>
  <c r="H61" i="17" l="1"/>
  <c r="K60" i="17"/>
  <c r="E50" i="17"/>
  <c r="D50" i="17"/>
  <c r="C51" i="17" s="1"/>
  <c r="I61" i="17" l="1"/>
  <c r="F50" i="17"/>
  <c r="G50" i="17" s="1"/>
  <c r="J50" i="17" s="1"/>
  <c r="L50" i="17" s="1"/>
  <c r="H62" i="17" l="1"/>
  <c r="K61" i="17"/>
  <c r="E51" i="17"/>
  <c r="D51" i="17"/>
  <c r="C52" i="17" s="1"/>
  <c r="I62" i="17" l="1"/>
  <c r="F51" i="17"/>
  <c r="G51" i="17" s="1"/>
  <c r="J51" i="17" s="1"/>
  <c r="L51" i="17" s="1"/>
  <c r="K62" i="17" l="1"/>
  <c r="H63" i="17"/>
  <c r="E52" i="17"/>
  <c r="D52" i="17"/>
  <c r="C53" i="17" s="1"/>
  <c r="I63" i="17" l="1"/>
  <c r="F52" i="17"/>
  <c r="G52" i="17" s="1"/>
  <c r="J52" i="17" s="1"/>
  <c r="L52" i="17" s="1"/>
  <c r="K63" i="17" l="1"/>
  <c r="H64" i="17"/>
  <c r="E53" i="17"/>
  <c r="D53" i="17"/>
  <c r="C54" i="17" s="1"/>
  <c r="I64" i="17" l="1"/>
  <c r="F53" i="17"/>
  <c r="G53" i="17" s="1"/>
  <c r="J53" i="17" s="1"/>
  <c r="L53" i="17" s="1"/>
  <c r="H65" i="17" l="1"/>
  <c r="K64" i="17"/>
  <c r="E54" i="17"/>
  <c r="D54" i="17"/>
  <c r="C55" i="17" s="1"/>
  <c r="I65" i="17" l="1"/>
  <c r="F54" i="17"/>
  <c r="G54" i="17" s="1"/>
  <c r="J54" i="17" s="1"/>
  <c r="L54" i="17" s="1"/>
  <c r="H66" i="17" l="1"/>
  <c r="K65" i="17"/>
  <c r="E55" i="17"/>
  <c r="D55" i="17"/>
  <c r="C56" i="17" s="1"/>
  <c r="I66" i="17" l="1"/>
  <c r="F55" i="17"/>
  <c r="G55" i="17" s="1"/>
  <c r="J55" i="17" s="1"/>
  <c r="L55" i="17" s="1"/>
  <c r="H67" i="17" l="1"/>
  <c r="K66" i="17"/>
  <c r="E56" i="17"/>
  <c r="D56" i="17"/>
  <c r="C57" i="17" s="1"/>
  <c r="I67" i="17" l="1"/>
  <c r="F56" i="17"/>
  <c r="G56" i="17" s="1"/>
  <c r="J56" i="17" s="1"/>
  <c r="L56" i="17" s="1"/>
  <c r="K67" i="17" l="1"/>
  <c r="H68" i="17"/>
  <c r="E57" i="17"/>
  <c r="D57" i="17"/>
  <c r="C58" i="17" s="1"/>
  <c r="I68" i="17" l="1"/>
  <c r="F57" i="17"/>
  <c r="G57" i="17" s="1"/>
  <c r="J57" i="17" s="1"/>
  <c r="L57" i="17" s="1"/>
  <c r="K68" i="17" l="1"/>
  <c r="H69" i="17"/>
  <c r="E58" i="17"/>
  <c r="D58" i="17"/>
  <c r="C59" i="17" s="1"/>
  <c r="I69" i="17" l="1"/>
  <c r="F58" i="17"/>
  <c r="G58" i="17" s="1"/>
  <c r="J58" i="17" s="1"/>
  <c r="L58" i="17" s="1"/>
  <c r="H70" i="17" l="1"/>
  <c r="K69" i="17"/>
  <c r="E59" i="17"/>
  <c r="D59" i="17"/>
  <c r="C60" i="17" s="1"/>
  <c r="I70" i="17" l="1"/>
  <c r="F59" i="17"/>
  <c r="G59" i="17" s="1"/>
  <c r="J59" i="17" s="1"/>
  <c r="L59" i="17" s="1"/>
  <c r="K70" i="17" l="1"/>
  <c r="H71" i="17"/>
  <c r="E60" i="17"/>
  <c r="D60" i="17"/>
  <c r="C61" i="17" s="1"/>
  <c r="I71" i="17" l="1"/>
  <c r="F60" i="17"/>
  <c r="G60" i="17" s="1"/>
  <c r="J60" i="17" s="1"/>
  <c r="L60" i="17" s="1"/>
  <c r="K71" i="17" l="1"/>
  <c r="H72" i="17"/>
  <c r="E61" i="17"/>
  <c r="D61" i="17"/>
  <c r="C62" i="17" s="1"/>
  <c r="I72" i="17" l="1"/>
  <c r="F61" i="17"/>
  <c r="G61" i="17" s="1"/>
  <c r="J61" i="17" s="1"/>
  <c r="L61" i="17" s="1"/>
  <c r="H73" i="17" l="1"/>
  <c r="K72" i="17"/>
  <c r="E62" i="17"/>
  <c r="D62" i="17"/>
  <c r="C63" i="17" s="1"/>
  <c r="I73" i="17" l="1"/>
  <c r="F62" i="17"/>
  <c r="G62" i="17" s="1"/>
  <c r="J62" i="17" s="1"/>
  <c r="L62" i="17" s="1"/>
  <c r="H74" i="17" l="1"/>
  <c r="K73" i="17"/>
  <c r="E63" i="17"/>
  <c r="D63" i="17"/>
  <c r="C64" i="17" s="1"/>
  <c r="I74" i="17" l="1"/>
  <c r="F63" i="17"/>
  <c r="G63" i="17" s="1"/>
  <c r="J63" i="17" s="1"/>
  <c r="L63" i="17" s="1"/>
  <c r="K74" i="17" l="1"/>
  <c r="H75" i="17"/>
  <c r="E64" i="17"/>
  <c r="D64" i="17"/>
  <c r="C65" i="17" s="1"/>
  <c r="I75" i="17" l="1"/>
  <c r="F64" i="17"/>
  <c r="G64" i="17" s="1"/>
  <c r="J64" i="17" s="1"/>
  <c r="L64" i="17" s="1"/>
  <c r="K75" i="17" l="1"/>
  <c r="H76" i="17"/>
  <c r="E65" i="17"/>
  <c r="D65" i="17"/>
  <c r="C66" i="17" s="1"/>
  <c r="I76" i="17" l="1"/>
  <c r="F65" i="17"/>
  <c r="G65" i="17" s="1"/>
  <c r="J65" i="17" s="1"/>
  <c r="L65" i="17" s="1"/>
  <c r="H77" i="17" l="1"/>
  <c r="K76" i="17"/>
  <c r="E66" i="17"/>
  <c r="D66" i="17"/>
  <c r="C67" i="17" s="1"/>
  <c r="I77" i="17" l="1"/>
  <c r="F66" i="17"/>
  <c r="G66" i="17" s="1"/>
  <c r="J66" i="17" s="1"/>
  <c r="L66" i="17" s="1"/>
  <c r="H78" i="17" l="1"/>
  <c r="K77" i="17"/>
  <c r="E67" i="17"/>
  <c r="D67" i="17"/>
  <c r="C68" i="17" s="1"/>
  <c r="I78" i="17" l="1"/>
  <c r="F67" i="17"/>
  <c r="G67" i="17" s="1"/>
  <c r="J67" i="17" s="1"/>
  <c r="L67" i="17" s="1"/>
  <c r="K78" i="17" l="1"/>
  <c r="H79" i="17"/>
  <c r="E68" i="17"/>
  <c r="D68" i="17"/>
  <c r="C69" i="17" s="1"/>
  <c r="I79" i="17" l="1"/>
  <c r="F68" i="17"/>
  <c r="G68" i="17" s="1"/>
  <c r="J68" i="17" s="1"/>
  <c r="L68" i="17" s="1"/>
  <c r="K79" i="17" l="1"/>
  <c r="H80" i="17"/>
  <c r="E69" i="17"/>
  <c r="D69" i="17"/>
  <c r="C70" i="17" s="1"/>
  <c r="I80" i="17" l="1"/>
  <c r="F69" i="17"/>
  <c r="G69" i="17" s="1"/>
  <c r="J69" i="17" s="1"/>
  <c r="L69" i="17" s="1"/>
  <c r="K80" i="17" l="1"/>
  <c r="H81" i="17"/>
  <c r="E70" i="17"/>
  <c r="D70" i="17"/>
  <c r="C71" i="17" s="1"/>
  <c r="I81" i="17" l="1"/>
  <c r="F70" i="17"/>
  <c r="G70" i="17" s="1"/>
  <c r="J70" i="17" s="1"/>
  <c r="L70" i="17" s="1"/>
  <c r="H82" i="17" l="1"/>
  <c r="K81" i="17"/>
  <c r="E71" i="17"/>
  <c r="D71" i="17"/>
  <c r="C72" i="17" s="1"/>
  <c r="I82" i="17" l="1"/>
  <c r="F71" i="17"/>
  <c r="G71" i="17" s="1"/>
  <c r="J71" i="17" s="1"/>
  <c r="L71" i="17" s="1"/>
  <c r="K82" i="17" l="1"/>
  <c r="H83" i="17"/>
  <c r="E72" i="17"/>
  <c r="D72" i="17"/>
  <c r="C73" i="17" s="1"/>
  <c r="I83" i="17" l="1"/>
  <c r="F72" i="17"/>
  <c r="G72" i="17" s="1"/>
  <c r="J72" i="17" s="1"/>
  <c r="L72" i="17" s="1"/>
  <c r="K83" i="17" l="1"/>
  <c r="H84" i="17"/>
  <c r="E73" i="17"/>
  <c r="D73" i="17"/>
  <c r="C74" i="17" s="1"/>
  <c r="I84" i="17" l="1"/>
  <c r="F73" i="17"/>
  <c r="G73" i="17" s="1"/>
  <c r="J73" i="17" s="1"/>
  <c r="L73" i="17" s="1"/>
  <c r="K84" i="17" l="1"/>
  <c r="H85" i="17"/>
  <c r="E74" i="17"/>
  <c r="D74" i="17"/>
  <c r="C75" i="17" s="1"/>
  <c r="I85" i="17" l="1"/>
  <c r="F74" i="17"/>
  <c r="G74" i="17" s="1"/>
  <c r="J74" i="17" s="1"/>
  <c r="L74" i="17" s="1"/>
  <c r="H86" i="17" l="1"/>
  <c r="K85" i="17"/>
  <c r="E75" i="17"/>
  <c r="D75" i="17"/>
  <c r="C76" i="17" s="1"/>
  <c r="I86" i="17" l="1"/>
  <c r="F75" i="17"/>
  <c r="G75" i="17" s="1"/>
  <c r="J75" i="17" s="1"/>
  <c r="L75" i="17" s="1"/>
  <c r="K86" i="17" l="1"/>
  <c r="H87" i="17"/>
  <c r="E76" i="17"/>
  <c r="D76" i="17"/>
  <c r="C77" i="17" s="1"/>
  <c r="I87" i="17" l="1"/>
  <c r="F76" i="17"/>
  <c r="G76" i="17" s="1"/>
  <c r="J76" i="17" s="1"/>
  <c r="L76" i="17" s="1"/>
  <c r="K87" i="17" l="1"/>
  <c r="H88" i="17"/>
  <c r="E77" i="17"/>
  <c r="D77" i="17"/>
  <c r="C78" i="17" s="1"/>
  <c r="I88" i="17" l="1"/>
  <c r="F77" i="17"/>
  <c r="G77" i="17" s="1"/>
  <c r="J77" i="17" s="1"/>
  <c r="L77" i="17" s="1"/>
  <c r="K88" i="17" l="1"/>
  <c r="H89" i="17"/>
  <c r="E78" i="17"/>
  <c r="D78" i="17"/>
  <c r="C79" i="17" s="1"/>
  <c r="I89" i="17" l="1"/>
  <c r="F78" i="17"/>
  <c r="G78" i="17" s="1"/>
  <c r="J78" i="17" s="1"/>
  <c r="L78" i="17" s="1"/>
  <c r="H90" i="17" l="1"/>
  <c r="K89" i="17"/>
  <c r="E79" i="17"/>
  <c r="D79" i="17"/>
  <c r="C80" i="17" s="1"/>
  <c r="I90" i="17" l="1"/>
  <c r="F79" i="17"/>
  <c r="G79" i="17" s="1"/>
  <c r="J79" i="17" s="1"/>
  <c r="L79" i="17" s="1"/>
  <c r="K90" i="17" l="1"/>
  <c r="H91" i="17"/>
  <c r="E80" i="17"/>
  <c r="D80" i="17"/>
  <c r="C81" i="17" s="1"/>
  <c r="I91" i="17" l="1"/>
  <c r="F80" i="17"/>
  <c r="G80" i="17" s="1"/>
  <c r="J80" i="17" s="1"/>
  <c r="L80" i="17" s="1"/>
  <c r="K91" i="17" l="1"/>
  <c r="H92" i="17"/>
  <c r="E81" i="17"/>
  <c r="D81" i="17"/>
  <c r="C82" i="17" s="1"/>
  <c r="I92" i="17" l="1"/>
  <c r="F81" i="17"/>
  <c r="G81" i="17" s="1"/>
  <c r="J81" i="17" s="1"/>
  <c r="L81" i="17" s="1"/>
  <c r="K92" i="17" l="1"/>
  <c r="H93" i="17"/>
  <c r="E82" i="17"/>
  <c r="D82" i="17"/>
  <c r="C83" i="17" s="1"/>
  <c r="I93" i="17" l="1"/>
  <c r="F82" i="17"/>
  <c r="G82" i="17" s="1"/>
  <c r="J82" i="17" s="1"/>
  <c r="L82" i="17" s="1"/>
  <c r="H94" i="17" l="1"/>
  <c r="K93" i="17"/>
  <c r="E83" i="17"/>
  <c r="D83" i="17"/>
  <c r="C84" i="17" s="1"/>
  <c r="I94" i="17" l="1"/>
  <c r="F83" i="17"/>
  <c r="G83" i="17" s="1"/>
  <c r="J83" i="17" s="1"/>
  <c r="L83" i="17" s="1"/>
  <c r="H95" i="17" l="1"/>
  <c r="K94" i="17"/>
  <c r="E84" i="17"/>
  <c r="D84" i="17"/>
  <c r="C85" i="17" s="1"/>
  <c r="I95" i="17" l="1"/>
  <c r="F84" i="17"/>
  <c r="G84" i="17" s="1"/>
  <c r="J84" i="17" s="1"/>
  <c r="L84" i="17" s="1"/>
  <c r="K95" i="17" l="1"/>
  <c r="H96" i="17"/>
  <c r="E85" i="17"/>
  <c r="D85" i="17"/>
  <c r="C86" i="17" s="1"/>
  <c r="I96" i="17" l="1"/>
  <c r="F85" i="17"/>
  <c r="G85" i="17" s="1"/>
  <c r="J85" i="17" s="1"/>
  <c r="L85" i="17" s="1"/>
  <c r="H97" i="17" l="1"/>
  <c r="K96" i="17"/>
  <c r="E86" i="17"/>
  <c r="D86" i="17"/>
  <c r="C87" i="17" s="1"/>
  <c r="I97" i="17" l="1"/>
  <c r="F86" i="17"/>
  <c r="G86" i="17" s="1"/>
  <c r="J86" i="17" s="1"/>
  <c r="L86" i="17" s="1"/>
  <c r="K97" i="17" l="1"/>
  <c r="H98" i="17"/>
  <c r="E87" i="17"/>
  <c r="D87" i="17"/>
  <c r="C88" i="17" s="1"/>
  <c r="I98" i="17" l="1"/>
  <c r="F87" i="17"/>
  <c r="G87" i="17" s="1"/>
  <c r="J87" i="17" s="1"/>
  <c r="L87" i="17" s="1"/>
  <c r="K98" i="17" l="1"/>
  <c r="H99" i="17"/>
  <c r="E88" i="17"/>
  <c r="D88" i="17"/>
  <c r="C89" i="17" s="1"/>
  <c r="I99" i="17" l="1"/>
  <c r="F88" i="17"/>
  <c r="G88" i="17" s="1"/>
  <c r="J88" i="17" s="1"/>
  <c r="L88" i="17" s="1"/>
  <c r="H100" i="17" l="1"/>
  <c r="K99" i="17"/>
  <c r="E89" i="17"/>
  <c r="D89" i="17"/>
  <c r="C90" i="17" s="1"/>
  <c r="I100" i="17" l="1"/>
  <c r="F89" i="17"/>
  <c r="G89" i="17" s="1"/>
  <c r="J89" i="17" s="1"/>
  <c r="L89" i="17" s="1"/>
  <c r="H101" i="17" l="1"/>
  <c r="K100" i="17"/>
  <c r="E90" i="17"/>
  <c r="D90" i="17"/>
  <c r="C91" i="17" s="1"/>
  <c r="I101" i="17" l="1"/>
  <c r="F90" i="17"/>
  <c r="G90" i="17" s="1"/>
  <c r="J90" i="17" s="1"/>
  <c r="L90" i="17" s="1"/>
  <c r="K101" i="17" l="1"/>
  <c r="H102" i="17"/>
  <c r="E91" i="17"/>
  <c r="D91" i="17"/>
  <c r="C92" i="17" s="1"/>
  <c r="I102" i="17" l="1"/>
  <c r="F91" i="17"/>
  <c r="G91" i="17" s="1"/>
  <c r="J91" i="17" s="1"/>
  <c r="L91" i="17" s="1"/>
  <c r="K102" i="17" l="1"/>
  <c r="H103" i="17"/>
  <c r="E92" i="17"/>
  <c r="D92" i="17"/>
  <c r="C93" i="17" s="1"/>
  <c r="I103" i="17" l="1"/>
  <c r="F92" i="17"/>
  <c r="G92" i="17" s="1"/>
  <c r="J92" i="17" s="1"/>
  <c r="L92" i="17" s="1"/>
  <c r="K103" i="17" l="1"/>
  <c r="H104" i="17"/>
  <c r="E93" i="17"/>
  <c r="D93" i="17"/>
  <c r="C94" i="17" s="1"/>
  <c r="I104" i="17" l="1"/>
  <c r="F93" i="17"/>
  <c r="G93" i="17" s="1"/>
  <c r="J93" i="17" s="1"/>
  <c r="L93" i="17" s="1"/>
  <c r="H105" i="17" l="1"/>
  <c r="K104" i="17"/>
  <c r="E94" i="17"/>
  <c r="D94" i="17"/>
  <c r="C95" i="17" s="1"/>
  <c r="I105" i="17" l="1"/>
  <c r="F94" i="17"/>
  <c r="G94" i="17" s="1"/>
  <c r="J94" i="17" s="1"/>
  <c r="L94" i="17" s="1"/>
  <c r="H106" i="17" l="1"/>
  <c r="K105" i="17"/>
  <c r="E95" i="17"/>
  <c r="D95" i="17"/>
  <c r="C96" i="17" s="1"/>
  <c r="I106" i="17" l="1"/>
  <c r="F95" i="17"/>
  <c r="G95" i="17" s="1"/>
  <c r="J95" i="17" s="1"/>
  <c r="L95" i="17" s="1"/>
  <c r="K106" i="17" l="1"/>
  <c r="H107" i="17"/>
  <c r="E96" i="17"/>
  <c r="D96" i="17"/>
  <c r="C97" i="17" s="1"/>
  <c r="I107" i="17" l="1"/>
  <c r="F96" i="17"/>
  <c r="G96" i="17" s="1"/>
  <c r="J96" i="17" s="1"/>
  <c r="L96" i="17" s="1"/>
  <c r="K107" i="17" l="1"/>
  <c r="H108" i="17"/>
  <c r="E97" i="17"/>
  <c r="D97" i="17"/>
  <c r="C98" i="17" s="1"/>
  <c r="I108" i="17" l="1"/>
  <c r="F97" i="17"/>
  <c r="G97" i="17" s="1"/>
  <c r="J97" i="17" s="1"/>
  <c r="L97" i="17" s="1"/>
  <c r="H109" i="17" l="1"/>
  <c r="K108" i="17"/>
  <c r="E98" i="17"/>
  <c r="D98" i="17"/>
  <c r="C99" i="17" s="1"/>
  <c r="I109" i="17" l="1"/>
  <c r="F98" i="17"/>
  <c r="G98" i="17" s="1"/>
  <c r="J98" i="17" s="1"/>
  <c r="L98" i="17" s="1"/>
  <c r="H110" i="17" l="1"/>
  <c r="K109" i="17"/>
  <c r="E99" i="17"/>
  <c r="D99" i="17"/>
  <c r="C100" i="17" s="1"/>
  <c r="I110" i="17" l="1"/>
  <c r="F99" i="17"/>
  <c r="G99" i="17" s="1"/>
  <c r="J99" i="17" s="1"/>
  <c r="L99" i="17" s="1"/>
  <c r="K110" i="17" l="1"/>
  <c r="H111" i="17"/>
  <c r="E100" i="17"/>
  <c r="D100" i="17"/>
  <c r="C101" i="17" s="1"/>
  <c r="I111" i="17" l="1"/>
  <c r="F100" i="17"/>
  <c r="G100" i="17" s="1"/>
  <c r="J100" i="17" s="1"/>
  <c r="L100" i="17" s="1"/>
  <c r="K111" i="17" l="1"/>
  <c r="H112" i="17"/>
  <c r="E101" i="17"/>
  <c r="D101" i="17"/>
  <c r="C102" i="17" s="1"/>
  <c r="I112" i="17" l="1"/>
  <c r="F101" i="17"/>
  <c r="G101" i="17" s="1"/>
  <c r="J101" i="17" s="1"/>
  <c r="L101" i="17" s="1"/>
  <c r="H113" i="17" l="1"/>
  <c r="K112" i="17"/>
  <c r="E102" i="17"/>
  <c r="D102" i="17"/>
  <c r="C103" i="17" s="1"/>
  <c r="I113" i="17" l="1"/>
  <c r="F102" i="17"/>
  <c r="G102" i="17" s="1"/>
  <c r="J102" i="17" s="1"/>
  <c r="L102" i="17" s="1"/>
  <c r="H114" i="17" l="1"/>
  <c r="K113" i="17"/>
  <c r="E103" i="17"/>
  <c r="D103" i="17"/>
  <c r="C104" i="17" s="1"/>
  <c r="I114" i="17" l="1"/>
  <c r="F103" i="17"/>
  <c r="G103" i="17" s="1"/>
  <c r="J103" i="17" s="1"/>
  <c r="L103" i="17" s="1"/>
  <c r="K114" i="17" l="1"/>
  <c r="H115" i="17"/>
  <c r="E104" i="17"/>
  <c r="D104" i="17"/>
  <c r="C105" i="17" s="1"/>
  <c r="I115" i="17" l="1"/>
  <c r="F104" i="17"/>
  <c r="G104" i="17" s="1"/>
  <c r="J104" i="17" s="1"/>
  <c r="L104" i="17" s="1"/>
  <c r="K115" i="17" l="1"/>
  <c r="H116" i="17"/>
  <c r="E105" i="17"/>
  <c r="D105" i="17"/>
  <c r="C106" i="17" s="1"/>
  <c r="I116" i="17" l="1"/>
  <c r="F105" i="17"/>
  <c r="G105" i="17" s="1"/>
  <c r="J105" i="17" s="1"/>
  <c r="L105" i="17" s="1"/>
  <c r="H117" i="17" l="1"/>
  <c r="K116" i="17"/>
  <c r="E106" i="17"/>
  <c r="D106" i="17"/>
  <c r="C107" i="17" s="1"/>
  <c r="I117" i="17" l="1"/>
  <c r="F106" i="17"/>
  <c r="G106" i="17" s="1"/>
  <c r="J106" i="17" l="1"/>
  <c r="L106" i="17" s="1"/>
  <c r="H118" i="17"/>
  <c r="K117" i="17"/>
  <c r="E107" i="17"/>
  <c r="D107" i="17"/>
  <c r="C108" i="17" s="1"/>
  <c r="I118" i="17" l="1"/>
  <c r="F107" i="17"/>
  <c r="G107" i="17" s="1"/>
  <c r="J107" i="17" s="1"/>
  <c r="L107" i="17" s="1"/>
  <c r="K118" i="17" l="1"/>
  <c r="H119" i="17"/>
  <c r="E108" i="17"/>
  <c r="D108" i="17"/>
  <c r="C109" i="17" s="1"/>
  <c r="I119" i="17" l="1"/>
  <c r="F108" i="17"/>
  <c r="G108" i="17" s="1"/>
  <c r="J108" i="17" s="1"/>
  <c r="L108" i="17" s="1"/>
  <c r="K119" i="17" l="1"/>
  <c r="H120" i="17"/>
  <c r="E109" i="17"/>
  <c r="D109" i="17"/>
  <c r="C110" i="17" s="1"/>
  <c r="I120" i="17" l="1"/>
  <c r="F109" i="17"/>
  <c r="G109" i="17" s="1"/>
  <c r="J109" i="17" s="1"/>
  <c r="L109" i="17" s="1"/>
  <c r="H121" i="17" l="1"/>
  <c r="K120" i="17"/>
  <c r="E110" i="17"/>
  <c r="D110" i="17"/>
  <c r="C111" i="17" s="1"/>
  <c r="I121" i="17" l="1"/>
  <c r="F110" i="17"/>
  <c r="G110" i="17" s="1"/>
  <c r="J110" i="17" s="1"/>
  <c r="L110" i="17" s="1"/>
  <c r="H122" i="17" l="1"/>
  <c r="K121" i="17"/>
  <c r="E111" i="17"/>
  <c r="D111" i="17"/>
  <c r="C112" i="17" s="1"/>
  <c r="I122" i="17" l="1"/>
  <c r="F111" i="17"/>
  <c r="G111" i="17" s="1"/>
  <c r="J111" i="17" s="1"/>
  <c r="L111" i="17" s="1"/>
  <c r="K122" i="17" l="1"/>
  <c r="H123" i="17"/>
  <c r="E112" i="17"/>
  <c r="D112" i="17"/>
  <c r="C113" i="17" s="1"/>
  <c r="I123" i="17" l="1"/>
  <c r="F112" i="17"/>
  <c r="G112" i="17" s="1"/>
  <c r="J112" i="17" s="1"/>
  <c r="L112" i="17" s="1"/>
  <c r="K123" i="17" l="1"/>
  <c r="H124" i="17"/>
  <c r="E113" i="17"/>
  <c r="D113" i="17"/>
  <c r="C114" i="17" s="1"/>
  <c r="I124" i="17" l="1"/>
  <c r="F113" i="17"/>
  <c r="G113" i="17" s="1"/>
  <c r="J113" i="17" s="1"/>
  <c r="L113" i="17" s="1"/>
  <c r="H125" i="17" l="1"/>
  <c r="K124" i="17"/>
  <c r="E114" i="17"/>
  <c r="D114" i="17"/>
  <c r="C115" i="17" s="1"/>
  <c r="I125" i="17" l="1"/>
  <c r="F114" i="17"/>
  <c r="G114" i="17" s="1"/>
  <c r="J114" i="17" s="1"/>
  <c r="L114" i="17" s="1"/>
  <c r="H126" i="17" l="1"/>
  <c r="K125" i="17"/>
  <c r="E115" i="17"/>
  <c r="D115" i="17"/>
  <c r="C116" i="17" s="1"/>
  <c r="I126" i="17" l="1"/>
  <c r="F115" i="17"/>
  <c r="G115" i="17" s="1"/>
  <c r="J115" i="17" s="1"/>
  <c r="L115" i="17" s="1"/>
  <c r="K126" i="17" l="1"/>
  <c r="H127" i="17"/>
  <c r="E116" i="17"/>
  <c r="D116" i="17"/>
  <c r="C117" i="17" s="1"/>
  <c r="I127" i="17" l="1"/>
  <c r="F116" i="17"/>
  <c r="G116" i="17" s="1"/>
  <c r="J116" i="17" s="1"/>
  <c r="L116" i="17" s="1"/>
  <c r="K127" i="17" l="1"/>
  <c r="H128" i="17"/>
  <c r="E117" i="17"/>
  <c r="D117" i="17"/>
  <c r="C118" i="17" s="1"/>
  <c r="I128" i="17" l="1"/>
  <c r="F117" i="17"/>
  <c r="G117" i="17" s="1"/>
  <c r="J117" i="17" s="1"/>
  <c r="L117" i="17" s="1"/>
  <c r="H129" i="17" l="1"/>
  <c r="K128" i="17"/>
  <c r="E118" i="17"/>
  <c r="D118" i="17"/>
  <c r="C119" i="17" s="1"/>
  <c r="I129" i="17" l="1"/>
  <c r="F118" i="17"/>
  <c r="G118" i="17" s="1"/>
  <c r="J118" i="17" s="1"/>
  <c r="L118" i="17" s="1"/>
  <c r="H130" i="17" l="1"/>
  <c r="K129" i="17"/>
  <c r="E119" i="17"/>
  <c r="D119" i="17"/>
  <c r="C120" i="17" s="1"/>
  <c r="I130" i="17" l="1"/>
  <c r="F119" i="17"/>
  <c r="G119" i="17" s="1"/>
  <c r="J119" i="17" s="1"/>
  <c r="L119" i="17" s="1"/>
  <c r="K130" i="17" l="1"/>
  <c r="H131" i="17"/>
  <c r="E120" i="17"/>
  <c r="D120" i="17"/>
  <c r="C121" i="17" s="1"/>
  <c r="I131" i="17" l="1"/>
  <c r="F120" i="17"/>
  <c r="G120" i="17" s="1"/>
  <c r="J120" i="17" s="1"/>
  <c r="L120" i="17" s="1"/>
  <c r="K131" i="17" l="1"/>
  <c r="H132" i="17"/>
  <c r="E121" i="17"/>
  <c r="D121" i="17"/>
  <c r="C122" i="17" s="1"/>
  <c r="I132" i="17" l="1"/>
  <c r="F121" i="17"/>
  <c r="G121" i="17" s="1"/>
  <c r="J121" i="17" s="1"/>
  <c r="L121" i="17" s="1"/>
  <c r="H133" i="17" l="1"/>
  <c r="K132" i="17"/>
  <c r="E122" i="17"/>
  <c r="D122" i="17"/>
  <c r="C123" i="17" s="1"/>
  <c r="I133" i="17" l="1"/>
  <c r="F122" i="17"/>
  <c r="G122" i="17" s="1"/>
  <c r="J122" i="17" s="1"/>
  <c r="L122" i="17" s="1"/>
  <c r="H134" i="17" l="1"/>
  <c r="K133" i="17"/>
  <c r="E123" i="17"/>
  <c r="D123" i="17"/>
  <c r="C124" i="17" s="1"/>
  <c r="I134" i="17" l="1"/>
  <c r="F123" i="17"/>
  <c r="G123" i="17" s="1"/>
  <c r="J123" i="17" s="1"/>
  <c r="L123" i="17" s="1"/>
  <c r="K134" i="17" l="1"/>
  <c r="H135" i="17"/>
  <c r="E124" i="17"/>
  <c r="D124" i="17"/>
  <c r="C125" i="17" s="1"/>
  <c r="I135" i="17" l="1"/>
  <c r="F124" i="17"/>
  <c r="G124" i="17" s="1"/>
  <c r="J124" i="17" s="1"/>
  <c r="L124" i="17" s="1"/>
  <c r="K135" i="17" l="1"/>
  <c r="H136" i="17"/>
  <c r="E125" i="17"/>
  <c r="D125" i="17"/>
  <c r="C126" i="17" s="1"/>
  <c r="I136" i="17" l="1"/>
  <c r="F125" i="17"/>
  <c r="G125" i="17" s="1"/>
  <c r="J125" i="17" s="1"/>
  <c r="L125" i="17" s="1"/>
  <c r="H137" i="17" l="1"/>
  <c r="K136" i="17"/>
  <c r="E126" i="17"/>
  <c r="D126" i="17"/>
  <c r="C127" i="17" s="1"/>
  <c r="I137" i="17" l="1"/>
  <c r="F126" i="17"/>
  <c r="G126" i="17" s="1"/>
  <c r="J126" i="17" s="1"/>
  <c r="L126" i="17" s="1"/>
  <c r="H138" i="17" l="1"/>
  <c r="K137" i="17"/>
  <c r="E127" i="17"/>
  <c r="D127" i="17"/>
  <c r="C128" i="17" s="1"/>
  <c r="I138" i="17" l="1"/>
  <c r="F127" i="17"/>
  <c r="G127" i="17" s="1"/>
  <c r="J127" i="17" s="1"/>
  <c r="L127" i="17" s="1"/>
  <c r="K138" i="17" l="1"/>
  <c r="H139" i="17"/>
  <c r="E128" i="17"/>
  <c r="D128" i="17"/>
  <c r="C129" i="17" s="1"/>
  <c r="I139" i="17" l="1"/>
  <c r="F128" i="17"/>
  <c r="G128" i="17" s="1"/>
  <c r="J128" i="17" s="1"/>
  <c r="L128" i="17" s="1"/>
  <c r="K139" i="17" l="1"/>
  <c r="H140" i="17"/>
  <c r="E129" i="17"/>
  <c r="D129" i="17"/>
  <c r="C130" i="17" s="1"/>
  <c r="I140" i="17" l="1"/>
  <c r="F129" i="17"/>
  <c r="G129" i="17" s="1"/>
  <c r="J129" i="17" s="1"/>
  <c r="L129" i="17" s="1"/>
  <c r="H141" i="17" l="1"/>
  <c r="K140" i="17"/>
  <c r="E130" i="17"/>
  <c r="D130" i="17"/>
  <c r="C131" i="17" s="1"/>
  <c r="I141" i="17" l="1"/>
  <c r="F130" i="17"/>
  <c r="G130" i="17" s="1"/>
  <c r="J130" i="17" s="1"/>
  <c r="L130" i="17" s="1"/>
  <c r="H142" i="17" l="1"/>
  <c r="K141" i="17"/>
  <c r="E131" i="17"/>
  <c r="D131" i="17"/>
  <c r="C132" i="17" s="1"/>
  <c r="I142" i="17" l="1"/>
  <c r="F131" i="17"/>
  <c r="G131" i="17" s="1"/>
  <c r="J131" i="17" s="1"/>
  <c r="L131" i="17" s="1"/>
  <c r="K142" i="17" l="1"/>
  <c r="H143" i="17"/>
  <c r="E132" i="17"/>
  <c r="D132" i="17"/>
  <c r="C133" i="17" s="1"/>
  <c r="I143" i="17" l="1"/>
  <c r="F132" i="17"/>
  <c r="G132" i="17" s="1"/>
  <c r="J132" i="17" s="1"/>
  <c r="L132" i="17" s="1"/>
  <c r="K143" i="17" l="1"/>
  <c r="H144" i="17"/>
  <c r="E133" i="17"/>
  <c r="D133" i="17"/>
  <c r="C134" i="17" s="1"/>
  <c r="I144" i="17" l="1"/>
  <c r="F133" i="17"/>
  <c r="G133" i="17" s="1"/>
  <c r="J133" i="17" s="1"/>
  <c r="L133" i="17" s="1"/>
  <c r="H145" i="17" l="1"/>
  <c r="K144" i="17"/>
  <c r="E134" i="17"/>
  <c r="D134" i="17"/>
  <c r="C135" i="17" s="1"/>
  <c r="I145" i="17" l="1"/>
  <c r="F134" i="17"/>
  <c r="G134" i="17" s="1"/>
  <c r="J134" i="17" s="1"/>
  <c r="L134" i="17" s="1"/>
  <c r="H146" i="17" l="1"/>
  <c r="K145" i="17"/>
  <c r="E135" i="17"/>
  <c r="D135" i="17"/>
  <c r="C136" i="17" s="1"/>
  <c r="I146" i="17" l="1"/>
  <c r="F135" i="17"/>
  <c r="G135" i="17" s="1"/>
  <c r="J135" i="17" s="1"/>
  <c r="L135" i="17" s="1"/>
  <c r="K146" i="17" l="1"/>
  <c r="H147" i="17"/>
  <c r="E136" i="17"/>
  <c r="D136" i="17"/>
  <c r="C137" i="17" s="1"/>
  <c r="I147" i="17" l="1"/>
  <c r="F136" i="17"/>
  <c r="G136" i="17" s="1"/>
  <c r="J136" i="17" s="1"/>
  <c r="L136" i="17" s="1"/>
  <c r="K147" i="17" l="1"/>
  <c r="H148" i="17"/>
  <c r="E137" i="17"/>
  <c r="D137" i="17"/>
  <c r="C138" i="17" s="1"/>
  <c r="I148" i="17" l="1"/>
  <c r="F137" i="17"/>
  <c r="G137" i="17" s="1"/>
  <c r="J137" i="17" s="1"/>
  <c r="L137" i="17" s="1"/>
  <c r="H149" i="17" l="1"/>
  <c r="K148" i="17"/>
  <c r="E138" i="17"/>
  <c r="D138" i="17"/>
  <c r="C139" i="17" s="1"/>
  <c r="I149" i="17" l="1"/>
  <c r="F138" i="17"/>
  <c r="G138" i="17" s="1"/>
  <c r="J138" i="17" s="1"/>
  <c r="L138" i="17" s="1"/>
  <c r="H150" i="17" l="1"/>
  <c r="K149" i="17"/>
  <c r="E139" i="17"/>
  <c r="D139" i="17"/>
  <c r="C140" i="17" s="1"/>
  <c r="I150" i="17" l="1"/>
  <c r="F139" i="17"/>
  <c r="G139" i="17" s="1"/>
  <c r="J139" i="17" s="1"/>
  <c r="L139" i="17" s="1"/>
  <c r="K150" i="17" l="1"/>
  <c r="H151" i="17"/>
  <c r="E140" i="17"/>
  <c r="D140" i="17"/>
  <c r="C141" i="17" s="1"/>
  <c r="I151" i="17" l="1"/>
  <c r="F140" i="17"/>
  <c r="G140" i="17" s="1"/>
  <c r="J140" i="17" s="1"/>
  <c r="L140" i="17" s="1"/>
  <c r="K151" i="17" l="1"/>
  <c r="H152" i="17"/>
  <c r="E141" i="17"/>
  <c r="D141" i="17"/>
  <c r="C142" i="17" s="1"/>
  <c r="I152" i="17" l="1"/>
  <c r="F141" i="17"/>
  <c r="G141" i="17" s="1"/>
  <c r="J141" i="17" s="1"/>
  <c r="L141" i="17" s="1"/>
  <c r="H153" i="17" l="1"/>
  <c r="K152" i="17"/>
  <c r="E142" i="17"/>
  <c r="D142" i="17"/>
  <c r="C143" i="17" s="1"/>
  <c r="I153" i="17" l="1"/>
  <c r="F142" i="17"/>
  <c r="G142" i="17" s="1"/>
  <c r="J142" i="17" s="1"/>
  <c r="L142" i="17" s="1"/>
  <c r="H154" i="17" l="1"/>
  <c r="K153" i="17"/>
  <c r="E143" i="17"/>
  <c r="D143" i="17"/>
  <c r="C144" i="17" s="1"/>
  <c r="I154" i="17" l="1"/>
  <c r="F143" i="17"/>
  <c r="G143" i="17" s="1"/>
  <c r="J143" i="17" s="1"/>
  <c r="L143" i="17" s="1"/>
  <c r="K154" i="17" l="1"/>
  <c r="H155" i="17"/>
  <c r="E144" i="17"/>
  <c r="D144" i="17"/>
  <c r="C145" i="17" s="1"/>
  <c r="I155" i="17" l="1"/>
  <c r="F144" i="17"/>
  <c r="G144" i="17" s="1"/>
  <c r="J144" i="17" s="1"/>
  <c r="L144" i="17" s="1"/>
  <c r="K155" i="17" l="1"/>
  <c r="H156" i="17"/>
  <c r="E145" i="17"/>
  <c r="D145" i="17"/>
  <c r="C146" i="17" s="1"/>
  <c r="I156" i="17" l="1"/>
  <c r="F145" i="17"/>
  <c r="G145" i="17" s="1"/>
  <c r="J145" i="17" s="1"/>
  <c r="L145" i="17" s="1"/>
  <c r="H157" i="17" l="1"/>
  <c r="K156" i="17"/>
  <c r="E146" i="17"/>
  <c r="D146" i="17"/>
  <c r="C147" i="17" s="1"/>
  <c r="I157" i="17" l="1"/>
  <c r="F146" i="17"/>
  <c r="G146" i="17" s="1"/>
  <c r="J146" i="17" s="1"/>
  <c r="L146" i="17" s="1"/>
  <c r="H158" i="17" l="1"/>
  <c r="K157" i="17"/>
  <c r="E147" i="17"/>
  <c r="D147" i="17"/>
  <c r="C148" i="17" s="1"/>
  <c r="I158" i="17" l="1"/>
  <c r="F147" i="17"/>
  <c r="G147" i="17" s="1"/>
  <c r="J147" i="17" s="1"/>
  <c r="L147" i="17" s="1"/>
  <c r="K158" i="17" l="1"/>
  <c r="H159" i="17"/>
  <c r="E148" i="17"/>
  <c r="D148" i="17"/>
  <c r="C149" i="17" s="1"/>
  <c r="I159" i="17" l="1"/>
  <c r="F148" i="17"/>
  <c r="G148" i="17" s="1"/>
  <c r="J148" i="17" s="1"/>
  <c r="L148" i="17" s="1"/>
  <c r="K159" i="17" l="1"/>
  <c r="H160" i="17"/>
  <c r="E149" i="17"/>
  <c r="D149" i="17"/>
  <c r="C150" i="17" s="1"/>
  <c r="I160" i="17" l="1"/>
  <c r="F149" i="17"/>
  <c r="G149" i="17" s="1"/>
  <c r="J149" i="17" s="1"/>
  <c r="L149" i="17" s="1"/>
  <c r="H161" i="17" l="1"/>
  <c r="K160" i="17"/>
  <c r="E150" i="17"/>
  <c r="D150" i="17"/>
  <c r="C151" i="17" s="1"/>
  <c r="I161" i="17" l="1"/>
  <c r="F150" i="17"/>
  <c r="G150" i="17" s="1"/>
  <c r="J150" i="17" s="1"/>
  <c r="L150" i="17" s="1"/>
  <c r="H162" i="17" l="1"/>
  <c r="K161" i="17"/>
  <c r="E151" i="17"/>
  <c r="D151" i="17"/>
  <c r="C152" i="17" s="1"/>
  <c r="I162" i="17" l="1"/>
  <c r="F151" i="17"/>
  <c r="G151" i="17" s="1"/>
  <c r="J151" i="17" s="1"/>
  <c r="L151" i="17" s="1"/>
  <c r="K162" i="17" l="1"/>
  <c r="H163" i="17"/>
  <c r="E152" i="17"/>
  <c r="D152" i="17"/>
  <c r="C153" i="17" s="1"/>
  <c r="I163" i="17" l="1"/>
  <c r="F152" i="17"/>
  <c r="G152" i="17" s="1"/>
  <c r="J152" i="17" s="1"/>
  <c r="L152" i="17" s="1"/>
  <c r="K163" i="17" l="1"/>
  <c r="H164" i="17"/>
  <c r="E153" i="17"/>
  <c r="D153" i="17"/>
  <c r="C154" i="17" s="1"/>
  <c r="I164" i="17" l="1"/>
  <c r="F153" i="17"/>
  <c r="G153" i="17" s="1"/>
  <c r="J153" i="17" s="1"/>
  <c r="L153" i="17" s="1"/>
  <c r="H165" i="17" l="1"/>
  <c r="K164" i="17"/>
  <c r="E154" i="17"/>
  <c r="D154" i="17"/>
  <c r="C155" i="17" s="1"/>
  <c r="I165" i="17" l="1"/>
  <c r="F154" i="17"/>
  <c r="G154" i="17" s="1"/>
  <c r="J154" i="17" s="1"/>
  <c r="L154" i="17" s="1"/>
  <c r="H166" i="17" l="1"/>
  <c r="K165" i="17"/>
  <c r="E155" i="17"/>
  <c r="D155" i="17"/>
  <c r="C156" i="17" s="1"/>
  <c r="I166" i="17" l="1"/>
  <c r="F155" i="17"/>
  <c r="G155" i="17" s="1"/>
  <c r="J155" i="17" s="1"/>
  <c r="L155" i="17" s="1"/>
  <c r="K166" i="17" l="1"/>
  <c r="H167" i="17"/>
  <c r="E156" i="17"/>
  <c r="D156" i="17"/>
  <c r="C157" i="17" s="1"/>
  <c r="I167" i="17" l="1"/>
  <c r="F156" i="17"/>
  <c r="G156" i="17" s="1"/>
  <c r="J156" i="17" s="1"/>
  <c r="L156" i="17" s="1"/>
  <c r="K167" i="17" l="1"/>
  <c r="H168" i="17"/>
  <c r="E157" i="17"/>
  <c r="D157" i="17"/>
  <c r="C158" i="17" s="1"/>
  <c r="I168" i="17" l="1"/>
  <c r="F157" i="17"/>
  <c r="G157" i="17" s="1"/>
  <c r="J157" i="17" s="1"/>
  <c r="L157" i="17" s="1"/>
  <c r="H169" i="17" l="1"/>
  <c r="K168" i="17"/>
  <c r="E158" i="17"/>
  <c r="D158" i="17"/>
  <c r="C159" i="17" s="1"/>
  <c r="I169" i="17" l="1"/>
  <c r="F158" i="17"/>
  <c r="G158" i="17" s="1"/>
  <c r="J158" i="17" s="1"/>
  <c r="L158" i="17" s="1"/>
  <c r="H170" i="17" l="1"/>
  <c r="K169" i="17"/>
  <c r="E159" i="17"/>
  <c r="D159" i="17"/>
  <c r="C160" i="17" s="1"/>
  <c r="I170" i="17" l="1"/>
  <c r="F159" i="17"/>
  <c r="G159" i="17" s="1"/>
  <c r="J159" i="17" s="1"/>
  <c r="L159" i="17" s="1"/>
  <c r="K170" i="17" l="1"/>
  <c r="H171" i="17"/>
  <c r="E160" i="17"/>
  <c r="D160" i="17"/>
  <c r="C161" i="17" s="1"/>
  <c r="I171" i="17" l="1"/>
  <c r="F160" i="17"/>
  <c r="G160" i="17" s="1"/>
  <c r="J160" i="17" s="1"/>
  <c r="L160" i="17" s="1"/>
  <c r="K171" i="17" l="1"/>
  <c r="H172" i="17"/>
  <c r="E161" i="17"/>
  <c r="D161" i="17"/>
  <c r="C162" i="17" s="1"/>
  <c r="I172" i="17" l="1"/>
  <c r="F161" i="17"/>
  <c r="G161" i="17" s="1"/>
  <c r="J161" i="17" s="1"/>
  <c r="L161" i="17" s="1"/>
  <c r="H173" i="17" l="1"/>
  <c r="K172" i="17"/>
  <c r="E162" i="17"/>
  <c r="D162" i="17"/>
  <c r="C163" i="17" s="1"/>
  <c r="I173" i="17" l="1"/>
  <c r="F162" i="17"/>
  <c r="G162" i="17" s="1"/>
  <c r="J162" i="17" s="1"/>
  <c r="L162" i="17" s="1"/>
  <c r="H174" i="17" l="1"/>
  <c r="K173" i="17"/>
  <c r="E163" i="17"/>
  <c r="D163" i="17"/>
  <c r="C164" i="17" s="1"/>
  <c r="I174" i="17" l="1"/>
  <c r="F163" i="17"/>
  <c r="G163" i="17" s="1"/>
  <c r="J163" i="17" s="1"/>
  <c r="L163" i="17" s="1"/>
  <c r="K174" i="17" l="1"/>
  <c r="H175" i="17"/>
  <c r="E164" i="17"/>
  <c r="D164" i="17"/>
  <c r="C165" i="17" s="1"/>
  <c r="I175" i="17" l="1"/>
  <c r="F164" i="17"/>
  <c r="G164" i="17" s="1"/>
  <c r="J164" i="17" s="1"/>
  <c r="L164" i="17" s="1"/>
  <c r="K175" i="17" l="1"/>
  <c r="H176" i="17"/>
  <c r="E165" i="17"/>
  <c r="D165" i="17"/>
  <c r="C166" i="17" s="1"/>
  <c r="I176" i="17" l="1"/>
  <c r="F165" i="17"/>
  <c r="G165" i="17" s="1"/>
  <c r="J165" i="17" s="1"/>
  <c r="L165" i="17" s="1"/>
  <c r="H177" i="17" l="1"/>
  <c r="K176" i="17"/>
  <c r="E166" i="17"/>
  <c r="D166" i="17"/>
  <c r="C167" i="17" s="1"/>
  <c r="I177" i="17" l="1"/>
  <c r="F166" i="17"/>
  <c r="G166" i="17" s="1"/>
  <c r="J166" i="17" s="1"/>
  <c r="L166" i="17" s="1"/>
  <c r="H178" i="17" l="1"/>
  <c r="K177" i="17"/>
  <c r="E167" i="17"/>
  <c r="D167" i="17"/>
  <c r="C168" i="17" s="1"/>
  <c r="I178" i="17" l="1"/>
  <c r="F167" i="17"/>
  <c r="G167" i="17" s="1"/>
  <c r="J167" i="17" s="1"/>
  <c r="L167" i="17" s="1"/>
  <c r="K178" i="17" l="1"/>
  <c r="H179" i="17"/>
  <c r="E168" i="17"/>
  <c r="D168" i="17"/>
  <c r="C169" i="17" s="1"/>
  <c r="I179" i="17" l="1"/>
  <c r="F168" i="17"/>
  <c r="G168" i="17" s="1"/>
  <c r="J168" i="17" s="1"/>
  <c r="L168" i="17" s="1"/>
  <c r="K179" i="17" l="1"/>
  <c r="H180" i="17"/>
  <c r="E169" i="17"/>
  <c r="D169" i="17"/>
  <c r="C170" i="17" s="1"/>
  <c r="I180" i="17" l="1"/>
  <c r="F169" i="17"/>
  <c r="G169" i="17" s="1"/>
  <c r="J169" i="17" s="1"/>
  <c r="L169" i="17" s="1"/>
  <c r="H181" i="17" l="1"/>
  <c r="K180" i="17"/>
  <c r="E170" i="17"/>
  <c r="D170" i="17"/>
  <c r="C171" i="17" s="1"/>
  <c r="I181" i="17" l="1"/>
  <c r="F170" i="17"/>
  <c r="G170" i="17" s="1"/>
  <c r="J170" i="17" s="1"/>
  <c r="L170" i="17" s="1"/>
  <c r="H182" i="17" l="1"/>
  <c r="K181" i="17"/>
  <c r="E171" i="17"/>
  <c r="D171" i="17"/>
  <c r="C172" i="17" s="1"/>
  <c r="I182" i="17" l="1"/>
  <c r="F171" i="17"/>
  <c r="G171" i="17" s="1"/>
  <c r="J171" i="17" s="1"/>
  <c r="L171" i="17" s="1"/>
  <c r="K182" i="17" l="1"/>
  <c r="H183" i="17"/>
  <c r="E172" i="17"/>
  <c r="D172" i="17"/>
  <c r="C173" i="17" s="1"/>
  <c r="I183" i="17" l="1"/>
  <c r="F172" i="17"/>
  <c r="G172" i="17" s="1"/>
  <c r="J172" i="17" s="1"/>
  <c r="L172" i="17" s="1"/>
  <c r="K183" i="17" l="1"/>
  <c r="H184" i="17"/>
  <c r="E173" i="17"/>
  <c r="D173" i="17"/>
  <c r="C174" i="17" s="1"/>
  <c r="I184" i="17" l="1"/>
  <c r="F173" i="17"/>
  <c r="G173" i="17" s="1"/>
  <c r="J173" i="17" s="1"/>
  <c r="L173" i="17" s="1"/>
  <c r="H185" i="17" l="1"/>
  <c r="K184" i="17"/>
  <c r="E174" i="17"/>
  <c r="D174" i="17"/>
  <c r="C175" i="17" s="1"/>
  <c r="I185" i="17" l="1"/>
  <c r="F174" i="17"/>
  <c r="G174" i="17" s="1"/>
  <c r="J174" i="17" s="1"/>
  <c r="L174" i="17" s="1"/>
  <c r="H186" i="17" l="1"/>
  <c r="K185" i="17"/>
  <c r="E175" i="17"/>
  <c r="D175" i="17"/>
  <c r="C176" i="17" s="1"/>
  <c r="I186" i="17" l="1"/>
  <c r="F175" i="17"/>
  <c r="G175" i="17" s="1"/>
  <c r="J175" i="17" s="1"/>
  <c r="L175" i="17" s="1"/>
  <c r="K186" i="17" l="1"/>
  <c r="H187" i="17"/>
  <c r="E176" i="17"/>
  <c r="D176" i="17"/>
  <c r="C177" i="17" s="1"/>
  <c r="I187" i="17" l="1"/>
  <c r="F176" i="17"/>
  <c r="G176" i="17" s="1"/>
  <c r="J176" i="17" s="1"/>
  <c r="L176" i="17" s="1"/>
  <c r="K187" i="17" l="1"/>
  <c r="H188" i="17"/>
  <c r="E177" i="17"/>
  <c r="D177" i="17"/>
  <c r="C178" i="17" s="1"/>
  <c r="I188" i="17" l="1"/>
  <c r="F177" i="17"/>
  <c r="G177" i="17" s="1"/>
  <c r="J177" i="17" s="1"/>
  <c r="L177" i="17" s="1"/>
  <c r="H189" i="17" l="1"/>
  <c r="K188" i="17"/>
  <c r="E178" i="17"/>
  <c r="D178" i="17"/>
  <c r="C179" i="17" s="1"/>
  <c r="I189" i="17" l="1"/>
  <c r="F178" i="17"/>
  <c r="G178" i="17" s="1"/>
  <c r="J178" i="17" s="1"/>
  <c r="L178" i="17" s="1"/>
  <c r="H190" i="17" l="1"/>
  <c r="K189" i="17"/>
  <c r="E179" i="17"/>
  <c r="D179" i="17"/>
  <c r="C180" i="17" s="1"/>
  <c r="I190" i="17" l="1"/>
  <c r="F179" i="17"/>
  <c r="G179" i="17" s="1"/>
  <c r="J179" i="17" s="1"/>
  <c r="L179" i="17" s="1"/>
  <c r="K190" i="17" l="1"/>
  <c r="H191" i="17"/>
  <c r="E180" i="17"/>
  <c r="D180" i="17"/>
  <c r="C181" i="17" s="1"/>
  <c r="I191" i="17" l="1"/>
  <c r="F180" i="17"/>
  <c r="G180" i="17" s="1"/>
  <c r="J180" i="17" s="1"/>
  <c r="L180" i="17" s="1"/>
  <c r="K191" i="17" l="1"/>
  <c r="H192" i="17"/>
  <c r="E181" i="17"/>
  <c r="D181" i="17"/>
  <c r="C182" i="17" s="1"/>
  <c r="I192" i="17" l="1"/>
  <c r="F181" i="17"/>
  <c r="G181" i="17" s="1"/>
  <c r="J181" i="17" s="1"/>
  <c r="L181" i="17" s="1"/>
  <c r="H193" i="17" l="1"/>
  <c r="K192" i="17"/>
  <c r="E182" i="17"/>
  <c r="D182" i="17"/>
  <c r="C183" i="17" s="1"/>
  <c r="I193" i="17" l="1"/>
  <c r="F182" i="17"/>
  <c r="G182" i="17" s="1"/>
  <c r="J182" i="17" s="1"/>
  <c r="L182" i="17" s="1"/>
  <c r="H194" i="17" l="1"/>
  <c r="K193" i="17"/>
  <c r="D183" i="17"/>
  <c r="C184" i="17" s="1"/>
  <c r="E183" i="17"/>
  <c r="I194" i="17" l="1"/>
  <c r="F183" i="17"/>
  <c r="G183" i="17" s="1"/>
  <c r="J183" i="17" s="1"/>
  <c r="L183" i="17" s="1"/>
  <c r="K194" i="17" l="1"/>
  <c r="H195" i="17"/>
  <c r="E184" i="17"/>
  <c r="D184" i="17"/>
  <c r="C185" i="17" s="1"/>
  <c r="I195" i="17" l="1"/>
  <c r="F184" i="17"/>
  <c r="G184" i="17" s="1"/>
  <c r="J184" i="17" s="1"/>
  <c r="L184" i="17" s="1"/>
  <c r="K195" i="17" l="1"/>
  <c r="H196" i="17"/>
  <c r="E185" i="17"/>
  <c r="D185" i="17"/>
  <c r="C186" i="17" s="1"/>
  <c r="I196" i="17" l="1"/>
  <c r="F185" i="17"/>
  <c r="G185" i="17" s="1"/>
  <c r="J185" i="17" s="1"/>
  <c r="L185" i="17" s="1"/>
  <c r="H197" i="17" l="1"/>
  <c r="K196" i="17"/>
  <c r="E186" i="17"/>
  <c r="D186" i="17"/>
  <c r="C187" i="17" s="1"/>
  <c r="I197" i="17" l="1"/>
  <c r="F186" i="17"/>
  <c r="G186" i="17" s="1"/>
  <c r="J186" i="17" s="1"/>
  <c r="L186" i="17" s="1"/>
  <c r="H198" i="17" l="1"/>
  <c r="K197" i="17"/>
  <c r="E187" i="17"/>
  <c r="D187" i="17"/>
  <c r="C188" i="17" s="1"/>
  <c r="I198" i="17" l="1"/>
  <c r="F187" i="17"/>
  <c r="G187" i="17" s="1"/>
  <c r="J187" i="17" s="1"/>
  <c r="L187" i="17" s="1"/>
  <c r="K198" i="17" l="1"/>
  <c r="H199" i="17"/>
  <c r="E188" i="17"/>
  <c r="D188" i="17"/>
  <c r="C189" i="17" s="1"/>
  <c r="I199" i="17" l="1"/>
  <c r="F188" i="17"/>
  <c r="G188" i="17" s="1"/>
  <c r="J188" i="17" s="1"/>
  <c r="L188" i="17" s="1"/>
  <c r="K199" i="17" l="1"/>
  <c r="H200" i="17"/>
  <c r="E189" i="17"/>
  <c r="D189" i="17"/>
  <c r="C190" i="17" s="1"/>
  <c r="I200" i="17" l="1"/>
  <c r="F189" i="17"/>
  <c r="G189" i="17" s="1"/>
  <c r="J189" i="17" s="1"/>
  <c r="L189" i="17" s="1"/>
  <c r="H201" i="17" l="1"/>
  <c r="K200" i="17"/>
  <c r="E190" i="17"/>
  <c r="D190" i="17"/>
  <c r="C191" i="17" s="1"/>
  <c r="I201" i="17" l="1"/>
  <c r="F190" i="17"/>
  <c r="G190" i="17" s="1"/>
  <c r="J190" i="17" s="1"/>
  <c r="L190" i="17" s="1"/>
  <c r="H202" i="17" l="1"/>
  <c r="K201" i="17"/>
  <c r="E191" i="17"/>
  <c r="D191" i="17"/>
  <c r="C192" i="17" s="1"/>
  <c r="I202" i="17" l="1"/>
  <c r="F191" i="17"/>
  <c r="G191" i="17" s="1"/>
  <c r="J191" i="17" s="1"/>
  <c r="L191" i="17" s="1"/>
  <c r="K202" i="17" l="1"/>
  <c r="H203" i="17"/>
  <c r="E192" i="17"/>
  <c r="D192" i="17"/>
  <c r="C193" i="17" s="1"/>
  <c r="I203" i="17" l="1"/>
  <c r="F192" i="17"/>
  <c r="G192" i="17" s="1"/>
  <c r="J192" i="17" s="1"/>
  <c r="L192" i="17" s="1"/>
  <c r="H204" i="17" l="1"/>
  <c r="K203" i="17"/>
  <c r="E193" i="17"/>
  <c r="D193" i="17"/>
  <c r="C194" i="17" s="1"/>
  <c r="I204" i="17" l="1"/>
  <c r="F193" i="17"/>
  <c r="G193" i="17" s="1"/>
  <c r="J193" i="17" l="1"/>
  <c r="L193" i="17" s="1"/>
  <c r="K204" i="17"/>
  <c r="H205" i="17"/>
  <c r="E194" i="17"/>
  <c r="D194" i="17"/>
  <c r="C195" i="17" s="1"/>
  <c r="I205" i="17" l="1"/>
  <c r="F194" i="17"/>
  <c r="G194" i="17" s="1"/>
  <c r="J194" i="17" s="1"/>
  <c r="L194" i="17" s="1"/>
  <c r="K205" i="17" l="1"/>
  <c r="H206" i="17"/>
  <c r="E195" i="17"/>
  <c r="D195" i="17"/>
  <c r="C196" i="17" s="1"/>
  <c r="I206" i="17" l="1"/>
  <c r="F195" i="17"/>
  <c r="G195" i="17" s="1"/>
  <c r="J195" i="17" s="1"/>
  <c r="L195" i="17" s="1"/>
  <c r="K206" i="17" l="1"/>
  <c r="H207" i="17"/>
  <c r="E196" i="17"/>
  <c r="D196" i="17"/>
  <c r="C197" i="17" s="1"/>
  <c r="I207" i="17" l="1"/>
  <c r="F196" i="17"/>
  <c r="G196" i="17" s="1"/>
  <c r="J196" i="17" s="1"/>
  <c r="L196" i="17" s="1"/>
  <c r="H208" i="17" l="1"/>
  <c r="K207" i="17"/>
  <c r="E197" i="17"/>
  <c r="D197" i="17"/>
  <c r="C198" i="17" s="1"/>
  <c r="I208" i="17" l="1"/>
  <c r="F197" i="17"/>
  <c r="G197" i="17" s="1"/>
  <c r="J197" i="17" s="1"/>
  <c r="L197" i="17" s="1"/>
  <c r="H209" i="17" l="1"/>
  <c r="K208" i="17"/>
  <c r="E198" i="17"/>
  <c r="D198" i="17"/>
  <c r="C199" i="17" s="1"/>
  <c r="I209" i="17" l="1"/>
  <c r="F198" i="17"/>
  <c r="G198" i="17" s="1"/>
  <c r="J198" i="17" s="1"/>
  <c r="L198" i="17" s="1"/>
  <c r="K209" i="17" l="1"/>
  <c r="H210" i="17"/>
  <c r="E199" i="17"/>
  <c r="D199" i="17"/>
  <c r="C200" i="17" s="1"/>
  <c r="I210" i="17" l="1"/>
  <c r="F199" i="17"/>
  <c r="G199" i="17" s="1"/>
  <c r="J199" i="17" s="1"/>
  <c r="L199" i="17" s="1"/>
  <c r="K210" i="17" l="1"/>
  <c r="H211" i="17"/>
  <c r="E200" i="17"/>
  <c r="D200" i="17"/>
  <c r="C201" i="17" s="1"/>
  <c r="I211" i="17" l="1"/>
  <c r="F200" i="17"/>
  <c r="G200" i="17" s="1"/>
  <c r="J200" i="17" s="1"/>
  <c r="L200" i="17" s="1"/>
  <c r="H212" i="17" l="1"/>
  <c r="K211" i="17"/>
  <c r="E201" i="17"/>
  <c r="D201" i="17"/>
  <c r="C202" i="17" s="1"/>
  <c r="I212" i="17" l="1"/>
  <c r="F201" i="17"/>
  <c r="G201" i="17" s="1"/>
  <c r="J201" i="17" s="1"/>
  <c r="L201" i="17" s="1"/>
  <c r="H213" i="17" l="1"/>
  <c r="K212" i="17"/>
  <c r="E202" i="17"/>
  <c r="D202" i="17"/>
  <c r="C203" i="17" s="1"/>
  <c r="I213" i="17" l="1"/>
  <c r="F202" i="17"/>
  <c r="G202" i="17" s="1"/>
  <c r="J202" i="17" s="1"/>
  <c r="L202" i="17" s="1"/>
  <c r="K213" i="17" l="1"/>
  <c r="H214" i="17"/>
  <c r="E203" i="17"/>
  <c r="D203" i="17"/>
  <c r="C204" i="17" s="1"/>
  <c r="I214" i="17" l="1"/>
  <c r="F203" i="17"/>
  <c r="G203" i="17" s="1"/>
  <c r="J203" i="17" s="1"/>
  <c r="L203" i="17" s="1"/>
  <c r="K214" i="17" l="1"/>
  <c r="H215" i="17"/>
  <c r="D204" i="17"/>
  <c r="C205" i="17" s="1"/>
  <c r="E204" i="17"/>
  <c r="I215" i="17" l="1"/>
  <c r="F204" i="17"/>
  <c r="G204" i="17" s="1"/>
  <c r="J204" i="17" s="1"/>
  <c r="L204" i="17" s="1"/>
  <c r="H216" i="17" l="1"/>
  <c r="K215" i="17"/>
  <c r="E205" i="17"/>
  <c r="D205" i="17"/>
  <c r="C206" i="17" s="1"/>
  <c r="I216" i="17" l="1"/>
  <c r="F205" i="17"/>
  <c r="G205" i="17" s="1"/>
  <c r="J205" i="17" s="1"/>
  <c r="L205" i="17" s="1"/>
  <c r="H217" i="17" l="1"/>
  <c r="K216" i="17"/>
  <c r="E206" i="17"/>
  <c r="D206" i="17"/>
  <c r="C207" i="17" s="1"/>
  <c r="I217" i="17" l="1"/>
  <c r="F206" i="17"/>
  <c r="G206" i="17" s="1"/>
  <c r="J206" i="17" s="1"/>
  <c r="L206" i="17" s="1"/>
  <c r="K217" i="17" l="1"/>
  <c r="H218" i="17"/>
  <c r="E207" i="17"/>
  <c r="D207" i="17"/>
  <c r="C208" i="17" s="1"/>
  <c r="I218" i="17" l="1"/>
  <c r="F207" i="17"/>
  <c r="G207" i="17" s="1"/>
  <c r="J207" i="17" s="1"/>
  <c r="L207" i="17" s="1"/>
  <c r="K218" i="17" l="1"/>
  <c r="H219" i="17"/>
  <c r="E208" i="17"/>
  <c r="D208" i="17"/>
  <c r="C209" i="17" s="1"/>
  <c r="I219" i="17" l="1"/>
  <c r="F208" i="17"/>
  <c r="G208" i="17" s="1"/>
  <c r="J208" i="17" s="1"/>
  <c r="L208" i="17" s="1"/>
  <c r="H220" i="17" l="1"/>
  <c r="K219" i="17"/>
  <c r="E209" i="17"/>
  <c r="D209" i="17"/>
  <c r="C210" i="17" s="1"/>
  <c r="I220" i="17" l="1"/>
  <c r="F209" i="17"/>
  <c r="G209" i="17" s="1"/>
  <c r="J209" i="17" s="1"/>
  <c r="L209" i="17" s="1"/>
  <c r="H221" i="17" l="1"/>
  <c r="K220" i="17"/>
  <c r="D210" i="17"/>
  <c r="C211" i="17" s="1"/>
  <c r="E210" i="17"/>
  <c r="I221" i="17" l="1"/>
  <c r="F210" i="17"/>
  <c r="G210" i="17" s="1"/>
  <c r="J210" i="17" s="1"/>
  <c r="L210" i="17" s="1"/>
  <c r="K221" i="17" l="1"/>
  <c r="H222" i="17"/>
  <c r="E211" i="17"/>
  <c r="D211" i="17"/>
  <c r="C212" i="17" s="1"/>
  <c r="I222" i="17" l="1"/>
  <c r="F211" i="17"/>
  <c r="G211" i="17" s="1"/>
  <c r="J211" i="17" s="1"/>
  <c r="L211" i="17" s="1"/>
  <c r="K222" i="17" l="1"/>
  <c r="H223" i="17"/>
  <c r="E212" i="17"/>
  <c r="D212" i="17"/>
  <c r="C213" i="17" s="1"/>
  <c r="I223" i="17" l="1"/>
  <c r="F212" i="17"/>
  <c r="G212" i="17" s="1"/>
  <c r="J212" i="17" s="1"/>
  <c r="L212" i="17" s="1"/>
  <c r="H224" i="17" l="1"/>
  <c r="K223" i="17"/>
  <c r="E213" i="17"/>
  <c r="D213" i="17"/>
  <c r="C214" i="17" s="1"/>
  <c r="I224" i="17" l="1"/>
  <c r="F213" i="17"/>
  <c r="G213" i="17" s="1"/>
  <c r="J213" i="17" s="1"/>
  <c r="L213" i="17" s="1"/>
  <c r="H225" i="17" l="1"/>
  <c r="K224" i="17"/>
  <c r="E214" i="17"/>
  <c r="D214" i="17"/>
  <c r="C215" i="17" s="1"/>
  <c r="I225" i="17" l="1"/>
  <c r="F214" i="17"/>
  <c r="G214" i="17" s="1"/>
  <c r="J214" i="17" s="1"/>
  <c r="L214" i="17" s="1"/>
  <c r="K225" i="17" l="1"/>
  <c r="H226" i="17"/>
  <c r="E215" i="17"/>
  <c r="D215" i="17"/>
  <c r="C216" i="17" s="1"/>
  <c r="I226" i="17" l="1"/>
  <c r="F215" i="17"/>
  <c r="G215" i="17" s="1"/>
  <c r="J215" i="17" s="1"/>
  <c r="L215" i="17" s="1"/>
  <c r="K226" i="17" l="1"/>
  <c r="H227" i="17"/>
  <c r="E216" i="17"/>
  <c r="D216" i="17"/>
  <c r="C217" i="17" s="1"/>
  <c r="I227" i="17" l="1"/>
  <c r="F216" i="17"/>
  <c r="G216" i="17" s="1"/>
  <c r="J216" i="17" s="1"/>
  <c r="L216" i="17" s="1"/>
  <c r="H228" i="17" l="1"/>
  <c r="K227" i="17"/>
  <c r="E217" i="17"/>
  <c r="D217" i="17"/>
  <c r="C218" i="17" s="1"/>
  <c r="I228" i="17" l="1"/>
  <c r="F217" i="17"/>
  <c r="G217" i="17" s="1"/>
  <c r="J217" i="17" s="1"/>
  <c r="L217" i="17" s="1"/>
  <c r="H229" i="17" l="1"/>
  <c r="K228" i="17"/>
  <c r="E218" i="17"/>
  <c r="D218" i="17"/>
  <c r="C219" i="17" s="1"/>
  <c r="I229" i="17" l="1"/>
  <c r="F218" i="17"/>
  <c r="G218" i="17" s="1"/>
  <c r="J218" i="17" s="1"/>
  <c r="L218" i="17" s="1"/>
  <c r="K229" i="17" l="1"/>
  <c r="H230" i="17"/>
  <c r="E219" i="17"/>
  <c r="D219" i="17"/>
  <c r="C220" i="17" s="1"/>
  <c r="I230" i="17" l="1"/>
  <c r="F219" i="17"/>
  <c r="G219" i="17" s="1"/>
  <c r="J219" i="17" s="1"/>
  <c r="L219" i="17" s="1"/>
  <c r="K230" i="17" l="1"/>
  <c r="H231" i="17"/>
  <c r="E220" i="17"/>
  <c r="D220" i="17"/>
  <c r="C221" i="17" s="1"/>
  <c r="I231" i="17" l="1"/>
  <c r="F220" i="17"/>
  <c r="G220" i="17" s="1"/>
  <c r="J220" i="17" s="1"/>
  <c r="L220" i="17" s="1"/>
  <c r="H232" i="17" l="1"/>
  <c r="K231" i="17"/>
  <c r="E221" i="17"/>
  <c r="D221" i="17"/>
  <c r="C222" i="17" s="1"/>
  <c r="I232" i="17" l="1"/>
  <c r="F221" i="17"/>
  <c r="G221" i="17" s="1"/>
  <c r="J221" i="17" s="1"/>
  <c r="L221" i="17" s="1"/>
  <c r="H233" i="17" l="1"/>
  <c r="K232" i="17"/>
  <c r="E222" i="17"/>
  <c r="D222" i="17"/>
  <c r="C223" i="17" s="1"/>
  <c r="I233" i="17" l="1"/>
  <c r="F222" i="17"/>
  <c r="G222" i="17" s="1"/>
  <c r="J222" i="17" s="1"/>
  <c r="L222" i="17" s="1"/>
  <c r="K233" i="17" l="1"/>
  <c r="H234" i="17"/>
  <c r="E223" i="17"/>
  <c r="D223" i="17"/>
  <c r="C224" i="17" s="1"/>
  <c r="I234" i="17" l="1"/>
  <c r="F223" i="17"/>
  <c r="G223" i="17" s="1"/>
  <c r="J223" i="17" s="1"/>
  <c r="L223" i="17" s="1"/>
  <c r="K234" i="17" l="1"/>
  <c r="H235" i="17"/>
  <c r="E224" i="17"/>
  <c r="D224" i="17"/>
  <c r="C225" i="17" s="1"/>
  <c r="I235" i="17" l="1"/>
  <c r="F224" i="17"/>
  <c r="G224" i="17" s="1"/>
  <c r="J224" i="17" s="1"/>
  <c r="L224" i="17" s="1"/>
  <c r="H236" i="17" l="1"/>
  <c r="K235" i="17"/>
  <c r="E225" i="17"/>
  <c r="D225" i="17"/>
  <c r="C226" i="17" s="1"/>
  <c r="I236" i="17" l="1"/>
  <c r="F225" i="17"/>
  <c r="G225" i="17" s="1"/>
  <c r="J225" i="17" s="1"/>
  <c r="L225" i="17" s="1"/>
  <c r="H237" i="17" l="1"/>
  <c r="K236" i="17"/>
  <c r="E226" i="17"/>
  <c r="D226" i="17"/>
  <c r="C227" i="17" s="1"/>
  <c r="I237" i="17" l="1"/>
  <c r="F226" i="17"/>
  <c r="G226" i="17" s="1"/>
  <c r="J226" i="17" s="1"/>
  <c r="L226" i="17" s="1"/>
  <c r="K237" i="17" l="1"/>
  <c r="H238" i="17"/>
  <c r="E227" i="17"/>
  <c r="D227" i="17"/>
  <c r="C228" i="17" s="1"/>
  <c r="I238" i="17" l="1"/>
  <c r="F227" i="17"/>
  <c r="G227" i="17" s="1"/>
  <c r="J227" i="17" s="1"/>
  <c r="L227" i="17" s="1"/>
  <c r="K238" i="17" l="1"/>
  <c r="H239" i="17"/>
  <c r="E228" i="17"/>
  <c r="D228" i="17"/>
  <c r="C229" i="17" s="1"/>
  <c r="I239" i="17" l="1"/>
  <c r="F228" i="17"/>
  <c r="G228" i="17" s="1"/>
  <c r="J228" i="17" s="1"/>
  <c r="L228" i="17" s="1"/>
  <c r="H240" i="17" l="1"/>
  <c r="K239" i="17"/>
  <c r="E229" i="17"/>
  <c r="D229" i="17"/>
  <c r="C230" i="17" s="1"/>
  <c r="I240" i="17" l="1"/>
  <c r="F229" i="17"/>
  <c r="G229" i="17" s="1"/>
  <c r="J229" i="17" s="1"/>
  <c r="L229" i="17" s="1"/>
  <c r="H241" i="17" l="1"/>
  <c r="K240" i="17"/>
  <c r="E230" i="17"/>
  <c r="D230" i="17"/>
  <c r="C231" i="17" s="1"/>
  <c r="I241" i="17" l="1"/>
  <c r="F230" i="17"/>
  <c r="G230" i="17" s="1"/>
  <c r="J230" i="17" s="1"/>
  <c r="L230" i="17" s="1"/>
  <c r="K241" i="17" l="1"/>
  <c r="H242" i="17"/>
  <c r="E231" i="17"/>
  <c r="D231" i="17"/>
  <c r="C232" i="17" s="1"/>
  <c r="I242" i="17" l="1"/>
  <c r="F231" i="17"/>
  <c r="G231" i="17" s="1"/>
  <c r="J231" i="17" s="1"/>
  <c r="L231" i="17" s="1"/>
  <c r="K242" i="17" l="1"/>
  <c r="H243" i="17"/>
  <c r="E232" i="17"/>
  <c r="D232" i="17"/>
  <c r="C233" i="17" s="1"/>
  <c r="I243" i="17" l="1"/>
  <c r="F232" i="17"/>
  <c r="G232" i="17" s="1"/>
  <c r="J232" i="17" s="1"/>
  <c r="L232" i="17" s="1"/>
  <c r="H244" i="17" l="1"/>
  <c r="K243" i="17"/>
  <c r="E233" i="17"/>
  <c r="D233" i="17"/>
  <c r="C234" i="17" s="1"/>
  <c r="I244" i="17" l="1"/>
  <c r="F233" i="17"/>
  <c r="G233" i="17" s="1"/>
  <c r="J233" i="17" s="1"/>
  <c r="L233" i="17" s="1"/>
  <c r="H245" i="17" l="1"/>
  <c r="K244" i="17"/>
  <c r="E234" i="17"/>
  <c r="D234" i="17"/>
  <c r="C235" i="17" s="1"/>
  <c r="I245" i="17" l="1"/>
  <c r="F234" i="17"/>
  <c r="G234" i="17" s="1"/>
  <c r="J234" i="17" s="1"/>
  <c r="L234" i="17" s="1"/>
  <c r="K245" i="17" l="1"/>
  <c r="H246" i="17"/>
  <c r="E235" i="17"/>
  <c r="D235" i="17"/>
  <c r="C236" i="17" s="1"/>
  <c r="I246" i="17" l="1"/>
  <c r="F235" i="17"/>
  <c r="G235" i="17" s="1"/>
  <c r="J235" i="17" s="1"/>
  <c r="L235" i="17" s="1"/>
  <c r="K246" i="17" l="1"/>
  <c r="H247" i="17"/>
  <c r="E236" i="17"/>
  <c r="D236" i="17"/>
  <c r="C237" i="17" s="1"/>
  <c r="I247" i="17" l="1"/>
  <c r="F236" i="17"/>
  <c r="G236" i="17" s="1"/>
  <c r="J236" i="17" s="1"/>
  <c r="L236" i="17" s="1"/>
  <c r="H248" i="17" l="1"/>
  <c r="K247" i="17"/>
  <c r="E237" i="17"/>
  <c r="D237" i="17"/>
  <c r="C238" i="17" s="1"/>
  <c r="I248" i="17" l="1"/>
  <c r="F237" i="17"/>
  <c r="G237" i="17" s="1"/>
  <c r="J237" i="17" s="1"/>
  <c r="L237" i="17" s="1"/>
  <c r="H249" i="17" l="1"/>
  <c r="K248" i="17"/>
  <c r="E238" i="17"/>
  <c r="D238" i="17"/>
  <c r="C239" i="17" s="1"/>
  <c r="I249" i="17" l="1"/>
  <c r="F238" i="17"/>
  <c r="G238" i="17" s="1"/>
  <c r="J238" i="17" s="1"/>
  <c r="L238" i="17" s="1"/>
  <c r="K249" i="17" l="1"/>
  <c r="H250" i="17"/>
  <c r="E239" i="17"/>
  <c r="D239" i="17"/>
  <c r="C240" i="17" s="1"/>
  <c r="I250" i="17" l="1"/>
  <c r="F239" i="17"/>
  <c r="G239" i="17" s="1"/>
  <c r="J239" i="17" s="1"/>
  <c r="L239" i="17" s="1"/>
  <c r="K250" i="17" l="1"/>
  <c r="H251" i="17"/>
  <c r="E240" i="17"/>
  <c r="D240" i="17"/>
  <c r="C241" i="17" s="1"/>
  <c r="I251" i="17" l="1"/>
  <c r="F240" i="17"/>
  <c r="G240" i="17" s="1"/>
  <c r="J240" i="17" s="1"/>
  <c r="L240" i="17" s="1"/>
  <c r="H252" i="17" l="1"/>
  <c r="K251" i="17"/>
  <c r="E241" i="17"/>
  <c r="D241" i="17"/>
  <c r="C242" i="17" s="1"/>
  <c r="I252" i="17" l="1"/>
  <c r="F241" i="17"/>
  <c r="G241" i="17" s="1"/>
  <c r="J241" i="17" s="1"/>
  <c r="L241" i="17" s="1"/>
  <c r="H253" i="17" l="1"/>
  <c r="K252" i="17"/>
  <c r="E242" i="17"/>
  <c r="D242" i="17"/>
  <c r="C243" i="17" s="1"/>
  <c r="I253" i="17" l="1"/>
  <c r="F242" i="17"/>
  <c r="G242" i="17" s="1"/>
  <c r="J242" i="17" s="1"/>
  <c r="L242" i="17" s="1"/>
  <c r="K253" i="17" l="1"/>
  <c r="H254" i="17"/>
  <c r="E243" i="17"/>
  <c r="D243" i="17"/>
  <c r="C244" i="17" s="1"/>
  <c r="I254" i="17" l="1"/>
  <c r="F243" i="17"/>
  <c r="G243" i="17" s="1"/>
  <c r="J243" i="17" s="1"/>
  <c r="L243" i="17" s="1"/>
  <c r="K254" i="17" l="1"/>
  <c r="H255" i="17"/>
  <c r="E244" i="17"/>
  <c r="D244" i="17"/>
  <c r="C245" i="17" s="1"/>
  <c r="I255" i="17" l="1"/>
  <c r="F244" i="17"/>
  <c r="G244" i="17" s="1"/>
  <c r="J244" i="17" s="1"/>
  <c r="L244" i="17" s="1"/>
  <c r="H256" i="17" l="1"/>
  <c r="K255" i="17"/>
  <c r="E245" i="17"/>
  <c r="D245" i="17"/>
  <c r="C246" i="17" s="1"/>
  <c r="I256" i="17" l="1"/>
  <c r="F245" i="17"/>
  <c r="G245" i="17" s="1"/>
  <c r="J245" i="17" s="1"/>
  <c r="L245" i="17" s="1"/>
  <c r="H257" i="17" l="1"/>
  <c r="K256" i="17"/>
  <c r="E246" i="17"/>
  <c r="D246" i="17"/>
  <c r="C247" i="17" s="1"/>
  <c r="I257" i="17" l="1"/>
  <c r="F246" i="17"/>
  <c r="G246" i="17" s="1"/>
  <c r="J246" i="17" s="1"/>
  <c r="L246" i="17" s="1"/>
  <c r="K257" i="17" l="1"/>
  <c r="H258" i="17"/>
  <c r="E247" i="17"/>
  <c r="D247" i="17"/>
  <c r="C248" i="17" s="1"/>
  <c r="I258" i="17" l="1"/>
  <c r="F247" i="17"/>
  <c r="G247" i="17" s="1"/>
  <c r="J247" i="17" s="1"/>
  <c r="L247" i="17" s="1"/>
  <c r="K258" i="17" l="1"/>
  <c r="H259" i="17"/>
  <c r="E248" i="17"/>
  <c r="D248" i="17"/>
  <c r="C249" i="17" s="1"/>
  <c r="I259" i="17" l="1"/>
  <c r="F248" i="17"/>
  <c r="G248" i="17" s="1"/>
  <c r="J248" i="17" s="1"/>
  <c r="L248" i="17" s="1"/>
  <c r="H260" i="17" l="1"/>
  <c r="K259" i="17"/>
  <c r="E249" i="17"/>
  <c r="D249" i="17"/>
  <c r="C250" i="17" s="1"/>
  <c r="I260" i="17" l="1"/>
  <c r="F249" i="17"/>
  <c r="G249" i="17" s="1"/>
  <c r="J249" i="17" s="1"/>
  <c r="L249" i="17" s="1"/>
  <c r="H261" i="17" l="1"/>
  <c r="K260" i="17"/>
  <c r="E250" i="17"/>
  <c r="D250" i="17"/>
  <c r="C251" i="17" s="1"/>
  <c r="I261" i="17" l="1"/>
  <c r="F250" i="17"/>
  <c r="G250" i="17" s="1"/>
  <c r="J250" i="17" s="1"/>
  <c r="L250" i="17" s="1"/>
  <c r="K261" i="17" l="1"/>
  <c r="H262" i="17"/>
  <c r="E251" i="17"/>
  <c r="D251" i="17"/>
  <c r="C252" i="17" s="1"/>
  <c r="I262" i="17" l="1"/>
  <c r="F251" i="17"/>
  <c r="G251" i="17" s="1"/>
  <c r="J251" i="17" s="1"/>
  <c r="L251" i="17" s="1"/>
  <c r="K262" i="17" l="1"/>
  <c r="H263" i="17"/>
  <c r="E252" i="17"/>
  <c r="D252" i="17"/>
  <c r="C253" i="17" s="1"/>
  <c r="I263" i="17" l="1"/>
  <c r="F252" i="17"/>
  <c r="G252" i="17" s="1"/>
  <c r="J252" i="17" s="1"/>
  <c r="L252" i="17" s="1"/>
  <c r="H264" i="17" l="1"/>
  <c r="K263" i="17"/>
  <c r="E253" i="17"/>
  <c r="D253" i="17"/>
  <c r="C254" i="17" s="1"/>
  <c r="I264" i="17" l="1"/>
  <c r="F253" i="17"/>
  <c r="G253" i="17" s="1"/>
  <c r="J253" i="17" s="1"/>
  <c r="L253" i="17" s="1"/>
  <c r="H265" i="17" l="1"/>
  <c r="K264" i="17"/>
  <c r="E254" i="17"/>
  <c r="D254" i="17"/>
  <c r="C255" i="17" s="1"/>
  <c r="I265" i="17" l="1"/>
  <c r="F254" i="17"/>
  <c r="G254" i="17" s="1"/>
  <c r="J254" i="17" s="1"/>
  <c r="L254" i="17" s="1"/>
  <c r="K265" i="17" l="1"/>
  <c r="H266" i="17"/>
  <c r="E255" i="17"/>
  <c r="D255" i="17"/>
  <c r="C256" i="17" s="1"/>
  <c r="I266" i="17" l="1"/>
  <c r="F255" i="17"/>
  <c r="G255" i="17" s="1"/>
  <c r="J255" i="17" s="1"/>
  <c r="L255" i="17" s="1"/>
  <c r="K266" i="17" l="1"/>
  <c r="H267" i="17"/>
  <c r="E256" i="17"/>
  <c r="D256" i="17"/>
  <c r="C257" i="17" s="1"/>
  <c r="I267" i="17" l="1"/>
  <c r="F256" i="17"/>
  <c r="G256" i="17" s="1"/>
  <c r="J256" i="17" s="1"/>
  <c r="L256" i="17" s="1"/>
  <c r="H268" i="17" l="1"/>
  <c r="K267" i="17"/>
  <c r="E257" i="17"/>
  <c r="D257" i="17"/>
  <c r="C258" i="17" s="1"/>
  <c r="I268" i="17" l="1"/>
  <c r="F257" i="17"/>
  <c r="G257" i="17" s="1"/>
  <c r="J257" i="17" s="1"/>
  <c r="L257" i="17" s="1"/>
  <c r="H269" i="17" l="1"/>
  <c r="K268" i="17"/>
  <c r="E258" i="17"/>
  <c r="D258" i="17"/>
  <c r="C259" i="17" s="1"/>
  <c r="I269" i="17" l="1"/>
  <c r="F258" i="17"/>
  <c r="G258" i="17" s="1"/>
  <c r="J258" i="17" s="1"/>
  <c r="L258" i="17" s="1"/>
  <c r="K269" i="17" l="1"/>
  <c r="H270" i="17"/>
  <c r="E259" i="17"/>
  <c r="D259" i="17"/>
  <c r="C260" i="17" s="1"/>
  <c r="I270" i="17" l="1"/>
  <c r="F259" i="17"/>
  <c r="G259" i="17" s="1"/>
  <c r="J259" i="17" s="1"/>
  <c r="L259" i="17" s="1"/>
  <c r="K270" i="17" l="1"/>
  <c r="H271" i="17"/>
  <c r="E260" i="17"/>
  <c r="D260" i="17"/>
  <c r="C261" i="17" s="1"/>
  <c r="I271" i="17" l="1"/>
  <c r="F260" i="17"/>
  <c r="G260" i="17" s="1"/>
  <c r="J260" i="17" s="1"/>
  <c r="L260" i="17" s="1"/>
  <c r="H272" i="17" l="1"/>
  <c r="K271" i="17"/>
  <c r="E261" i="17"/>
  <c r="D261" i="17"/>
  <c r="C262" i="17" s="1"/>
  <c r="I272" i="17" l="1"/>
  <c r="F261" i="17"/>
  <c r="G261" i="17" s="1"/>
  <c r="J261" i="17" s="1"/>
  <c r="L261" i="17" s="1"/>
  <c r="H273" i="17" l="1"/>
  <c r="K272" i="17"/>
  <c r="E262" i="17"/>
  <c r="D262" i="17"/>
  <c r="C263" i="17" s="1"/>
  <c r="I273" i="17" l="1"/>
  <c r="F262" i="17"/>
  <c r="G262" i="17" s="1"/>
  <c r="J262" i="17" s="1"/>
  <c r="L262" i="17" s="1"/>
  <c r="K273" i="17" l="1"/>
  <c r="H274" i="17"/>
  <c r="E263" i="17"/>
  <c r="D263" i="17"/>
  <c r="C264" i="17" s="1"/>
  <c r="I274" i="17" l="1"/>
  <c r="F263" i="17"/>
  <c r="G263" i="17" s="1"/>
  <c r="J263" i="17" s="1"/>
  <c r="L263" i="17" s="1"/>
  <c r="K274" i="17" l="1"/>
  <c r="H275" i="17"/>
  <c r="E264" i="17"/>
  <c r="D264" i="17"/>
  <c r="C265" i="17" s="1"/>
  <c r="I275" i="17" l="1"/>
  <c r="F264" i="17"/>
  <c r="G264" i="17" s="1"/>
  <c r="J264" i="17" s="1"/>
  <c r="L264" i="17" s="1"/>
  <c r="H276" i="17" l="1"/>
  <c r="K275" i="17"/>
  <c r="E265" i="17"/>
  <c r="D265" i="17"/>
  <c r="C266" i="17" s="1"/>
  <c r="I276" i="17" l="1"/>
  <c r="F265" i="17"/>
  <c r="G265" i="17" s="1"/>
  <c r="J265" i="17" s="1"/>
  <c r="L265" i="17" s="1"/>
  <c r="H277" i="17" l="1"/>
  <c r="K276" i="17"/>
  <c r="E266" i="17"/>
  <c r="D266" i="17"/>
  <c r="C267" i="17" s="1"/>
  <c r="I277" i="17" l="1"/>
  <c r="F266" i="17"/>
  <c r="G266" i="17" s="1"/>
  <c r="J266" i="17" s="1"/>
  <c r="L266" i="17" s="1"/>
  <c r="K277" i="17" l="1"/>
  <c r="H278" i="17"/>
  <c r="E267" i="17"/>
  <c r="D267" i="17"/>
  <c r="C268" i="17" s="1"/>
  <c r="I278" i="17" l="1"/>
  <c r="F267" i="17"/>
  <c r="G267" i="17" s="1"/>
  <c r="J267" i="17" s="1"/>
  <c r="L267" i="17" s="1"/>
  <c r="K278" i="17" l="1"/>
  <c r="H279" i="17"/>
  <c r="E268" i="17"/>
  <c r="D268" i="17"/>
  <c r="C269" i="17" s="1"/>
  <c r="I279" i="17" l="1"/>
  <c r="F268" i="17"/>
  <c r="G268" i="17" s="1"/>
  <c r="J268" i="17" s="1"/>
  <c r="L268" i="17" s="1"/>
  <c r="H280" i="17" l="1"/>
  <c r="K279" i="17"/>
  <c r="E269" i="17"/>
  <c r="D269" i="17"/>
  <c r="C270" i="17" s="1"/>
  <c r="I280" i="17" l="1"/>
  <c r="F269" i="17"/>
  <c r="G269" i="17" s="1"/>
  <c r="J269" i="17" s="1"/>
  <c r="L269" i="17" s="1"/>
  <c r="H281" i="17" l="1"/>
  <c r="K280" i="17"/>
  <c r="E270" i="17"/>
  <c r="D270" i="17"/>
  <c r="C271" i="17" s="1"/>
  <c r="I281" i="17" l="1"/>
  <c r="F270" i="17"/>
  <c r="G270" i="17" s="1"/>
  <c r="J270" i="17" s="1"/>
  <c r="L270" i="17" s="1"/>
  <c r="K281" i="17" l="1"/>
  <c r="H282" i="17"/>
  <c r="E271" i="17"/>
  <c r="D271" i="17"/>
  <c r="C272" i="17" s="1"/>
  <c r="I282" i="17" l="1"/>
  <c r="F271" i="17"/>
  <c r="G271" i="17" s="1"/>
  <c r="J271" i="17" s="1"/>
  <c r="L271" i="17" s="1"/>
  <c r="K282" i="17" l="1"/>
  <c r="H283" i="17"/>
  <c r="E272" i="17"/>
  <c r="D272" i="17"/>
  <c r="C273" i="17" s="1"/>
  <c r="I283" i="17" l="1"/>
  <c r="F272" i="17"/>
  <c r="G272" i="17" s="1"/>
  <c r="J272" i="17" s="1"/>
  <c r="L272" i="17" s="1"/>
  <c r="H284" i="17" l="1"/>
  <c r="K283" i="17"/>
  <c r="E273" i="17"/>
  <c r="D273" i="17"/>
  <c r="C274" i="17" s="1"/>
  <c r="I284" i="17" l="1"/>
  <c r="F273" i="17"/>
  <c r="G273" i="17" s="1"/>
  <c r="J273" i="17" s="1"/>
  <c r="L273" i="17" s="1"/>
  <c r="H285" i="17" l="1"/>
  <c r="K284" i="17"/>
  <c r="E274" i="17"/>
  <c r="D274" i="17"/>
  <c r="C275" i="17" s="1"/>
  <c r="I285" i="17" l="1"/>
  <c r="F274" i="17"/>
  <c r="G274" i="17" s="1"/>
  <c r="J274" i="17" s="1"/>
  <c r="L274" i="17" s="1"/>
  <c r="K285" i="17" l="1"/>
  <c r="H286" i="17"/>
  <c r="E275" i="17"/>
  <c r="D275" i="17"/>
  <c r="C276" i="17" s="1"/>
  <c r="I286" i="17" l="1"/>
  <c r="F275" i="17"/>
  <c r="G275" i="17" s="1"/>
  <c r="J275" i="17" s="1"/>
  <c r="L275" i="17" s="1"/>
  <c r="K286" i="17" l="1"/>
  <c r="H287" i="17"/>
  <c r="E276" i="17"/>
  <c r="D276" i="17"/>
  <c r="C277" i="17" s="1"/>
  <c r="I287" i="17" l="1"/>
  <c r="F276" i="17"/>
  <c r="G276" i="17" s="1"/>
  <c r="J276" i="17" s="1"/>
  <c r="L276" i="17" s="1"/>
  <c r="H288" i="17" l="1"/>
  <c r="K287" i="17"/>
  <c r="E277" i="17"/>
  <c r="D277" i="17"/>
  <c r="C278" i="17" s="1"/>
  <c r="I288" i="17" l="1"/>
  <c r="F277" i="17"/>
  <c r="G277" i="17" s="1"/>
  <c r="J277" i="17" s="1"/>
  <c r="L277" i="17" s="1"/>
  <c r="H289" i="17" l="1"/>
  <c r="K288" i="17"/>
  <c r="E278" i="17"/>
  <c r="D278" i="17"/>
  <c r="C279" i="17" s="1"/>
  <c r="I289" i="17" l="1"/>
  <c r="F278" i="17"/>
  <c r="G278" i="17" s="1"/>
  <c r="J278" i="17" s="1"/>
  <c r="L278" i="17" s="1"/>
  <c r="K289" i="17" l="1"/>
  <c r="H290" i="17"/>
  <c r="E279" i="17"/>
  <c r="D279" i="17"/>
  <c r="C280" i="17" s="1"/>
  <c r="I290" i="17" l="1"/>
  <c r="F279" i="17"/>
  <c r="G279" i="17" s="1"/>
  <c r="J279" i="17" s="1"/>
  <c r="L279" i="17" s="1"/>
  <c r="K290" i="17" l="1"/>
  <c r="H291" i="17"/>
  <c r="E280" i="17"/>
  <c r="D280" i="17"/>
  <c r="C281" i="17" s="1"/>
  <c r="I291" i="17" l="1"/>
  <c r="F280" i="17"/>
  <c r="G280" i="17" s="1"/>
  <c r="J280" i="17" s="1"/>
  <c r="L280" i="17" s="1"/>
  <c r="H292" i="17" l="1"/>
  <c r="K291" i="17"/>
  <c r="E281" i="17"/>
  <c r="D281" i="17"/>
  <c r="C282" i="17" s="1"/>
  <c r="I292" i="17" l="1"/>
  <c r="F281" i="17"/>
  <c r="G281" i="17" s="1"/>
  <c r="J281" i="17" s="1"/>
  <c r="L281" i="17" s="1"/>
  <c r="H293" i="17" l="1"/>
  <c r="K292" i="17"/>
  <c r="E282" i="17"/>
  <c r="D282" i="17"/>
  <c r="C283" i="17" s="1"/>
  <c r="I293" i="17" l="1"/>
  <c r="F282" i="17"/>
  <c r="G282" i="17" s="1"/>
  <c r="J282" i="17" s="1"/>
  <c r="L282" i="17" s="1"/>
  <c r="K293" i="17" l="1"/>
  <c r="H294" i="17"/>
  <c r="E283" i="17"/>
  <c r="D283" i="17"/>
  <c r="C284" i="17" s="1"/>
  <c r="I294" i="17" l="1"/>
  <c r="F283" i="17"/>
  <c r="G283" i="17" s="1"/>
  <c r="J283" i="17" s="1"/>
  <c r="L283" i="17" s="1"/>
  <c r="K294" i="17" l="1"/>
  <c r="H295" i="17"/>
  <c r="E284" i="17"/>
  <c r="D284" i="17"/>
  <c r="C285" i="17" s="1"/>
  <c r="I295" i="17" l="1"/>
  <c r="F284" i="17"/>
  <c r="G284" i="17" s="1"/>
  <c r="J284" i="17" s="1"/>
  <c r="L284" i="17" s="1"/>
  <c r="H296" i="17" l="1"/>
  <c r="K295" i="17"/>
  <c r="E285" i="17"/>
  <c r="D285" i="17"/>
  <c r="C286" i="17" s="1"/>
  <c r="I296" i="17" l="1"/>
  <c r="F285" i="17"/>
  <c r="G285" i="17" s="1"/>
  <c r="J285" i="17" s="1"/>
  <c r="L285" i="17" s="1"/>
  <c r="H297" i="17" l="1"/>
  <c r="K296" i="17"/>
  <c r="E286" i="17"/>
  <c r="D286" i="17"/>
  <c r="C287" i="17" s="1"/>
  <c r="I297" i="17" l="1"/>
  <c r="F286" i="17"/>
  <c r="G286" i="17" s="1"/>
  <c r="J286" i="17" s="1"/>
  <c r="L286" i="17" s="1"/>
  <c r="K297" i="17" l="1"/>
  <c r="H298" i="17"/>
  <c r="E287" i="17"/>
  <c r="D287" i="17"/>
  <c r="C288" i="17" s="1"/>
  <c r="I298" i="17" l="1"/>
  <c r="F287" i="17"/>
  <c r="G287" i="17" s="1"/>
  <c r="J287" i="17" s="1"/>
  <c r="L287" i="17" s="1"/>
  <c r="K298" i="17" l="1"/>
  <c r="H299" i="17"/>
  <c r="E288" i="17"/>
  <c r="D288" i="17"/>
  <c r="C289" i="17" s="1"/>
  <c r="I299" i="17" l="1"/>
  <c r="F288" i="17"/>
  <c r="G288" i="17" s="1"/>
  <c r="J288" i="17" s="1"/>
  <c r="L288" i="17" s="1"/>
  <c r="H300" i="17" l="1"/>
  <c r="K299" i="17"/>
  <c r="E289" i="17"/>
  <c r="D289" i="17"/>
  <c r="C290" i="17" s="1"/>
  <c r="I300" i="17" l="1"/>
  <c r="F289" i="17"/>
  <c r="G289" i="17" s="1"/>
  <c r="J289" i="17" s="1"/>
  <c r="L289" i="17" s="1"/>
  <c r="H301" i="17" l="1"/>
  <c r="K300" i="17"/>
  <c r="E290" i="17"/>
  <c r="D290" i="17"/>
  <c r="C291" i="17" s="1"/>
  <c r="I301" i="17" l="1"/>
  <c r="F290" i="17"/>
  <c r="G290" i="17" s="1"/>
  <c r="J290" i="17" s="1"/>
  <c r="L290" i="17" s="1"/>
  <c r="K301" i="17" l="1"/>
  <c r="H302" i="17"/>
  <c r="E291" i="17"/>
  <c r="D291" i="17"/>
  <c r="C292" i="17" s="1"/>
  <c r="I302" i="17" l="1"/>
  <c r="F291" i="17"/>
  <c r="G291" i="17" s="1"/>
  <c r="J291" i="17" s="1"/>
  <c r="L291" i="17" s="1"/>
  <c r="K302" i="17" l="1"/>
  <c r="H303" i="17"/>
  <c r="E292" i="17"/>
  <c r="D292" i="17"/>
  <c r="C293" i="17" s="1"/>
  <c r="I303" i="17" l="1"/>
  <c r="F292" i="17"/>
  <c r="G292" i="17" s="1"/>
  <c r="J292" i="17" s="1"/>
  <c r="L292" i="17" s="1"/>
  <c r="H304" i="17" l="1"/>
  <c r="K303" i="17"/>
  <c r="E293" i="17"/>
  <c r="D293" i="17"/>
  <c r="C294" i="17" s="1"/>
  <c r="I304" i="17" l="1"/>
  <c r="F293" i="17"/>
  <c r="G293" i="17" s="1"/>
  <c r="J293" i="17" s="1"/>
  <c r="L293" i="17" s="1"/>
  <c r="H305" i="17" l="1"/>
  <c r="K304" i="17"/>
  <c r="E294" i="17"/>
  <c r="D294" i="17"/>
  <c r="C295" i="17" s="1"/>
  <c r="I305" i="17" l="1"/>
  <c r="F294" i="17"/>
  <c r="G294" i="17" s="1"/>
  <c r="J294" i="17" s="1"/>
  <c r="L294" i="17" s="1"/>
  <c r="K305" i="17" l="1"/>
  <c r="H306" i="17"/>
  <c r="E295" i="17"/>
  <c r="D295" i="17"/>
  <c r="C296" i="17" s="1"/>
  <c r="I306" i="17" l="1"/>
  <c r="F295" i="17"/>
  <c r="G295" i="17" s="1"/>
  <c r="J295" i="17" s="1"/>
  <c r="L295" i="17" s="1"/>
  <c r="K306" i="17" l="1"/>
  <c r="H307" i="17"/>
  <c r="E296" i="17"/>
  <c r="D296" i="17"/>
  <c r="C297" i="17" s="1"/>
  <c r="I307" i="17" l="1"/>
  <c r="F296" i="17"/>
  <c r="G296" i="17" s="1"/>
  <c r="J296" i="17" s="1"/>
  <c r="L296" i="17" s="1"/>
  <c r="H308" i="17" l="1"/>
  <c r="K307" i="17"/>
  <c r="E297" i="17"/>
  <c r="D297" i="17"/>
  <c r="C298" i="17" s="1"/>
  <c r="I308" i="17" l="1"/>
  <c r="F297" i="17"/>
  <c r="G297" i="17" s="1"/>
  <c r="J297" i="17" s="1"/>
  <c r="L297" i="17" s="1"/>
  <c r="H309" i="17" l="1"/>
  <c r="K308" i="17"/>
  <c r="E298" i="17"/>
  <c r="D298" i="17"/>
  <c r="C299" i="17" s="1"/>
  <c r="I309" i="17" l="1"/>
  <c r="F298" i="17"/>
  <c r="G298" i="17" s="1"/>
  <c r="J298" i="17" s="1"/>
  <c r="L298" i="17" s="1"/>
  <c r="K309" i="17" l="1"/>
  <c r="H310" i="17"/>
  <c r="E299" i="17"/>
  <c r="D299" i="17"/>
  <c r="C300" i="17" s="1"/>
  <c r="I310" i="17" l="1"/>
  <c r="F299" i="17"/>
  <c r="G299" i="17" s="1"/>
  <c r="J299" i="17" s="1"/>
  <c r="L299" i="17" s="1"/>
  <c r="K310" i="17" l="1"/>
  <c r="H311" i="17"/>
  <c r="E300" i="17"/>
  <c r="D300" i="17"/>
  <c r="C301" i="17" s="1"/>
  <c r="I311" i="17" l="1"/>
  <c r="F300" i="17"/>
  <c r="G300" i="17" s="1"/>
  <c r="J300" i="17" s="1"/>
  <c r="L300" i="17" s="1"/>
  <c r="H312" i="17" l="1"/>
  <c r="K311" i="17"/>
  <c r="E301" i="17"/>
  <c r="D301" i="17"/>
  <c r="C302" i="17" s="1"/>
  <c r="I312" i="17" l="1"/>
  <c r="F301" i="17"/>
  <c r="G301" i="17" s="1"/>
  <c r="J301" i="17" s="1"/>
  <c r="L301" i="17" s="1"/>
  <c r="H313" i="17" l="1"/>
  <c r="K312" i="17"/>
  <c r="E302" i="17"/>
  <c r="D302" i="17"/>
  <c r="C303" i="17" s="1"/>
  <c r="I313" i="17" l="1"/>
  <c r="F302" i="17"/>
  <c r="G302" i="17" s="1"/>
  <c r="J302" i="17" s="1"/>
  <c r="L302" i="17" s="1"/>
  <c r="K313" i="17" l="1"/>
  <c r="H314" i="17"/>
  <c r="E303" i="17"/>
  <c r="D303" i="17"/>
  <c r="C304" i="17" s="1"/>
  <c r="I314" i="17" l="1"/>
  <c r="F303" i="17"/>
  <c r="G303" i="17" s="1"/>
  <c r="J303" i="17" s="1"/>
  <c r="L303" i="17" s="1"/>
  <c r="K314" i="17" l="1"/>
  <c r="H315" i="17"/>
  <c r="E304" i="17"/>
  <c r="D304" i="17"/>
  <c r="C305" i="17" s="1"/>
  <c r="I315" i="17" l="1"/>
  <c r="F304" i="17"/>
  <c r="G304" i="17" s="1"/>
  <c r="J304" i="17" s="1"/>
  <c r="L304" i="17" s="1"/>
  <c r="H316" i="17" l="1"/>
  <c r="K315" i="17"/>
  <c r="E305" i="17"/>
  <c r="D305" i="17"/>
  <c r="C306" i="17" s="1"/>
  <c r="I316" i="17" l="1"/>
  <c r="F305" i="17"/>
  <c r="G305" i="17" s="1"/>
  <c r="J305" i="17" s="1"/>
  <c r="L305" i="17" s="1"/>
  <c r="H317" i="17" l="1"/>
  <c r="K316" i="17"/>
  <c r="E306" i="17"/>
  <c r="D306" i="17"/>
  <c r="C307" i="17" s="1"/>
  <c r="I317" i="17" l="1"/>
  <c r="F306" i="17"/>
  <c r="G306" i="17" s="1"/>
  <c r="J306" i="17" s="1"/>
  <c r="L306" i="17" s="1"/>
  <c r="K317" i="17" l="1"/>
  <c r="H318" i="17"/>
  <c r="E307" i="17"/>
  <c r="D307" i="17"/>
  <c r="C308" i="17" s="1"/>
  <c r="I318" i="17" l="1"/>
  <c r="F307" i="17"/>
  <c r="G307" i="17" s="1"/>
  <c r="J307" i="17" s="1"/>
  <c r="L307" i="17" s="1"/>
  <c r="K318" i="17" l="1"/>
  <c r="H319" i="17"/>
  <c r="E308" i="17"/>
  <c r="D308" i="17"/>
  <c r="C309" i="17" s="1"/>
  <c r="I319" i="17" l="1"/>
  <c r="F308" i="17"/>
  <c r="G308" i="17" s="1"/>
  <c r="J308" i="17" s="1"/>
  <c r="L308" i="17" s="1"/>
  <c r="H320" i="17" l="1"/>
  <c r="K319" i="17"/>
  <c r="E309" i="17"/>
  <c r="D309" i="17"/>
  <c r="C310" i="17" s="1"/>
  <c r="I320" i="17" l="1"/>
  <c r="F309" i="17"/>
  <c r="G309" i="17" s="1"/>
  <c r="J309" i="17" s="1"/>
  <c r="L309" i="17" s="1"/>
  <c r="H321" i="17" l="1"/>
  <c r="K320" i="17"/>
  <c r="E310" i="17"/>
  <c r="D310" i="17"/>
  <c r="C311" i="17" s="1"/>
  <c r="I321" i="17" l="1"/>
  <c r="F310" i="17"/>
  <c r="G310" i="17" s="1"/>
  <c r="J310" i="17" s="1"/>
  <c r="L310" i="17" s="1"/>
  <c r="H322" i="17" l="1"/>
  <c r="K321" i="17"/>
  <c r="E311" i="17"/>
  <c r="D311" i="17"/>
  <c r="C312" i="17" s="1"/>
  <c r="I322" i="17" l="1"/>
  <c r="F311" i="17"/>
  <c r="G311" i="17" s="1"/>
  <c r="J311" i="17" s="1"/>
  <c r="L311" i="17" s="1"/>
  <c r="K322" i="17" l="1"/>
  <c r="H323" i="17"/>
  <c r="E312" i="17"/>
  <c r="D312" i="17"/>
  <c r="C313" i="17" s="1"/>
  <c r="I323" i="17" l="1"/>
  <c r="F312" i="17"/>
  <c r="G312" i="17" s="1"/>
  <c r="J312" i="17" s="1"/>
  <c r="L312" i="17" s="1"/>
  <c r="K323" i="17" l="1"/>
  <c r="H324" i="17"/>
  <c r="E313" i="17"/>
  <c r="D313" i="17"/>
  <c r="C314" i="17" s="1"/>
  <c r="I324" i="17" l="1"/>
  <c r="F313" i="17"/>
  <c r="G313" i="17" s="1"/>
  <c r="J313" i="17" s="1"/>
  <c r="L313" i="17" s="1"/>
  <c r="H325" i="17" l="1"/>
  <c r="K324" i="17"/>
  <c r="E314" i="17"/>
  <c r="D314" i="17"/>
  <c r="C315" i="17" s="1"/>
  <c r="I325" i="17" l="1"/>
  <c r="F314" i="17"/>
  <c r="G314" i="17" s="1"/>
  <c r="J314" i="17" s="1"/>
  <c r="L314" i="17" s="1"/>
  <c r="H326" i="17" l="1"/>
  <c r="K325" i="17"/>
  <c r="E315" i="17"/>
  <c r="D315" i="17"/>
  <c r="C316" i="17" s="1"/>
  <c r="I326" i="17" l="1"/>
  <c r="F315" i="17"/>
  <c r="G315" i="17" s="1"/>
  <c r="J315" i="17" s="1"/>
  <c r="L315" i="17" s="1"/>
  <c r="H327" i="17" l="1"/>
  <c r="K326" i="17"/>
  <c r="E316" i="17"/>
  <c r="D316" i="17"/>
  <c r="C317" i="17" s="1"/>
  <c r="I327" i="17" l="1"/>
  <c r="F316" i="17"/>
  <c r="G316" i="17" s="1"/>
  <c r="J316" i="17" s="1"/>
  <c r="L316" i="17" s="1"/>
  <c r="K327" i="17" l="1"/>
  <c r="H328" i="17"/>
  <c r="E317" i="17"/>
  <c r="D317" i="17"/>
  <c r="C318" i="17" s="1"/>
  <c r="I328" i="17" l="1"/>
  <c r="F317" i="17"/>
  <c r="G317" i="17" s="1"/>
  <c r="J317" i="17" s="1"/>
  <c r="L317" i="17" s="1"/>
  <c r="K328" i="17" l="1"/>
  <c r="H329" i="17"/>
  <c r="E318" i="17"/>
  <c r="D318" i="17"/>
  <c r="C319" i="17" s="1"/>
  <c r="I329" i="17" l="1"/>
  <c r="F318" i="17"/>
  <c r="G318" i="17" s="1"/>
  <c r="J318" i="17" s="1"/>
  <c r="L318" i="17" s="1"/>
  <c r="H330" i="17" l="1"/>
  <c r="K329" i="17"/>
  <c r="E319" i="17"/>
  <c r="D319" i="17"/>
  <c r="C320" i="17" s="1"/>
  <c r="I330" i="17" l="1"/>
  <c r="F319" i="17"/>
  <c r="G319" i="17" s="1"/>
  <c r="J319" i="17" s="1"/>
  <c r="L319" i="17" s="1"/>
  <c r="H331" i="17" l="1"/>
  <c r="K330" i="17"/>
  <c r="E320" i="17"/>
  <c r="D320" i="17"/>
  <c r="C321" i="17" s="1"/>
  <c r="I331" i="17" l="1"/>
  <c r="F320" i="17"/>
  <c r="G320" i="17" s="1"/>
  <c r="J320" i="17" s="1"/>
  <c r="L320" i="17" s="1"/>
  <c r="K331" i="17" l="1"/>
  <c r="H332" i="17"/>
  <c r="E321" i="17"/>
  <c r="D321" i="17"/>
  <c r="C322" i="17" s="1"/>
  <c r="I332" i="17" l="1"/>
  <c r="F321" i="17"/>
  <c r="G321" i="17" s="1"/>
  <c r="J321" i="17" s="1"/>
  <c r="L321" i="17" s="1"/>
  <c r="K332" i="17" l="1"/>
  <c r="H333" i="17"/>
  <c r="E322" i="17"/>
  <c r="D322" i="17"/>
  <c r="C323" i="17" s="1"/>
  <c r="I333" i="17" l="1"/>
  <c r="F322" i="17"/>
  <c r="G322" i="17" s="1"/>
  <c r="J322" i="17" s="1"/>
  <c r="L322" i="17" s="1"/>
  <c r="H334" i="17" l="1"/>
  <c r="K333" i="17"/>
  <c r="E323" i="17"/>
  <c r="D323" i="17"/>
  <c r="C324" i="17" s="1"/>
  <c r="I334" i="17" l="1"/>
  <c r="F323" i="17"/>
  <c r="G323" i="17" s="1"/>
  <c r="J323" i="17" s="1"/>
  <c r="L323" i="17" s="1"/>
  <c r="H335" i="17" l="1"/>
  <c r="K334" i="17"/>
  <c r="E324" i="17"/>
  <c r="D324" i="17"/>
  <c r="C325" i="17" s="1"/>
  <c r="I335" i="17" l="1"/>
  <c r="F324" i="17"/>
  <c r="G324" i="17" s="1"/>
  <c r="J324" i="17" s="1"/>
  <c r="L324" i="17" s="1"/>
  <c r="K335" i="17" l="1"/>
  <c r="H336" i="17"/>
  <c r="E325" i="17"/>
  <c r="D325" i="17"/>
  <c r="C326" i="17" s="1"/>
  <c r="I336" i="17" l="1"/>
  <c r="F325" i="17"/>
  <c r="G325" i="17" s="1"/>
  <c r="J325" i="17" s="1"/>
  <c r="L325" i="17" s="1"/>
  <c r="K336" i="17" l="1"/>
  <c r="H337" i="17"/>
  <c r="E326" i="17"/>
  <c r="D326" i="17"/>
  <c r="C327" i="17" s="1"/>
  <c r="I337" i="17" l="1"/>
  <c r="F326" i="17"/>
  <c r="G326" i="17" s="1"/>
  <c r="J326" i="17" s="1"/>
  <c r="L326" i="17" s="1"/>
  <c r="H338" i="17" l="1"/>
  <c r="K337" i="17"/>
  <c r="E327" i="17"/>
  <c r="D327" i="17"/>
  <c r="C328" i="17" s="1"/>
  <c r="I338" i="17" l="1"/>
  <c r="F327" i="17"/>
  <c r="G327" i="17" s="1"/>
  <c r="J327" i="17" s="1"/>
  <c r="L327" i="17" s="1"/>
  <c r="H339" i="17" l="1"/>
  <c r="K338" i="17"/>
  <c r="E328" i="17"/>
  <c r="D328" i="17"/>
  <c r="C329" i="17" s="1"/>
  <c r="I339" i="17" l="1"/>
  <c r="F328" i="17"/>
  <c r="G328" i="17" s="1"/>
  <c r="J328" i="17" s="1"/>
  <c r="L328" i="17" s="1"/>
  <c r="K339" i="17" l="1"/>
  <c r="H340" i="17"/>
  <c r="E329" i="17"/>
  <c r="D329" i="17"/>
  <c r="C330" i="17" s="1"/>
  <c r="I340" i="17" l="1"/>
  <c r="F329" i="17"/>
  <c r="G329" i="17" s="1"/>
  <c r="J329" i="17" s="1"/>
  <c r="L329" i="17" s="1"/>
  <c r="K340" i="17" l="1"/>
  <c r="H341" i="17"/>
  <c r="E330" i="17"/>
  <c r="D330" i="17"/>
  <c r="C331" i="17" s="1"/>
  <c r="I341" i="17" l="1"/>
  <c r="F330" i="17"/>
  <c r="G330" i="17" s="1"/>
  <c r="J330" i="17" s="1"/>
  <c r="L330" i="17" s="1"/>
  <c r="H342" i="17" l="1"/>
  <c r="K341" i="17"/>
  <c r="E331" i="17"/>
  <c r="D331" i="17"/>
  <c r="C332" i="17" s="1"/>
  <c r="I342" i="17" l="1"/>
  <c r="F331" i="17"/>
  <c r="G331" i="17" s="1"/>
  <c r="J331" i="17" s="1"/>
  <c r="L331" i="17" s="1"/>
  <c r="H343" i="17" l="1"/>
  <c r="K342" i="17"/>
  <c r="E332" i="17"/>
  <c r="D332" i="17"/>
  <c r="C333" i="17" s="1"/>
  <c r="I343" i="17" l="1"/>
  <c r="F332" i="17"/>
  <c r="G332" i="17" s="1"/>
  <c r="J332" i="17" s="1"/>
  <c r="L332" i="17" s="1"/>
  <c r="K343" i="17" l="1"/>
  <c r="H344" i="17"/>
  <c r="E333" i="17"/>
  <c r="D333" i="17"/>
  <c r="C334" i="17" s="1"/>
  <c r="I344" i="17" l="1"/>
  <c r="F333" i="17"/>
  <c r="G333" i="17" s="1"/>
  <c r="J333" i="17" s="1"/>
  <c r="L333" i="17" s="1"/>
  <c r="K344" i="17" l="1"/>
  <c r="H345" i="17"/>
  <c r="E334" i="17"/>
  <c r="D334" i="17"/>
  <c r="C335" i="17" s="1"/>
  <c r="I345" i="17" l="1"/>
  <c r="F334" i="17"/>
  <c r="G334" i="17" s="1"/>
  <c r="J334" i="17" s="1"/>
  <c r="L334" i="17" s="1"/>
  <c r="H346" i="17" l="1"/>
  <c r="K345" i="17"/>
  <c r="E335" i="17"/>
  <c r="D335" i="17"/>
  <c r="C336" i="17" s="1"/>
  <c r="I346" i="17" l="1"/>
  <c r="F335" i="17"/>
  <c r="G335" i="17" s="1"/>
  <c r="J335" i="17" s="1"/>
  <c r="L335" i="17" s="1"/>
  <c r="H347" i="17" l="1"/>
  <c r="K346" i="17"/>
  <c r="E336" i="17"/>
  <c r="D336" i="17"/>
  <c r="C337" i="17" s="1"/>
  <c r="I347" i="17" l="1"/>
  <c r="F336" i="17"/>
  <c r="G336" i="17" s="1"/>
  <c r="J336" i="17" s="1"/>
  <c r="L336" i="17" s="1"/>
  <c r="K347" i="17" l="1"/>
  <c r="H348" i="17"/>
  <c r="E337" i="17"/>
  <c r="D337" i="17"/>
  <c r="C338" i="17" s="1"/>
  <c r="I348" i="17" l="1"/>
  <c r="F337" i="17"/>
  <c r="G337" i="17" s="1"/>
  <c r="J337" i="17" s="1"/>
  <c r="L337" i="17" s="1"/>
  <c r="K348" i="17" l="1"/>
  <c r="H349" i="17"/>
  <c r="D338" i="17"/>
  <c r="C339" i="17" s="1"/>
  <c r="E338" i="17"/>
  <c r="I349" i="17" l="1"/>
  <c r="F338" i="17"/>
  <c r="G338" i="17" s="1"/>
  <c r="J338" i="17" s="1"/>
  <c r="L338" i="17" s="1"/>
  <c r="H350" i="17" l="1"/>
  <c r="K349" i="17"/>
  <c r="E339" i="17"/>
  <c r="D339" i="17"/>
  <c r="C340" i="17" s="1"/>
  <c r="I350" i="17" l="1"/>
  <c r="F339" i="17"/>
  <c r="G339" i="17" s="1"/>
  <c r="J339" i="17" s="1"/>
  <c r="L339" i="17" s="1"/>
  <c r="H351" i="17" l="1"/>
  <c r="K350" i="17"/>
  <c r="E340" i="17"/>
  <c r="D340" i="17"/>
  <c r="C341" i="17" s="1"/>
  <c r="I351" i="17" l="1"/>
  <c r="F340" i="17"/>
  <c r="G340" i="17" s="1"/>
  <c r="J340" i="17" s="1"/>
  <c r="L340" i="17" s="1"/>
  <c r="K351" i="17" l="1"/>
  <c r="H352" i="17"/>
  <c r="E341" i="17"/>
  <c r="D341" i="17"/>
  <c r="C342" i="17" s="1"/>
  <c r="I352" i="17" l="1"/>
  <c r="F341" i="17"/>
  <c r="G341" i="17" s="1"/>
  <c r="J341" i="17" s="1"/>
  <c r="L341" i="17" s="1"/>
  <c r="K352" i="17" l="1"/>
  <c r="H353" i="17"/>
  <c r="E342" i="17"/>
  <c r="D342" i="17"/>
  <c r="C343" i="17" s="1"/>
  <c r="I353" i="17" l="1"/>
  <c r="F342" i="17"/>
  <c r="G342" i="17" s="1"/>
  <c r="J342" i="17" s="1"/>
  <c r="L342" i="17" s="1"/>
  <c r="H354" i="17" l="1"/>
  <c r="K353" i="17"/>
  <c r="E343" i="17"/>
  <c r="D343" i="17"/>
  <c r="C344" i="17" s="1"/>
  <c r="I354" i="17" l="1"/>
  <c r="F343" i="17"/>
  <c r="G343" i="17" s="1"/>
  <c r="J343" i="17" s="1"/>
  <c r="L343" i="17" s="1"/>
  <c r="H355" i="17" l="1"/>
  <c r="K354" i="17"/>
  <c r="E344" i="17"/>
  <c r="D344" i="17"/>
  <c r="C345" i="17" s="1"/>
  <c r="I355" i="17" l="1"/>
  <c r="F344" i="17"/>
  <c r="G344" i="17" s="1"/>
  <c r="J344" i="17" s="1"/>
  <c r="L344" i="17" s="1"/>
  <c r="K355" i="17" l="1"/>
  <c r="H356" i="17"/>
  <c r="E345" i="17"/>
  <c r="D345" i="17"/>
  <c r="C346" i="17" s="1"/>
  <c r="I356" i="17" l="1"/>
  <c r="F345" i="17"/>
  <c r="G345" i="17" s="1"/>
  <c r="J345" i="17" s="1"/>
  <c r="L345" i="17" s="1"/>
  <c r="K356" i="17" l="1"/>
  <c r="H357" i="17"/>
  <c r="E346" i="17"/>
  <c r="D346" i="17"/>
  <c r="C347" i="17" s="1"/>
  <c r="I357" i="17" l="1"/>
  <c r="F346" i="17"/>
  <c r="G346" i="17" s="1"/>
  <c r="J346" i="17" s="1"/>
  <c r="L346" i="17" s="1"/>
  <c r="H358" i="17" l="1"/>
  <c r="K357" i="17"/>
  <c r="E347" i="17"/>
  <c r="D347" i="17"/>
  <c r="C348" i="17" s="1"/>
  <c r="I358" i="17" l="1"/>
  <c r="F347" i="17"/>
  <c r="G347" i="17" s="1"/>
  <c r="J347" i="17" s="1"/>
  <c r="L347" i="17" s="1"/>
  <c r="H359" i="17" l="1"/>
  <c r="K358" i="17"/>
  <c r="E348" i="17"/>
  <c r="D348" i="17"/>
  <c r="C349" i="17" s="1"/>
  <c r="I359" i="17" l="1"/>
  <c r="F348" i="17"/>
  <c r="G348" i="17" s="1"/>
  <c r="J348" i="17" s="1"/>
  <c r="L348" i="17" s="1"/>
  <c r="K359" i="17" l="1"/>
  <c r="H360" i="17"/>
  <c r="E349" i="17"/>
  <c r="D349" i="17"/>
  <c r="C350" i="17" s="1"/>
  <c r="I360" i="17" l="1"/>
  <c r="F349" i="17"/>
  <c r="G349" i="17" s="1"/>
  <c r="J349" i="17" s="1"/>
  <c r="L349" i="17" s="1"/>
  <c r="K360" i="17" l="1"/>
  <c r="H361" i="17"/>
  <c r="D350" i="17"/>
  <c r="C351" i="17" s="1"/>
  <c r="E350" i="17"/>
  <c r="I361" i="17" l="1"/>
  <c r="F350" i="17"/>
  <c r="G350" i="17" s="1"/>
  <c r="J350" i="17" s="1"/>
  <c r="L350" i="17" s="1"/>
  <c r="H362" i="17" l="1"/>
  <c r="K361" i="17"/>
  <c r="D351" i="17"/>
  <c r="C352" i="17" s="1"/>
  <c r="E351" i="17"/>
  <c r="I362" i="17" l="1"/>
  <c r="F351" i="17"/>
  <c r="G351" i="17" s="1"/>
  <c r="J351" i="17" s="1"/>
  <c r="L351" i="17" s="1"/>
  <c r="H363" i="17" l="1"/>
  <c r="K362" i="17"/>
  <c r="E352" i="17"/>
  <c r="D352" i="17"/>
  <c r="C353" i="17" s="1"/>
  <c r="I363" i="17" l="1"/>
  <c r="F352" i="17"/>
  <c r="G352" i="17" s="1"/>
  <c r="J352" i="17" s="1"/>
  <c r="L352" i="17" s="1"/>
  <c r="K363" i="17" l="1"/>
  <c r="H364" i="17"/>
  <c r="E353" i="17"/>
  <c r="D353" i="17"/>
  <c r="C354" i="17" s="1"/>
  <c r="I364" i="17" l="1"/>
  <c r="F353" i="17"/>
  <c r="G353" i="17" s="1"/>
  <c r="J353" i="17" s="1"/>
  <c r="L353" i="17" s="1"/>
  <c r="K364" i="17" l="1"/>
  <c r="H365" i="17"/>
  <c r="E354" i="17"/>
  <c r="D354" i="17"/>
  <c r="C355" i="17" s="1"/>
  <c r="I365" i="17" l="1"/>
  <c r="F354" i="17"/>
  <c r="G354" i="17" s="1"/>
  <c r="J354" i="17" s="1"/>
  <c r="L354" i="17" s="1"/>
  <c r="H366" i="17" l="1"/>
  <c r="K365" i="17"/>
  <c r="E355" i="17"/>
  <c r="D355" i="17"/>
  <c r="C356" i="17" s="1"/>
  <c r="I366" i="17" l="1"/>
  <c r="F355" i="17"/>
  <c r="G355" i="17" s="1"/>
  <c r="J355" i="17" s="1"/>
  <c r="L355" i="17" s="1"/>
  <c r="H367" i="17" l="1"/>
  <c r="K366" i="17"/>
  <c r="E356" i="17"/>
  <c r="D356" i="17"/>
  <c r="C357" i="17" s="1"/>
  <c r="I367" i="17" l="1"/>
  <c r="F356" i="17"/>
  <c r="G356" i="17" s="1"/>
  <c r="J356" i="17" s="1"/>
  <c r="L356" i="17" s="1"/>
  <c r="K367" i="17" l="1"/>
  <c r="H368" i="17"/>
  <c r="E357" i="17"/>
  <c r="D357" i="17"/>
  <c r="C358" i="17" s="1"/>
  <c r="I368" i="17" l="1"/>
  <c r="F357" i="17"/>
  <c r="G357" i="17" s="1"/>
  <c r="J357" i="17" s="1"/>
  <c r="L357" i="17" s="1"/>
  <c r="K368" i="17" l="1"/>
  <c r="H369" i="17"/>
  <c r="E358" i="17"/>
  <c r="D358" i="17"/>
  <c r="C359" i="17" s="1"/>
  <c r="I369" i="17" l="1"/>
  <c r="F358" i="17"/>
  <c r="G358" i="17" s="1"/>
  <c r="J358" i="17" s="1"/>
  <c r="L358" i="17" s="1"/>
  <c r="H370" i="17" l="1"/>
  <c r="K369" i="17"/>
  <c r="D359" i="17"/>
  <c r="C360" i="17" s="1"/>
  <c r="E359" i="17"/>
  <c r="I370" i="17" l="1"/>
  <c r="F359" i="17"/>
  <c r="G359" i="17" s="1"/>
  <c r="J359" i="17" s="1"/>
  <c r="L359" i="17" s="1"/>
  <c r="H371" i="17" l="1"/>
  <c r="K370" i="17"/>
  <c r="E360" i="17"/>
  <c r="D360" i="17"/>
  <c r="C361" i="17" s="1"/>
  <c r="I371" i="17" l="1"/>
  <c r="F360" i="17"/>
  <c r="G360" i="17" s="1"/>
  <c r="J360" i="17" s="1"/>
  <c r="L360" i="17" s="1"/>
  <c r="K371" i="17" l="1"/>
  <c r="H372" i="17"/>
  <c r="E361" i="17"/>
  <c r="D361" i="17"/>
  <c r="C362" i="17" s="1"/>
  <c r="I372" i="17" l="1"/>
  <c r="F361" i="17"/>
  <c r="G361" i="17" s="1"/>
  <c r="J361" i="17" s="1"/>
  <c r="L361" i="17" s="1"/>
  <c r="K372" i="17" l="1"/>
  <c r="H373" i="17"/>
  <c r="E362" i="17"/>
  <c r="D362" i="17"/>
  <c r="C363" i="17" s="1"/>
  <c r="I373" i="17" l="1"/>
  <c r="F362" i="17"/>
  <c r="G362" i="17" s="1"/>
  <c r="J362" i="17" s="1"/>
  <c r="L362" i="17" s="1"/>
  <c r="H374" i="17" l="1"/>
  <c r="K373" i="17"/>
  <c r="D363" i="17"/>
  <c r="C364" i="17" s="1"/>
  <c r="E363" i="17"/>
  <c r="I374" i="17" l="1"/>
  <c r="F363" i="17"/>
  <c r="G363" i="17" s="1"/>
  <c r="J363" i="17" s="1"/>
  <c r="L363" i="17" s="1"/>
  <c r="H375" i="17" l="1"/>
  <c r="K374" i="17"/>
  <c r="E364" i="17"/>
  <c r="D364" i="17"/>
  <c r="C365" i="17" s="1"/>
  <c r="I375" i="17" l="1"/>
  <c r="F364" i="17"/>
  <c r="G364" i="17" s="1"/>
  <c r="J364" i="17" s="1"/>
  <c r="L364" i="17" s="1"/>
  <c r="K375" i="17" l="1"/>
  <c r="H376" i="17"/>
  <c r="E365" i="17"/>
  <c r="D365" i="17"/>
  <c r="C366" i="17" s="1"/>
  <c r="I376" i="17" l="1"/>
  <c r="F365" i="17"/>
  <c r="G365" i="17" s="1"/>
  <c r="J365" i="17" s="1"/>
  <c r="L365" i="17" s="1"/>
  <c r="K376" i="17" l="1"/>
  <c r="H377" i="17"/>
  <c r="E366" i="17"/>
  <c r="D366" i="17"/>
  <c r="C367" i="17" s="1"/>
  <c r="I377" i="17" l="1"/>
  <c r="F366" i="17"/>
  <c r="G366" i="17" s="1"/>
  <c r="J366" i="17" s="1"/>
  <c r="L366" i="17" s="1"/>
  <c r="K377" i="17" l="1"/>
  <c r="H378" i="17"/>
  <c r="E367" i="17"/>
  <c r="D367" i="17"/>
  <c r="C368" i="17" s="1"/>
  <c r="I378" i="17" l="1"/>
  <c r="F367" i="17"/>
  <c r="G367" i="17" s="1"/>
  <c r="J367" i="17" s="1"/>
  <c r="L367" i="17" s="1"/>
  <c r="H379" i="17" l="1"/>
  <c r="K378" i="17"/>
  <c r="E368" i="17"/>
  <c r="D368" i="17"/>
  <c r="C369" i="17" s="1"/>
  <c r="I379" i="17" l="1"/>
  <c r="F368" i="17"/>
  <c r="G368" i="17" s="1"/>
  <c r="J368" i="17" s="1"/>
  <c r="L368" i="17" s="1"/>
  <c r="H380" i="17" l="1"/>
  <c r="K379" i="17"/>
  <c r="E369" i="17"/>
  <c r="D369" i="17"/>
  <c r="C370" i="17" s="1"/>
  <c r="I380" i="17" l="1"/>
  <c r="F369" i="17"/>
  <c r="G369" i="17" s="1"/>
  <c r="J369" i="17" s="1"/>
  <c r="L369" i="17" s="1"/>
  <c r="K380" i="17" l="1"/>
  <c r="H381" i="17"/>
  <c r="E370" i="17"/>
  <c r="D370" i="17"/>
  <c r="C371" i="17" s="1"/>
  <c r="I381" i="17" l="1"/>
  <c r="F370" i="17"/>
  <c r="G370" i="17" s="1"/>
  <c r="J370" i="17" s="1"/>
  <c r="L370" i="17" s="1"/>
  <c r="K381" i="17" l="1"/>
  <c r="H382" i="17"/>
  <c r="E371" i="17"/>
  <c r="D371" i="17"/>
  <c r="C372" i="17" s="1"/>
  <c r="I382" i="17" l="1"/>
  <c r="F371" i="17"/>
  <c r="G371" i="17" s="1"/>
  <c r="J371" i="17" s="1"/>
  <c r="L371" i="17" s="1"/>
  <c r="H383" i="17" l="1"/>
  <c r="K382" i="17"/>
  <c r="E372" i="17"/>
  <c r="D372" i="17"/>
  <c r="C373" i="17" s="1"/>
  <c r="I383" i="17" l="1"/>
  <c r="F372" i="17"/>
  <c r="G372" i="17" s="1"/>
  <c r="J372" i="17" s="1"/>
  <c r="L372" i="17" s="1"/>
  <c r="H384" i="17" l="1"/>
  <c r="K383" i="17"/>
  <c r="E373" i="17"/>
  <c r="D373" i="17"/>
  <c r="C374" i="17" s="1"/>
  <c r="I384" i="17" l="1"/>
  <c r="F373" i="17"/>
  <c r="G373" i="17" s="1"/>
  <c r="J373" i="17" s="1"/>
  <c r="L373" i="17" s="1"/>
  <c r="K384" i="17" l="1"/>
  <c r="H385" i="17"/>
  <c r="E374" i="17"/>
  <c r="D374" i="17"/>
  <c r="C375" i="17" s="1"/>
  <c r="I385" i="17" l="1"/>
  <c r="F374" i="17"/>
  <c r="G374" i="17" s="1"/>
  <c r="J374" i="17" s="1"/>
  <c r="L374" i="17" s="1"/>
  <c r="K385" i="17" l="1"/>
  <c r="H386" i="17"/>
  <c r="E375" i="17"/>
  <c r="D375" i="17"/>
  <c r="C376" i="17" s="1"/>
  <c r="I386" i="17" l="1"/>
  <c r="F375" i="17"/>
  <c r="G375" i="17" s="1"/>
  <c r="J375" i="17" s="1"/>
  <c r="L375" i="17" s="1"/>
  <c r="H387" i="17" l="1"/>
  <c r="K386" i="17"/>
  <c r="E376" i="17"/>
  <c r="D376" i="17"/>
  <c r="C377" i="17" s="1"/>
  <c r="I387" i="17" l="1"/>
  <c r="F376" i="17"/>
  <c r="G376" i="17" s="1"/>
  <c r="J376" i="17" s="1"/>
  <c r="L376" i="17" s="1"/>
  <c r="H388" i="17" l="1"/>
  <c r="K387" i="17"/>
  <c r="E377" i="17"/>
  <c r="D377" i="17"/>
  <c r="C378" i="17" s="1"/>
  <c r="I388" i="17" l="1"/>
  <c r="F377" i="17"/>
  <c r="G377" i="17" s="1"/>
  <c r="J377" i="17" s="1"/>
  <c r="L377" i="17" s="1"/>
  <c r="K388" i="17" l="1"/>
  <c r="H389" i="17"/>
  <c r="E378" i="17"/>
  <c r="D378" i="17"/>
  <c r="C379" i="17" s="1"/>
  <c r="I389" i="17" l="1"/>
  <c r="F378" i="17"/>
  <c r="G378" i="17" s="1"/>
  <c r="J378" i="17" s="1"/>
  <c r="L378" i="17" s="1"/>
  <c r="K389" i="17" l="1"/>
  <c r="H390" i="17"/>
  <c r="E379" i="17"/>
  <c r="D379" i="17"/>
  <c r="C380" i="17" s="1"/>
  <c r="I390" i="17" l="1"/>
  <c r="F379" i="17"/>
  <c r="G379" i="17" s="1"/>
  <c r="J379" i="17" s="1"/>
  <c r="L379" i="17" s="1"/>
  <c r="H391" i="17" l="1"/>
  <c r="K390" i="17"/>
  <c r="E380" i="17"/>
  <c r="D380" i="17"/>
  <c r="C381" i="17" s="1"/>
  <c r="I391" i="17" l="1"/>
  <c r="F380" i="17"/>
  <c r="G380" i="17" s="1"/>
  <c r="J380" i="17" s="1"/>
  <c r="L380" i="17" s="1"/>
  <c r="H392" i="17" l="1"/>
  <c r="K391" i="17"/>
  <c r="E381" i="17"/>
  <c r="D381" i="17"/>
  <c r="C382" i="17" s="1"/>
  <c r="I392" i="17" l="1"/>
  <c r="F381" i="17"/>
  <c r="G381" i="17" s="1"/>
  <c r="J381" i="17" s="1"/>
  <c r="L381" i="17" s="1"/>
  <c r="K392" i="17" l="1"/>
  <c r="H393" i="17"/>
  <c r="D382" i="17"/>
  <c r="C383" i="17" s="1"/>
  <c r="E382" i="17"/>
  <c r="I393" i="17" l="1"/>
  <c r="F382" i="17"/>
  <c r="G382" i="17" s="1"/>
  <c r="J382" i="17" s="1"/>
  <c r="L382" i="17" s="1"/>
  <c r="K393" i="17" l="1"/>
  <c r="H394" i="17"/>
  <c r="E383" i="17"/>
  <c r="D383" i="17"/>
  <c r="C384" i="17" s="1"/>
  <c r="I394" i="17" l="1"/>
  <c r="F383" i="17"/>
  <c r="G383" i="17" s="1"/>
  <c r="J383" i="17" s="1"/>
  <c r="L383" i="17" s="1"/>
  <c r="H395" i="17" l="1"/>
  <c r="K394" i="17"/>
  <c r="E384" i="17"/>
  <c r="D384" i="17"/>
  <c r="C385" i="17" s="1"/>
  <c r="I395" i="17" l="1"/>
  <c r="F384" i="17"/>
  <c r="G384" i="17" s="1"/>
  <c r="J384" i="17" s="1"/>
  <c r="L384" i="17" s="1"/>
  <c r="H396" i="17" l="1"/>
  <c r="K395" i="17"/>
  <c r="E385" i="17"/>
  <c r="D385" i="17"/>
  <c r="C386" i="17" s="1"/>
  <c r="I396" i="17" l="1"/>
  <c r="F385" i="17"/>
  <c r="G385" i="17" s="1"/>
  <c r="J385" i="17" s="1"/>
  <c r="L385" i="17" s="1"/>
  <c r="K396" i="17" l="1"/>
  <c r="H397" i="17"/>
  <c r="E386" i="17"/>
  <c r="D386" i="17"/>
  <c r="C387" i="17" s="1"/>
  <c r="I397" i="17" l="1"/>
  <c r="F386" i="17"/>
  <c r="G386" i="17" s="1"/>
  <c r="J386" i="17" s="1"/>
  <c r="L386" i="17" s="1"/>
  <c r="K397" i="17" l="1"/>
  <c r="H398" i="17"/>
  <c r="E387" i="17"/>
  <c r="D387" i="17"/>
  <c r="C388" i="17" s="1"/>
  <c r="I398" i="17" l="1"/>
  <c r="F387" i="17"/>
  <c r="G387" i="17" s="1"/>
  <c r="J387" i="17" s="1"/>
  <c r="L387" i="17" s="1"/>
  <c r="H399" i="17" l="1"/>
  <c r="K398" i="17"/>
  <c r="E388" i="17"/>
  <c r="D388" i="17"/>
  <c r="C389" i="17" s="1"/>
  <c r="I399" i="17" l="1"/>
  <c r="F388" i="17"/>
  <c r="G388" i="17" s="1"/>
  <c r="J388" i="17" s="1"/>
  <c r="L388" i="17" s="1"/>
  <c r="H400" i="17" l="1"/>
  <c r="K399" i="17"/>
  <c r="E389" i="17"/>
  <c r="D389" i="17"/>
  <c r="C390" i="17" s="1"/>
  <c r="I400" i="17" l="1"/>
  <c r="F389" i="17"/>
  <c r="G389" i="17" s="1"/>
  <c r="J389" i="17" s="1"/>
  <c r="L389" i="17" s="1"/>
  <c r="K400" i="17" l="1"/>
  <c r="H401" i="17"/>
  <c r="E390" i="17"/>
  <c r="D390" i="17"/>
  <c r="C391" i="17" s="1"/>
  <c r="I401" i="17" l="1"/>
  <c r="F390" i="17"/>
  <c r="G390" i="17" s="1"/>
  <c r="J390" i="17" s="1"/>
  <c r="L390" i="17" s="1"/>
  <c r="K401" i="17" l="1"/>
  <c r="H402" i="17"/>
  <c r="E391" i="17"/>
  <c r="D391" i="17"/>
  <c r="C392" i="17" s="1"/>
  <c r="I402" i="17" l="1"/>
  <c r="F391" i="17"/>
  <c r="G391" i="17" s="1"/>
  <c r="J391" i="17" s="1"/>
  <c r="L391" i="17" s="1"/>
  <c r="H403" i="17" l="1"/>
  <c r="K402" i="17"/>
  <c r="E392" i="17"/>
  <c r="D392" i="17"/>
  <c r="C393" i="17" s="1"/>
  <c r="I403" i="17" l="1"/>
  <c r="F392" i="17"/>
  <c r="G392" i="17" s="1"/>
  <c r="J392" i="17" s="1"/>
  <c r="L392" i="17" s="1"/>
  <c r="H404" i="17" l="1"/>
  <c r="K403" i="17"/>
  <c r="E393" i="17"/>
  <c r="D393" i="17"/>
  <c r="C394" i="17" s="1"/>
  <c r="I404" i="17" l="1"/>
  <c r="F393" i="17"/>
  <c r="G393" i="17" s="1"/>
  <c r="J393" i="17" s="1"/>
  <c r="L393" i="17" s="1"/>
  <c r="K404" i="17" l="1"/>
  <c r="H405" i="17"/>
  <c r="E394" i="17"/>
  <c r="D394" i="17"/>
  <c r="C395" i="17" s="1"/>
  <c r="I405" i="17" l="1"/>
  <c r="F394" i="17"/>
  <c r="G394" i="17" s="1"/>
  <c r="J394" i="17" s="1"/>
  <c r="L394" i="17" s="1"/>
  <c r="K405" i="17" l="1"/>
  <c r="H406" i="17"/>
  <c r="E395" i="17"/>
  <c r="D395" i="17"/>
  <c r="C396" i="17" s="1"/>
  <c r="I406" i="17" l="1"/>
  <c r="F395" i="17"/>
  <c r="G395" i="17" s="1"/>
  <c r="J395" i="17" s="1"/>
  <c r="L395" i="17" s="1"/>
  <c r="H407" i="17" l="1"/>
  <c r="K406" i="17"/>
  <c r="E396" i="17"/>
  <c r="D396" i="17"/>
  <c r="C397" i="17" s="1"/>
  <c r="I407" i="17" l="1"/>
  <c r="F396" i="17"/>
  <c r="G396" i="17" s="1"/>
  <c r="J396" i="17" s="1"/>
  <c r="L396" i="17" s="1"/>
  <c r="H408" i="17" l="1"/>
  <c r="K407" i="17"/>
  <c r="E397" i="17"/>
  <c r="D397" i="17"/>
  <c r="C398" i="17" s="1"/>
  <c r="I408" i="17" l="1"/>
  <c r="F397" i="17"/>
  <c r="G397" i="17" s="1"/>
  <c r="J397" i="17" s="1"/>
  <c r="L397" i="17" s="1"/>
  <c r="K408" i="17" l="1"/>
  <c r="H409" i="17"/>
  <c r="E398" i="17"/>
  <c r="D398" i="17"/>
  <c r="C399" i="17" s="1"/>
  <c r="I409" i="17" l="1"/>
  <c r="F398" i="17"/>
  <c r="G398" i="17" s="1"/>
  <c r="J398" i="17" s="1"/>
  <c r="L398" i="17" s="1"/>
  <c r="K409" i="17" l="1"/>
  <c r="H410" i="17"/>
  <c r="E399" i="17"/>
  <c r="D399" i="17"/>
  <c r="C400" i="17" s="1"/>
  <c r="I410" i="17" l="1"/>
  <c r="F399" i="17"/>
  <c r="G399" i="17" s="1"/>
  <c r="J399" i="17" s="1"/>
  <c r="L399" i="17" s="1"/>
  <c r="H411" i="17" l="1"/>
  <c r="K410" i="17"/>
  <c r="E400" i="17"/>
  <c r="D400" i="17"/>
  <c r="C401" i="17" s="1"/>
  <c r="I411" i="17" l="1"/>
  <c r="F400" i="17"/>
  <c r="G400" i="17" s="1"/>
  <c r="J400" i="17" s="1"/>
  <c r="L400" i="17" s="1"/>
  <c r="H412" i="17" l="1"/>
  <c r="K411" i="17"/>
  <c r="E401" i="17"/>
  <c r="D401" i="17"/>
  <c r="C402" i="17" s="1"/>
  <c r="I412" i="17" l="1"/>
  <c r="F401" i="17"/>
  <c r="G401" i="17" s="1"/>
  <c r="J401" i="17" s="1"/>
  <c r="L401" i="17" s="1"/>
  <c r="K412" i="17" l="1"/>
  <c r="H413" i="17"/>
  <c r="E402" i="17"/>
  <c r="D402" i="17"/>
  <c r="C403" i="17" s="1"/>
  <c r="I413" i="17" l="1"/>
  <c r="F402" i="17"/>
  <c r="G402" i="17" s="1"/>
  <c r="J402" i="17" s="1"/>
  <c r="L402" i="17" s="1"/>
  <c r="K413" i="17" l="1"/>
  <c r="H414" i="17"/>
  <c r="E403" i="17"/>
  <c r="D403" i="17"/>
  <c r="C404" i="17" s="1"/>
  <c r="I414" i="17" l="1"/>
  <c r="F403" i="17"/>
  <c r="G403" i="17" s="1"/>
  <c r="J403" i="17" s="1"/>
  <c r="L403" i="17" s="1"/>
  <c r="H415" i="17" l="1"/>
  <c r="K414" i="17"/>
  <c r="E404" i="17"/>
  <c r="D404" i="17"/>
  <c r="C405" i="17" s="1"/>
  <c r="I415" i="17" l="1"/>
  <c r="F404" i="17"/>
  <c r="G404" i="17" s="1"/>
  <c r="J404" i="17" s="1"/>
  <c r="L404" i="17" s="1"/>
  <c r="H416" i="17" l="1"/>
  <c r="K415" i="17"/>
  <c r="E405" i="17"/>
  <c r="D405" i="17"/>
  <c r="C406" i="17" s="1"/>
  <c r="I416" i="17" l="1"/>
  <c r="F405" i="17"/>
  <c r="G405" i="17" s="1"/>
  <c r="J405" i="17" s="1"/>
  <c r="L405" i="17" s="1"/>
  <c r="H417" i="17" l="1"/>
  <c r="K416" i="17"/>
  <c r="E406" i="17"/>
  <c r="D406" i="17"/>
  <c r="C407" i="17" s="1"/>
  <c r="I417" i="17" l="1"/>
  <c r="F406" i="17"/>
  <c r="G406" i="17" s="1"/>
  <c r="J406" i="17" s="1"/>
  <c r="L406" i="17" s="1"/>
  <c r="K417" i="17" l="1"/>
  <c r="H418" i="17"/>
  <c r="E407" i="17"/>
  <c r="D407" i="17"/>
  <c r="C408" i="17" s="1"/>
  <c r="I418" i="17" l="1"/>
  <c r="F407" i="17"/>
  <c r="G407" i="17" s="1"/>
  <c r="J407" i="17" s="1"/>
  <c r="L407" i="17" s="1"/>
  <c r="H419" i="17" l="1"/>
  <c r="K418" i="17"/>
  <c r="E408" i="17"/>
  <c r="D408" i="17"/>
  <c r="C409" i="17" s="1"/>
  <c r="I419" i="17" l="1"/>
  <c r="F408" i="17"/>
  <c r="G408" i="17" s="1"/>
  <c r="J408" i="17" s="1"/>
  <c r="L408" i="17" s="1"/>
  <c r="H420" i="17" l="1"/>
  <c r="K419" i="17"/>
  <c r="E409" i="17"/>
  <c r="D409" i="17"/>
  <c r="C410" i="17" s="1"/>
  <c r="I420" i="17" l="1"/>
  <c r="F409" i="17"/>
  <c r="G409" i="17" s="1"/>
  <c r="J409" i="17" s="1"/>
  <c r="L409" i="17" s="1"/>
  <c r="K420" i="17" l="1"/>
  <c r="H421" i="17"/>
  <c r="D410" i="17"/>
  <c r="C411" i="17" s="1"/>
  <c r="E410" i="17"/>
  <c r="I421" i="17" l="1"/>
  <c r="F410" i="17"/>
  <c r="G410" i="17" s="1"/>
  <c r="J410" i="17" s="1"/>
  <c r="L410" i="17" s="1"/>
  <c r="K421" i="17" l="1"/>
  <c r="H422" i="17"/>
  <c r="D411" i="17"/>
  <c r="C412" i="17" s="1"/>
  <c r="E411" i="17"/>
  <c r="I422" i="17" l="1"/>
  <c r="F411" i="17"/>
  <c r="G411" i="17" s="1"/>
  <c r="J411" i="17" s="1"/>
  <c r="L411" i="17" s="1"/>
  <c r="H423" i="17" l="1"/>
  <c r="K422" i="17"/>
  <c r="E412" i="17"/>
  <c r="D412" i="17"/>
  <c r="C413" i="17" s="1"/>
  <c r="I423" i="17" l="1"/>
  <c r="F412" i="17"/>
  <c r="G412" i="17" s="1"/>
  <c r="J412" i="17" s="1"/>
  <c r="L412" i="17" s="1"/>
  <c r="H424" i="17" l="1"/>
  <c r="K423" i="17"/>
  <c r="E413" i="17"/>
  <c r="D413" i="17"/>
  <c r="C414" i="17" s="1"/>
  <c r="I424" i="17" l="1"/>
  <c r="F413" i="17"/>
  <c r="G413" i="17" s="1"/>
  <c r="J413" i="17" s="1"/>
  <c r="L413" i="17" s="1"/>
  <c r="H425" i="17" l="1"/>
  <c r="K424" i="17"/>
  <c r="E414" i="17"/>
  <c r="D414" i="17"/>
  <c r="C415" i="17" s="1"/>
  <c r="I425" i="17" l="1"/>
  <c r="F414" i="17"/>
  <c r="G414" i="17" s="1"/>
  <c r="J414" i="17" s="1"/>
  <c r="L414" i="17" s="1"/>
  <c r="K425" i="17" l="1"/>
  <c r="H426" i="17"/>
  <c r="E415" i="17"/>
  <c r="D415" i="17"/>
  <c r="C416" i="17" s="1"/>
  <c r="I426" i="17" l="1"/>
  <c r="F415" i="17"/>
  <c r="G415" i="17" s="1"/>
  <c r="J415" i="17" s="1"/>
  <c r="L415" i="17" s="1"/>
  <c r="H427" i="17" l="1"/>
  <c r="K426" i="17"/>
  <c r="E416" i="17"/>
  <c r="D416" i="17"/>
  <c r="C417" i="17" s="1"/>
  <c r="I427" i="17" l="1"/>
  <c r="F416" i="17"/>
  <c r="G416" i="17" s="1"/>
  <c r="J416" i="17" s="1"/>
  <c r="L416" i="17" s="1"/>
  <c r="H428" i="17" l="1"/>
  <c r="K427" i="17"/>
  <c r="E417" i="17"/>
  <c r="D417" i="17"/>
  <c r="C418" i="17" s="1"/>
  <c r="I428" i="17" l="1"/>
  <c r="F417" i="17"/>
  <c r="G417" i="17" s="1"/>
  <c r="J417" i="17" s="1"/>
  <c r="L417" i="17" s="1"/>
  <c r="K428" i="17" l="1"/>
  <c r="H429" i="17"/>
  <c r="E418" i="17"/>
  <c r="D418" i="17"/>
  <c r="C419" i="17" s="1"/>
  <c r="I429" i="17" l="1"/>
  <c r="F418" i="17"/>
  <c r="G418" i="17" s="1"/>
  <c r="J418" i="17" s="1"/>
  <c r="L418" i="17" s="1"/>
  <c r="K429" i="17" l="1"/>
  <c r="H430" i="17"/>
  <c r="E419" i="17"/>
  <c r="D419" i="17"/>
  <c r="C420" i="17" s="1"/>
  <c r="I430" i="17" l="1"/>
  <c r="F419" i="17"/>
  <c r="G419" i="17" s="1"/>
  <c r="J419" i="17" s="1"/>
  <c r="L419" i="17" s="1"/>
  <c r="H431" i="17" l="1"/>
  <c r="K430" i="17"/>
  <c r="E420" i="17"/>
  <c r="D420" i="17"/>
  <c r="C421" i="17" s="1"/>
  <c r="I431" i="17" l="1"/>
  <c r="F420" i="17"/>
  <c r="G420" i="17" s="1"/>
  <c r="J420" i="17" s="1"/>
  <c r="L420" i="17" s="1"/>
  <c r="H432" i="17" l="1"/>
  <c r="K431" i="17"/>
  <c r="E421" i="17"/>
  <c r="D421" i="17"/>
  <c r="C422" i="17" s="1"/>
  <c r="I432" i="17" l="1"/>
  <c r="F421" i="17"/>
  <c r="G421" i="17" s="1"/>
  <c r="J421" i="17" s="1"/>
  <c r="L421" i="17" s="1"/>
  <c r="H433" i="17" l="1"/>
  <c r="K432" i="17"/>
  <c r="E422" i="17"/>
  <c r="D422" i="17"/>
  <c r="C423" i="17" s="1"/>
  <c r="I433" i="17" l="1"/>
  <c r="F422" i="17"/>
  <c r="G422" i="17" s="1"/>
  <c r="J422" i="17" s="1"/>
  <c r="L422" i="17" s="1"/>
  <c r="K433" i="17" l="1"/>
  <c r="H434" i="17"/>
  <c r="E423" i="17"/>
  <c r="D423" i="17"/>
  <c r="C424" i="17" s="1"/>
  <c r="I434" i="17" l="1"/>
  <c r="F423" i="17"/>
  <c r="G423" i="17" s="1"/>
  <c r="J423" i="17" s="1"/>
  <c r="L423" i="17" s="1"/>
  <c r="H435" i="17" l="1"/>
  <c r="K434" i="17"/>
  <c r="E424" i="17"/>
  <c r="D424" i="17"/>
  <c r="C425" i="17" s="1"/>
  <c r="I435" i="17" l="1"/>
  <c r="F424" i="17"/>
  <c r="G424" i="17" s="1"/>
  <c r="J424" i="17" s="1"/>
  <c r="L424" i="17" s="1"/>
  <c r="H436" i="17" l="1"/>
  <c r="K435" i="17"/>
  <c r="E425" i="17"/>
  <c r="D425" i="17"/>
  <c r="C426" i="17" s="1"/>
  <c r="I436" i="17" l="1"/>
  <c r="F425" i="17"/>
  <c r="G425" i="17" s="1"/>
  <c r="J425" i="17" s="1"/>
  <c r="L425" i="17" s="1"/>
  <c r="K436" i="17" l="1"/>
  <c r="H437" i="17"/>
  <c r="E426" i="17"/>
  <c r="D426" i="17"/>
  <c r="C427" i="17" s="1"/>
  <c r="I437" i="17" l="1"/>
  <c r="F426" i="17"/>
  <c r="G426" i="17" s="1"/>
  <c r="J426" i="17" s="1"/>
  <c r="L426" i="17" s="1"/>
  <c r="K437" i="17" l="1"/>
  <c r="H438" i="17"/>
  <c r="E427" i="17"/>
  <c r="D427" i="17"/>
  <c r="C428" i="17" s="1"/>
  <c r="I438" i="17" l="1"/>
  <c r="F427" i="17"/>
  <c r="G427" i="17" s="1"/>
  <c r="J427" i="17" s="1"/>
  <c r="L427" i="17" s="1"/>
  <c r="H439" i="17" l="1"/>
  <c r="K438" i="17"/>
  <c r="E428" i="17"/>
  <c r="D428" i="17"/>
  <c r="C429" i="17" s="1"/>
  <c r="I439" i="17" l="1"/>
  <c r="F428" i="17"/>
  <c r="G428" i="17" s="1"/>
  <c r="J428" i="17" s="1"/>
  <c r="L428" i="17" s="1"/>
  <c r="H440" i="17" l="1"/>
  <c r="K439" i="17"/>
  <c r="D429" i="17"/>
  <c r="C430" i="17" s="1"/>
  <c r="E429" i="17"/>
  <c r="I440" i="17" l="1"/>
  <c r="F429" i="17"/>
  <c r="G429" i="17" s="1"/>
  <c r="J429" i="17" s="1"/>
  <c r="L429" i="17" s="1"/>
  <c r="H441" i="17" l="1"/>
  <c r="K440" i="17"/>
  <c r="E430" i="17"/>
  <c r="D430" i="17"/>
  <c r="C431" i="17" s="1"/>
  <c r="I441" i="17" l="1"/>
  <c r="F430" i="17"/>
  <c r="G430" i="17" s="1"/>
  <c r="J430" i="17" s="1"/>
  <c r="L430" i="17" s="1"/>
  <c r="K441" i="17" l="1"/>
  <c r="H442" i="17"/>
  <c r="E431" i="17"/>
  <c r="D431" i="17"/>
  <c r="C432" i="17" s="1"/>
  <c r="I442" i="17" l="1"/>
  <c r="F431" i="17"/>
  <c r="G431" i="17" s="1"/>
  <c r="J431" i="17" s="1"/>
  <c r="L431" i="17" s="1"/>
  <c r="H443" i="17" l="1"/>
  <c r="K442" i="17"/>
  <c r="E432" i="17"/>
  <c r="D432" i="17"/>
  <c r="C433" i="17" s="1"/>
  <c r="I443" i="17" l="1"/>
  <c r="F432" i="17"/>
  <c r="G432" i="17" s="1"/>
  <c r="J432" i="17" s="1"/>
  <c r="L432" i="17" s="1"/>
  <c r="H444" i="17" l="1"/>
  <c r="K443" i="17"/>
  <c r="E433" i="17"/>
  <c r="D433" i="17"/>
  <c r="C434" i="17" s="1"/>
  <c r="I444" i="17" l="1"/>
  <c r="F433" i="17"/>
  <c r="G433" i="17" s="1"/>
  <c r="J433" i="17" s="1"/>
  <c r="L433" i="17" s="1"/>
  <c r="K444" i="17" l="1"/>
  <c r="H445" i="17"/>
  <c r="E434" i="17"/>
  <c r="D434" i="17"/>
  <c r="C435" i="17" s="1"/>
  <c r="I445" i="17" l="1"/>
  <c r="F434" i="17"/>
  <c r="G434" i="17" s="1"/>
  <c r="J434" i="17" s="1"/>
  <c r="L434" i="17" s="1"/>
  <c r="K445" i="17" l="1"/>
  <c r="H446" i="17"/>
  <c r="E435" i="17"/>
  <c r="D435" i="17"/>
  <c r="C436" i="17" s="1"/>
  <c r="I446" i="17" l="1"/>
  <c r="F435" i="17"/>
  <c r="G435" i="17" s="1"/>
  <c r="J435" i="17" s="1"/>
  <c r="L435" i="17" s="1"/>
  <c r="H447" i="17" l="1"/>
  <c r="K446" i="17"/>
  <c r="E436" i="17"/>
  <c r="D436" i="17"/>
  <c r="C437" i="17" s="1"/>
  <c r="I447" i="17" l="1"/>
  <c r="F436" i="17"/>
  <c r="G436" i="17" s="1"/>
  <c r="J436" i="17" s="1"/>
  <c r="L436" i="17" s="1"/>
  <c r="H448" i="17" l="1"/>
  <c r="K447" i="17"/>
  <c r="E437" i="17"/>
  <c r="D437" i="17"/>
  <c r="C438" i="17" s="1"/>
  <c r="I448" i="17" l="1"/>
  <c r="F437" i="17"/>
  <c r="G437" i="17" s="1"/>
  <c r="J437" i="17" s="1"/>
  <c r="L437" i="17" s="1"/>
  <c r="H449" i="17" l="1"/>
  <c r="K448" i="17"/>
  <c r="E438" i="17"/>
  <c r="D438" i="17"/>
  <c r="C439" i="17" s="1"/>
  <c r="I449" i="17" l="1"/>
  <c r="F438" i="17"/>
  <c r="G438" i="17" s="1"/>
  <c r="J438" i="17" s="1"/>
  <c r="L438" i="17" s="1"/>
  <c r="K449" i="17" l="1"/>
  <c r="H450" i="17"/>
  <c r="E439" i="17"/>
  <c r="D439" i="17"/>
  <c r="C440" i="17" s="1"/>
  <c r="I450" i="17" l="1"/>
  <c r="F439" i="17"/>
  <c r="G439" i="17" s="1"/>
  <c r="J439" i="17" s="1"/>
  <c r="L439" i="17" s="1"/>
  <c r="H451" i="17" l="1"/>
  <c r="K450" i="17"/>
  <c r="E440" i="17"/>
  <c r="D440" i="17"/>
  <c r="C441" i="17" s="1"/>
  <c r="I451" i="17" l="1"/>
  <c r="F440" i="17"/>
  <c r="G440" i="17" s="1"/>
  <c r="J440" i="17" s="1"/>
  <c r="L440" i="17" s="1"/>
  <c r="H452" i="17" l="1"/>
  <c r="K451" i="17"/>
  <c r="E441" i="17"/>
  <c r="D441" i="17"/>
  <c r="C442" i="17" s="1"/>
  <c r="I452" i="17" l="1"/>
  <c r="F441" i="17"/>
  <c r="G441" i="17" s="1"/>
  <c r="J441" i="17" s="1"/>
  <c r="L441" i="17" s="1"/>
  <c r="K452" i="17" l="1"/>
  <c r="H453" i="17"/>
  <c r="D442" i="17"/>
  <c r="C443" i="17" s="1"/>
  <c r="E442" i="17"/>
  <c r="I453" i="17" l="1"/>
  <c r="F442" i="17"/>
  <c r="G442" i="17" s="1"/>
  <c r="J442" i="17" s="1"/>
  <c r="L442" i="17" s="1"/>
  <c r="K453" i="17" l="1"/>
  <c r="H454" i="17"/>
  <c r="E443" i="17"/>
  <c r="D443" i="17"/>
  <c r="C444" i="17" s="1"/>
  <c r="I454" i="17" l="1"/>
  <c r="F443" i="17"/>
  <c r="G443" i="17" s="1"/>
  <c r="J443" i="17" s="1"/>
  <c r="L443" i="17" s="1"/>
  <c r="H455" i="17" l="1"/>
  <c r="K454" i="17"/>
  <c r="E444" i="17"/>
  <c r="D444" i="17"/>
  <c r="C445" i="17" s="1"/>
  <c r="I455" i="17" l="1"/>
  <c r="F444" i="17"/>
  <c r="G444" i="17" s="1"/>
  <c r="J444" i="17" s="1"/>
  <c r="L444" i="17" s="1"/>
  <c r="H456" i="17" l="1"/>
  <c r="K455" i="17"/>
  <c r="E445" i="17"/>
  <c r="D445" i="17"/>
  <c r="C446" i="17" s="1"/>
  <c r="I456" i="17" l="1"/>
  <c r="F445" i="17"/>
  <c r="G445" i="17" s="1"/>
  <c r="J445" i="17" s="1"/>
  <c r="L445" i="17" s="1"/>
  <c r="K456" i="17" l="1"/>
  <c r="H457" i="17"/>
  <c r="E446" i="17"/>
  <c r="D446" i="17"/>
  <c r="C447" i="17" s="1"/>
  <c r="I457" i="17" l="1"/>
  <c r="F446" i="17"/>
  <c r="G446" i="17" s="1"/>
  <c r="J446" i="17" s="1"/>
  <c r="L446" i="17" s="1"/>
  <c r="K457" i="17" l="1"/>
  <c r="H458" i="17"/>
  <c r="E447" i="17"/>
  <c r="D447" i="17"/>
  <c r="C448" i="17" s="1"/>
  <c r="I458" i="17" l="1"/>
  <c r="F447" i="17"/>
  <c r="G447" i="17" s="1"/>
  <c r="J447" i="17" s="1"/>
  <c r="L447" i="17" s="1"/>
  <c r="H459" i="17" l="1"/>
  <c r="K458" i="17"/>
  <c r="E448" i="17"/>
  <c r="D448" i="17"/>
  <c r="C449" i="17" s="1"/>
  <c r="I459" i="17" l="1"/>
  <c r="F448" i="17"/>
  <c r="G448" i="17" s="1"/>
  <c r="J448" i="17" s="1"/>
  <c r="L448" i="17" s="1"/>
  <c r="H460" i="17" l="1"/>
  <c r="K459" i="17"/>
  <c r="E449" i="17"/>
  <c r="D449" i="17"/>
  <c r="C450" i="17" s="1"/>
  <c r="I460" i="17" l="1"/>
  <c r="F449" i="17"/>
  <c r="G449" i="17" s="1"/>
  <c r="J449" i="17" s="1"/>
  <c r="L449" i="17" s="1"/>
  <c r="K460" i="17" l="1"/>
  <c r="H461" i="17"/>
  <c r="D450" i="17"/>
  <c r="C451" i="17" s="1"/>
  <c r="E450" i="17"/>
  <c r="I461" i="17" l="1"/>
  <c r="F450" i="17"/>
  <c r="G450" i="17" s="1"/>
  <c r="J450" i="17" s="1"/>
  <c r="L450" i="17" s="1"/>
  <c r="K461" i="17" l="1"/>
  <c r="H462" i="17"/>
  <c r="E451" i="17"/>
  <c r="D451" i="17"/>
  <c r="C452" i="17" s="1"/>
  <c r="I462" i="17" l="1"/>
  <c r="F451" i="17"/>
  <c r="G451" i="17" s="1"/>
  <c r="J451" i="17" s="1"/>
  <c r="L451" i="17" s="1"/>
  <c r="H463" i="17" l="1"/>
  <c r="K462" i="17"/>
  <c r="E452" i="17"/>
  <c r="D452" i="17"/>
  <c r="C453" i="17" s="1"/>
  <c r="I463" i="17" l="1"/>
  <c r="F452" i="17"/>
  <c r="G452" i="17" s="1"/>
  <c r="J452" i="17" s="1"/>
  <c r="L452" i="17" s="1"/>
  <c r="H464" i="17" l="1"/>
  <c r="K463" i="17"/>
  <c r="E453" i="17"/>
  <c r="D453" i="17"/>
  <c r="C454" i="17" s="1"/>
  <c r="I464" i="17" l="1"/>
  <c r="F453" i="17"/>
  <c r="G453" i="17" s="1"/>
  <c r="J453" i="17" s="1"/>
  <c r="L453" i="17" s="1"/>
  <c r="K464" i="17" l="1"/>
  <c r="H465" i="17"/>
  <c r="E454" i="17"/>
  <c r="D454" i="17"/>
  <c r="C455" i="17" s="1"/>
  <c r="I465" i="17" l="1"/>
  <c r="F454" i="17"/>
  <c r="G454" i="17" s="1"/>
  <c r="J454" i="17" l="1"/>
  <c r="L454" i="17" s="1"/>
  <c r="K465" i="17"/>
  <c r="H466" i="17"/>
  <c r="E455" i="17"/>
  <c r="D455" i="17"/>
  <c r="C456" i="17" s="1"/>
  <c r="I466" i="17" l="1"/>
  <c r="F455" i="17"/>
  <c r="G455" i="17" s="1"/>
  <c r="J455" i="17" s="1"/>
  <c r="L455" i="17" s="1"/>
  <c r="H467" i="17" l="1"/>
  <c r="K466" i="17"/>
  <c r="D456" i="17"/>
  <c r="C457" i="17" s="1"/>
  <c r="E456" i="17"/>
  <c r="I467" i="17" l="1"/>
  <c r="F456" i="17"/>
  <c r="G456" i="17" s="1"/>
  <c r="J456" i="17" s="1"/>
  <c r="L456" i="17" s="1"/>
  <c r="H468" i="17" l="1"/>
  <c r="K467" i="17"/>
  <c r="D457" i="17"/>
  <c r="C458" i="17" s="1"/>
  <c r="E457" i="17"/>
  <c r="I468" i="17" l="1"/>
  <c r="F457" i="17"/>
  <c r="G457" i="17" s="1"/>
  <c r="J457" i="17" s="1"/>
  <c r="L457" i="17" s="1"/>
  <c r="K468" i="17" l="1"/>
  <c r="H469" i="17"/>
  <c r="D458" i="17"/>
  <c r="C459" i="17" s="1"/>
  <c r="E458" i="17"/>
  <c r="I469" i="17" l="1"/>
  <c r="F458" i="17"/>
  <c r="G458" i="17" s="1"/>
  <c r="J458" i="17" s="1"/>
  <c r="L458" i="17" s="1"/>
  <c r="K469" i="17" l="1"/>
  <c r="H470" i="17"/>
  <c r="E459" i="17"/>
  <c r="D459" i="17"/>
  <c r="C460" i="17" s="1"/>
  <c r="I470" i="17" l="1"/>
  <c r="F459" i="17"/>
  <c r="G459" i="17" s="1"/>
  <c r="J459" i="17" s="1"/>
  <c r="L459" i="17" s="1"/>
  <c r="H471" i="17" l="1"/>
  <c r="K470" i="17"/>
  <c r="E460" i="17"/>
  <c r="D460" i="17"/>
  <c r="C461" i="17" s="1"/>
  <c r="I471" i="17" l="1"/>
  <c r="F460" i="17"/>
  <c r="G460" i="17" s="1"/>
  <c r="J460" i="17" s="1"/>
  <c r="L460" i="17" s="1"/>
  <c r="H472" i="17" l="1"/>
  <c r="K471" i="17"/>
  <c r="E461" i="17"/>
  <c r="D461" i="17"/>
  <c r="C462" i="17" s="1"/>
  <c r="I472" i="17" l="1"/>
  <c r="F461" i="17"/>
  <c r="G461" i="17" s="1"/>
  <c r="J461" i="17" s="1"/>
  <c r="L461" i="17" s="1"/>
  <c r="K472" i="17" l="1"/>
  <c r="H473" i="17"/>
  <c r="E462" i="17"/>
  <c r="D462" i="17"/>
  <c r="C463" i="17" s="1"/>
  <c r="I473" i="17" l="1"/>
  <c r="F462" i="17"/>
  <c r="G462" i="17" s="1"/>
  <c r="J462" i="17" s="1"/>
  <c r="L462" i="17" s="1"/>
  <c r="K473" i="17" l="1"/>
  <c r="H474" i="17"/>
  <c r="E463" i="17"/>
  <c r="D463" i="17"/>
  <c r="C464" i="17" s="1"/>
  <c r="I474" i="17" l="1"/>
  <c r="F463" i="17"/>
  <c r="G463" i="17" s="1"/>
  <c r="J463" i="17" s="1"/>
  <c r="L463" i="17" s="1"/>
  <c r="H475" i="17" l="1"/>
  <c r="K474" i="17"/>
  <c r="D464" i="17"/>
  <c r="C465" i="17" s="1"/>
  <c r="E464" i="17"/>
  <c r="I475" i="17" l="1"/>
  <c r="F464" i="17"/>
  <c r="G464" i="17" s="1"/>
  <c r="J464" i="17" s="1"/>
  <c r="L464" i="17" s="1"/>
  <c r="H476" i="17" l="1"/>
  <c r="K475" i="17"/>
  <c r="D465" i="17"/>
  <c r="C466" i="17" s="1"/>
  <c r="E465" i="17"/>
  <c r="I476" i="17" l="1"/>
  <c r="F465" i="17"/>
  <c r="G465" i="17" s="1"/>
  <c r="J465" i="17" s="1"/>
  <c r="L465" i="17" s="1"/>
  <c r="K476" i="17" l="1"/>
  <c r="H477" i="17"/>
  <c r="E466" i="17"/>
  <c r="D466" i="17"/>
  <c r="C467" i="17" s="1"/>
  <c r="I477" i="17" l="1"/>
  <c r="F466" i="17"/>
  <c r="G466" i="17" s="1"/>
  <c r="J466" i="17" s="1"/>
  <c r="L466" i="17" s="1"/>
  <c r="K477" i="17" l="1"/>
  <c r="H478" i="17"/>
  <c r="E467" i="17"/>
  <c r="D467" i="17"/>
  <c r="C468" i="17" s="1"/>
  <c r="I478" i="17" l="1"/>
  <c r="F467" i="17"/>
  <c r="G467" i="17" s="1"/>
  <c r="J467" i="17" s="1"/>
  <c r="L467" i="17" s="1"/>
  <c r="H479" i="17" l="1"/>
  <c r="K478" i="17"/>
  <c r="E468" i="17"/>
  <c r="D468" i="17"/>
  <c r="C469" i="17" s="1"/>
  <c r="I479" i="17" l="1"/>
  <c r="F468" i="17"/>
  <c r="G468" i="17" s="1"/>
  <c r="J468" i="17" s="1"/>
  <c r="L468" i="17" s="1"/>
  <c r="H480" i="17" l="1"/>
  <c r="K479" i="17"/>
  <c r="E469" i="17"/>
  <c r="D469" i="17"/>
  <c r="C470" i="17" s="1"/>
  <c r="I480" i="17" l="1"/>
  <c r="K480" i="17" s="1"/>
  <c r="F469" i="17"/>
  <c r="G469" i="17" s="1"/>
  <c r="J469" i="17" s="1"/>
  <c r="L469" i="17" s="1"/>
  <c r="D470" i="17" l="1"/>
  <c r="C471" i="17" s="1"/>
  <c r="E470" i="17"/>
  <c r="F470" i="17" l="1"/>
  <c r="G470" i="17" s="1"/>
  <c r="J470" i="17" s="1"/>
  <c r="L470" i="17" s="1"/>
  <c r="D471" i="17" l="1"/>
  <c r="C472" i="17" s="1"/>
  <c r="E471" i="17"/>
  <c r="F471" i="17" l="1"/>
  <c r="G471" i="17" s="1"/>
  <c r="J471" i="17" s="1"/>
  <c r="L471" i="17" s="1"/>
  <c r="E472" i="17" l="1"/>
  <c r="D472" i="17"/>
  <c r="C473" i="17" s="1"/>
  <c r="F472" i="17" l="1"/>
  <c r="G472" i="17" s="1"/>
  <c r="J472" i="17" s="1"/>
  <c r="L472" i="17" s="1"/>
  <c r="D473" i="17" l="1"/>
  <c r="C474" i="17" s="1"/>
  <c r="E473" i="17"/>
  <c r="F473" i="17" l="1"/>
  <c r="G473" i="17" s="1"/>
  <c r="J473" i="17" s="1"/>
  <c r="L473" i="17" s="1"/>
  <c r="E474" i="17" l="1"/>
  <c r="D474" i="17"/>
  <c r="C475" i="17" s="1"/>
  <c r="F474" i="17" l="1"/>
  <c r="G474" i="17" s="1"/>
  <c r="J474" i="17" s="1"/>
  <c r="L474" i="17" s="1"/>
  <c r="E475" i="17" l="1"/>
  <c r="D475" i="17"/>
  <c r="C476" i="17" s="1"/>
  <c r="F475" i="17" l="1"/>
  <c r="G475" i="17" s="1"/>
  <c r="J475" i="17" s="1"/>
  <c r="L475" i="17" s="1"/>
  <c r="E476" i="17" l="1"/>
  <c r="D476" i="17"/>
  <c r="C477" i="17" s="1"/>
  <c r="F476" i="17" l="1"/>
  <c r="G476" i="17" s="1"/>
  <c r="J476" i="17" s="1"/>
  <c r="L476" i="17" s="1"/>
  <c r="D477" i="17" l="1"/>
  <c r="C478" i="17" s="1"/>
  <c r="E477" i="17"/>
  <c r="F477" i="17" l="1"/>
  <c r="G477" i="17" s="1"/>
  <c r="J477" i="17" s="1"/>
  <c r="L477" i="17" s="1"/>
  <c r="D478" i="17" l="1"/>
  <c r="C479" i="17" s="1"/>
  <c r="E478" i="17"/>
  <c r="F478" i="17" l="1"/>
  <c r="G478" i="17" s="1"/>
  <c r="J478" i="17" s="1"/>
  <c r="L478" i="17" s="1"/>
  <c r="E479" i="17" l="1"/>
  <c r="D479" i="17"/>
  <c r="C480" i="17" s="1"/>
  <c r="F479" i="17" l="1"/>
  <c r="G479" i="17" s="1"/>
  <c r="J479" i="17" s="1"/>
  <c r="L479" i="17" s="1"/>
  <c r="E480" i="17" l="1"/>
  <c r="D480" i="17"/>
  <c r="F480" i="17" s="1"/>
  <c r="G480" i="17" l="1"/>
  <c r="J480" i="17" s="1"/>
  <c r="L480"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50" authorId="0" shapeId="0" xr:uid="{2B325E65-A84D-4AC4-8C96-089586149EE9}">
      <text>
        <r>
          <rPr>
            <sz val="12"/>
            <color indexed="81"/>
            <rFont val="Times New Roman"/>
            <family val="1"/>
          </rPr>
          <t>Edited in V3</t>
        </r>
        <r>
          <rPr>
            <sz val="10"/>
            <color indexed="81"/>
            <rFont val="Calibri"/>
            <family val="2"/>
          </rPr>
          <t xml:space="preserve">
</t>
        </r>
      </text>
    </comment>
    <comment ref="D51" authorId="0" shapeId="0" xr:uid="{74C268A3-B538-4BB2-AF30-1A3E0FAE73AD}">
      <text>
        <r>
          <rPr>
            <sz val="12"/>
            <color indexed="81"/>
            <rFont val="Times New Roman"/>
            <family val="1"/>
          </rPr>
          <t>Edited in V3</t>
        </r>
        <r>
          <rPr>
            <sz val="10"/>
            <color indexed="81"/>
            <rFont val="Calibri"/>
            <family val="2"/>
          </rPr>
          <t xml:space="preserve">
</t>
        </r>
      </text>
    </comment>
    <comment ref="D52" authorId="0"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0" authorId="0" shapeId="0" xr:uid="{00000000-0006-0000-0100-000001000000}">
      <text>
        <r>
          <rPr>
            <sz val="14"/>
            <color indexed="81"/>
            <rFont val="Times New Roman"/>
            <family val="1"/>
          </rPr>
          <t>Includes the curb width if present.</t>
        </r>
      </text>
    </comment>
    <comment ref="D24" authorId="0" shapeId="0" xr:uid="{00000000-0006-0000-0100-000002000000}">
      <text>
        <r>
          <rPr>
            <sz val="14"/>
            <color indexed="81"/>
            <rFont val="Times New Roman"/>
            <family val="1"/>
          </rPr>
          <t>Included in Annex 1, showed at the end of this sheet.</t>
        </r>
      </text>
    </comment>
    <comment ref="D30" authorId="0" shapeId="0" xr:uid="{00000000-0006-0000-0100-000003000000}">
      <text>
        <r>
          <rPr>
            <sz val="12"/>
            <color indexed="81"/>
            <rFont val="Times New Roman"/>
            <family val="1"/>
          </rPr>
          <t>Added in V2</t>
        </r>
      </text>
    </comment>
    <comment ref="D31" authorId="0" shapeId="0" xr:uid="{00000000-0006-0000-0100-000004000000}">
      <text>
        <r>
          <rPr>
            <sz val="12"/>
            <color indexed="81"/>
            <rFont val="Times New Roman"/>
            <family val="1"/>
          </rPr>
          <t>Added in V3</t>
        </r>
      </text>
    </comment>
    <comment ref="D32"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8"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0" shapeId="0" xr:uid="{00000000-0006-0000-0100-000007000000}">
      <text>
        <r>
          <rPr>
            <sz val="12"/>
            <color indexed="81"/>
            <rFont val="Times New Roman"/>
            <family val="1"/>
          </rPr>
          <t>Added in V3</t>
        </r>
      </text>
    </comment>
    <comment ref="D50" authorId="0" shapeId="0" xr:uid="{00000000-0006-0000-0100-000008000000}">
      <text>
        <r>
          <rPr>
            <sz val="12"/>
            <color indexed="81"/>
            <rFont val="Times New Roman"/>
            <family val="1"/>
          </rPr>
          <t>Added in V3</t>
        </r>
      </text>
    </comment>
    <comment ref="D52" authorId="0" shapeId="0" xr:uid="{00000000-0006-0000-0100-000009000000}">
      <text>
        <r>
          <rPr>
            <sz val="12"/>
            <color indexed="81"/>
            <rFont val="Times New Roman"/>
            <family val="1"/>
          </rPr>
          <t>Edited in V3</t>
        </r>
      </text>
    </comment>
    <comment ref="D53" authorId="0" shapeId="0" xr:uid="{00000000-0006-0000-0100-00000A000000}">
      <text>
        <r>
          <rPr>
            <sz val="12"/>
            <color indexed="81"/>
            <rFont val="Times New Roman"/>
            <family val="1"/>
          </rPr>
          <t>Edited in V3</t>
        </r>
      </text>
    </comment>
    <comment ref="D54" authorId="0" shapeId="0" xr:uid="{00000000-0006-0000-0100-00000B000000}">
      <text>
        <r>
          <rPr>
            <sz val="12"/>
            <color indexed="81"/>
            <rFont val="Times New Roman"/>
            <family val="1"/>
          </rPr>
          <t>Edited in V3</t>
        </r>
      </text>
    </comment>
    <comment ref="D73"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9" authorId="0" shapeId="0" xr:uid="{C0E8866C-AFF7-4A9C-B953-FC90B309A7D9}">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76124B15-F295-4C8B-8091-766D1986AC6A}">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81A2857D-A928-4D04-9DDE-C24CF73866F5}">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6ED179F5-CD54-4051-AD87-5BAB699B2C12}">
      <text>
        <r>
          <rPr>
            <sz val="12"/>
            <color indexed="81"/>
            <rFont val="Times New Roman"/>
            <family val="1"/>
          </rPr>
          <t>Added in V3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9"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00000000-0006-0000-0200-000005000000}">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<sst xmlns="http://schemas.openxmlformats.org/spreadsheetml/2006/main" count="1311" uniqueCount="492">
  <si>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</si>
  <si>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</si>
  <si>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</si>
  <si>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</si>
  <si>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</si>
  <si>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</si>
  <si>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</si>
  <si>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</si>
  <si>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</si>
  <si>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</si>
  <si>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</si>
  <si>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</si>
  <si>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</si>
  <si>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</si>
  <si>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</si>
  <si>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</si>
  <si>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</si>
  <si>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</si>
  <si>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</si>
  <si>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</si>
  <si>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</si>
  <si>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</si>
  <si>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</si>
  <si>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</si>
  <si>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</si>
  <si>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</si>
  <si>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</si>
  <si>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</si>
  <si>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</si>
  <si>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</si>
  <si>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</si>
  <si>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</si>
  <si>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</si>
  <si>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</si>
  <si>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</si>
  <si>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</si>
  <si>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</si>
  <si>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</si>
  <si>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</si>
  <si>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</si>
  <si>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</si>
  <si>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</si>
  <si>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</si>
  <si>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</si>
  <si>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</si>
  <si>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</si>
  <si>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</si>
  <si>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</si>
  <si>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</si>
  <si>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</si>
  <si>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</si>
  <si>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</si>
  <si>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</si>
  <si>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</si>
  <si>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</si>
  <si>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</si>
  <si>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</si>
  <si>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</si>
  <si>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</si>
  <si>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</si>
  <si>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</si>
  <si>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</si>
  <si>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</si>
  <si>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</si>
  <si>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</si>
  <si>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</si>
  <si>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</si>
  <si>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</si>
  <si>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</si>
  <si>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</si>
  <si>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</si>
  <si>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</si>
  <si>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</si>
  <si>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</si>
  <si>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</si>
  <si>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</si>
  <si>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</si>
  <si>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</si>
  <si>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</si>
  <si>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</si>
  <si>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</si>
  <si>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</si>
  <si>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</si>
  <si>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</si>
  <si>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</si>
  <si>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</si>
  <si>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</si>
  <si>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</si>
  <si>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</si>
  <si>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</si>
  <si>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</si>
  <si>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</si>
  <si>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</si>
  <si>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</si>
  <si>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</si>
  <si>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</si>
  <si>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</si>
  <si>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</si>
  <si>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</si>
  <si>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</si>
  <si>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</si>
  <si>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</si>
  <si>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</si>
  <si>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</si>
  <si>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</si>
  <si>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</si>
  <si>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</si>
  <si>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</si>
  <si>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</si>
  <si>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</si>
  <si>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</si>
  <si>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</si>
  <si>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</si>
  <si>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</si>
  <si>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</si>
  <si>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</si>
  <si>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</si>
  <si>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</si>
  <si>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</si>
  <si>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</si>
  <si>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</si>
  <si>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</si>
  <si>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</si>
  <si>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</si>
  <si>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</si>
  <si>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</si>
  <si>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</si>
  <si>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</si>
  <si>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</si>
  <si>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</si>
  <si>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</si>
  <si>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</si>
  <si>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</si>
  <si>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</si>
  <si>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</si>
  <si>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</si>
  <si>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</si>
  <si>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</si>
  <si>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</si>
  <si>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</si>
  <si>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</si>
  <si>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</si>
  <si>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</si>
  <si>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</si>
  <si>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</si>
  <si>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</si>
  <si>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</si>
  <si>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</si>
  <si>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</si>
  <si>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</si>
  <si>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</si>
  <si>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</si>
  <si>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</si>
  <si>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</si>
  <si>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</si>
  <si>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</si>
  <si>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</si>
  <si>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</si>
  <si>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</si>
  <si>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</si>
  <si>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</si>
  <si>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</si>
  <si>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</si>
  <si>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</si>
  <si>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</si>
  <si>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</si>
  <si>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</si>
  <si>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</si>
  <si>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</si>
  <si>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</si>
  <si>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</si>
  <si>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</si>
  <si>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</si>
  <si>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</si>
  <si>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</si>
  <si>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</si>
  <si>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</si>
  <si>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</si>
  <si>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</si>
  <si>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</si>
  <si>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</si>
  <si>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</si>
  <si>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</si>
  <si>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</si>
  <si>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</si>
  <si>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</si>
  <si>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</si>
  <si>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</si>
  <si>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</si>
  <si>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</si>
  <si>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</si>
  <si>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</si>
  <si>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</si>
  <si>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</si>
  <si>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</si>
  <si>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</si>
  <si>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</si>
  <si>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</si>
  <si>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</si>
  <si>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</si>
  <si>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</si>
  <si>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</si>
  <si>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</si>
  <si>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</si>
  <si>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</si>
  <si>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</si>
  <si>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</si>
  <si>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</si>
  <si>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</si>
  <si>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</si>
  <si>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</si>
  <si>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</si>
  <si>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</si>
  <si>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</si>
  <si>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</si>
  <si>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</si>
  <si>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</si>
  <si>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</si>
  <si>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</si>
  <si>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</si>
  <si>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</si>
  <si>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</si>
  <si>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</si>
  <si>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</si>
  <si>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</si>
  <si>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</si>
  <si>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</si>
  <si>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</si>
  <si>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</si>
  <si>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</si>
  <si>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</si>
  <si>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</si>
  <si>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</si>
  <si>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</si>
  <si>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</si>
  <si>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</si>
  <si>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</si>
  <si>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</si>
  <si>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</si>
  <si>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</si>
  <si>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</si>
  <si>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</si>
  <si>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</si>
  <si>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</si>
  <si>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</si>
  <si>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</si>
  <si>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</si>
  <si>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</si>
  <si>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</si>
  <si>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</si>
  <si>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</si>
  <si>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</si>
  <si>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</si>
  <si>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</si>
  <si>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</si>
  <si>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</si>
  <si>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</si>
  <si>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</si>
  <si>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</si>
  <si>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</si>
  <si>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</si>
  <si>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</si>
  <si>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</si>
  <si>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</si>
  <si>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</si>
  <si>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</si>
  <si>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</si>
  <si>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</si>
  <si>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</si>
  <si>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</si>
  <si>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</si>
  <si>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</si>
  <si>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</si>
  <si>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</si>
  <si>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</si>
  <si>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</si>
  <si>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</si>
  <si>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</si>
  <si>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</si>
  <si>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</si>
  <si>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</si>
  <si>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</si>
  <si>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</si>
  <si>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</si>
  <si>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</si>
  <si>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</si>
  <si>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</si>
  <si>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</si>
  <si>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</si>
  <si>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</si>
  <si>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</si>
  <si>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</si>
  <si>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</si>
  <si>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</si>
  <si>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</si>
  <si>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</si>
  <si>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</si>
  <si>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</si>
  <si>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</si>
  <si>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</si>
  <si>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</si>
  <si>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</si>
  <si>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</si>
  <si>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</si>
  <si>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</si>
  <si>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</si>
  <si>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</si>
  <si>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</si>
  <si>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</si>
  <si>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</si>
  <si>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</si>
  <si>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</si>
  <si>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</si>
  <si>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</si>
  <si>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</si>
  <si>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</si>
  <si>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</si>
  <si>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</si>
  <si>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</si>
  <si>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</si>
  <si>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</si>
  <si>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</si>
  <si>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</si>
  <si>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</si>
  <si>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</si>
  <si>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</si>
  <si>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Start-up and clearance time (s)</t>
  </si>
  <si>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</si>
  <si>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</si>
  <si>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</si>
  <si>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</si>
  <si>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</si>
  <si>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</si>
  <si>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</si>
  <si>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</si>
  <si>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</si>
  <si>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</si>
  <si>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</si>
  <si>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</si>
  <si>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</si>
  <si>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</si>
  <si>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</si>
  <si>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</si>
  <si>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</si>
  <si>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</si>
  <si>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</si>
  <si>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</si>
  <si>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</si>
  <si>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</si>
  <si>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</si>
  <si>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</si>
  <si>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</si>
  <si>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</si>
  <si>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</si>
  <si>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</si>
  <si>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</si>
  <si>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</si>
  <si>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</si>
  <si>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</si>
  <si>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</si>
  <si>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</si>
  <si>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</si>
  <si>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</si>
  <si>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</si>
  <si>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</si>
  <si>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</si>
  <si>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</si>
  <si>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</si>
  <si>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</si>
  <si>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</si>
  <si>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</si>
  <si>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</si>
  <si>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</si>
  <si>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</si>
  <si>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</si>
  <si>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</si>
  <si>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9 (9-10)</t>
  </si>
  <si>
    <t>10 (10-11)</t>
  </si>
  <si>
    <t>11 (11-12)</t>
  </si>
  <si>
    <t>12 (12-13)</t>
  </si>
  <si>
    <t>13 (13-14)</t>
  </si>
  <si>
    <t>14 (14-15)</t>
  </si>
  <si>
    <t>15 (15-16)</t>
  </si>
  <si>
    <t>16 (16-17)</t>
  </si>
  <si>
    <t>17 (17-18)</t>
  </si>
  <si>
    <t>18 (18-19)</t>
  </si>
  <si>
    <t>19 (19-20)</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</si>
  <si>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</si>
  <si>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</si>
  <si>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</si>
  <si>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</si>
  <si>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</si>
  <si>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</si>
  <si>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</si>
  <si>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</si>
  <si>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</si>
  <si>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</si>
  <si>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</si>
  <si>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</si>
  <si>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</si>
  <si>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</si>
  <si>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</si>
  <si>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</si>
  <si>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</si>
  <si>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</si>
  <si>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</si>
  <si>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</si>
  <si>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</si>
  <si>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</si>
  <si>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</si>
  <si>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</si>
  <si>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</si>
  <si>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</si>
  <si>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</si>
  <si>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</si>
  <si>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</si>
  <si>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</si>
  <si>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</si>
  <si>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</si>
  <si>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</si>
  <si>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</si>
  <si>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</si>
  <si>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</si>
  <si>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</si>
  <si>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</si>
  <si>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</si>
  <si>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</si>
  <si>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</si>
  <si>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</si>
  <si>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</si>
  <si>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</si>
  <si>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</si>
  <si>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</si>
  <si>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</si>
  <si>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</si>
  <si>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</si>
  <si>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</si>
  <si>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</si>
  <si>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</si>
  <si>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</si>
  <si>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</si>
  <si>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</si>
  <si>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</si>
  <si>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</si>
  <si>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</si>
  <si>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</si>
  <si>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</si>
  <si>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</si>
  <si>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</si>
  <si>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</si>
  <si>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</si>
  <si>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</si>
  <si>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</si>
  <si>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</si>
  <si>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</si>
  <si>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</si>
  <si>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</si>
  <si>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</si>
  <si>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</si>
  <si>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</si>
  <si>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</si>
  <si>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</si>
  <si>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</si>
  <si>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</si>
  <si>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</si>
  <si>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Volume</t>
  </si>
  <si>
    <t>Speed</t>
  </si>
  <si>
    <t>Lanes</t>
  </si>
  <si>
    <t>Signal</t>
  </si>
  <si>
    <t>dp</t>
  </si>
  <si>
    <t>i</t>
  </si>
  <si>
    <t>Pb</t>
  </si>
  <si>
    <t>Pd</t>
  </si>
  <si>
    <t>tcg</t>
  </si>
  <si>
    <t>PYi</t>
  </si>
  <si>
    <t>d</t>
  </si>
  <si>
    <t>d macro</t>
  </si>
  <si>
    <t>My</t>
  </si>
  <si>
    <t>dgd</t>
  </si>
  <si>
    <t>tc</t>
  </si>
  <si>
    <t>Np</t>
  </si>
  <si>
    <t>Nc</t>
  </si>
  <si>
    <t>vv</t>
  </si>
  <si>
    <t>vp</t>
  </si>
  <si>
    <t>ts</t>
  </si>
  <si>
    <t>Sp</t>
  </si>
  <si>
    <t>Wc</t>
  </si>
  <si>
    <t>dg</t>
  </si>
  <si>
    <t>sumPY</t>
  </si>
  <si>
    <t>NL</t>
  </si>
  <si>
    <t>VolVeh</t>
  </si>
  <si>
    <t>VolPed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</si>
</sst>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b/>
      <sz val="12"/>
      <color theme="1"/>
      <name val="Calibri"/>
      <family val="2"/>
      <scheme val="minor"/>
    </font>
    <font>
      <b/>
      <i/>
      <sz val="12"/>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20">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5" fillId="3"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1" fontId="3" fillId="5" borderId="1" xfId="0" applyNumberFormat="1" applyFont="1" applyFill="1" applyBorder="1" applyAlignment="1">
      <alignment vertical="center"/>
    </xf>
    <xf numFmtId="0" fontId="2" fillId="5" borderId="1" xfId="0" applyFont="1" applyFill="1" applyBorder="1" applyAlignment="1">
      <alignment vertical="center"/>
    </xf>
    <xf numFmtId="2" fontId="3" fillId="5" borderId="1" xfId="0" applyNumberFormat="1" applyFont="1" applyFill="1" applyBorder="1" applyAlignment="1">
      <alignment vertical="center"/>
    </xf>
    <xf numFmtId="0" fontId="5" fillId="3" borderId="0" xfId="0" applyFont="1" applyFill="1" applyBorder="1" applyAlignment="1">
      <alignment vertical="center"/>
    </xf>
    <xf numFmtId="2" fontId="3" fillId="5" borderId="1"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5" fontId="0" fillId="0" borderId="0" xfId="0" applyNumberFormat="1"/>
    <xf numFmtId="166" fontId="0" fillId="0" borderId="0" xfId="0" applyNumberFormat="1"/>
    <xf numFmtId="2" fontId="0" fillId="0" borderId="0" xfId="0" applyNumberFormat="1"/>
    <xf numFmtId="1" fontId="0" fillId="0" borderId="0" xfId="0" applyNumberFormat="1"/>
    <xf numFmtId="0" fontId="32" fillId="0" borderId="0" xfId="0" applyFont="1"/>
    <xf numFmtId="0" fontId="0" fillId="0" borderId="0" xfId="0" applyFont="1"/>
    <xf numFmtId="164" fontId="0" fillId="0" borderId="0" xfId="0" applyNumberFormat="1"/>
    <xf numFmtId="0" fontId="0" fillId="0" borderId="0" xfId="0" applyAlignment="1">
      <alignment horizontal="left"/>
    </xf>
    <xf numFmtId="165" fontId="0" fillId="0" borderId="0" xfId="0" applyNumberFormat="1" applyAlignment="1">
      <alignment horizontal="left"/>
    </xf>
    <xf numFmtId="0" fontId="33" fillId="0" borderId="0" xfId="0" applyFont="1"/>
    <xf numFmtId="0" fontId="33" fillId="0" borderId="0" xfId="0" applyFont="1" applyAlignment="1">
      <alignment horizontal="left"/>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5" fillId="3" borderId="3" xfId="0"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14" fillId="3" borderId="1"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736159508178839E-2"/>
          <c:y val="9.6367995073077778E-2"/>
          <c:w val="0.89470393829133221"/>
          <c:h val="0.75168324976191447"/>
        </c:manualLayout>
      </c:layout>
      <c:lineChart>
        <c:grouping val="standard"/>
        <c:varyColors val="0"/>
        <c:ser>
          <c:idx val="1"/>
          <c:order val="0"/>
          <c:tx>
            <c:strRef>
              <c:f>Sheet1!$X$4</c:f>
              <c:strCache>
                <c:ptCount val="1"/>
                <c:pt idx="0">
                  <c:v>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Sheet1!$X$4:$X$115</c:f>
              <c:numCache>
                <c:formatCode>0.000</c:formatCode>
                <c:ptCount val="112"/>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F0-BE4B-4E76-8668-FB0ABEF2FDE8}"/>
            </c:ext>
          </c:extLst>
        </c:ser>
        <c:ser>
          <c:idx val="2"/>
          <c:order val="1"/>
          <c:tx>
            <c:strRef>
              <c:f>Sheet1!$Y$4</c:f>
              <c:strCache>
                <c:ptCount val="1"/>
                <c:pt idx="0">
                  <c:v>0.05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Sheet1!$Y$4:$Y$115</c:f>
              <c:numCache>
                <c:formatCode>0.000</c:formatCode>
                <c:ptCount val="112"/>
                <c:pt idx="0" formatCode="General">
                  <c:v>0.05</c:v>
                </c:pt>
                <c:pt idx="1">
                  <c:v>5.0916520414269071</c:v>
                </c:pt>
                <c:pt idx="2">
                  <c:v>5.6926025862493255</c:v>
                </c:pt>
                <c:pt idx="3">
                  <c:v>6.3140405944386426</c:v>
                </c:pt>
                <c:pt idx="4">
                  <c:v>6.9569803518692845</c:v>
                </c:pt>
                <c:pt idx="5">
                  <c:v>7.6224616888356742</c:v>
                </c:pt>
                <c:pt idx="6">
                  <c:v>8.3115520811552344</c:v>
                </c:pt>
                <c:pt idx="7">
                  <c:v>9.0253487872372347</c:v>
                </c:pt>
                <c:pt idx="8">
                  <c:v>9.764981025735322</c:v>
                </c:pt>
                <c:pt idx="9">
                  <c:v>10.531612198454663</c:v>
                </c:pt>
                <c:pt idx="10">
                  <c:v>11.316594786198491</c:v>
                </c:pt>
                <c:pt idx="11">
                  <c:v>12.121432827702021</c:v>
                </c:pt>
                <c:pt idx="12">
                  <c:v>12.956069794393223</c:v>
                </c:pt>
                <c:pt idx="13">
                  <c:v>13.82192059185032</c:v>
                </c:pt>
                <c:pt idx="14">
                  <c:v>14.720439813919048</c:v>
                </c:pt>
                <c:pt idx="15">
                  <c:v>15.653124715721349</c:v>
                </c:pt>
                <c:pt idx="16">
                  <c:v>16.621518246905943</c:v>
                </c:pt>
                <c:pt idx="17">
                  <c:v>17.608911236604001</c:v>
                </c:pt>
                <c:pt idx="18">
                  <c:v>18.628382987785145</c:v>
                </c:pt>
                <c:pt idx="19">
                  <c:v>19.687906016249105</c:v>
                </c:pt>
                <c:pt idx="20">
                  <c:v>20.789310143899211</c:v>
                </c:pt>
                <c:pt idx="21">
                  <c:v>21.934481736869994</c:v>
                </c:pt>
                <c:pt idx="22">
                  <c:v>23.105980775050583</c:v>
                </c:pt>
                <c:pt idx="23">
                  <c:v>24.315611488764915</c:v>
                </c:pt>
                <c:pt idx="24">
                  <c:v>25.574654747588923</c:v>
                </c:pt>
                <c:pt idx="25">
                  <c:v>26.885323121309995</c:v>
                </c:pt>
                <c:pt idx="26">
                  <c:v>28.229906828657004</c:v>
                </c:pt>
                <c:pt idx="27">
                  <c:v>29.618889990029629</c:v>
                </c:pt>
                <c:pt idx="28">
                  <c:v>31.066338065103942</c:v>
                </c:pt>
                <c:pt idx="29">
                  <c:v>32.565847200396448</c:v>
                </c:pt>
                <c:pt idx="30">
                  <c:v>34.103958723426601</c:v>
                </c:pt>
                <c:pt idx="31">
                  <c:v>35.708388044551668</c:v>
                </c:pt>
                <c:pt idx="32">
                  <c:v>37.368397599682375</c:v>
                </c:pt>
                <c:pt idx="33">
                  <c:v>39.078264554653558</c:v>
                </c:pt>
                <c:pt idx="34">
                  <c:v>40.863406582253738</c:v>
                </c:pt>
                <c:pt idx="35">
                  <c:v>42.714853774858966</c:v>
                </c:pt>
                <c:pt idx="36">
                  <c:v>44.764550064906054</c:v>
                </c:pt>
                <c:pt idx="37">
                  <c:v>46.894780825602602</c:v>
                </c:pt>
                <c:pt idx="38">
                  <c:v>49.127093110521088</c:v>
                </c:pt>
                <c:pt idx="39">
                  <c:v>51.448345565058041</c:v>
                </c:pt>
                <c:pt idx="40">
                  <c:v>53.887101438440752</c:v>
                </c:pt>
                <c:pt idx="41">
                  <c:v>56.420957046456735</c:v>
                </c:pt>
                <c:pt idx="42">
                  <c:v>59.078772692158957</c:v>
                </c:pt>
                <c:pt idx="43">
                  <c:v>61.865843652337183</c:v>
                </c:pt>
                <c:pt idx="44">
                  <c:v>64.772708729702288</c:v>
                </c:pt>
                <c:pt idx="45">
                  <c:v>67.820598754557011</c:v>
                </c:pt>
                <c:pt idx="46">
                  <c:v>71.017753314114771</c:v>
                </c:pt>
                <c:pt idx="47">
                  <c:v>74.371705606223856</c:v>
                </c:pt>
                <c:pt idx="48">
                  <c:v>77.89128135754251</c:v>
                </c:pt>
                <c:pt idx="49">
                  <c:v>81.586672551236887</c:v>
                </c:pt>
                <c:pt idx="50">
                  <c:v>85.469525611217307</c:v>
                </c:pt>
                <c:pt idx="51">
                  <c:v>89.553045511796981</c:v>
                </c:pt>
                <c:pt idx="52">
                  <c:v>93.852117533204094</c:v>
                </c:pt>
                <c:pt idx="53">
                  <c:v>98.381255616138176</c:v>
                </c:pt>
                <c:pt idx="54">
                  <c:v>103.14737488971522</c:v>
                </c:pt>
                <c:pt idx="55">
                  <c:v>108.18286076564299</c:v>
                </c:pt>
                <c:pt idx="56">
                  <c:v>113.49093743892469</c:v>
                </c:pt>
                <c:pt idx="57">
                  <c:v>119.10436652894515</c:v>
                </c:pt>
                <c:pt idx="58">
                  <c:v>125.04129744400505</c:v>
                </c:pt>
                <c:pt idx="59">
                  <c:v>131.32380619333091</c:v>
                </c:pt>
                <c:pt idx="60">
                  <c:v>137.9781409840578</c:v>
                </c:pt>
                <c:pt idx="61">
                  <c:v>145.03503551609674</c:v>
                </c:pt>
                <c:pt idx="62">
                  <c:v>152.53009621752389</c:v>
                </c:pt>
                <c:pt idx="63">
                  <c:v>160.49146147651103</c:v>
                </c:pt>
                <c:pt idx="64">
                  <c:v>168.96343248943481</c:v>
                </c:pt>
                <c:pt idx="65">
                  <c:v>177.98572875184757</c:v>
                </c:pt>
                <c:pt idx="66">
                  <c:v>187.6063136527174</c:v>
                </c:pt>
                <c:pt idx="67">
                  <c:v>197.87638791447628</c:v>
                </c:pt>
                <c:pt idx="68">
                  <c:v>208.85385694400443</c:v>
                </c:pt>
                <c:pt idx="69">
                  <c:v>220.60007144220623</c:v>
                </c:pt>
                <c:pt idx="70">
                  <c:v>233.18977096780239</c:v>
                </c:pt>
                <c:pt idx="71">
                  <c:v>246.69671731587374</c:v>
                </c:pt>
                <c:pt idx="72">
                  <c:v>261.20844322497817</c:v>
                </c:pt>
                <c:pt idx="73">
                  <c:v>276.82516253317527</c:v>
                </c:pt>
                <c:pt idx="74">
                  <c:v>293.65434414829872</c:v>
                </c:pt>
                <c:pt idx="75">
                  <c:v>311.81645411043434</c:v>
                </c:pt>
                <c:pt idx="76">
                  <c:v>331.44635055465608</c:v>
                </c:pt>
                <c:pt idx="77">
                  <c:v>352.6976899272272</c:v>
                </c:pt>
                <c:pt idx="78">
                  <c:v>375.74385055567546</c:v>
                </c:pt>
                <c:pt idx="79">
                  <c:v>400.77426823695032</c:v>
                </c:pt>
                <c:pt idx="80">
                  <c:v>428.00967980394449</c:v>
                </c:pt>
                <c:pt idx="81">
                  <c:v>457.69512066796676</c:v>
                </c:pt>
                <c:pt idx="82">
                  <c:v>490.10943189108445</c:v>
                </c:pt>
                <c:pt idx="83">
                  <c:v>525.56869202656799</c:v>
                </c:pt>
                <c:pt idx="84">
                  <c:v>564.43141032415281</c:v>
                </c:pt>
                <c:pt idx="85">
                  <c:v>607.10529858814527</c:v>
                </c:pt>
                <c:pt idx="86">
                  <c:v>654.05753365156693</c:v>
                </c:pt>
                <c:pt idx="87">
                  <c:v>705.81853471243983</c:v>
                </c:pt>
                <c:pt idx="88">
                  <c:v>762.99591919354077</c:v>
                </c:pt>
                <c:pt idx="89">
                  <c:v>826.28588776871482</c:v>
                </c:pt>
                <c:pt idx="90">
                  <c:v>896.48732547328939</c:v>
                </c:pt>
                <c:pt idx="91">
                  <c:v>974.51661243736908</c:v>
                </c:pt>
                <c:pt idx="92">
                  <c:v>1061.429501017305</c:v>
                </c:pt>
                <c:pt idx="93">
                  <c:v>1158.4398600160011</c:v>
                </c:pt>
                <c:pt idx="94">
                  <c:v>1266.9486783261248</c:v>
                </c:pt>
                <c:pt idx="95">
                  <c:v>1388.5715267074283</c:v>
                </c:pt>
                <c:pt idx="96">
                  <c:v>1525.1737007933084</c:v>
                </c:pt>
                <c:pt idx="97">
                  <c:v>1678.909169472493</c:v>
                </c:pt>
                <c:pt idx="98">
                  <c:v>1852.2666057623828</c:v>
                </c:pt>
                <c:pt idx="99">
                  <c:v>2048.1193264454587</c:v>
                </c:pt>
                <c:pt idx="100">
                  <c:v>2269.7844341849636</c:v>
                </c:pt>
                <c:pt idx="101">
                  <c:v>2521.0865606917432</c:v>
                </c:pt>
                <c:pt idx="102">
                  <c:v>2806.4303116029714</c:v>
                </c:pt>
                <c:pt idx="103">
                  <c:v>3130.8793468488821</c:v>
                </c:pt>
                <c:pt idx="104">
                  <c:v>3500.2431126788651</c:v>
                </c:pt>
                <c:pt idx="105">
                  <c:v>3921.1714118852096</c:v>
                </c:pt>
                <c:pt idx="106">
                  <c:v>4401.2582820833686</c:v>
                </c:pt>
                <c:pt idx="107">
                  <c:v>4949.1587938485109</c:v>
                </c:pt>
                <c:pt idx="108">
                  <c:v>5574.7260040278134</c:v>
                </c:pt>
                <c:pt idx="109">
                  <c:v>6289.1815561389085</c:v>
                </c:pt>
                <c:pt idx="110">
                  <c:v>7105.3435294518131</c:v>
                </c:pt>
                <c:pt idx="111">
                  <c:v>8037.9474715528459</c:v>
                </c:pt>
              </c:numCache>
            </c:numRef>
          </c:val>
          <c:smooth val="0"/>
          <c:extLst>
            <c:ext xmlns:c16="http://schemas.microsoft.com/office/drawing/2014/chart" uri="{C3380CC4-5D6E-409C-BE32-E72D297353CC}">
              <c16:uniqueId val="{000000F1-BE4B-4E76-8668-FB0ABEF2FDE8}"/>
            </c:ext>
          </c:extLst>
        </c:ser>
        <c:ser>
          <c:idx val="3"/>
          <c:order val="2"/>
          <c:tx>
            <c:strRef>
              <c:f>Sheet1!$Z$4</c:f>
              <c:strCache>
                <c:ptCount val="1"/>
                <c:pt idx="0">
                  <c:v>0.1</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Sheet1!$Z$4:$Z$115</c:f>
              <c:numCache>
                <c:formatCode>0.000</c:formatCode>
                <c:ptCount val="112"/>
                <c:pt idx="0" formatCode="General">
                  <c:v>0.1</c:v>
                </c:pt>
                <c:pt idx="1">
                  <c:v>4.9197847348092107</c:v>
                </c:pt>
                <c:pt idx="2">
                  <c:v>5.4902730613334789</c:v>
                </c:pt>
                <c:pt idx="3">
                  <c:v>6.0794608872333766</c:v>
                </c:pt>
                <c:pt idx="4">
                  <c:v>6.6884886478275893</c:v>
                </c:pt>
                <c:pt idx="5">
                  <c:v>7.3185143279109361</c:v>
                </c:pt>
                <c:pt idx="6">
                  <c:v>7.9707159764688145</c:v>
                </c:pt>
                <c:pt idx="7">
                  <c:v>8.6462942361894921</c:v>
                </c:pt>
                <c:pt idx="8">
                  <c:v>9.3464748934528696</c:v>
                </c:pt>
                <c:pt idx="9">
                  <c:v>10.07251145447292</c:v>
                </c:pt>
                <c:pt idx="10">
                  <c:v>10.807068203563938</c:v>
                </c:pt>
                <c:pt idx="11">
                  <c:v>11.551815480146249</c:v>
                </c:pt>
                <c:pt idx="12">
                  <c:v>12.324429181887718</c:v>
                </c:pt>
                <c:pt idx="13">
                  <c:v>13.126460434752994</c:v>
                </c:pt>
                <c:pt idx="14">
                  <c:v>13.959491050515329</c:v>
                </c:pt>
                <c:pt idx="15">
                  <c:v>14.825136935398829</c:v>
                </c:pt>
                <c:pt idx="16">
                  <c:v>15.725051538258061</c:v>
                </c:pt>
                <c:pt idx="17">
                  <c:v>16.626819266093527</c:v>
                </c:pt>
                <c:pt idx="18">
                  <c:v>17.553224533310363</c:v>
                </c:pt>
                <c:pt idx="19">
                  <c:v>18.517698407450293</c:v>
                </c:pt>
                <c:pt idx="20">
                  <c:v>19.522205864367749</c:v>
                </c:pt>
                <c:pt idx="21">
                  <c:v>20.568759015842236</c:v>
                </c:pt>
                <c:pt idx="22">
                  <c:v>21.6237636142173</c:v>
                </c:pt>
                <c:pt idx="23">
                  <c:v>22.707006766927584</c:v>
                </c:pt>
                <c:pt idx="24">
                  <c:v>23.837519294546802</c:v>
                </c:pt>
                <c:pt idx="25">
                  <c:v>25.017651127871808</c:v>
                </c:pt>
                <c:pt idx="26">
                  <c:v>26.213474672827697</c:v>
                </c:pt>
                <c:pt idx="27">
                  <c:v>27.441820852388886</c:v>
                </c:pt>
                <c:pt idx="28">
                  <c:v>28.726269319218503</c:v>
                </c:pt>
                <c:pt idx="29">
                  <c:v>30.05341460577716</c:v>
                </c:pt>
                <c:pt idx="30">
                  <c:v>31.396735909540823</c:v>
                </c:pt>
                <c:pt idx="31">
                  <c:v>32.803685621199961</c:v>
                </c:pt>
                <c:pt idx="32">
                  <c:v>34.25306148275115</c:v>
                </c:pt>
                <c:pt idx="33">
                  <c:v>35.732025473272309</c:v>
                </c:pt>
                <c:pt idx="34">
                  <c:v>37.283264068589538</c:v>
                </c:pt>
                <c:pt idx="35">
                  <c:v>38.870812898815785</c:v>
                </c:pt>
                <c:pt idx="36">
                  <c:v>40.634160992462554</c:v>
                </c:pt>
                <c:pt idx="37">
                  <c:v>42.451436675914707</c:v>
                </c:pt>
                <c:pt idx="38">
                  <c:v>44.354677772083996</c:v>
                </c:pt>
                <c:pt idx="39">
                  <c:v>46.315959730919019</c:v>
                </c:pt>
                <c:pt idx="40">
                  <c:v>48.37847798430532</c:v>
                </c:pt>
                <c:pt idx="41">
                  <c:v>50.497618540546448</c:v>
                </c:pt>
                <c:pt idx="42">
                  <c:v>52.716242003834139</c:v>
                </c:pt>
                <c:pt idx="43">
                  <c:v>55.035900600900924</c:v>
                </c:pt>
                <c:pt idx="44">
                  <c:v>57.433127281880971</c:v>
                </c:pt>
                <c:pt idx="45">
                  <c:v>59.935662052151258</c:v>
                </c:pt>
                <c:pt idx="46">
                  <c:v>62.548428377829794</c:v>
                </c:pt>
                <c:pt idx="47">
                  <c:v>65.274527254725541</c:v>
                </c:pt>
                <c:pt idx="48">
                  <c:v>68.11848350972241</c:v>
                </c:pt>
                <c:pt idx="49">
                  <c:v>71.086245634890531</c:v>
                </c:pt>
                <c:pt idx="50">
                  <c:v>74.185207477969612</c:v>
                </c:pt>
                <c:pt idx="51">
                  <c:v>77.424251760766793</c:v>
                </c:pt>
                <c:pt idx="52">
                  <c:v>80.813815826576246</c:v>
                </c:pt>
                <c:pt idx="53">
                  <c:v>84.362514791762223</c:v>
                </c:pt>
                <c:pt idx="54">
                  <c:v>88.065647459184589</c:v>
                </c:pt>
                <c:pt idx="55">
                  <c:v>91.957187799181341</c:v>
                </c:pt>
                <c:pt idx="56">
                  <c:v>96.023824880865703</c:v>
                </c:pt>
                <c:pt idx="57">
                  <c:v>100.2964163473093</c:v>
                </c:pt>
                <c:pt idx="58">
                  <c:v>104.7811125244977</c:v>
                </c:pt>
                <c:pt idx="59">
                  <c:v>109.48812161558428</c:v>
                </c:pt>
                <c:pt idx="60">
                  <c:v>114.4316491898922</c:v>
                </c:pt>
                <c:pt idx="61">
                  <c:v>119.62994035503908</c:v>
                </c:pt>
                <c:pt idx="62">
                  <c:v>125.10542098283088</c:v>
                </c:pt>
                <c:pt idx="63">
                  <c:v>130.8664683267225</c:v>
                </c:pt>
                <c:pt idx="64">
                  <c:v>136.94135561630134</c:v>
                </c:pt>
                <c:pt idx="65">
                  <c:v>143.34775477004899</c:v>
                </c:pt>
                <c:pt idx="66">
                  <c:v>150.11069941768477</c:v>
                </c:pt>
                <c:pt idx="67">
                  <c:v>157.25488365240471</c:v>
                </c:pt>
                <c:pt idx="68">
                  <c:v>164.80879263331735</c:v>
                </c:pt>
                <c:pt idx="69">
                  <c:v>172.79965593028567</c:v>
                </c:pt>
                <c:pt idx="70">
                  <c:v>181.26583320261182</c:v>
                </c:pt>
                <c:pt idx="71">
                  <c:v>190.23689631749554</c:v>
                </c:pt>
                <c:pt idx="72">
                  <c:v>199.75209276912881</c:v>
                </c:pt>
                <c:pt idx="73">
                  <c:v>209.85732343998296</c:v>
                </c:pt>
                <c:pt idx="74">
                  <c:v>220.59699284736274</c:v>
                </c:pt>
                <c:pt idx="75">
                  <c:v>232.01983353785954</c:v>
                </c:pt>
                <c:pt idx="76">
                  <c:v>244.1788330271591</c:v>
                </c:pt>
                <c:pt idx="77">
                  <c:v>257.13439617028797</c:v>
                </c:pt>
                <c:pt idx="78">
                  <c:v>270.95291995359707</c:v>
                </c:pt>
                <c:pt idx="79">
                  <c:v>285.70038446700937</c:v>
                </c:pt>
                <c:pt idx="80">
                  <c:v>301.45626578103156</c:v>
                </c:pt>
                <c:pt idx="81">
                  <c:v>318.30243252908599</c:v>
                </c:pt>
                <c:pt idx="82">
                  <c:v>336.32955443356161</c:v>
                </c:pt>
                <c:pt idx="83">
                  <c:v>355.63620152039903</c:v>
                </c:pt>
                <c:pt idx="84">
                  <c:v>376.32914067935394</c:v>
                </c:pt>
                <c:pt idx="85">
                  <c:v>398.5243598396238</c:v>
                </c:pt>
                <c:pt idx="86">
                  <c:v>422.35007865001143</c:v>
                </c:pt>
                <c:pt idx="87">
                  <c:v>447.94316114490596</c:v>
                </c:pt>
                <c:pt idx="88">
                  <c:v>475.45326292613498</c:v>
                </c:pt>
                <c:pt idx="89">
                  <c:v>505.04322873801709</c:v>
                </c:pt>
                <c:pt idx="90">
                  <c:v>536.89027126919439</c:v>
                </c:pt>
                <c:pt idx="91">
                  <c:v>571.18635014543952</c:v>
                </c:pt>
                <c:pt idx="92">
                  <c:v>608.14171335310652</c:v>
                </c:pt>
                <c:pt idx="93">
                  <c:v>647.98484755562004</c:v>
                </c:pt>
                <c:pt idx="94">
                  <c:v>690.96704679028915</c:v>
                </c:pt>
                <c:pt idx="95">
                  <c:v>737.36443878454236</c:v>
                </c:pt>
                <c:pt idx="96">
                  <c:v>787.4827945090251</c:v>
                </c:pt>
                <c:pt idx="97">
                  <c:v>841.66295883408691</c:v>
                </c:pt>
                <c:pt idx="98">
                  <c:v>900.2884383026427</c:v>
                </c:pt>
                <c:pt idx="99">
                  <c:v>963.79415915889933</c:v>
                </c:pt>
                <c:pt idx="100">
                  <c:v>1032.6783428335536</c:v>
                </c:pt>
                <c:pt idx="101">
                  <c:v>1107.5160845168743</c:v>
                </c:pt>
                <c:pt idx="102">
                  <c:v>1188.9756459736345</c:v>
                </c:pt>
                <c:pt idx="103">
                  <c:v>1277.8362929525044</c:v>
                </c:pt>
                <c:pt idx="104">
                  <c:v>1375.0068041328718</c:v>
                </c:pt>
                <c:pt idx="105">
                  <c:v>1481.5429408971424</c:v>
                </c:pt>
                <c:pt idx="106">
                  <c:v>1598.6618782296146</c:v>
                </c:pt>
                <c:pt idx="107">
                  <c:v>1727.7517039715322</c:v>
                </c:pt>
                <c:pt idx="108">
                  <c:v>1870.3749537952162</c:v>
                </c:pt>
                <c:pt idx="109">
                  <c:v>2028.2668068286223</c:v>
                </c:pt>
                <c:pt idx="110">
                  <c:v>2203.3304531895651</c:v>
                </c:pt>
                <c:pt idx="111">
                  <c:v>2397.6330949122148</c:v>
                </c:pt>
              </c:numCache>
            </c:numRef>
          </c:val>
          <c:smooth val="0"/>
          <c:extLst>
            <c:ext xmlns:c16="http://schemas.microsoft.com/office/drawing/2014/chart" uri="{C3380CC4-5D6E-409C-BE32-E72D297353CC}">
              <c16:uniqueId val="{000000F2-BE4B-4E76-8668-FB0ABEF2FDE8}"/>
            </c:ext>
          </c:extLst>
        </c:ser>
        <c:ser>
          <c:idx val="4"/>
          <c:order val="3"/>
          <c:tx>
            <c:strRef>
              <c:f>Sheet1!$AA$4</c:f>
              <c:strCache>
                <c:ptCount val="1"/>
                <c:pt idx="0">
                  <c:v>0.15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Sheet1!$AA$4:$AA$115</c:f>
              <c:numCache>
                <c:formatCode>0.000</c:formatCode>
                <c:ptCount val="112"/>
                <c:pt idx="0" formatCode="General">
                  <c:v>0.15</c:v>
                </c:pt>
                <c:pt idx="1">
                  <c:v>4.7462081602438877</c:v>
                </c:pt>
                <c:pt idx="2">
                  <c:v>5.2862824034061209</c:v>
                </c:pt>
                <c:pt idx="3">
                  <c:v>5.8431797177712186</c:v>
                </c:pt>
                <c:pt idx="4">
                  <c:v>6.4181419182176027</c:v>
                </c:pt>
                <c:pt idx="5">
                  <c:v>7.0124221848040182</c:v>
                </c:pt>
                <c:pt idx="6">
                  <c:v>7.6272878566328286</c:v>
                </c:pt>
                <c:pt idx="7">
                  <c:v>8.2640232268684652</c:v>
                </c:pt>
                <c:pt idx="8">
                  <c:v>8.923932345236322</c:v>
                </c:pt>
                <c:pt idx="9">
                  <c:v>9.6083418342927072</c:v>
                </c:pt>
                <c:pt idx="10">
                  <c:v>10.292363467289052</c:v>
                </c:pt>
                <c:pt idx="11">
                  <c:v>10.977666581188929</c:v>
                </c:pt>
                <c:pt idx="12">
                  <c:v>11.688583388968951</c:v>
                </c:pt>
                <c:pt idx="13">
                  <c:v>12.42676496317292</c:v>
                </c:pt>
                <c:pt idx="14">
                  <c:v>13.193886872027077</c:v>
                </c:pt>
                <c:pt idx="15">
                  <c:v>13.991652801094196</c:v>
                </c:pt>
                <c:pt idx="16">
                  <c:v>14.821798205947683</c:v>
                </c:pt>
                <c:pt idx="17">
                  <c:v>15.638856151449161</c:v>
                </c:pt>
                <c:pt idx="18">
                  <c:v>16.473408290599114</c:v>
                </c:pt>
                <c:pt idx="19">
                  <c:v>17.343360484536024</c:v>
                </c:pt>
                <c:pt idx="20">
                  <c:v>18.250769922642913</c:v>
                </c:pt>
                <c:pt idx="21">
                  <c:v>19.197734956400083</c:v>
                </c:pt>
                <c:pt idx="22">
                  <c:v>20.137818425563133</c:v>
                </c:pt>
                <c:pt idx="23">
                  <c:v>21.096813566378295</c:v>
                </c:pt>
                <c:pt idx="24">
                  <c:v>22.099822288609772</c:v>
                </c:pt>
                <c:pt idx="25">
                  <c:v>23.149282043897244</c:v>
                </c:pt>
                <c:pt idx="26">
                  <c:v>24.198910524090739</c:v>
                </c:pt>
                <c:pt idx="27">
                  <c:v>25.269969452189706</c:v>
                </c:pt>
                <c:pt idx="28">
                  <c:v>26.393166960116574</c:v>
                </c:pt>
                <c:pt idx="29">
                  <c:v>27.549995327401987</c:v>
                </c:pt>
                <c:pt idx="30">
                  <c:v>28.704085376307702</c:v>
                </c:pt>
                <c:pt idx="31">
                  <c:v>29.916994493488662</c:v>
                </c:pt>
                <c:pt idx="32">
                  <c:v>31.160199638480002</c:v>
                </c:pt>
                <c:pt idx="33">
                  <c:v>32.415451180957973</c:v>
                </c:pt>
                <c:pt idx="34">
                  <c:v>33.737261636809272</c:v>
                </c:pt>
                <c:pt idx="35">
                  <c:v>35.070688793816316</c:v>
                </c:pt>
                <c:pt idx="36">
                  <c:v>36.555790677679511</c:v>
                </c:pt>
                <c:pt idx="37">
                  <c:v>38.071977984740535</c:v>
                </c:pt>
                <c:pt idx="38">
                  <c:v>39.657216385689182</c:v>
                </c:pt>
                <c:pt idx="39">
                  <c:v>41.274329136480873</c:v>
                </c:pt>
                <c:pt idx="40">
                  <c:v>42.974652466841341</c:v>
                </c:pt>
                <c:pt idx="41">
                  <c:v>44.69998972231253</c:v>
                </c:pt>
                <c:pt idx="42">
                  <c:v>46.500926667333324</c:v>
                </c:pt>
                <c:pt idx="43">
                  <c:v>48.375843904851251</c:v>
                </c:pt>
                <c:pt idx="44">
                  <c:v>50.293088327007595</c:v>
                </c:pt>
                <c:pt idx="45">
                  <c:v>52.283195726987842</c:v>
                </c:pt>
                <c:pt idx="46">
                  <c:v>54.348292247589626</c:v>
                </c:pt>
                <c:pt idx="47">
                  <c:v>56.488153938035417</c:v>
                </c:pt>
                <c:pt idx="48">
                  <c:v>58.70405003508229</c:v>
                </c:pt>
                <c:pt idx="49">
                  <c:v>60.99864552921315</c:v>
                </c:pt>
                <c:pt idx="50">
                  <c:v>63.375938199715733</c:v>
                </c:pt>
                <c:pt idx="51">
                  <c:v>65.841226830452285</c:v>
                </c:pt>
                <c:pt idx="52">
                  <c:v>68.401108283528899</c:v>
                </c:pt>
                <c:pt idx="53">
                  <c:v>71.059648079036606</c:v>
                </c:pt>
                <c:pt idx="54">
                  <c:v>73.80567944613226</c:v>
                </c:pt>
                <c:pt idx="55">
                  <c:v>76.670342959524447</c:v>
                </c:pt>
                <c:pt idx="56">
                  <c:v>79.63228915533638</c:v>
                </c:pt>
                <c:pt idx="57">
                  <c:v>82.7175887906848</c:v>
                </c:pt>
                <c:pt idx="58">
                  <c:v>85.924788950248669</c:v>
                </c:pt>
                <c:pt idx="59">
                  <c:v>89.256339415712006</c:v>
                </c:pt>
                <c:pt idx="60">
                  <c:v>92.71818281587997</c:v>
                </c:pt>
                <c:pt idx="61">
                  <c:v>96.319498563126857</c:v>
                </c:pt>
                <c:pt idx="62">
                  <c:v>100.07257801145185</c:v>
                </c:pt>
                <c:pt idx="63">
                  <c:v>103.9748800473576</c:v>
                </c:pt>
                <c:pt idx="64">
                  <c:v>108.04234780593168</c:v>
                </c:pt>
                <c:pt idx="65">
                  <c:v>112.27942439806203</c:v>
                </c:pt>
                <c:pt idx="66">
                  <c:v>116.69638047990847</c:v>
                </c:pt>
                <c:pt idx="67">
                  <c:v>121.30183428074825</c:v>
                </c:pt>
                <c:pt idx="68">
                  <c:v>126.10637060939781</c:v>
                </c:pt>
                <c:pt idx="69">
                  <c:v>131.11803075860573</c:v>
                </c:pt>
                <c:pt idx="70">
                  <c:v>136.35276973918064</c:v>
                </c:pt>
                <c:pt idx="71">
                  <c:v>141.81731978096667</c:v>
                </c:pt>
                <c:pt idx="72">
                  <c:v>147.52477358855782</c:v>
                </c:pt>
                <c:pt idx="73">
                  <c:v>153.49138263641322</c:v>
                </c:pt>
                <c:pt idx="74">
                  <c:v>159.72998713320396</c:v>
                </c:pt>
                <c:pt idx="75">
                  <c:v>166.25460302023492</c:v>
                </c:pt>
                <c:pt idx="76">
                  <c:v>173.0801366289266</c:v>
                </c:pt>
                <c:pt idx="77">
                  <c:v>180.22434311379916</c:v>
                </c:pt>
                <c:pt idx="78">
                  <c:v>187.7063843052849</c:v>
                </c:pt>
                <c:pt idx="79">
                  <c:v>195.54271161227521</c:v>
                </c:pt>
                <c:pt idx="80">
                  <c:v>203.75576839410667</c:v>
                </c:pt>
                <c:pt idx="81">
                  <c:v>212.36679547379833</c:v>
                </c:pt>
                <c:pt idx="82">
                  <c:v>221.39969781688208</c:v>
                </c:pt>
                <c:pt idx="83">
                  <c:v>230.88037711331765</c:v>
                </c:pt>
                <c:pt idx="84">
                  <c:v>240.83692156646052</c:v>
                </c:pt>
                <c:pt idx="85">
                  <c:v>251.30023826224263</c:v>
                </c:pt>
                <c:pt idx="86">
                  <c:v>262.30545659828306</c:v>
                </c:pt>
                <c:pt idx="87">
                  <c:v>273.89065923624355</c:v>
                </c:pt>
                <c:pt idx="88">
                  <c:v>286.09903222113508</c:v>
                </c:pt>
                <c:pt idx="89">
                  <c:v>298.97940421029637</c:v>
                </c:pt>
                <c:pt idx="90">
                  <c:v>312.58719828545679</c:v>
                </c:pt>
                <c:pt idx="91">
                  <c:v>326.98527301615206</c:v>
                </c:pt>
                <c:pt idx="92">
                  <c:v>342.24559732732945</c:v>
                </c:pt>
                <c:pt idx="93">
                  <c:v>358.44998039329676</c:v>
                </c:pt>
                <c:pt idx="94">
                  <c:v>375.69171967212577</c:v>
                </c:pt>
                <c:pt idx="95">
                  <c:v>394.07647103457828</c:v>
                </c:pt>
                <c:pt idx="96">
                  <c:v>413.72331928255352</c:v>
                </c:pt>
                <c:pt idx="97">
                  <c:v>434.76548100819593</c:v>
                </c:pt>
                <c:pt idx="98">
                  <c:v>457.35075018593352</c:v>
                </c:pt>
                <c:pt idx="99">
                  <c:v>481.64155928349373</c:v>
                </c:pt>
                <c:pt idx="100">
                  <c:v>507.81483968124041</c:v>
                </c:pt>
                <c:pt idx="101">
                  <c:v>536.06169930830765</c:v>
                </c:pt>
                <c:pt idx="102">
                  <c:v>566.58715948461042</c:v>
                </c:pt>
                <c:pt idx="103">
                  <c:v>599.61008997838189</c:v>
                </c:pt>
                <c:pt idx="104">
                  <c:v>635.36344361027079</c:v>
                </c:pt>
                <c:pt idx="105">
                  <c:v>674.09472792159795</c:v>
                </c:pt>
                <c:pt idx="106">
                  <c:v>716.06648132447162</c:v>
                </c:pt>
                <c:pt idx="107">
                  <c:v>761.55640282591878</c:v>
                </c:pt>
                <c:pt idx="108">
                  <c:v>810.85677512264806</c:v>
                </c:pt>
                <c:pt idx="109">
                  <c:v>864.27290595337479</c:v>
                </c:pt>
                <c:pt idx="110">
                  <c:v>922.12041581864946</c:v>
                </c:pt>
                <c:pt idx="111">
                  <c:v>984.72124962829889</c:v>
                </c:pt>
              </c:numCache>
            </c:numRef>
          </c:val>
          <c:smooth val="0"/>
          <c:extLst>
            <c:ext xmlns:c16="http://schemas.microsoft.com/office/drawing/2014/chart" uri="{C3380CC4-5D6E-409C-BE32-E72D297353CC}">
              <c16:uniqueId val="{000000F3-BE4B-4E76-8668-FB0ABEF2FDE8}"/>
            </c:ext>
          </c:extLst>
        </c:ser>
        <c:ser>
          <c:idx val="5"/>
          <c:order val="4"/>
          <c:tx>
            <c:strRef>
              <c:f>Sheet1!$AB$4</c:f>
              <c:strCache>
                <c:ptCount val="1"/>
                <c:pt idx="0">
                  <c:v>0.2</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Sheet1!$AB$4:$AB$115</c:f>
              <c:numCache>
                <c:formatCode>0.000</c:formatCode>
                <c:ptCount val="112"/>
                <c:pt idx="0" formatCode="General">
                  <c:v>0.2</c:v>
                </c:pt>
                <c:pt idx="1">
                  <c:v>4.5709777344220397</c:v>
                </c:pt>
                <c:pt idx="2">
                  <c:v>5.0807476631481547</c:v>
                </c:pt>
                <c:pt idx="3">
                  <c:v>5.6053902984076664</c:v>
                </c:pt>
                <c:pt idx="4">
                  <c:v>6.1462239389306159</c:v>
                </c:pt>
                <c:pt idx="5">
                  <c:v>6.7045735874565233</c:v>
                </c:pt>
                <c:pt idx="6">
                  <c:v>7.2817739136469264</c:v>
                </c:pt>
                <c:pt idx="7">
                  <c:v>7.8791722100467823</c:v>
                </c:pt>
                <c:pt idx="8">
                  <c:v>8.4981313477666838</c:v>
                </c:pt>
                <c:pt idx="9">
                  <c:v>9.1400327385042779</c:v>
                </c:pt>
                <c:pt idx="10">
                  <c:v>9.7736373777123653</c:v>
                </c:pt>
                <c:pt idx="11">
                  <c:v>10.400471827555119</c:v>
                </c:pt>
                <c:pt idx="12">
                  <c:v>11.050397176679009</c:v>
                </c:pt>
                <c:pt idx="13">
                  <c:v>11.72512624453293</c:v>
                </c:pt>
                <c:pt idx="14">
                  <c:v>12.426392388273706</c:v>
                </c:pt>
                <c:pt idx="15">
                  <c:v>13.155953172027598</c:v>
                </c:pt>
                <c:pt idx="16">
                  <c:v>13.915594065892197</c:v>
                </c:pt>
                <c:pt idx="17">
                  <c:v>14.649590096634402</c:v>
                </c:pt>
                <c:pt idx="18">
                  <c:v>15.394385461229319</c:v>
                </c:pt>
                <c:pt idx="19">
                  <c:v>16.171333201527304</c:v>
                </c:pt>
                <c:pt idx="20">
                  <c:v>16.982533452700981</c:v>
                </c:pt>
                <c:pt idx="21">
                  <c:v>17.830124170861509</c:v>
                </c:pt>
                <c:pt idx="22">
                  <c:v>18.658267237508344</c:v>
                </c:pt>
                <c:pt idx="23">
                  <c:v>19.496806911579139</c:v>
                </c:pt>
                <c:pt idx="24">
                  <c:v>20.375180110484962</c:v>
                </c:pt>
                <c:pt idx="25">
                  <c:v>21.295849483928599</c:v>
                </c:pt>
                <c:pt idx="26">
                  <c:v>22.204139642434264</c:v>
                </c:pt>
                <c:pt idx="27">
                  <c:v>23.12390226489093</c:v>
                </c:pt>
                <c:pt idx="28">
                  <c:v>24.090535143269587</c:v>
                </c:pt>
                <c:pt idx="29">
                  <c:v>25.08232764030187</c:v>
                </c:pt>
                <c:pt idx="30">
                  <c:v>26.056426700906414</c:v>
                </c:pt>
                <c:pt idx="31">
                  <c:v>27.082857974140168</c:v>
                </c:pt>
                <c:pt idx="32">
                  <c:v>28.128888765399644</c:v>
                </c:pt>
                <c:pt idx="33">
                  <c:v>29.172709483457425</c:v>
                </c:pt>
                <c:pt idx="34">
                  <c:v>30.275264219202686</c:v>
                </c:pt>
                <c:pt idx="35">
                  <c:v>31.370612779171758</c:v>
                </c:pt>
                <c:pt idx="36">
                  <c:v>32.593010642910627</c:v>
                </c:pt>
                <c:pt idx="37">
                  <c:v>33.828159586974387</c:v>
                </c:pt>
                <c:pt idx="38">
                  <c:v>35.115763260860078</c:v>
                </c:pt>
                <c:pt idx="39">
                  <c:v>36.414701338383182</c:v>
                </c:pt>
                <c:pt idx="40">
                  <c:v>37.778480671019089</c:v>
                </c:pt>
                <c:pt idx="41">
                  <c:v>39.143590263317535</c:v>
                </c:pt>
                <c:pt idx="42">
                  <c:v>40.562549542863927</c:v>
                </c:pt>
                <c:pt idx="43">
                  <c:v>42.03139433500553</c:v>
                </c:pt>
                <c:pt idx="44">
                  <c:v>43.515786660814989</c:v>
                </c:pt>
                <c:pt idx="45">
                  <c:v>45.045833263350616</c:v>
                </c:pt>
                <c:pt idx="46">
                  <c:v>46.621624826399895</c:v>
                </c:pt>
                <c:pt idx="47">
                  <c:v>48.240900425281332</c:v>
                </c:pt>
                <c:pt idx="48">
                  <c:v>49.902910302999388</c:v>
                </c:pt>
                <c:pt idx="49">
                  <c:v>51.608217584753334</c:v>
                </c:pt>
                <c:pt idx="50">
                  <c:v>53.358551616346901</c:v>
                </c:pt>
                <c:pt idx="51">
                  <c:v>55.156704462340244</c:v>
                </c:pt>
                <c:pt idx="52">
                  <c:v>57.006464131064476</c:v>
                </c:pt>
                <c:pt idx="53">
                  <c:v>58.909040244496829</c:v>
                </c:pt>
                <c:pt idx="54">
                  <c:v>60.851569958527008</c:v>
                </c:pt>
                <c:pt idx="55">
                  <c:v>62.859642293578212</c:v>
                </c:pt>
                <c:pt idx="56">
                  <c:v>64.911251871303307</c:v>
                </c:pt>
                <c:pt idx="57">
                  <c:v>67.02646701560468</c:v>
                </c:pt>
                <c:pt idx="58">
                  <c:v>69.200660745971959</c:v>
                </c:pt>
                <c:pt idx="59">
                  <c:v>71.43273091467546</c:v>
                </c:pt>
                <c:pt idx="60">
                  <c:v>73.724413252764492</c:v>
                </c:pt>
                <c:pt idx="61">
                  <c:v>76.079805708731854</c:v>
                </c:pt>
                <c:pt idx="62">
                  <c:v>78.505056018684442</c:v>
                </c:pt>
                <c:pt idx="63">
                  <c:v>80.994531020176282</c:v>
                </c:pt>
                <c:pt idx="64">
                  <c:v>83.556695873101773</c:v>
                </c:pt>
                <c:pt idx="65">
                  <c:v>86.19097638122399</c:v>
                </c:pt>
                <c:pt idx="66">
                  <c:v>88.900967690595536</c:v>
                </c:pt>
                <c:pt idx="67">
                  <c:v>91.688866601037276</c:v>
                </c:pt>
                <c:pt idx="68">
                  <c:v>94.558003531308302</c:v>
                </c:pt>
                <c:pt idx="69">
                  <c:v>97.509926470343999</c:v>
                </c:pt>
                <c:pt idx="70">
                  <c:v>100.55108360011609</c:v>
                </c:pt>
                <c:pt idx="71">
                  <c:v>103.68200314644196</c:v>
                </c:pt>
                <c:pt idx="72">
                  <c:v>106.90719597587369</c:v>
                </c:pt>
                <c:pt idx="73">
                  <c:v>110.23280802275386</c:v>
                </c:pt>
                <c:pt idx="74">
                  <c:v>113.66300594053885</c:v>
                </c:pt>
                <c:pt idx="75">
                  <c:v>117.20277609908187</c:v>
                </c:pt>
                <c:pt idx="76">
                  <c:v>120.85779932493752</c:v>
                </c:pt>
                <c:pt idx="77">
                  <c:v>124.6353912896232</c:v>
                </c:pt>
                <c:pt idx="78">
                  <c:v>128.54373574533358</c:v>
                </c:pt>
                <c:pt idx="79">
                  <c:v>132.59037752495311</c:v>
                </c:pt>
                <c:pt idx="80">
                  <c:v>136.78589692804618</c:v>
                </c:pt>
                <c:pt idx="81">
                  <c:v>141.14104825569643</c:v>
                </c:pt>
                <c:pt idx="82">
                  <c:v>145.66837915669709</c:v>
                </c:pt>
                <c:pt idx="83">
                  <c:v>150.38202226939083</c:v>
                </c:pt>
                <c:pt idx="84">
                  <c:v>155.2978312158215</c:v>
                </c:pt>
                <c:pt idx="85">
                  <c:v>160.43361473736587</c:v>
                </c:pt>
                <c:pt idx="86">
                  <c:v>165.80944688855675</c:v>
                </c:pt>
                <c:pt idx="87">
                  <c:v>171.44736558839531</c:v>
                </c:pt>
                <c:pt idx="88">
                  <c:v>177.37178444747943</c:v>
                </c:pt>
                <c:pt idx="89">
                  <c:v>183.6094551367049</c:v>
                </c:pt>
                <c:pt idx="90">
                  <c:v>190.18946595431478</c:v>
                </c:pt>
                <c:pt idx="91">
                  <c:v>197.14318994754797</c:v>
                </c:pt>
                <c:pt idx="92">
                  <c:v>204.50427865974589</c:v>
                </c:pt>
                <c:pt idx="93">
                  <c:v>212.30854551848401</c:v>
                </c:pt>
                <c:pt idx="94">
                  <c:v>220.59393622261703</c:v>
                </c:pt>
                <c:pt idx="95">
                  <c:v>229.4004768782678</c:v>
                </c:pt>
                <c:pt idx="96">
                  <c:v>238.77029431981629</c:v>
                </c:pt>
                <c:pt idx="97">
                  <c:v>248.74768221178354</c:v>
                </c:pt>
                <c:pt idx="98">
                  <c:v>259.37921328598884</c:v>
                </c:pt>
                <c:pt idx="99">
                  <c:v>270.71387035183665</c:v>
                </c:pt>
                <c:pt idx="100">
                  <c:v>282.80316022638664</c:v>
                </c:pt>
                <c:pt idx="101">
                  <c:v>295.7011670329702</c:v>
                </c:pt>
                <c:pt idx="102">
                  <c:v>309.46450838161894</c:v>
                </c:pt>
                <c:pt idx="103">
                  <c:v>324.15216753526153</c:v>
                </c:pt>
                <c:pt idx="104">
                  <c:v>339.82518472302081</c:v>
                </c:pt>
                <c:pt idx="105">
                  <c:v>356.54619475085389</c:v>
                </c:pt>
                <c:pt idx="106">
                  <c:v>374.37879606217541</c:v>
                </c:pt>
                <c:pt idx="107">
                  <c:v>393.38673167062393</c:v>
                </c:pt>
                <c:pt idx="108">
                  <c:v>413.63285873392033</c:v>
                </c:pt>
                <c:pt idx="109">
                  <c:v>435.17788283063339</c:v>
                </c:pt>
                <c:pt idx="110">
                  <c:v>458.07883545664509</c:v>
                </c:pt>
                <c:pt idx="111">
                  <c:v>482.3872787257622</c:v>
                </c:pt>
              </c:numCache>
            </c:numRef>
          </c:val>
          <c:smooth val="0"/>
          <c:extLst>
            <c:ext xmlns:c16="http://schemas.microsoft.com/office/drawing/2014/chart" uri="{C3380CC4-5D6E-409C-BE32-E72D297353CC}">
              <c16:uniqueId val="{000000F4-BE4B-4E76-8668-FB0ABEF2FDE8}"/>
            </c:ext>
          </c:extLst>
        </c:ser>
        <c:ser>
          <c:idx val="6"/>
          <c:order val="5"/>
          <c:tx>
            <c:strRef>
              <c:f>Sheet1!$AC$4</c:f>
              <c:strCache>
                <c:ptCount val="1"/>
                <c:pt idx="0">
                  <c:v>0.25</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Sheet1!$AC$4:$AC$115</c:f>
              <c:numCache>
                <c:formatCode>0.000</c:formatCode>
                <c:ptCount val="112"/>
                <c:pt idx="0" formatCode="General">
                  <c:v>0.25</c:v>
                </c:pt>
                <c:pt idx="1">
                  <c:v>4.3941522934182782</c:v>
                </c:pt>
                <c:pt idx="2">
                  <c:v>4.8737928707720801</c:v>
                </c:pt>
                <c:pt idx="3">
                  <c:v>5.3662978743731395</c:v>
                </c:pt>
                <c:pt idx="4">
                  <c:v>5.873037342214217</c:v>
                </c:pt>
                <c:pt idx="5">
                  <c:v>6.395384594744197</c:v>
                </c:pt>
                <c:pt idx="6">
                  <c:v>6.9347192780159155</c:v>
                </c:pt>
                <c:pt idx="7">
                  <c:v>7.4924303956465996</c:v>
                </c:pt>
                <c:pt idx="8">
                  <c:v>8.0699193363972697</c:v>
                </c:pt>
                <c:pt idx="9">
                  <c:v>8.6686029041146657</c:v>
                </c:pt>
                <c:pt idx="10">
                  <c:v>9.2521482322582109</c:v>
                </c:pt>
                <c:pt idx="11">
                  <c:v>9.8218253264261079</c:v>
                </c:pt>
                <c:pt idx="12">
                  <c:v>10.411856718453498</c:v>
                </c:pt>
                <c:pt idx="13">
                  <c:v>11.023978047820568</c:v>
                </c:pt>
                <c:pt idx="14">
                  <c:v>11.659943175202516</c:v>
                </c:pt>
                <c:pt idx="15">
                  <c:v>12.321527781795847</c:v>
                </c:pt>
                <c:pt idx="16">
                  <c:v>13.010533000624122</c:v>
                </c:pt>
                <c:pt idx="17">
                  <c:v>13.663850495652536</c:v>
                </c:pt>
                <c:pt idx="18">
                  <c:v>14.321865965687579</c:v>
                </c:pt>
                <c:pt idx="19">
                  <c:v>15.008331122726474</c:v>
                </c:pt>
                <c:pt idx="20">
                  <c:v>15.72533640886464</c:v>
                </c:pt>
                <c:pt idx="21">
                  <c:v>16.475008498625073</c:v>
                </c:pt>
                <c:pt idx="22">
                  <c:v>17.195573658495498</c:v>
                </c:pt>
                <c:pt idx="23">
                  <c:v>17.919054329096625</c:v>
                </c:pt>
                <c:pt idx="24">
                  <c:v>18.677487020115652</c:v>
                </c:pt>
                <c:pt idx="25">
                  <c:v>19.473290501517834</c:v>
                </c:pt>
                <c:pt idx="26">
                  <c:v>20.247293130076848</c:v>
                </c:pt>
                <c:pt idx="27">
                  <c:v>21.024244481230934</c:v>
                </c:pt>
                <c:pt idx="28">
                  <c:v>21.841847177260242</c:v>
                </c:pt>
                <c:pt idx="29">
                  <c:v>22.676995044440957</c:v>
                </c:pt>
                <c:pt idx="30">
                  <c:v>23.483688593660386</c:v>
                </c:pt>
                <c:pt idx="31">
                  <c:v>24.335073340300951</c:v>
                </c:pt>
                <c:pt idx="32">
                  <c:v>25.197105863325625</c:v>
                </c:pt>
                <c:pt idx="33">
                  <c:v>26.046295753116887</c:v>
                </c:pt>
                <c:pt idx="34">
                  <c:v>26.945006303290977</c:v>
                </c:pt>
                <c:pt idx="35">
                  <c:v>27.82369837914332</c:v>
                </c:pt>
                <c:pt idx="36">
                  <c:v>28.805496805990806</c:v>
                </c:pt>
                <c:pt idx="37">
                  <c:v>29.786571519813375</c:v>
                </c:pt>
                <c:pt idx="38">
                  <c:v>30.804853882087073</c:v>
                </c:pt>
                <c:pt idx="39">
                  <c:v>31.819905354221529</c:v>
                </c:pt>
                <c:pt idx="40">
                  <c:v>32.88243759005239</c:v>
                </c:pt>
                <c:pt idx="41">
                  <c:v>33.930761115548918</c:v>
                </c:pt>
                <c:pt idx="42">
                  <c:v>35.014503286549925</c:v>
                </c:pt>
                <c:pt idx="43">
                  <c:v>36.128329124870746</c:v>
                </c:pt>
                <c:pt idx="44">
                  <c:v>37.239777993220422</c:v>
                </c:pt>
                <c:pt idx="45">
                  <c:v>38.376046558647118</c:v>
                </c:pt>
                <c:pt idx="46">
                  <c:v>39.536038835908371</c:v>
                </c:pt>
                <c:pt idx="47">
                  <c:v>40.716690184204943</c:v>
                </c:pt>
                <c:pt idx="48">
                  <c:v>41.916404593372405</c:v>
                </c:pt>
                <c:pt idx="49">
                  <c:v>43.134771583829249</c:v>
                </c:pt>
                <c:pt idx="50">
                  <c:v>44.37235454786709</c:v>
                </c:pt>
                <c:pt idx="51">
                  <c:v>45.630535280377003</c:v>
                </c:pt>
                <c:pt idx="52">
                  <c:v>46.911403189341492</c:v>
                </c:pt>
                <c:pt idx="53">
                  <c:v>48.214880913849214</c:v>
                </c:pt>
                <c:pt idx="54">
                  <c:v>49.529845128499836</c:v>
                </c:pt>
                <c:pt idx="55">
                  <c:v>50.87533681580792</c:v>
                </c:pt>
                <c:pt idx="56">
                  <c:v>52.233538909011301</c:v>
                </c:pt>
                <c:pt idx="57">
                  <c:v>53.618639790710091</c:v>
                </c:pt>
                <c:pt idx="58">
                  <c:v>55.026099324245465</c:v>
                </c:pt>
                <c:pt idx="59">
                  <c:v>56.454305306870907</c:v>
                </c:pt>
                <c:pt idx="60">
                  <c:v>57.903761221089397</c:v>
                </c:pt>
                <c:pt idx="61">
                  <c:v>59.376531128633346</c:v>
                </c:pt>
                <c:pt idx="62">
                  <c:v>60.87586800875296</c:v>
                </c:pt>
                <c:pt idx="63">
                  <c:v>62.397575612120129</c:v>
                </c:pt>
                <c:pt idx="64">
                  <c:v>63.946426750918022</c:v>
                </c:pt>
                <c:pt idx="65">
                  <c:v>65.521644227111125</c:v>
                </c:pt>
                <c:pt idx="66">
                  <c:v>67.125078855399991</c:v>
                </c:pt>
                <c:pt idx="67">
                  <c:v>68.757885333042594</c:v>
                </c:pt>
                <c:pt idx="68">
                  <c:v>70.421937256663611</c:v>
                </c:pt>
                <c:pt idx="69">
                  <c:v>72.118393001536163</c:v>
                </c:pt>
                <c:pt idx="70">
                  <c:v>73.850949628589461</c:v>
                </c:pt>
                <c:pt idx="71">
                  <c:v>75.620669574979544</c:v>
                </c:pt>
                <c:pt idx="72">
                  <c:v>77.430743890919814</c:v>
                </c:pt>
                <c:pt idx="73">
                  <c:v>79.285175380520485</c:v>
                </c:pt>
                <c:pt idx="74">
                  <c:v>81.187351716956186</c:v>
                </c:pt>
                <c:pt idx="75">
                  <c:v>83.141279844006334</c:v>
                </c:pt>
                <c:pt idx="76">
                  <c:v>85.15150904736069</c:v>
                </c:pt>
                <c:pt idx="77">
                  <c:v>87.22339306393495</c:v>
                </c:pt>
                <c:pt idx="78">
                  <c:v>89.362767170322755</c:v>
                </c:pt>
                <c:pt idx="79">
                  <c:v>91.575584651853688</c:v>
                </c:pt>
                <c:pt idx="80">
                  <c:v>93.868854577562104</c:v>
                </c:pt>
                <c:pt idx="81">
                  <c:v>96.249853506508956</c:v>
                </c:pt>
                <c:pt idx="82">
                  <c:v>98.726483791921481</c:v>
                </c:pt>
                <c:pt idx="83">
                  <c:v>101.30716312550591</c:v>
                </c:pt>
                <c:pt idx="84">
                  <c:v>104.00080076094893</c:v>
                </c:pt>
                <c:pt idx="85">
                  <c:v>106.81678526325877</c:v>
                </c:pt>
                <c:pt idx="86">
                  <c:v>109.76497088270318</c:v>
                </c:pt>
                <c:pt idx="87">
                  <c:v>112.85561231633082</c:v>
                </c:pt>
                <c:pt idx="88">
                  <c:v>116.0993895259145</c:v>
                </c:pt>
                <c:pt idx="89">
                  <c:v>119.50739688774416</c:v>
                </c:pt>
                <c:pt idx="90">
                  <c:v>123.0911565043955</c:v>
                </c:pt>
                <c:pt idx="91">
                  <c:v>126.86264502464272</c:v>
                </c:pt>
                <c:pt idx="92">
                  <c:v>130.83433249814419</c:v>
                </c:pt>
                <c:pt idx="93">
                  <c:v>135.01922205870966</c:v>
                </c:pt>
                <c:pt idx="94">
                  <c:v>139.43088879749135</c:v>
                </c:pt>
                <c:pt idx="95">
                  <c:v>144.08350675225216</c:v>
                </c:pt>
                <c:pt idx="96">
                  <c:v>148.99185906540521</c:v>
                </c:pt>
                <c:pt idx="97">
                  <c:v>154.17132586673071</c:v>
                </c:pt>
                <c:pt idx="98">
                  <c:v>159.63784705507007</c:v>
                </c:pt>
                <c:pt idx="99">
                  <c:v>165.4078580843252</c:v>
                </c:pt>
                <c:pt idx="100">
                  <c:v>171.49819695501307</c:v>
                </c:pt>
                <c:pt idx="101">
                  <c:v>177.92597988420601</c:v>
                </c:pt>
                <c:pt idx="102">
                  <c:v>184.70844213142107</c:v>
                </c:pt>
                <c:pt idx="103">
                  <c:v>191.86273964243986</c:v>
                </c:pt>
                <c:pt idx="104">
                  <c:v>199.40570675666169</c:v>
                </c:pt>
                <c:pt idx="105">
                  <c:v>207.35356521561121</c:v>
                </c:pt>
                <c:pt idx="106">
                  <c:v>215.72158008620602</c:v>
                </c:pt>
                <c:pt idx="107">
                  <c:v>224.52365898079634</c:v>
                </c:pt>
                <c:pt idx="108">
                  <c:v>233.7718921820202</c:v>
                </c:pt>
                <c:pt idx="109">
                  <c:v>243.47603304371466</c:v>
                </c:pt>
                <c:pt idx="110">
                  <c:v>253.64292041404224</c:v>
                </c:pt>
                <c:pt idx="111">
                  <c:v>264.27584787598153</c:v>
                </c:pt>
              </c:numCache>
            </c:numRef>
          </c:val>
          <c:smooth val="0"/>
          <c:extLst>
            <c:ext xmlns:c16="http://schemas.microsoft.com/office/drawing/2014/chart" uri="{C3380CC4-5D6E-409C-BE32-E72D297353CC}">
              <c16:uniqueId val="{000000F5-BE4B-4E76-8668-FB0ABEF2FDE8}"/>
            </c:ext>
          </c:extLst>
        </c:ser>
        <c:ser>
          <c:idx val="7"/>
          <c:order val="6"/>
          <c:tx>
            <c:strRef>
              <c:f>Sheet1!$AD$4</c:f>
              <c:strCache>
                <c:ptCount val="1"/>
                <c:pt idx="0">
                  <c:v>0.3</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Sheet1!$AD$4:$AD$115</c:f>
              <c:numCache>
                <c:formatCode>0.000</c:formatCode>
                <c:ptCount val="112"/>
                <c:pt idx="0" formatCode="General">
                  <c:v>0.3</c:v>
                </c:pt>
                <c:pt idx="1">
                  <c:v>4.2157941923532842</c:v>
                </c:pt>
                <c:pt idx="2">
                  <c:v>4.6655492571027155</c:v>
                </c:pt>
                <c:pt idx="3">
                  <c:v>5.1261201388068223</c:v>
                </c:pt>
                <c:pt idx="4">
                  <c:v>5.598904322688405</c:v>
                </c:pt>
                <c:pt idx="5">
                  <c:v>6.0853001190485694</c:v>
                </c:pt>
                <c:pt idx="6">
                  <c:v>6.5867097161301968</c:v>
                </c:pt>
                <c:pt idx="7">
                  <c:v>7.1045422200526671</c:v>
                </c:pt>
                <c:pt idx="8">
                  <c:v>7.640216688612</c:v>
                </c:pt>
                <c:pt idx="9">
                  <c:v>8.1951651656746787</c:v>
                </c:pt>
                <c:pt idx="10">
                  <c:v>8.7292594577792286</c:v>
                </c:pt>
                <c:pt idx="11">
                  <c:v>9.2434292275691874</c:v>
                </c:pt>
                <c:pt idx="12">
                  <c:v>9.7750646359832913</c:v>
                </c:pt>
                <c:pt idx="13">
                  <c:v>10.325885771156312</c:v>
                </c:pt>
                <c:pt idx="14">
                  <c:v>10.897629690702626</c:v>
                </c:pt>
                <c:pt idx="15">
                  <c:v>11.492053871906778</c:v>
                </c:pt>
                <c:pt idx="16">
                  <c:v>12.110939696998472</c:v>
                </c:pt>
                <c:pt idx="17">
                  <c:v>12.686684502355853</c:v>
                </c:pt>
                <c:pt idx="18">
                  <c:v>13.26175240653872</c:v>
                </c:pt>
                <c:pt idx="19">
                  <c:v>13.861250609314215</c:v>
                </c:pt>
                <c:pt idx="20">
                  <c:v>14.487207052578412</c:v>
                </c:pt>
                <c:pt idx="21">
                  <c:v>15.141685189755174</c:v>
                </c:pt>
                <c:pt idx="22">
                  <c:v>15.760343983667521</c:v>
                </c:pt>
                <c:pt idx="23">
                  <c:v>16.375655100355345</c:v>
                </c:pt>
                <c:pt idx="24">
                  <c:v>17.020583323458492</c:v>
                </c:pt>
                <c:pt idx="25">
                  <c:v>17.697433937589249</c:v>
                </c:pt>
                <c:pt idx="26">
                  <c:v>18.346195962284046</c:v>
                </c:pt>
                <c:pt idx="27">
                  <c:v>18.991042132259089</c:v>
                </c:pt>
                <c:pt idx="28">
                  <c:v>19.669761473270807</c:v>
                </c:pt>
                <c:pt idx="29">
                  <c:v>20.359474824065302</c:v>
                </c:pt>
                <c:pt idx="30">
                  <c:v>21.014153866092158</c:v>
                </c:pt>
                <c:pt idx="31">
                  <c:v>21.705295200296419</c:v>
                </c:pt>
                <c:pt idx="32">
                  <c:v>22.400057966067003</c:v>
                </c:pt>
                <c:pt idx="33">
                  <c:v>23.075041936869237</c:v>
                </c:pt>
                <c:pt idx="34">
                  <c:v>23.78971711217417</c:v>
                </c:pt>
                <c:pt idx="35">
                  <c:v>24.477248887807438</c:v>
                </c:pt>
                <c:pt idx="36">
                  <c:v>25.245702657958329</c:v>
                </c:pt>
                <c:pt idx="37">
                  <c:v>26.004727478249706</c:v>
                </c:pt>
                <c:pt idx="38">
                  <c:v>26.787882708090279</c:v>
                </c:pt>
                <c:pt idx="39">
                  <c:v>27.558966969680995</c:v>
                </c:pt>
                <c:pt idx="40">
                  <c:v>28.362294078885277</c:v>
                </c:pt>
                <c:pt idx="41">
                  <c:v>29.143365014802917</c:v>
                </c:pt>
                <c:pt idx="42">
                  <c:v>29.945415441910683</c:v>
                </c:pt>
                <c:pt idx="43">
                  <c:v>30.762713768979815</c:v>
                </c:pt>
                <c:pt idx="44">
                  <c:v>31.567834990362918</c:v>
                </c:pt>
                <c:pt idx="45">
                  <c:v>32.383473897064292</c:v>
                </c:pt>
                <c:pt idx="46">
                  <c:v>33.208113335840387</c:v>
                </c:pt>
                <c:pt idx="47">
                  <c:v>34.038846533392942</c:v>
                </c:pt>
                <c:pt idx="48">
                  <c:v>34.874115076279061</c:v>
                </c:pt>
                <c:pt idx="49">
                  <c:v>35.713372943278429</c:v>
                </c:pt>
                <c:pt idx="50">
                  <c:v>36.55684084712864</c:v>
                </c:pt>
                <c:pt idx="51">
                  <c:v>37.40532806809707</c:v>
                </c:pt>
                <c:pt idx="52">
                  <c:v>38.260105027377563</c:v>
                </c:pt>
                <c:pt idx="53">
                  <c:v>39.120887516227505</c:v>
                </c:pt>
                <c:pt idx="54">
                  <c:v>39.979930717287999</c:v>
                </c:pt>
                <c:pt idx="55">
                  <c:v>40.850088800517554</c:v>
                </c:pt>
                <c:pt idx="56">
                  <c:v>41.719564826929776</c:v>
                </c:pt>
                <c:pt idx="57">
                  <c:v>42.597582823427032</c:v>
                </c:pt>
                <c:pt idx="58">
                  <c:v>43.48121760168786</c:v>
                </c:pt>
                <c:pt idx="59">
                  <c:v>44.369700104548933</c:v>
                </c:pt>
                <c:pt idx="60">
                  <c:v>45.263650973667197</c:v>
                </c:pt>
                <c:pt idx="61">
                  <c:v>46.164584161463054</c:v>
                </c:pt>
                <c:pt idx="62">
                  <c:v>47.074589671008319</c:v>
                </c:pt>
                <c:pt idx="63">
                  <c:v>47.991961866709097</c:v>
                </c:pt>
                <c:pt idx="64">
                  <c:v>48.919695868094507</c:v>
                </c:pt>
                <c:pt idx="65">
                  <c:v>49.858062679857994</c:v>
                </c:pt>
                <c:pt idx="66">
                  <c:v>50.808701706345389</c:v>
                </c:pt>
                <c:pt idx="67">
                  <c:v>51.773012369228127</c:v>
                </c:pt>
                <c:pt idx="68">
                  <c:v>52.752766667421668</c:v>
                </c:pt>
                <c:pt idx="69">
                  <c:v>53.749561870402104</c:v>
                </c:pt>
                <c:pt idx="70">
                  <c:v>54.765992020622697</c:v>
                </c:pt>
                <c:pt idx="71">
                  <c:v>55.803782758812638</c:v>
                </c:pt>
                <c:pt idx="72">
                  <c:v>56.865479589135504</c:v>
                </c:pt>
                <c:pt idx="73">
                  <c:v>57.953883126224348</c:v>
                </c:pt>
                <c:pt idx="74">
                  <c:v>59.071644553668676</c:v>
                </c:pt>
                <c:pt idx="75">
                  <c:v>60.221635356469015</c:v>
                </c:pt>
                <c:pt idx="76">
                  <c:v>61.406893578396506</c:v>
                </c:pt>
                <c:pt idx="77">
                  <c:v>62.630647822412939</c:v>
                </c:pt>
                <c:pt idx="78">
                  <c:v>63.89621904937519</c:v>
                </c:pt>
                <c:pt idx="79">
                  <c:v>65.206965032613311</c:v>
                </c:pt>
                <c:pt idx="80">
                  <c:v>66.566418927738169</c:v>
                </c:pt>
                <c:pt idx="81">
                  <c:v>67.978157912945804</c:v>
                </c:pt>
                <c:pt idx="82">
                  <c:v>69.445856093799335</c:v>
                </c:pt>
                <c:pt idx="83">
                  <c:v>70.97327268525919</c:v>
                </c:pt>
                <c:pt idx="84">
                  <c:v>72.56425914316327</c:v>
                </c:pt>
                <c:pt idx="85">
                  <c:v>74.22277118299192</c:v>
                </c:pt>
                <c:pt idx="86">
                  <c:v>75.95288290146928</c:v>
                </c:pt>
                <c:pt idx="87">
                  <c:v>77.758800727369135</c:v>
                </c:pt>
                <c:pt idx="88">
                  <c:v>79.644880870923188</c:v>
                </c:pt>
                <c:pt idx="89">
                  <c:v>81.6156422287754</c:v>
                </c:pt>
                <c:pt idx="90">
                  <c:v>83.675776002208934</c:v>
                </c:pt>
                <c:pt idx="91">
                  <c:v>85.830150143038807</c:v>
                </c:pt>
                <c:pt idx="92">
                  <c:v>88.083807806338953</c:v>
                </c:pt>
                <c:pt idx="93">
                  <c:v>90.441959364673679</c:v>
                </c:pt>
                <c:pt idx="94">
                  <c:v>92.909967823906641</c:v>
                </c:pt>
                <c:pt idx="95">
                  <c:v>95.493327373669615</c:v>
                </c:pt>
                <c:pt idx="96">
                  <c:v>98.197634647492094</c:v>
                </c:pt>
                <c:pt idx="97">
                  <c:v>101.028551994913</c:v>
                </c:pt>
                <c:pt idx="98">
                  <c:v>103.99176183456407</c:v>
                </c:pt>
                <c:pt idx="99">
                  <c:v>107.09291099110791</c:v>
                </c:pt>
                <c:pt idx="100">
                  <c:v>110.33754383140804</c:v>
                </c:pt>
                <c:pt idx="101">
                  <c:v>113.73102299587453</c:v>
                </c:pt>
                <c:pt idx="102">
                  <c:v>117.27843656444161</c:v>
                </c:pt>
                <c:pt idx="103">
                  <c:v>120.98449060803748</c:v>
                </c:pt>
                <c:pt idx="104">
                  <c:v>124.85338626844722</c:v>
                </c:pt>
                <c:pt idx="105">
                  <c:v>128.88868079969808</c:v>
                </c:pt>
                <c:pt idx="106">
                  <c:v>133.093132408483</c:v>
                </c:pt>
                <c:pt idx="107">
                  <c:v>137.4685292688813</c:v>
                </c:pt>
                <c:pt idx="108">
                  <c:v>142.01550376934298</c:v>
                </c:pt>
                <c:pt idx="109">
                  <c:v>146.73333388744422</c:v>
                </c:pt>
                <c:pt idx="110">
                  <c:v>151.61973458207214</c:v>
                </c:pt>
                <c:pt idx="111">
                  <c:v>156.67064323144251</c:v>
                </c:pt>
              </c:numCache>
            </c:numRef>
          </c:val>
          <c:smooth val="0"/>
          <c:extLst>
            <c:ext xmlns:c16="http://schemas.microsoft.com/office/drawing/2014/chart" uri="{C3380CC4-5D6E-409C-BE32-E72D297353CC}">
              <c16:uniqueId val="{000000F6-BE4B-4E76-8668-FB0ABEF2FDE8}"/>
            </c:ext>
          </c:extLst>
        </c:ser>
        <c:ser>
          <c:idx val="8"/>
          <c:order val="7"/>
          <c:tx>
            <c:strRef>
              <c:f>Sheet1!$AE$4</c:f>
              <c:strCache>
                <c:ptCount val="1"/>
                <c:pt idx="0">
                  <c:v>0.4</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Sheet1!$AE$4:$AE$115</c:f>
              <c:numCache>
                <c:formatCode>0.000</c:formatCode>
                <c:ptCount val="112"/>
                <c:pt idx="0" formatCode="General">
                  <c:v>0.4</c:v>
                </c:pt>
                <c:pt idx="1">
                  <c:v>3.8547476373438134</c:v>
                </c:pt>
                <c:pt idx="2">
                  <c:v>4.2457578521124315</c:v>
                </c:pt>
                <c:pt idx="3">
                  <c:v>4.6434443040767777</c:v>
                </c:pt>
                <c:pt idx="4">
                  <c:v>5.0491899688462976</c:v>
                </c:pt>
                <c:pt idx="5">
                  <c:v>5.4643755900363926</c:v>
                </c:pt>
                <c:pt idx="6">
                  <c:v>5.8903825990941749</c:v>
                </c:pt>
                <c:pt idx="7">
                  <c:v>6.3285960219748087</c:v>
                </c:pt>
                <c:pt idx="8">
                  <c:v>6.7804073791732922</c:v>
                </c:pt>
                <c:pt idx="9">
                  <c:v>7.2472175855523089</c:v>
                </c:pt>
                <c:pt idx="10">
                  <c:v>7.6852835106996951</c:v>
                </c:pt>
                <c:pt idx="11">
                  <c:v>8.0947290808063457</c:v>
                </c:pt>
                <c:pt idx="12">
                  <c:v>8.5156760325428031</c:v>
                </c:pt>
                <c:pt idx="13">
                  <c:v>8.9497071647768323</c:v>
                </c:pt>
                <c:pt idx="14">
                  <c:v>9.3984208520844295</c:v>
                </c:pt>
                <c:pt idx="15">
                  <c:v>9.8634340671808598</c:v>
                </c:pt>
                <c:pt idx="16">
                  <c:v>10.346385440936192</c:v>
                </c:pt>
                <c:pt idx="17">
                  <c:v>10.779017107951404</c:v>
                </c:pt>
                <c:pt idx="18">
                  <c:v>11.202830596411223</c:v>
                </c:pt>
                <c:pt idx="19">
                  <c:v>11.642683363701948</c:v>
                </c:pt>
                <c:pt idx="20">
                  <c:v>12.100335637465669</c:v>
                </c:pt>
                <c:pt idx="21">
                  <c:v>12.577581199925199</c:v>
                </c:pt>
                <c:pt idx="22">
                  <c:v>13.014014370835511</c:v>
                </c:pt>
                <c:pt idx="23">
                  <c:v>13.43868570203103</c:v>
                </c:pt>
                <c:pt idx="24">
                  <c:v>13.881989017354778</c:v>
                </c:pt>
                <c:pt idx="25">
                  <c:v>14.345822535056106</c:v>
                </c:pt>
                <c:pt idx="26">
                  <c:v>14.777644446442714</c:v>
                </c:pt>
                <c:pt idx="27">
                  <c:v>15.19719305003496</c:v>
                </c:pt>
                <c:pt idx="28">
                  <c:v>15.636977833307995</c:v>
                </c:pt>
                <c:pt idx="29">
                  <c:v>16.078291537121199</c:v>
                </c:pt>
                <c:pt idx="30">
                  <c:v>16.482589025463032</c:v>
                </c:pt>
                <c:pt idx="31">
                  <c:v>16.907333381537967</c:v>
                </c:pt>
                <c:pt idx="32">
                  <c:v>17.327392811348307</c:v>
                </c:pt>
                <c:pt idx="33">
                  <c:v>17.723765459760816</c:v>
                </c:pt>
                <c:pt idx="34">
                  <c:v>18.141230027409947</c:v>
                </c:pt>
                <c:pt idx="35">
                  <c:v>18.530970645883436</c:v>
                </c:pt>
                <c:pt idx="36">
                  <c:v>18.965671157012508</c:v>
                </c:pt>
                <c:pt idx="37">
                  <c:v>19.385423871766456</c:v>
                </c:pt>
                <c:pt idx="38">
                  <c:v>19.811347763975718</c:v>
                </c:pt>
                <c:pt idx="39">
                  <c:v>20.221090751796879</c:v>
                </c:pt>
                <c:pt idx="40">
                  <c:v>20.641459783162684</c:v>
                </c:pt>
                <c:pt idx="41">
                  <c:v>21.039867117730772</c:v>
                </c:pt>
                <c:pt idx="42">
                  <c:v>21.442239039280697</c:v>
                </c:pt>
                <c:pt idx="43">
                  <c:v>21.844248549640326</c:v>
                </c:pt>
                <c:pt idx="44">
                  <c:v>22.231727520213461</c:v>
                </c:pt>
                <c:pt idx="45">
                  <c:v>22.617106775371919</c:v>
                </c:pt>
                <c:pt idx="46">
                  <c:v>22.999405723927595</c:v>
                </c:pt>
                <c:pt idx="47">
                  <c:v>23.377306585362753</c:v>
                </c:pt>
                <c:pt idx="48">
                  <c:v>23.750367521793674</c:v>
                </c:pt>
                <c:pt idx="49">
                  <c:v>24.118705959954429</c:v>
                </c:pt>
                <c:pt idx="50">
                  <c:v>24.482788000528128</c:v>
                </c:pt>
                <c:pt idx="51">
                  <c:v>24.843289504040808</c:v>
                </c:pt>
                <c:pt idx="52">
                  <c:v>25.201005605490604</c:v>
                </c:pt>
                <c:pt idx="53">
                  <c:v>25.556205280533455</c:v>
                </c:pt>
                <c:pt idx="54">
                  <c:v>25.907020187387761</c:v>
                </c:pt>
                <c:pt idx="55">
                  <c:v>26.257728194815154</c:v>
                </c:pt>
                <c:pt idx="56">
                  <c:v>26.605632868505715</c:v>
                </c:pt>
                <c:pt idx="57">
                  <c:v>26.953655514403593</c:v>
                </c:pt>
                <c:pt idx="58">
                  <c:v>27.301569488875529</c:v>
                </c:pt>
                <c:pt idx="59">
                  <c:v>27.649834773779293</c:v>
                </c:pt>
                <c:pt idx="60">
                  <c:v>27.999228124809733</c:v>
                </c:pt>
                <c:pt idx="61">
                  <c:v>28.350646793432489</c:v>
                </c:pt>
                <c:pt idx="62">
                  <c:v>28.70500900512825</c:v>
                </c:pt>
                <c:pt idx="63">
                  <c:v>29.06270792715177</c:v>
                </c:pt>
                <c:pt idx="64">
                  <c:v>29.424756181177585</c:v>
                </c:pt>
                <c:pt idx="65">
                  <c:v>29.791805328113437</c:v>
                </c:pt>
                <c:pt idx="66">
                  <c:v>30.164645720166629</c:v>
                </c:pt>
                <c:pt idx="67">
                  <c:v>30.544021234773254</c:v>
                </c:pt>
                <c:pt idx="68">
                  <c:v>30.93067972285742</c:v>
                </c:pt>
                <c:pt idx="69">
                  <c:v>31.325341163895981</c:v>
                </c:pt>
                <c:pt idx="70">
                  <c:v>31.728752567710117</c:v>
                </c:pt>
                <c:pt idx="71">
                  <c:v>32.141602101903359</c:v>
                </c:pt>
                <c:pt idx="72">
                  <c:v>32.564597696189502</c:v>
                </c:pt>
                <c:pt idx="73">
                  <c:v>32.99843799934127</c:v>
                </c:pt>
                <c:pt idx="74">
                  <c:v>33.443809805487206</c:v>
                </c:pt>
                <c:pt idx="75">
                  <c:v>33.901403149052285</c:v>
                </c:pt>
                <c:pt idx="76">
                  <c:v>34.371913327671315</c:v>
                </c:pt>
                <c:pt idx="77">
                  <c:v>34.8560447993761</c:v>
                </c:pt>
                <c:pt idx="78">
                  <c:v>35.354514065129109</c:v>
                </c:pt>
                <c:pt idx="79">
                  <c:v>35.868053233983161</c:v>
                </c:pt>
                <c:pt idx="80">
                  <c:v>36.397413159704485</c:v>
                </c:pt>
                <c:pt idx="81">
                  <c:v>36.943364696249262</c:v>
                </c:pt>
                <c:pt idx="82">
                  <c:v>37.506699836018598</c:v>
                </c:pt>
                <c:pt idx="83">
                  <c:v>38.08823180710678</c:v>
                </c:pt>
                <c:pt idx="84">
                  <c:v>38.688794460648211</c:v>
                </c:pt>
                <c:pt idx="85">
                  <c:v>39.309240947483509</c:v>
                </c:pt>
                <c:pt idx="86">
                  <c:v>39.950441713535476</c:v>
                </c:pt>
                <c:pt idx="87">
                  <c:v>40.613281813094694</c:v>
                </c:pt>
                <c:pt idx="88">
                  <c:v>41.298657505767572</c:v>
                </c:pt>
                <c:pt idx="89">
                  <c:v>42.007472074476922</c:v>
                </c:pt>
                <c:pt idx="90">
                  <c:v>42.740630780867534</c:v>
                </c:pt>
                <c:pt idx="91">
                  <c:v>43.499034858925874</c:v>
                </c:pt>
                <c:pt idx="92">
                  <c:v>44.28357443763808</c:v>
                </c:pt>
                <c:pt idx="93">
                  <c:v>45.095120277224112</c:v>
                </c:pt>
                <c:pt idx="94">
                  <c:v>45.934514200057556</c:v>
                </c:pt>
                <c:pt idx="95">
                  <c:v>46.802558097186392</c:v>
                </c:pt>
                <c:pt idx="96">
                  <c:v>47.700001394458866</c:v>
                </c:pt>
                <c:pt idx="97">
                  <c:v>48.627526870190358</c:v>
                </c:pt>
                <c:pt idx="98">
                  <c:v>49.585734729450991</c:v>
                </c:pt>
                <c:pt idx="99">
                  <c:v>50.57512486020817</c:v>
                </c:pt>
                <c:pt idx="100">
                  <c:v>51.596077224673394</c:v>
                </c:pt>
                <c:pt idx="101">
                  <c:v>52.648830376604451</c:v>
                </c:pt>
                <c:pt idx="102">
                  <c:v>53.733458143864802</c:v>
                </c:pt>
                <c:pt idx="103">
                  <c:v>54.849844575149596</c:v>
                </c:pt>
                <c:pt idx="104">
                  <c:v>55.997657323388957</c:v>
                </c:pt>
                <c:pt idx="105">
                  <c:v>57.176319724096871</c:v>
                </c:pt>
                <c:pt idx="106">
                  <c:v>58.384981928254469</c:v>
                </c:pt>
                <c:pt idx="107">
                  <c:v>59.622491560421359</c:v>
                </c:pt>
                <c:pt idx="108">
                  <c:v>60.887364498945693</c:v>
                </c:pt>
                <c:pt idx="109">
                  <c:v>62.17775650555761</c:v>
                </c:pt>
                <c:pt idx="110">
                  <c:v>63.491436573146508</c:v>
                </c:pt>
                <c:pt idx="111">
                  <c:v>64.825762991071741</c:v>
                </c:pt>
              </c:numCache>
            </c:numRef>
          </c:val>
          <c:smooth val="0"/>
          <c:extLst>
            <c:ext xmlns:c16="http://schemas.microsoft.com/office/drawing/2014/chart" uri="{C3380CC4-5D6E-409C-BE32-E72D297353CC}">
              <c16:uniqueId val="{000000F7-BE4B-4E76-8668-FB0ABEF2FDE8}"/>
            </c:ext>
          </c:extLst>
        </c:ser>
        <c:ser>
          <c:idx val="9"/>
          <c:order val="8"/>
          <c:tx>
            <c:strRef>
              <c:f>Sheet1!$AF$4</c:f>
              <c:strCache>
                <c:ptCount val="1"/>
                <c:pt idx="0">
                  <c:v>0.5</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Sheet1!$AF$4:$AF$115</c:f>
              <c:numCache>
                <c:formatCode>0.000</c:formatCode>
                <c:ptCount val="112"/>
                <c:pt idx="0" formatCode="General">
                  <c:v>0.5</c:v>
                </c:pt>
                <c:pt idx="1">
                  <c:v>3.4884112016023154</c:v>
                </c:pt>
                <c:pt idx="2">
                  <c:v>3.8225760101698594</c:v>
                </c:pt>
                <c:pt idx="3">
                  <c:v>4.1593696907194877</c:v>
                </c:pt>
                <c:pt idx="4">
                  <c:v>4.5000776626233581</c:v>
                </c:pt>
                <c:pt idx="5">
                  <c:v>4.8459810106859402</c:v>
                </c:pt>
                <c:pt idx="6">
                  <c:v>5.1983591420019533</c:v>
                </c:pt>
                <c:pt idx="7">
                  <c:v>5.558492428934322</c:v>
                </c:pt>
                <c:pt idx="8">
                  <c:v>5.9276648442350908</c:v>
                </c:pt>
                <c:pt idx="9">
                  <c:v>6.3071665942696207</c:v>
                </c:pt>
                <c:pt idx="10">
                  <c:v>6.6548510576026843</c:v>
                </c:pt>
                <c:pt idx="11">
                  <c:v>6.970081199402248</c:v>
                </c:pt>
                <c:pt idx="12">
                  <c:v>7.2910750038953243</c:v>
                </c:pt>
                <c:pt idx="13">
                  <c:v>7.6191646026818525</c:v>
                </c:pt>
                <c:pt idx="14">
                  <c:v>7.9556950996432585</c:v>
                </c:pt>
                <c:pt idx="15">
                  <c:v>8.302027096694939</c:v>
                </c:pt>
                <c:pt idx="16">
                  <c:v>8.6595392504545323</c:v>
                </c:pt>
                <c:pt idx="17">
                  <c:v>8.9689909924997426</c:v>
                </c:pt>
                <c:pt idx="18">
                  <c:v>9.2653663966665771</c:v>
                </c:pt>
                <c:pt idx="19">
                  <c:v>9.5699254467924639</c:v>
                </c:pt>
                <c:pt idx="20">
                  <c:v>9.8840264358444863</c:v>
                </c:pt>
                <c:pt idx="21">
                  <c:v>10.209055135485347</c:v>
                </c:pt>
                <c:pt idx="22">
                  <c:v>10.497647672603559</c:v>
                </c:pt>
                <c:pt idx="23">
                  <c:v>10.771594159420825</c:v>
                </c:pt>
                <c:pt idx="24">
                  <c:v>11.054407317129169</c:v>
                </c:pt>
                <c:pt idx="25">
                  <c:v>11.347436781277684</c:v>
                </c:pt>
                <c:pt idx="26">
                  <c:v>11.61335142534984</c:v>
                </c:pt>
                <c:pt idx="27">
                  <c:v>11.865278369958562</c:v>
                </c:pt>
                <c:pt idx="28">
                  <c:v>12.126019491312224</c:v>
                </c:pt>
                <c:pt idx="29">
                  <c:v>12.383558598297126</c:v>
                </c:pt>
                <c:pt idx="30">
                  <c:v>12.612469498927151</c:v>
                </c:pt>
                <c:pt idx="31">
                  <c:v>12.849314486983484</c:v>
                </c:pt>
                <c:pt idx="32">
                  <c:v>13.079383275023094</c:v>
                </c:pt>
                <c:pt idx="33">
                  <c:v>13.290925689724313</c:v>
                </c:pt>
                <c:pt idx="34">
                  <c:v>13.509897595083</c:v>
                </c:pt>
                <c:pt idx="35">
                  <c:v>13.710578328764733</c:v>
                </c:pt>
                <c:pt idx="36">
                  <c:v>13.933438926900777</c:v>
                </c:pt>
                <c:pt idx="37">
                  <c:v>14.145114678307106</c:v>
                </c:pt>
                <c:pt idx="38">
                  <c:v>14.355293017126083</c:v>
                </c:pt>
                <c:pt idx="39">
                  <c:v>14.554592347782311</c:v>
                </c:pt>
                <c:pt idx="40">
                  <c:v>14.754539136827658</c:v>
                </c:pt>
                <c:pt idx="41">
                  <c:v>14.941994517668654</c:v>
                </c:pt>
                <c:pt idx="42">
                  <c:v>15.127909545483538</c:v>
                </c:pt>
                <c:pt idx="43">
                  <c:v>15.310331059564191</c:v>
                </c:pt>
                <c:pt idx="44">
                  <c:v>15.484832618601558</c:v>
                </c:pt>
                <c:pt idx="45">
                  <c:v>15.656119487641934</c:v>
                </c:pt>
                <c:pt idx="46">
                  <c:v>15.824001454827727</c:v>
                </c:pt>
                <c:pt idx="47">
                  <c:v>15.988348291073866</c:v>
                </c:pt>
                <c:pt idx="48">
                  <c:v>16.149366908465225</c:v>
                </c:pt>
                <c:pt idx="49">
                  <c:v>16.307427508991871</c:v>
                </c:pt>
                <c:pt idx="50">
                  <c:v>16.462965510157765</c:v>
                </c:pt>
                <c:pt idx="51">
                  <c:v>16.616428176999683</c:v>
                </c:pt>
                <c:pt idx="52">
                  <c:v>16.768247345080503</c:v>
                </c:pt>
                <c:pt idx="53">
                  <c:v>16.918738734883934</c:v>
                </c:pt>
                <c:pt idx="54">
                  <c:v>17.067908343370387</c:v>
                </c:pt>
                <c:pt idx="55">
                  <c:v>17.216633139985799</c:v>
                </c:pt>
                <c:pt idx="56">
                  <c:v>17.364818878294631</c:v>
                </c:pt>
                <c:pt idx="57">
                  <c:v>17.513043527947968</c:v>
                </c:pt>
                <c:pt idx="58">
                  <c:v>17.661495590781321</c:v>
                </c:pt>
                <c:pt idx="59">
                  <c:v>17.810438906712651</c:v>
                </c:pt>
                <c:pt idx="60">
                  <c:v>17.96014602702267</c:v>
                </c:pt>
                <c:pt idx="61">
                  <c:v>18.110875240054728</c:v>
                </c:pt>
                <c:pt idx="62">
                  <c:v>18.26286569887305</c:v>
                </c:pt>
                <c:pt idx="63">
                  <c:v>18.416321674628165</c:v>
                </c:pt>
                <c:pt idx="64">
                  <c:v>18.571464058208537</c:v>
                </c:pt>
                <c:pt idx="65">
                  <c:v>18.728491588656233</c:v>
                </c:pt>
                <c:pt idx="66">
                  <c:v>18.887601789658738</c:v>
                </c:pt>
                <c:pt idx="67">
                  <c:v>19.048986732798745</c:v>
                </c:pt>
                <c:pt idx="68">
                  <c:v>19.212836061485916</c:v>
                </c:pt>
                <c:pt idx="69">
                  <c:v>19.379338127419679</c:v>
                </c:pt>
                <c:pt idx="70">
                  <c:v>19.548681651676763</c:v>
                </c:pt>
                <c:pt idx="71">
                  <c:v>19.721056008821481</c:v>
                </c:pt>
                <c:pt idx="72">
                  <c:v>19.896652540629564</c:v>
                </c:pt>
                <c:pt idx="73">
                  <c:v>20.075664776187118</c:v>
                </c:pt>
                <c:pt idx="74">
                  <c:v>20.258288733455316</c:v>
                </c:pt>
                <c:pt idx="75">
                  <c:v>20.44472305649537</c:v>
                </c:pt>
                <c:pt idx="76">
                  <c:v>20.63516895839135</c:v>
                </c:pt>
                <c:pt idx="77">
                  <c:v>20.829830050303755</c:v>
                </c:pt>
                <c:pt idx="78">
                  <c:v>21.028912061615991</c:v>
                </c:pt>
                <c:pt idx="79">
                  <c:v>21.232622457892443</c:v>
                </c:pt>
                <c:pt idx="80">
                  <c:v>21.441169955556713</c:v>
                </c:pt>
                <c:pt idx="81">
                  <c:v>21.654763928553159</c:v>
                </c:pt>
                <c:pt idx="82">
                  <c:v>21.873613698252697</c:v>
                </c:pt>
                <c:pt idx="83">
                  <c:v>22.097927694913714</c:v>
                </c:pt>
                <c:pt idx="84">
                  <c:v>22.327912477390054</c:v>
                </c:pt>
                <c:pt idx="85">
                  <c:v>22.563771596471838</c:v>
                </c:pt>
                <c:pt idx="86">
                  <c:v>22.80570428625423</c:v>
                </c:pt>
                <c:pt idx="87">
                  <c:v>23.053903967149292</c:v>
                </c:pt>
                <c:pt idx="88">
                  <c:v>23.308556543575762</c:v>
                </c:pt>
                <c:pt idx="89">
                  <c:v>23.569838479026572</c:v>
                </c:pt>
                <c:pt idx="90">
                  <c:v>23.837914631190657</c:v>
                </c:pt>
                <c:pt idx="91">
                  <c:v>24.112935830173065</c:v>
                </c:pt>
                <c:pt idx="92">
                  <c:v>24.395036183755675</c:v>
                </c:pt>
                <c:pt idx="93">
                  <c:v>24.684330095128434</c:v>
                </c:pt>
                <c:pt idx="94">
                  <c:v>24.980908980789941</c:v>
                </c:pt>
                <c:pt idx="95">
                  <c:v>25.284837679480322</c:v>
                </c:pt>
                <c:pt idx="96">
                  <c:v>25.596150547226763</c:v>
                </c:pt>
                <c:pt idx="97">
                  <c:v>25.914847238963723</c:v>
                </c:pt>
                <c:pt idx="98">
                  <c:v>26.240888184242053</c:v>
                </c:pt>
                <c:pt idx="99">
                  <c:v>26.574189772523695</c:v>
                </c:pt>
                <c:pt idx="100">
                  <c:v>26.914619274033907</c:v>
                </c:pt>
                <c:pt idx="101">
                  <c:v>27.26198953374929</c:v>
                </c:pt>
                <c:pt idx="102">
                  <c:v>27.616053489978178</c:v>
                </c:pt>
                <c:pt idx="103">
                  <c:v>27.976498584578032</c:v>
                </c:pt>
                <c:pt idx="104">
                  <c:v>28.342941149346299</c:v>
                </c:pt>
                <c:pt idx="105">
                  <c:v>28.714920872214279</c:v>
                </c:pt>
                <c:pt idx="106">
                  <c:v>29.091895467305015</c:v>
                </c:pt>
                <c:pt idx="107">
                  <c:v>29.473235694524753</c:v>
                </c:pt>
                <c:pt idx="108">
                  <c:v>29.858220893978171</c:v>
                </c:pt>
                <c:pt idx="109">
                  <c:v>30.246035226863579</c:v>
                </c:pt>
                <c:pt idx="110">
                  <c:v>30.635764825199196</c:v>
                </c:pt>
                <c:pt idx="111">
                  <c:v>31.026396077306611</c:v>
                </c:pt>
              </c:numCache>
            </c:numRef>
          </c:val>
          <c:smooth val="0"/>
          <c:extLst>
            <c:ext xmlns:c16="http://schemas.microsoft.com/office/drawing/2014/chart" uri="{C3380CC4-5D6E-409C-BE32-E72D297353CC}">
              <c16:uniqueId val="{000000F8-BE4B-4E76-8668-FB0ABEF2FDE8}"/>
            </c:ext>
          </c:extLst>
        </c:ser>
        <c:ser>
          <c:idx val="10"/>
          <c:order val="9"/>
          <c:tx>
            <c:strRef>
              <c:f>Sheet1!$AG$4</c:f>
              <c:strCache>
                <c:ptCount val="1"/>
                <c:pt idx="0">
                  <c:v>0.75</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Sheet1!$AG$4:$AG$115</c:f>
              <c:numCache>
                <c:formatCode>0.000</c:formatCode>
                <c:ptCount val="112"/>
                <c:pt idx="0" formatCode="General">
                  <c:v>0.75</c:v>
                </c:pt>
                <c:pt idx="1">
                  <c:v>2.5537662853187744</c:v>
                </c:pt>
                <c:pt idx="2">
                  <c:v>2.7588762224350267</c:v>
                </c:pt>
                <c:pt idx="3">
                  <c:v>2.9583266634530725</c:v>
                </c:pt>
                <c:pt idx="4">
                  <c:v>3.152927749999459</c:v>
                </c:pt>
                <c:pt idx="5">
                  <c:v>3.3434764995039754</c:v>
                </c:pt>
                <c:pt idx="6">
                  <c:v>3.5307585826677856</c:v>
                </c:pt>
                <c:pt idx="7">
                  <c:v>3.7155500672381052</c:v>
                </c:pt>
                <c:pt idx="8">
                  <c:v>3.8986191324414206</c:v>
                </c:pt>
                <c:pt idx="9">
                  <c:v>4.0807277583341754</c:v>
                </c:pt>
                <c:pt idx="10">
                  <c:v>4.2415978955448876</c:v>
                </c:pt>
                <c:pt idx="11">
                  <c:v>4.3802067879004358</c:v>
                </c:pt>
                <c:pt idx="12">
                  <c:v>4.5147638805965213</c:v>
                </c:pt>
                <c:pt idx="13">
                  <c:v>4.6458388339269039</c:v>
                </c:pt>
                <c:pt idx="14">
                  <c:v>4.7739966682507911</c:v>
                </c:pt>
                <c:pt idx="15">
                  <c:v>4.8997990428342275</c:v>
                </c:pt>
                <c:pt idx="16">
                  <c:v>5.023805520654097</c:v>
                </c:pt>
                <c:pt idx="17">
                  <c:v>5.1287447606121681</c:v>
                </c:pt>
                <c:pt idx="18">
                  <c:v>5.2243389763909693</c:v>
                </c:pt>
                <c:pt idx="19">
                  <c:v>5.3167642594889593</c:v>
                </c:pt>
                <c:pt idx="20">
                  <c:v>5.4064286709374967</c:v>
                </c:pt>
                <c:pt idx="21">
                  <c:v>5.4937386096183509</c:v>
                </c:pt>
                <c:pt idx="22">
                  <c:v>5.5703332947171704</c:v>
                </c:pt>
                <c:pt idx="23">
                  <c:v>5.6398442435107556</c:v>
                </c:pt>
                <c:pt idx="24">
                  <c:v>5.7064881975177784</c:v>
                </c:pt>
                <c:pt idx="25">
                  <c:v>5.7705651766286792</c:v>
                </c:pt>
                <c:pt idx="26">
                  <c:v>5.8280867981789752</c:v>
                </c:pt>
                <c:pt idx="27">
                  <c:v>5.8803961791650385</c:v>
                </c:pt>
                <c:pt idx="28">
                  <c:v>5.9300553523444002</c:v>
                </c:pt>
                <c:pt idx="29">
                  <c:v>5.9763831181073206</c:v>
                </c:pt>
                <c:pt idx="30">
                  <c:v>6.0176701478147381</c:v>
                </c:pt>
                <c:pt idx="31">
                  <c:v>6.0564480953647202</c:v>
                </c:pt>
                <c:pt idx="32">
                  <c:v>6.0922155313017434</c:v>
                </c:pt>
                <c:pt idx="33">
                  <c:v>6.1245235251287262</c:v>
                </c:pt>
                <c:pt idx="34">
                  <c:v>6.1545475985577784</c:v>
                </c:pt>
                <c:pt idx="35">
                  <c:v>6.1827776816906388</c:v>
                </c:pt>
                <c:pt idx="36">
                  <c:v>6.2152509290234681</c:v>
                </c:pt>
                <c:pt idx="37">
                  <c:v>6.2455331814830037</c:v>
                </c:pt>
                <c:pt idx="38">
                  <c:v>6.273854721528533</c:v>
                </c:pt>
                <c:pt idx="39">
                  <c:v>6.3002604407810132</c:v>
                </c:pt>
                <c:pt idx="40">
                  <c:v>6.3249496357747814</c:v>
                </c:pt>
                <c:pt idx="41">
                  <c:v>6.3479376590359591</c:v>
                </c:pt>
                <c:pt idx="42">
                  <c:v>6.3693932797704447</c:v>
                </c:pt>
                <c:pt idx="43">
                  <c:v>6.3893850777244907</c:v>
                </c:pt>
                <c:pt idx="44">
                  <c:v>6.4079893888196882</c:v>
                </c:pt>
                <c:pt idx="45">
                  <c:v>6.4252992097265356</c:v>
                </c:pt>
                <c:pt idx="46">
                  <c:v>6.4413873897686518</c:v>
                </c:pt>
                <c:pt idx="47">
                  <c:v>6.4563250070019365</c:v>
                </c:pt>
                <c:pt idx="48">
                  <c:v>6.4701803874221016</c:v>
                </c:pt>
                <c:pt idx="49">
                  <c:v>6.4830187313241199</c:v>
                </c:pt>
                <c:pt idx="50">
                  <c:v>6.4949022986405414</c:v>
                </c:pt>
                <c:pt idx="51">
                  <c:v>6.50589067719896</c:v>
                </c:pt>
                <c:pt idx="52">
                  <c:v>6.5160410152295736</c:v>
                </c:pt>
                <c:pt idx="53">
                  <c:v>6.525408201460059</c:v>
                </c:pt>
                <c:pt idx="54">
                  <c:v>6.5340450098131067</c:v>
                </c:pt>
                <c:pt idx="55">
                  <c:v>6.5420022392437955</c:v>
                </c:pt>
                <c:pt idx="56">
                  <c:v>6.549328768976169</c:v>
                </c:pt>
                <c:pt idx="57">
                  <c:v>6.5560716772336027</c:v>
                </c:pt>
                <c:pt idx="58">
                  <c:v>6.5622763079641988</c:v>
                </c:pt>
                <c:pt idx="59">
                  <c:v>6.5679863457322663</c:v>
                </c:pt>
                <c:pt idx="60">
                  <c:v>6.5732438798779738</c:v>
                </c:pt>
                <c:pt idx="61">
                  <c:v>6.5780894640979275</c:v>
                </c:pt>
                <c:pt idx="62">
                  <c:v>6.5825621710002702</c:v>
                </c:pt>
                <c:pt idx="63">
                  <c:v>6.5866996418319372</c:v>
                </c:pt>
                <c:pt idx="64">
                  <c:v>6.5905381315130214</c:v>
                </c:pt>
                <c:pt idx="65">
                  <c:v>6.5941125490431789</c:v>
                </c:pt>
                <c:pt idx="66">
                  <c:v>6.5974564933056357</c:v>
                </c:pt>
                <c:pt idx="67">
                  <c:v>6.600602284268632</c:v>
                </c:pt>
                <c:pt idx="68">
                  <c:v>6.603580989570986</c:v>
                </c:pt>
                <c:pt idx="69">
                  <c:v>6.6064224464564605</c:v>
                </c:pt>
                <c:pt idx="70">
                  <c:v>6.6091552790156483</c:v>
                </c:pt>
                <c:pt idx="71">
                  <c:v>6.6118069106718238</c:v>
                </c:pt>
                <c:pt idx="72">
                  <c:v>6.6144035718383423</c:v>
                </c:pt>
                <c:pt idx="73">
                  <c:v>6.6169703026587641</c:v>
                </c:pt>
                <c:pt idx="74">
                  <c:v>6.6195309507267091</c:v>
                </c:pt>
                <c:pt idx="75">
                  <c:v>6.622108163671637</c:v>
                </c:pt>
                <c:pt idx="76">
                  <c:v>6.6247233764791007</c:v>
                </c:pt>
                <c:pt idx="77">
                  <c:v>6.6273967934063354</c:v>
                </c:pt>
                <c:pt idx="78">
                  <c:v>6.6301473643378968</c:v>
                </c:pt>
                <c:pt idx="79">
                  <c:v>6.6329927554185284</c:v>
                </c:pt>
                <c:pt idx="80">
                  <c:v>6.6359493137892009</c:v>
                </c:pt>
                <c:pt idx="81">
                  <c:v>6.6390320262453235</c:v>
                </c:pt>
                <c:pt idx="82">
                  <c:v>6.6422544716310776</c:v>
                </c:pt>
                <c:pt idx="83">
                  <c:v>6.6456287667824316</c:v>
                </c:pt>
                <c:pt idx="84">
                  <c:v>6.6491655058325447</c:v>
                </c:pt>
                <c:pt idx="85">
                  <c:v>6.6528736927022205</c:v>
                </c:pt>
                <c:pt idx="86">
                  <c:v>6.6567606666102108</c:v>
                </c:pt>
                <c:pt idx="87">
                  <c:v>6.660832020463249</c:v>
                </c:pt>
                <c:pt idx="88">
                  <c:v>6.6650915120146461</c:v>
                </c:pt>
                <c:pt idx="89">
                  <c:v>6.6695409677274666</c:v>
                </c:pt>
                <c:pt idx="90">
                  <c:v>6.6741801793396567</c:v>
                </c:pt>
                <c:pt idx="91">
                  <c:v>6.6790067932012755</c:v>
                </c:pt>
                <c:pt idx="92">
                  <c:v>6.684016192563802</c:v>
                </c:pt>
                <c:pt idx="93">
                  <c:v>6.6892013731159832</c:v>
                </c:pt>
                <c:pt idx="94">
                  <c:v>6.6945528122290954</c:v>
                </c:pt>
                <c:pt idx="95">
                  <c:v>6.700058332554832</c:v>
                </c:pt>
                <c:pt idx="96">
                  <c:v>6.7057029608585026</c:v>
                </c:pt>
                <c:pt idx="97">
                  <c:v>6.7114687832393765</c:v>
                </c:pt>
                <c:pt idx="98">
                  <c:v>6.7173347982190252</c:v>
                </c:pt>
                <c:pt idx="99">
                  <c:v>6.7232767695523963</c:v>
                </c:pt>
                <c:pt idx="100">
                  <c:v>6.7292670810489499</c:v>
                </c:pt>
                <c:pt idx="101">
                  <c:v>6.7352745961866649</c:v>
                </c:pt>
                <c:pt idx="102">
                  <c:v>6.7412645258382264</c:v>
                </c:pt>
                <c:pt idx="103">
                  <c:v>6.7471983080332079</c:v>
                </c:pt>
                <c:pt idx="104">
                  <c:v>6.7530335043147343</c:v>
                </c:pt>
                <c:pt idx="105">
                  <c:v>6.7587237179237842</c:v>
                </c:pt>
                <c:pt idx="106">
                  <c:v>6.7642185397189118</c:v>
                </c:pt>
                <c:pt idx="107">
                  <c:v>6.769463528412877</c:v>
                </c:pt>
                <c:pt idx="108">
                  <c:v>6.7744002323195724</c:v>
                </c:pt>
                <c:pt idx="109">
                  <c:v>6.7789662603417815</c:v>
                </c:pt>
                <c:pt idx="110">
                  <c:v>6.7830954103280732</c:v>
                </c:pt>
                <c:pt idx="111">
                  <c:v>6.7867178631153156</c:v>
                </c:pt>
              </c:numCache>
            </c:numRef>
          </c:val>
          <c:smooth val="0"/>
          <c:extLst>
            <c:ext xmlns:c16="http://schemas.microsoft.com/office/drawing/2014/chart" uri="{C3380CC4-5D6E-409C-BE32-E72D297353CC}">
              <c16:uniqueId val="{000000F9-BE4B-4E76-8668-FB0ABEF2FDE8}"/>
            </c:ext>
          </c:extLst>
        </c:ser>
        <c:ser>
          <c:idx val="11"/>
          <c:order val="10"/>
          <c:tx>
            <c:strRef>
              <c:f>Sheet1!$AH$4</c:f>
              <c:strCache>
                <c:ptCount val="1"/>
                <c:pt idx="0">
                  <c:v>0.999</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Sheet1!$AH$4:$AH$115</c:f>
              <c:numCache>
                <c:formatCode>0.000</c:formatCode>
                <c:ptCount val="112"/>
                <c:pt idx="0" formatCode="General">
                  <c:v>0.999</c:v>
                </c:pt>
                <c:pt idx="1">
                  <c:v>1.6058758186965647</c:v>
                </c:pt>
                <c:pt idx="2">
                  <c:v>1.7116082640723698</c:v>
                </c:pt>
                <c:pt idx="3">
                  <c:v>1.8094896500720246</c:v>
                </c:pt>
                <c:pt idx="4">
                  <c:v>1.8999629502516366</c:v>
                </c:pt>
                <c:pt idx="5">
                  <c:v>1.98344792811663</c:v>
                </c:pt>
                <c:pt idx="6">
                  <c:v>2.0603423165173815</c:v>
                </c:pt>
                <c:pt idx="7">
                  <c:v>2.1310229380531531</c:v>
                </c:pt>
                <c:pt idx="8">
                  <c:v>2.1958467694079937</c:v>
                </c:pt>
                <c:pt idx="9">
                  <c:v>2.2551519523983399</c:v>
                </c:pt>
                <c:pt idx="10">
                  <c:v>2.3092581776824868</c:v>
                </c:pt>
                <c:pt idx="11">
                  <c:v>2.358468679154448</c:v>
                </c:pt>
                <c:pt idx="12">
                  <c:v>2.4030711329265775</c:v>
                </c:pt>
                <c:pt idx="13">
                  <c:v>2.4433374646275885</c:v>
                </c:pt>
                <c:pt idx="14">
                  <c:v>2.479525108470821</c:v>
                </c:pt>
                <c:pt idx="15">
                  <c:v>2.5118777497026961</c:v>
                </c:pt>
                <c:pt idx="16">
                  <c:v>2.5406260297386494</c:v>
                </c:pt>
                <c:pt idx="17">
                  <c:v>2.5659882134763983</c:v>
                </c:pt>
                <c:pt idx="18">
                  <c:v>2.588170831132917</c:v>
                </c:pt>
                <c:pt idx="19">
                  <c:v>2.6073692783105478</c:v>
                </c:pt>
                <c:pt idx="20">
                  <c:v>2.6237683891927408</c:v>
                </c:pt>
                <c:pt idx="21">
                  <c:v>2.6375429819267224</c:v>
                </c:pt>
                <c:pt idx="22">
                  <c:v>2.6488583757771313</c:v>
                </c:pt>
                <c:pt idx="23">
                  <c:v>2.6578708821965709</c:v>
                </c:pt>
                <c:pt idx="24">
                  <c:v>2.6647282710752527</c:v>
                </c:pt>
                <c:pt idx="25">
                  <c:v>2.6695702134303527</c:v>
                </c:pt>
                <c:pt idx="26">
                  <c:v>2.6725287017120216</c:v>
                </c:pt>
                <c:pt idx="27">
                  <c:v>2.6737284488356585</c:v>
                </c:pt>
                <c:pt idx="28">
                  <c:v>2.6732872670045871</c:v>
                </c:pt>
                <c:pt idx="29">
                  <c:v>2.6713164273328518</c:v>
                </c:pt>
                <c:pt idx="30">
                  <c:v>2.6679210012273575</c:v>
                </c:pt>
                <c:pt idx="31">
                  <c:v>2.6632001844414286</c:v>
                </c:pt>
                <c:pt idx="32">
                  <c:v>2.6572476046663693</c:v>
                </c:pt>
                <c:pt idx="33">
                  <c:v>2.6501516134848639</c:v>
                </c:pt>
                <c:pt idx="34">
                  <c:v>2.6419955634690235</c:v>
                </c:pt>
                <c:pt idx="35">
                  <c:v>2.6332113309970895</c:v>
                </c:pt>
                <c:pt idx="36">
                  <c:v>2.625434792003519</c:v>
                </c:pt>
                <c:pt idx="37">
                  <c:v>2.6167808127632841</c:v>
                </c:pt>
                <c:pt idx="38">
                  <c:v>2.6073131114246104</c:v>
                </c:pt>
                <c:pt idx="39">
                  <c:v>2.5970918285953428</c:v>
                </c:pt>
                <c:pt idx="40">
                  <c:v>2.5861737095783996</c:v>
                </c:pt>
                <c:pt idx="41">
                  <c:v>2.5746122775540661</c:v>
                </c:pt>
                <c:pt idx="42">
                  <c:v>2.5624579981537003</c:v>
                </c:pt>
                <c:pt idx="43">
                  <c:v>2.5497584358482932</c:v>
                </c:pt>
                <c:pt idx="44">
                  <c:v>2.5365584025558419</c:v>
                </c:pt>
                <c:pt idx="45">
                  <c:v>2.5229000988524732</c:v>
                </c:pt>
                <c:pt idx="46">
                  <c:v>2.5088232481547599</c:v>
                </c:pt>
                <c:pt idx="47">
                  <c:v>2.494365224223547</c:v>
                </c:pt>
                <c:pt idx="48">
                  <c:v>2.479561172323828</c:v>
                </c:pt>
                <c:pt idx="49">
                  <c:v>2.4644441243600226</c:v>
                </c:pt>
                <c:pt idx="50">
                  <c:v>2.4490451082916382</c:v>
                </c:pt>
                <c:pt idx="51">
                  <c:v>2.433393252120867</c:v>
                </c:pt>
                <c:pt idx="52">
                  <c:v>2.4175158827307506</c:v>
                </c:pt>
                <c:pt idx="53">
                  <c:v>2.4014386198405848</c:v>
                </c:pt>
                <c:pt idx="54">
                  <c:v>2.3851854653336209</c:v>
                </c:pt>
                <c:pt idx="55">
                  <c:v>2.3687788882015193</c:v>
                </c:pt>
                <c:pt idx="56">
                  <c:v>2.352239905339649</c:v>
                </c:pt>
                <c:pt idx="57">
                  <c:v>2.335588158417838</c:v>
                </c:pt>
                <c:pt idx="58">
                  <c:v>2.3188419870419184</c:v>
                </c:pt>
                <c:pt idx="59">
                  <c:v>2.3020184984130032</c:v>
                </c:pt>
                <c:pt idx="60">
                  <c:v>2.2851336336830772</c:v>
                </c:pt>
                <c:pt idx="61">
                  <c:v>2.268202231197848</c:v>
                </c:pt>
                <c:pt idx="62">
                  <c:v>2.2512380868104156</c:v>
                </c:pt>
                <c:pt idx="63">
                  <c:v>2.234254011442264</c:v>
                </c:pt>
                <c:pt idx="64">
                  <c:v>2.2172618860612441</c:v>
                </c:pt>
                <c:pt idx="65">
                  <c:v>2.2002727142396741</c:v>
                </c:pt>
                <c:pt idx="66">
                  <c:v>2.1832966724493033</c:v>
                </c:pt>
                <c:pt idx="67">
                  <c:v>2.1663431582434751</c:v>
                </c:pt>
                <c:pt idx="68">
                  <c:v>2.1494208364705178</c:v>
                </c:pt>
                <c:pt idx="69">
                  <c:v>2.1325376836561007</c:v>
                </c:pt>
                <c:pt idx="70">
                  <c:v>2.1157010306856647</c:v>
                </c:pt>
                <c:pt idx="71">
                  <c:v>2.0989176039113278</c:v>
                </c:pt>
                <c:pt idx="72">
                  <c:v>2.0821935648006007</c:v>
                </c:pt>
                <c:pt idx="73">
                  <c:v>2.0655345482367564</c:v>
                </c:pt>
                <c:pt idx="74">
                  <c:v>2.0489456995725921</c:v>
                </c:pt>
                <c:pt idx="75">
                  <c:v>2.0324317105308074</c:v>
                </c:pt>
                <c:pt idx="76">
                  <c:v>2.0159968540346269</c:v>
                </c:pt>
                <c:pt idx="77">
                  <c:v>1.9996450180422165</c:v>
                </c:pt>
                <c:pt idx="78">
                  <c:v>1.9833797384472096</c:v>
                </c:pt>
                <c:pt idx="79">
                  <c:v>1.9672042310953415</c:v>
                </c:pt>
                <c:pt idx="80">
                  <c:v>1.9511214229540226</c:v>
                </c:pt>
                <c:pt idx="81">
                  <c:v>1.9351339824570515</c:v>
                </c:pt>
                <c:pt idx="82">
                  <c:v>1.9192443490310536</c:v>
                </c:pt>
                <c:pt idx="83">
                  <c:v>1.9034547617933604</c:v>
                </c:pt>
                <c:pt idx="84">
                  <c:v>1.8877672873929978</c:v>
                </c:pt>
                <c:pt idx="85">
                  <c:v>1.8721838469475398</c:v>
                </c:pt>
                <c:pt idx="86">
                  <c:v>1.8567062420085487</c:v>
                </c:pt>
                <c:pt idx="87">
                  <c:v>1.8413361794680041</c:v>
                </c:pt>
                <c:pt idx="88">
                  <c:v>1.8260752952972965</c:v>
                </c:pt>
                <c:pt idx="89">
                  <c:v>1.8109251769897183</c:v>
                </c:pt>
                <c:pt idx="90">
                  <c:v>1.7958873845576149</c:v>
                </c:pt>
                <c:pt idx="91">
                  <c:v>1.7809634699166739</c:v>
                </c:pt>
                <c:pt idx="92">
                  <c:v>1.7661549944734001</c:v>
                </c:pt>
                <c:pt idx="93">
                  <c:v>1.7514635447182829</c:v>
                </c:pt>
                <c:pt idx="94">
                  <c:v>1.7368907456176979</c:v>
                </c:pt>
                <c:pt idx="95">
                  <c:v>1.7224382715927118</c:v>
                </c:pt>
                <c:pt idx="96">
                  <c:v>1.7081078548747801</c:v>
                </c:pt>
                <c:pt idx="97">
                  <c:v>1.6939012910366895</c:v>
                </c:pt>
                <c:pt idx="98">
                  <c:v>1.679820441514311</c:v>
                </c:pt>
                <c:pt idx="99">
                  <c:v>1.6658672329610116</c:v>
                </c:pt>
                <c:pt idx="100">
                  <c:v>1.6520436533128808</c:v>
                </c:pt>
                <c:pt idx="101">
                  <c:v>1.6383517444902906</c:v>
                </c:pt>
                <c:pt idx="102">
                  <c:v>1.6247935917192979</c:v>
                </c:pt>
                <c:pt idx="103">
                  <c:v>1.6113713095252595</c:v>
                </c:pt>
                <c:pt idx="104">
                  <c:v>1.5980870245297576</c:v>
                </c:pt>
                <c:pt idx="105">
                  <c:v>1.5849428552692273</c:v>
                </c:pt>
                <c:pt idx="106">
                  <c:v>1.5719408893472369</c:v>
                </c:pt>
                <c:pt idx="107">
                  <c:v>1.5590831583293627</c:v>
                </c:pt>
                <c:pt idx="108">
                  <c:v>1.5463716108865462</c:v>
                </c:pt>
                <c:pt idx="109">
                  <c:v>1.5338080847847928</c:v>
                </c:pt>
                <c:pt idx="110">
                  <c:v>1.5213942784018859</c:v>
                </c:pt>
                <c:pt idx="111">
                  <c:v>1.50913172251926</c:v>
                </c:pt>
              </c:numCache>
            </c:numRef>
          </c:val>
          <c:smooth val="0"/>
          <c:extLst>
            <c:ext xmlns:c16="http://schemas.microsoft.com/office/drawing/2014/chart" uri="{C3380CC4-5D6E-409C-BE32-E72D297353CC}">
              <c16:uniqueId val="{000000FA-BE4B-4E76-8668-FB0ABEF2FDE8}"/>
            </c:ext>
          </c:extLst>
        </c:ser>
        <c:dLbls>
          <c:showLegendKey val="0"/>
          <c:showVal val="0"/>
          <c:showCatName val="0"/>
          <c:showSerName val="0"/>
          <c:showPercent val="0"/>
          <c:showBubbleSize val="0"/>
        </c:dLbls>
        <c:marker val="1"/>
        <c:smooth val="0"/>
        <c:axId val="327828344"/>
        <c:axId val="327828672"/>
      </c:lineChart>
      <c:catAx>
        <c:axId val="327828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672"/>
        <c:crosses val="autoZero"/>
        <c:auto val="1"/>
        <c:lblAlgn val="ctr"/>
        <c:lblOffset val="100"/>
        <c:noMultiLvlLbl val="0"/>
      </c:catAx>
      <c:valAx>
        <c:axId val="3278286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4</xdr:col>
      <xdr:colOff>309534</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581025</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34</xdr:col>
      <xdr:colOff>447675</xdr:colOff>
      <xdr:row>2</xdr:row>
      <xdr:rowOff>85725</xdr:rowOff>
    </xdr:from>
    <xdr:to>
      <xdr:col>46</xdr:col>
      <xdr:colOff>9525</xdr:colOff>
      <xdr:row>25</xdr:row>
      <xdr:rowOff>109538</xdr:rowOff>
    </xdr:to>
    <xdr:graphicFrame macro="">
      <xdr:nvGraphicFramePr>
        <xdr:cNvPr id="3" name="Chart 2">
          <a:extLst>
            <a:ext uri="{FF2B5EF4-FFF2-40B4-BE49-F238E27FC236}">
              <a16:creationId xmlns:a16="http://schemas.microsoft.com/office/drawing/2014/main" id="{D7EB9C3D-7DA3-4ED1-AF5C-C5E267D34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workbookViewId="0">
      <selection activeCell="S11" sqref="S11"/>
    </sheetView>
  </sheetViews>
  <sheetFormatPr defaultRowHeight="15.75" x14ac:dyDescent="0.25"/>
  <cols>
    <col min="1" max="1" width="2.25" style="188" customWidth="1"/>
    <col min="2" max="2" width="9" style="188"/>
    <col min="3" max="3" width="4.375" style="190" bestFit="1" customWidth="1"/>
    <col min="4" max="4" width="15.875" style="190" bestFit="1" customWidth="1"/>
    <col min="5" max="5" width="10.375" style="188" bestFit="1" customWidth="1"/>
    <col min="6" max="6" width="10.375" style="188" customWidth="1"/>
    <col min="7" max="20" width="9" style="188"/>
    <col min="21" max="21" width="5.5" style="188" customWidth="1"/>
    <col min="22" max="22" width="6.375" style="188" bestFit="1" customWidth="1"/>
    <col min="23" max="23" width="9.625" style="188" bestFit="1" customWidth="1"/>
    <col min="24" max="16384" width="9" style="188"/>
  </cols>
  <sheetData>
    <row r="1" spans="2:28" ht="16.5" thickBot="1" x14ac:dyDescent="0.3"/>
    <row r="2" spans="2:28" x14ac:dyDescent="0.25">
      <c r="B2" s="194"/>
      <c r="C2" s="195"/>
      <c r="D2" s="195"/>
      <c r="E2" s="196"/>
      <c r="F2" s="196"/>
      <c r="G2" s="196"/>
      <c r="H2" s="196"/>
      <c r="I2" s="196"/>
      <c r="J2" s="196"/>
      <c r="K2" s="196"/>
      <c r="L2" s="196"/>
      <c r="M2" s="196"/>
      <c r="N2" s="196"/>
      <c r="O2" s="196"/>
      <c r="P2" s="196"/>
      <c r="Q2" s="196"/>
      <c r="R2" s="196"/>
      <c r="S2" s="196"/>
      <c r="T2" s="197"/>
    </row>
    <row r="3" spans="2:28" x14ac:dyDescent="0.25">
      <c r="B3" s="198"/>
      <c r="C3" s="192"/>
      <c r="D3" s="192"/>
      <c r="E3" s="189"/>
      <c r="F3" s="189"/>
      <c r="G3" s="297" t="s">
        <v>200</v>
      </c>
      <c r="H3" s="297"/>
      <c r="I3" s="297"/>
      <c r="J3" s="297"/>
      <c r="K3" s="297"/>
      <c r="L3" s="297"/>
      <c r="M3" s="189"/>
      <c r="N3" s="189"/>
      <c r="O3" s="189"/>
      <c r="P3" s="189"/>
      <c r="Q3" s="189"/>
      <c r="R3" s="189"/>
      <c r="S3" s="189"/>
      <c r="T3" s="199"/>
    </row>
    <row r="4" spans="2:28" x14ac:dyDescent="0.25">
      <c r="B4" s="198"/>
      <c r="C4" s="192"/>
      <c r="D4" s="192"/>
      <c r="E4" s="189"/>
      <c r="F4" s="189"/>
      <c r="G4" s="189"/>
      <c r="H4" s="189"/>
      <c r="I4" s="189"/>
      <c r="J4" s="189"/>
      <c r="K4" s="189"/>
      <c r="L4" s="189"/>
      <c r="M4" s="189"/>
      <c r="N4" s="189"/>
      <c r="O4" s="189"/>
      <c r="P4" s="189"/>
      <c r="Q4" s="189"/>
      <c r="R4" s="189"/>
      <c r="S4" s="189"/>
      <c r="T4" s="199"/>
    </row>
    <row r="5" spans="2:28" x14ac:dyDescent="0.25">
      <c r="B5" s="198"/>
      <c r="C5" s="204"/>
      <c r="D5" s="204"/>
      <c r="E5" s="298" t="s">
        <v>336</v>
      </c>
      <c r="F5" s="295"/>
      <c r="G5" s="295"/>
      <c r="H5" s="295"/>
      <c r="I5" s="295"/>
      <c r="J5" s="295"/>
      <c r="K5" s="295" t="s">
        <v>337</v>
      </c>
      <c r="L5" s="295"/>
      <c r="M5" s="295"/>
      <c r="N5" s="295"/>
      <c r="O5" s="296"/>
      <c r="P5" s="282" t="s">
        <v>201</v>
      </c>
      <c r="Q5" s="283"/>
      <c r="R5" s="283"/>
      <c r="S5" s="283"/>
      <c r="T5" s="199"/>
    </row>
    <row r="6" spans="2:28" ht="16.5" thickBot="1" x14ac:dyDescent="0.3">
      <c r="B6" s="198"/>
      <c r="C6" s="206"/>
      <c r="D6" s="206" t="s">
        <v>359</v>
      </c>
      <c r="E6" s="298" t="s">
        <v>69</v>
      </c>
      <c r="F6" s="295"/>
      <c r="G6" s="295" t="s">
        <v>70</v>
      </c>
      <c r="H6" s="295"/>
      <c r="I6" s="295" t="s">
        <v>63</v>
      </c>
      <c r="J6" s="296"/>
      <c r="K6" s="225"/>
      <c r="L6" s="295" t="s">
        <v>69</v>
      </c>
      <c r="M6" s="295"/>
      <c r="N6" s="295" t="s">
        <v>70</v>
      </c>
      <c r="O6" s="296"/>
      <c r="P6" s="295" t="s">
        <v>69</v>
      </c>
      <c r="Q6" s="295"/>
      <c r="R6" s="295" t="s">
        <v>70</v>
      </c>
      <c r="S6" s="296"/>
      <c r="T6" s="199"/>
    </row>
    <row r="7" spans="2:28" ht="27.75" thickBot="1" x14ac:dyDescent="0.3">
      <c r="B7" s="198"/>
      <c r="C7" s="219" t="s">
        <v>338</v>
      </c>
      <c r="D7" s="219"/>
      <c r="E7" s="220" t="s">
        <v>347</v>
      </c>
      <c r="F7" s="221" t="s">
        <v>339</v>
      </c>
      <c r="G7" s="222" t="s">
        <v>340</v>
      </c>
      <c r="H7" s="222" t="s">
        <v>339</v>
      </c>
      <c r="I7" s="221" t="s">
        <v>348</v>
      </c>
      <c r="J7" s="223" t="s">
        <v>339</v>
      </c>
      <c r="K7" s="224" t="s">
        <v>387</v>
      </c>
      <c r="L7" s="222" t="s">
        <v>350</v>
      </c>
      <c r="M7" s="222" t="s">
        <v>339</v>
      </c>
      <c r="N7" s="221" t="s">
        <v>349</v>
      </c>
      <c r="O7" s="223" t="s">
        <v>339</v>
      </c>
      <c r="P7" s="226" t="s">
        <v>388</v>
      </c>
      <c r="Q7" s="222" t="s">
        <v>339</v>
      </c>
      <c r="R7" s="221" t="s">
        <v>351</v>
      </c>
      <c r="S7" s="223" t="s">
        <v>339</v>
      </c>
      <c r="T7" s="199"/>
      <c r="V7" s="186" t="s">
        <v>345</v>
      </c>
      <c r="W7" s="187" t="s">
        <v>344</v>
      </c>
    </row>
    <row r="8" spans="2:28" x14ac:dyDescent="0.25">
      <c r="B8" s="198"/>
      <c r="C8" s="109">
        <v>1</v>
      </c>
      <c r="D8" s="109" t="s">
        <v>365</v>
      </c>
      <c r="E8" s="183">
        <f>Links!F91</f>
        <v>2.585866496977637</v>
      </c>
      <c r="F8" s="184" t="str">
        <f t="shared" ref="F8:F29" si="0">IF(E8="","",IF(E8&lt;=$W$8,$V$8,IF(E8&lt;=$W$9,$V$9,IF(E8&lt;=$W$10,$V$10,IF(E8&lt;=$W$11,$V$11,IF(E8&lt;=$W$12,$V$12,$V$13))))))</f>
        <v>B</v>
      </c>
      <c r="G8" s="171">
        <f>Links!F94</f>
        <v>4.5308900955325564</v>
      </c>
      <c r="H8" s="171" t="str">
        <f t="shared" ref="H8:H29" si="1">IF(G8="","",IF(G8&lt;=$W$8,$V$8,IF(G8&lt;=$W$9,$V$9,IF(G8&lt;=$W$10,$V$10,IF(G8&lt;=$W$11,$V$11,IF(G8&lt;=$W$12,$V$12,$V$13))))))</f>
        <v>E</v>
      </c>
      <c r="I8" s="184">
        <f>Links!F97</f>
        <v>2.3438381097591807</v>
      </c>
      <c r="J8" s="205" t="str">
        <f t="shared" ref="J8:J29" si="2">IF(I8="","",IF(I8&lt;=$W$8,$V$8,IF(I8&lt;=$W$9,$V$9,IF(I8&lt;=$W$10,$V$10,IF(I8&lt;=$W$11,$V$11,IF(I8&lt;=$W$12,$V$12,$V$13))))))</f>
        <v>B</v>
      </c>
      <c r="K8" s="218" t="s">
        <v>368</v>
      </c>
      <c r="L8" s="171">
        <f>Intersections!F114</f>
        <v>2.8117855183883798</v>
      </c>
      <c r="M8" s="171" t="str">
        <f t="shared" ref="M8:M29" si="3">IF(L8="-","-",IF(L8&lt;=$W$8,$V$8,IF(L8&lt;=$W$9,$V$9,IF(L8&lt;=$W$10,$V$10,IF(L8&lt;=$W$11,$V$11,IF(L8&lt;=$W$12,$V$12,$V$13))))))</f>
        <v>C</v>
      </c>
      <c r="N8" s="184">
        <f>Intersections!F117</f>
        <v>3.3921499999999996</v>
      </c>
      <c r="O8" s="205" t="str">
        <f t="shared" ref="O8:O29" si="4">IF(N8="","",IF(N8&lt;=$W$8,$V$8,IF(N8&lt;=$W$9,$V$9,IF(N8&lt;=$W$10,$V$10,IF(N8&lt;=$W$11,$V$11,IF(N8&lt;=$W$12,$V$12,$V$13))))))</f>
        <v>C</v>
      </c>
      <c r="P8" s="168">
        <f>Segments!E42</f>
        <v>2.5587302032734773</v>
      </c>
      <c r="Q8" s="171" t="str">
        <f>IF(P8="","",IF(P8&lt;=$W$8,$V$8,IF(P8&lt;=$W$9,$V$9,IF(P8&lt;=$W$10,$V$10,IF(P8&lt;=$W$11,$V$11,IF(P8&lt;=$W$12,$V$12,$V$13))))))</f>
        <v>B</v>
      </c>
      <c r="R8" s="184">
        <f>Segments!E47</f>
        <v>3.3981605545166098</v>
      </c>
      <c r="S8" s="205" t="str">
        <f>IF(R8="","",IF(R8&lt;=$W$8,$V$8,IF(R8&lt;=$W$9,$V$9,IF(R8&lt;=$W$10,$V$10,IF(R8&lt;=$W$11,$V$11,IF(R8&lt;=$W$12,$V$12,$V$13))))))</f>
        <v>C</v>
      </c>
      <c r="T8" s="199"/>
      <c r="V8" s="214" t="s">
        <v>335</v>
      </c>
      <c r="W8" s="185">
        <v>2</v>
      </c>
      <c r="AB8" s="191"/>
    </row>
    <row r="9" spans="2:28" x14ac:dyDescent="0.25">
      <c r="B9" s="198"/>
      <c r="C9" s="109">
        <v>2</v>
      </c>
      <c r="D9" s="109" t="s">
        <v>366</v>
      </c>
      <c r="E9" s="183" t="str">
        <f>Links!H91</f>
        <v/>
      </c>
      <c r="F9" s="184" t="str">
        <f t="shared" si="0"/>
        <v/>
      </c>
      <c r="G9" s="171" t="str">
        <f>Links!H94</f>
        <v/>
      </c>
      <c r="H9" s="171" t="str">
        <f t="shared" si="1"/>
        <v/>
      </c>
      <c r="I9" s="184" t="str">
        <f>Links!H97</f>
        <v/>
      </c>
      <c r="J9" s="205" t="str">
        <f t="shared" si="2"/>
        <v/>
      </c>
      <c r="K9" s="218" t="s">
        <v>369</v>
      </c>
      <c r="L9" s="171" t="e">
        <f ca="1">Intersections!J114</f>
        <v>#NAME?</v>
      </c>
      <c r="M9" s="171" t="e">
        <f t="shared" ca="1" si="3"/>
        <v>#NAME?</v>
      </c>
      <c r="N9" s="184">
        <f>Intersections!J117</f>
        <v>2.799199999999999</v>
      </c>
      <c r="O9" s="205" t="str">
        <f t="shared" si="4"/>
        <v>C</v>
      </c>
      <c r="P9" s="168" t="str">
        <f>Segments!G42</f>
        <v/>
      </c>
      <c r="Q9" s="171" t="str">
        <f t="shared" ref="Q9:Q27" si="5">IF(P9="","",IF(P9&lt;=$W$8,$V$8,IF(P9&lt;=$W$9,$V$9,IF(P9&lt;=$W$10,$V$10,IF(P9&lt;=$W$11,$V$11,IF(P9&lt;=$W$12,$V$12,$V$13))))))</f>
        <v/>
      </c>
      <c r="R9" s="184" t="str">
        <f>Segments!G47</f>
        <v/>
      </c>
      <c r="S9" s="205" t="str">
        <f>IF(R9="","",IF(R9&lt;=$W$8,$V$8,IF(R9&lt;=$W$9,$V$9,IF(R9&lt;=$W$10,$V$10,IF(R9&lt;=$W$11,$V$11,IF(R9&lt;=$W$12,$V$12,$V$13))))))</f>
        <v/>
      </c>
      <c r="T9" s="199"/>
      <c r="V9" s="214" t="s">
        <v>334</v>
      </c>
      <c r="W9" s="185">
        <v>2.75</v>
      </c>
    </row>
    <row r="10" spans="2:28" x14ac:dyDescent="0.25">
      <c r="B10" s="198"/>
      <c r="C10" s="109">
        <v>3</v>
      </c>
      <c r="D10" s="109" t="s">
        <v>367</v>
      </c>
      <c r="E10" s="183" t="str">
        <f>Links!J91</f>
        <v/>
      </c>
      <c r="F10" s="184" t="str">
        <f t="shared" si="0"/>
        <v/>
      </c>
      <c r="G10" s="171" t="str">
        <f>Links!J94</f>
        <v/>
      </c>
      <c r="H10" s="171" t="str">
        <f t="shared" si="1"/>
        <v/>
      </c>
      <c r="I10" s="184" t="str">
        <f>Links!J97</f>
        <v/>
      </c>
      <c r="J10" s="205" t="str">
        <f t="shared" si="2"/>
        <v/>
      </c>
      <c r="K10" s="218" t="s">
        <v>370</v>
      </c>
      <c r="L10" s="171" t="str">
        <f>Intersections!N114</f>
        <v/>
      </c>
      <c r="M10" s="171" t="str">
        <f t="shared" si="3"/>
        <v>F</v>
      </c>
      <c r="N10" s="184" t="str">
        <f>Intersections!N117</f>
        <v/>
      </c>
      <c r="O10" s="205" t="str">
        <f t="shared" si="4"/>
        <v/>
      </c>
      <c r="P10" s="168" t="str">
        <f>Segments!I42</f>
        <v/>
      </c>
      <c r="Q10" s="171" t="str">
        <f t="shared" si="5"/>
        <v/>
      </c>
      <c r="R10" s="184" t="str">
        <f>Segments!I47</f>
        <v/>
      </c>
      <c r="S10" s="205" t="str">
        <f t="shared" ref="S10" si="6">IF(R10="","",IF(R10&lt;=$W$8,$V$8,IF(R10&lt;=$W$9,$V$9,IF(R10&lt;=$W$10,$V$10,IF(R10&lt;=$W$11,$V$11,IF(R10&lt;=$W$12,$V$12,$V$13))))))</f>
        <v/>
      </c>
      <c r="T10" s="199"/>
      <c r="V10" s="214" t="s">
        <v>161</v>
      </c>
      <c r="W10" s="185">
        <v>3.5</v>
      </c>
    </row>
    <row r="11" spans="2:28" x14ac:dyDescent="0.25">
      <c r="B11" s="198"/>
      <c r="C11" s="109">
        <v>4</v>
      </c>
      <c r="D11" s="109" t="s">
        <v>364</v>
      </c>
      <c r="E11" s="183" t="str">
        <f>Links!L91</f>
        <v/>
      </c>
      <c r="F11" s="184" t="str">
        <f t="shared" si="0"/>
        <v/>
      </c>
      <c r="G11" s="171" t="str">
        <f>Links!L94</f>
        <v/>
      </c>
      <c r="H11" s="171" t="str">
        <f t="shared" si="1"/>
        <v/>
      </c>
      <c r="I11" s="184" t="str">
        <f>Links!L97</f>
        <v/>
      </c>
      <c r="J11" s="205" t="str">
        <f t="shared" si="2"/>
        <v/>
      </c>
      <c r="K11" s="218" t="s">
        <v>371</v>
      </c>
      <c r="L11" s="171" t="str">
        <f>Intersections!R114</f>
        <v/>
      </c>
      <c r="M11" s="171" t="str">
        <f t="shared" si="3"/>
        <v>F</v>
      </c>
      <c r="N11" s="184" t="str">
        <f>Intersections!R117</f>
        <v/>
      </c>
      <c r="O11" s="205" t="str">
        <f t="shared" si="4"/>
        <v/>
      </c>
      <c r="P11" s="168" t="str">
        <f>Segments!K42</f>
        <v/>
      </c>
      <c r="Q11" s="171" t="str">
        <f t="shared" si="5"/>
        <v/>
      </c>
      <c r="R11" s="184" t="str">
        <f>Segments!K47</f>
        <v/>
      </c>
      <c r="S11" s="205" t="str">
        <f t="shared" ref="S11" si="7">IF(R11="","",IF(R11&lt;=$W$8,$V$8,IF(R11&lt;=$W$9,$V$9,IF(R11&lt;=$W$10,$V$10,IF(R11&lt;=$W$11,$V$11,IF(R11&lt;=$W$12,$V$12,$V$13))))))</f>
        <v/>
      </c>
      <c r="T11" s="199"/>
      <c r="V11" s="214" t="s">
        <v>341</v>
      </c>
      <c r="W11" s="185">
        <v>4.25</v>
      </c>
    </row>
    <row r="12" spans="2:28" x14ac:dyDescent="0.25">
      <c r="B12" s="198"/>
      <c r="C12" s="109">
        <v>5</v>
      </c>
      <c r="D12" s="109" t="s">
        <v>360</v>
      </c>
      <c r="E12" s="183" t="str">
        <f>Links!N91</f>
        <v/>
      </c>
      <c r="F12" s="184" t="str">
        <f t="shared" si="0"/>
        <v/>
      </c>
      <c r="G12" s="171" t="str">
        <f>Links!N94</f>
        <v/>
      </c>
      <c r="H12" s="171" t="str">
        <f t="shared" si="1"/>
        <v/>
      </c>
      <c r="I12" s="184" t="str">
        <f>Links!N97</f>
        <v/>
      </c>
      <c r="J12" s="205" t="str">
        <f t="shared" si="2"/>
        <v/>
      </c>
      <c r="K12" s="218" t="s">
        <v>372</v>
      </c>
      <c r="L12" s="171" t="str">
        <f>Intersections!V114</f>
        <v/>
      </c>
      <c r="M12" s="171" t="str">
        <f t="shared" si="3"/>
        <v>F</v>
      </c>
      <c r="N12" s="184" t="str">
        <f>Intersections!V117</f>
        <v/>
      </c>
      <c r="O12" s="205" t="str">
        <f t="shared" si="4"/>
        <v/>
      </c>
      <c r="P12" s="168" t="str">
        <f>Segments!M42</f>
        <v/>
      </c>
      <c r="Q12" s="171" t="str">
        <f t="shared" si="5"/>
        <v/>
      </c>
      <c r="R12" s="184" t="str">
        <f>Segments!M47</f>
        <v/>
      </c>
      <c r="S12" s="205" t="str">
        <f t="shared" ref="S12" si="8">IF(R12="","",IF(R12&lt;=$W$8,$V$8,IF(R12&lt;=$W$9,$V$9,IF(R12&lt;=$W$10,$V$10,IF(R12&lt;=$W$11,$V$11,IF(R12&lt;=$W$12,$V$12,$V$13))))))</f>
        <v/>
      </c>
      <c r="T12" s="199"/>
      <c r="V12" s="214" t="s">
        <v>239</v>
      </c>
      <c r="W12" s="185">
        <v>5</v>
      </c>
    </row>
    <row r="13" spans="2:28" ht="16.5" thickBot="1" x14ac:dyDescent="0.3">
      <c r="B13" s="198"/>
      <c r="C13" s="109">
        <v>6</v>
      </c>
      <c r="D13" s="109" t="s">
        <v>361</v>
      </c>
      <c r="E13" s="183" t="str">
        <f>Links!P91</f>
        <v/>
      </c>
      <c r="F13" s="184" t="str">
        <f t="shared" si="0"/>
        <v/>
      </c>
      <c r="G13" s="171" t="str">
        <f>Links!P94</f>
        <v/>
      </c>
      <c r="H13" s="171" t="str">
        <f t="shared" si="1"/>
        <v/>
      </c>
      <c r="I13" s="184" t="str">
        <f>Links!P97</f>
        <v/>
      </c>
      <c r="J13" s="205" t="str">
        <f t="shared" si="2"/>
        <v/>
      </c>
      <c r="K13" s="218" t="s">
        <v>373</v>
      </c>
      <c r="L13" s="171" t="str">
        <f>Intersections!Z114</f>
        <v/>
      </c>
      <c r="M13" s="171" t="str">
        <f t="shared" si="3"/>
        <v>F</v>
      </c>
      <c r="N13" s="184" t="str">
        <f>Intersections!Z117</f>
        <v/>
      </c>
      <c r="O13" s="205" t="str">
        <f t="shared" si="4"/>
        <v/>
      </c>
      <c r="P13" s="168" t="str">
        <f>Segments!O42</f>
        <v/>
      </c>
      <c r="Q13" s="171" t="str">
        <f t="shared" si="5"/>
        <v/>
      </c>
      <c r="R13" s="184" t="str">
        <f>Segments!O47</f>
        <v/>
      </c>
      <c r="S13" s="205" t="str">
        <f t="shared" ref="S13" si="9">IF(R13="","",IF(R13&lt;=$W$8,$V$8,IF(R13&lt;=$W$9,$V$9,IF(R13&lt;=$W$10,$V$10,IF(R13&lt;=$W$11,$V$11,IF(R13&lt;=$W$12,$V$12,$V$13))))))</f>
        <v/>
      </c>
      <c r="T13" s="199"/>
      <c r="V13" s="215" t="s">
        <v>342</v>
      </c>
      <c r="W13" s="216" t="s">
        <v>424</v>
      </c>
    </row>
    <row r="14" spans="2:28" x14ac:dyDescent="0.25">
      <c r="B14" s="198"/>
      <c r="C14" s="109">
        <v>7</v>
      </c>
      <c r="D14" s="109" t="s">
        <v>362</v>
      </c>
      <c r="E14" s="183" t="str">
        <f>Links!R91</f>
        <v/>
      </c>
      <c r="F14" s="184" t="str">
        <f t="shared" si="0"/>
        <v/>
      </c>
      <c r="G14" s="171" t="str">
        <f>Links!R94</f>
        <v/>
      </c>
      <c r="H14" s="171" t="str">
        <f t="shared" si="1"/>
        <v/>
      </c>
      <c r="I14" s="184" t="str">
        <f>Links!R97</f>
        <v/>
      </c>
      <c r="J14" s="205" t="str">
        <f t="shared" si="2"/>
        <v/>
      </c>
      <c r="K14" s="218" t="s">
        <v>374</v>
      </c>
      <c r="L14" s="171" t="str">
        <f>Intersections!AD114</f>
        <v/>
      </c>
      <c r="M14" s="171" t="str">
        <f t="shared" si="3"/>
        <v>F</v>
      </c>
      <c r="N14" s="184" t="str">
        <f>Intersections!AD117</f>
        <v/>
      </c>
      <c r="O14" s="205" t="str">
        <f t="shared" si="4"/>
        <v/>
      </c>
      <c r="P14" s="168" t="str">
        <f>Segments!Q42</f>
        <v/>
      </c>
      <c r="Q14" s="171" t="str">
        <f t="shared" si="5"/>
        <v/>
      </c>
      <c r="R14" s="184" t="str">
        <f>Segments!Q47</f>
        <v/>
      </c>
      <c r="S14" s="205" t="str">
        <f t="shared" ref="S14" si="10">IF(R14="","",IF(R14&lt;=$W$8,$V$8,IF(R14&lt;=$W$9,$V$9,IF(R14&lt;=$W$10,$V$10,IF(R14&lt;=$W$11,$V$11,IF(R14&lt;=$W$12,$V$12,$V$13))))))</f>
        <v/>
      </c>
      <c r="T14" s="199"/>
    </row>
    <row r="15" spans="2:28" x14ac:dyDescent="0.25">
      <c r="B15" s="198"/>
      <c r="C15" s="109">
        <v>8</v>
      </c>
      <c r="D15" s="109" t="s">
        <v>363</v>
      </c>
      <c r="E15" s="183" t="str">
        <f>Links!T91</f>
        <v/>
      </c>
      <c r="F15" s="184" t="str">
        <f t="shared" si="0"/>
        <v/>
      </c>
      <c r="G15" s="171" t="str">
        <f>Links!T94</f>
        <v/>
      </c>
      <c r="H15" s="171" t="str">
        <f t="shared" si="1"/>
        <v/>
      </c>
      <c r="I15" s="184" t="str">
        <f>Links!T97</f>
        <v/>
      </c>
      <c r="J15" s="205" t="str">
        <f t="shared" si="2"/>
        <v/>
      </c>
      <c r="K15" s="218" t="s">
        <v>375</v>
      </c>
      <c r="L15" s="171" t="str">
        <f>Intersections!AH114</f>
        <v/>
      </c>
      <c r="M15" s="171" t="str">
        <f t="shared" si="3"/>
        <v>F</v>
      </c>
      <c r="N15" s="184" t="str">
        <f>Intersections!AH117</f>
        <v/>
      </c>
      <c r="O15" s="205" t="str">
        <f t="shared" si="4"/>
        <v/>
      </c>
      <c r="P15" s="168" t="str">
        <f>Segments!S42</f>
        <v/>
      </c>
      <c r="Q15" s="171" t="str">
        <f t="shared" si="5"/>
        <v/>
      </c>
      <c r="R15" s="184" t="str">
        <f>Segments!S47</f>
        <v/>
      </c>
      <c r="S15" s="205" t="str">
        <f t="shared" ref="S15" si="11">IF(R15="","",IF(R15&lt;=$W$8,$V$8,IF(R15&lt;=$W$9,$V$9,IF(R15&lt;=$W$10,$V$10,IF(R15&lt;=$W$11,$V$11,IF(R15&lt;=$W$12,$V$12,$V$13))))))</f>
        <v/>
      </c>
      <c r="T15" s="199"/>
    </row>
    <row r="16" spans="2:28" x14ac:dyDescent="0.25">
      <c r="B16" s="198"/>
      <c r="C16" s="109">
        <v>9</v>
      </c>
      <c r="D16" s="109"/>
      <c r="E16" s="183" t="str">
        <f>Links!V91</f>
        <v/>
      </c>
      <c r="F16" s="184" t="str">
        <f t="shared" si="0"/>
        <v/>
      </c>
      <c r="G16" s="171" t="str">
        <f>Links!V94</f>
        <v/>
      </c>
      <c r="H16" s="171" t="str">
        <f t="shared" si="1"/>
        <v/>
      </c>
      <c r="I16" s="184" t="str">
        <f>Links!V97</f>
        <v/>
      </c>
      <c r="J16" s="205" t="str">
        <f t="shared" si="2"/>
        <v/>
      </c>
      <c r="K16" s="218" t="s">
        <v>376</v>
      </c>
      <c r="L16" s="171" t="str">
        <f>Intersections!AL114</f>
        <v/>
      </c>
      <c r="M16" s="171" t="str">
        <f t="shared" si="3"/>
        <v>F</v>
      </c>
      <c r="N16" s="184" t="str">
        <f>Intersections!AL117</f>
        <v/>
      </c>
      <c r="O16" s="205" t="str">
        <f t="shared" si="4"/>
        <v/>
      </c>
      <c r="P16" s="168" t="str">
        <f>Segments!U42</f>
        <v/>
      </c>
      <c r="Q16" s="171" t="str">
        <f t="shared" si="5"/>
        <v/>
      </c>
      <c r="R16" s="184" t="str">
        <f>Segments!U47</f>
        <v/>
      </c>
      <c r="S16" s="205" t="str">
        <f t="shared" ref="S16" si="12">IF(R16="","",IF(R16&lt;=$W$8,$V$8,IF(R16&lt;=$W$9,$V$9,IF(R16&lt;=$W$10,$V$10,IF(R16&lt;=$W$11,$V$11,IF(R16&lt;=$W$12,$V$12,$V$13))))))</f>
        <v/>
      </c>
      <c r="T16" s="199"/>
    </row>
    <row r="17" spans="2:24" x14ac:dyDescent="0.25">
      <c r="B17" s="198"/>
      <c r="C17" s="109">
        <v>10</v>
      </c>
      <c r="D17" s="109"/>
      <c r="E17" s="183" t="str">
        <f>Links!X91</f>
        <v/>
      </c>
      <c r="F17" s="184" t="str">
        <f t="shared" si="0"/>
        <v/>
      </c>
      <c r="G17" s="171" t="str">
        <f>Links!X94</f>
        <v/>
      </c>
      <c r="H17" s="171" t="str">
        <f t="shared" si="1"/>
        <v/>
      </c>
      <c r="I17" s="184" t="str">
        <f>Links!X97</f>
        <v/>
      </c>
      <c r="J17" s="205" t="str">
        <f t="shared" si="2"/>
        <v/>
      </c>
      <c r="K17" s="218" t="s">
        <v>377</v>
      </c>
      <c r="L17" s="171" t="str">
        <f>Intersections!AP114</f>
        <v/>
      </c>
      <c r="M17" s="171" t="str">
        <f t="shared" si="3"/>
        <v>F</v>
      </c>
      <c r="N17" s="184" t="str">
        <f>Intersections!AP117</f>
        <v/>
      </c>
      <c r="O17" s="205" t="str">
        <f t="shared" si="4"/>
        <v/>
      </c>
      <c r="P17" s="168" t="str">
        <f>Segments!W42</f>
        <v/>
      </c>
      <c r="Q17" s="171" t="str">
        <f t="shared" si="5"/>
        <v/>
      </c>
      <c r="R17" s="184" t="str">
        <f>Segments!W47</f>
        <v/>
      </c>
      <c r="S17" s="205" t="str">
        <f t="shared" ref="S17" si="13">IF(R17="","",IF(R17&lt;=$W$8,$V$8,IF(R17&lt;=$W$9,$V$9,IF(R17&lt;=$W$10,$V$10,IF(R17&lt;=$W$11,$V$11,IF(R17&lt;=$W$12,$V$12,$V$13))))))</f>
        <v/>
      </c>
      <c r="T17" s="199"/>
    </row>
    <row r="18" spans="2:24" x14ac:dyDescent="0.25">
      <c r="B18" s="198"/>
      <c r="C18" s="109">
        <v>11</v>
      </c>
      <c r="D18" s="109"/>
      <c r="E18" s="183" t="str">
        <f>Links!Z91</f>
        <v/>
      </c>
      <c r="F18" s="184" t="str">
        <f t="shared" si="0"/>
        <v/>
      </c>
      <c r="G18" s="171" t="str">
        <f>Links!Z94</f>
        <v/>
      </c>
      <c r="H18" s="171" t="str">
        <f t="shared" si="1"/>
        <v/>
      </c>
      <c r="I18" s="184" t="str">
        <f>Links!Z97</f>
        <v/>
      </c>
      <c r="J18" s="205" t="str">
        <f t="shared" si="2"/>
        <v/>
      </c>
      <c r="K18" s="218" t="s">
        <v>378</v>
      </c>
      <c r="L18" s="171" t="str">
        <f>Intersections!AT114</f>
        <v/>
      </c>
      <c r="M18" s="171" t="str">
        <f t="shared" si="3"/>
        <v>F</v>
      </c>
      <c r="N18" s="184" t="str">
        <f>Intersections!AT117</f>
        <v/>
      </c>
      <c r="O18" s="205" t="str">
        <f t="shared" si="4"/>
        <v/>
      </c>
      <c r="P18" s="168" t="str">
        <f>Segments!Y42</f>
        <v/>
      </c>
      <c r="Q18" s="171" t="str">
        <f t="shared" si="5"/>
        <v/>
      </c>
      <c r="R18" s="184" t="str">
        <f>Segments!Y47</f>
        <v/>
      </c>
      <c r="S18" s="205" t="str">
        <f t="shared" ref="S18" si="14">IF(R18="","",IF(R18&lt;=$W$8,$V$8,IF(R18&lt;=$W$9,$V$9,IF(R18&lt;=$W$10,$V$10,IF(R18&lt;=$W$11,$V$11,IF(R18&lt;=$W$12,$V$12,$V$13))))))</f>
        <v/>
      </c>
      <c r="T18" s="199"/>
    </row>
    <row r="19" spans="2:24" x14ac:dyDescent="0.25">
      <c r="B19" s="198"/>
      <c r="C19" s="109">
        <v>12</v>
      </c>
      <c r="D19" s="109"/>
      <c r="E19" s="183" t="str">
        <f>Links!AB91</f>
        <v/>
      </c>
      <c r="F19" s="184" t="str">
        <f t="shared" si="0"/>
        <v/>
      </c>
      <c r="G19" s="171" t="str">
        <f>Links!AB94</f>
        <v/>
      </c>
      <c r="H19" s="171" t="str">
        <f t="shared" si="1"/>
        <v/>
      </c>
      <c r="I19" s="184" t="str">
        <f>Links!AB97</f>
        <v/>
      </c>
      <c r="J19" s="205" t="str">
        <f t="shared" si="2"/>
        <v/>
      </c>
      <c r="K19" s="218" t="s">
        <v>379</v>
      </c>
      <c r="L19" s="171" t="str">
        <f>Intersections!AX114</f>
        <v/>
      </c>
      <c r="M19" s="171" t="str">
        <f t="shared" si="3"/>
        <v>F</v>
      </c>
      <c r="N19" s="184" t="str">
        <f>Intersections!AX117</f>
        <v/>
      </c>
      <c r="O19" s="205" t="str">
        <f t="shared" si="4"/>
        <v/>
      </c>
      <c r="P19" s="168" t="str">
        <f>Segments!AA42</f>
        <v/>
      </c>
      <c r="Q19" s="171" t="str">
        <f t="shared" si="5"/>
        <v/>
      </c>
      <c r="R19" s="184" t="str">
        <f>Segments!AA47</f>
        <v/>
      </c>
      <c r="S19" s="205" t="str">
        <f t="shared" ref="S19" si="15">IF(R19="","",IF(R19&lt;=$W$8,$V$8,IF(R19&lt;=$W$9,$V$9,IF(R19&lt;=$W$10,$V$10,IF(R19&lt;=$W$11,$V$11,IF(R19&lt;=$W$12,$V$12,$V$13))))))</f>
        <v/>
      </c>
      <c r="T19" s="199"/>
    </row>
    <row r="20" spans="2:24" x14ac:dyDescent="0.25">
      <c r="B20" s="198"/>
      <c r="C20" s="109">
        <v>13</v>
      </c>
      <c r="D20" s="109"/>
      <c r="E20" s="183" t="str">
        <f>Links!AD91</f>
        <v/>
      </c>
      <c r="F20" s="184" t="str">
        <f t="shared" si="0"/>
        <v/>
      </c>
      <c r="G20" s="171" t="str">
        <f>Links!AD94</f>
        <v/>
      </c>
      <c r="H20" s="171" t="str">
        <f t="shared" si="1"/>
        <v/>
      </c>
      <c r="I20" s="184" t="str">
        <f>Links!AD97</f>
        <v/>
      </c>
      <c r="J20" s="205" t="str">
        <f t="shared" si="2"/>
        <v/>
      </c>
      <c r="K20" s="218" t="s">
        <v>380</v>
      </c>
      <c r="L20" s="171" t="str">
        <f>Intersections!BB114</f>
        <v/>
      </c>
      <c r="M20" s="171" t="str">
        <f t="shared" si="3"/>
        <v>F</v>
      </c>
      <c r="N20" s="184" t="str">
        <f>Intersections!BB117</f>
        <v/>
      </c>
      <c r="O20" s="205" t="str">
        <f t="shared" si="4"/>
        <v/>
      </c>
      <c r="P20" s="168" t="str">
        <f>Segments!AC42</f>
        <v/>
      </c>
      <c r="Q20" s="171" t="str">
        <f t="shared" si="5"/>
        <v/>
      </c>
      <c r="R20" s="184" t="str">
        <f>Segments!AC47</f>
        <v/>
      </c>
      <c r="S20" s="205" t="str">
        <f t="shared" ref="S20" si="16">IF(R20="","",IF(R20&lt;=$W$8,$V$8,IF(R20&lt;=$W$9,$V$9,IF(R20&lt;=$W$10,$V$10,IF(R20&lt;=$W$11,$V$11,IF(R20&lt;=$W$12,$V$12,$V$13))))))</f>
        <v/>
      </c>
      <c r="T20" s="199"/>
    </row>
    <row r="21" spans="2:24" x14ac:dyDescent="0.25">
      <c r="B21" s="198"/>
      <c r="C21" s="109">
        <v>14</v>
      </c>
      <c r="D21" s="109"/>
      <c r="E21" s="183" t="str">
        <f>Links!AF91</f>
        <v/>
      </c>
      <c r="F21" s="184" t="str">
        <f t="shared" si="0"/>
        <v/>
      </c>
      <c r="G21" s="171" t="str">
        <f>Links!AF94</f>
        <v/>
      </c>
      <c r="H21" s="171" t="str">
        <f t="shared" si="1"/>
        <v/>
      </c>
      <c r="I21" s="184" t="str">
        <f>Links!AF97</f>
        <v/>
      </c>
      <c r="J21" s="205" t="str">
        <f t="shared" si="2"/>
        <v/>
      </c>
      <c r="K21" s="218" t="s">
        <v>381</v>
      </c>
      <c r="L21" s="171" t="str">
        <f>Intersections!BF114</f>
        <v/>
      </c>
      <c r="M21" s="171" t="str">
        <f t="shared" si="3"/>
        <v>F</v>
      </c>
      <c r="N21" s="184" t="str">
        <f>Intersections!BF117</f>
        <v/>
      </c>
      <c r="O21" s="205" t="str">
        <f t="shared" si="4"/>
        <v/>
      </c>
      <c r="P21" s="168" t="str">
        <f>Segments!AE42</f>
        <v/>
      </c>
      <c r="Q21" s="171" t="str">
        <f t="shared" si="5"/>
        <v/>
      </c>
      <c r="R21" s="184" t="str">
        <f>Segments!AE47</f>
        <v/>
      </c>
      <c r="S21" s="205" t="str">
        <f t="shared" ref="S21" si="17">IF(R21="","",IF(R21&lt;=$W$8,$V$8,IF(R21&lt;=$W$9,$V$9,IF(R21&lt;=$W$10,$V$10,IF(R21&lt;=$W$11,$V$11,IF(R21&lt;=$W$12,$V$12,$V$13))))))</f>
        <v/>
      </c>
      <c r="T21" s="199"/>
    </row>
    <row r="22" spans="2:24" x14ac:dyDescent="0.25">
      <c r="B22" s="198"/>
      <c r="C22" s="109">
        <v>15</v>
      </c>
      <c r="D22" s="109"/>
      <c r="E22" s="183" t="str">
        <f>Links!AH91</f>
        <v/>
      </c>
      <c r="F22" s="184" t="str">
        <f t="shared" si="0"/>
        <v/>
      </c>
      <c r="G22" s="171" t="str">
        <f>Links!AH94</f>
        <v/>
      </c>
      <c r="H22" s="171" t="str">
        <f t="shared" si="1"/>
        <v/>
      </c>
      <c r="I22" s="184" t="str">
        <f>Links!AH97</f>
        <v/>
      </c>
      <c r="J22" s="205" t="str">
        <f t="shared" si="2"/>
        <v/>
      </c>
      <c r="K22" s="218" t="s">
        <v>382</v>
      </c>
      <c r="L22" s="171" t="str">
        <f>Intersections!BJ114</f>
        <v/>
      </c>
      <c r="M22" s="171" t="str">
        <f t="shared" si="3"/>
        <v>F</v>
      </c>
      <c r="N22" s="184" t="str">
        <f>Intersections!BJ117</f>
        <v/>
      </c>
      <c r="O22" s="205" t="str">
        <f t="shared" si="4"/>
        <v/>
      </c>
      <c r="P22" s="168" t="str">
        <f>Segments!AG42</f>
        <v/>
      </c>
      <c r="Q22" s="171" t="str">
        <f t="shared" si="5"/>
        <v/>
      </c>
      <c r="R22" s="184" t="str">
        <f>Segments!AG47</f>
        <v/>
      </c>
      <c r="S22" s="205" t="str">
        <f t="shared" ref="S22" si="18">IF(R22="","",IF(R22&lt;=$W$8,$V$8,IF(R22&lt;=$W$9,$V$9,IF(R22&lt;=$W$10,$V$10,IF(R22&lt;=$W$11,$V$11,IF(R22&lt;=$W$12,$V$12,$V$13))))))</f>
        <v/>
      </c>
      <c r="T22" s="199"/>
    </row>
    <row r="23" spans="2:24" x14ac:dyDescent="0.25">
      <c r="B23" s="198"/>
      <c r="C23" s="109">
        <v>16</v>
      </c>
      <c r="D23" s="109"/>
      <c r="E23" s="183" t="str">
        <f>Links!AJ91</f>
        <v/>
      </c>
      <c r="F23" s="184" t="str">
        <f t="shared" si="0"/>
        <v/>
      </c>
      <c r="G23" s="171" t="str">
        <f>Links!AJ94</f>
        <v/>
      </c>
      <c r="H23" s="171" t="str">
        <f t="shared" si="1"/>
        <v/>
      </c>
      <c r="I23" s="184" t="str">
        <f>Links!AJ97</f>
        <v/>
      </c>
      <c r="J23" s="205" t="str">
        <f t="shared" si="2"/>
        <v/>
      </c>
      <c r="K23" s="218" t="s">
        <v>383</v>
      </c>
      <c r="L23" s="171" t="str">
        <f>Intersections!BN114</f>
        <v/>
      </c>
      <c r="M23" s="171" t="str">
        <f t="shared" si="3"/>
        <v>F</v>
      </c>
      <c r="N23" s="184" t="str">
        <f>Intersections!BN117</f>
        <v/>
      </c>
      <c r="O23" s="205" t="str">
        <f t="shared" si="4"/>
        <v/>
      </c>
      <c r="P23" s="168" t="str">
        <f>Segments!AI42</f>
        <v/>
      </c>
      <c r="Q23" s="171" t="str">
        <f t="shared" si="5"/>
        <v/>
      </c>
      <c r="R23" s="184" t="str">
        <f>Segments!AI47</f>
        <v/>
      </c>
      <c r="S23" s="205" t="str">
        <f t="shared" ref="S23" si="19">IF(R23="","",IF(R23&lt;=$W$8,$V$8,IF(R23&lt;=$W$9,$V$9,IF(R23&lt;=$W$10,$V$10,IF(R23&lt;=$W$11,$V$11,IF(R23&lt;=$W$12,$V$12,$V$13))))))</f>
        <v/>
      </c>
      <c r="T23" s="199"/>
      <c r="U23" s="189"/>
      <c r="W23" s="189"/>
      <c r="X23" s="189"/>
    </row>
    <row r="24" spans="2:24" x14ac:dyDescent="0.25">
      <c r="B24" s="198"/>
      <c r="C24" s="109">
        <v>17</v>
      </c>
      <c r="D24" s="109"/>
      <c r="E24" s="183" t="str">
        <f>Links!AL91</f>
        <v/>
      </c>
      <c r="F24" s="184" t="str">
        <f t="shared" si="0"/>
        <v/>
      </c>
      <c r="G24" s="171" t="str">
        <f>Links!AL94</f>
        <v/>
      </c>
      <c r="H24" s="171" t="str">
        <f t="shared" si="1"/>
        <v/>
      </c>
      <c r="I24" s="184" t="str">
        <f>Links!AL97</f>
        <v/>
      </c>
      <c r="J24" s="205" t="str">
        <f t="shared" si="2"/>
        <v/>
      </c>
      <c r="K24" s="218" t="s">
        <v>384</v>
      </c>
      <c r="L24" s="171" t="str">
        <f>Intersections!BR114</f>
        <v/>
      </c>
      <c r="M24" s="171" t="str">
        <f t="shared" si="3"/>
        <v>F</v>
      </c>
      <c r="N24" s="184" t="str">
        <f>Intersections!BR117</f>
        <v/>
      </c>
      <c r="O24" s="205" t="str">
        <f t="shared" si="4"/>
        <v/>
      </c>
      <c r="P24" s="168" t="str">
        <f>Segments!AK42</f>
        <v/>
      </c>
      <c r="Q24" s="171" t="str">
        <f t="shared" si="5"/>
        <v/>
      </c>
      <c r="R24" s="184" t="str">
        <f>Segments!AK47</f>
        <v/>
      </c>
      <c r="S24" s="205" t="str">
        <f t="shared" ref="S24" si="20">IF(R24="","",IF(R24&lt;=$W$8,$V$8,IF(R24&lt;=$W$9,$V$9,IF(R24&lt;=$W$10,$V$10,IF(R24&lt;=$W$11,$V$11,IF(R24&lt;=$W$12,$V$12,$V$13))))))</f>
        <v/>
      </c>
      <c r="T24" s="199"/>
      <c r="U24" s="189"/>
      <c r="W24" s="189"/>
      <c r="X24" s="189"/>
    </row>
    <row r="25" spans="2:24" x14ac:dyDescent="0.25">
      <c r="B25" s="198"/>
      <c r="C25" s="109">
        <v>18</v>
      </c>
      <c r="D25" s="109"/>
      <c r="E25" s="183" t="str">
        <f>Links!AN91</f>
        <v/>
      </c>
      <c r="F25" s="184" t="str">
        <f t="shared" si="0"/>
        <v/>
      </c>
      <c r="G25" s="171" t="str">
        <f>Links!AN94</f>
        <v/>
      </c>
      <c r="H25" s="171" t="str">
        <f t="shared" si="1"/>
        <v/>
      </c>
      <c r="I25" s="184" t="str">
        <f>Links!AN97</f>
        <v/>
      </c>
      <c r="J25" s="205" t="str">
        <f t="shared" si="2"/>
        <v/>
      </c>
      <c r="K25" s="218" t="s">
        <v>385</v>
      </c>
      <c r="L25" s="171" t="str">
        <f>Intersections!BV114</f>
        <v/>
      </c>
      <c r="M25" s="171" t="str">
        <f t="shared" si="3"/>
        <v>F</v>
      </c>
      <c r="N25" s="184" t="str">
        <f>Intersections!BV117</f>
        <v/>
      </c>
      <c r="O25" s="205" t="str">
        <f t="shared" si="4"/>
        <v/>
      </c>
      <c r="P25" s="168" t="str">
        <f>Segments!AM42</f>
        <v/>
      </c>
      <c r="Q25" s="171" t="str">
        <f t="shared" si="5"/>
        <v/>
      </c>
      <c r="R25" s="184" t="str">
        <f>Segments!AM47</f>
        <v/>
      </c>
      <c r="S25" s="205" t="str">
        <f t="shared" ref="S25" si="21">IF(R25="","",IF(R25&lt;=$W$8,$V$8,IF(R25&lt;=$W$9,$V$9,IF(R25&lt;=$W$10,$V$10,IF(R25&lt;=$W$11,$V$11,IF(R25&lt;=$W$12,$V$12,$V$13))))))</f>
        <v/>
      </c>
      <c r="T25" s="199"/>
      <c r="U25" s="189"/>
      <c r="W25" s="189"/>
      <c r="X25" s="189"/>
    </row>
    <row r="26" spans="2:24" x14ac:dyDescent="0.25">
      <c r="B26" s="198"/>
      <c r="C26" s="109">
        <v>19</v>
      </c>
      <c r="D26" s="109"/>
      <c r="E26" s="183" t="str">
        <f>Links!AP91</f>
        <v/>
      </c>
      <c r="F26" s="184" t="str">
        <f t="shared" si="0"/>
        <v/>
      </c>
      <c r="G26" s="171" t="str">
        <f>Links!AP94</f>
        <v/>
      </c>
      <c r="H26" s="171" t="str">
        <f t="shared" si="1"/>
        <v/>
      </c>
      <c r="I26" s="184" t="str">
        <f>Links!AP97</f>
        <v/>
      </c>
      <c r="J26" s="205" t="str">
        <f t="shared" si="2"/>
        <v/>
      </c>
      <c r="K26" s="218" t="s">
        <v>386</v>
      </c>
      <c r="L26" s="171" t="str">
        <f>Intersections!BZ114</f>
        <v/>
      </c>
      <c r="M26" s="171" t="str">
        <f t="shared" si="3"/>
        <v>F</v>
      </c>
      <c r="N26" s="184" t="str">
        <f>Intersections!BZ117</f>
        <v/>
      </c>
      <c r="O26" s="205" t="str">
        <f t="shared" si="4"/>
        <v/>
      </c>
      <c r="P26" s="168" t="str">
        <f>Segments!AO42</f>
        <v/>
      </c>
      <c r="Q26" s="171" t="str">
        <f t="shared" si="5"/>
        <v/>
      </c>
      <c r="R26" s="184" t="str">
        <f>Segments!AO47</f>
        <v/>
      </c>
      <c r="S26" s="205" t="str">
        <f t="shared" ref="S26" si="22">IF(R26="","",IF(R26&lt;=$W$8,$V$8,IF(R26&lt;=$W$9,$V$9,IF(R26&lt;=$W$10,$V$10,IF(R26&lt;=$W$11,$V$11,IF(R26&lt;=$W$12,$V$12,$V$13))))))</f>
        <v/>
      </c>
      <c r="T26" s="199"/>
      <c r="U26" s="189"/>
      <c r="W26" s="189"/>
      <c r="X26" s="189"/>
    </row>
    <row r="27" spans="2:24" x14ac:dyDescent="0.25">
      <c r="B27" s="198"/>
      <c r="C27" s="109">
        <v>20</v>
      </c>
      <c r="D27" s="109"/>
      <c r="E27" s="183" t="str">
        <f>Links!AR91</f>
        <v/>
      </c>
      <c r="F27" s="184" t="str">
        <f t="shared" si="0"/>
        <v/>
      </c>
      <c r="G27" s="171" t="str">
        <f>Links!AR94</f>
        <v/>
      </c>
      <c r="H27" s="171" t="str">
        <f t="shared" si="1"/>
        <v/>
      </c>
      <c r="I27" s="184" t="str">
        <f>Links!AR97</f>
        <v/>
      </c>
      <c r="J27" s="205" t="str">
        <f t="shared" si="2"/>
        <v/>
      </c>
      <c r="K27" s="109"/>
      <c r="L27" s="171" t="str">
        <f>Intersections!CD114</f>
        <v/>
      </c>
      <c r="M27" s="171" t="str">
        <f t="shared" si="3"/>
        <v>F</v>
      </c>
      <c r="N27" s="184" t="str">
        <f>Intersections!CD117</f>
        <v/>
      </c>
      <c r="O27" s="205" t="str">
        <f t="shared" si="4"/>
        <v/>
      </c>
      <c r="P27" s="168" t="str">
        <f>Segments!AQ40</f>
        <v/>
      </c>
      <c r="Q27" s="171" t="str">
        <f t="shared" si="5"/>
        <v/>
      </c>
      <c r="R27" s="184" t="str">
        <f>Segments!AQ47</f>
        <v/>
      </c>
      <c r="S27" s="205" t="str">
        <f t="shared" ref="S27" si="23">IF(R27="","",IF(R27&lt;=$W$8,$V$8,IF(R27&lt;=$W$9,$V$9,IF(R27&lt;=$W$10,$V$10,IF(R27&lt;=$W$11,$V$11,IF(R27&lt;=$W$12,$V$12,$V$13))))))</f>
        <v/>
      </c>
      <c r="T27" s="199"/>
      <c r="U27" s="189"/>
      <c r="W27" s="189"/>
      <c r="X27" s="189"/>
    </row>
    <row r="28" spans="2:24" x14ac:dyDescent="0.25">
      <c r="B28" s="198"/>
      <c r="C28" s="109">
        <v>21</v>
      </c>
      <c r="D28" s="109"/>
      <c r="E28" s="183"/>
      <c r="F28" s="184" t="str">
        <f t="shared" si="0"/>
        <v/>
      </c>
      <c r="G28" s="171"/>
      <c r="H28" s="171" t="str">
        <f t="shared" si="1"/>
        <v/>
      </c>
      <c r="I28" s="184"/>
      <c r="J28" s="205" t="str">
        <f t="shared" si="2"/>
        <v/>
      </c>
      <c r="K28" s="109"/>
      <c r="L28" s="171" t="str">
        <f>Intersections!CH114</f>
        <v/>
      </c>
      <c r="M28" s="171" t="str">
        <f t="shared" si="3"/>
        <v>F</v>
      </c>
      <c r="N28" s="184" t="str">
        <f>Intersections!CH117</f>
        <v/>
      </c>
      <c r="O28" s="205" t="str">
        <f t="shared" si="4"/>
        <v/>
      </c>
      <c r="P28" s="168" t="s">
        <v>97</v>
      </c>
      <c r="Q28" s="171" t="s">
        <v>97</v>
      </c>
      <c r="R28" s="184" t="s">
        <v>97</v>
      </c>
      <c r="S28" s="205" t="s">
        <v>97</v>
      </c>
      <c r="T28" s="199"/>
      <c r="U28" s="189"/>
      <c r="W28" s="189"/>
      <c r="X28" s="189"/>
    </row>
    <row r="29" spans="2:24" x14ac:dyDescent="0.25">
      <c r="B29" s="198"/>
      <c r="C29" s="255" t="s">
        <v>199</v>
      </c>
      <c r="D29" s="255"/>
      <c r="E29" s="256">
        <f>Links!AT91</f>
        <v>2.585866496977637</v>
      </c>
      <c r="F29" s="257" t="str">
        <f t="shared" si="0"/>
        <v>B</v>
      </c>
      <c r="G29" s="260">
        <f>Links!AT94</f>
        <v>4.5308900955325564</v>
      </c>
      <c r="H29" s="260" t="str">
        <f t="shared" si="1"/>
        <v>E</v>
      </c>
      <c r="I29" s="257">
        <f>Links!AT97</f>
        <v>2.3438381097591807</v>
      </c>
      <c r="J29" s="258" t="str">
        <f t="shared" si="2"/>
        <v>B</v>
      </c>
      <c r="K29" s="255" t="s">
        <v>199</v>
      </c>
      <c r="L29" s="260" t="e">
        <f ca="1">Intersections!CL114</f>
        <v>#NAME?</v>
      </c>
      <c r="M29" s="261" t="e">
        <f t="shared" ca="1" si="3"/>
        <v>#NAME?</v>
      </c>
      <c r="N29" s="257">
        <f>Intersections!CL117</f>
        <v>3.3533950980392153</v>
      </c>
      <c r="O29" s="259" t="str">
        <f t="shared" si="4"/>
        <v>C</v>
      </c>
      <c r="P29" s="262" t="e">
        <f ca="1">Segments!AS42</f>
        <v>#NAME?</v>
      </c>
      <c r="Q29" s="263" t="e">
        <f ca="1">IF(P29="","",IF(P29&lt;=$W$8,$V$8,IF(P29&lt;=$W$9,$V$9,IF(P29&lt;=$W$10,$V$10,IF(P29&lt;=$W$11,$V$11,IF(P29&lt;=$W$12,$V$12,$V$13))))))</f>
        <v>#NAME?</v>
      </c>
      <c r="R29" s="257">
        <f>Segments!AS47</f>
        <v>3.8991643492368659</v>
      </c>
      <c r="S29" s="259" t="str">
        <f>IF(R29="","",IF(R29&lt;=$W$8,$V$8,IF(R29&lt;=$W$9,$V$9,IF(R29&lt;=$W$10,$V$10,IF(R29&lt;=$W$11,$V$11,IF(R29&lt;=$W$12,$V$12,$V$13))))))</f>
        <v>D</v>
      </c>
      <c r="T29" s="199"/>
      <c r="U29" s="189"/>
      <c r="W29" s="189"/>
      <c r="X29" s="189"/>
    </row>
    <row r="30" spans="2:24" ht="16.5" thickBot="1" x14ac:dyDescent="0.3">
      <c r="B30" s="200"/>
      <c r="C30" s="201"/>
      <c r="D30" s="201"/>
      <c r="E30" s="202"/>
      <c r="F30" s="202"/>
      <c r="G30" s="202"/>
      <c r="H30" s="202"/>
      <c r="I30" s="202"/>
      <c r="J30" s="202"/>
      <c r="K30" s="202"/>
      <c r="L30" s="202"/>
      <c r="M30" s="202"/>
      <c r="N30" s="202"/>
      <c r="O30" s="202"/>
      <c r="P30" s="202"/>
      <c r="Q30" s="202"/>
      <c r="R30" s="202"/>
      <c r="S30" s="202"/>
      <c r="T30" s="203"/>
      <c r="U30" s="189"/>
      <c r="W30" s="189"/>
      <c r="X30" s="189"/>
    </row>
    <row r="31" spans="2:24" ht="16.5" thickBot="1" x14ac:dyDescent="0.3"/>
    <row r="32" spans="2:24" x14ac:dyDescent="0.25">
      <c r="F32" s="24"/>
      <c r="G32" s="25"/>
      <c r="H32" s="25"/>
      <c r="I32" s="25"/>
      <c r="J32" s="25"/>
      <c r="K32" s="25"/>
      <c r="L32" s="26"/>
    </row>
    <row r="33" spans="6:12" x14ac:dyDescent="0.25">
      <c r="F33" s="27"/>
      <c r="G33" s="284" t="s">
        <v>71</v>
      </c>
      <c r="H33" s="285"/>
      <c r="I33" s="284" t="s">
        <v>68</v>
      </c>
      <c r="J33" s="285"/>
      <c r="K33" s="288"/>
      <c r="L33" s="28"/>
    </row>
    <row r="34" spans="6:12" x14ac:dyDescent="0.25">
      <c r="F34" s="27"/>
      <c r="G34" s="286"/>
      <c r="H34" s="287"/>
      <c r="I34" s="32" t="s">
        <v>95</v>
      </c>
      <c r="J34" s="33" t="s">
        <v>96</v>
      </c>
      <c r="K34" s="34" t="s">
        <v>201</v>
      </c>
      <c r="L34" s="28"/>
    </row>
    <row r="35" spans="6:12" ht="17.25" customHeight="1" x14ac:dyDescent="0.25">
      <c r="F35" s="27"/>
      <c r="G35" s="289" t="s">
        <v>69</v>
      </c>
      <c r="H35" s="36" t="s">
        <v>72</v>
      </c>
      <c r="I35" s="168">
        <f>Links!AU119</f>
        <v>0</v>
      </c>
      <c r="J35" s="171">
        <f>Intersections!CM142</f>
        <v>0</v>
      </c>
      <c r="K35" s="66">
        <f>I35*I47+J35*J47</f>
        <v>0</v>
      </c>
      <c r="L35" s="28"/>
    </row>
    <row r="36" spans="6:12" x14ac:dyDescent="0.25">
      <c r="F36" s="27"/>
      <c r="G36" s="289"/>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289" t="s">
        <v>70</v>
      </c>
      <c r="H37" s="36" t="s">
        <v>72</v>
      </c>
      <c r="I37" s="168">
        <f>Links!AU122</f>
        <v>0</v>
      </c>
      <c r="J37" s="171">
        <f>Intersections!CM145</f>
        <v>0</v>
      </c>
      <c r="K37" s="66">
        <f>I37*I48+J37*J48</f>
        <v>0</v>
      </c>
      <c r="L37" s="28"/>
    </row>
    <row r="38" spans="6:12" x14ac:dyDescent="0.25">
      <c r="F38" s="27"/>
      <c r="G38" s="289"/>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289" t="s">
        <v>63</v>
      </c>
      <c r="H39" s="36" t="s">
        <v>72</v>
      </c>
      <c r="I39" s="168">
        <f>Links!AU125</f>
        <v>0</v>
      </c>
      <c r="J39" s="293" t="s">
        <v>97</v>
      </c>
      <c r="K39" s="66">
        <f>I39</f>
        <v>0</v>
      </c>
      <c r="L39" s="28"/>
    </row>
    <row r="40" spans="6:12" x14ac:dyDescent="0.25">
      <c r="F40" s="27"/>
      <c r="G40" s="291"/>
      <c r="H40" s="207" t="s">
        <v>73</v>
      </c>
      <c r="I40" s="208" t="str">
        <f>IF(I39&lt;=2,"A",IF(I39&lt;=2.75,"B",IF(I39&lt;=3.5,"C",IF(I39&lt;=4.25,"D",IF(I39&lt;=5,"E","F")))))</f>
        <v>A</v>
      </c>
      <c r="J40" s="294"/>
      <c r="K40" s="209"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84" t="s">
        <v>71</v>
      </c>
      <c r="H45" s="285"/>
      <c r="I45" s="284" t="s">
        <v>202</v>
      </c>
      <c r="J45" s="285"/>
      <c r="K45" s="288"/>
      <c r="L45" s="28"/>
    </row>
    <row r="46" spans="6:12" x14ac:dyDescent="0.25">
      <c r="F46" s="27"/>
      <c r="G46" s="286"/>
      <c r="H46" s="287"/>
      <c r="I46" s="32" t="s">
        <v>95</v>
      </c>
      <c r="J46" s="33" t="s">
        <v>96</v>
      </c>
      <c r="K46" s="2" t="s">
        <v>199</v>
      </c>
      <c r="L46" s="28"/>
    </row>
    <row r="47" spans="6:12" x14ac:dyDescent="0.25">
      <c r="F47" s="27"/>
      <c r="G47" s="289" t="s">
        <v>69</v>
      </c>
      <c r="H47" s="290"/>
      <c r="I47" s="103">
        <v>0.7</v>
      </c>
      <c r="J47" s="104">
        <v>0.3</v>
      </c>
      <c r="K47" s="210">
        <f>I47+J47</f>
        <v>1</v>
      </c>
      <c r="L47" s="28"/>
    </row>
    <row r="48" spans="6:12" x14ac:dyDescent="0.25">
      <c r="F48" s="27"/>
      <c r="G48" s="291" t="s">
        <v>70</v>
      </c>
      <c r="H48" s="292"/>
      <c r="I48" s="211">
        <v>0.8</v>
      </c>
      <c r="J48" s="212">
        <v>0.2</v>
      </c>
      <c r="K48" s="213">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93" t="s">
        <v>346</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90"/>
      <c r="O55" s="190"/>
    </row>
  </sheetData>
  <mergeCells count="21">
    <mergeCell ref="G3:L3"/>
    <mergeCell ref="E5:J5"/>
    <mergeCell ref="L6:M6"/>
    <mergeCell ref="G6:H6"/>
    <mergeCell ref="K5:O5"/>
    <mergeCell ref="E6:F6"/>
    <mergeCell ref="N6:O6"/>
    <mergeCell ref="I6:J6"/>
    <mergeCell ref="P5:S5"/>
    <mergeCell ref="G45:H46"/>
    <mergeCell ref="I45:K45"/>
    <mergeCell ref="G47:H47"/>
    <mergeCell ref="G48:H48"/>
    <mergeCell ref="G33:H34"/>
    <mergeCell ref="I33:K33"/>
    <mergeCell ref="G35:G36"/>
    <mergeCell ref="G37:G38"/>
    <mergeCell ref="G39:G40"/>
    <mergeCell ref="J39:J40"/>
    <mergeCell ref="P6:Q6"/>
    <mergeCell ref="R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17" sqref="E17"/>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286" t="s">
        <v>68</v>
      </c>
      <c r="D3" s="304"/>
      <c r="E3" s="286" t="s">
        <v>447</v>
      </c>
      <c r="F3" s="304"/>
      <c r="G3" s="286" t="s">
        <v>123</v>
      </c>
      <c r="H3" s="304"/>
      <c r="I3" s="286" t="s">
        <v>124</v>
      </c>
      <c r="J3" s="304"/>
      <c r="K3" s="286" t="s">
        <v>125</v>
      </c>
      <c r="L3" s="304"/>
      <c r="M3" s="286" t="s">
        <v>126</v>
      </c>
      <c r="N3" s="304"/>
      <c r="O3" s="286" t="s">
        <v>127</v>
      </c>
      <c r="P3" s="304"/>
      <c r="Q3" s="286" t="s">
        <v>128</v>
      </c>
      <c r="R3" s="304"/>
      <c r="S3" s="286" t="s">
        <v>129</v>
      </c>
      <c r="T3" s="304"/>
      <c r="U3" s="286" t="s">
        <v>130</v>
      </c>
      <c r="V3" s="304"/>
      <c r="W3" s="286" t="s">
        <v>131</v>
      </c>
      <c r="X3" s="304"/>
      <c r="Y3" s="286" t="s">
        <v>132</v>
      </c>
      <c r="Z3" s="304"/>
      <c r="AA3" s="286" t="s">
        <v>133</v>
      </c>
      <c r="AB3" s="304"/>
      <c r="AC3" s="286" t="s">
        <v>134</v>
      </c>
      <c r="AD3" s="304"/>
      <c r="AE3" s="286" t="s">
        <v>135</v>
      </c>
      <c r="AF3" s="304"/>
      <c r="AG3" s="286" t="s">
        <v>136</v>
      </c>
      <c r="AH3" s="304"/>
      <c r="AI3" s="286" t="s">
        <v>137</v>
      </c>
      <c r="AJ3" s="304"/>
      <c r="AK3" s="286" t="s">
        <v>138</v>
      </c>
      <c r="AL3" s="304"/>
      <c r="AM3" s="286" t="s">
        <v>139</v>
      </c>
      <c r="AN3" s="304"/>
      <c r="AO3" s="286" t="s">
        <v>140</v>
      </c>
      <c r="AP3" s="304"/>
      <c r="AQ3" s="286" t="s">
        <v>141</v>
      </c>
      <c r="AR3" s="304"/>
      <c r="AS3" s="309" t="s">
        <v>199</v>
      </c>
      <c r="AT3" s="56"/>
    </row>
    <row r="4" spans="1:46" s="21" customFormat="1" ht="13.5" x14ac:dyDescent="0.25">
      <c r="B4" s="57"/>
      <c r="C4" s="286"/>
      <c r="D4" s="304"/>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09"/>
      <c r="AT4" s="58"/>
    </row>
    <row r="5" spans="1:46" s="21" customFormat="1" ht="15.75" customHeight="1" x14ac:dyDescent="0.25">
      <c r="B5" s="57"/>
      <c r="C5" s="282" t="s">
        <v>65</v>
      </c>
      <c r="D5" s="305"/>
      <c r="E5" s="206" t="str">
        <f>Links!F8</f>
        <v>EB</v>
      </c>
      <c r="F5" s="242" t="str">
        <f>Links!G8</f>
        <v>WB</v>
      </c>
      <c r="G5" s="206">
        <f>Links!H8</f>
        <v>0</v>
      </c>
      <c r="H5" s="242">
        <f>Links!I8</f>
        <v>0</v>
      </c>
      <c r="I5" s="206">
        <f>Links!J8</f>
        <v>0</v>
      </c>
      <c r="J5" s="242">
        <f>Links!K8</f>
        <v>0</v>
      </c>
      <c r="K5" s="206">
        <f>Links!L8</f>
        <v>0</v>
      </c>
      <c r="L5" s="242">
        <f>Links!M8</f>
        <v>0</v>
      </c>
      <c r="M5" s="206">
        <f>Links!N8</f>
        <v>0</v>
      </c>
      <c r="N5" s="242">
        <f>Links!O8</f>
        <v>0</v>
      </c>
      <c r="O5" s="206">
        <f>Links!P8</f>
        <v>0</v>
      </c>
      <c r="P5" s="242">
        <f>Links!Q8</f>
        <v>0</v>
      </c>
      <c r="Q5" s="206">
        <f>Links!R8</f>
        <v>0</v>
      </c>
      <c r="R5" s="242">
        <f>Links!S8</f>
        <v>0</v>
      </c>
      <c r="S5" s="206">
        <f>Links!T8</f>
        <v>0</v>
      </c>
      <c r="T5" s="242">
        <f>Links!U8</f>
        <v>0</v>
      </c>
      <c r="U5" s="206">
        <f>Links!V8</f>
        <v>0</v>
      </c>
      <c r="V5" s="242">
        <f>Links!W8</f>
        <v>0</v>
      </c>
      <c r="W5" s="206">
        <f>Links!X8</f>
        <v>0</v>
      </c>
      <c r="X5" s="242">
        <f>Links!Y8</f>
        <v>0</v>
      </c>
      <c r="Y5" s="206">
        <f>Links!Z8</f>
        <v>0</v>
      </c>
      <c r="Z5" s="242">
        <f>Links!AA8</f>
        <v>0</v>
      </c>
      <c r="AA5" s="206">
        <f>Links!AB8</f>
        <v>0</v>
      </c>
      <c r="AB5" s="242">
        <f>Links!AC8</f>
        <v>0</v>
      </c>
      <c r="AC5" s="206">
        <f>Links!AD8</f>
        <v>0</v>
      </c>
      <c r="AD5" s="242">
        <f>Links!AE8</f>
        <v>0</v>
      </c>
      <c r="AE5" s="206">
        <f>Links!AF8</f>
        <v>0</v>
      </c>
      <c r="AF5" s="242">
        <f>Links!AG8</f>
        <v>0</v>
      </c>
      <c r="AG5" s="206">
        <f>Links!AH8</f>
        <v>0</v>
      </c>
      <c r="AH5" s="242">
        <f>Links!AI8</f>
        <v>0</v>
      </c>
      <c r="AI5" s="206">
        <f>Links!AJ8</f>
        <v>0</v>
      </c>
      <c r="AJ5" s="242">
        <f>Links!AK8</f>
        <v>0</v>
      </c>
      <c r="AK5" s="206">
        <f>Links!AL8</f>
        <v>0</v>
      </c>
      <c r="AL5" s="242">
        <f>Links!AM8</f>
        <v>0</v>
      </c>
      <c r="AM5" s="206">
        <f>Links!AN8</f>
        <v>0</v>
      </c>
      <c r="AN5" s="242">
        <f>Links!AO8</f>
        <v>0</v>
      </c>
      <c r="AO5" s="206">
        <f>Links!AP8</f>
        <v>0</v>
      </c>
      <c r="AP5" s="242">
        <f>Links!AQ8</f>
        <v>0</v>
      </c>
      <c r="AQ5" s="206">
        <f>Links!AR8</f>
        <v>0</v>
      </c>
      <c r="AR5" s="242">
        <f>Links!AS8</f>
        <v>0</v>
      </c>
      <c r="AS5" s="50"/>
      <c r="AT5" s="58"/>
    </row>
    <row r="6" spans="1:46" s="22" customFormat="1" x14ac:dyDescent="0.25">
      <c r="B6" s="61"/>
      <c r="C6" s="286" t="s">
        <v>448</v>
      </c>
      <c r="D6" s="304"/>
      <c r="E6" s="180"/>
      <c r="F6" s="181"/>
      <c r="G6" s="286"/>
      <c r="H6" s="304"/>
      <c r="I6" s="286"/>
      <c r="J6" s="304"/>
      <c r="K6" s="286"/>
      <c r="L6" s="304"/>
      <c r="M6" s="286"/>
      <c r="N6" s="304"/>
      <c r="O6" s="286"/>
      <c r="P6" s="304"/>
      <c r="Q6" s="286"/>
      <c r="R6" s="304"/>
      <c r="S6" s="286"/>
      <c r="T6" s="304"/>
      <c r="U6" s="286"/>
      <c r="V6" s="304"/>
      <c r="W6" s="286"/>
      <c r="X6" s="304"/>
      <c r="Y6" s="286"/>
      <c r="Z6" s="304"/>
      <c r="AA6" s="286"/>
      <c r="AB6" s="304"/>
      <c r="AC6" s="286"/>
      <c r="AD6" s="304"/>
      <c r="AE6" s="286"/>
      <c r="AF6" s="304"/>
      <c r="AG6" s="286"/>
      <c r="AH6" s="304"/>
      <c r="AI6" s="286"/>
      <c r="AJ6" s="304"/>
      <c r="AK6" s="286"/>
      <c r="AL6" s="304"/>
      <c r="AM6" s="286"/>
      <c r="AN6" s="304"/>
      <c r="AO6" s="286"/>
      <c r="AP6" s="304"/>
      <c r="AQ6" s="286"/>
      <c r="AR6" s="304"/>
      <c r="AS6" s="50"/>
      <c r="AT6" s="62"/>
    </row>
    <row r="7" spans="1:46" x14ac:dyDescent="0.25">
      <c r="B7" s="55"/>
      <c r="C7" s="4"/>
      <c r="D7" s="8" t="s">
        <v>463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5" customFormat="1" x14ac:dyDescent="0.25">
      <c r="B8" s="246"/>
      <c r="C8" s="243"/>
      <c r="D8" s="247" t="s">
        <v>88</v>
      </c>
      <c r="E8" s="306">
        <f>Links!F7</f>
        <v>220</v>
      </c>
      <c r="F8" s="302"/>
      <c r="G8" s="306">
        <f>Links!AF7</f>
        <v>0</v>
      </c>
      <c r="H8" s="302"/>
      <c r="I8" s="306">
        <f>Links!J7</f>
        <v>0</v>
      </c>
      <c r="J8" s="302"/>
      <c r="K8" s="306">
        <f>Links!L7</f>
        <v>0</v>
      </c>
      <c r="L8" s="302"/>
      <c r="M8" s="306">
        <f>Links!N7</f>
        <v>0</v>
      </c>
      <c r="N8" s="302"/>
      <c r="O8" s="306">
        <f>Links!P7</f>
        <v>0</v>
      </c>
      <c r="P8" s="302"/>
      <c r="Q8" s="306">
        <f>Links!R7</f>
        <v>0</v>
      </c>
      <c r="R8" s="302"/>
      <c r="S8" s="306">
        <f>Links!T7</f>
        <v>0</v>
      </c>
      <c r="T8" s="302"/>
      <c r="U8" s="306">
        <f>Links!V7</f>
        <v>0</v>
      </c>
      <c r="V8" s="302"/>
      <c r="W8" s="306">
        <f>Links!X7</f>
        <v>0</v>
      </c>
      <c r="X8" s="302"/>
      <c r="Y8" s="306">
        <f>Links!Z7</f>
        <v>0</v>
      </c>
      <c r="Z8" s="302"/>
      <c r="AA8" s="306">
        <f>Links!AB7</f>
        <v>0</v>
      </c>
      <c r="AB8" s="302"/>
      <c r="AC8" s="306">
        <f>Links!AD7</f>
        <v>0</v>
      </c>
      <c r="AD8" s="302"/>
      <c r="AE8" s="306">
        <f>Links!AF7</f>
        <v>0</v>
      </c>
      <c r="AF8" s="302"/>
      <c r="AG8" s="306">
        <f>Links!AH7</f>
        <v>0</v>
      </c>
      <c r="AH8" s="302"/>
      <c r="AI8" s="306">
        <f>Links!AJ7</f>
        <v>0</v>
      </c>
      <c r="AJ8" s="302"/>
      <c r="AK8" s="306">
        <f>Links!AL7</f>
        <v>0</v>
      </c>
      <c r="AL8" s="302"/>
      <c r="AM8" s="306">
        <f>Links!AN7</f>
        <v>0</v>
      </c>
      <c r="AN8" s="302"/>
      <c r="AO8" s="306">
        <f>Links!AP7</f>
        <v>0</v>
      </c>
      <c r="AP8" s="302"/>
      <c r="AQ8" s="306">
        <f>Links!AR7</f>
        <v>0</v>
      </c>
      <c r="AR8" s="302"/>
      <c r="AS8" s="248"/>
      <c r="AT8" s="249"/>
    </row>
    <row r="9" spans="1:46" s="245" customFormat="1" x14ac:dyDescent="0.25">
      <c r="B9" s="246"/>
      <c r="C9" s="243"/>
      <c r="D9" s="93" t="s">
        <v>177</v>
      </c>
      <c r="E9" s="301">
        <f>Intersections!F68</f>
        <v>1048</v>
      </c>
      <c r="F9" s="302"/>
      <c r="G9" s="301">
        <f>Intersections!J68</f>
        <v>40</v>
      </c>
      <c r="H9" s="302"/>
      <c r="I9" s="301">
        <f>Intersections!N68</f>
        <v>0</v>
      </c>
      <c r="J9" s="302"/>
      <c r="K9" s="301">
        <f>Intersections!R68</f>
        <v>0</v>
      </c>
      <c r="L9" s="302"/>
      <c r="M9" s="301">
        <f>Intersections!V68</f>
        <v>0</v>
      </c>
      <c r="N9" s="302"/>
      <c r="O9" s="301">
        <f>Intersections!Z68</f>
        <v>0</v>
      </c>
      <c r="P9" s="302"/>
      <c r="Q9" s="301">
        <f>Intersections!AD68</f>
        <v>0</v>
      </c>
      <c r="R9" s="302"/>
      <c r="S9" s="301">
        <f>Intersections!AH68</f>
        <v>0</v>
      </c>
      <c r="T9" s="302"/>
      <c r="U9" s="301">
        <f>Intersections!AL68</f>
        <v>0</v>
      </c>
      <c r="V9" s="302"/>
      <c r="W9" s="301">
        <f>Intersections!AP68</f>
        <v>0</v>
      </c>
      <c r="X9" s="302"/>
      <c r="Y9" s="301">
        <f>Intersections!AT68</f>
        <v>0</v>
      </c>
      <c r="Z9" s="302"/>
      <c r="AA9" s="301">
        <f>Intersections!AX68</f>
        <v>0</v>
      </c>
      <c r="AB9" s="302"/>
      <c r="AC9" s="301">
        <f>Intersections!BB68</f>
        <v>0</v>
      </c>
      <c r="AD9" s="302"/>
      <c r="AE9" s="301">
        <f>Intersections!BF68</f>
        <v>0</v>
      </c>
      <c r="AF9" s="302"/>
      <c r="AG9" s="301">
        <f>Intersections!BJ68</f>
        <v>0</v>
      </c>
      <c r="AH9" s="302"/>
      <c r="AI9" s="301">
        <f>Intersections!BN68</f>
        <v>0</v>
      </c>
      <c r="AJ9" s="302"/>
      <c r="AK9" s="301">
        <f>Intersections!BR68</f>
        <v>0</v>
      </c>
      <c r="AL9" s="302"/>
      <c r="AM9" s="301">
        <f>Intersections!BV68</f>
        <v>0</v>
      </c>
      <c r="AN9" s="302"/>
      <c r="AO9" s="301">
        <f>Intersections!BZ68</f>
        <v>0</v>
      </c>
      <c r="AP9" s="302"/>
      <c r="AQ9" s="301">
        <f>Intersections!CD68</f>
        <v>0</v>
      </c>
      <c r="AR9" s="302"/>
      <c r="AS9" s="248"/>
      <c r="AT9" s="249"/>
    </row>
    <row r="10" spans="1:46" s="245" customFormat="1" x14ac:dyDescent="0.25">
      <c r="B10" s="246"/>
      <c r="C10" s="243"/>
      <c r="D10" s="247" t="s">
        <v>65</v>
      </c>
      <c r="E10" s="243" t="str">
        <f>Links!F8</f>
        <v>EB</v>
      </c>
      <c r="F10" s="244" t="str">
        <f>Links!G8</f>
        <v>WB</v>
      </c>
      <c r="G10" s="243">
        <f>Links!H8</f>
        <v>0</v>
      </c>
      <c r="H10" s="244">
        <f>Links!I8</f>
        <v>0</v>
      </c>
      <c r="I10" s="243">
        <f>Links!J8</f>
        <v>0</v>
      </c>
      <c r="J10" s="244">
        <f>Links!K8</f>
        <v>0</v>
      </c>
      <c r="K10" s="243">
        <f>Links!L8</f>
        <v>0</v>
      </c>
      <c r="L10" s="244">
        <f>Links!M8</f>
        <v>0</v>
      </c>
      <c r="M10" s="243">
        <f>Links!N8</f>
        <v>0</v>
      </c>
      <c r="N10" s="244">
        <f>Links!O8</f>
        <v>0</v>
      </c>
      <c r="O10" s="243">
        <f>Links!P8</f>
        <v>0</v>
      </c>
      <c r="P10" s="244">
        <f>Links!Q8</f>
        <v>0</v>
      </c>
      <c r="Q10" s="243">
        <f>Links!R8</f>
        <v>0</v>
      </c>
      <c r="R10" s="244">
        <f>Links!S8</f>
        <v>0</v>
      </c>
      <c r="S10" s="243">
        <f>Links!T8</f>
        <v>0</v>
      </c>
      <c r="T10" s="244">
        <f>Links!U8</f>
        <v>0</v>
      </c>
      <c r="U10" s="243">
        <f>Links!V8</f>
        <v>0</v>
      </c>
      <c r="V10" s="244">
        <f>Links!W8</f>
        <v>0</v>
      </c>
      <c r="W10" s="243">
        <f>Links!X8</f>
        <v>0</v>
      </c>
      <c r="X10" s="244">
        <f>Links!Y8</f>
        <v>0</v>
      </c>
      <c r="Y10" s="243">
        <f>Links!Z8</f>
        <v>0</v>
      </c>
      <c r="Z10" s="244">
        <f>Links!AA8</f>
        <v>0</v>
      </c>
      <c r="AA10" s="243">
        <f>Links!AB8</f>
        <v>0</v>
      </c>
      <c r="AB10" s="244">
        <f>Links!AC8</f>
        <v>0</v>
      </c>
      <c r="AC10" s="243">
        <f>Links!AD8</f>
        <v>0</v>
      </c>
      <c r="AD10" s="244">
        <f>Links!AE8</f>
        <v>0</v>
      </c>
      <c r="AE10" s="243">
        <f>Links!AF8</f>
        <v>0</v>
      </c>
      <c r="AF10" s="244">
        <f>Links!AG8</f>
        <v>0</v>
      </c>
      <c r="AG10" s="243">
        <f>Links!AH8</f>
        <v>0</v>
      </c>
      <c r="AH10" s="244">
        <f>Links!AI8</f>
        <v>0</v>
      </c>
      <c r="AI10" s="243">
        <f>Links!AJ8</f>
        <v>0</v>
      </c>
      <c r="AJ10" s="244">
        <f>Links!AK8</f>
        <v>0</v>
      </c>
      <c r="AK10" s="243">
        <f>Links!AL8</f>
        <v>0</v>
      </c>
      <c r="AL10" s="244">
        <f>Links!AM8</f>
        <v>0</v>
      </c>
      <c r="AM10" s="243">
        <f>Links!AN8</f>
        <v>0</v>
      </c>
      <c r="AN10" s="244">
        <f>Links!AO8</f>
        <v>0</v>
      </c>
      <c r="AO10" s="243">
        <f>Links!AP8</f>
        <v>0</v>
      </c>
      <c r="AP10" s="244">
        <f>Links!AQ8</f>
        <v>0</v>
      </c>
      <c r="AQ10" s="243">
        <f>Links!AR8</f>
        <v>0</v>
      </c>
      <c r="AR10" s="244">
        <f>Links!AS8</f>
        <v>0</v>
      </c>
      <c r="AS10" s="248"/>
      <c r="AT10" s="249"/>
    </row>
    <row r="11" spans="1:46" s="250" customFormat="1" ht="14.25" x14ac:dyDescent="0.25">
      <c r="B11" s="251"/>
      <c r="C11" s="252" t="s">
        <v>390</v>
      </c>
      <c r="D11" s="247" t="s">
        <v>391</v>
      </c>
      <c r="E11" s="243">
        <f>Links!F25</f>
        <v>0.35</v>
      </c>
      <c r="F11" s="244">
        <f>Links!G25</f>
        <v>0.35</v>
      </c>
      <c r="G11" s="168">
        <f>Links!H25</f>
        <v>0</v>
      </c>
      <c r="H11" s="244">
        <f>Links!I25</f>
        <v>0</v>
      </c>
      <c r="I11" s="243">
        <f>Links!J25</f>
        <v>0</v>
      </c>
      <c r="J11" s="244">
        <f>Links!K25</f>
        <v>0</v>
      </c>
      <c r="K11" s="243">
        <f>Links!L25</f>
        <v>0</v>
      </c>
      <c r="L11" s="244">
        <f>Links!M25</f>
        <v>0</v>
      </c>
      <c r="M11" s="243">
        <f>Links!N25</f>
        <v>0</v>
      </c>
      <c r="N11" s="244">
        <f>Links!O25</f>
        <v>0</v>
      </c>
      <c r="O11" s="243">
        <f>Links!P25</f>
        <v>0</v>
      </c>
      <c r="P11" s="244">
        <f>Links!Q25</f>
        <v>0</v>
      </c>
      <c r="Q11" s="243">
        <f>Links!R25</f>
        <v>0</v>
      </c>
      <c r="R11" s="244">
        <f>Links!S25</f>
        <v>0</v>
      </c>
      <c r="S11" s="243">
        <f>Links!T25</f>
        <v>0</v>
      </c>
      <c r="T11" s="244">
        <f>Links!U25</f>
        <v>0</v>
      </c>
      <c r="U11" s="243">
        <f>Links!V25</f>
        <v>0</v>
      </c>
      <c r="V11" s="244">
        <f>Links!W25</f>
        <v>0</v>
      </c>
      <c r="W11" s="243">
        <f>Links!X25</f>
        <v>0</v>
      </c>
      <c r="X11" s="244">
        <f>Links!Y25</f>
        <v>0</v>
      </c>
      <c r="Y11" s="243">
        <f>Links!Z25</f>
        <v>0</v>
      </c>
      <c r="Z11" s="244">
        <f>Links!AA25</f>
        <v>0</v>
      </c>
      <c r="AA11" s="243">
        <f>Links!AB25</f>
        <v>0</v>
      </c>
      <c r="AB11" s="244">
        <f>Links!AC25</f>
        <v>0</v>
      </c>
      <c r="AC11" s="243">
        <f>Links!AD25</f>
        <v>0</v>
      </c>
      <c r="AD11" s="244">
        <f>Links!AE25</f>
        <v>0</v>
      </c>
      <c r="AE11" s="243">
        <f>Links!AF25</f>
        <v>0</v>
      </c>
      <c r="AF11" s="244">
        <f>Links!AG25</f>
        <v>0</v>
      </c>
      <c r="AG11" s="243">
        <f>Links!AH25</f>
        <v>0</v>
      </c>
      <c r="AH11" s="244">
        <f>Links!AI25</f>
        <v>0</v>
      </c>
      <c r="AI11" s="243">
        <f>Links!AJ25</f>
        <v>0</v>
      </c>
      <c r="AJ11" s="244">
        <f>Links!AK25</f>
        <v>0</v>
      </c>
      <c r="AK11" s="243">
        <f>Links!AL25</f>
        <v>0</v>
      </c>
      <c r="AL11" s="244">
        <f>Links!AM25</f>
        <v>0</v>
      </c>
      <c r="AM11" s="243">
        <f>Links!AN25</f>
        <v>0</v>
      </c>
      <c r="AN11" s="244">
        <f>Links!AO25</f>
        <v>0</v>
      </c>
      <c r="AO11" s="243">
        <f>Links!AP25</f>
        <v>0</v>
      </c>
      <c r="AP11" s="244">
        <f>Links!AQ25</f>
        <v>0</v>
      </c>
      <c r="AQ11" s="243">
        <f>Links!AR25</f>
        <v>0</v>
      </c>
      <c r="AR11" s="244">
        <f>Links!AS25</f>
        <v>0</v>
      </c>
      <c r="AS11" s="253"/>
      <c r="AT11" s="254"/>
    </row>
    <row r="12" spans="1:46" s="250" customFormat="1" ht="14.25" x14ac:dyDescent="0.25">
      <c r="B12" s="251"/>
      <c r="C12" s="243" t="s">
        <v>323</v>
      </c>
      <c r="D12" s="247" t="s">
        <v>399</v>
      </c>
      <c r="E12" s="243">
        <f>Links!F14</f>
        <v>3.3</v>
      </c>
      <c r="F12" s="244">
        <f>Links!G14</f>
        <v>3.3</v>
      </c>
      <c r="G12" s="243">
        <f>Links!H14</f>
        <v>0</v>
      </c>
      <c r="H12" s="244">
        <f>Links!I14</f>
        <v>0</v>
      </c>
      <c r="I12" s="243">
        <f>Links!J14</f>
        <v>0</v>
      </c>
      <c r="J12" s="244">
        <f>Links!K14</f>
        <v>0</v>
      </c>
      <c r="K12" s="243">
        <f>Links!L14</f>
        <v>0</v>
      </c>
      <c r="L12" s="244">
        <f>Links!M14</f>
        <v>0</v>
      </c>
      <c r="M12" s="243">
        <f>Links!N14</f>
        <v>0</v>
      </c>
      <c r="N12" s="244">
        <f>Links!O14</f>
        <v>0</v>
      </c>
      <c r="O12" s="243">
        <f>Links!P14</f>
        <v>0</v>
      </c>
      <c r="P12" s="244">
        <f>Links!Q14</f>
        <v>0</v>
      </c>
      <c r="Q12" s="243">
        <f>Links!R14</f>
        <v>0</v>
      </c>
      <c r="R12" s="244">
        <f>Links!S14</f>
        <v>0</v>
      </c>
      <c r="S12" s="243">
        <f>Links!T14</f>
        <v>0</v>
      </c>
      <c r="T12" s="244">
        <f>Links!U14</f>
        <v>0</v>
      </c>
      <c r="U12" s="243">
        <f>Links!V14</f>
        <v>0</v>
      </c>
      <c r="V12" s="244">
        <f>Links!W14</f>
        <v>0</v>
      </c>
      <c r="W12" s="243">
        <f>Links!X14</f>
        <v>0</v>
      </c>
      <c r="X12" s="244">
        <f>Links!Y14</f>
        <v>0</v>
      </c>
      <c r="Y12" s="243">
        <f>Links!Z14</f>
        <v>0</v>
      </c>
      <c r="Z12" s="244">
        <f>Links!AA14</f>
        <v>0</v>
      </c>
      <c r="AA12" s="243">
        <f>Links!AB14</f>
        <v>0</v>
      </c>
      <c r="AB12" s="244">
        <f>Links!AC14</f>
        <v>0</v>
      </c>
      <c r="AC12" s="243">
        <f>Links!AD14</f>
        <v>0</v>
      </c>
      <c r="AD12" s="244">
        <f>Links!AE14</f>
        <v>0</v>
      </c>
      <c r="AE12" s="243">
        <f>Links!AF14</f>
        <v>0</v>
      </c>
      <c r="AF12" s="244">
        <f>Links!AG14</f>
        <v>0</v>
      </c>
      <c r="AG12" s="243">
        <f>Links!AH14</f>
        <v>0</v>
      </c>
      <c r="AH12" s="244">
        <f>Links!AI14</f>
        <v>0</v>
      </c>
      <c r="AI12" s="243">
        <f>Links!AJ14</f>
        <v>0</v>
      </c>
      <c r="AJ12" s="244">
        <f>Links!AK14</f>
        <v>0</v>
      </c>
      <c r="AK12" s="243">
        <f>Links!AL14</f>
        <v>0</v>
      </c>
      <c r="AL12" s="244">
        <f>Links!AM14</f>
        <v>0</v>
      </c>
      <c r="AM12" s="243">
        <f>Links!AN14</f>
        <v>0</v>
      </c>
      <c r="AN12" s="244">
        <f>Links!AO14</f>
        <v>0</v>
      </c>
      <c r="AO12" s="243">
        <f>Links!AP14</f>
        <v>0</v>
      </c>
      <c r="AP12" s="244">
        <f>Links!AQ14</f>
        <v>0</v>
      </c>
      <c r="AQ12" s="243">
        <f>Links!AR14</f>
        <v>0</v>
      </c>
      <c r="AR12" s="244">
        <f>Links!AS14</f>
        <v>0</v>
      </c>
      <c r="AS12" s="253"/>
      <c r="AT12" s="254"/>
    </row>
    <row r="13" spans="1:46" s="250" customFormat="1" ht="14.25" x14ac:dyDescent="0.25">
      <c r="B13" s="251"/>
      <c r="C13" s="243" t="s">
        <v>358</v>
      </c>
      <c r="D13" s="247" t="s">
        <v>389</v>
      </c>
      <c r="E13" s="243">
        <f>Links!F15</f>
        <v>10</v>
      </c>
      <c r="F13" s="244">
        <f>Links!G15</f>
        <v>10</v>
      </c>
      <c r="G13" s="243">
        <f>Links!H15</f>
        <v>0</v>
      </c>
      <c r="H13" s="244">
        <f>Links!I15</f>
        <v>0</v>
      </c>
      <c r="I13" s="243">
        <f>Links!J15</f>
        <v>0</v>
      </c>
      <c r="J13" s="244">
        <f>Links!K15</f>
        <v>0</v>
      </c>
      <c r="K13" s="243">
        <f>Links!L15</f>
        <v>0</v>
      </c>
      <c r="L13" s="244">
        <f>Links!M15</f>
        <v>0</v>
      </c>
      <c r="M13" s="243">
        <f>Links!N15</f>
        <v>0</v>
      </c>
      <c r="N13" s="244">
        <f>Links!O15</f>
        <v>0</v>
      </c>
      <c r="O13" s="243">
        <f>Links!P15</f>
        <v>0</v>
      </c>
      <c r="P13" s="244">
        <f>Links!Q15</f>
        <v>0</v>
      </c>
      <c r="Q13" s="243">
        <f>Links!R15</f>
        <v>0</v>
      </c>
      <c r="R13" s="244">
        <f>Links!S15</f>
        <v>0</v>
      </c>
      <c r="S13" s="243">
        <f>Links!T15</f>
        <v>0</v>
      </c>
      <c r="T13" s="244">
        <f>Links!U15</f>
        <v>0</v>
      </c>
      <c r="U13" s="243">
        <f>Links!V15</f>
        <v>0</v>
      </c>
      <c r="V13" s="244">
        <f>Links!W15</f>
        <v>0</v>
      </c>
      <c r="W13" s="243">
        <f>Links!X15</f>
        <v>0</v>
      </c>
      <c r="X13" s="244">
        <f>Links!Y15</f>
        <v>0</v>
      </c>
      <c r="Y13" s="243">
        <f>Links!Z15</f>
        <v>0</v>
      </c>
      <c r="Z13" s="244">
        <f>Links!AA15</f>
        <v>0</v>
      </c>
      <c r="AA13" s="243">
        <f>Links!AB15</f>
        <v>0</v>
      </c>
      <c r="AB13" s="244">
        <f>Links!AC15</f>
        <v>0</v>
      </c>
      <c r="AC13" s="243">
        <f>Links!AD15</f>
        <v>0</v>
      </c>
      <c r="AD13" s="244">
        <f>Links!AE15</f>
        <v>0</v>
      </c>
      <c r="AE13" s="243">
        <f>Links!AF15</f>
        <v>0</v>
      </c>
      <c r="AF13" s="244">
        <f>Links!AG15</f>
        <v>0</v>
      </c>
      <c r="AG13" s="243">
        <f>Links!AH15</f>
        <v>0</v>
      </c>
      <c r="AH13" s="244">
        <f>Links!AI15</f>
        <v>0</v>
      </c>
      <c r="AI13" s="243">
        <f>Links!AJ15</f>
        <v>0</v>
      </c>
      <c r="AJ13" s="244">
        <f>Links!AK15</f>
        <v>0</v>
      </c>
      <c r="AK13" s="243">
        <f>Links!AL15</f>
        <v>0</v>
      </c>
      <c r="AL13" s="244">
        <f>Links!AM15</f>
        <v>0</v>
      </c>
      <c r="AM13" s="243">
        <f>Links!AN15</f>
        <v>0</v>
      </c>
      <c r="AN13" s="244">
        <f>Links!AO15</f>
        <v>0</v>
      </c>
      <c r="AO13" s="243">
        <f>Links!AP15</f>
        <v>0</v>
      </c>
      <c r="AP13" s="244">
        <f>Links!AQ15</f>
        <v>0</v>
      </c>
      <c r="AQ13" s="243">
        <f>Links!AR15</f>
        <v>0</v>
      </c>
      <c r="AR13" s="244">
        <f>Links!AS15</f>
        <v>0</v>
      </c>
      <c r="AS13" s="253"/>
      <c r="AT13" s="254"/>
    </row>
    <row r="14" spans="1:46" ht="15.75" x14ac:dyDescent="0.25">
      <c r="B14" s="55"/>
      <c r="C14" s="4"/>
      <c r="D14" s="8" t="s">
        <v>204</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449</v>
      </c>
      <c r="D15" s="11" t="s">
        <v>450</v>
      </c>
      <c r="E15" s="168">
        <f>Links!F56</f>
        <v>30.084263157894739</v>
      </c>
      <c r="F15" s="169">
        <f>Links!G56</f>
        <v>30.084263157894739</v>
      </c>
      <c r="G15" s="168">
        <f>Links!H56</f>
        <v>0</v>
      </c>
      <c r="H15" s="169">
        <f>Links!I56</f>
        <v>0</v>
      </c>
      <c r="I15" s="168">
        <f>Links!J56</f>
        <v>0</v>
      </c>
      <c r="J15" s="169">
        <f>Links!K56</f>
        <v>0</v>
      </c>
      <c r="K15" s="168">
        <f>Links!L56</f>
        <v>0</v>
      </c>
      <c r="L15" s="169">
        <f>Links!M56</f>
        <v>0</v>
      </c>
      <c r="M15" s="168">
        <f>Links!N56</f>
        <v>0</v>
      </c>
      <c r="N15" s="169">
        <f>Links!O56</f>
        <v>0</v>
      </c>
      <c r="O15" s="168">
        <f>Links!P56</f>
        <v>0</v>
      </c>
      <c r="P15" s="169">
        <f>Links!Q56</f>
        <v>0</v>
      </c>
      <c r="Q15" s="168">
        <f>Links!R56</f>
        <v>0</v>
      </c>
      <c r="R15" s="169">
        <f>Links!S56</f>
        <v>0</v>
      </c>
      <c r="S15" s="168">
        <f>Links!T56</f>
        <v>0</v>
      </c>
      <c r="T15" s="169">
        <f>Links!U56</f>
        <v>0</v>
      </c>
      <c r="U15" s="168">
        <f>Links!V56</f>
        <v>0</v>
      </c>
      <c r="V15" s="169">
        <f>Links!W56</f>
        <v>0</v>
      </c>
      <c r="W15" s="168">
        <f>Links!X56</f>
        <v>0</v>
      </c>
      <c r="X15" s="169">
        <f>Links!Y56</f>
        <v>0</v>
      </c>
      <c r="Y15" s="168">
        <f>Links!Z56</f>
        <v>0</v>
      </c>
      <c r="Z15" s="169">
        <f>Links!AA56</f>
        <v>0</v>
      </c>
      <c r="AA15" s="168">
        <f>Links!AB56</f>
        <v>0</v>
      </c>
      <c r="AB15" s="169">
        <f>Links!AC56</f>
        <v>0</v>
      </c>
      <c r="AC15" s="168">
        <f>Links!AD56</f>
        <v>0</v>
      </c>
      <c r="AD15" s="169">
        <f>Links!AE56</f>
        <v>0</v>
      </c>
      <c r="AE15" s="168">
        <f>Links!AF56</f>
        <v>0</v>
      </c>
      <c r="AF15" s="169">
        <f>Links!AG56</f>
        <v>0</v>
      </c>
      <c r="AG15" s="168">
        <f>Links!AH56</f>
        <v>0</v>
      </c>
      <c r="AH15" s="169">
        <f>Links!AI56</f>
        <v>0</v>
      </c>
      <c r="AI15" s="168">
        <f>Links!AJ56</f>
        <v>0</v>
      </c>
      <c r="AJ15" s="169">
        <f>Links!AK56</f>
        <v>0</v>
      </c>
      <c r="AK15" s="168">
        <f>Links!AL56</f>
        <v>0</v>
      </c>
      <c r="AL15" s="169">
        <f>Links!AM56</f>
        <v>0</v>
      </c>
      <c r="AM15" s="168">
        <f>Links!AN56</f>
        <v>0</v>
      </c>
      <c r="AN15" s="169">
        <f>Links!AO56</f>
        <v>0</v>
      </c>
      <c r="AO15" s="168">
        <f>Links!AP56</f>
        <v>0</v>
      </c>
      <c r="AP15" s="169">
        <f>Links!AQ56</f>
        <v>0</v>
      </c>
      <c r="AQ15" s="168">
        <f>Links!AR56</f>
        <v>0</v>
      </c>
      <c r="AR15" s="169">
        <f>Links!AS56</f>
        <v>0</v>
      </c>
      <c r="AS15" s="51"/>
      <c r="AT15" s="56"/>
    </row>
    <row r="16" spans="1:46" x14ac:dyDescent="0.25">
      <c r="B16" s="55"/>
      <c r="C16" s="10" t="s">
        <v>97</v>
      </c>
      <c r="D16" s="11" t="s">
        <v>464</v>
      </c>
      <c r="E16" s="168" t="str">
        <f t="shared" ref="E16:AR16" si="0">IF(E10="EB","S",IF(E10="WB","N",IF(E10="NB","E",IF(E10="SB","W","-"))))</f>
        <v>S</v>
      </c>
      <c r="F16" s="169" t="str">
        <f t="shared" si="0"/>
        <v>N</v>
      </c>
      <c r="G16" s="168" t="str">
        <f t="shared" si="0"/>
        <v>-</v>
      </c>
      <c r="H16" s="169" t="str">
        <f t="shared" si="0"/>
        <v>-</v>
      </c>
      <c r="I16" s="168" t="str">
        <f t="shared" si="0"/>
        <v>-</v>
      </c>
      <c r="J16" s="169" t="str">
        <f t="shared" si="0"/>
        <v>-</v>
      </c>
      <c r="K16" s="168" t="str">
        <f t="shared" si="0"/>
        <v>-</v>
      </c>
      <c r="L16" s="169" t="str">
        <f t="shared" si="0"/>
        <v>-</v>
      </c>
      <c r="M16" s="168" t="str">
        <f t="shared" si="0"/>
        <v>-</v>
      </c>
      <c r="N16" s="169" t="str">
        <f t="shared" si="0"/>
        <v>-</v>
      </c>
      <c r="O16" s="168" t="str">
        <f t="shared" si="0"/>
        <v>-</v>
      </c>
      <c r="P16" s="169" t="str">
        <f t="shared" si="0"/>
        <v>-</v>
      </c>
      <c r="Q16" s="168" t="str">
        <f t="shared" si="0"/>
        <v>-</v>
      </c>
      <c r="R16" s="169" t="str">
        <f t="shared" si="0"/>
        <v>-</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453</v>
      </c>
      <c r="D17" s="11" t="s">
        <v>454</v>
      </c>
      <c r="E17" s="168">
        <f>INDEX(Intersections!F64:I64,1,MATCH(E16,Intersections!F5:I5,0))</f>
        <v>9.867842105263156</v>
      </c>
      <c r="F17" s="169">
        <f>INDEX(Intersections!F64:I64,1,MATCH(F16,Intersections!F5:I5,0))</f>
        <v>9.867842105263156</v>
      </c>
      <c r="G17" s="168" t="e">
        <f>INDEX(Intersections!J64:M64,1,MATCH(G16,Intersections!J5:M5,0))</f>
        <v>#N/A</v>
      </c>
      <c r="H17" s="169" t="e">
        <f>INDEX(Intersections!J64:M64,1,MATCH(H16,Intersections!J5:M5,0))</f>
        <v>#N/A</v>
      </c>
      <c r="I17" s="168" t="e">
        <f>INDEX(Intersections!N64:Q64,1,MATCH(I16,Intersections!N5:Q5,0))</f>
        <v>#N/A</v>
      </c>
      <c r="J17" s="169" t="e">
        <f>INDEX(Intersections!N64:Q64,1,MATCH(J16,Intersections!N5:Q5,0))</f>
        <v>#N/A</v>
      </c>
      <c r="K17" s="168" t="e">
        <f>INDEX(Intersections!R64:U64,1,MATCH(K16,Intersections!R5:U5,0))</f>
        <v>#N/A</v>
      </c>
      <c r="L17" s="169" t="e">
        <f>INDEX(Intersections!R64:U64,1,MATCH(L16,Intersections!R5:U5,0))</f>
        <v>#N/A</v>
      </c>
      <c r="M17" s="168" t="e">
        <f>INDEX(Intersections!V64:Y64,1,MATCH(M16,Intersections!V5:Y5,0))</f>
        <v>#N/A</v>
      </c>
      <c r="N17" s="169" t="e">
        <f>INDEX(Intersections!V64:Y64,1,MATCH(N16,Intersections!V5:Y5,0))</f>
        <v>#N/A</v>
      </c>
      <c r="O17" s="168" t="e">
        <f>INDEX(Intersections!Z64:AC64,1,MATCH(O16,Intersections!Z5:AC5,0))</f>
        <v>#N/A</v>
      </c>
      <c r="P17" s="169" t="e">
        <f>INDEX(Intersections!Z64:AC64,1,MATCH(P16,Intersections!Z5:AC5,0))</f>
        <v>#N/A</v>
      </c>
      <c r="Q17" s="168" t="e">
        <f>INDEX(Intersections!AD64:AG64,1,MATCH(Q16,Intersections!AD5:AG5,0))</f>
        <v>#N/A</v>
      </c>
      <c r="R17" s="169" t="e">
        <f>INDEX(Intersections!AD64:AG64,1,MATCH(R16,Intersections!AD5:AG5,0))</f>
        <v>#N/A</v>
      </c>
      <c r="S17" s="168" t="e">
        <f>INDEX(Intersections!AH64:AK64,1,MATCH(S16,Intersections!AH5:AK5,0))</f>
        <v>#N/A</v>
      </c>
      <c r="T17" s="169" t="e">
        <f>INDEX(Intersections!AH64:AK64,1,MATCH(T16,Intersections!AH5:AK5,0))</f>
        <v>#N/A</v>
      </c>
      <c r="U17" s="168" t="e">
        <f>INDEX(Intersections!AL64:AO64,1,MATCH(U16,Intersections!AL5:AO5,0))</f>
        <v>#N/A</v>
      </c>
      <c r="V17" s="169" t="e">
        <f>INDEX(Intersections!AL64:AO64,1,MATCH(V16,Intersections!AL5:AO5,0))</f>
        <v>#N/A</v>
      </c>
      <c r="W17" s="168" t="e">
        <f>INDEX(Intersections!AP64:AS64,1,MATCH(W16,Intersections!AP5:AS5,0))</f>
        <v>#N/A</v>
      </c>
      <c r="X17" s="169" t="e">
        <f>INDEX(Intersections!AP64:AS64,1,MATCH(X16,Intersections!AP5:AS5,0))</f>
        <v>#N/A</v>
      </c>
      <c r="Y17" s="168" t="e">
        <f>INDEX(Intersections!AT64:AW64,1,MATCH(Y16,Intersections!AT5:AW5,0))</f>
        <v>#N/A</v>
      </c>
      <c r="Z17" s="169" t="e">
        <f>INDEX(Intersections!AT64:AW64,1,MATCH(Z16,Intersections!AT5:AW5,0))</f>
        <v>#N/A</v>
      </c>
      <c r="AA17" s="168" t="e">
        <f>INDEX(Intersections!AX64:BA64,1,MATCH(AA16,Intersections!AX5:BA5,0))</f>
        <v>#N/A</v>
      </c>
      <c r="AB17" s="169" t="e">
        <f>INDEX(Intersections!AX64:BA64,1,MATCH(AB16,Intersections!AX5:BA5,0))</f>
        <v>#N/A</v>
      </c>
      <c r="AC17" s="168" t="e">
        <f>INDEX(Intersections!BB64:BE64,1,MATCH(AC16,Intersections!BB5:BE5,0))</f>
        <v>#N/A</v>
      </c>
      <c r="AD17" s="169" t="e">
        <f>INDEX(Intersections!BB64:BE64,1,MATCH(AD16,Intersections!BB5:BE5,0))</f>
        <v>#N/A</v>
      </c>
      <c r="AE17" s="168" t="e">
        <f>INDEX(Intersections!BF64:BI64,1,MATCH(AE16,Intersections!BF5:BI5,0))</f>
        <v>#N/A</v>
      </c>
      <c r="AF17" s="169" t="e">
        <f>INDEX(Intersections!BF64:BI64,1,MATCH(AF16,Intersections!BF5:BI5,0))</f>
        <v>#N/A</v>
      </c>
      <c r="AG17" s="168" t="e">
        <f>INDEX(Intersections!BJ64:BM64,1,MATCH(AG16,Intersections!BJ5:BM5,0))</f>
        <v>#N/A</v>
      </c>
      <c r="AH17" s="169" t="e">
        <f>INDEX(Intersections!BJ64:BM64,1,MATCH(AH16,Intersections!BJ5:BM5,0))</f>
        <v>#N/A</v>
      </c>
      <c r="AI17" s="168" t="e">
        <f>INDEX(Intersections!BN64:BQ64,1,MATCH(AI16,Intersections!BN5:BQ5,0))</f>
        <v>#N/A</v>
      </c>
      <c r="AJ17" s="169" t="e">
        <f>INDEX(Intersections!BN64:BQ64,1,MATCH(AJ16,Intersections!BN5:BQ5,0))</f>
        <v>#N/A</v>
      </c>
      <c r="AK17" s="168" t="e">
        <f>INDEX(Intersections!BR64:BU64,1,MATCH(AK16,Intersections!BR5:BU5,0))</f>
        <v>#N/A</v>
      </c>
      <c r="AL17" s="169" t="e">
        <f>INDEX(Intersections!BR64:BU64,1,MATCH(AL16,Intersections!BR5:BU5,0))</f>
        <v>#N/A</v>
      </c>
      <c r="AM17" s="168" t="e">
        <f>INDEX(Intersections!BV64:BY64,1,MATCH(AM16,Intersections!BV5:BY5,0))</f>
        <v>#N/A</v>
      </c>
      <c r="AN17" s="169" t="e">
        <f>INDEX(Intersections!BV64:BY64,1,MATCH(AN16,Intersections!BV5:BY5,0))</f>
        <v>#N/A</v>
      </c>
      <c r="AO17" s="168" t="e">
        <f>INDEX(Intersections!BZ64:CC64,1,MATCH(AO16,Intersections!BZ5:CC5,0))</f>
        <v>#N/A</v>
      </c>
      <c r="AP17" s="169" t="e">
        <f>INDEX(Intersections!BZ64:CC64,1,MATCH(AP16,Intersections!BZ5:CC5,0))</f>
        <v>#N/A</v>
      </c>
      <c r="AQ17" s="168" t="e">
        <f>INDEX(Intersections!CD64:CG64,1,MATCH(AQ16,Intersections!CD5:CG5,0))</f>
        <v>#N/A</v>
      </c>
      <c r="AR17" s="169" t="e">
        <f>INDEX(Intersections!CD64:CG64,1,MATCH(AR16,Intersections!CD5:CG5,0))</f>
        <v>#N/A</v>
      </c>
      <c r="AS17" s="51"/>
      <c r="AT17" s="56"/>
    </row>
    <row r="18" spans="2:46" ht="14.25" x14ac:dyDescent="0.25">
      <c r="B18" s="55"/>
      <c r="C18" s="10" t="s">
        <v>461</v>
      </c>
      <c r="D18" s="11" t="s">
        <v>462</v>
      </c>
      <c r="E18" s="168">
        <f>INDEX(Intersections!F64:I64,1,MATCH(LEFT(E10,1),Intersections!F5:I5,0))</f>
        <v>18.884263157894736</v>
      </c>
      <c r="F18" s="169">
        <f>INDEX(Intersections!F64:I64,1,MATCH(LEFT(F10,1),Intersections!F5:I5,0))</f>
        <v>18.884263157894736</v>
      </c>
      <c r="G18" s="168" t="e">
        <f>INDEX(Intersections!J64:M64,1,MATCH(LEFT(G10,1),Intersections!J5:M5,0))</f>
        <v>#N/A</v>
      </c>
      <c r="H18" s="169" t="e">
        <f>INDEX(Intersections!J64:M64,1,MATCH(LEFT(H10,1),Intersections!J5:M5,0))</f>
        <v>#N/A</v>
      </c>
      <c r="I18" s="168" t="e">
        <f>INDEX(Intersections!N64:Q64,1,MATCH(LEFT(I10,1),Intersections!N5:Q5,0))</f>
        <v>#N/A</v>
      </c>
      <c r="J18" s="169" t="e">
        <f>INDEX(Intersections!N64:Q64,1,MATCH(LEFT(J10,1),Intersections!N5:Q5,0))</f>
        <v>#N/A</v>
      </c>
      <c r="K18" s="168" t="e">
        <f>INDEX(Intersections!R64:U64,1,MATCH(LEFT(K10,1),Intersections!R5:U5,0))</f>
        <v>#N/A</v>
      </c>
      <c r="L18" s="169" t="e">
        <f>INDEX(Intersections!R64:U64,1,MATCH(LEFT(L10,1),Intersections!R5:U5,0))</f>
        <v>#N/A</v>
      </c>
      <c r="M18" s="243" t="e">
        <f>INDEX(Intersections!V64:Y64,1,MATCH(LEFT(M10,1),Intersections!V5:Y5,0))</f>
        <v>#N/A</v>
      </c>
      <c r="N18" s="244" t="e">
        <f>INDEX(Intersections!V64:Y64,1,MATCH(LEFT(N10,1),Intersections!V5:Y5,0))</f>
        <v>#N/A</v>
      </c>
      <c r="O18" s="243" t="e">
        <f>INDEX(Intersections!Z64:AC64,1,MATCH(LEFT(O10,1),Intersections!Z5:AC5,0))</f>
        <v>#N/A</v>
      </c>
      <c r="P18" s="244" t="e">
        <f>INDEX(Intersections!Z64:AC64,1,MATCH(LEFT(P10,1),Intersections!Z5:AC5,0))</f>
        <v>#N/A</v>
      </c>
      <c r="Q18" s="168" t="e">
        <f>INDEX(Intersections!AD64:AG64,1,MATCH(LEFT(Q10,1),Intersections!AD5:AG5,0))</f>
        <v>#N/A</v>
      </c>
      <c r="R18" s="169" t="e">
        <f>INDEX(Intersections!AD64:AG64,1,MATCH(LEFT(R10,1),Intersections!AD5:AG5,0))</f>
        <v>#N/A</v>
      </c>
      <c r="S18" s="168" t="e">
        <f>INDEX(Intersections!AH64:AK64,1,MATCH(LEFT(S10,1),Intersections!AH5:AK5,0))</f>
        <v>#N/A</v>
      </c>
      <c r="T18" s="169" t="e">
        <f>INDEX(Intersections!AH64:AK64,1,MATCH(LEFT(T10,1),Intersections!AH5:AK5,0))</f>
        <v>#N/A</v>
      </c>
      <c r="U18" s="168" t="e">
        <f>INDEX(Intersections!AL64:AO64,1,MATCH(LEFT(U10,1),Intersections!AL5:AO5,0))</f>
        <v>#N/A</v>
      </c>
      <c r="V18" s="169" t="e">
        <f>INDEX(Intersections!AL64:AO64,1,MATCH(LEFT(V10,1),Intersections!AL5:AO5,0))</f>
        <v>#N/A</v>
      </c>
      <c r="W18" s="168" t="e">
        <f>INDEX(Intersections!AP64:AS64,1,MATCH(LEFT(W10,1),Intersections!AP5:AS5,0))</f>
        <v>#N/A</v>
      </c>
      <c r="X18" s="169" t="e">
        <f>INDEX(Intersections!AP64:AS64,1,MATCH(LEFT(X10,1),Intersections!AP5:AS5,0))</f>
        <v>#N/A</v>
      </c>
      <c r="Y18" s="168" t="e">
        <f>INDEX(Intersections!AT64:AW64,1,MATCH(LEFT(Y10,1),Intersections!AT5:AW5,0))</f>
        <v>#N/A</v>
      </c>
      <c r="Z18" s="169" t="e">
        <f>INDEX(Intersections!AT64:AW64,1,MATCH(LEFT(Z10,1),Intersections!AT5:AW5,0))</f>
        <v>#N/A</v>
      </c>
      <c r="AA18" s="168" t="e">
        <f>INDEX(Intersections!AX64:BA64,1,MATCH(LEFT(AA10,1),Intersections!AX5:BA5,0))</f>
        <v>#N/A</v>
      </c>
      <c r="AB18" s="169" t="e">
        <f>INDEX(Intersections!AX64:BA64,1,MATCH(LEFT(AB10,1),Intersections!AX5:BA5,0))</f>
        <v>#N/A</v>
      </c>
      <c r="AC18" s="168" t="e">
        <f>INDEX(Intersections!BB64:BE64,1,MATCH(LEFT(AC10,1),Intersections!BB5:BE5,0))</f>
        <v>#N/A</v>
      </c>
      <c r="AD18" s="169" t="e">
        <f>INDEX(Intersections!BB64:BE64,1,MATCH(LEFT(AD10,1),Intersections!BB5:BE5,0))</f>
        <v>#N/A</v>
      </c>
      <c r="AE18" s="168" t="e">
        <f>INDEX(Intersections!BF64:BI64,1,MATCH(LEFT(AE10,1),Intersections!BF5:BI5,0))</f>
        <v>#N/A</v>
      </c>
      <c r="AF18" s="169" t="e">
        <f>INDEX(Intersections!BF64:BI64,1,MATCH(LEFT(AF10,1),Intersections!BF5:BI5,0))</f>
        <v>#N/A</v>
      </c>
      <c r="AG18" s="168" t="e">
        <f>INDEX(Intersections!BJ64:BM64,1,MATCH(LEFT(AG10,1),Intersections!BJ5:BM5,0))</f>
        <v>#N/A</v>
      </c>
      <c r="AH18" s="169" t="e">
        <f>INDEX(Intersections!BJ64:BM64,1,MATCH(LEFT(AH10,1),Intersections!BJ5:BM5,0))</f>
        <v>#N/A</v>
      </c>
      <c r="AI18" s="168" t="e">
        <f>INDEX(Intersections!BN64:BQ64,1,MATCH(LEFT(AI10,1),Intersections!BN5:BQ5,0))</f>
        <v>#N/A</v>
      </c>
      <c r="AJ18" s="169" t="e">
        <f>INDEX(Intersections!BN64:BQ64,1,MATCH(LEFT(AJ10,1),Intersections!BN5:BQ5,0))</f>
        <v>#N/A</v>
      </c>
      <c r="AK18" s="168" t="e">
        <f>INDEX(Intersections!BR64:BU64,1,MATCH(LEFT(AK10,1),Intersections!BR5:BU5,0))</f>
        <v>#N/A</v>
      </c>
      <c r="AL18" s="169" t="e">
        <f>INDEX(Intersections!BR64:BU64,1,MATCH(LEFT(AL10,1),Intersections!BR5:BU5,0))</f>
        <v>#N/A</v>
      </c>
      <c r="AM18" s="168" t="e">
        <f>INDEX(Intersections!BV64:BY64,1,MATCH(LEFT(AM10,1),Intersections!BV5:BY5,0))</f>
        <v>#N/A</v>
      </c>
      <c r="AN18" s="169" t="e">
        <f>INDEX(Intersections!BV64:BY64,1,MATCH(LEFT(AN10,1),Intersections!BV5:BY5,0))</f>
        <v>#N/A</v>
      </c>
      <c r="AO18" s="168" t="e">
        <f>INDEX(Intersections!BZ64:CC64,1,MATCH(LEFT(AO10,1),Intersections!BZ5:CC5,0))</f>
        <v>#N/A</v>
      </c>
      <c r="AP18" s="169" t="e">
        <f>INDEX(Intersections!BZ64:CC64,1,MATCH(LEFT(AP10,1),Intersections!BZ5:CC5,0))</f>
        <v>#N/A</v>
      </c>
      <c r="AQ18" s="168" t="e">
        <f>INDEX(Intersections!CD64:CG64,1,MATCH(LEFT(AQ10,1),Intersections!CD5:CG5,0))</f>
        <v>#N/A</v>
      </c>
      <c r="AR18" s="169" t="e">
        <f>INDEX(Intersections!CD64:CG64,1,MATCH(LEFT(AR10,1),Intersections!CD5:CG5,0))</f>
        <v>#N/A</v>
      </c>
      <c r="AS18" s="51"/>
      <c r="AT18" s="56"/>
    </row>
    <row r="19" spans="2:46" ht="14.25" x14ac:dyDescent="0.25">
      <c r="B19" s="55"/>
      <c r="C19" s="10" t="s">
        <v>393</v>
      </c>
      <c r="D19" s="11" t="s">
        <v>396</v>
      </c>
      <c r="E19" s="168">
        <f t="shared" ref="E19:AR19" si="1">PEDDELAYLOS(E18)</f>
        <v>2.3884263157894736</v>
      </c>
      <c r="F19" s="169">
        <f t="shared" si="1"/>
        <v>2.3884263157894736</v>
      </c>
      <c r="G19" s="168" t="e">
        <f t="shared" si="1"/>
        <v>#VALUE!</v>
      </c>
      <c r="H19" s="169" t="e">
        <f t="shared" si="1"/>
        <v>#VALUE!</v>
      </c>
      <c r="I19" s="168" t="e">
        <f t="shared" si="1"/>
        <v>#VALUE!</v>
      </c>
      <c r="J19" s="169" t="e">
        <f t="shared" si="1"/>
        <v>#VALUE!</v>
      </c>
      <c r="K19" s="168" t="e">
        <f t="shared" si="1"/>
        <v>#VALUE!</v>
      </c>
      <c r="L19" s="169" t="e">
        <f t="shared" si="1"/>
        <v>#VALUE!</v>
      </c>
      <c r="M19" s="168" t="e">
        <f t="shared" si="1"/>
        <v>#VALUE!</v>
      </c>
      <c r="N19" s="169" t="e">
        <f t="shared" si="1"/>
        <v>#VALUE!</v>
      </c>
      <c r="O19" s="168" t="e">
        <f t="shared" si="1"/>
        <v>#VALUE!</v>
      </c>
      <c r="P19" s="169" t="e">
        <f t="shared" si="1"/>
        <v>#VALUE!</v>
      </c>
      <c r="Q19" s="168" t="e">
        <f t="shared" si="1"/>
        <v>#VALUE!</v>
      </c>
      <c r="R19" s="169" t="e">
        <f t="shared" si="1"/>
        <v>#VALUE!</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394</v>
      </c>
      <c r="D20" s="11" t="s">
        <v>395</v>
      </c>
      <c r="E20" s="168">
        <f t="shared" ref="E20:AR20" si="2">PEDDELAYLOS(E15)</f>
        <v>3.5084263157894737</v>
      </c>
      <c r="F20" s="169">
        <f t="shared" si="2"/>
        <v>3.5084263157894737</v>
      </c>
      <c r="G20" s="168">
        <f t="shared" si="2"/>
        <v>0.5</v>
      </c>
      <c r="H20" s="169">
        <f t="shared" si="2"/>
        <v>0.5</v>
      </c>
      <c r="I20" s="168">
        <f t="shared" si="2"/>
        <v>0.5</v>
      </c>
      <c r="J20" s="169">
        <f t="shared" si="2"/>
        <v>0.5</v>
      </c>
      <c r="K20" s="168">
        <f t="shared" si="2"/>
        <v>0.5</v>
      </c>
      <c r="L20" s="169">
        <f t="shared" si="2"/>
        <v>0.5</v>
      </c>
      <c r="M20" s="168">
        <f t="shared" si="2"/>
        <v>0.5</v>
      </c>
      <c r="N20" s="169">
        <f t="shared" si="2"/>
        <v>0.5</v>
      </c>
      <c r="O20" s="168">
        <f t="shared" si="2"/>
        <v>0.5</v>
      </c>
      <c r="P20" s="169">
        <f t="shared" si="2"/>
        <v>0.5</v>
      </c>
      <c r="Q20" s="168">
        <f t="shared" si="2"/>
        <v>0.5</v>
      </c>
      <c r="R20" s="169">
        <f t="shared" si="2"/>
        <v>0.5</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392</v>
      </c>
      <c r="D21" s="11" t="s">
        <v>401</v>
      </c>
      <c r="E21" s="168">
        <f t="shared" ref="E21:AR21" si="3">MIN(E20,E19,6)</f>
        <v>2.3884263157894736</v>
      </c>
      <c r="F21" s="169">
        <f t="shared" si="3"/>
        <v>2.3884263157894736</v>
      </c>
      <c r="G21" s="168" t="e">
        <f t="shared" si="3"/>
        <v>#VALUE!</v>
      </c>
      <c r="H21" s="169" t="e">
        <f t="shared" si="3"/>
        <v>#VALUE!</v>
      </c>
      <c r="I21" s="168" t="e">
        <f t="shared" si="3"/>
        <v>#VALUE!</v>
      </c>
      <c r="J21" s="169" t="e">
        <f t="shared" si="3"/>
        <v>#VALUE!</v>
      </c>
      <c r="K21" s="168" t="e">
        <f t="shared" si="3"/>
        <v>#VALUE!</v>
      </c>
      <c r="L21" s="169" t="e">
        <f t="shared" si="3"/>
        <v>#VALUE!</v>
      </c>
      <c r="M21" s="168" t="e">
        <f t="shared" si="3"/>
        <v>#VALUE!</v>
      </c>
      <c r="N21" s="169" t="e">
        <f t="shared" si="3"/>
        <v>#VALUE!</v>
      </c>
      <c r="O21" s="168" t="e">
        <f t="shared" si="3"/>
        <v>#VALUE!</v>
      </c>
      <c r="P21" s="169" t="e">
        <f t="shared" si="3"/>
        <v>#VALUE!</v>
      </c>
      <c r="Q21" s="168" t="e">
        <f t="shared" si="3"/>
        <v>#VALUE!</v>
      </c>
      <c r="R21" s="169" t="e">
        <f t="shared" si="3"/>
        <v>#VALUE!</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224</v>
      </c>
      <c r="D22" s="11" t="s">
        <v>40</v>
      </c>
      <c r="E22" s="168">
        <f>Links!F57</f>
        <v>2.3060414969776364</v>
      </c>
      <c r="F22" s="169">
        <f>Links!G57</f>
        <v>2.585866496977637</v>
      </c>
      <c r="G22" s="168">
        <f>Links!H57</f>
        <v>0</v>
      </c>
      <c r="H22" s="169">
        <f>Links!I57</f>
        <v>0</v>
      </c>
      <c r="I22" s="168">
        <f>Links!J57</f>
        <v>0</v>
      </c>
      <c r="J22" s="169">
        <f>Links!K57</f>
        <v>0</v>
      </c>
      <c r="K22" s="168">
        <f>Links!L57</f>
        <v>0</v>
      </c>
      <c r="L22" s="169">
        <f>Links!M57</f>
        <v>0</v>
      </c>
      <c r="M22" s="168">
        <f>Links!N57</f>
        <v>0</v>
      </c>
      <c r="N22" s="169">
        <f>Links!O57</f>
        <v>0</v>
      </c>
      <c r="O22" s="168">
        <f>Links!P57</f>
        <v>0</v>
      </c>
      <c r="P22" s="169">
        <f>Links!Q57</f>
        <v>0</v>
      </c>
      <c r="Q22" s="168">
        <f>Links!R57</f>
        <v>0</v>
      </c>
      <c r="R22" s="169">
        <f>Links!S57</f>
        <v>0</v>
      </c>
      <c r="S22" s="168">
        <f>Links!T57</f>
        <v>0</v>
      </c>
      <c r="T22" s="169">
        <f>Links!U57</f>
        <v>0</v>
      </c>
      <c r="U22" s="168">
        <f>Links!V57</f>
        <v>0</v>
      </c>
      <c r="V22" s="169">
        <f>Links!W57</f>
        <v>0</v>
      </c>
      <c r="W22" s="168">
        <f>Links!X57</f>
        <v>0</v>
      </c>
      <c r="X22" s="169">
        <f>Links!Y57</f>
        <v>0</v>
      </c>
      <c r="Y22" s="168">
        <f>Links!Z57</f>
        <v>0</v>
      </c>
      <c r="Z22" s="169">
        <f>Links!AA57</f>
        <v>0</v>
      </c>
      <c r="AA22" s="168">
        <f>Links!AB57</f>
        <v>0</v>
      </c>
      <c r="AB22" s="169">
        <f>Links!AC57</f>
        <v>0</v>
      </c>
      <c r="AC22" s="168">
        <f>Links!AD57</f>
        <v>0</v>
      </c>
      <c r="AD22" s="169">
        <f>Links!AE57</f>
        <v>0</v>
      </c>
      <c r="AE22" s="168">
        <f>Links!AF57</f>
        <v>0</v>
      </c>
      <c r="AF22" s="169">
        <f>Links!AG57</f>
        <v>0</v>
      </c>
      <c r="AG22" s="168">
        <f>Links!AH57</f>
        <v>0</v>
      </c>
      <c r="AH22" s="169">
        <f>Links!AI57</f>
        <v>0</v>
      </c>
      <c r="AI22" s="168">
        <f>Links!AJ57</f>
        <v>0</v>
      </c>
      <c r="AJ22" s="169">
        <f>Links!AK57</f>
        <v>0</v>
      </c>
      <c r="AK22" s="168">
        <f>Links!AL57</f>
        <v>0</v>
      </c>
      <c r="AL22" s="169">
        <f>Links!AM57</f>
        <v>0</v>
      </c>
      <c r="AM22" s="168">
        <f>Links!AN57</f>
        <v>0</v>
      </c>
      <c r="AN22" s="169">
        <f>Links!AO57</f>
        <v>0</v>
      </c>
      <c r="AO22" s="168">
        <f>Links!AP57</f>
        <v>0</v>
      </c>
      <c r="AP22" s="169">
        <f>Links!AQ57</f>
        <v>0</v>
      </c>
      <c r="AQ22" s="168">
        <f>Links!AR57</f>
        <v>0</v>
      </c>
      <c r="AR22" s="169">
        <f>Links!AS57</f>
        <v>0</v>
      </c>
      <c r="AS22" s="51"/>
      <c r="AT22" s="56"/>
    </row>
    <row r="23" spans="2:46" ht="15.75" customHeight="1" x14ac:dyDescent="0.25">
      <c r="B23" s="55"/>
      <c r="C23" s="10" t="s">
        <v>222</v>
      </c>
      <c r="D23" s="11" t="s">
        <v>218</v>
      </c>
      <c r="E23" s="299">
        <f>Intersections!F114</f>
        <v>2.8117855183883798</v>
      </c>
      <c r="F23" s="303"/>
      <c r="G23" s="299" t="e">
        <f ca="1">Intersections!J114</f>
        <v>#NAME?</v>
      </c>
      <c r="H23" s="303"/>
      <c r="I23" s="299" t="str">
        <f>Intersections!N114</f>
        <v/>
      </c>
      <c r="J23" s="303"/>
      <c r="K23" s="299" t="str">
        <f>Intersections!R114</f>
        <v/>
      </c>
      <c r="L23" s="303"/>
      <c r="M23" s="299" t="str">
        <f>Intersections!V114</f>
        <v/>
      </c>
      <c r="N23" s="303"/>
      <c r="O23" s="299" t="str">
        <f>Intersections!Z114</f>
        <v/>
      </c>
      <c r="P23" s="303"/>
      <c r="Q23" s="299" t="str">
        <f>Intersections!AD114</f>
        <v/>
      </c>
      <c r="R23" s="303"/>
      <c r="S23" s="299" t="str">
        <f>Intersections!AH114</f>
        <v/>
      </c>
      <c r="T23" s="303"/>
      <c r="U23" s="299" t="str">
        <f>Intersections!AL114</f>
        <v/>
      </c>
      <c r="V23" s="303"/>
      <c r="W23" s="299" t="str">
        <f>Intersections!AP114</f>
        <v/>
      </c>
      <c r="X23" s="303"/>
      <c r="Y23" s="299" t="str">
        <f>Intersections!AT114</f>
        <v/>
      </c>
      <c r="Z23" s="303"/>
      <c r="AA23" s="299" t="str">
        <f>Intersections!AX114</f>
        <v/>
      </c>
      <c r="AB23" s="303"/>
      <c r="AC23" s="299" t="str">
        <f>Intersections!BB114</f>
        <v/>
      </c>
      <c r="AD23" s="303"/>
      <c r="AE23" s="299" t="str">
        <f>Intersections!BF114</f>
        <v/>
      </c>
      <c r="AF23" s="303"/>
      <c r="AG23" s="299" t="str">
        <f>Intersections!BJ114</f>
        <v/>
      </c>
      <c r="AH23" s="303"/>
      <c r="AI23" s="299" t="str">
        <f>Intersections!BN114</f>
        <v/>
      </c>
      <c r="AJ23" s="303"/>
      <c r="AK23" s="299" t="str">
        <f>Intersections!BR114</f>
        <v/>
      </c>
      <c r="AL23" s="303"/>
      <c r="AM23" s="299" t="str">
        <f>Intersections!BV114</f>
        <v/>
      </c>
      <c r="AN23" s="303"/>
      <c r="AO23" s="299" t="str">
        <f>Intersections!BZ114</f>
        <v/>
      </c>
      <c r="AP23" s="303"/>
      <c r="AQ23" s="299" t="str">
        <f>Intersections!CD114</f>
        <v/>
      </c>
      <c r="AR23" s="303"/>
      <c r="AS23" s="51"/>
      <c r="AT23" s="56"/>
    </row>
    <row r="24" spans="2:46" ht="14.25" x14ac:dyDescent="0.25">
      <c r="B24" s="55"/>
      <c r="C24" s="10" t="s">
        <v>451</v>
      </c>
      <c r="D24" s="11" t="s">
        <v>452</v>
      </c>
      <c r="E24" s="168">
        <f>IF(E8=0,"",(((E8/E12)*(E22*(1-E11)+E21*E11)^3+E17*E41^3)/((E8/E12)+E17))^(1/3))</f>
        <v>2.4074980862055724</v>
      </c>
      <c r="F24" s="169">
        <f>IF(E8=0,"",(((E8/F12)*(F22*(1-F11)+F21*F11)^3+F17*E41^3)/((E8/F12)+F17))^(1/3))</f>
        <v>2.5587302032734773</v>
      </c>
      <c r="G24" s="168" t="str">
        <f>IF(G8=0,"",(((G8/G12)*(G22*(1-G11)+G21*G11)^3+G17*G41^3)/((G8/G12)+G17))^(1/3))</f>
        <v/>
      </c>
      <c r="H24" s="169" t="str">
        <f>IF(G8=0,"",(((G8/H12)*(H22*(1-H11)+H21*H11)^3+H17*G41^3)/((G8/H12)+H17))^(1/3))</f>
        <v/>
      </c>
      <c r="I24" s="168" t="str">
        <f>IF(I8=0,"",(((I8/I12)*(I22*(1-I11)+I21*I11)^3+I17*I41^3)/((I8/I12)+I17))^(1/3))</f>
        <v/>
      </c>
      <c r="J24" s="169" t="str">
        <f>IF(I8=0,"",(((I8/J12)*(J22*(1-J11)+J21*J11)^3+J17*I41^3)/((I8/J12)+J17))^(1/3))</f>
        <v/>
      </c>
      <c r="K24" s="168" t="str">
        <f>IF(K8=0,"",(((K8/K12)*(K22*(1-K11)+K21*K11)^3+K17*K41^3)/((K8/K12)+K17))^(1/3))</f>
        <v/>
      </c>
      <c r="L24" s="169" t="str">
        <f>IF(K8=0,"",(((K8/L12)*(L22*(1-L11)+L21*L11)^3+L17*K41^3)/((K8/L12)+L17))^(1/3))</f>
        <v/>
      </c>
      <c r="M24" s="168" t="str">
        <f>IF(M8=0,"",(((M8/M12)*(M22*(1-M11)+M21*M11)^3+M17*M41^3)/((M8/M12)+M17))^(1/3))</f>
        <v/>
      </c>
      <c r="N24" s="169" t="str">
        <f>IF(M8=0,"",(((M8/N12)*(N22*(1-N11)+N21*N11)^3+N17*M41^3)/((M8/N12)+N17))^(1/3))</f>
        <v/>
      </c>
      <c r="O24" s="168" t="str">
        <f>IF(O8=0,"",(((O8/O12)*(O22*(1-O11)+O21*O11)^3+O17*O41^3)/((O8/O12)+O17))^(1/3))</f>
        <v/>
      </c>
      <c r="P24" s="169" t="str">
        <f>IF(O8=0,"",(((O8/P12)*(P22*(1-P11)+P21*P11)^3+P17*O41^3)/((O8/P12)+P17))^(1/3))</f>
        <v/>
      </c>
      <c r="Q24" s="168" t="str">
        <f>IF(Q8=0,"",(((Q8/Q12)*(Q22*(1-Q11)+Q21*Q11)^3+Q17*Q41^3)/((Q8/Q12)+Q17))^(1/3))</f>
        <v/>
      </c>
      <c r="R24" s="169" t="str">
        <f>IF(Q8=0,"",(((Q8/R12)*(R22*(1-R11)+R21*R11)^3+R17*Q41^3)/((Q8/R12)+R17))^(1/3))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B</v>
      </c>
      <c r="F25" s="170" t="str">
        <f t="shared" si="4"/>
        <v>B</v>
      </c>
      <c r="G25" s="10" t="str">
        <f t="shared" si="4"/>
        <v/>
      </c>
      <c r="H25" s="170" t="str">
        <f t="shared" si="4"/>
        <v/>
      </c>
      <c r="I25" s="10" t="str">
        <f t="shared" si="4"/>
        <v/>
      </c>
      <c r="J25" s="170" t="str">
        <f t="shared" si="4"/>
        <v/>
      </c>
      <c r="K25" s="10" t="str">
        <f t="shared" si="4"/>
        <v/>
      </c>
      <c r="L25" s="170" t="str">
        <f t="shared" si="4"/>
        <v/>
      </c>
      <c r="M25" s="10" t="str">
        <f t="shared" si="4"/>
        <v/>
      </c>
      <c r="N25" s="170" t="str">
        <f t="shared" si="4"/>
        <v/>
      </c>
      <c r="O25" s="10" t="str">
        <f t="shared" si="4"/>
        <v/>
      </c>
      <c r="P25" s="170" t="str">
        <f t="shared" si="4"/>
        <v/>
      </c>
      <c r="Q25" s="10" t="str">
        <f t="shared" si="4"/>
        <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205</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354</v>
      </c>
      <c r="D27" s="11" t="s">
        <v>355</v>
      </c>
      <c r="E27" s="168">
        <f>Links!F61</f>
        <v>-0.70000000000000007</v>
      </c>
      <c r="F27" s="171">
        <f>Links!G61</f>
        <v>-0.70000000000000007</v>
      </c>
      <c r="G27" s="168" t="e">
        <f>Links!H61</f>
        <v>#DIV/0!</v>
      </c>
      <c r="H27" s="171" t="e">
        <f>Links!I61</f>
        <v>#DIV/0!</v>
      </c>
      <c r="I27" s="168" t="e">
        <f>Links!J61</f>
        <v>#DIV/0!</v>
      </c>
      <c r="J27" s="171" t="e">
        <f>Links!K61</f>
        <v>#DIV/0!</v>
      </c>
      <c r="K27" s="168" t="e">
        <f>Links!L61</f>
        <v>#DIV/0!</v>
      </c>
      <c r="L27" s="171" t="e">
        <f>Links!M61</f>
        <v>#DIV/0!</v>
      </c>
      <c r="M27" s="168" t="e">
        <f>Links!N61</f>
        <v>#DIV/0!</v>
      </c>
      <c r="N27" s="171" t="e">
        <f>Links!O61</f>
        <v>#DIV/0!</v>
      </c>
      <c r="O27" s="168" t="e">
        <f>Links!P61</f>
        <v>#DIV/0!</v>
      </c>
      <c r="P27" s="171" t="e">
        <f>Links!Q61</f>
        <v>#DIV/0!</v>
      </c>
      <c r="Q27" s="168" t="e">
        <f>Links!R61</f>
        <v>#DIV/0!</v>
      </c>
      <c r="R27" s="171" t="e">
        <f>Links!S61</f>
        <v>#DIV/0!</v>
      </c>
      <c r="S27" s="168" t="e">
        <f>Links!T61</f>
        <v>#DIV/0!</v>
      </c>
      <c r="T27" s="171" t="e">
        <f>Links!U61</f>
        <v>#DIV/0!</v>
      </c>
      <c r="U27" s="168" t="e">
        <f>Links!V61</f>
        <v>#DIV/0!</v>
      </c>
      <c r="V27" s="171" t="e">
        <f>Links!W61</f>
        <v>#DIV/0!</v>
      </c>
      <c r="W27" s="168" t="e">
        <f>Links!X61</f>
        <v>#DIV/0!</v>
      </c>
      <c r="X27" s="171" t="e">
        <f>Links!Y61</f>
        <v>#DIV/0!</v>
      </c>
      <c r="Y27" s="168" t="e">
        <f>Links!Z61</f>
        <v>#DIV/0!</v>
      </c>
      <c r="Z27" s="171" t="e">
        <f>Links!AA61</f>
        <v>#DIV/0!</v>
      </c>
      <c r="AA27" s="168" t="e">
        <f>Links!AB61</f>
        <v>#DIV/0!</v>
      </c>
      <c r="AB27" s="171" t="e">
        <f>Links!AC61</f>
        <v>#DIV/0!</v>
      </c>
      <c r="AC27" s="168" t="e">
        <f>Links!AD61</f>
        <v>#DIV/0!</v>
      </c>
      <c r="AD27" s="171" t="e">
        <f>Links!AE61</f>
        <v>#DIV/0!</v>
      </c>
      <c r="AE27" s="168" t="e">
        <f>Links!AF61</f>
        <v>#DIV/0!</v>
      </c>
      <c r="AF27" s="171" t="e">
        <f>Links!AG61</f>
        <v>#DIV/0!</v>
      </c>
      <c r="AG27" s="168" t="e">
        <f>Links!AH61</f>
        <v>#DIV/0!</v>
      </c>
      <c r="AH27" s="171" t="e">
        <f>Links!AI61</f>
        <v>#DIV/0!</v>
      </c>
      <c r="AI27" s="168" t="e">
        <f>Links!AJ61</f>
        <v>#DIV/0!</v>
      </c>
      <c r="AJ27" s="171" t="e">
        <f>Links!AK61</f>
        <v>#DIV/0!</v>
      </c>
      <c r="AK27" s="168" t="e">
        <f>Links!AL61</f>
        <v>#DIV/0!</v>
      </c>
      <c r="AL27" s="171" t="e">
        <f>Links!AM61</f>
        <v>#DIV/0!</v>
      </c>
      <c r="AM27" s="168" t="e">
        <f>Links!AN61</f>
        <v>#DIV/0!</v>
      </c>
      <c r="AN27" s="171" t="e">
        <f>Links!AO61</f>
        <v>#DIV/0!</v>
      </c>
      <c r="AO27" s="168" t="e">
        <f>Links!AP61</f>
        <v>#DIV/0!</v>
      </c>
      <c r="AP27" s="171" t="e">
        <f>Links!AQ61</f>
        <v>#DIV/0!</v>
      </c>
      <c r="AQ27" s="168" t="e">
        <f>Links!AR61</f>
        <v>#DIV/0!</v>
      </c>
      <c r="AR27" s="171" t="e">
        <f>Links!AS61</f>
        <v>#DIV/0!</v>
      </c>
      <c r="AS27" s="51"/>
      <c r="AT27" s="56"/>
    </row>
    <row r="28" spans="2:46" ht="14.25" x14ac:dyDescent="0.25">
      <c r="B28" s="55"/>
      <c r="C28" s="10" t="s">
        <v>356</v>
      </c>
      <c r="D28" s="11" t="s">
        <v>357</v>
      </c>
      <c r="E28" s="168">
        <f>Links!F62</f>
        <v>15</v>
      </c>
      <c r="F28" s="171">
        <f>Links!G62</f>
        <v>15</v>
      </c>
      <c r="G28" s="168" t="e">
        <f>Links!H62</f>
        <v>#DIV/0!</v>
      </c>
      <c r="H28" s="171" t="e">
        <f>Links!I62</f>
        <v>#DIV/0!</v>
      </c>
      <c r="I28" s="168" t="e">
        <f>Links!J62</f>
        <v>#DIV/0!</v>
      </c>
      <c r="J28" s="171" t="e">
        <f>Links!K62</f>
        <v>#DIV/0!</v>
      </c>
      <c r="K28" s="168" t="e">
        <f>Links!L62</f>
        <v>#DIV/0!</v>
      </c>
      <c r="L28" s="171" t="e">
        <f>Links!M62</f>
        <v>#DIV/0!</v>
      </c>
      <c r="M28" s="168" t="e">
        <f>Links!N62</f>
        <v>#DIV/0!</v>
      </c>
      <c r="N28" s="171" t="e">
        <f>Links!O62</f>
        <v>#DIV/0!</v>
      </c>
      <c r="O28" s="168" t="e">
        <f>Links!P62</f>
        <v>#DIV/0!</v>
      </c>
      <c r="P28" s="171" t="e">
        <f>Links!Q62</f>
        <v>#DIV/0!</v>
      </c>
      <c r="Q28" s="168" t="e">
        <f>Links!R62</f>
        <v>#DIV/0!</v>
      </c>
      <c r="R28" s="171" t="e">
        <f>Links!S62</f>
        <v>#DIV/0!</v>
      </c>
      <c r="S28" s="168" t="e">
        <f>Links!T62</f>
        <v>#DIV/0!</v>
      </c>
      <c r="T28" s="171" t="e">
        <f>Links!U62</f>
        <v>#DIV/0!</v>
      </c>
      <c r="U28" s="168" t="e">
        <f>Links!V62</f>
        <v>#DIV/0!</v>
      </c>
      <c r="V28" s="171" t="e">
        <f>Links!W62</f>
        <v>#DIV/0!</v>
      </c>
      <c r="W28" s="168" t="e">
        <f>Links!X62</f>
        <v>#DIV/0!</v>
      </c>
      <c r="X28" s="171" t="e">
        <f>Links!Y62</f>
        <v>#DIV/0!</v>
      </c>
      <c r="Y28" s="168" t="e">
        <f>Links!Z62</f>
        <v>#DIV/0!</v>
      </c>
      <c r="Z28" s="171" t="e">
        <f>Links!AA62</f>
        <v>#DIV/0!</v>
      </c>
      <c r="AA28" s="168" t="e">
        <f>Links!AB62</f>
        <v>#DIV/0!</v>
      </c>
      <c r="AB28" s="171" t="e">
        <f>Links!AC62</f>
        <v>#DIV/0!</v>
      </c>
      <c r="AC28" s="168" t="e">
        <f>Links!AD62</f>
        <v>#DIV/0!</v>
      </c>
      <c r="AD28" s="171" t="e">
        <f>Links!AE62</f>
        <v>#DIV/0!</v>
      </c>
      <c r="AE28" s="168" t="e">
        <f>Links!AF62</f>
        <v>#DIV/0!</v>
      </c>
      <c r="AF28" s="171" t="e">
        <f>Links!AG62</f>
        <v>#DIV/0!</v>
      </c>
      <c r="AG28" s="168" t="e">
        <f>Links!AH62</f>
        <v>#DIV/0!</v>
      </c>
      <c r="AH28" s="171" t="e">
        <f>Links!AI62</f>
        <v>#DIV/0!</v>
      </c>
      <c r="AI28" s="168" t="e">
        <f>Links!AJ62</f>
        <v>#DIV/0!</v>
      </c>
      <c r="AJ28" s="171" t="e">
        <f>Links!AK62</f>
        <v>#DIV/0!</v>
      </c>
      <c r="AK28" s="168" t="e">
        <f>Links!AL62</f>
        <v>#DIV/0!</v>
      </c>
      <c r="AL28" s="171" t="e">
        <f>Links!AM62</f>
        <v>#DIV/0!</v>
      </c>
      <c r="AM28" s="168" t="e">
        <f>Links!AN62</f>
        <v>#DIV/0!</v>
      </c>
      <c r="AN28" s="171" t="e">
        <f>Links!AO62</f>
        <v>#DIV/0!</v>
      </c>
      <c r="AO28" s="168" t="e">
        <f>Links!AP62</f>
        <v>#DIV/0!</v>
      </c>
      <c r="AP28" s="171" t="e">
        <f>Links!AQ62</f>
        <v>#DIV/0!</v>
      </c>
      <c r="AQ28" s="168" t="e">
        <f>Links!AR62</f>
        <v>#DIV/0!</v>
      </c>
      <c r="AR28" s="171" t="e">
        <f>Links!AS62</f>
        <v>#DIV/0!</v>
      </c>
      <c r="AS28" s="51"/>
      <c r="AT28" s="56"/>
    </row>
    <row r="29" spans="2:46" ht="14.25" x14ac:dyDescent="0.25">
      <c r="B29" s="55"/>
      <c r="C29" s="10" t="s">
        <v>417</v>
      </c>
      <c r="D29" s="11" t="s">
        <v>404</v>
      </c>
      <c r="E29" s="168">
        <f>MAX(Intersections!F100,Intersections!H100)</f>
        <v>35.778936621596387</v>
      </c>
      <c r="F29" s="171">
        <f>MAX(Intersections!G100,Intersections!I100)</f>
        <v>35.715623919719825</v>
      </c>
      <c r="G29" s="168" t="e">
        <f>MAX(Intersections!H100,Intersections!J100)</f>
        <v>#DIV/0!</v>
      </c>
      <c r="H29" s="171" t="e">
        <f>MAX(Intersections!I100,Intersections!K100)</f>
        <v>#DIV/0!</v>
      </c>
      <c r="I29" s="168" t="e">
        <f>MAX(Intersections!J100,Intersections!L100)</f>
        <v>#DIV/0!</v>
      </c>
      <c r="J29" s="171" t="e">
        <f>MAX(Intersections!K100,Intersections!M100)</f>
        <v>#DIV/0!</v>
      </c>
      <c r="K29" s="168" t="e">
        <f>MAX(Intersections!L100,Intersections!N100)</f>
        <v>#DIV/0!</v>
      </c>
      <c r="L29" s="171" t="e">
        <f>MAX(Intersections!M100,Intersections!O100)</f>
        <v>#DIV/0!</v>
      </c>
      <c r="M29" s="168" t="e">
        <f>MAX(Intersections!N100,Intersections!P100)</f>
        <v>#DIV/0!</v>
      </c>
      <c r="N29" s="171" t="e">
        <f>MAX(Intersections!O100,Intersections!Q100)</f>
        <v>#DIV/0!</v>
      </c>
      <c r="O29" s="168" t="e">
        <f>MAX(Intersections!P100,Intersections!R100)</f>
        <v>#DIV/0!</v>
      </c>
      <c r="P29" s="171" t="e">
        <f>MAX(Intersections!Q100,Intersections!S100)</f>
        <v>#DIV/0!</v>
      </c>
      <c r="Q29" s="168" t="e">
        <f>MAX(Intersections!R100,Intersections!T100)</f>
        <v>#DIV/0!</v>
      </c>
      <c r="R29" s="171" t="e">
        <f>MAX(Intersections!S100,Intersections!U100)</f>
        <v>#DIV/0!</v>
      </c>
      <c r="S29" s="168" t="e">
        <f>MAX(Intersections!T100,Intersections!V100)</f>
        <v>#DIV/0!</v>
      </c>
      <c r="T29" s="171" t="e">
        <f>MAX(Intersections!U100,Intersections!W100)</f>
        <v>#DIV/0!</v>
      </c>
      <c r="U29" s="168" t="e">
        <f>MAX(Intersections!V100,Intersections!X100)</f>
        <v>#DIV/0!</v>
      </c>
      <c r="V29" s="171" t="e">
        <f>MAX(Intersections!W100,Intersections!Y100)</f>
        <v>#DIV/0!</v>
      </c>
      <c r="W29" s="168" t="e">
        <f>MAX(Intersections!X100,Intersections!Z100)</f>
        <v>#DIV/0!</v>
      </c>
      <c r="X29" s="171" t="e">
        <f>MAX(Intersections!Y100,Intersections!AA100)</f>
        <v>#DIV/0!</v>
      </c>
      <c r="Y29" s="168" t="e">
        <f>MAX(Intersections!Z100,Intersections!AB100)</f>
        <v>#DIV/0!</v>
      </c>
      <c r="Z29" s="171" t="e">
        <f>MAX(Intersections!AA100,Intersections!AC100)</f>
        <v>#DIV/0!</v>
      </c>
      <c r="AA29" s="168" t="e">
        <f>MAX(Intersections!AB100,Intersections!AD100)</f>
        <v>#DIV/0!</v>
      </c>
      <c r="AB29" s="171" t="e">
        <f>MAX(Intersections!AC100,Intersections!AE100)</f>
        <v>#DIV/0!</v>
      </c>
      <c r="AC29" s="168" t="e">
        <f>MAX(Intersections!AD100,Intersections!AF100)</f>
        <v>#DIV/0!</v>
      </c>
      <c r="AD29" s="171" t="e">
        <f>MAX(Intersections!AE100,Intersections!AG100)</f>
        <v>#DIV/0!</v>
      </c>
      <c r="AE29" s="168" t="e">
        <f>MAX(Intersections!AF100,Intersections!AH100)</f>
        <v>#DIV/0!</v>
      </c>
      <c r="AF29" s="171" t="e">
        <f>MAX(Intersections!AG100,Intersections!AI100)</f>
        <v>#DIV/0!</v>
      </c>
      <c r="AG29" s="168" t="e">
        <f>MAX(Intersections!AH100,Intersections!AJ100)</f>
        <v>#DIV/0!</v>
      </c>
      <c r="AH29" s="171" t="e">
        <f>MAX(Intersections!AI100,Intersections!AK100)</f>
        <v>#DIV/0!</v>
      </c>
      <c r="AI29" s="168" t="e">
        <f>MAX(Intersections!AJ100,Intersections!AL100)</f>
        <v>#DIV/0!</v>
      </c>
      <c r="AJ29" s="171" t="e">
        <f>MAX(Intersections!AK100,Intersections!AM100)</f>
        <v>#DIV/0!</v>
      </c>
      <c r="AK29" s="168" t="e">
        <f>MAX(Intersections!AL100,Intersections!AN100)</f>
        <v>#DIV/0!</v>
      </c>
      <c r="AL29" s="171" t="e">
        <f>MAX(Intersections!AM100,Intersections!AO100)</f>
        <v>#DIV/0!</v>
      </c>
      <c r="AM29" s="168" t="e">
        <f>MAX(Intersections!AN100,Intersections!AP100)</f>
        <v>#DIV/0!</v>
      </c>
      <c r="AN29" s="171" t="e">
        <f>MAX(Intersections!AO100,Intersections!AQ100)</f>
        <v>#DIV/0!</v>
      </c>
      <c r="AO29" s="168" t="e">
        <f>MAX(Intersections!AP100,Intersections!AR100)</f>
        <v>#DIV/0!</v>
      </c>
      <c r="AP29" s="171" t="e">
        <f>MAX(Intersections!AQ100,Intersections!AS100)</f>
        <v>#DIV/0!</v>
      </c>
      <c r="AQ29" s="168" t="e">
        <f>MAX(Intersections!AR100,Intersections!AT100)</f>
        <v>#DIV/0!</v>
      </c>
      <c r="AR29" s="171" t="e">
        <f>MAX(Intersections!AS100,Intersections!AU100)</f>
        <v>#DIV/0!</v>
      </c>
      <c r="AS29" s="51"/>
      <c r="AT29" s="56"/>
    </row>
    <row r="30" spans="2:46" ht="14.25" x14ac:dyDescent="0.25">
      <c r="B30" s="55"/>
      <c r="C30" s="10" t="s">
        <v>225</v>
      </c>
      <c r="D30" s="11" t="s">
        <v>92</v>
      </c>
      <c r="E30" s="168">
        <f>Links!F74</f>
        <v>4.4516409904534795</v>
      </c>
      <c r="F30" s="169">
        <f>Links!G74</f>
        <v>4.5308900955325564</v>
      </c>
      <c r="G30" s="168">
        <f>Links!H74</f>
        <v>0</v>
      </c>
      <c r="H30" s="169">
        <f>Links!I74</f>
        <v>0</v>
      </c>
      <c r="I30" s="168">
        <f>Links!J74</f>
        <v>0</v>
      </c>
      <c r="J30" s="169">
        <f>Links!K74</f>
        <v>0</v>
      </c>
      <c r="K30" s="168">
        <f>Links!L74</f>
        <v>0</v>
      </c>
      <c r="L30" s="169">
        <f>Links!M74</f>
        <v>0</v>
      </c>
      <c r="M30" s="168">
        <f>Links!N74</f>
        <v>0</v>
      </c>
      <c r="N30" s="169">
        <f>Links!O74</f>
        <v>0</v>
      </c>
      <c r="O30" s="168">
        <f>Links!P74</f>
        <v>0</v>
      </c>
      <c r="P30" s="169">
        <f>Links!Q74</f>
        <v>0</v>
      </c>
      <c r="Q30" s="168">
        <f>Links!R74</f>
        <v>0</v>
      </c>
      <c r="R30" s="169">
        <f>Links!S74</f>
        <v>0</v>
      </c>
      <c r="S30" s="168">
        <f>Links!T74</f>
        <v>0</v>
      </c>
      <c r="T30" s="169">
        <f>Links!U74</f>
        <v>0</v>
      </c>
      <c r="U30" s="168">
        <f>Links!V74</f>
        <v>0</v>
      </c>
      <c r="V30" s="169">
        <f>Links!W74</f>
        <v>0</v>
      </c>
      <c r="W30" s="168">
        <f>Links!X74</f>
        <v>0</v>
      </c>
      <c r="X30" s="169">
        <f>Links!Y74</f>
        <v>0</v>
      </c>
      <c r="Y30" s="168">
        <f>Links!Z74</f>
        <v>0</v>
      </c>
      <c r="Z30" s="169">
        <f>Links!AA74</f>
        <v>0</v>
      </c>
      <c r="AA30" s="168">
        <f>Links!AB74</f>
        <v>0</v>
      </c>
      <c r="AB30" s="169">
        <f>Links!AC74</f>
        <v>0</v>
      </c>
      <c r="AC30" s="168">
        <f>Links!AD74</f>
        <v>0</v>
      </c>
      <c r="AD30" s="169">
        <f>Links!AE74</f>
        <v>0</v>
      </c>
      <c r="AE30" s="168">
        <f>Links!AF74</f>
        <v>0</v>
      </c>
      <c r="AF30" s="169">
        <f>Links!AG74</f>
        <v>0</v>
      </c>
      <c r="AG30" s="168">
        <f>Links!AH74</f>
        <v>0</v>
      </c>
      <c r="AH30" s="169">
        <f>Links!AI74</f>
        <v>0</v>
      </c>
      <c r="AI30" s="168">
        <f>Links!AJ74</f>
        <v>0</v>
      </c>
      <c r="AJ30" s="169">
        <f>Links!AK74</f>
        <v>0</v>
      </c>
      <c r="AK30" s="168">
        <f>Links!AL74</f>
        <v>0</v>
      </c>
      <c r="AL30" s="169">
        <f>Links!AM74</f>
        <v>0</v>
      </c>
      <c r="AM30" s="168">
        <f>Links!AN74</f>
        <v>0</v>
      </c>
      <c r="AN30" s="169">
        <f>Links!AO74</f>
        <v>0</v>
      </c>
      <c r="AO30" s="168">
        <f>Links!AP74</f>
        <v>0</v>
      </c>
      <c r="AP30" s="169">
        <f>Links!AQ74</f>
        <v>0</v>
      </c>
      <c r="AQ30" s="168">
        <f>Links!AR74</f>
        <v>0</v>
      </c>
      <c r="AR30" s="169">
        <f>Links!AS74</f>
        <v>0</v>
      </c>
      <c r="AS30" s="51"/>
      <c r="AT30" s="56"/>
    </row>
    <row r="31" spans="2:46" ht="15.75" customHeight="1" x14ac:dyDescent="0.25">
      <c r="B31" s="55"/>
      <c r="C31" s="10" t="s">
        <v>223</v>
      </c>
      <c r="D31" s="11" t="s">
        <v>219</v>
      </c>
      <c r="E31" s="299">
        <f>Intersections!F117</f>
        <v>3.3921499999999996</v>
      </c>
      <c r="F31" s="303"/>
      <c r="G31" s="299">
        <f>Intersections!J117</f>
        <v>2.799199999999999</v>
      </c>
      <c r="H31" s="303"/>
      <c r="I31" s="299" t="str">
        <f>Intersections!N117</f>
        <v/>
      </c>
      <c r="J31" s="303"/>
      <c r="K31" s="299" t="str">
        <f>Intersections!V117</f>
        <v/>
      </c>
      <c r="L31" s="303"/>
      <c r="M31" s="299" t="str">
        <f>Intersections!Z117</f>
        <v/>
      </c>
      <c r="N31" s="303"/>
      <c r="O31" s="299" t="str">
        <f>Intersections!AD117</f>
        <v/>
      </c>
      <c r="P31" s="303"/>
      <c r="Q31" s="299" t="str">
        <f>Intersections!AH117</f>
        <v/>
      </c>
      <c r="R31" s="303"/>
      <c r="S31" s="299" t="str">
        <f>Intersections!AL117</f>
        <v/>
      </c>
      <c r="T31" s="303"/>
      <c r="U31" s="299" t="str">
        <f>Intersections!AP117</f>
        <v/>
      </c>
      <c r="V31" s="303"/>
      <c r="W31" s="299" t="str">
        <f>Intersections!AT117</f>
        <v/>
      </c>
      <c r="X31" s="303"/>
      <c r="Y31" s="299" t="str">
        <f>Intersections!AX117</f>
        <v/>
      </c>
      <c r="Z31" s="303"/>
      <c r="AA31" s="299" t="str">
        <f>Intersections!BB117</f>
        <v/>
      </c>
      <c r="AB31" s="303"/>
      <c r="AC31" s="299" t="str">
        <f>Intersections!BF117</f>
        <v/>
      </c>
      <c r="AD31" s="303"/>
      <c r="AE31" s="299" t="str">
        <f>Intersections!BJ117</f>
        <v/>
      </c>
      <c r="AF31" s="303"/>
      <c r="AG31" s="299" t="str">
        <f>Intersections!BN117</f>
        <v/>
      </c>
      <c r="AH31" s="303"/>
      <c r="AI31" s="299" t="str">
        <f>Intersections!BR117</f>
        <v/>
      </c>
      <c r="AJ31" s="303"/>
      <c r="AK31" s="299" t="str">
        <f>Intersections!BV117</f>
        <v/>
      </c>
      <c r="AL31" s="303"/>
      <c r="AM31" s="299" t="str">
        <f>Intersections!BZ117</f>
        <v/>
      </c>
      <c r="AN31" s="303"/>
      <c r="AO31" s="299" t="str">
        <f>Intersections!CD117</f>
        <v/>
      </c>
      <c r="AP31" s="303"/>
      <c r="AQ31" s="299" t="str">
        <f>Intersections!CH117</f>
        <v/>
      </c>
      <c r="AR31" s="303"/>
      <c r="AS31" s="51"/>
      <c r="AT31" s="56"/>
    </row>
    <row r="32" spans="2:46" ht="14.25" x14ac:dyDescent="0.25">
      <c r="B32" s="55"/>
      <c r="C32" s="10" t="s">
        <v>455</v>
      </c>
      <c r="D32" s="11" t="s">
        <v>456</v>
      </c>
      <c r="E32" s="168">
        <f>IF(OR(E30=0,E31=0),"",0.75*((E28*(E27+E30+1)^3+E29*(E31+1)^3)/(E28+E29))^(1/3))</f>
        <v>3.3782847462722216</v>
      </c>
      <c r="F32" s="169">
        <f>IF(OR(F30=0,E31=0),"",0.75*((F28*(F27+F30+1)^3+F29*(E31+1)^3)/(F28+F29))^(1/3))</f>
        <v>3.3981605545166098</v>
      </c>
      <c r="G32" s="168" t="str">
        <f>IF(OR(G30=0,G31=0),"",0.75*((G28*(G27+G30+1)^3+G29*(G31+1)^3)/(G28+G29))^(1/3))</f>
        <v/>
      </c>
      <c r="H32" s="169" t="str">
        <f>IF(OR(H30=0,G31=0),"",0.75*((H28*(H27+H30+1)^3+H29*(G31+1)^3)/(H28+H29))^(1/3))</f>
        <v/>
      </c>
      <c r="I32" s="168" t="str">
        <f>IF(OR(I30=0,I31=0),"",0.75*((I28*(I27+I30+1)^3+I29*(I31+1)^3)/(I28+I29))^(1/3))</f>
        <v/>
      </c>
      <c r="J32" s="169" t="str">
        <f>IF(OR(J30=0,I31=0),"",0.75*((J28*(J27+J30+1)^3+J29*(I31+1)^3)/(J28+J29))^(1/3))</f>
        <v/>
      </c>
      <c r="K32" s="168" t="str">
        <f>IF(OR(K30=0,K31=0),"",0.75*((K28*(K27+K30+1)^3+K29*(K31+1)^3)/(K28+K29))^(1/3))</f>
        <v/>
      </c>
      <c r="L32" s="169" t="str">
        <f>IF(OR(L30=0,K31=0),"",0.75*((L28*(L27+L30+1)^3+L29*(K31+1)^3)/(L28+L29))^(1/3))</f>
        <v/>
      </c>
      <c r="M32" s="168" t="str">
        <f>IF(OR(M30=0,M31=0),"",0.75*((M28*(M27+M30+1)^3+M29*(M31+1)^3)/(M28+M29))^(1/3))</f>
        <v/>
      </c>
      <c r="N32" s="169" t="str">
        <f>IF(OR(N30=0,M31=0),"",0.75*((N28*(N27+N30+1)^3+N29*(M31+1)^3)/(N28+N29))^(1/3))</f>
        <v/>
      </c>
      <c r="O32" s="168" t="str">
        <f>IF(OR(O30=0,O31=0),"",0.75*((O28*(O27+O30+1)^3+O29*(O31+1)^3)/(O28+O29))^(1/3))</f>
        <v/>
      </c>
      <c r="P32" s="169" t="str">
        <f>IF(OR(P30=0,O31=0),"",0.75*((P28*(P27+P30+1)^3+P29*(O31+1)^3)/(P28+P29))^(1/3))</f>
        <v/>
      </c>
      <c r="Q32" s="168" t="str">
        <f>IF(OR(Q30=0,Q31=0),"",0.75*((Q28*(Q27+Q30+1)^3+Q29*(Q31+1)^3)/(Q28+Q29))^(1/3))</f>
        <v/>
      </c>
      <c r="R32" s="169" t="str">
        <f>IF(OR(R30=0,Q31=0),"",0.75*((R28*(R27+R30+1)^3+R29*(Q31+1)^3)/(R28+R29))^(1/3))</f>
        <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str">
        <f t="shared" si="5"/>
        <v/>
      </c>
      <c r="H33" s="170" t="str">
        <f t="shared" si="5"/>
        <v/>
      </c>
      <c r="I33" s="10" t="str">
        <f t="shared" si="5"/>
        <v/>
      </c>
      <c r="J33" s="170" t="str">
        <f t="shared" si="5"/>
        <v/>
      </c>
      <c r="K33" s="10" t="str">
        <f t="shared" si="5"/>
        <v/>
      </c>
      <c r="L33" s="170" t="str">
        <f t="shared" si="5"/>
        <v/>
      </c>
      <c r="M33" s="10" t="str">
        <f t="shared" si="5"/>
        <v/>
      </c>
      <c r="N33" s="170" t="str">
        <f t="shared" si="5"/>
        <v/>
      </c>
      <c r="O33" s="10" t="str">
        <f t="shared" si="5"/>
        <v/>
      </c>
      <c r="P33" s="170" t="str">
        <f t="shared" si="5"/>
        <v/>
      </c>
      <c r="Q33" s="10" t="str">
        <f t="shared" si="5"/>
        <v/>
      </c>
      <c r="R33" s="170" t="str">
        <f t="shared" si="5"/>
        <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206</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226</v>
      </c>
      <c r="D35" s="11" t="s">
        <v>89</v>
      </c>
      <c r="E35" s="168">
        <f>Links!F86</f>
        <v>2.3018643597591808</v>
      </c>
      <c r="F35" s="169">
        <f>Links!G86</f>
        <v>2.3438381097591807</v>
      </c>
      <c r="G35" s="168">
        <f>Links!H86</f>
        <v>0</v>
      </c>
      <c r="H35" s="169">
        <f>Links!I86</f>
        <v>0</v>
      </c>
      <c r="I35" s="168">
        <f>Links!J86</f>
        <v>0</v>
      </c>
      <c r="J35" s="169">
        <f>Links!K86</f>
        <v>0</v>
      </c>
      <c r="K35" s="168">
        <f>Links!L86</f>
        <v>0</v>
      </c>
      <c r="L35" s="169">
        <f>Links!M86</f>
        <v>0</v>
      </c>
      <c r="M35" s="168">
        <f>Links!N86</f>
        <v>0</v>
      </c>
      <c r="N35" s="169">
        <f>Links!O86</f>
        <v>0</v>
      </c>
      <c r="O35" s="168">
        <f>Links!P86</f>
        <v>0</v>
      </c>
      <c r="P35" s="169">
        <f>Links!Q86</f>
        <v>0</v>
      </c>
      <c r="Q35" s="168">
        <f>Links!R86</f>
        <v>0</v>
      </c>
      <c r="R35" s="169">
        <f>Links!S86</f>
        <v>0</v>
      </c>
      <c r="S35" s="168">
        <f>Links!T86</f>
        <v>0</v>
      </c>
      <c r="T35" s="169">
        <f>Links!U86</f>
        <v>0</v>
      </c>
      <c r="U35" s="168">
        <f>Links!V86</f>
        <v>0</v>
      </c>
      <c r="V35" s="169">
        <f>Links!W86</f>
        <v>0</v>
      </c>
      <c r="W35" s="168">
        <f>Links!X86</f>
        <v>0</v>
      </c>
      <c r="X35" s="169">
        <f>Links!Y86</f>
        <v>0</v>
      </c>
      <c r="Y35" s="168">
        <f>Links!Z86</f>
        <v>0</v>
      </c>
      <c r="Z35" s="169">
        <f>Links!AA86</f>
        <v>0</v>
      </c>
      <c r="AA35" s="168">
        <f>Links!AB86</f>
        <v>0</v>
      </c>
      <c r="AB35" s="169">
        <f>Links!AC86</f>
        <v>0</v>
      </c>
      <c r="AC35" s="168">
        <f>Links!AD86</f>
        <v>0</v>
      </c>
      <c r="AD35" s="169">
        <f>Links!AE86</f>
        <v>0</v>
      </c>
      <c r="AE35" s="168">
        <f>Links!AF86</f>
        <v>0</v>
      </c>
      <c r="AF35" s="169">
        <f>Links!AG86</f>
        <v>0</v>
      </c>
      <c r="AG35" s="168">
        <f>Links!AH86</f>
        <v>0</v>
      </c>
      <c r="AH35" s="169">
        <f>Links!AI86</f>
        <v>0</v>
      </c>
      <c r="AI35" s="168">
        <f>Links!AJ86</f>
        <v>0</v>
      </c>
      <c r="AJ35" s="169">
        <f>Links!AK86</f>
        <v>0</v>
      </c>
      <c r="AK35" s="168">
        <f>Links!AL86</f>
        <v>0</v>
      </c>
      <c r="AL35" s="169">
        <f>Links!AM86</f>
        <v>0</v>
      </c>
      <c r="AM35" s="168">
        <f>Links!AN86</f>
        <v>0</v>
      </c>
      <c r="AN35" s="169">
        <f>Links!AO86</f>
        <v>0</v>
      </c>
      <c r="AO35" s="168">
        <f>Links!AP86</f>
        <v>0</v>
      </c>
      <c r="AP35" s="169">
        <f>Links!AQ86</f>
        <v>0</v>
      </c>
      <c r="AQ35" s="168">
        <f>Links!AR86</f>
        <v>0</v>
      </c>
      <c r="AR35" s="169">
        <f>Links!AS86</f>
        <v>0</v>
      </c>
      <c r="AS35" s="51"/>
      <c r="AT35" s="56"/>
    </row>
    <row r="36" spans="2:46" x14ac:dyDescent="0.25">
      <c r="B36" s="55"/>
      <c r="C36" s="10"/>
      <c r="D36" s="11" t="s">
        <v>52</v>
      </c>
      <c r="E36" s="10" t="str">
        <f t="shared" ref="E36:AR36" si="6">IF(E35&lt;=2,"A",IF(E35&lt;=2.75,"B",IF(E35&lt;=3.5,"C",IF(E35&lt;=4.25,"D",IF(E35&lt;=5,"E","F")))))</f>
        <v>B</v>
      </c>
      <c r="F36" s="170" t="str">
        <f t="shared" si="6"/>
        <v>B</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286" t="s">
        <v>49</v>
      </c>
      <c r="D38" s="304"/>
      <c r="E38" s="286" t="str">
        <f>E3</f>
        <v>Segment 1</v>
      </c>
      <c r="F38" s="304"/>
      <c r="G38" s="286" t="str">
        <f>G3</f>
        <v>Link 2</v>
      </c>
      <c r="H38" s="304"/>
      <c r="I38" s="286" t="str">
        <f>I3</f>
        <v>Link 3</v>
      </c>
      <c r="J38" s="304"/>
      <c r="K38" s="286" t="str">
        <f>K3</f>
        <v>Link 4</v>
      </c>
      <c r="L38" s="304"/>
      <c r="M38" s="286" t="str">
        <f>M3</f>
        <v>Link 5</v>
      </c>
      <c r="N38" s="304"/>
      <c r="O38" s="286" t="str">
        <f>O3</f>
        <v>Link 6</v>
      </c>
      <c r="P38" s="304"/>
      <c r="Q38" s="286" t="str">
        <f>Q3</f>
        <v>Link 7</v>
      </c>
      <c r="R38" s="304"/>
      <c r="S38" s="286" t="str">
        <f>S3</f>
        <v>Link 8</v>
      </c>
      <c r="T38" s="304"/>
      <c r="U38" s="286" t="str">
        <f>U3</f>
        <v>Link 9</v>
      </c>
      <c r="V38" s="304"/>
      <c r="W38" s="286" t="str">
        <f>W3</f>
        <v>Link 10</v>
      </c>
      <c r="X38" s="304"/>
      <c r="Y38" s="286" t="str">
        <f>Y3</f>
        <v>Link 11</v>
      </c>
      <c r="Z38" s="304"/>
      <c r="AA38" s="286" t="str">
        <f>AA3</f>
        <v>Link 12</v>
      </c>
      <c r="AB38" s="304"/>
      <c r="AC38" s="286" t="str">
        <f>AC3</f>
        <v>Link 13</v>
      </c>
      <c r="AD38" s="304"/>
      <c r="AE38" s="286" t="str">
        <f>AE3</f>
        <v>Link 14</v>
      </c>
      <c r="AF38" s="304"/>
      <c r="AG38" s="286" t="str">
        <f>AG3</f>
        <v>Link 15</v>
      </c>
      <c r="AH38" s="304"/>
      <c r="AI38" s="286" t="str">
        <f>AI3</f>
        <v>Link 16</v>
      </c>
      <c r="AJ38" s="304"/>
      <c r="AK38" s="286" t="str">
        <f>AK3</f>
        <v>Link 17</v>
      </c>
      <c r="AL38" s="304"/>
      <c r="AM38" s="286" t="str">
        <f>AM3</f>
        <v>Link 18</v>
      </c>
      <c r="AN38" s="304"/>
      <c r="AO38" s="286" t="str">
        <f>AO3</f>
        <v>Link 19</v>
      </c>
      <c r="AP38" s="304"/>
      <c r="AQ38" s="286" t="str">
        <f>AQ3</f>
        <v>Link 20</v>
      </c>
      <c r="AR38" s="287"/>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224</v>
      </c>
      <c r="D40" s="11" t="s">
        <v>93</v>
      </c>
      <c r="E40" s="299">
        <f>IF(OR(ISBLANK(E8),E8=0),"",MAX(E22:F22))</f>
        <v>2.585866496977637</v>
      </c>
      <c r="F40" s="303"/>
      <c r="G40" s="299" t="str">
        <f>IF(OR(ISBLANK(G8),G8=0),"",MAX(G22:H22))</f>
        <v/>
      </c>
      <c r="H40" s="303"/>
      <c r="I40" s="299" t="str">
        <f>IF(OR(ISBLANK(I8),I8=0),"",MAX(I22:J22))</f>
        <v/>
      </c>
      <c r="J40" s="303"/>
      <c r="K40" s="299" t="str">
        <f>IF(OR(ISBLANK(K8),K8=0),"",MAX(K22:L22))</f>
        <v/>
      </c>
      <c r="L40" s="303"/>
      <c r="M40" s="299" t="str">
        <f>IF(OR(ISBLANK(M8),M8=0),"",MAX(M22:N22))</f>
        <v/>
      </c>
      <c r="N40" s="303"/>
      <c r="O40" s="299" t="str">
        <f>IF(OR(ISBLANK(O8),O8=0),"",MAX(O22:P22))</f>
        <v/>
      </c>
      <c r="P40" s="303"/>
      <c r="Q40" s="299" t="str">
        <f>IF(OR(ISBLANK(Q8),Q8=0),"",MAX(Q22:R22))</f>
        <v/>
      </c>
      <c r="R40" s="303"/>
      <c r="S40" s="299" t="str">
        <f>IF(OR(ISBLANK(S8),S8=0),"",MAX(S22:T22))</f>
        <v/>
      </c>
      <c r="T40" s="303"/>
      <c r="U40" s="299" t="str">
        <f>IF(OR(ISBLANK(U8),U8=0),"",MAX(U22:V22))</f>
        <v/>
      </c>
      <c r="V40" s="303"/>
      <c r="W40" s="299" t="str">
        <f>IF(OR(ISBLANK(W8),W8=0),"",MAX(W22:X22))</f>
        <v/>
      </c>
      <c r="X40" s="303"/>
      <c r="Y40" s="299" t="str">
        <f>IF(OR(ISBLANK(Y8),Y8=0),"",MAX(Y22:Z22))</f>
        <v/>
      </c>
      <c r="Z40" s="303"/>
      <c r="AA40" s="299" t="str">
        <f>IF(OR(ISBLANK(AA8),AA8=0),"",MAX(AA22:AB22))</f>
        <v/>
      </c>
      <c r="AB40" s="303"/>
      <c r="AC40" s="299" t="str">
        <f>IF(OR(ISBLANK(AC8),AC8=0),"",MAX(AC22:AD22))</f>
        <v/>
      </c>
      <c r="AD40" s="303"/>
      <c r="AE40" s="299" t="str">
        <f>IF(OR(ISBLANK(AE8),AE8=0),"",MAX(AE22:AF22))</f>
        <v/>
      </c>
      <c r="AF40" s="303"/>
      <c r="AG40" s="299" t="str">
        <f>IF(OR(ISBLANK(AG8),AG8=0),"",MAX(AG22:AH22))</f>
        <v/>
      </c>
      <c r="AH40" s="303"/>
      <c r="AI40" s="299" t="str">
        <f>IF(OR(ISBLANK(AI8),AI8=0),"",MAX(AI22:AJ22))</f>
        <v/>
      </c>
      <c r="AJ40" s="303"/>
      <c r="AK40" s="299" t="str">
        <f>IF(OR(ISBLANK(AK8),AK8=0),"",MAX(AK22:AL22))</f>
        <v/>
      </c>
      <c r="AL40" s="303"/>
      <c r="AM40" s="299" t="str">
        <f>IF(OR(ISBLANK(AM8),AM8=0),"",MAX(AM22:AN22))</f>
        <v/>
      </c>
      <c r="AN40" s="303"/>
      <c r="AO40" s="299" t="str">
        <f>IF(OR(ISBLANK(AO8),AO8=0),"",MAX(AO22:AP22))</f>
        <v/>
      </c>
      <c r="AP40" s="303"/>
      <c r="AQ40" s="299" t="str">
        <f>IF(OR(ISBLANK(AQ8),AQ8=0),"",MAX(AQ22:AR22))</f>
        <v/>
      </c>
      <c r="AR40" s="303"/>
      <c r="AS40" s="67">
        <f>SUMPRODUCT(E40:AR40,$E$8:$AR$8)/SUM($E$8:$AR$8)</f>
        <v>2.585866496977637</v>
      </c>
      <c r="AT40" s="56"/>
    </row>
    <row r="41" spans="2:46" ht="14.25" x14ac:dyDescent="0.25">
      <c r="B41" s="55"/>
      <c r="C41" s="10" t="s">
        <v>222</v>
      </c>
      <c r="D41" s="11" t="s">
        <v>218</v>
      </c>
      <c r="E41" s="299">
        <f>E23</f>
        <v>2.8117855183883798</v>
      </c>
      <c r="F41" s="303"/>
      <c r="G41" s="299" t="e">
        <f ca="1">G23</f>
        <v>#NAME?</v>
      </c>
      <c r="H41" s="303"/>
      <c r="I41" s="299" t="str">
        <f>I23</f>
        <v/>
      </c>
      <c r="J41" s="303"/>
      <c r="K41" s="299" t="str">
        <f>K23</f>
        <v/>
      </c>
      <c r="L41" s="303"/>
      <c r="M41" s="299" t="str">
        <f>M23</f>
        <v/>
      </c>
      <c r="N41" s="303"/>
      <c r="O41" s="299" t="str">
        <f>O23</f>
        <v/>
      </c>
      <c r="P41" s="303"/>
      <c r="Q41" s="299" t="str">
        <f>Q23</f>
        <v/>
      </c>
      <c r="R41" s="303"/>
      <c r="S41" s="299" t="str">
        <f>S23</f>
        <v/>
      </c>
      <c r="T41" s="303"/>
      <c r="U41" s="299" t="str">
        <f>U23</f>
        <v/>
      </c>
      <c r="V41" s="303"/>
      <c r="W41" s="299" t="str">
        <f>W23</f>
        <v/>
      </c>
      <c r="X41" s="303"/>
      <c r="Y41" s="299" t="str">
        <f>Y23</f>
        <v/>
      </c>
      <c r="Z41" s="303"/>
      <c r="AA41" s="299" t="str">
        <f>AA23</f>
        <v/>
      </c>
      <c r="AB41" s="303"/>
      <c r="AC41" s="299" t="str">
        <f>AC23</f>
        <v/>
      </c>
      <c r="AD41" s="303"/>
      <c r="AE41" s="299" t="str">
        <f>AE23</f>
        <v/>
      </c>
      <c r="AF41" s="303"/>
      <c r="AG41" s="299" t="str">
        <f>AG23</f>
        <v/>
      </c>
      <c r="AH41" s="303"/>
      <c r="AI41" s="299" t="str">
        <f>AI23</f>
        <v/>
      </c>
      <c r="AJ41" s="303"/>
      <c r="AK41" s="299" t="str">
        <f>AK23</f>
        <v/>
      </c>
      <c r="AL41" s="303"/>
      <c r="AM41" s="299" t="str">
        <f>AM23</f>
        <v/>
      </c>
      <c r="AN41" s="303"/>
      <c r="AO41" s="299" t="str">
        <f>AO23</f>
        <v/>
      </c>
      <c r="AP41" s="303"/>
      <c r="AQ41" s="299" t="str">
        <f>AQ23</f>
        <v/>
      </c>
      <c r="AR41" s="303"/>
      <c r="AS41" s="67" t="e">
        <f ca="1">SUMPRODUCT(E41:AR41,$E$9:$AR$9)/SUM($E$9:$AR$9)</f>
        <v>#NAME?</v>
      </c>
      <c r="AT41" s="56"/>
    </row>
    <row r="42" spans="2:46" ht="14.25" x14ac:dyDescent="0.25">
      <c r="B42" s="55"/>
      <c r="C42" s="10" t="s">
        <v>451</v>
      </c>
      <c r="D42" s="11" t="s">
        <v>452</v>
      </c>
      <c r="E42" s="299">
        <f>IF(OR(ISBLANK(E11),E11=0),"",MAX(E24:F24))</f>
        <v>2.5587302032734773</v>
      </c>
      <c r="F42" s="303"/>
      <c r="G42" s="299" t="str">
        <f>IF(OR(ISBLANK(G11),G11=0),"",MAX(G24:H24))</f>
        <v/>
      </c>
      <c r="H42" s="303"/>
      <c r="I42" s="299" t="str">
        <f>IF(OR(ISBLANK(I11),I11=0),"",MAX(I24:J24))</f>
        <v/>
      </c>
      <c r="J42" s="303"/>
      <c r="K42" s="299" t="str">
        <f>IF(OR(ISBLANK(K11),K11=0),"",MAX(K24:L24))</f>
        <v/>
      </c>
      <c r="L42" s="303"/>
      <c r="M42" s="299" t="str">
        <f>IF(OR(ISBLANK(M11),M11=0),"",MAX(M24:N24))</f>
        <v/>
      </c>
      <c r="N42" s="303"/>
      <c r="O42" s="299" t="str">
        <f>IF(OR(ISBLANK(O11),O11=0),"",MAX(O24:P24))</f>
        <v/>
      </c>
      <c r="P42" s="303"/>
      <c r="Q42" s="299" t="str">
        <f>IF(OR(ISBLANK(Q11),Q11=0),"",MAX(Q24:R24))</f>
        <v/>
      </c>
      <c r="R42" s="303"/>
      <c r="S42" s="299" t="str">
        <f>IF(OR(ISBLANK(S11),S11=0),"",MAX(S24:T24))</f>
        <v/>
      </c>
      <c r="T42" s="303"/>
      <c r="U42" s="299" t="str">
        <f>IF(OR(ISBLANK(U11),U11=0),"",MAX(U24:V24))</f>
        <v/>
      </c>
      <c r="V42" s="303"/>
      <c r="W42" s="299" t="str">
        <f>IF(OR(ISBLANK(W11),W11=0),"",MAX(W24:X24))</f>
        <v/>
      </c>
      <c r="X42" s="303"/>
      <c r="Y42" s="299" t="str">
        <f>IF(OR(ISBLANK(Y11),Y11=0),"",MAX(Y24:Z24))</f>
        <v/>
      </c>
      <c r="Z42" s="303"/>
      <c r="AA42" s="299" t="str">
        <f>IF(OR(ISBLANK(AA11),AA11=0),"",MAX(AA24:AB24))</f>
        <v/>
      </c>
      <c r="AB42" s="303"/>
      <c r="AC42" s="299" t="str">
        <f>IF(OR(ISBLANK(AC11),AC11=0),"",MAX(AC24:AD24))</f>
        <v/>
      </c>
      <c r="AD42" s="303"/>
      <c r="AE42" s="299" t="str">
        <f>IF(OR(ISBLANK(AE11),AE11=0),"",MAX(AE24:AF24))</f>
        <v/>
      </c>
      <c r="AF42" s="303"/>
      <c r="AG42" s="299" t="str">
        <f>IF(OR(ISBLANK(AG11),AG11=0),"",MAX(AG24:AH24))</f>
        <v/>
      </c>
      <c r="AH42" s="303"/>
      <c r="AI42" s="299" t="str">
        <f>IF(OR(ISBLANK(AI11),AI11=0),"",MAX(AI24:AJ24))</f>
        <v/>
      </c>
      <c r="AJ42" s="303"/>
      <c r="AK42" s="299" t="str">
        <f>IF(OR(ISBLANK(AK11),AK11=0),"",MAX(AK24:AL24))</f>
        <v/>
      </c>
      <c r="AL42" s="303"/>
      <c r="AM42" s="299" t="str">
        <f>IF(OR(ISBLANK(AM11),AM11=0),"",MAX(AM24:AN24))</f>
        <v/>
      </c>
      <c r="AN42" s="303"/>
      <c r="AO42" s="299" t="str">
        <f>IF(OR(ISBLANK(AO11),AO11=0),"",MAX(AO24:AP24))</f>
        <v/>
      </c>
      <c r="AP42" s="303"/>
      <c r="AQ42" s="299"/>
      <c r="AR42" s="303"/>
      <c r="AS42" s="67" t="e">
        <f ca="1">AVERAGE(AS40:AS41)</f>
        <v>#NAME?</v>
      </c>
      <c r="AT42" s="56"/>
    </row>
    <row r="43" spans="2:46" x14ac:dyDescent="0.25">
      <c r="B43" s="55"/>
      <c r="C43" s="10"/>
      <c r="D43" s="11" t="s">
        <v>41</v>
      </c>
      <c r="E43" s="289" t="str">
        <f>IF(E42="","",IF(E42&lt;=2,"A",IF(E42&lt;=2.75,"B",IF(E42&lt;=3.5,"C",IF(E42&lt;=4.25,"D",IF(E42&lt;=5,"E","F"))))))</f>
        <v>B</v>
      </c>
      <c r="F43" s="290"/>
      <c r="G43" s="289" t="str">
        <f>IF(G42="","",IF(G42&lt;=2,"A",IF(G42&lt;=2.75,"B",IF(G42&lt;=3.5,"C",IF(G42&lt;=4.25,"D",IF(G42&lt;=5,"E","F"))))))</f>
        <v/>
      </c>
      <c r="H43" s="290"/>
      <c r="I43" s="289" t="str">
        <f>IF(I42="","",IF(I42&lt;=2,"A",IF(I42&lt;=2.75,"B",IF(I42&lt;=3.5,"C",IF(I42&lt;=4.25,"D",IF(I42&lt;=5,"E","F"))))))</f>
        <v/>
      </c>
      <c r="J43" s="290"/>
      <c r="K43" s="289" t="str">
        <f>IF(K42="","",IF(K42&lt;=2,"A",IF(K42&lt;=2.75,"B",IF(K42&lt;=3.5,"C",IF(K42&lt;=4.25,"D",IF(K42&lt;=5,"E","F"))))))</f>
        <v/>
      </c>
      <c r="L43" s="290"/>
      <c r="M43" s="289" t="str">
        <f>IF(M42="","",IF(M42&lt;=2,"A",IF(M42&lt;=2.75,"B",IF(M42&lt;=3.5,"C",IF(M42&lt;=4.25,"D",IF(M42&lt;=5,"E","F"))))))</f>
        <v/>
      </c>
      <c r="N43" s="290"/>
      <c r="O43" s="289" t="str">
        <f>IF(O42="","",IF(O42&lt;=2,"A",IF(O42&lt;=2.75,"B",IF(O42&lt;=3.5,"C",IF(O42&lt;=4.25,"D",IF(O42&lt;=5,"E","F"))))))</f>
        <v/>
      </c>
      <c r="P43" s="290"/>
      <c r="Q43" s="289" t="str">
        <f>IF(Q42="","",IF(Q42&lt;=2,"A",IF(Q42&lt;=2.75,"B",IF(Q42&lt;=3.5,"C",IF(Q42&lt;=4.25,"D",IF(Q42&lt;=5,"E","F"))))))</f>
        <v/>
      </c>
      <c r="R43" s="290"/>
      <c r="S43" s="289" t="str">
        <f>IF(S42="","",IF(S42&lt;=2,"A",IF(S42&lt;=2.75,"B",IF(S42&lt;=3.5,"C",IF(S42&lt;=4.25,"D",IF(S42&lt;=5,"E","F"))))))</f>
        <v/>
      </c>
      <c r="T43" s="290"/>
      <c r="U43" s="289" t="str">
        <f>IF(U42="","",IF(U42&lt;=2,"A",IF(U42&lt;=2.75,"B",IF(U42&lt;=3.5,"C",IF(U42&lt;=4.25,"D",IF(U42&lt;=5,"E","F"))))))</f>
        <v/>
      </c>
      <c r="V43" s="290"/>
      <c r="W43" s="289" t="str">
        <f>IF(W42="","",IF(W42&lt;=2,"A",IF(W42&lt;=2.75,"B",IF(W42&lt;=3.5,"C",IF(W42&lt;=4.25,"D",IF(W42&lt;=5,"E","F"))))))</f>
        <v/>
      </c>
      <c r="X43" s="290"/>
      <c r="Y43" s="289" t="str">
        <f>IF(Y42="","",IF(Y42&lt;=2,"A",IF(Y42&lt;=2.75,"B",IF(Y42&lt;=3.5,"C",IF(Y42&lt;=4.25,"D",IF(Y42&lt;=5,"E","F"))))))</f>
        <v/>
      </c>
      <c r="Z43" s="290"/>
      <c r="AA43" s="289" t="str">
        <f>IF(AA42="","",IF(AA42&lt;=2,"A",IF(AA42&lt;=2.75,"B",IF(AA42&lt;=3.5,"C",IF(AA42&lt;=4.25,"D",IF(AA42&lt;=5,"E","F"))))))</f>
        <v/>
      </c>
      <c r="AB43" s="290"/>
      <c r="AC43" s="289" t="str">
        <f>IF(AC42="","",IF(AC42&lt;=2,"A",IF(AC42&lt;=2.75,"B",IF(AC42&lt;=3.5,"C",IF(AC42&lt;=4.25,"D",IF(AC42&lt;=5,"E","F"))))))</f>
        <v/>
      </c>
      <c r="AD43" s="290"/>
      <c r="AE43" s="289" t="str">
        <f>IF(AE42="","",IF(AE42&lt;=2,"A",IF(AE42&lt;=2.75,"B",IF(AE42&lt;=3.5,"C",IF(AE42&lt;=4.25,"D",IF(AE42&lt;=5,"E","F"))))))</f>
        <v/>
      </c>
      <c r="AF43" s="290"/>
      <c r="AG43" s="289" t="str">
        <f>IF(AG42="","",IF(AG42&lt;=2,"A",IF(AG42&lt;=2.75,"B",IF(AG42&lt;=3.5,"C",IF(AG42&lt;=4.25,"D",IF(AG42&lt;=5,"E","F"))))))</f>
        <v/>
      </c>
      <c r="AH43" s="290"/>
      <c r="AI43" s="289" t="str">
        <f>IF(AI42="","",IF(AI42&lt;=2,"A",IF(AI42&lt;=2.75,"B",IF(AI42&lt;=3.5,"C",IF(AI42&lt;=4.25,"D",IF(AI42&lt;=5,"E","F"))))))</f>
        <v/>
      </c>
      <c r="AJ43" s="290"/>
      <c r="AK43" s="289" t="str">
        <f>IF(AK42="","",IF(AK42&lt;=2,"A",IF(AK42&lt;=2.75,"B",IF(AK42&lt;=3.5,"C",IF(AK42&lt;=4.25,"D",IF(AK42&lt;=5,"E","F"))))))</f>
        <v/>
      </c>
      <c r="AL43" s="290"/>
      <c r="AM43" s="289" t="str">
        <f>IF(AM42="","",IF(AM42&lt;=2,"A",IF(AM42&lt;=2.75,"B",IF(AM42&lt;=3.5,"C",IF(AM42&lt;=4.25,"D",IF(AM42&lt;=5,"E","F"))))))</f>
        <v/>
      </c>
      <c r="AN43" s="290"/>
      <c r="AO43" s="289" t="str">
        <f>IF(AO42="","",IF(AO42&lt;=2,"A",IF(AO42&lt;=2.75,"B",IF(AO42&lt;=3.5,"C",IF(AO42&lt;=4.25,"D",IF(AO42&lt;=5,"E","F"))))))</f>
        <v/>
      </c>
      <c r="AP43" s="290"/>
      <c r="AQ43" s="289" t="str">
        <f>IF(AQ42="","",IF(AQ42&lt;=2,"A",IF(AQ42&lt;=2.75,"B",IF(AQ42&lt;=3.5,"C",IF(AQ42&lt;=4.25,"D",IF(AQ42&lt;=5,"E","F"))))))</f>
        <v/>
      </c>
      <c r="AR43" s="290"/>
      <c r="AS43" s="68" t="e">
        <f ca="1">IF(AS42&lt;=2,"A",IF(AS42&lt;=2.75,"B",IF(AS42&lt;=3.5,"C",IF(AS42&lt;=4.25,"D",IF(AS42&lt;=5,"E","F")))))</f>
        <v>#NAME?</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225</v>
      </c>
      <c r="D45" s="11" t="s">
        <v>92</v>
      </c>
      <c r="E45" s="299">
        <f>IF(OR(ISBLANK(E8),E8=0),"",MAX(E30:F30))</f>
        <v>4.5308900955325564</v>
      </c>
      <c r="F45" s="303"/>
      <c r="G45" s="299" t="str">
        <f>IF(OR(ISBLANK(G8),G8=0),"",MAX(G30:H30))</f>
        <v/>
      </c>
      <c r="H45" s="303"/>
      <c r="I45" s="299" t="str">
        <f>IF(OR(ISBLANK(I8),I8=0),"",MAX(I30:J30))</f>
        <v/>
      </c>
      <c r="J45" s="303"/>
      <c r="K45" s="299" t="str">
        <f>IF(OR(ISBLANK(K8),K8=0),"",MAX(K30:L30))</f>
        <v/>
      </c>
      <c r="L45" s="303"/>
      <c r="M45" s="299" t="str">
        <f>IF(OR(ISBLANK(M8),M8=0),"",MAX(M30:N30))</f>
        <v/>
      </c>
      <c r="N45" s="303"/>
      <c r="O45" s="299" t="str">
        <f>IF(OR(ISBLANK(O8),O8=0),"",MAX(O30:P30))</f>
        <v/>
      </c>
      <c r="P45" s="303"/>
      <c r="Q45" s="299" t="str">
        <f>IF(OR(ISBLANK(Q8),Q8=0),"",MAX(Q30:R30))</f>
        <v/>
      </c>
      <c r="R45" s="303"/>
      <c r="S45" s="299" t="str">
        <f>IF(OR(ISBLANK(S8),S8=0),"",MAX(S30:T30))</f>
        <v/>
      </c>
      <c r="T45" s="303"/>
      <c r="U45" s="299" t="str">
        <f>IF(OR(ISBLANK(U8),U8=0),"",MAX(U30:V30))</f>
        <v/>
      </c>
      <c r="V45" s="303"/>
      <c r="W45" s="299" t="str">
        <f>IF(OR(ISBLANK(W8),W8=0),"",MAX(W30:X30))</f>
        <v/>
      </c>
      <c r="X45" s="303"/>
      <c r="Y45" s="299" t="str">
        <f>IF(OR(ISBLANK(Y8),Y8=0),"",MAX(Y30:Z30))</f>
        <v/>
      </c>
      <c r="Z45" s="303"/>
      <c r="AA45" s="299" t="str">
        <f>IF(OR(ISBLANK(AA8),AA8=0),"",MAX(AA30:AB30))</f>
        <v/>
      </c>
      <c r="AB45" s="303"/>
      <c r="AC45" s="299" t="str">
        <f>IF(OR(ISBLANK(AC8),AC8=0),"",MAX(AC30:AD30))</f>
        <v/>
      </c>
      <c r="AD45" s="303"/>
      <c r="AE45" s="299" t="str">
        <f>IF(OR(ISBLANK(AE8),AE8=0),"",MAX(AE30:AF30))</f>
        <v/>
      </c>
      <c r="AF45" s="303"/>
      <c r="AG45" s="299" t="str">
        <f>IF(OR(ISBLANK(AG8),AG8=0),"",MAX(AG30:AH30))</f>
        <v/>
      </c>
      <c r="AH45" s="303"/>
      <c r="AI45" s="299" t="str">
        <f>IF(OR(ISBLANK(AI8),AI8=0),"",MAX(AI30:AJ30))</f>
        <v/>
      </c>
      <c r="AJ45" s="303"/>
      <c r="AK45" s="299" t="str">
        <f>IF(OR(ISBLANK(AK8),AK8=0),"",MAX(AK30:AL30))</f>
        <v/>
      </c>
      <c r="AL45" s="303"/>
      <c r="AM45" s="299" t="str">
        <f>IF(OR(ISBLANK(AM8),AM8=0),"",MAX(AM30:AN30))</f>
        <v/>
      </c>
      <c r="AN45" s="303"/>
      <c r="AO45" s="299" t="str">
        <f>IF(OR(ISBLANK(AO8),AO8=0),"",MAX(AO30:AP30))</f>
        <v/>
      </c>
      <c r="AP45" s="303"/>
      <c r="AQ45" s="299" t="str">
        <f>IF(OR(ISBLANK(AQ8),AQ8=0),"",MAX(AQ30:AR30))</f>
        <v/>
      </c>
      <c r="AR45" s="303"/>
      <c r="AS45" s="67">
        <f>SUMPRODUCT(E45:AR45,$E$8:$AR$8)/SUM($E$8:$AR$8)</f>
        <v>4.5308900955325564</v>
      </c>
      <c r="AT45" s="56"/>
    </row>
    <row r="46" spans="2:46" ht="15.95" customHeight="1" x14ac:dyDescent="0.25">
      <c r="B46" s="55"/>
      <c r="C46" s="10" t="s">
        <v>223</v>
      </c>
      <c r="D46" s="11" t="s">
        <v>219</v>
      </c>
      <c r="E46" s="299">
        <f>IF(ISBLANK(E10),"",MAX(E31:F31))</f>
        <v>3.3921499999999996</v>
      </c>
      <c r="F46" s="303"/>
      <c r="G46" s="299" t="str">
        <f>IF(OR(ISBLANK(G10),G10=0),"",MAX(G31:H31))</f>
        <v/>
      </c>
      <c r="H46" s="303"/>
      <c r="I46" s="299" t="str">
        <f>IF(OR(ISBLANK(I10),I10=0),"",MAX(I31:J31))</f>
        <v/>
      </c>
      <c r="J46" s="303"/>
      <c r="K46" s="299" t="str">
        <f>IF(OR(ISBLANK(K10),K10=0),"",MAX(K31:L31))</f>
        <v/>
      </c>
      <c r="L46" s="303"/>
      <c r="M46" s="299" t="str">
        <f>IF(OR(ISBLANK(M10),M10=0),"",MAX(M31:N31))</f>
        <v/>
      </c>
      <c r="N46" s="303"/>
      <c r="O46" s="299" t="str">
        <f>IF(OR(ISBLANK(O10),O10=0),"",MAX(O31:P31))</f>
        <v/>
      </c>
      <c r="P46" s="303"/>
      <c r="Q46" s="299" t="str">
        <f>IF(OR(ISBLANK(Q10),Q10=0),"",MAX(Q31:R31))</f>
        <v/>
      </c>
      <c r="R46" s="303"/>
      <c r="S46" s="299" t="str">
        <f>IF(OR(ISBLANK(S10),S10=0),"",MAX(S31:T31))</f>
        <v/>
      </c>
      <c r="T46" s="303"/>
      <c r="U46" s="299" t="str">
        <f>IF(OR(ISBLANK(U10),U10=0),"",MAX(U31:V31))</f>
        <v/>
      </c>
      <c r="V46" s="303"/>
      <c r="W46" s="299" t="str">
        <f>IF(OR(ISBLANK(W10),W10=0),"",MAX(W31:X31))</f>
        <v/>
      </c>
      <c r="X46" s="303"/>
      <c r="Y46" s="299" t="str">
        <f>IF(OR(ISBLANK(Y10),Y10=0),"",MAX(Y31:Z31))</f>
        <v/>
      </c>
      <c r="Z46" s="303"/>
      <c r="AA46" s="299" t="str">
        <f>IF(OR(ISBLANK(AA10),AA10=0),"",MAX(AA31:AB31))</f>
        <v/>
      </c>
      <c r="AB46" s="303"/>
      <c r="AC46" s="299" t="str">
        <f>IF(OR(ISBLANK(AC10),AC10=0),"",MAX(AC31:AD31))</f>
        <v/>
      </c>
      <c r="AD46" s="303"/>
      <c r="AE46" s="299" t="str">
        <f>IF(OR(ISBLANK(AE10),AE10=0),"",MAX(AE31:AF31))</f>
        <v/>
      </c>
      <c r="AF46" s="303"/>
      <c r="AG46" s="299" t="str">
        <f>IF(OR(ISBLANK(AG10),AG10=0),"",MAX(AG31:AH31))</f>
        <v/>
      </c>
      <c r="AH46" s="303"/>
      <c r="AI46" s="299" t="str">
        <f>IF(OR(ISBLANK(AI10),AI10=0),"",MAX(AI31:AJ31))</f>
        <v/>
      </c>
      <c r="AJ46" s="303"/>
      <c r="AK46" s="299" t="str">
        <f>IF(OR(ISBLANK(AK10),AK10=0),"",MAX(AK31:AL31))</f>
        <v/>
      </c>
      <c r="AL46" s="303"/>
      <c r="AM46" s="299" t="str">
        <f>IF(OR(ISBLANK(AM10),AM10=0),"",MAX(AM31:AN31))</f>
        <v/>
      </c>
      <c r="AN46" s="303"/>
      <c r="AO46" s="299" t="str">
        <f>IF(OR(ISBLANK(AO10),AO10=0),"",MAX(AO31:AP31))</f>
        <v/>
      </c>
      <c r="AP46" s="303"/>
      <c r="AQ46" s="299" t="str">
        <f>IF(OR(ISBLANK(AQ10),AQ10=0),"",MAX(AQ31:AR31))</f>
        <v/>
      </c>
      <c r="AR46" s="303"/>
      <c r="AS46" s="67">
        <f>SUMPRODUCT(E46:AR46,$E$9:$AR$9)/SUM($E$9:$AR$9)</f>
        <v>3.2674386029411759</v>
      </c>
      <c r="AT46" s="56"/>
    </row>
    <row r="47" spans="2:46" ht="15.95" customHeight="1" x14ac:dyDescent="0.25">
      <c r="B47" s="55"/>
      <c r="C47" s="10" t="s">
        <v>455</v>
      </c>
      <c r="D47" s="11" t="s">
        <v>456</v>
      </c>
      <c r="E47" s="299">
        <f>IF(ISBLANK(E11),"",MAX(E32:F32))</f>
        <v>3.3981605545166098</v>
      </c>
      <c r="F47" s="303"/>
      <c r="G47" s="299" t="str">
        <f>IF(OR(ISBLANK(G11),G11=0),"",MAX(G32:H32))</f>
        <v/>
      </c>
      <c r="H47" s="303"/>
      <c r="I47" s="299" t="str">
        <f>IF(OR(ISBLANK(I11),I11=0),"",MAX(I32:J32))</f>
        <v/>
      </c>
      <c r="J47" s="303"/>
      <c r="K47" s="299" t="str">
        <f>IF(OR(ISBLANK(K11),K11=0),"",MAX(K32:L32))</f>
        <v/>
      </c>
      <c r="L47" s="303"/>
      <c r="M47" s="299" t="str">
        <f>IF(OR(ISBLANK(M11),M11=0),"",MAX(M32:N32))</f>
        <v/>
      </c>
      <c r="N47" s="303"/>
      <c r="O47" s="299" t="str">
        <f>IF(OR(ISBLANK(O11),O11=0),"",MAX(O32:P32))</f>
        <v/>
      </c>
      <c r="P47" s="303"/>
      <c r="Q47" s="299" t="str">
        <f>IF(OR(ISBLANK(Q11),Q11=0),"",MAX(Q32:R32))</f>
        <v/>
      </c>
      <c r="R47" s="303"/>
      <c r="S47" s="299" t="str">
        <f>IF(OR(ISBLANK(S11),S11=0),"",MAX(S32:T32))</f>
        <v/>
      </c>
      <c r="T47" s="303"/>
      <c r="U47" s="299" t="str">
        <f>IF(OR(ISBLANK(U11),U11=0),"",MAX(U32:V32))</f>
        <v/>
      </c>
      <c r="V47" s="303"/>
      <c r="W47" s="299" t="str">
        <f>IF(OR(ISBLANK(W11),W11=0),"",MAX(W32:X32))</f>
        <v/>
      </c>
      <c r="X47" s="303"/>
      <c r="Y47" s="299" t="str">
        <f>IF(OR(ISBLANK(Y11),Y11=0),"",MAX(Y32:Z32))</f>
        <v/>
      </c>
      <c r="Z47" s="303"/>
      <c r="AA47" s="299" t="str">
        <f>IF(OR(ISBLANK(AA11),AA11=0),"",MAX(AA32:AB32))</f>
        <v/>
      </c>
      <c r="AB47" s="303"/>
      <c r="AC47" s="299" t="str">
        <f>IF(OR(ISBLANK(AC11),AC11=0),"",MAX(AC32:AD32))</f>
        <v/>
      </c>
      <c r="AD47" s="303"/>
      <c r="AE47" s="299" t="str">
        <f>IF(OR(ISBLANK(AE11),AE11=0),"",MAX(AE32:AF32))</f>
        <v/>
      </c>
      <c r="AF47" s="303"/>
      <c r="AG47" s="299" t="str">
        <f>IF(OR(ISBLANK(AG11),AG11=0),"",MAX(AG32:AH32))</f>
        <v/>
      </c>
      <c r="AH47" s="303"/>
      <c r="AI47" s="299" t="str">
        <f>IF(OR(ISBLANK(AI11),AI11=0),"",MAX(AI32:AJ32))</f>
        <v/>
      </c>
      <c r="AJ47" s="303"/>
      <c r="AK47" s="299" t="str">
        <f>IF(OR(ISBLANK(AK11),AK11=0),"",MAX(AK32:AL32))</f>
        <v/>
      </c>
      <c r="AL47" s="303"/>
      <c r="AM47" s="299" t="str">
        <f>IF(OR(ISBLANK(AM11),AM11=0),"",MAX(AM32:AN32))</f>
        <v/>
      </c>
      <c r="AN47" s="303"/>
      <c r="AO47" s="299" t="str">
        <f>IF(OR(ISBLANK(AO11),AO11=0),"",MAX(AO32:AP32))</f>
        <v/>
      </c>
      <c r="AP47" s="303"/>
      <c r="AQ47" s="299" t="str">
        <f>IF(OR(ISBLANK(AQ11),AQ11=0),"",MAX(AQ32:AR32))</f>
        <v/>
      </c>
      <c r="AR47" s="303"/>
      <c r="AS47" s="67">
        <f>AVERAGE(AS45:AS46)</f>
        <v>3.8991643492368659</v>
      </c>
      <c r="AT47" s="56"/>
    </row>
    <row r="48" spans="2:46" x14ac:dyDescent="0.25">
      <c r="B48" s="55"/>
      <c r="C48" s="10"/>
      <c r="D48" s="11" t="s">
        <v>51</v>
      </c>
      <c r="E48" s="289" t="str">
        <f>IF(E47="","",IF(E47&lt;=2,"A",IF(E47&lt;=2.75,"B",IF(E47&lt;=3.5,"C",IF(E47&lt;=4.25,"D",IF(E47&lt;=5,"E","F"))))))</f>
        <v>C</v>
      </c>
      <c r="F48" s="290"/>
      <c r="G48" s="289" t="str">
        <f>IF(G47="","",IF(G47&lt;=2,"A",IF(G47&lt;=2.75,"B",IF(G47&lt;=3.5,"C",IF(G47&lt;=4.25,"D",IF(G47&lt;=5,"E","F"))))))</f>
        <v/>
      </c>
      <c r="H48" s="290"/>
      <c r="I48" s="289" t="str">
        <f>IF(I47="","",IF(I47&lt;=2,"A",IF(I47&lt;=2.75,"B",IF(I47&lt;=3.5,"C",IF(I47&lt;=4.25,"D",IF(I47&lt;=5,"E","F"))))))</f>
        <v/>
      </c>
      <c r="J48" s="290"/>
      <c r="K48" s="289" t="str">
        <f>IF(K47="","",IF(K47&lt;=2,"A",IF(K47&lt;=2.75,"B",IF(K47&lt;=3.5,"C",IF(K47&lt;=4.25,"D",IF(K47&lt;=5,"E","F"))))))</f>
        <v/>
      </c>
      <c r="L48" s="290"/>
      <c r="M48" s="289" t="str">
        <f>IF(M47="","",IF(M47&lt;=2,"A",IF(M47&lt;=2.75,"B",IF(M47&lt;=3.5,"C",IF(M47&lt;=4.25,"D",IF(M47&lt;=5,"E","F"))))))</f>
        <v/>
      </c>
      <c r="N48" s="290"/>
      <c r="O48" s="289" t="str">
        <f>IF(O47="","",IF(O47&lt;=2,"A",IF(O47&lt;=2.75,"B",IF(O47&lt;=3.5,"C",IF(O47&lt;=4.25,"D",IF(O47&lt;=5,"E","F"))))))</f>
        <v/>
      </c>
      <c r="P48" s="290"/>
      <c r="Q48" s="289" t="str">
        <f>IF(Q47="","",IF(Q47&lt;=2,"A",IF(Q47&lt;=2.75,"B",IF(Q47&lt;=3.5,"C",IF(Q47&lt;=4.25,"D",IF(Q47&lt;=5,"E","F"))))))</f>
        <v/>
      </c>
      <c r="R48" s="290"/>
      <c r="S48" s="289" t="str">
        <f>IF(S47="","",IF(S47&lt;=2,"A",IF(S47&lt;=2.75,"B",IF(S47&lt;=3.5,"C",IF(S47&lt;=4.25,"D",IF(S47&lt;=5,"E","F"))))))</f>
        <v/>
      </c>
      <c r="T48" s="290"/>
      <c r="U48" s="289" t="str">
        <f>IF(U47="","",IF(U47&lt;=2,"A",IF(U47&lt;=2.75,"B",IF(U47&lt;=3.5,"C",IF(U47&lt;=4.25,"D",IF(U47&lt;=5,"E","F"))))))</f>
        <v/>
      </c>
      <c r="V48" s="290"/>
      <c r="W48" s="289" t="str">
        <f>IF(W47="","",IF(W47&lt;=2,"A",IF(W47&lt;=2.75,"B",IF(W47&lt;=3.5,"C",IF(W47&lt;=4.25,"D",IF(W47&lt;=5,"E","F"))))))</f>
        <v/>
      </c>
      <c r="X48" s="290"/>
      <c r="Y48" s="289" t="str">
        <f>IF(Y47="","",IF(Y47&lt;=2,"A",IF(Y47&lt;=2.75,"B",IF(Y47&lt;=3.5,"C",IF(Y47&lt;=4.25,"D",IF(Y47&lt;=5,"E","F"))))))</f>
        <v/>
      </c>
      <c r="Z48" s="290"/>
      <c r="AA48" s="289" t="str">
        <f>IF(AA47="","",IF(AA47&lt;=2,"A",IF(AA47&lt;=2.75,"B",IF(AA47&lt;=3.5,"C",IF(AA47&lt;=4.25,"D",IF(AA47&lt;=5,"E","F"))))))</f>
        <v/>
      </c>
      <c r="AB48" s="290"/>
      <c r="AC48" s="289" t="str">
        <f>IF(AC47="","",IF(AC47&lt;=2,"A",IF(AC47&lt;=2.75,"B",IF(AC47&lt;=3.5,"C",IF(AC47&lt;=4.25,"D",IF(AC47&lt;=5,"E","F"))))))</f>
        <v/>
      </c>
      <c r="AD48" s="290"/>
      <c r="AE48" s="289" t="str">
        <f>IF(AE47="","",IF(AE47&lt;=2,"A",IF(AE47&lt;=2.75,"B",IF(AE47&lt;=3.5,"C",IF(AE47&lt;=4.25,"D",IF(AE47&lt;=5,"E","F"))))))</f>
        <v/>
      </c>
      <c r="AF48" s="290"/>
      <c r="AG48" s="289" t="str">
        <f>IF(AG47="","",IF(AG47&lt;=2,"A",IF(AG47&lt;=2.75,"B",IF(AG47&lt;=3.5,"C",IF(AG47&lt;=4.25,"D",IF(AG47&lt;=5,"E","F"))))))</f>
        <v/>
      </c>
      <c r="AH48" s="290"/>
      <c r="AI48" s="289" t="str">
        <f>IF(AI47="","",IF(AI47&lt;=2,"A",IF(AI47&lt;=2.75,"B",IF(AI47&lt;=3.5,"C",IF(AI47&lt;=4.25,"D",IF(AI47&lt;=5,"E","F"))))))</f>
        <v/>
      </c>
      <c r="AJ48" s="290"/>
      <c r="AK48" s="289" t="str">
        <f>IF(AK47="","",IF(AK47&lt;=2,"A",IF(AK47&lt;=2.75,"B",IF(AK47&lt;=3.5,"C",IF(AK47&lt;=4.25,"D",IF(AK47&lt;=5,"E","F"))))))</f>
        <v/>
      </c>
      <c r="AL48" s="290"/>
      <c r="AM48" s="289" t="str">
        <f>IF(AM47="","",IF(AM47&lt;=2,"A",IF(AM47&lt;=2.75,"B",IF(AM47&lt;=3.5,"C",IF(AM47&lt;=4.25,"D",IF(AM47&lt;=5,"E","F"))))))</f>
        <v/>
      </c>
      <c r="AN48" s="290"/>
      <c r="AO48" s="289" t="str">
        <f>IF(AO47="","",IF(AO47&lt;=2,"A",IF(AO47&lt;=2.75,"B",IF(AO47&lt;=3.5,"C",IF(AO47&lt;=4.25,"D",IF(AO47&lt;=5,"E","F"))))))</f>
        <v/>
      </c>
      <c r="AP48" s="290"/>
      <c r="AQ48" s="289" t="str">
        <f>IF(AQ47="","",IF(AQ47&lt;=2,"A",IF(AQ47&lt;=2.75,"B",IF(AQ47&lt;=3.5,"C",IF(AQ47&lt;=4.25,"D",IF(AQ47&lt;=5,"E","F"))))))</f>
        <v/>
      </c>
      <c r="AR48" s="290"/>
      <c r="AS48" s="68" t="str">
        <f>IF(AS47&lt;=2,"A",IF(AS47&lt;=2.75,"B",IF(AS47&lt;=3.5,"C",IF(AS47&lt;=4.25,"D",IF(AS47&lt;=5,"E","F")))))</f>
        <v>D</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226</v>
      </c>
      <c r="D50" s="110" t="s">
        <v>94</v>
      </c>
      <c r="E50" s="299">
        <f>Links!F97</f>
        <v>2.3438381097591807</v>
      </c>
      <c r="F50" s="300"/>
      <c r="G50" s="299"/>
      <c r="H50" s="300"/>
      <c r="I50" s="299"/>
      <c r="J50" s="300"/>
      <c r="K50" s="299"/>
      <c r="L50" s="300"/>
      <c r="M50" s="299"/>
      <c r="N50" s="300"/>
      <c r="O50" s="299"/>
      <c r="P50" s="300"/>
      <c r="Q50" s="299"/>
      <c r="R50" s="300"/>
      <c r="S50" s="299"/>
      <c r="T50" s="300"/>
      <c r="U50" s="299"/>
      <c r="V50" s="300"/>
      <c r="W50" s="299"/>
      <c r="X50" s="300"/>
      <c r="Y50" s="299"/>
      <c r="Z50" s="300"/>
      <c r="AA50" s="299"/>
      <c r="AB50" s="300"/>
      <c r="AC50" s="299"/>
      <c r="AD50" s="300"/>
      <c r="AE50" s="299"/>
      <c r="AF50" s="300"/>
      <c r="AG50" s="299"/>
      <c r="AH50" s="300"/>
      <c r="AI50" s="299"/>
      <c r="AJ50" s="300"/>
      <c r="AK50" s="299"/>
      <c r="AL50" s="300"/>
      <c r="AM50" s="299"/>
      <c r="AN50" s="300"/>
      <c r="AO50" s="299"/>
      <c r="AP50" s="300"/>
      <c r="AQ50" s="299"/>
      <c r="AR50" s="300"/>
      <c r="AS50" s="67">
        <f>SUMPRODUCT(E50:AR50,E8:AR8)/SUM(E8:AR8)</f>
        <v>2.3438381097591807</v>
      </c>
      <c r="AT50" s="56"/>
    </row>
    <row r="51" spans="2:46" ht="14.25" x14ac:dyDescent="0.25">
      <c r="B51" s="55"/>
      <c r="C51" s="109" t="s">
        <v>459</v>
      </c>
      <c r="D51" s="110" t="s">
        <v>457</v>
      </c>
      <c r="E51" s="299"/>
      <c r="F51" s="300"/>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460</v>
      </c>
      <c r="D52" s="110" t="s">
        <v>458</v>
      </c>
      <c r="E52" s="299"/>
      <c r="F52" s="300"/>
      <c r="G52" s="299"/>
      <c r="H52" s="300"/>
      <c r="I52" s="299"/>
      <c r="J52" s="300"/>
      <c r="K52" s="299"/>
      <c r="L52" s="300"/>
      <c r="M52" s="299"/>
      <c r="N52" s="300"/>
      <c r="O52" s="299"/>
      <c r="P52" s="300"/>
      <c r="Q52" s="299"/>
      <c r="R52" s="300"/>
      <c r="S52" s="299"/>
      <c r="T52" s="300"/>
      <c r="U52" s="299"/>
      <c r="V52" s="300"/>
      <c r="W52" s="299"/>
      <c r="X52" s="300"/>
      <c r="Y52" s="299"/>
      <c r="Z52" s="300"/>
      <c r="AA52" s="299"/>
      <c r="AB52" s="300"/>
      <c r="AC52" s="299"/>
      <c r="AD52" s="300"/>
      <c r="AE52" s="299"/>
      <c r="AF52" s="300"/>
      <c r="AG52" s="299"/>
      <c r="AH52" s="300"/>
      <c r="AI52" s="299"/>
      <c r="AJ52" s="300"/>
      <c r="AK52" s="299"/>
      <c r="AL52" s="300"/>
      <c r="AM52" s="299"/>
      <c r="AN52" s="300"/>
      <c r="AO52" s="299"/>
      <c r="AP52" s="300"/>
      <c r="AQ52" s="299"/>
      <c r="AR52" s="300"/>
      <c r="AS52" s="67"/>
      <c r="AT52" s="56"/>
    </row>
    <row r="53" spans="2:46" ht="13.5" thickBot="1" x14ac:dyDescent="0.3">
      <c r="B53" s="55"/>
      <c r="C53" s="10"/>
      <c r="D53" s="11" t="s">
        <v>52</v>
      </c>
      <c r="E53" s="289" t="str">
        <f>IF(E52="","",IF(E52&lt;=2,"A",IF(E52&lt;=2.75,"B",IF(E52&lt;=3.5,"C",IF(E52&lt;=4.25,"D",IF(E52&lt;=5,"E","F"))))))</f>
        <v/>
      </c>
      <c r="F53" s="290"/>
      <c r="G53" s="289" t="str">
        <f>IF(G52="","",IF(G52&lt;=2,"A",IF(G52&lt;=2.75,"B",IF(G52&lt;=3.5,"C",IF(G52&lt;=4.25,"D",IF(G52&lt;=5,"E","F"))))))</f>
        <v/>
      </c>
      <c r="H53" s="290"/>
      <c r="I53" s="289" t="str">
        <f>IF(I52="","",IF(I52&lt;=2,"A",IF(I52&lt;=2.75,"B",IF(I52&lt;=3.5,"C",IF(I52&lt;=4.25,"D",IF(I52&lt;=5,"E","F"))))))</f>
        <v/>
      </c>
      <c r="J53" s="290"/>
      <c r="K53" s="289" t="str">
        <f>IF(K52="","",IF(K52&lt;=2,"A",IF(K52&lt;=2.75,"B",IF(K52&lt;=3.5,"C",IF(K52&lt;=4.25,"D",IF(K52&lt;=5,"E","F"))))))</f>
        <v/>
      </c>
      <c r="L53" s="290"/>
      <c r="M53" s="289" t="str">
        <f>IF(M52="","",IF(M52&lt;=2,"A",IF(M52&lt;=2.75,"B",IF(M52&lt;=3.5,"C",IF(M52&lt;=4.25,"D",IF(M52&lt;=5,"E","F"))))))</f>
        <v/>
      </c>
      <c r="N53" s="290"/>
      <c r="O53" s="289" t="str">
        <f>IF(O52="","",IF(O52&lt;=2,"A",IF(O52&lt;=2.75,"B",IF(O52&lt;=3.5,"C",IF(O52&lt;=4.25,"D",IF(O52&lt;=5,"E","F"))))))</f>
        <v/>
      </c>
      <c r="P53" s="290"/>
      <c r="Q53" s="289" t="str">
        <f>IF(Q52="","",IF(Q52&lt;=2,"A",IF(Q52&lt;=2.75,"B",IF(Q52&lt;=3.5,"C",IF(Q52&lt;=4.25,"D",IF(Q52&lt;=5,"E","F"))))))</f>
        <v/>
      </c>
      <c r="R53" s="290"/>
      <c r="S53" s="289" t="str">
        <f>IF(S52="","",IF(S52&lt;=2,"A",IF(S52&lt;=2.75,"B",IF(S52&lt;=3.5,"C",IF(S52&lt;=4.25,"D",IF(S52&lt;=5,"E","F"))))))</f>
        <v/>
      </c>
      <c r="T53" s="290"/>
      <c r="U53" s="289" t="str">
        <f>IF(U52="","",IF(U52&lt;=2,"A",IF(U52&lt;=2.75,"B",IF(U52&lt;=3.5,"C",IF(U52&lt;=4.25,"D",IF(U52&lt;=5,"E","F"))))))</f>
        <v/>
      </c>
      <c r="V53" s="290"/>
      <c r="W53" s="289" t="str">
        <f>IF(W52="","",IF(W52&lt;=2,"A",IF(W52&lt;=2.75,"B",IF(W52&lt;=3.5,"C",IF(W52&lt;=4.25,"D",IF(W52&lt;=5,"E","F"))))))</f>
        <v/>
      </c>
      <c r="X53" s="290"/>
      <c r="Y53" s="289" t="str">
        <f>IF(Y52="","",IF(Y52&lt;=2,"A",IF(Y52&lt;=2.75,"B",IF(Y52&lt;=3.5,"C",IF(Y52&lt;=4.25,"D",IF(Y52&lt;=5,"E","F"))))))</f>
        <v/>
      </c>
      <c r="Z53" s="290"/>
      <c r="AA53" s="289" t="str">
        <f>IF(AA52="","",IF(AA52&lt;=2,"A",IF(AA52&lt;=2.75,"B",IF(AA52&lt;=3.5,"C",IF(AA52&lt;=4.25,"D",IF(AA52&lt;=5,"E","F"))))))</f>
        <v/>
      </c>
      <c r="AB53" s="290"/>
      <c r="AC53" s="289" t="str">
        <f>IF(AC52="","",IF(AC52&lt;=2,"A",IF(AC52&lt;=2.75,"B",IF(AC52&lt;=3.5,"C",IF(AC52&lt;=4.25,"D",IF(AC52&lt;=5,"E","F"))))))</f>
        <v/>
      </c>
      <c r="AD53" s="290"/>
      <c r="AE53" s="289" t="str">
        <f>IF(AE52="","",IF(AE52&lt;=2,"A",IF(AE52&lt;=2.75,"B",IF(AE52&lt;=3.5,"C",IF(AE52&lt;=4.25,"D",IF(AE52&lt;=5,"E","F"))))))</f>
        <v/>
      </c>
      <c r="AF53" s="290"/>
      <c r="AG53" s="289" t="str">
        <f>IF(AG52="","",IF(AG52&lt;=2,"A",IF(AG52&lt;=2.75,"B",IF(AG52&lt;=3.5,"C",IF(AG52&lt;=4.25,"D",IF(AG52&lt;=5,"E","F"))))))</f>
        <v/>
      </c>
      <c r="AH53" s="290"/>
      <c r="AI53" s="289" t="str">
        <f>IF(AI52="","",IF(AI52&lt;=2,"A",IF(AI52&lt;=2.75,"B",IF(AI52&lt;=3.5,"C",IF(AI52&lt;=4.25,"D",IF(AI52&lt;=5,"E","F"))))))</f>
        <v/>
      </c>
      <c r="AJ53" s="290"/>
      <c r="AK53" s="289" t="str">
        <f>IF(AK52="","",IF(AK52&lt;=2,"A",IF(AK52&lt;=2.75,"B",IF(AK52&lt;=3.5,"C",IF(AK52&lt;=4.25,"D",IF(AK52&lt;=5,"E","F"))))))</f>
        <v/>
      </c>
      <c r="AL53" s="290"/>
      <c r="AM53" s="289" t="str">
        <f>IF(AM52="","",IF(AM52&lt;=2,"A",IF(AM52&lt;=2.75,"B",IF(AM52&lt;=3.5,"C",IF(AM52&lt;=4.25,"D",IF(AM52&lt;=5,"E","F"))))))</f>
        <v/>
      </c>
      <c r="AN53" s="290"/>
      <c r="AO53" s="289" t="str">
        <f>IF(AO52="","",IF(AO52&lt;=2,"A",IF(AO52&lt;=2.75,"B",IF(AO52&lt;=3.5,"C",IF(AO52&lt;=4.25,"D",IF(AO52&lt;=5,"E","F"))))))</f>
        <v/>
      </c>
      <c r="AP53" s="290"/>
      <c r="AQ53" s="289" t="str">
        <f>IF(AQ52="","",IF(AQ52&lt;=2,"A",IF(AQ52&lt;=2.75,"B",IF(AQ52&lt;=3.5,"C",IF(AQ52&lt;=4.25,"D",IF(AQ52&lt;=5,"E","F"))))))</f>
        <v/>
      </c>
      <c r="AR53" s="290"/>
      <c r="AS53" s="69" t="str">
        <f>IF(AS50&lt;=2,"A",IF(AS50&lt;=2.75,"B",IF(AS50&lt;=3.5,"C",IF(AS50&lt;=4.25,"D",IF(AS50&lt;=5,"E","F")))))</f>
        <v>B</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207</v>
      </c>
      <c r="D56" s="20" t="s">
        <v>210</v>
      </c>
      <c r="E56" s="20"/>
      <c r="F56" s="231"/>
    </row>
    <row r="57" spans="2:46" ht="15.75" x14ac:dyDescent="0.25">
      <c r="C57" s="21" t="s">
        <v>208</v>
      </c>
      <c r="D57" s="20" t="s">
        <v>211</v>
      </c>
    </row>
    <row r="58" spans="2:46" ht="15.75" x14ac:dyDescent="0.25">
      <c r="C58" s="21" t="s">
        <v>209</v>
      </c>
      <c r="D58" s="20" t="s">
        <v>214</v>
      </c>
    </row>
    <row r="59" spans="2:46" ht="12.95" customHeight="1" x14ac:dyDescent="0.25">
      <c r="C59" s="21" t="s">
        <v>216</v>
      </c>
      <c r="D59" s="307" t="s">
        <v>217</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07"/>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07"/>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243</v>
      </c>
      <c r="D62" s="147" t="s">
        <v>245</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08" t="s">
        <v>230</v>
      </c>
      <c r="D65" s="308"/>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M3:N3"/>
    <mergeCell ref="O3:P3"/>
    <mergeCell ref="Q3:R3"/>
    <mergeCell ref="S3:T3"/>
    <mergeCell ref="U3:V3"/>
    <mergeCell ref="W3:X3"/>
    <mergeCell ref="C3:D4"/>
    <mergeCell ref="E3:F3"/>
    <mergeCell ref="G3:H3"/>
    <mergeCell ref="I3:J3"/>
    <mergeCell ref="K3:L3"/>
    <mergeCell ref="AK3:AL3"/>
    <mergeCell ref="AM3:AN3"/>
    <mergeCell ref="AO3:AP3"/>
    <mergeCell ref="AQ3:AR3"/>
    <mergeCell ref="AS3:AS4"/>
    <mergeCell ref="Y3:Z3"/>
    <mergeCell ref="AA3:AB3"/>
    <mergeCell ref="AC3:AD3"/>
    <mergeCell ref="AE3:AF3"/>
    <mergeCell ref="AG3:AH3"/>
    <mergeCell ref="AI3:AJ3"/>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K38:L38"/>
    <mergeCell ref="M38:N38"/>
    <mergeCell ref="O38:P38"/>
    <mergeCell ref="Q38:R38"/>
    <mergeCell ref="S38:T38"/>
    <mergeCell ref="U8:V8"/>
    <mergeCell ref="W8:X8"/>
    <mergeCell ref="Y8:Z8"/>
    <mergeCell ref="AA8:AB8"/>
    <mergeCell ref="W31:X31"/>
    <mergeCell ref="Y31:Z31"/>
    <mergeCell ref="AA31:AB31"/>
    <mergeCell ref="AA9:AB9"/>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K48:AL48"/>
    <mergeCell ref="AM48:AN48"/>
    <mergeCell ref="AO48:AP48"/>
    <mergeCell ref="AQ48:AR48"/>
    <mergeCell ref="U48:V48"/>
    <mergeCell ref="W48:X48"/>
    <mergeCell ref="Y48:Z48"/>
    <mergeCell ref="AA48:AB48"/>
    <mergeCell ref="AC48:AD48"/>
    <mergeCell ref="AE48:AF48"/>
    <mergeCell ref="AI48:AJ48"/>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G53:AH53"/>
    <mergeCell ref="AI53:AJ53"/>
    <mergeCell ref="AK53:AL53"/>
    <mergeCell ref="AM53:AN53"/>
    <mergeCell ref="AO53:AP53"/>
    <mergeCell ref="AQ53:AR53"/>
    <mergeCell ref="U53:V53"/>
    <mergeCell ref="W53:X53"/>
    <mergeCell ref="Y53:Z53"/>
    <mergeCell ref="AA53:AB53"/>
    <mergeCell ref="AC53:AD53"/>
    <mergeCell ref="AE53:AF53"/>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C6:D6"/>
    <mergeCell ref="G6:H6"/>
    <mergeCell ref="I6:J6"/>
    <mergeCell ref="K6:L6"/>
    <mergeCell ref="E23:F23"/>
    <mergeCell ref="E31:F31"/>
    <mergeCell ref="I31:J31"/>
    <mergeCell ref="K31:L31"/>
    <mergeCell ref="M31:N31"/>
    <mergeCell ref="K23:L23"/>
    <mergeCell ref="M23:N23"/>
    <mergeCell ref="E8:F8"/>
    <mergeCell ref="G8:H8"/>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I48:J48"/>
    <mergeCell ref="K48:L48"/>
    <mergeCell ref="M48:N48"/>
    <mergeCell ref="O48:P48"/>
    <mergeCell ref="Q48:R48"/>
    <mergeCell ref="S48:T48"/>
    <mergeCell ref="U47:V47"/>
    <mergeCell ref="W47:X47"/>
    <mergeCell ref="Y47:Z4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00" zoomScalePageLayoutView="70" workbookViewId="0">
      <pane xSplit="5" ySplit="4" topLeftCell="F17" activePane="bottomRight" state="frozen"/>
      <selection pane="topRight" activeCell="F1" sqref="F1"/>
      <selection pane="bottomLeft" activeCell="A5" sqref="A5"/>
      <selection pane="bottomRight" activeCell="F56" sqref="F56"/>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286" t="s">
        <v>68</v>
      </c>
      <c r="D3" s="304"/>
      <c r="E3" s="312" t="s">
        <v>229</v>
      </c>
      <c r="F3" s="286" t="s">
        <v>19</v>
      </c>
      <c r="G3" s="304"/>
      <c r="H3" s="286" t="s">
        <v>123</v>
      </c>
      <c r="I3" s="304"/>
      <c r="J3" s="286" t="s">
        <v>124</v>
      </c>
      <c r="K3" s="304"/>
      <c r="L3" s="286" t="s">
        <v>125</v>
      </c>
      <c r="M3" s="304"/>
      <c r="N3" s="286" t="s">
        <v>126</v>
      </c>
      <c r="O3" s="304"/>
      <c r="P3" s="286" t="s">
        <v>127</v>
      </c>
      <c r="Q3" s="304"/>
      <c r="R3" s="286" t="s">
        <v>128</v>
      </c>
      <c r="S3" s="304"/>
      <c r="T3" s="286" t="s">
        <v>129</v>
      </c>
      <c r="U3" s="304"/>
      <c r="V3" s="286" t="s">
        <v>130</v>
      </c>
      <c r="W3" s="304"/>
      <c r="X3" s="286" t="s">
        <v>131</v>
      </c>
      <c r="Y3" s="304"/>
      <c r="Z3" s="286" t="s">
        <v>132</v>
      </c>
      <c r="AA3" s="304"/>
      <c r="AB3" s="286" t="s">
        <v>133</v>
      </c>
      <c r="AC3" s="304"/>
      <c r="AD3" s="286" t="s">
        <v>134</v>
      </c>
      <c r="AE3" s="304"/>
      <c r="AF3" s="286" t="s">
        <v>135</v>
      </c>
      <c r="AG3" s="304"/>
      <c r="AH3" s="286" t="s">
        <v>136</v>
      </c>
      <c r="AI3" s="304"/>
      <c r="AJ3" s="286" t="s">
        <v>137</v>
      </c>
      <c r="AK3" s="304"/>
      <c r="AL3" s="286" t="s">
        <v>138</v>
      </c>
      <c r="AM3" s="304"/>
      <c r="AN3" s="286" t="s">
        <v>139</v>
      </c>
      <c r="AO3" s="304"/>
      <c r="AP3" s="286" t="s">
        <v>140</v>
      </c>
      <c r="AQ3" s="304"/>
      <c r="AR3" s="286" t="s">
        <v>141</v>
      </c>
      <c r="AS3" s="304"/>
      <c r="AT3" s="309" t="s">
        <v>199</v>
      </c>
      <c r="AU3" s="56"/>
    </row>
    <row r="4" spans="1:47" s="21" customFormat="1" ht="13.5" x14ac:dyDescent="0.25">
      <c r="B4" s="57"/>
      <c r="C4" s="286"/>
      <c r="D4" s="304"/>
      <c r="E4" s="312"/>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09"/>
      <c r="AU4" s="58"/>
    </row>
    <row r="5" spans="1:47" s="21" customFormat="1" x14ac:dyDescent="0.25">
      <c r="B5" s="57"/>
      <c r="C5" s="59"/>
      <c r="D5" s="59"/>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286" t="s">
        <v>0</v>
      </c>
      <c r="D6" s="304"/>
      <c r="E6" s="88"/>
      <c r="F6" s="286"/>
      <c r="G6" s="304"/>
      <c r="H6" s="286"/>
      <c r="I6" s="304"/>
      <c r="J6" s="286"/>
      <c r="K6" s="304"/>
      <c r="L6" s="286"/>
      <c r="M6" s="304"/>
      <c r="N6" s="286"/>
      <c r="O6" s="304"/>
      <c r="P6" s="286"/>
      <c r="Q6" s="304"/>
      <c r="R6" s="286"/>
      <c r="S6" s="304"/>
      <c r="T6" s="286"/>
      <c r="U6" s="304"/>
      <c r="V6" s="286"/>
      <c r="W6" s="304"/>
      <c r="X6" s="286"/>
      <c r="Y6" s="304"/>
      <c r="Z6" s="286"/>
      <c r="AA6" s="304"/>
      <c r="AB6" s="286"/>
      <c r="AC6" s="304"/>
      <c r="AD6" s="286"/>
      <c r="AE6" s="304"/>
      <c r="AF6" s="286"/>
      <c r="AG6" s="304"/>
      <c r="AH6" s="286"/>
      <c r="AI6" s="304"/>
      <c r="AJ6" s="286"/>
      <c r="AK6" s="304"/>
      <c r="AL6" s="286"/>
      <c r="AM6" s="304"/>
      <c r="AN6" s="286"/>
      <c r="AO6" s="304"/>
      <c r="AP6" s="286"/>
      <c r="AQ6" s="304"/>
      <c r="AR6" s="286"/>
      <c r="AS6" s="304"/>
      <c r="AT6" s="48"/>
      <c r="AU6" s="58"/>
    </row>
    <row r="7" spans="1:47" s="21" customFormat="1" ht="13.5" x14ac:dyDescent="0.2">
      <c r="B7" s="57"/>
      <c r="C7" s="6"/>
      <c r="D7" s="7" t="s">
        <v>88</v>
      </c>
      <c r="E7" s="128"/>
      <c r="F7" s="310">
        <v>220</v>
      </c>
      <c r="G7" s="311"/>
      <c r="H7" s="310"/>
      <c r="I7" s="311"/>
      <c r="J7" s="310"/>
      <c r="K7" s="311"/>
      <c r="L7" s="310"/>
      <c r="M7" s="311"/>
      <c r="N7" s="310"/>
      <c r="O7" s="311"/>
      <c r="P7" s="310"/>
      <c r="Q7" s="311"/>
      <c r="R7" s="310"/>
      <c r="S7" s="311"/>
      <c r="T7" s="310"/>
      <c r="U7" s="311"/>
      <c r="V7" s="310"/>
      <c r="W7" s="311"/>
      <c r="X7" s="310"/>
      <c r="Y7" s="311"/>
      <c r="Z7" s="310"/>
      <c r="AA7" s="311"/>
      <c r="AB7" s="310"/>
      <c r="AC7" s="311"/>
      <c r="AD7" s="310"/>
      <c r="AE7" s="311"/>
      <c r="AF7" s="310"/>
      <c r="AG7" s="311"/>
      <c r="AH7" s="310"/>
      <c r="AI7" s="311"/>
      <c r="AJ7" s="310"/>
      <c r="AK7" s="311"/>
      <c r="AL7" s="310"/>
      <c r="AM7" s="311"/>
      <c r="AN7" s="310"/>
      <c r="AO7" s="311"/>
      <c r="AP7" s="310"/>
      <c r="AQ7" s="311"/>
      <c r="AR7" s="310"/>
      <c r="AS7" s="311"/>
      <c r="AT7" s="48"/>
      <c r="AU7" s="58"/>
    </row>
    <row r="8" spans="1:47" s="21" customFormat="1" ht="13.5" x14ac:dyDescent="0.25">
      <c r="B8" s="57"/>
      <c r="C8" s="6"/>
      <c r="D8" s="7" t="s">
        <v>65</v>
      </c>
      <c r="E8" s="128"/>
      <c r="F8" s="79" t="s">
        <v>271</v>
      </c>
      <c r="G8" s="3" t="s">
        <v>272</v>
      </c>
      <c r="H8" s="79"/>
      <c r="I8" s="3"/>
      <c r="J8" s="79"/>
      <c r="K8" s="3"/>
      <c r="L8" s="79"/>
      <c r="M8" s="3"/>
      <c r="N8" s="79"/>
      <c r="O8" s="3"/>
      <c r="P8" s="79"/>
      <c r="Q8" s="3"/>
      <c r="R8" s="79"/>
      <c r="S8" s="3"/>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352</v>
      </c>
      <c r="D10" s="7" t="s">
        <v>353</v>
      </c>
      <c r="E10" s="217"/>
      <c r="F10" s="80">
        <v>0</v>
      </c>
      <c r="G10" s="81">
        <v>0</v>
      </c>
      <c r="H10" s="80"/>
      <c r="I10" s="81"/>
      <c r="J10" s="80"/>
      <c r="K10" s="81"/>
      <c r="L10" s="80"/>
      <c r="M10" s="81"/>
      <c r="N10" s="80"/>
      <c r="O10" s="81"/>
      <c r="P10" s="80"/>
      <c r="Q10" s="81"/>
      <c r="R10" s="80"/>
      <c r="S10" s="81"/>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727</v>
      </c>
      <c r="G11" s="81">
        <v>850</v>
      </c>
      <c r="H11" s="80"/>
      <c r="I11" s="81"/>
      <c r="J11" s="80"/>
      <c r="K11" s="81"/>
      <c r="L11" s="80"/>
      <c r="M11" s="81"/>
      <c r="N11" s="80"/>
      <c r="O11" s="81"/>
      <c r="P11" s="80"/>
      <c r="Q11" s="81"/>
      <c r="R11" s="80"/>
      <c r="S11" s="81"/>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c r="F12" s="40">
        <v>0.02</v>
      </c>
      <c r="G12" s="41">
        <v>0.02</v>
      </c>
      <c r="H12" s="40"/>
      <c r="I12" s="41"/>
      <c r="J12" s="40"/>
      <c r="K12" s="41"/>
      <c r="L12" s="40"/>
      <c r="M12" s="41"/>
      <c r="N12" s="40"/>
      <c r="O12" s="41"/>
      <c r="P12" s="40"/>
      <c r="Q12" s="41"/>
      <c r="R12" s="40"/>
      <c r="S12" s="41"/>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c r="F13" s="80">
        <v>25</v>
      </c>
      <c r="G13" s="81">
        <v>25</v>
      </c>
      <c r="H13" s="80"/>
      <c r="I13" s="81"/>
      <c r="J13" s="80"/>
      <c r="K13" s="81"/>
      <c r="L13" s="80"/>
      <c r="M13" s="81"/>
      <c r="N13" s="80"/>
      <c r="O13" s="81"/>
      <c r="P13" s="80"/>
      <c r="Q13" s="81"/>
      <c r="R13" s="80"/>
      <c r="S13" s="81"/>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323</v>
      </c>
      <c r="D14" s="7" t="s">
        <v>399</v>
      </c>
      <c r="E14" s="122">
        <v>3.3</v>
      </c>
      <c r="F14" s="86">
        <v>3.3</v>
      </c>
      <c r="G14" s="87">
        <v>3.3</v>
      </c>
      <c r="H14" s="80"/>
      <c r="I14" s="81"/>
      <c r="J14" s="80"/>
      <c r="K14" s="81"/>
      <c r="L14" s="80"/>
      <c r="M14" s="81"/>
      <c r="N14" s="80"/>
      <c r="O14" s="81"/>
      <c r="P14" s="80"/>
      <c r="Q14" s="81"/>
      <c r="R14" s="80"/>
      <c r="S14" s="81"/>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358</v>
      </c>
      <c r="D15" s="7" t="s">
        <v>389</v>
      </c>
      <c r="E15" s="118"/>
      <c r="F15" s="80">
        <v>10</v>
      </c>
      <c r="G15" s="81">
        <v>10</v>
      </c>
      <c r="H15" s="80"/>
      <c r="I15" s="81"/>
      <c r="J15" s="80"/>
      <c r="K15" s="81"/>
      <c r="L15" s="80"/>
      <c r="M15" s="81"/>
      <c r="N15" s="80"/>
      <c r="O15" s="81"/>
      <c r="P15" s="80"/>
      <c r="Q15" s="81"/>
      <c r="R15" s="80"/>
      <c r="S15" s="81"/>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4</v>
      </c>
      <c r="G16" s="83">
        <v>4</v>
      </c>
      <c r="H16" s="82"/>
      <c r="I16" s="83"/>
      <c r="J16" s="82"/>
      <c r="K16" s="83"/>
      <c r="L16" s="82"/>
      <c r="M16" s="83"/>
      <c r="N16" s="82"/>
      <c r="O16" s="83"/>
      <c r="P16" s="82"/>
      <c r="Q16" s="83"/>
      <c r="R16" s="82"/>
      <c r="S16" s="83"/>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246</v>
      </c>
      <c r="E17" s="121"/>
      <c r="F17" s="84">
        <v>8</v>
      </c>
      <c r="G17" s="85">
        <v>8</v>
      </c>
      <c r="H17" s="84"/>
      <c r="I17" s="85"/>
      <c r="J17" s="84"/>
      <c r="K17" s="85"/>
      <c r="L17" s="84"/>
      <c r="M17" s="85"/>
      <c r="N17" s="84"/>
      <c r="O17" s="85"/>
      <c r="P17" s="84"/>
      <c r="Q17" s="85"/>
      <c r="R17" s="84"/>
      <c r="S17" s="85"/>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c r="F18" s="84">
        <v>0</v>
      </c>
      <c r="G18" s="85">
        <v>0</v>
      </c>
      <c r="H18" s="84"/>
      <c r="I18" s="85"/>
      <c r="J18" s="84"/>
      <c r="K18" s="85"/>
      <c r="L18" s="84"/>
      <c r="M18" s="85"/>
      <c r="N18" s="84"/>
      <c r="O18" s="85"/>
      <c r="P18" s="84"/>
      <c r="Q18" s="85"/>
      <c r="R18" s="84"/>
      <c r="S18" s="85"/>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247</v>
      </c>
      <c r="E19" s="122"/>
      <c r="F19" s="86">
        <v>0</v>
      </c>
      <c r="G19" s="87">
        <v>0</v>
      </c>
      <c r="H19" s="86"/>
      <c r="I19" s="87"/>
      <c r="J19" s="86"/>
      <c r="K19" s="87"/>
      <c r="L19" s="86"/>
      <c r="M19" s="87"/>
      <c r="N19" s="86"/>
      <c r="O19" s="87"/>
      <c r="P19" s="86"/>
      <c r="Q19" s="87"/>
      <c r="R19" s="86"/>
      <c r="S19" s="87"/>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c r="I20" s="87"/>
      <c r="J20" s="86"/>
      <c r="K20" s="87"/>
      <c r="L20" s="86"/>
      <c r="M20" s="87"/>
      <c r="N20" s="86"/>
      <c r="O20" s="87"/>
      <c r="P20" s="86"/>
      <c r="Q20" s="87"/>
      <c r="R20" s="86"/>
      <c r="S20" s="87"/>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c r="I21" s="87"/>
      <c r="J21" s="86"/>
      <c r="K21" s="87"/>
      <c r="L21" s="86"/>
      <c r="M21" s="87"/>
      <c r="N21" s="86"/>
      <c r="O21" s="87"/>
      <c r="P21" s="86"/>
      <c r="Q21" s="87"/>
      <c r="R21" s="86"/>
      <c r="S21" s="87"/>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c r="F22" s="40">
        <v>0.9</v>
      </c>
      <c r="G22" s="41">
        <v>0.9</v>
      </c>
      <c r="H22" s="40"/>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c r="F23" s="86">
        <v>9</v>
      </c>
      <c r="G23" s="87">
        <v>9</v>
      </c>
      <c r="H23" s="86"/>
      <c r="I23" s="87"/>
      <c r="J23" s="86"/>
      <c r="K23" s="87"/>
      <c r="L23" s="86"/>
      <c r="M23" s="87"/>
      <c r="N23" s="86"/>
      <c r="O23" s="87"/>
      <c r="P23" s="86"/>
      <c r="Q23" s="87"/>
      <c r="R23" s="86"/>
      <c r="S23" s="87"/>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c r="F24" s="86">
        <v>3.5</v>
      </c>
      <c r="G24" s="87">
        <v>3.5</v>
      </c>
      <c r="H24" s="86"/>
      <c r="I24" s="87"/>
      <c r="J24" s="86"/>
      <c r="K24" s="87"/>
      <c r="L24" s="86"/>
      <c r="M24" s="87"/>
      <c r="N24" s="86"/>
      <c r="O24" s="87"/>
      <c r="P24" s="86"/>
      <c r="Q24" s="87"/>
      <c r="R24" s="86"/>
      <c r="S24" s="87"/>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7" t="s">
        <v>390</v>
      </c>
      <c r="D25" s="7" t="s">
        <v>391</v>
      </c>
      <c r="E25" s="122"/>
      <c r="F25" s="230">
        <v>0.35</v>
      </c>
      <c r="G25" s="228">
        <v>0.35</v>
      </c>
      <c r="H25" s="229"/>
      <c r="I25" s="228"/>
      <c r="J25" s="230"/>
      <c r="K25" s="228"/>
      <c r="L25" s="230"/>
      <c r="M25" s="228"/>
      <c r="N25" s="230"/>
      <c r="O25" s="228"/>
      <c r="P25" s="230"/>
      <c r="Q25" s="228"/>
      <c r="R25" s="230"/>
      <c r="S25" s="228"/>
      <c r="T25" s="230"/>
      <c r="U25" s="228"/>
      <c r="V25" s="230"/>
      <c r="W25" s="228"/>
      <c r="X25" s="230"/>
      <c r="Y25" s="228"/>
      <c r="Z25" s="230"/>
      <c r="AA25" s="228"/>
      <c r="AB25" s="230"/>
      <c r="AC25" s="228"/>
      <c r="AD25" s="230"/>
      <c r="AE25" s="228"/>
      <c r="AF25" s="230"/>
      <c r="AG25" s="228"/>
      <c r="AH25" s="230"/>
      <c r="AI25" s="228"/>
      <c r="AJ25" s="230"/>
      <c r="AK25" s="228"/>
      <c r="AL25" s="230"/>
      <c r="AM25" s="228"/>
      <c r="AN25" s="230"/>
      <c r="AO25" s="228"/>
      <c r="AP25" s="230"/>
      <c r="AQ25" s="228"/>
      <c r="AR25" s="230"/>
      <c r="AS25" s="228"/>
      <c r="AT25" s="49"/>
      <c r="AU25" s="56"/>
    </row>
    <row r="26" spans="2:47" ht="25.5" x14ac:dyDescent="0.25">
      <c r="B26" s="55"/>
      <c r="C26" s="9"/>
      <c r="D26" s="137" t="s">
        <v>231</v>
      </c>
      <c r="E26" s="141" t="s">
        <v>64</v>
      </c>
      <c r="F26" s="40" t="s">
        <v>64</v>
      </c>
      <c r="G26" s="41" t="s">
        <v>64</v>
      </c>
      <c r="H26" s="78"/>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c r="F28" s="40" t="s">
        <v>74</v>
      </c>
      <c r="G28" s="41" t="s">
        <v>74</v>
      </c>
      <c r="H28" s="40"/>
      <c r="I28" s="41"/>
      <c r="J28" s="40"/>
      <c r="K28" s="41"/>
      <c r="L28" s="40"/>
      <c r="M28" s="41"/>
      <c r="N28" s="40"/>
      <c r="O28" s="41"/>
      <c r="P28" s="40"/>
      <c r="Q28" s="41"/>
      <c r="R28" s="40"/>
      <c r="S28" s="41"/>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173</v>
      </c>
      <c r="E29" s="119"/>
      <c r="F29" s="40" t="s">
        <v>74</v>
      </c>
      <c r="G29" s="41" t="s">
        <v>74</v>
      </c>
      <c r="H29" s="40"/>
      <c r="I29" s="41"/>
      <c r="J29" s="40"/>
      <c r="K29" s="41"/>
      <c r="L29" s="40"/>
      <c r="M29" s="41"/>
      <c r="N29" s="40"/>
      <c r="O29" s="41"/>
      <c r="P29" s="40"/>
      <c r="Q29" s="41"/>
      <c r="R29" s="40"/>
      <c r="S29" s="41"/>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215</v>
      </c>
      <c r="E30" s="119"/>
      <c r="F30" s="40" t="s">
        <v>64</v>
      </c>
      <c r="G30" s="41" t="s">
        <v>64</v>
      </c>
      <c r="H30" s="40"/>
      <c r="I30" s="41"/>
      <c r="J30" s="40"/>
      <c r="K30" s="41"/>
      <c r="L30" s="40"/>
      <c r="M30" s="41"/>
      <c r="N30" s="40"/>
      <c r="O30" s="41"/>
      <c r="P30" s="40"/>
      <c r="Q30" s="41"/>
      <c r="R30" s="40"/>
      <c r="S30" s="41"/>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242</v>
      </c>
      <c r="E31" s="141"/>
      <c r="F31" s="40" t="s">
        <v>64</v>
      </c>
      <c r="G31" s="41" t="s">
        <v>64</v>
      </c>
      <c r="H31" s="40"/>
      <c r="I31" s="41"/>
      <c r="J31" s="40"/>
      <c r="K31" s="41"/>
      <c r="L31" s="40"/>
      <c r="M31" s="41"/>
      <c r="N31" s="40"/>
      <c r="O31" s="41"/>
      <c r="P31" s="40"/>
      <c r="Q31" s="41"/>
      <c r="R31" s="40"/>
      <c r="S31" s="41"/>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3</v>
      </c>
      <c r="G34" s="39">
        <v>3</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c r="I35" s="39"/>
      <c r="J35" s="9"/>
      <c r="K35" s="39"/>
      <c r="L35" s="9"/>
      <c r="M35" s="39"/>
      <c r="N35" s="9"/>
      <c r="O35" s="39"/>
      <c r="P35" s="9"/>
      <c r="Q35" s="39"/>
      <c r="R35" s="9"/>
      <c r="S35" s="39"/>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c r="F36" s="9">
        <v>0.85</v>
      </c>
      <c r="G36" s="39">
        <v>0.85</v>
      </c>
      <c r="H36" s="9"/>
      <c r="I36" s="39"/>
      <c r="J36" s="9"/>
      <c r="K36" s="39"/>
      <c r="L36" s="9"/>
      <c r="M36" s="39"/>
      <c r="N36" s="9"/>
      <c r="O36" s="39"/>
      <c r="P36" s="9"/>
      <c r="Q36" s="39"/>
      <c r="R36" s="9"/>
      <c r="S36" s="39"/>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9</v>
      </c>
      <c r="G37" s="39">
        <v>9</v>
      </c>
      <c r="H37" s="9"/>
      <c r="I37" s="39"/>
      <c r="J37" s="9"/>
      <c r="K37" s="39"/>
      <c r="L37" s="9"/>
      <c r="M37" s="39"/>
      <c r="N37" s="9"/>
      <c r="O37" s="39"/>
      <c r="P37" s="9"/>
      <c r="Q37" s="39"/>
      <c r="R37" s="9"/>
      <c r="S37" s="39"/>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c r="I38" s="39"/>
      <c r="J38" s="9"/>
      <c r="K38" s="39"/>
      <c r="L38" s="9"/>
      <c r="M38" s="39"/>
      <c r="N38" s="9"/>
      <c r="O38" s="39"/>
      <c r="P38" s="9"/>
      <c r="Q38" s="39"/>
      <c r="R38" s="9"/>
      <c r="S38" s="39"/>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c r="I39" s="41"/>
      <c r="J39" s="40"/>
      <c r="K39" s="41"/>
      <c r="L39" s="40"/>
      <c r="M39" s="41"/>
      <c r="N39" s="40"/>
      <c r="O39" s="41"/>
      <c r="P39" s="40"/>
      <c r="Q39" s="41"/>
      <c r="R39" s="40"/>
      <c r="S39" s="41"/>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c r="I40" s="41"/>
      <c r="J40" s="40"/>
      <c r="K40" s="41"/>
      <c r="L40" s="40"/>
      <c r="M40" s="41"/>
      <c r="N40" s="40"/>
      <c r="O40" s="41"/>
      <c r="P40" s="40"/>
      <c r="Q40" s="41"/>
      <c r="R40" s="40"/>
      <c r="S40" s="41"/>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c r="I41" s="41"/>
      <c r="J41" s="40"/>
      <c r="K41" s="41"/>
      <c r="L41" s="40"/>
      <c r="M41" s="41"/>
      <c r="N41" s="40"/>
      <c r="O41" s="41"/>
      <c r="P41" s="40"/>
      <c r="Q41" s="41"/>
      <c r="R41" s="40"/>
      <c r="S41" s="41"/>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233</v>
      </c>
      <c r="E42" s="141" t="s">
        <v>74</v>
      </c>
      <c r="F42" s="40" t="s">
        <v>74</v>
      </c>
      <c r="G42" s="41" t="s">
        <v>74</v>
      </c>
      <c r="H42" s="40"/>
      <c r="I42" s="41"/>
      <c r="J42" s="40"/>
      <c r="K42" s="41"/>
      <c r="L42" s="40"/>
      <c r="M42" s="41"/>
      <c r="N42" s="40"/>
      <c r="O42" s="41"/>
      <c r="P42" s="40"/>
      <c r="Q42" s="41"/>
      <c r="R42" s="40"/>
      <c r="S42" s="41"/>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286" t="s">
        <v>24</v>
      </c>
      <c r="D44" s="304"/>
      <c r="E44" s="88"/>
      <c r="F44" s="286"/>
      <c r="G44" s="304"/>
      <c r="H44" s="286"/>
      <c r="I44" s="304"/>
      <c r="J44" s="286"/>
      <c r="K44" s="304"/>
      <c r="L44" s="286"/>
      <c r="M44" s="304"/>
      <c r="N44" s="286"/>
      <c r="O44" s="304"/>
      <c r="P44" s="286"/>
      <c r="Q44" s="304"/>
      <c r="R44" s="286"/>
      <c r="S44" s="304"/>
      <c r="T44" s="286"/>
      <c r="U44" s="304"/>
      <c r="V44" s="286"/>
      <c r="W44" s="304"/>
      <c r="X44" s="286"/>
      <c r="Y44" s="304"/>
      <c r="Z44" s="286"/>
      <c r="AA44" s="304"/>
      <c r="AB44" s="286"/>
      <c r="AC44" s="304"/>
      <c r="AD44" s="286"/>
      <c r="AE44" s="304"/>
      <c r="AF44" s="286"/>
      <c r="AG44" s="304"/>
      <c r="AH44" s="286"/>
      <c r="AI44" s="304"/>
      <c r="AJ44" s="286"/>
      <c r="AK44" s="304"/>
      <c r="AL44" s="286"/>
      <c r="AM44" s="304"/>
      <c r="AN44" s="286"/>
      <c r="AO44" s="304"/>
      <c r="AP44" s="286"/>
      <c r="AQ44" s="304"/>
      <c r="AR44" s="286"/>
      <c r="AS44" s="304"/>
      <c r="AT44" s="50"/>
      <c r="AU44" s="62"/>
    </row>
    <row r="45" spans="2:47" ht="15.75" x14ac:dyDescent="0.25">
      <c r="B45" s="55"/>
      <c r="C45" s="4"/>
      <c r="D45" s="8" t="s">
        <v>204</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v>
      </c>
      <c r="F46" s="10">
        <f t="shared" ref="F46:G46" si="1">4*((F13/100)^2)</f>
        <v>0.25</v>
      </c>
      <c r="G46" s="12">
        <f t="shared" si="1"/>
        <v>0.25</v>
      </c>
      <c r="H46" s="10">
        <f t="shared" ref="H46:AS46" si="2">4*((H13/100)^2)</f>
        <v>0</v>
      </c>
      <c r="I46" s="99">
        <f t="shared" si="2"/>
        <v>0</v>
      </c>
      <c r="J46" s="10">
        <f t="shared" si="2"/>
        <v>0</v>
      </c>
      <c r="K46" s="99">
        <f t="shared" si="2"/>
        <v>0</v>
      </c>
      <c r="L46" s="10">
        <f t="shared" si="2"/>
        <v>0</v>
      </c>
      <c r="M46" s="99">
        <f t="shared" si="2"/>
        <v>0</v>
      </c>
      <c r="N46" s="10">
        <f t="shared" si="2"/>
        <v>0</v>
      </c>
      <c r="O46" s="99">
        <f t="shared" si="2"/>
        <v>0</v>
      </c>
      <c r="P46" s="10">
        <f t="shared" si="2"/>
        <v>0</v>
      </c>
      <c r="Q46" s="99">
        <f t="shared" si="2"/>
        <v>0</v>
      </c>
      <c r="R46" s="10">
        <f t="shared" si="2"/>
        <v>0</v>
      </c>
      <c r="S46" s="99">
        <f t="shared" si="2"/>
        <v>0</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1.6539250000000001</v>
      </c>
      <c r="G47" s="74">
        <f t="shared" si="3"/>
        <v>1.9337500000000001</v>
      </c>
      <c r="H47" s="96">
        <f t="shared" si="3"/>
        <v>0</v>
      </c>
      <c r="I47" s="98">
        <f t="shared" si="3"/>
        <v>0</v>
      </c>
      <c r="J47" s="96">
        <f t="shared" si="3"/>
        <v>0</v>
      </c>
      <c r="K47" s="98">
        <f t="shared" si="3"/>
        <v>0</v>
      </c>
      <c r="L47" s="96">
        <f t="shared" si="3"/>
        <v>0</v>
      </c>
      <c r="M47" s="98">
        <f t="shared" si="3"/>
        <v>0</v>
      </c>
      <c r="N47" s="96">
        <f t="shared" si="3"/>
        <v>0</v>
      </c>
      <c r="O47" s="98">
        <f t="shared" si="3"/>
        <v>0</v>
      </c>
      <c r="P47" s="96">
        <f t="shared" si="3"/>
        <v>0</v>
      </c>
      <c r="Q47" s="98">
        <f t="shared" si="3"/>
        <v>0</v>
      </c>
      <c r="R47" s="96">
        <f t="shared" si="3"/>
        <v>0</v>
      </c>
      <c r="S47" s="98">
        <f t="shared" si="3"/>
        <v>0</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10</v>
      </c>
      <c r="F48" s="13">
        <f t="shared" ref="F48:G48" si="5">MIN(F17,10)</f>
        <v>8</v>
      </c>
      <c r="G48" s="14">
        <f t="shared" si="5"/>
        <v>8</v>
      </c>
      <c r="H48" s="13">
        <f t="shared" ref="H48:AS48" si="6">MIN(H17,10)</f>
        <v>10</v>
      </c>
      <c r="I48" s="14">
        <f t="shared" si="6"/>
        <v>10</v>
      </c>
      <c r="J48" s="13">
        <f t="shared" si="6"/>
        <v>10</v>
      </c>
      <c r="K48" s="14">
        <f t="shared" si="6"/>
        <v>10</v>
      </c>
      <c r="L48" s="13">
        <f t="shared" si="6"/>
        <v>10</v>
      </c>
      <c r="M48" s="14">
        <f t="shared" si="6"/>
        <v>10</v>
      </c>
      <c r="N48" s="13">
        <f t="shared" si="6"/>
        <v>10</v>
      </c>
      <c r="O48" s="14">
        <f t="shared" si="6"/>
        <v>10</v>
      </c>
      <c r="P48" s="13">
        <f t="shared" si="6"/>
        <v>10</v>
      </c>
      <c r="Q48" s="14">
        <f t="shared" si="6"/>
        <v>10</v>
      </c>
      <c r="R48" s="13">
        <f t="shared" si="6"/>
        <v>10</v>
      </c>
      <c r="S48" s="14">
        <f t="shared" si="6"/>
        <v>10</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3</v>
      </c>
      <c r="F49" s="10">
        <f t="shared" ref="F49:G49" si="8">6-(0.3*F48)</f>
        <v>3.6</v>
      </c>
      <c r="G49" s="12">
        <f t="shared" si="8"/>
        <v>3.6</v>
      </c>
      <c r="H49" s="10">
        <f t="shared" ref="H49:AS49" si="9">6-(0.3*H48)</f>
        <v>3</v>
      </c>
      <c r="I49" s="99">
        <f t="shared" si="9"/>
        <v>3</v>
      </c>
      <c r="J49" s="10">
        <f t="shared" si="9"/>
        <v>3</v>
      </c>
      <c r="K49" s="99">
        <f t="shared" si="9"/>
        <v>3</v>
      </c>
      <c r="L49" s="10">
        <f t="shared" si="9"/>
        <v>3</v>
      </c>
      <c r="M49" s="99">
        <f t="shared" si="9"/>
        <v>3</v>
      </c>
      <c r="N49" s="10">
        <f t="shared" si="9"/>
        <v>3</v>
      </c>
      <c r="O49" s="99">
        <f t="shared" si="9"/>
        <v>3</v>
      </c>
      <c r="P49" s="10">
        <f t="shared" si="9"/>
        <v>3</v>
      </c>
      <c r="Q49" s="99">
        <f t="shared" si="9"/>
        <v>3</v>
      </c>
      <c r="R49" s="10">
        <f t="shared" si="9"/>
        <v>3</v>
      </c>
      <c r="S49" s="99">
        <f t="shared" si="9"/>
        <v>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244</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1</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v>
      </c>
      <c r="K50" s="143">
        <f t="shared" si="10"/>
        <v>1</v>
      </c>
      <c r="L50" s="10">
        <f t="shared" si="10"/>
        <v>1</v>
      </c>
      <c r="M50" s="143">
        <f t="shared" si="10"/>
        <v>1</v>
      </c>
      <c r="N50" s="10">
        <f t="shared" si="10"/>
        <v>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1</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f t="shared" ref="E52:AS52" si="12">IF(OR(E11&gt;160,E17&gt;0),E21+E19+E68+E23,(E21+E19+E68+E23)*(2-0.005*E11*E16))</f>
        <v>0</v>
      </c>
      <c r="F52" s="10">
        <f t="shared" si="12"/>
        <v>21</v>
      </c>
      <c r="G52" s="12">
        <f t="shared" si="12"/>
        <v>21</v>
      </c>
      <c r="H52" s="10">
        <f t="shared" si="12"/>
        <v>0</v>
      </c>
      <c r="I52" s="99">
        <f t="shared" si="12"/>
        <v>0</v>
      </c>
      <c r="J52" s="10">
        <f t="shared" si="12"/>
        <v>0</v>
      </c>
      <c r="K52" s="99">
        <f t="shared" si="12"/>
        <v>0</v>
      </c>
      <c r="L52" s="10">
        <f t="shared" si="12"/>
        <v>0</v>
      </c>
      <c r="M52" s="99">
        <f t="shared" si="12"/>
        <v>0</v>
      </c>
      <c r="N52" s="10">
        <f t="shared" si="12"/>
        <v>0</v>
      </c>
      <c r="O52" s="99">
        <f t="shared" si="12"/>
        <v>0</v>
      </c>
      <c r="P52" s="10">
        <f t="shared" si="12"/>
        <v>0</v>
      </c>
      <c r="Q52" s="99">
        <f t="shared" si="12"/>
        <v>0</v>
      </c>
      <c r="R52" s="10">
        <f t="shared" si="12"/>
        <v>0</v>
      </c>
      <c r="S52" s="99">
        <f t="shared" si="12"/>
        <v>0</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f t="shared" ref="E53:AS53" si="13">IF(OR(E22&gt;0.25,E19+E68+E23&lt;=10),E19+E68+E23,10)</f>
        <v>0</v>
      </c>
      <c r="F53" s="10">
        <f t="shared" si="13"/>
        <v>9</v>
      </c>
      <c r="G53" s="12">
        <f t="shared" si="13"/>
        <v>9</v>
      </c>
      <c r="H53" s="10">
        <f t="shared" si="13"/>
        <v>0</v>
      </c>
      <c r="I53" s="99">
        <f t="shared" si="13"/>
        <v>0</v>
      </c>
      <c r="J53" s="10">
        <f t="shared" si="13"/>
        <v>0</v>
      </c>
      <c r="K53" s="99">
        <f t="shared" si="13"/>
        <v>0</v>
      </c>
      <c r="L53" s="10">
        <f t="shared" si="13"/>
        <v>0</v>
      </c>
      <c r="M53" s="99">
        <f t="shared" si="13"/>
        <v>0</v>
      </c>
      <c r="N53" s="10">
        <f t="shared" si="13"/>
        <v>0</v>
      </c>
      <c r="O53" s="99">
        <f t="shared" si="13"/>
        <v>0</v>
      </c>
      <c r="P53" s="10">
        <f t="shared" si="13"/>
        <v>0</v>
      </c>
      <c r="Q53" s="99">
        <f t="shared" si="13"/>
        <v>0</v>
      </c>
      <c r="R53" s="10">
        <f t="shared" si="13"/>
        <v>0</v>
      </c>
      <c r="S53" s="99">
        <f t="shared" si="13"/>
        <v>0</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f>IF(E31="No",-1.2276*LN(E52+(0.5*E53)+(50*E22)+(E18*E51)+(E48*E49)),-1.2276*LN(E52+(0.5*(E53-E19))+(50*E22)+(E18*E51)+(0.75*E48*E49)))</f>
        <v>-3.8221513935866556</v>
      </c>
      <c r="F54" s="15">
        <f>IF(F31="No",-1.2276*LN(F52+(0.5*F53)+(50*F22)+(F18*F51)+(F48*F49)),-1.2276*LN(F52+(0.5*(F53-F19))+(50*F22)+(F18*F51)+(0.75*F48*F49)))</f>
        <v>-5.6446835030223639</v>
      </c>
      <c r="G54" s="38">
        <f t="shared" ref="G54:AS54" si="14">IF(G31="No",-1.2276*LN(G52+(0.5*G53)+(50*G22)+(G18*G51)+(G48*G49)),-1.2276*LN(G52+(0.5*(G53-G19))+(50*G22)+(G18*G51)+(0.75*G48*G49)))</f>
        <v>-5.6446835030223639</v>
      </c>
      <c r="H54" s="96">
        <f t="shared" si="14"/>
        <v>-3.8221513935866556</v>
      </c>
      <c r="I54" s="98">
        <f t="shared" si="14"/>
        <v>-3.8221513935866556</v>
      </c>
      <c r="J54" s="96">
        <f t="shared" si="14"/>
        <v>-3.8221513935866556</v>
      </c>
      <c r="K54" s="98">
        <f t="shared" si="14"/>
        <v>-3.8221513935866556</v>
      </c>
      <c r="L54" s="96">
        <f t="shared" si="14"/>
        <v>-3.8221513935866556</v>
      </c>
      <c r="M54" s="98">
        <f t="shared" si="14"/>
        <v>-3.8221513935866556</v>
      </c>
      <c r="N54" s="96">
        <f t="shared" si="14"/>
        <v>-3.8221513935866556</v>
      </c>
      <c r="O54" s="98">
        <f t="shared" si="14"/>
        <v>-3.8221513935866556</v>
      </c>
      <c r="P54" s="96">
        <f t="shared" si="14"/>
        <v>-3.8221513935866556</v>
      </c>
      <c r="Q54" s="98">
        <f t="shared" si="14"/>
        <v>-3.8221513935866556</v>
      </c>
      <c r="R54" s="96">
        <f t="shared" si="14"/>
        <v>-3.8221513935866556</v>
      </c>
      <c r="S54" s="98">
        <f t="shared" si="14"/>
        <v>-3.8221513935866556</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397</v>
      </c>
      <c r="D55" s="110" t="s">
        <v>398</v>
      </c>
      <c r="E55" s="125"/>
      <c r="F55" s="168">
        <f>F7</f>
        <v>220</v>
      </c>
      <c r="G55" s="169">
        <f>F7</f>
        <v>220</v>
      </c>
      <c r="H55" s="168"/>
      <c r="I55" s="169"/>
      <c r="J55" s="168"/>
      <c r="K55" s="169"/>
      <c r="L55" s="168"/>
      <c r="M55" s="169"/>
      <c r="N55" s="168"/>
      <c r="O55" s="169"/>
      <c r="P55" s="168"/>
      <c r="Q55" s="169"/>
      <c r="R55" s="168"/>
      <c r="S55" s="169"/>
      <c r="T55" s="168"/>
      <c r="U55" s="169"/>
      <c r="V55" s="168"/>
      <c r="W55" s="169"/>
      <c r="X55" s="168"/>
      <c r="Y55" s="169"/>
      <c r="Z55" s="168"/>
      <c r="AA55" s="169"/>
      <c r="AB55" s="168"/>
      <c r="AC55" s="169"/>
      <c r="AD55" s="168"/>
      <c r="AE55" s="169"/>
      <c r="AF55" s="168"/>
      <c r="AG55" s="169"/>
      <c r="AH55" s="168"/>
      <c r="AI55" s="169"/>
      <c r="AJ55" s="168"/>
      <c r="AK55" s="169"/>
      <c r="AL55" s="168"/>
      <c r="AM55" s="169"/>
      <c r="AN55" s="168"/>
      <c r="AO55" s="169"/>
      <c r="AP55" s="168"/>
      <c r="AQ55" s="169"/>
      <c r="AR55" s="168"/>
      <c r="AS55" s="169"/>
      <c r="AT55" s="51"/>
      <c r="AU55" s="56"/>
    </row>
    <row r="56" spans="2:47" ht="14.25" x14ac:dyDescent="0.25">
      <c r="B56" s="55"/>
      <c r="C56" s="109" t="s">
        <v>400</v>
      </c>
      <c r="D56" s="110"/>
      <c r="E56" s="125"/>
      <c r="F56" s="168">
        <f>0.084*(2*F55/F14) + Intersections!H64</f>
        <v>30.084263157894739</v>
      </c>
      <c r="G56" s="169">
        <f>0.084*(2*G55/G14) + Intersections!I64</f>
        <v>30.084263157894739</v>
      </c>
      <c r="H56" s="168"/>
      <c r="I56" s="169"/>
      <c r="J56" s="168"/>
      <c r="K56" s="169"/>
      <c r="L56" s="168"/>
      <c r="M56" s="169"/>
      <c r="N56" s="168"/>
      <c r="O56" s="169"/>
      <c r="P56" s="168"/>
      <c r="Q56" s="169"/>
      <c r="R56" s="168"/>
      <c r="S56" s="169"/>
      <c r="T56" s="168"/>
      <c r="U56" s="169"/>
      <c r="V56" s="168"/>
      <c r="W56" s="169"/>
      <c r="X56" s="168"/>
      <c r="Y56" s="169"/>
      <c r="Z56" s="168"/>
      <c r="AA56" s="169"/>
      <c r="AB56" s="168"/>
      <c r="AC56" s="169"/>
      <c r="AD56" s="168"/>
      <c r="AE56" s="169"/>
      <c r="AF56" s="168"/>
      <c r="AG56" s="169"/>
      <c r="AH56" s="168"/>
      <c r="AI56" s="169"/>
      <c r="AJ56" s="168"/>
      <c r="AK56" s="169"/>
      <c r="AL56" s="168"/>
      <c r="AM56" s="169"/>
      <c r="AN56" s="168"/>
      <c r="AO56" s="169"/>
      <c r="AP56" s="168"/>
      <c r="AQ56" s="169"/>
      <c r="AR56" s="168"/>
      <c r="AS56" s="169"/>
      <c r="AT56" s="51"/>
      <c r="AU56" s="56"/>
    </row>
    <row r="57" spans="2:47" ht="14.25" x14ac:dyDescent="0.25">
      <c r="B57" s="55"/>
      <c r="C57" s="10" t="s">
        <v>224</v>
      </c>
      <c r="D57" s="11" t="s">
        <v>40</v>
      </c>
      <c r="E57" s="125">
        <f t="shared" ref="E57:AS57" si="15">IF(E11&gt;0,6.0468+E46+E47+E54,0)</f>
        <v>0</v>
      </c>
      <c r="F57" s="15">
        <f t="shared" si="15"/>
        <v>2.3060414969776364</v>
      </c>
      <c r="G57" s="98">
        <f t="shared" si="15"/>
        <v>2.585866496977637</v>
      </c>
      <c r="H57" s="96">
        <f t="shared" si="15"/>
        <v>0</v>
      </c>
      <c r="I57" s="98">
        <f t="shared" si="15"/>
        <v>0</v>
      </c>
      <c r="J57" s="96">
        <f t="shared" si="15"/>
        <v>0</v>
      </c>
      <c r="K57" s="98">
        <f t="shared" si="15"/>
        <v>0</v>
      </c>
      <c r="L57" s="96">
        <f t="shared" si="15"/>
        <v>0</v>
      </c>
      <c r="M57" s="98">
        <f t="shared" si="15"/>
        <v>0</v>
      </c>
      <c r="N57" s="96">
        <f t="shared" si="15"/>
        <v>0</v>
      </c>
      <c r="O57" s="98">
        <f t="shared" si="15"/>
        <v>0</v>
      </c>
      <c r="P57" s="96">
        <f t="shared" si="15"/>
        <v>0</v>
      </c>
      <c r="Q57" s="98">
        <f t="shared" si="15"/>
        <v>0</v>
      </c>
      <c r="R57" s="96">
        <f t="shared" si="15"/>
        <v>0</v>
      </c>
      <c r="S57" s="98">
        <f t="shared" si="15"/>
        <v>0</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B</v>
      </c>
      <c r="G58" s="12" t="str">
        <f t="shared" si="16"/>
        <v>B</v>
      </c>
      <c r="H58" s="10" t="str">
        <f t="shared" si="16"/>
        <v>A</v>
      </c>
      <c r="I58" s="99" t="str">
        <f t="shared" si="16"/>
        <v>A</v>
      </c>
      <c r="J58" s="10" t="str">
        <f t="shared" si="16"/>
        <v>A</v>
      </c>
      <c r="K58" s="99" t="str">
        <f t="shared" si="16"/>
        <v>A</v>
      </c>
      <c r="L58" s="10" t="str">
        <f t="shared" si="16"/>
        <v>A</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205</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t="e">
        <f t="shared" ref="E60:AS60" si="17">7.066/E24^2</f>
        <v>#DIV/0!</v>
      </c>
      <c r="F60" s="15">
        <f t="shared" si="17"/>
        <v>0.57681632653061221</v>
      </c>
      <c r="G60" s="43">
        <f t="shared" si="17"/>
        <v>0.57681632653061221</v>
      </c>
      <c r="H60" s="96" t="e">
        <f t="shared" si="17"/>
        <v>#DIV/0!</v>
      </c>
      <c r="I60" s="97" t="e">
        <f t="shared" si="17"/>
        <v>#DIV/0!</v>
      </c>
      <c r="J60" s="96" t="e">
        <f t="shared" si="17"/>
        <v>#DIV/0!</v>
      </c>
      <c r="K60" s="97" t="e">
        <f t="shared" si="17"/>
        <v>#DIV/0!</v>
      </c>
      <c r="L60" s="96" t="e">
        <f t="shared" si="17"/>
        <v>#DIV/0!</v>
      </c>
      <c r="M60" s="97" t="e">
        <f t="shared" si="17"/>
        <v>#DIV/0!</v>
      </c>
      <c r="N60" s="96" t="e">
        <f t="shared" si="17"/>
        <v>#DIV/0!</v>
      </c>
      <c r="O60" s="97" t="e">
        <f t="shared" si="17"/>
        <v>#DIV/0!</v>
      </c>
      <c r="P60" s="96" t="e">
        <f t="shared" si="17"/>
        <v>#DIV/0!</v>
      </c>
      <c r="Q60" s="97" t="e">
        <f t="shared" si="17"/>
        <v>#DIV/0!</v>
      </c>
      <c r="R60" s="96" t="e">
        <f t="shared" si="17"/>
        <v>#DIV/0!</v>
      </c>
      <c r="S60" s="97" t="e">
        <f t="shared" si="17"/>
        <v>#DIV/0!</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354</v>
      </c>
      <c r="D61" s="11" t="s">
        <v>355</v>
      </c>
      <c r="E61" s="125" t="e">
        <f>0.035*((5280*E10/E7)-20)</f>
        <v>#DIV/0!</v>
      </c>
      <c r="F61" s="168">
        <f>0.035*((5280*F10/F7)-20)</f>
        <v>-0.70000000000000007</v>
      </c>
      <c r="G61" s="171">
        <f>0.035*((5280*G10/F7)-20)</f>
        <v>-0.70000000000000007</v>
      </c>
      <c r="H61" s="168" t="e">
        <f>0.035*((5280*H10/H7)-20)</f>
        <v>#DIV/0!</v>
      </c>
      <c r="I61" s="171" t="e">
        <f>0.035*((5280*I10/H7)-20)</f>
        <v>#DIV/0!</v>
      </c>
      <c r="J61" s="168" t="e">
        <f>0.035*((5280*J10/J7)-20)</f>
        <v>#DIV/0!</v>
      </c>
      <c r="K61" s="171" t="e">
        <f>0.035*((5280*K10/J7)-20)</f>
        <v>#DIV/0!</v>
      </c>
      <c r="L61" s="168" t="e">
        <f>0.035*((5280*L10/L7)-20)</f>
        <v>#DIV/0!</v>
      </c>
      <c r="M61" s="171" t="e">
        <f>0.035*((5280*M10/L7)-20)</f>
        <v>#DIV/0!</v>
      </c>
      <c r="N61" s="168" t="e">
        <f>0.035*((5280*N10/N7)-20)</f>
        <v>#DIV/0!</v>
      </c>
      <c r="O61" s="171" t="e">
        <f>0.035*((5280*O10/N7)-20)</f>
        <v>#DIV/0!</v>
      </c>
      <c r="P61" s="168" t="e">
        <f>0.035*((5280*P10/P7)-20)</f>
        <v>#DIV/0!</v>
      </c>
      <c r="Q61" s="171" t="e">
        <f>0.035*((5280*Q10/P7)-20)</f>
        <v>#DIV/0!</v>
      </c>
      <c r="R61" s="168" t="e">
        <f>0.035*((5280*R10/R7)-20)</f>
        <v>#DIV/0!</v>
      </c>
      <c r="S61" s="171" t="e">
        <f>0.035*((5280*S10/R7)-20)</f>
        <v>#DIV/0!</v>
      </c>
      <c r="T61" s="168" t="e">
        <f>0.035*((5280*T10/T7)-20)</f>
        <v>#DIV/0!</v>
      </c>
      <c r="U61" s="171" t="e">
        <f>0.035*((5280*U10/T7)-20)</f>
        <v>#DIV/0!</v>
      </c>
      <c r="V61" s="168" t="e">
        <f>0.035*((5280*V10/V7)-20)</f>
        <v>#DIV/0!</v>
      </c>
      <c r="W61" s="171" t="e">
        <f>0.035*((5280*W10/V7)-20)</f>
        <v>#DIV/0!</v>
      </c>
      <c r="X61" s="168" t="e">
        <f>0.035*((5280*X10/X7)-20)</f>
        <v>#DIV/0!</v>
      </c>
      <c r="Y61" s="171" t="e">
        <f>0.035*((5280*Y10/X7)-20)</f>
        <v>#DIV/0!</v>
      </c>
      <c r="Z61" s="168" t="e">
        <f>0.035*((5280*Z10/Z7)-20)</f>
        <v>#DIV/0!</v>
      </c>
      <c r="AA61" s="171" t="e">
        <f>0.035*((5280*AA10/Z7)-20)</f>
        <v>#DIV/0!</v>
      </c>
      <c r="AB61" s="168" t="e">
        <f>0.035*((5280*AB10/AB7)-20)</f>
        <v>#DIV/0!</v>
      </c>
      <c r="AC61" s="171" t="e">
        <f>0.035*((5280*AC10/AB7)-20)</f>
        <v>#DIV/0!</v>
      </c>
      <c r="AD61" s="168" t="e">
        <f>0.035*((5280*AD10/AD7)-20)</f>
        <v>#DIV/0!</v>
      </c>
      <c r="AE61" s="171" t="e">
        <f>0.035*((5280*AE10/AD7)-20)</f>
        <v>#DIV/0!</v>
      </c>
      <c r="AF61" s="168" t="e">
        <f>0.035*((5280*AF10/AF7)-20)</f>
        <v>#DIV/0!</v>
      </c>
      <c r="AG61" s="171" t="e">
        <f>0.035*((5280*AG10/AF7)-20)</f>
        <v>#DIV/0!</v>
      </c>
      <c r="AH61" s="168" t="e">
        <f>0.035*((5280*AH10/AH7)-20)</f>
        <v>#DIV/0!</v>
      </c>
      <c r="AI61" s="171" t="e">
        <f>0.035*((5280*AI10/AH7)-20)</f>
        <v>#DIV/0!</v>
      </c>
      <c r="AJ61" s="168" t="e">
        <f>0.035*((5280*AJ10/AJ7)-20)</f>
        <v>#DIV/0!</v>
      </c>
      <c r="AK61" s="171" t="e">
        <f>0.035*((5280*AK10/AJ7)-20)</f>
        <v>#DIV/0!</v>
      </c>
      <c r="AL61" s="168" t="e">
        <f>0.035*((5280*AL10/AL7)-20)</f>
        <v>#DIV/0!</v>
      </c>
      <c r="AM61" s="171" t="e">
        <f>0.035*((5280*AM10/AL7)-20)</f>
        <v>#DIV/0!</v>
      </c>
      <c r="AN61" s="168" t="e">
        <f>0.035*((5280*AN10/AN7)-20)</f>
        <v>#DIV/0!</v>
      </c>
      <c r="AO61" s="171" t="e">
        <f>0.035*((5280*AO10/AN7)-20)</f>
        <v>#DIV/0!</v>
      </c>
      <c r="AP61" s="168" t="e">
        <f>0.035*((5280*AP10/AP7)-20)</f>
        <v>#DIV/0!</v>
      </c>
      <c r="AQ61" s="171" t="e">
        <f>0.035*((5280*AQ10/AP7)-20)</f>
        <v>#DIV/0!</v>
      </c>
      <c r="AR61" s="168" t="e">
        <f>0.035*((5280*AR10/AR7)-20)</f>
        <v>#DIV/0!</v>
      </c>
      <c r="AS61" s="171" t="e">
        <f>0.035*((5280*AS10/AR7)-20)</f>
        <v>#DIV/0!</v>
      </c>
      <c r="AT61" s="51"/>
      <c r="AU61" s="56"/>
    </row>
    <row r="62" spans="2:47" ht="14.25" x14ac:dyDescent="0.25">
      <c r="B62" s="55"/>
      <c r="C62" s="10" t="s">
        <v>356</v>
      </c>
      <c r="D62" s="11" t="s">
        <v>357</v>
      </c>
      <c r="E62" s="125" t="e">
        <f>(3600*E7)/(5280*E15)</f>
        <v>#DIV/0!</v>
      </c>
      <c r="F62" s="168">
        <f>(3600*F7)/(5280*F15)</f>
        <v>15</v>
      </c>
      <c r="G62" s="171">
        <f>(3600*F7)/(5280*G15)</f>
        <v>15</v>
      </c>
      <c r="H62" s="168" t="e">
        <f>(3600*H7)/(5280*H15)</f>
        <v>#DIV/0!</v>
      </c>
      <c r="I62" s="171" t="e">
        <f>(3600*H7)/(5280*I15)</f>
        <v>#DIV/0!</v>
      </c>
      <c r="J62" s="168" t="e">
        <f>(3600*J7)/(5280*J15)</f>
        <v>#DIV/0!</v>
      </c>
      <c r="K62" s="171" t="e">
        <f>(3600*J7)/(5280*K15)</f>
        <v>#DIV/0!</v>
      </c>
      <c r="L62" s="168" t="e">
        <f>(3600*L7)/(5280*L15)</f>
        <v>#DIV/0!</v>
      </c>
      <c r="M62" s="171" t="e">
        <f>(3600*L7)/(5280*M15)</f>
        <v>#DIV/0!</v>
      </c>
      <c r="N62" s="168" t="e">
        <f>(3600*N7)/(5280*N15)</f>
        <v>#DIV/0!</v>
      </c>
      <c r="O62" s="171" t="e">
        <f>(3600*N7)/(5280*O15)</f>
        <v>#DIV/0!</v>
      </c>
      <c r="P62" s="168" t="e">
        <f>(3600*P7)/(5280*P15)</f>
        <v>#DIV/0!</v>
      </c>
      <c r="Q62" s="171" t="e">
        <f>(3600*P7)/(5280*Q15)</f>
        <v>#DIV/0!</v>
      </c>
      <c r="R62" s="168" t="e">
        <f>(3600*R7)/(5280*R15)</f>
        <v>#DIV/0!</v>
      </c>
      <c r="S62" s="171" t="e">
        <f>(3600*R7)/(5280*S15)</f>
        <v>#DIV/0!</v>
      </c>
      <c r="T62" s="168" t="e">
        <f>(3600*T7)/(5280*T15)</f>
        <v>#DIV/0!</v>
      </c>
      <c r="U62" s="171" t="e">
        <f>(3600*T7)/(5280*U15)</f>
        <v>#DIV/0!</v>
      </c>
      <c r="V62" s="168" t="e">
        <f>(3600*V7)/(5280*V15)</f>
        <v>#DIV/0!</v>
      </c>
      <c r="W62" s="171" t="e">
        <f>(3600*V7)/(5280*W15)</f>
        <v>#DIV/0!</v>
      </c>
      <c r="X62" s="168" t="e">
        <f>(3600*X7)/(5280*X15)</f>
        <v>#DIV/0!</v>
      </c>
      <c r="Y62" s="171" t="e">
        <f>(3600*X7)/(5280*Y15)</f>
        <v>#DIV/0!</v>
      </c>
      <c r="Z62" s="168" t="e">
        <f>(3600*Z7)/(5280*Z15)</f>
        <v>#DIV/0!</v>
      </c>
      <c r="AA62" s="171" t="e">
        <f>(3600*Z7)/(5280*AA15)</f>
        <v>#DIV/0!</v>
      </c>
      <c r="AB62" s="168" t="e">
        <f>(3600*AB7)/(5280*AB15)</f>
        <v>#DIV/0!</v>
      </c>
      <c r="AC62" s="171" t="e">
        <f>(3600*AB7)/(5280*AC15)</f>
        <v>#DIV/0!</v>
      </c>
      <c r="AD62" s="168" t="e">
        <f>(3600*AD7)/(5280*AD15)</f>
        <v>#DIV/0!</v>
      </c>
      <c r="AE62" s="171" t="e">
        <f>(3600*AD7)/(5280*AE15)</f>
        <v>#DIV/0!</v>
      </c>
      <c r="AF62" s="168" t="e">
        <f>(3600*AF7)/(5280*AF15)</f>
        <v>#DIV/0!</v>
      </c>
      <c r="AG62" s="171" t="e">
        <f>(3600*AF7)/(5280*AG15)</f>
        <v>#DIV/0!</v>
      </c>
      <c r="AH62" s="168" t="e">
        <f>(3600*AH7)/(5280*AH15)</f>
        <v>#DIV/0!</v>
      </c>
      <c r="AI62" s="171" t="e">
        <f>(3600*AH7)/(5280*AI15)</f>
        <v>#DIV/0!</v>
      </c>
      <c r="AJ62" s="168" t="e">
        <f>(3600*AJ7)/(5280*AJ15)</f>
        <v>#DIV/0!</v>
      </c>
      <c r="AK62" s="171" t="e">
        <f>(3600*AJ7)/(5280*AK15)</f>
        <v>#DIV/0!</v>
      </c>
      <c r="AL62" s="168" t="e">
        <f>(3600*AL7)/(5280*AL15)</f>
        <v>#DIV/0!</v>
      </c>
      <c r="AM62" s="171" t="e">
        <f>(3600*AL7)/(5280*AM15)</f>
        <v>#DIV/0!</v>
      </c>
      <c r="AN62" s="168" t="e">
        <f>(3600*AN7)/(5280*AN15)</f>
        <v>#DIV/0!</v>
      </c>
      <c r="AO62" s="171" t="e">
        <f>(3600*AN7)/(5280*AO15)</f>
        <v>#DIV/0!</v>
      </c>
      <c r="AP62" s="168" t="e">
        <f>(3600*AP7)/(5280*AP15)</f>
        <v>#DIV/0!</v>
      </c>
      <c r="AQ62" s="171" t="e">
        <f>(3600*AP7)/(5280*AQ15)</f>
        <v>#DIV/0!</v>
      </c>
      <c r="AR62" s="168" t="e">
        <f>(3600*AR7)/(5280*AR15)</f>
        <v>#DIV/0!</v>
      </c>
      <c r="AS62" s="171" t="e">
        <f>(3600*AR7)/(5280*AS15)</f>
        <v>#DIV/0!</v>
      </c>
      <c r="AT62" s="51"/>
      <c r="AU62" s="56"/>
    </row>
    <row r="63" spans="2:47" ht="14.25" x14ac:dyDescent="0.25">
      <c r="B63" s="55"/>
      <c r="C63" s="10" t="s">
        <v>113</v>
      </c>
      <c r="D63" s="11" t="s">
        <v>114</v>
      </c>
      <c r="E63" s="127">
        <f t="shared" ref="E63:AS63" si="18">IF(E11&gt;4*E16,E11,4*E16)</f>
        <v>0</v>
      </c>
      <c r="F63" s="42">
        <f t="shared" si="18"/>
        <v>727</v>
      </c>
      <c r="G63" s="45">
        <f t="shared" si="18"/>
        <v>850</v>
      </c>
      <c r="H63" s="100">
        <f t="shared" si="18"/>
        <v>0</v>
      </c>
      <c r="I63" s="101">
        <f t="shared" si="18"/>
        <v>0</v>
      </c>
      <c r="J63" s="100">
        <f t="shared" si="18"/>
        <v>0</v>
      </c>
      <c r="K63" s="101">
        <f t="shared" si="18"/>
        <v>0</v>
      </c>
      <c r="L63" s="100">
        <f t="shared" si="18"/>
        <v>0</v>
      </c>
      <c r="M63" s="101">
        <f t="shared" si="18"/>
        <v>0</v>
      </c>
      <c r="N63" s="100">
        <f t="shared" si="18"/>
        <v>0</v>
      </c>
      <c r="O63" s="101">
        <f t="shared" si="18"/>
        <v>0</v>
      </c>
      <c r="P63" s="100">
        <f t="shared" si="18"/>
        <v>0</v>
      </c>
      <c r="Q63" s="101">
        <f t="shared" si="18"/>
        <v>0</v>
      </c>
      <c r="R63" s="100">
        <f t="shared" si="18"/>
        <v>0</v>
      </c>
      <c r="S63" s="101">
        <f t="shared" si="18"/>
        <v>0</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2.6377344830217098</v>
      </c>
      <c r="G64" s="43">
        <f t="shared" si="19"/>
        <v>2.7169835881007871</v>
      </c>
      <c r="H64" s="96" t="e">
        <f t="shared" si="19"/>
        <v>#NUM!</v>
      </c>
      <c r="I64" s="97" t="e">
        <f t="shared" si="19"/>
        <v>#NUM!</v>
      </c>
      <c r="J64" s="96" t="e">
        <f t="shared" si="19"/>
        <v>#NUM!</v>
      </c>
      <c r="K64" s="97" t="e">
        <f t="shared" si="19"/>
        <v>#NUM!</v>
      </c>
      <c r="L64" s="96" t="e">
        <f t="shared" si="19"/>
        <v>#NUM!</v>
      </c>
      <c r="M64" s="97" t="e">
        <f t="shared" si="19"/>
        <v>#NUM!</v>
      </c>
      <c r="N64" s="96" t="e">
        <f t="shared" si="19"/>
        <v>#NUM!</v>
      </c>
      <c r="O64" s="97" t="e">
        <f t="shared" si="19"/>
        <v>#NUM!</v>
      </c>
      <c r="P64" s="96" t="e">
        <f t="shared" si="19"/>
        <v>#NUM!</v>
      </c>
      <c r="Q64" s="97" t="e">
        <f t="shared" si="19"/>
        <v>#NUM!</v>
      </c>
      <c r="R64" s="96" t="e">
        <f t="shared" si="19"/>
        <v>#NUM!</v>
      </c>
      <c r="S64" s="97" t="e">
        <f t="shared" si="19"/>
        <v>#NUM!</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v>
      </c>
      <c r="F65" s="15">
        <f t="shared" si="20"/>
        <v>0.02</v>
      </c>
      <c r="G65" s="43">
        <f t="shared" si="20"/>
        <v>0.02</v>
      </c>
      <c r="H65" s="96">
        <f t="shared" si="20"/>
        <v>0</v>
      </c>
      <c r="I65" s="97">
        <f t="shared" si="20"/>
        <v>0</v>
      </c>
      <c r="J65" s="96">
        <f t="shared" si="20"/>
        <v>0</v>
      </c>
      <c r="K65" s="97">
        <f t="shared" si="20"/>
        <v>0</v>
      </c>
      <c r="L65" s="96">
        <f t="shared" si="20"/>
        <v>0</v>
      </c>
      <c r="M65" s="97">
        <f t="shared" si="20"/>
        <v>0</v>
      </c>
      <c r="N65" s="96">
        <f t="shared" si="20"/>
        <v>0</v>
      </c>
      <c r="O65" s="97">
        <f t="shared" si="20"/>
        <v>0</v>
      </c>
      <c r="P65" s="96">
        <f t="shared" si="20"/>
        <v>0</v>
      </c>
      <c r="Q65" s="97">
        <f t="shared" si="20"/>
        <v>0</v>
      </c>
      <c r="R65" s="96">
        <f t="shared" si="20"/>
        <v>0</v>
      </c>
      <c r="S65" s="97">
        <f t="shared" si="20"/>
        <v>0</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21</v>
      </c>
      <c r="F66" s="42">
        <f t="shared" si="21"/>
        <v>25</v>
      </c>
      <c r="G66" s="45">
        <f t="shared" si="21"/>
        <v>25</v>
      </c>
      <c r="H66" s="100">
        <f t="shared" si="21"/>
        <v>21</v>
      </c>
      <c r="I66" s="101">
        <f t="shared" si="21"/>
        <v>21</v>
      </c>
      <c r="J66" s="100">
        <f t="shared" si="21"/>
        <v>21</v>
      </c>
      <c r="K66" s="101">
        <f t="shared" si="21"/>
        <v>21</v>
      </c>
      <c r="L66" s="100">
        <f t="shared" si="21"/>
        <v>21</v>
      </c>
      <c r="M66" s="101">
        <f t="shared" si="21"/>
        <v>21</v>
      </c>
      <c r="N66" s="100">
        <f t="shared" si="21"/>
        <v>21</v>
      </c>
      <c r="O66" s="101">
        <f t="shared" si="21"/>
        <v>21</v>
      </c>
      <c r="P66" s="100">
        <f t="shared" si="21"/>
        <v>21</v>
      </c>
      <c r="Q66" s="101">
        <f t="shared" si="21"/>
        <v>21</v>
      </c>
      <c r="R66" s="100">
        <f t="shared" si="21"/>
        <v>21</v>
      </c>
      <c r="S66" s="101">
        <f t="shared" si="21"/>
        <v>21</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0.16124970000000002</v>
      </c>
      <c r="F67" s="15">
        <f t="shared" ref="F67:G67" si="23">0.199*(1.1199*LN(F66-20)+0.8103)*(1+0.1038*F65)^2</f>
        <v>0.52209018090115733</v>
      </c>
      <c r="G67" s="43">
        <f t="shared" si="23"/>
        <v>0.52209018090115733</v>
      </c>
      <c r="H67" s="96">
        <f t="shared" ref="H67:AS67" si="24">0.199*(1.1199*LN(H66-20)+0.8103)*(1+0.1038*H65)^2</f>
        <v>0.16124970000000002</v>
      </c>
      <c r="I67" s="97">
        <f t="shared" si="24"/>
        <v>0.16124970000000002</v>
      </c>
      <c r="J67" s="96">
        <f t="shared" si="24"/>
        <v>0.16124970000000002</v>
      </c>
      <c r="K67" s="97">
        <f t="shared" si="24"/>
        <v>0.16124970000000002</v>
      </c>
      <c r="L67" s="96">
        <f t="shared" si="24"/>
        <v>0.16124970000000002</v>
      </c>
      <c r="M67" s="97">
        <f t="shared" si="24"/>
        <v>0.16124970000000002</v>
      </c>
      <c r="N67" s="96">
        <f t="shared" si="24"/>
        <v>0.16124970000000002</v>
      </c>
      <c r="O67" s="97">
        <f t="shared" si="24"/>
        <v>0.16124970000000002</v>
      </c>
      <c r="P67" s="96">
        <f t="shared" si="24"/>
        <v>0.16124970000000002</v>
      </c>
      <c r="Q67" s="97">
        <f t="shared" si="24"/>
        <v>0.16124970000000002</v>
      </c>
      <c r="R67" s="96">
        <f t="shared" si="24"/>
        <v>0.16124970000000002</v>
      </c>
      <c r="S67" s="97">
        <f t="shared" si="24"/>
        <v>0.16124970000000002</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12</v>
      </c>
      <c r="G69" s="16">
        <f t="shared" si="26"/>
        <v>12</v>
      </c>
      <c r="H69" s="10">
        <f t="shared" si="26"/>
        <v>0</v>
      </c>
      <c r="I69" s="95">
        <f t="shared" si="26"/>
        <v>0</v>
      </c>
      <c r="J69" s="10">
        <f t="shared" si="26"/>
        <v>0</v>
      </c>
      <c r="K69" s="95">
        <f t="shared" si="26"/>
        <v>0</v>
      </c>
      <c r="L69" s="10">
        <f t="shared" si="26"/>
        <v>0</v>
      </c>
      <c r="M69" s="95">
        <f t="shared" si="26"/>
        <v>0</v>
      </c>
      <c r="N69" s="10">
        <f t="shared" si="26"/>
        <v>0</v>
      </c>
      <c r="O69" s="95">
        <f t="shared" si="26"/>
        <v>0</v>
      </c>
      <c r="P69" s="10">
        <f t="shared" si="26"/>
        <v>0</v>
      </c>
      <c r="Q69" s="95">
        <f t="shared" si="26"/>
        <v>0</v>
      </c>
      <c r="R69" s="10">
        <f t="shared" si="26"/>
        <v>0</v>
      </c>
      <c r="S69" s="95">
        <f t="shared" si="26"/>
        <v>0</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12</v>
      </c>
      <c r="G70" s="16">
        <f t="shared" si="27"/>
        <v>12</v>
      </c>
      <c r="H70" s="10">
        <f t="shared" si="27"/>
        <v>0</v>
      </c>
      <c r="I70" s="95">
        <f t="shared" si="27"/>
        <v>0</v>
      </c>
      <c r="J70" s="10">
        <f t="shared" si="27"/>
        <v>0</v>
      </c>
      <c r="K70" s="95">
        <f t="shared" si="27"/>
        <v>0</v>
      </c>
      <c r="L70" s="10">
        <f t="shared" si="27"/>
        <v>0</v>
      </c>
      <c r="M70" s="95">
        <f t="shared" si="27"/>
        <v>0</v>
      </c>
      <c r="N70" s="10">
        <f t="shared" si="27"/>
        <v>0</v>
      </c>
      <c r="O70" s="95">
        <f t="shared" si="27"/>
        <v>0</v>
      </c>
      <c r="P70" s="10">
        <f t="shared" si="27"/>
        <v>0</v>
      </c>
      <c r="Q70" s="95">
        <f t="shared" si="27"/>
        <v>0</v>
      </c>
      <c r="R70" s="10">
        <f t="shared" si="27"/>
        <v>0</v>
      </c>
      <c r="S70" s="95">
        <f t="shared" si="27"/>
        <v>0</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f t="shared" ref="E71:AS71" si="28">E19+E68+E23</f>
        <v>0</v>
      </c>
      <c r="F71" s="13">
        <f t="shared" si="28"/>
        <v>9</v>
      </c>
      <c r="G71" s="44">
        <f t="shared" si="28"/>
        <v>9</v>
      </c>
      <c r="H71" s="13">
        <f t="shared" si="28"/>
        <v>0</v>
      </c>
      <c r="I71" s="44">
        <f t="shared" si="28"/>
        <v>0</v>
      </c>
      <c r="J71" s="13">
        <f t="shared" si="28"/>
        <v>0</v>
      </c>
      <c r="K71" s="44">
        <f t="shared" si="28"/>
        <v>0</v>
      </c>
      <c r="L71" s="13">
        <f t="shared" si="28"/>
        <v>0</v>
      </c>
      <c r="M71" s="44">
        <f t="shared" si="28"/>
        <v>0</v>
      </c>
      <c r="N71" s="13">
        <f t="shared" si="28"/>
        <v>0</v>
      </c>
      <c r="O71" s="44">
        <f t="shared" si="28"/>
        <v>0</v>
      </c>
      <c r="P71" s="13">
        <f t="shared" si="28"/>
        <v>0</v>
      </c>
      <c r="Q71" s="44">
        <f t="shared" si="28"/>
        <v>0</v>
      </c>
      <c r="R71" s="13">
        <f t="shared" si="28"/>
        <v>0</v>
      </c>
      <c r="S71" s="44">
        <f t="shared" si="28"/>
        <v>0</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227</v>
      </c>
      <c r="E72" s="124">
        <f t="shared" ref="E72:AS72" si="29">IF(E71&lt;4,E70-10*E22,IF((E70+E71-20*E22)&gt;0,E70+E71-20*E22,0))</f>
        <v>0</v>
      </c>
      <c r="F72" s="10">
        <f t="shared" si="29"/>
        <v>3</v>
      </c>
      <c r="G72" s="16">
        <f t="shared" si="29"/>
        <v>3</v>
      </c>
      <c r="H72" s="10">
        <f t="shared" si="29"/>
        <v>0</v>
      </c>
      <c r="I72" s="95">
        <f t="shared" si="29"/>
        <v>0</v>
      </c>
      <c r="J72" s="10">
        <f t="shared" si="29"/>
        <v>0</v>
      </c>
      <c r="K72" s="95">
        <f t="shared" si="29"/>
        <v>0</v>
      </c>
      <c r="L72" s="10">
        <f t="shared" si="29"/>
        <v>0</v>
      </c>
      <c r="M72" s="95">
        <f t="shared" si="29"/>
        <v>0</v>
      </c>
      <c r="N72" s="10">
        <f t="shared" si="29"/>
        <v>0</v>
      </c>
      <c r="O72" s="95">
        <f t="shared" si="29"/>
        <v>0</v>
      </c>
      <c r="P72" s="10">
        <f t="shared" si="29"/>
        <v>0</v>
      </c>
      <c r="Q72" s="95">
        <f t="shared" si="29"/>
        <v>0</v>
      </c>
      <c r="R72" s="10">
        <f t="shared" si="29"/>
        <v>0</v>
      </c>
      <c r="S72" s="95">
        <f t="shared" si="29"/>
        <v>0</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228</v>
      </c>
      <c r="E73" s="124">
        <f t="shared" ref="E73:AS73" si="30">IF(E30="No",-0.005*E72^2,1.3*-0.005*E72^2)</f>
        <v>0</v>
      </c>
      <c r="F73" s="10">
        <f t="shared" si="30"/>
        <v>-4.4999999999999998E-2</v>
      </c>
      <c r="G73" s="16">
        <f t="shared" si="30"/>
        <v>-4.4999999999999998E-2</v>
      </c>
      <c r="H73" s="10">
        <f t="shared" si="30"/>
        <v>0</v>
      </c>
      <c r="I73" s="106">
        <f t="shared" si="30"/>
        <v>0</v>
      </c>
      <c r="J73" s="10">
        <f t="shared" si="30"/>
        <v>0</v>
      </c>
      <c r="K73" s="106">
        <f t="shared" si="30"/>
        <v>0</v>
      </c>
      <c r="L73" s="10">
        <f t="shared" si="30"/>
        <v>0</v>
      </c>
      <c r="M73" s="106">
        <f t="shared" si="30"/>
        <v>0</v>
      </c>
      <c r="N73" s="10">
        <f t="shared" si="30"/>
        <v>0</v>
      </c>
      <c r="O73" s="106">
        <f t="shared" si="30"/>
        <v>0</v>
      </c>
      <c r="P73" s="10">
        <f t="shared" si="30"/>
        <v>0</v>
      </c>
      <c r="Q73" s="106">
        <f t="shared" si="30"/>
        <v>0</v>
      </c>
      <c r="R73" s="10">
        <f t="shared" si="30"/>
        <v>0</v>
      </c>
      <c r="S73" s="106">
        <f t="shared" si="30"/>
        <v>0</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225</v>
      </c>
      <c r="D74" s="11" t="s">
        <v>92</v>
      </c>
      <c r="E74" s="125">
        <f t="shared" ref="E74:AS74" si="31">IF(E11&gt;0,0.76+E73+E64+E67+E60,0)</f>
        <v>0</v>
      </c>
      <c r="F74" s="15">
        <f t="shared" si="31"/>
        <v>4.4516409904534795</v>
      </c>
      <c r="G74" s="98">
        <f t="shared" si="31"/>
        <v>4.5308900955325564</v>
      </c>
      <c r="H74" s="96">
        <f t="shared" si="31"/>
        <v>0</v>
      </c>
      <c r="I74" s="98">
        <f t="shared" si="31"/>
        <v>0</v>
      </c>
      <c r="J74" s="96">
        <f t="shared" si="31"/>
        <v>0</v>
      </c>
      <c r="K74" s="98">
        <f t="shared" si="31"/>
        <v>0</v>
      </c>
      <c r="L74" s="96">
        <f t="shared" si="31"/>
        <v>0</v>
      </c>
      <c r="M74" s="98">
        <f t="shared" si="31"/>
        <v>0</v>
      </c>
      <c r="N74" s="96">
        <f t="shared" si="31"/>
        <v>0</v>
      </c>
      <c r="O74" s="98">
        <f t="shared" si="31"/>
        <v>0</v>
      </c>
      <c r="P74" s="96">
        <f t="shared" si="31"/>
        <v>0</v>
      </c>
      <c r="Q74" s="98">
        <f t="shared" si="31"/>
        <v>0</v>
      </c>
      <c r="R74" s="96">
        <f t="shared" si="31"/>
        <v>0</v>
      </c>
      <c r="S74" s="98">
        <f t="shared" si="31"/>
        <v>0</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E</v>
      </c>
      <c r="G75" s="12" t="str">
        <f t="shared" si="33"/>
        <v>E</v>
      </c>
      <c r="H75" s="10" t="str">
        <f t="shared" ref="H75:AS75" si="34">IF(H74&lt;=2,"A",IF(H74&lt;=2.75,"B",IF(H74&lt;=3.5,"C",IF(H74&lt;=4.25,"D",IF(H74&lt;=5,"E","F")))))</f>
        <v>A</v>
      </c>
      <c r="I75" s="99" t="str">
        <f t="shared" si="34"/>
        <v>A</v>
      </c>
      <c r="J75" s="10" t="str">
        <f t="shared" si="34"/>
        <v>A</v>
      </c>
      <c r="K75" s="99" t="str">
        <f t="shared" si="34"/>
        <v>A</v>
      </c>
      <c r="L75" s="10" t="str">
        <f t="shared" si="34"/>
        <v>A</v>
      </c>
      <c r="M75" s="99" t="str">
        <f t="shared" si="34"/>
        <v>A</v>
      </c>
      <c r="N75" s="10" t="str">
        <f t="shared" si="34"/>
        <v>A</v>
      </c>
      <c r="O75" s="99" t="str">
        <f t="shared" si="34"/>
        <v>A</v>
      </c>
      <c r="P75" s="10" t="str">
        <f t="shared" si="34"/>
        <v>A</v>
      </c>
      <c r="Q75" s="99" t="str">
        <f t="shared" si="34"/>
        <v>A</v>
      </c>
      <c r="R75" s="10" t="str">
        <f t="shared" si="34"/>
        <v>A</v>
      </c>
      <c r="S75" s="99" t="str">
        <f t="shared" si="34"/>
        <v>A</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206</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8</v>
      </c>
      <c r="G77" s="12">
        <f t="shared" si="35"/>
        <v>8</v>
      </c>
      <c r="H77" s="10">
        <f t="shared" si="35"/>
        <v>0</v>
      </c>
      <c r="I77" s="99">
        <f t="shared" si="35"/>
        <v>0</v>
      </c>
      <c r="J77" s="10">
        <f t="shared" si="35"/>
        <v>0</v>
      </c>
      <c r="K77" s="99">
        <f t="shared" si="35"/>
        <v>0</v>
      </c>
      <c r="L77" s="10">
        <f t="shared" si="35"/>
        <v>0</v>
      </c>
      <c r="M77" s="99">
        <f t="shared" si="35"/>
        <v>0</v>
      </c>
      <c r="N77" s="10">
        <f t="shared" si="35"/>
        <v>0</v>
      </c>
      <c r="O77" s="99">
        <f t="shared" si="35"/>
        <v>0</v>
      </c>
      <c r="P77" s="10">
        <f t="shared" si="35"/>
        <v>0</v>
      </c>
      <c r="Q77" s="99">
        <f t="shared" si="35"/>
        <v>0</v>
      </c>
      <c r="R77" s="10">
        <f t="shared" si="35"/>
        <v>0</v>
      </c>
      <c r="S77" s="99">
        <f t="shared" si="35"/>
        <v>0</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3.3436625049284676</v>
      </c>
      <c r="G78" s="38">
        <f t="shared" si="37"/>
        <v>3.3436625049284676</v>
      </c>
      <c r="H78" s="96">
        <f t="shared" ref="H78:AS78" si="38">4*EXP(-1.434/(H77+0.001))</f>
        <v>0</v>
      </c>
      <c r="I78" s="98">
        <f t="shared" si="38"/>
        <v>0</v>
      </c>
      <c r="J78" s="96">
        <f t="shared" si="38"/>
        <v>0</v>
      </c>
      <c r="K78" s="98">
        <f t="shared" si="38"/>
        <v>0</v>
      </c>
      <c r="L78" s="96">
        <f t="shared" si="38"/>
        <v>0</v>
      </c>
      <c r="M78" s="98">
        <f t="shared" si="38"/>
        <v>0</v>
      </c>
      <c r="N78" s="96">
        <f t="shared" si="38"/>
        <v>0</v>
      </c>
      <c r="O78" s="98">
        <f t="shared" si="38"/>
        <v>0</v>
      </c>
      <c r="P78" s="96">
        <f t="shared" si="38"/>
        <v>0</v>
      </c>
      <c r="Q78" s="98">
        <f t="shared" si="38"/>
        <v>0</v>
      </c>
      <c r="R78" s="96">
        <f t="shared" si="38"/>
        <v>0</v>
      </c>
      <c r="S78" s="98">
        <f t="shared" si="38"/>
        <v>0</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v>
      </c>
      <c r="F79" s="15">
        <f t="shared" si="39"/>
        <v>1.0476190476190474</v>
      </c>
      <c r="G79" s="38">
        <f t="shared" si="39"/>
        <v>1.0476190476190474</v>
      </c>
      <c r="H79" s="96">
        <f t="shared" si="39"/>
        <v>1</v>
      </c>
      <c r="I79" s="98">
        <f t="shared" si="39"/>
        <v>1</v>
      </c>
      <c r="J79" s="96">
        <f t="shared" si="39"/>
        <v>1</v>
      </c>
      <c r="K79" s="98">
        <f t="shared" si="39"/>
        <v>1</v>
      </c>
      <c r="L79" s="96">
        <f t="shared" si="39"/>
        <v>1</v>
      </c>
      <c r="M79" s="98">
        <f t="shared" si="39"/>
        <v>1</v>
      </c>
      <c r="N79" s="96">
        <f t="shared" si="39"/>
        <v>1</v>
      </c>
      <c r="O79" s="98">
        <f t="shared" si="39"/>
        <v>1</v>
      </c>
      <c r="P79" s="96">
        <f t="shared" si="39"/>
        <v>1</v>
      </c>
      <c r="Q79" s="98">
        <f t="shared" si="39"/>
        <v>1</v>
      </c>
      <c r="R79" s="96">
        <f t="shared" si="39"/>
        <v>1</v>
      </c>
      <c r="S79" s="98">
        <f t="shared" si="39"/>
        <v>1</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t="e">
        <f t="shared" si="40"/>
        <v>#DIV/0!</v>
      </c>
      <c r="I80" s="14" t="e">
        <f t="shared" si="40"/>
        <v>#DIV/0!</v>
      </c>
      <c r="J80" s="13" t="e">
        <f t="shared" si="40"/>
        <v>#DIV/0!</v>
      </c>
      <c r="K80" s="14" t="e">
        <f t="shared" si="40"/>
        <v>#DIV/0!</v>
      </c>
      <c r="L80" s="13" t="e">
        <f t="shared" si="40"/>
        <v>#DIV/0!</v>
      </c>
      <c r="M80" s="14" t="e">
        <f t="shared" si="40"/>
        <v>#DIV/0!</v>
      </c>
      <c r="N80" s="13" t="e">
        <f t="shared" si="40"/>
        <v>#DIV/0!</v>
      </c>
      <c r="O80" s="14" t="e">
        <f t="shared" si="40"/>
        <v>#DIV/0!</v>
      </c>
      <c r="P80" s="13" t="e">
        <f t="shared" si="40"/>
        <v>#DIV/0!</v>
      </c>
      <c r="Q80" s="14" t="e">
        <f t="shared" si="40"/>
        <v>#DIV/0!</v>
      </c>
      <c r="R80" s="13" t="e">
        <f t="shared" si="40"/>
        <v>#DIV/0!</v>
      </c>
      <c r="S80" s="14" t="e">
        <f t="shared" si="40"/>
        <v>#DIV/0!</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t="e">
        <f t="shared" si="41"/>
        <v>#DIV/0!</v>
      </c>
      <c r="I81" s="14" t="e">
        <f t="shared" si="41"/>
        <v>#DIV/0!</v>
      </c>
      <c r="J81" s="13" t="e">
        <f t="shared" si="41"/>
        <v>#DIV/0!</v>
      </c>
      <c r="K81" s="14" t="e">
        <f t="shared" si="41"/>
        <v>#DIV/0!</v>
      </c>
      <c r="L81" s="13" t="e">
        <f t="shared" si="41"/>
        <v>#DIV/0!</v>
      </c>
      <c r="M81" s="14" t="e">
        <f t="shared" si="41"/>
        <v>#DIV/0!</v>
      </c>
      <c r="N81" s="13" t="e">
        <f t="shared" si="41"/>
        <v>#DIV/0!</v>
      </c>
      <c r="O81" s="14" t="e">
        <f t="shared" si="41"/>
        <v>#DIV/0!</v>
      </c>
      <c r="P81" s="13" t="e">
        <f t="shared" si="41"/>
        <v>#DIV/0!</v>
      </c>
      <c r="Q81" s="14" t="e">
        <f t="shared" si="41"/>
        <v>#DIV/0!</v>
      </c>
      <c r="R81" s="13" t="e">
        <f t="shared" si="41"/>
        <v>#DIV/0!</v>
      </c>
      <c r="S81" s="14" t="e">
        <f t="shared" si="41"/>
        <v>#DIV/0!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6.9300729300729289</v>
      </c>
      <c r="G82" s="14">
        <f t="shared" si="42"/>
        <v>6.9300729300729289</v>
      </c>
      <c r="H82" s="13" t="e">
        <f t="shared" si="42"/>
        <v>#DIV/0!</v>
      </c>
      <c r="I82" s="14" t="e">
        <f t="shared" si="42"/>
        <v>#DIV/0!</v>
      </c>
      <c r="J82" s="13" t="e">
        <f t="shared" si="42"/>
        <v>#DIV/0!</v>
      </c>
      <c r="K82" s="14" t="e">
        <f t="shared" si="42"/>
        <v>#DIV/0!</v>
      </c>
      <c r="L82" s="13" t="e">
        <f t="shared" si="42"/>
        <v>#DIV/0!</v>
      </c>
      <c r="M82" s="14" t="e">
        <f t="shared" si="42"/>
        <v>#DIV/0!</v>
      </c>
      <c r="N82" s="13" t="e">
        <f t="shared" si="42"/>
        <v>#DIV/0!</v>
      </c>
      <c r="O82" s="14" t="e">
        <f t="shared" si="42"/>
        <v>#DIV/0!</v>
      </c>
      <c r="P82" s="13" t="e">
        <f t="shared" si="42"/>
        <v>#DIV/0!</v>
      </c>
      <c r="Q82" s="14" t="e">
        <f t="shared" si="42"/>
        <v>#DIV/0!</v>
      </c>
      <c r="R82" s="13" t="e">
        <f t="shared" si="42"/>
        <v>#DIV/0!</v>
      </c>
      <c r="S82" s="14" t="e">
        <f t="shared" si="42"/>
        <v>#DIV/0!</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0.80630981921304501</v>
      </c>
      <c r="G84" s="38">
        <f t="shared" si="45"/>
        <v>0.80630981921304501</v>
      </c>
      <c r="H84" s="96" t="e">
        <f t="shared" ref="H84:AS84" si="46">((-0.4-1)*H83-(-0.4+1)*H82)/((-0.4-1)*H82-(-0.4+1)*H83)</f>
        <v>#DIV/0!</v>
      </c>
      <c r="I84" s="98" t="e">
        <f t="shared" si="46"/>
        <v>#DIV/0!</v>
      </c>
      <c r="J84" s="96" t="e">
        <f t="shared" si="46"/>
        <v>#DIV/0!</v>
      </c>
      <c r="K84" s="98" t="e">
        <f t="shared" si="46"/>
        <v>#DIV/0!</v>
      </c>
      <c r="L84" s="96" t="e">
        <f t="shared" si="46"/>
        <v>#DIV/0!</v>
      </c>
      <c r="M84" s="98" t="e">
        <f t="shared" si="46"/>
        <v>#DIV/0!</v>
      </c>
      <c r="N84" s="96" t="e">
        <f t="shared" si="46"/>
        <v>#DIV/0!</v>
      </c>
      <c r="O84" s="98" t="e">
        <f t="shared" si="46"/>
        <v>#DIV/0!</v>
      </c>
      <c r="P84" s="96" t="e">
        <f t="shared" si="46"/>
        <v>#DIV/0!</v>
      </c>
      <c r="Q84" s="98" t="e">
        <f t="shared" si="46"/>
        <v>#DIV/0!</v>
      </c>
      <c r="R84" s="96" t="e">
        <f t="shared" si="46"/>
        <v>#DIV/0!</v>
      </c>
      <c r="S84" s="98" t="e">
        <f t="shared" si="46"/>
        <v>#DIV/0!</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2.69602790985831</v>
      </c>
      <c r="G85" s="38">
        <f t="shared" si="48"/>
        <v>2.69602790985831</v>
      </c>
      <c r="H85" s="96" t="e">
        <f t="shared" ref="H85:AS85" si="49">H78*H84</f>
        <v>#DIV/0!</v>
      </c>
      <c r="I85" s="98" t="e">
        <f t="shared" si="49"/>
        <v>#DIV/0!</v>
      </c>
      <c r="J85" s="96" t="e">
        <f t="shared" si="49"/>
        <v>#DIV/0!</v>
      </c>
      <c r="K85" s="98" t="e">
        <f t="shared" si="49"/>
        <v>#DIV/0!</v>
      </c>
      <c r="L85" s="96" t="e">
        <f t="shared" si="49"/>
        <v>#DIV/0!</v>
      </c>
      <c r="M85" s="98" t="e">
        <f t="shared" si="49"/>
        <v>#DIV/0!</v>
      </c>
      <c r="N85" s="96" t="e">
        <f t="shared" si="49"/>
        <v>#DIV/0!</v>
      </c>
      <c r="O85" s="98" t="e">
        <f t="shared" si="49"/>
        <v>#DIV/0!</v>
      </c>
      <c r="P85" s="96" t="e">
        <f t="shared" si="49"/>
        <v>#DIV/0!</v>
      </c>
      <c r="Q85" s="98" t="e">
        <f t="shared" si="49"/>
        <v>#DIV/0!</v>
      </c>
      <c r="R85" s="96" t="e">
        <f t="shared" si="49"/>
        <v>#DIV/0!</v>
      </c>
      <c r="S85" s="98" t="e">
        <f t="shared" si="49"/>
        <v>#DIV/0!</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226</v>
      </c>
      <c r="D86" s="11" t="s">
        <v>89</v>
      </c>
      <c r="E86" s="125">
        <f t="shared" ref="E86:AS86" si="50">IF(E11&gt;0,6-(1.5*E85)+(0.15*E57),0)</f>
        <v>0</v>
      </c>
      <c r="F86" s="15">
        <f t="shared" si="50"/>
        <v>2.3018643597591808</v>
      </c>
      <c r="G86" s="98">
        <f t="shared" si="50"/>
        <v>2.3438381097591807</v>
      </c>
      <c r="H86" s="96">
        <f t="shared" si="50"/>
        <v>0</v>
      </c>
      <c r="I86" s="98">
        <f t="shared" si="50"/>
        <v>0</v>
      </c>
      <c r="J86" s="96">
        <f t="shared" si="50"/>
        <v>0</v>
      </c>
      <c r="K86" s="98">
        <f t="shared" si="50"/>
        <v>0</v>
      </c>
      <c r="L86" s="96">
        <f t="shared" si="50"/>
        <v>0</v>
      </c>
      <c r="M86" s="98">
        <f t="shared" si="50"/>
        <v>0</v>
      </c>
      <c r="N86" s="96">
        <f t="shared" si="50"/>
        <v>0</v>
      </c>
      <c r="O86" s="98">
        <f t="shared" si="50"/>
        <v>0</v>
      </c>
      <c r="P86" s="96">
        <f t="shared" si="50"/>
        <v>0</v>
      </c>
      <c r="Q86" s="98">
        <f t="shared" si="50"/>
        <v>0</v>
      </c>
      <c r="R86" s="96">
        <f t="shared" si="50"/>
        <v>0</v>
      </c>
      <c r="S86" s="98">
        <f t="shared" si="50"/>
        <v>0</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B</v>
      </c>
      <c r="G87" s="12" t="str">
        <f t="shared" si="52"/>
        <v>B</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286" t="s">
        <v>49</v>
      </c>
      <c r="D89" s="304"/>
      <c r="E89" s="112"/>
      <c r="F89" s="286" t="str">
        <f>F3</f>
        <v>Link 1</v>
      </c>
      <c r="G89" s="304"/>
      <c r="H89" s="286" t="str">
        <f>H3</f>
        <v>Link 2</v>
      </c>
      <c r="I89" s="304"/>
      <c r="J89" s="286" t="str">
        <f>J3</f>
        <v>Link 3</v>
      </c>
      <c r="K89" s="304"/>
      <c r="L89" s="286" t="str">
        <f>L3</f>
        <v>Link 4</v>
      </c>
      <c r="M89" s="304"/>
      <c r="N89" s="286" t="str">
        <f>N3</f>
        <v>Link 5</v>
      </c>
      <c r="O89" s="304"/>
      <c r="P89" s="286" t="str">
        <f>P3</f>
        <v>Link 6</v>
      </c>
      <c r="Q89" s="304"/>
      <c r="R89" s="286" t="str">
        <f>R3</f>
        <v>Link 7</v>
      </c>
      <c r="S89" s="304"/>
      <c r="T89" s="286" t="str">
        <f>T3</f>
        <v>Link 8</v>
      </c>
      <c r="U89" s="304"/>
      <c r="V89" s="286" t="str">
        <f>V3</f>
        <v>Link 9</v>
      </c>
      <c r="W89" s="304"/>
      <c r="X89" s="286" t="str">
        <f>X3</f>
        <v>Link 10</v>
      </c>
      <c r="Y89" s="304"/>
      <c r="Z89" s="286" t="str">
        <f>Z3</f>
        <v>Link 11</v>
      </c>
      <c r="AA89" s="304"/>
      <c r="AB89" s="286" t="str">
        <f>AB3</f>
        <v>Link 12</v>
      </c>
      <c r="AC89" s="304"/>
      <c r="AD89" s="286" t="str">
        <f>AD3</f>
        <v>Link 13</v>
      </c>
      <c r="AE89" s="304"/>
      <c r="AF89" s="286" t="str">
        <f>AF3</f>
        <v>Link 14</v>
      </c>
      <c r="AG89" s="304"/>
      <c r="AH89" s="286" t="str">
        <f>AH3</f>
        <v>Link 15</v>
      </c>
      <c r="AI89" s="304"/>
      <c r="AJ89" s="286" t="str">
        <f>AJ3</f>
        <v>Link 16</v>
      </c>
      <c r="AK89" s="304"/>
      <c r="AL89" s="286" t="str">
        <f>AL3</f>
        <v>Link 17</v>
      </c>
      <c r="AM89" s="304"/>
      <c r="AN89" s="286" t="str">
        <f>AN3</f>
        <v>Link 18</v>
      </c>
      <c r="AO89" s="304"/>
      <c r="AP89" s="286" t="str">
        <f>AP3</f>
        <v>Link 19</v>
      </c>
      <c r="AQ89" s="304"/>
      <c r="AR89" s="286" t="str">
        <f>AR3</f>
        <v>Link 20</v>
      </c>
      <c r="AS89" s="287"/>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224</v>
      </c>
      <c r="D91" s="11" t="s">
        <v>93</v>
      </c>
      <c r="E91" s="114"/>
      <c r="F91" s="299">
        <f>IF(ISBLANK(F7),"",MAX(F57:G57))</f>
        <v>2.585866496977637</v>
      </c>
      <c r="G91" s="303"/>
      <c r="H91" s="299" t="str">
        <f>IF(ISBLANK(H7),"",MAX(H57:I57))</f>
        <v/>
      </c>
      <c r="I91" s="303"/>
      <c r="J91" s="299" t="str">
        <f>IF(ISBLANK(J7),"",MAX(J57:K57))</f>
        <v/>
      </c>
      <c r="K91" s="303"/>
      <c r="L91" s="299" t="str">
        <f>IF(ISBLANK(L7),"",MAX(L57:M57))</f>
        <v/>
      </c>
      <c r="M91" s="303"/>
      <c r="N91" s="299" t="str">
        <f>IF(ISBLANK(N7),"",MAX(N57:O57))</f>
        <v/>
      </c>
      <c r="O91" s="303"/>
      <c r="P91" s="299" t="str">
        <f>IF(ISBLANK(P7),"",MAX(P57:Q57))</f>
        <v/>
      </c>
      <c r="Q91" s="303"/>
      <c r="R91" s="299" t="str">
        <f>IF(ISBLANK(R7),"",MAX(R57:S57))</f>
        <v/>
      </c>
      <c r="S91" s="303"/>
      <c r="T91" s="299" t="str">
        <f>IF(ISBLANK(T7),"",MAX(T57:U57))</f>
        <v/>
      </c>
      <c r="U91" s="303"/>
      <c r="V91" s="299" t="str">
        <f>IF(ISBLANK(V7),"",MAX(V57:W57))</f>
        <v/>
      </c>
      <c r="W91" s="303"/>
      <c r="X91" s="299" t="str">
        <f>IF(ISBLANK(X7),"",MAX(X57:Y57))</f>
        <v/>
      </c>
      <c r="Y91" s="303"/>
      <c r="Z91" s="299" t="str">
        <f>IF(ISBLANK(Z7),"",MAX(Z57:AA57))</f>
        <v/>
      </c>
      <c r="AA91" s="303"/>
      <c r="AB91" s="299" t="str">
        <f>IF(ISBLANK(AB7),"",MAX(AB57:AC57))</f>
        <v/>
      </c>
      <c r="AC91" s="303"/>
      <c r="AD91" s="299" t="str">
        <f>IF(ISBLANK(AD7),"",MAX(AD57:AE57))</f>
        <v/>
      </c>
      <c r="AE91" s="303"/>
      <c r="AF91" s="299" t="str">
        <f>IF(ISBLANK(AF7),"",MAX(AF57:AG57))</f>
        <v/>
      </c>
      <c r="AG91" s="303"/>
      <c r="AH91" s="299" t="str">
        <f>IF(ISBLANK(AH7),"",MAX(AH57:AI57))</f>
        <v/>
      </c>
      <c r="AI91" s="303"/>
      <c r="AJ91" s="299" t="str">
        <f>IF(ISBLANK(AJ7),"",MAX(AJ57:AK57))</f>
        <v/>
      </c>
      <c r="AK91" s="303"/>
      <c r="AL91" s="299" t="str">
        <f>IF(ISBLANK(AL7),"",MAX(AL57:AM57))</f>
        <v/>
      </c>
      <c r="AM91" s="303"/>
      <c r="AN91" s="299" t="str">
        <f>IF(ISBLANK(AN7),"",MAX(AN57:AO57))</f>
        <v/>
      </c>
      <c r="AO91" s="303"/>
      <c r="AP91" s="299" t="str">
        <f>IF(ISBLANK(AP7),"",MAX(AP57:AQ57))</f>
        <v/>
      </c>
      <c r="AQ91" s="303"/>
      <c r="AR91" s="299" t="str">
        <f>IF(ISBLANK(AR7),"",MAX(AR57:AS57))</f>
        <v/>
      </c>
      <c r="AS91" s="303"/>
      <c r="AT91" s="67">
        <f>SUMPRODUCT(F91:AS91,F7:AS7)/SUM(F7:AS7)</f>
        <v>2.585866496977637</v>
      </c>
      <c r="AU91" s="56"/>
    </row>
    <row r="92" spans="2:47" x14ac:dyDescent="0.25">
      <c r="B92" s="55"/>
      <c r="C92" s="10"/>
      <c r="D92" s="11" t="s">
        <v>41</v>
      </c>
      <c r="E92" s="114"/>
      <c r="F92" s="289" t="str">
        <f>IF(F91="","",IF(F91&lt;=2,"A",IF(F91&lt;=2.75,"B",IF(F91&lt;=3.5,"C",IF(F91&lt;=4.25,"D",IF(F91&lt;=5,"E","F"))))))</f>
        <v>B</v>
      </c>
      <c r="G92" s="290"/>
      <c r="H92" s="289" t="str">
        <f>IF(H91="","",IF(H91&lt;=2,"A",IF(H91&lt;=2.75,"B",IF(H91&lt;=3.5,"C",IF(H91&lt;=4.25,"D",IF(H91&lt;=5,"E","F"))))))</f>
        <v/>
      </c>
      <c r="I92" s="290"/>
      <c r="J92" s="289" t="str">
        <f>IF(J91="","",IF(J91&lt;=2,"A",IF(J91&lt;=2.75,"B",IF(J91&lt;=3.5,"C",IF(J91&lt;=4.25,"D",IF(J91&lt;=5,"E","F"))))))</f>
        <v/>
      </c>
      <c r="K92" s="290"/>
      <c r="L92" s="289" t="str">
        <f t="shared" ref="L92" si="54">IF(L91="","",IF(L91&lt;=2,"A",IF(L91&lt;=2.75,"B",IF(L91&lt;=3.5,"C",IF(L91&lt;=4.25,"D",IF(L91&lt;=5,"E","F"))))))</f>
        <v/>
      </c>
      <c r="M92" s="290"/>
      <c r="N92" s="289" t="str">
        <f t="shared" ref="N92" si="55">IF(N91="","",IF(N91&lt;=2,"A",IF(N91&lt;=2.75,"B",IF(N91&lt;=3.5,"C",IF(N91&lt;=4.25,"D",IF(N91&lt;=5,"E","F"))))))</f>
        <v/>
      </c>
      <c r="O92" s="290"/>
      <c r="P92" s="289" t="str">
        <f t="shared" ref="P92" si="56">IF(P91="","",IF(P91&lt;=2,"A",IF(P91&lt;=2.75,"B",IF(P91&lt;=3.5,"C",IF(P91&lt;=4.25,"D",IF(P91&lt;=5,"E","F"))))))</f>
        <v/>
      </c>
      <c r="Q92" s="290"/>
      <c r="R92" s="289" t="str">
        <f t="shared" ref="R92" si="57">IF(R91="","",IF(R91&lt;=2,"A",IF(R91&lt;=2.75,"B",IF(R91&lt;=3.5,"C",IF(R91&lt;=4.25,"D",IF(R91&lt;=5,"E","F"))))))</f>
        <v/>
      </c>
      <c r="S92" s="290"/>
      <c r="T92" s="289" t="str">
        <f t="shared" ref="T92" si="58">IF(T91="","",IF(T91&lt;=2,"A",IF(T91&lt;=2.75,"B",IF(T91&lt;=3.5,"C",IF(T91&lt;=4.25,"D",IF(T91&lt;=5,"E","F"))))))</f>
        <v/>
      </c>
      <c r="U92" s="290"/>
      <c r="V92" s="289" t="str">
        <f t="shared" ref="V92" si="59">IF(V91="","",IF(V91&lt;=2,"A",IF(V91&lt;=2.75,"B",IF(V91&lt;=3.5,"C",IF(V91&lt;=4.25,"D",IF(V91&lt;=5,"E","F"))))))</f>
        <v/>
      </c>
      <c r="W92" s="290"/>
      <c r="X92" s="289" t="str">
        <f t="shared" ref="X92" si="60">IF(X91="","",IF(X91&lt;=2,"A",IF(X91&lt;=2.75,"B",IF(X91&lt;=3.5,"C",IF(X91&lt;=4.25,"D",IF(X91&lt;=5,"E","F"))))))</f>
        <v/>
      </c>
      <c r="Y92" s="290"/>
      <c r="Z92" s="289" t="str">
        <f t="shared" ref="Z92" si="61">IF(Z91="","",IF(Z91&lt;=2,"A",IF(Z91&lt;=2.75,"B",IF(Z91&lt;=3.5,"C",IF(Z91&lt;=4.25,"D",IF(Z91&lt;=5,"E","F"))))))</f>
        <v/>
      </c>
      <c r="AA92" s="290"/>
      <c r="AB92" s="289" t="str">
        <f t="shared" ref="AB92" si="62">IF(AB91="","",IF(AB91&lt;=2,"A",IF(AB91&lt;=2.75,"B",IF(AB91&lt;=3.5,"C",IF(AB91&lt;=4.25,"D",IF(AB91&lt;=5,"E","F"))))))</f>
        <v/>
      </c>
      <c r="AC92" s="290"/>
      <c r="AD92" s="289" t="str">
        <f t="shared" ref="AD92" si="63">IF(AD91="","",IF(AD91&lt;=2,"A",IF(AD91&lt;=2.75,"B",IF(AD91&lt;=3.5,"C",IF(AD91&lt;=4.25,"D",IF(AD91&lt;=5,"E","F"))))))</f>
        <v/>
      </c>
      <c r="AE92" s="290"/>
      <c r="AF92" s="289" t="str">
        <f t="shared" ref="AF92" si="64">IF(AF91="","",IF(AF91&lt;=2,"A",IF(AF91&lt;=2.75,"B",IF(AF91&lt;=3.5,"C",IF(AF91&lt;=4.25,"D",IF(AF91&lt;=5,"E","F"))))))</f>
        <v/>
      </c>
      <c r="AG92" s="290"/>
      <c r="AH92" s="289" t="str">
        <f t="shared" ref="AH92" si="65">IF(AH91="","",IF(AH91&lt;=2,"A",IF(AH91&lt;=2.75,"B",IF(AH91&lt;=3.5,"C",IF(AH91&lt;=4.25,"D",IF(AH91&lt;=5,"E","F"))))))</f>
        <v/>
      </c>
      <c r="AI92" s="290"/>
      <c r="AJ92" s="289" t="str">
        <f t="shared" ref="AJ92" si="66">IF(AJ91="","",IF(AJ91&lt;=2,"A",IF(AJ91&lt;=2.75,"B",IF(AJ91&lt;=3.5,"C",IF(AJ91&lt;=4.25,"D",IF(AJ91&lt;=5,"E","F"))))))</f>
        <v/>
      </c>
      <c r="AK92" s="290"/>
      <c r="AL92" s="289" t="str">
        <f t="shared" ref="AL92" si="67">IF(AL91="","",IF(AL91&lt;=2,"A",IF(AL91&lt;=2.75,"B",IF(AL91&lt;=3.5,"C",IF(AL91&lt;=4.25,"D",IF(AL91&lt;=5,"E","F"))))))</f>
        <v/>
      </c>
      <c r="AM92" s="290"/>
      <c r="AN92" s="289" t="str">
        <f t="shared" ref="AN92" si="68">IF(AN91="","",IF(AN91&lt;=2,"A",IF(AN91&lt;=2.75,"B",IF(AN91&lt;=3.5,"C",IF(AN91&lt;=4.25,"D",IF(AN91&lt;=5,"E","F"))))))</f>
        <v/>
      </c>
      <c r="AO92" s="290"/>
      <c r="AP92" s="289" t="str">
        <f t="shared" ref="AP92" si="69">IF(AP91="","",IF(AP91&lt;=2,"A",IF(AP91&lt;=2.75,"B",IF(AP91&lt;=3.5,"C",IF(AP91&lt;=4.25,"D",IF(AP91&lt;=5,"E","F"))))))</f>
        <v/>
      </c>
      <c r="AQ92" s="290"/>
      <c r="AR92" s="289" t="str">
        <f t="shared" ref="AR92" si="70">IF(AR91="","",IF(AR91&lt;=2,"A",IF(AR91&lt;=2.75,"B",IF(AR91&lt;=3.5,"C",IF(AR91&lt;=4.25,"D",IF(AR91&lt;=5,"E","F"))))))</f>
        <v/>
      </c>
      <c r="AS92" s="290"/>
      <c r="AT92" s="68" t="str">
        <f>IF(AT91&lt;=2,"A",IF(AT91&lt;=2.75,"B",IF(AT91&lt;=3.5,"C",IF(AT91&lt;=4.25,"D",IF(AT91&lt;=5,"E","F")))))</f>
        <v>B</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225</v>
      </c>
      <c r="D94" s="11" t="s">
        <v>92</v>
      </c>
      <c r="E94" s="114"/>
      <c r="F94" s="299">
        <f>IF(ISBLANK(F7),"",MAX(F74:G74))</f>
        <v>4.5308900955325564</v>
      </c>
      <c r="G94" s="303"/>
      <c r="H94" s="299" t="str">
        <f>IF(ISBLANK(H7),"",MAX(H74:I74))</f>
        <v/>
      </c>
      <c r="I94" s="303"/>
      <c r="J94" s="299" t="str">
        <f>IF(ISBLANK(J7),"",MAX(J74:K74))</f>
        <v/>
      </c>
      <c r="K94" s="303"/>
      <c r="L94" s="299" t="str">
        <f>IF(ISBLANK(L7),"",MAX(L74:M74))</f>
        <v/>
      </c>
      <c r="M94" s="303"/>
      <c r="N94" s="299" t="str">
        <f>IF(ISBLANK(N7),"",MAX(N74:O74))</f>
        <v/>
      </c>
      <c r="O94" s="303"/>
      <c r="P94" s="299" t="str">
        <f>IF(ISBLANK(P7),"",MAX(P74:Q74))</f>
        <v/>
      </c>
      <c r="Q94" s="303"/>
      <c r="R94" s="299" t="str">
        <f>IF(ISBLANK(R7),"",MAX(R74:S74))</f>
        <v/>
      </c>
      <c r="S94" s="303"/>
      <c r="T94" s="299" t="str">
        <f>IF(ISBLANK(T7),"",MAX(T74:U74))</f>
        <v/>
      </c>
      <c r="U94" s="303"/>
      <c r="V94" s="299" t="str">
        <f>IF(ISBLANK(V7),"",MAX(V74:W74))</f>
        <v/>
      </c>
      <c r="W94" s="303"/>
      <c r="X94" s="299" t="str">
        <f>IF(ISBLANK(X7),"",MAX(X74:Y74))</f>
        <v/>
      </c>
      <c r="Y94" s="303"/>
      <c r="Z94" s="299" t="str">
        <f>IF(ISBLANK(Z7),"",MAX(Z74:AA74))</f>
        <v/>
      </c>
      <c r="AA94" s="303"/>
      <c r="AB94" s="299" t="str">
        <f>IF(ISBLANK(AB7),"",MAX(AB74:AC74))</f>
        <v/>
      </c>
      <c r="AC94" s="303"/>
      <c r="AD94" s="299" t="str">
        <f>IF(ISBLANK(AD7),"",MAX(AD74:AE74))</f>
        <v/>
      </c>
      <c r="AE94" s="303"/>
      <c r="AF94" s="299" t="str">
        <f>IF(ISBLANK(AF7),"",MAX(AF74:AG74))</f>
        <v/>
      </c>
      <c r="AG94" s="303"/>
      <c r="AH94" s="299" t="str">
        <f>IF(ISBLANK(AH7),"",MAX(AH74:AI74))</f>
        <v/>
      </c>
      <c r="AI94" s="303"/>
      <c r="AJ94" s="299" t="str">
        <f>IF(ISBLANK(AJ7),"",MAX(AJ74:AK74))</f>
        <v/>
      </c>
      <c r="AK94" s="303"/>
      <c r="AL94" s="299" t="str">
        <f>IF(ISBLANK(AL7),"",MAX(AL74:AM74))</f>
        <v/>
      </c>
      <c r="AM94" s="303"/>
      <c r="AN94" s="299" t="str">
        <f>IF(ISBLANK(AN7),"",MAX(AN74:AO74))</f>
        <v/>
      </c>
      <c r="AO94" s="303"/>
      <c r="AP94" s="299" t="str">
        <f>IF(ISBLANK(AP7),"",MAX(AP74:AQ74))</f>
        <v/>
      </c>
      <c r="AQ94" s="303"/>
      <c r="AR94" s="299" t="str">
        <f>IF(ISBLANK(AR7),"",MAX(AR74:AS74))</f>
        <v/>
      </c>
      <c r="AS94" s="303"/>
      <c r="AT94" s="67">
        <f>SUMPRODUCT(F94:AS94,F7:AS7)/SUM(F7:AS7)</f>
        <v>4.5308900955325564</v>
      </c>
      <c r="AU94" s="56"/>
    </row>
    <row r="95" spans="2:47" x14ac:dyDescent="0.25">
      <c r="B95" s="55"/>
      <c r="C95" s="10"/>
      <c r="D95" s="11" t="s">
        <v>51</v>
      </c>
      <c r="E95" s="114"/>
      <c r="F95" s="289" t="str">
        <f>IF(F94="","",IF(F94&lt;=2,"A",IF(F94&lt;=2.75,"B",IF(F94&lt;=3.5,"C",IF(F94&lt;=4.25,"D",IF(F94&lt;=5,"E","F"))))))</f>
        <v>E</v>
      </c>
      <c r="G95" s="290"/>
      <c r="H95" s="289" t="str">
        <f>IF(H94="","",IF(H94&lt;=2,"A",IF(H94&lt;=2.75,"B",IF(H94&lt;=3.5,"C",IF(H94&lt;=4.25,"D",IF(H94&lt;=5,"E","F"))))))</f>
        <v/>
      </c>
      <c r="I95" s="290"/>
      <c r="J95" s="289" t="str">
        <f t="shared" ref="J95" si="71">IF(J94="","",IF(J94&lt;=2,"A",IF(J94&lt;=2.75,"B",IF(J94&lt;=3.5,"C",IF(J94&lt;=4.25,"D",IF(J94&lt;=5,"E","F"))))))</f>
        <v/>
      </c>
      <c r="K95" s="290"/>
      <c r="L95" s="289" t="str">
        <f t="shared" ref="L95" si="72">IF(L94="","",IF(L94&lt;=2,"A",IF(L94&lt;=2.75,"B",IF(L94&lt;=3.5,"C",IF(L94&lt;=4.25,"D",IF(L94&lt;=5,"E","F"))))))</f>
        <v/>
      </c>
      <c r="M95" s="290"/>
      <c r="N95" s="289" t="str">
        <f t="shared" ref="N95" si="73">IF(N94="","",IF(N94&lt;=2,"A",IF(N94&lt;=2.75,"B",IF(N94&lt;=3.5,"C",IF(N94&lt;=4.25,"D",IF(N94&lt;=5,"E","F"))))))</f>
        <v/>
      </c>
      <c r="O95" s="290"/>
      <c r="P95" s="289" t="str">
        <f t="shared" ref="P95" si="74">IF(P94="","",IF(P94&lt;=2,"A",IF(P94&lt;=2.75,"B",IF(P94&lt;=3.5,"C",IF(P94&lt;=4.25,"D",IF(P94&lt;=5,"E","F"))))))</f>
        <v/>
      </c>
      <c r="Q95" s="290"/>
      <c r="R95" s="289" t="str">
        <f t="shared" ref="R95" si="75">IF(R94="","",IF(R94&lt;=2,"A",IF(R94&lt;=2.75,"B",IF(R94&lt;=3.5,"C",IF(R94&lt;=4.25,"D",IF(R94&lt;=5,"E","F"))))))</f>
        <v/>
      </c>
      <c r="S95" s="290"/>
      <c r="T95" s="289" t="str">
        <f t="shared" ref="T95" si="76">IF(T94="","",IF(T94&lt;=2,"A",IF(T94&lt;=2.75,"B",IF(T94&lt;=3.5,"C",IF(T94&lt;=4.25,"D",IF(T94&lt;=5,"E","F"))))))</f>
        <v/>
      </c>
      <c r="U95" s="290"/>
      <c r="V95" s="289" t="str">
        <f t="shared" ref="V95" si="77">IF(V94="","",IF(V94&lt;=2,"A",IF(V94&lt;=2.75,"B",IF(V94&lt;=3.5,"C",IF(V94&lt;=4.25,"D",IF(V94&lt;=5,"E","F"))))))</f>
        <v/>
      </c>
      <c r="W95" s="290"/>
      <c r="X95" s="289" t="str">
        <f t="shared" ref="X95" si="78">IF(X94="","",IF(X94&lt;=2,"A",IF(X94&lt;=2.75,"B",IF(X94&lt;=3.5,"C",IF(X94&lt;=4.25,"D",IF(X94&lt;=5,"E","F"))))))</f>
        <v/>
      </c>
      <c r="Y95" s="290"/>
      <c r="Z95" s="289" t="str">
        <f t="shared" ref="Z95" si="79">IF(Z94="","",IF(Z94&lt;=2,"A",IF(Z94&lt;=2.75,"B",IF(Z94&lt;=3.5,"C",IF(Z94&lt;=4.25,"D",IF(Z94&lt;=5,"E","F"))))))</f>
        <v/>
      </c>
      <c r="AA95" s="290"/>
      <c r="AB95" s="289" t="str">
        <f t="shared" ref="AB95" si="80">IF(AB94="","",IF(AB94&lt;=2,"A",IF(AB94&lt;=2.75,"B",IF(AB94&lt;=3.5,"C",IF(AB94&lt;=4.25,"D",IF(AB94&lt;=5,"E","F"))))))</f>
        <v/>
      </c>
      <c r="AC95" s="290"/>
      <c r="AD95" s="289" t="str">
        <f t="shared" ref="AD95" si="81">IF(AD94="","",IF(AD94&lt;=2,"A",IF(AD94&lt;=2.75,"B",IF(AD94&lt;=3.5,"C",IF(AD94&lt;=4.25,"D",IF(AD94&lt;=5,"E","F"))))))</f>
        <v/>
      </c>
      <c r="AE95" s="290"/>
      <c r="AF95" s="289" t="str">
        <f t="shared" ref="AF95" si="82">IF(AF94="","",IF(AF94&lt;=2,"A",IF(AF94&lt;=2.75,"B",IF(AF94&lt;=3.5,"C",IF(AF94&lt;=4.25,"D",IF(AF94&lt;=5,"E","F"))))))</f>
        <v/>
      </c>
      <c r="AG95" s="290"/>
      <c r="AH95" s="289" t="str">
        <f t="shared" ref="AH95" si="83">IF(AH94="","",IF(AH94&lt;=2,"A",IF(AH94&lt;=2.75,"B",IF(AH94&lt;=3.5,"C",IF(AH94&lt;=4.25,"D",IF(AH94&lt;=5,"E","F"))))))</f>
        <v/>
      </c>
      <c r="AI95" s="290"/>
      <c r="AJ95" s="289" t="str">
        <f t="shared" ref="AJ95" si="84">IF(AJ94="","",IF(AJ94&lt;=2,"A",IF(AJ94&lt;=2.75,"B",IF(AJ94&lt;=3.5,"C",IF(AJ94&lt;=4.25,"D",IF(AJ94&lt;=5,"E","F"))))))</f>
        <v/>
      </c>
      <c r="AK95" s="290"/>
      <c r="AL95" s="289" t="str">
        <f t="shared" ref="AL95" si="85">IF(AL94="","",IF(AL94&lt;=2,"A",IF(AL94&lt;=2.75,"B",IF(AL94&lt;=3.5,"C",IF(AL94&lt;=4.25,"D",IF(AL94&lt;=5,"E","F"))))))</f>
        <v/>
      </c>
      <c r="AM95" s="290"/>
      <c r="AN95" s="289" t="str">
        <f t="shared" ref="AN95" si="86">IF(AN94="","",IF(AN94&lt;=2,"A",IF(AN94&lt;=2.75,"B",IF(AN94&lt;=3.5,"C",IF(AN94&lt;=4.25,"D",IF(AN94&lt;=5,"E","F"))))))</f>
        <v/>
      </c>
      <c r="AO95" s="290"/>
      <c r="AP95" s="289" t="str">
        <f t="shared" ref="AP95" si="87">IF(AP94="","",IF(AP94&lt;=2,"A",IF(AP94&lt;=2.75,"B",IF(AP94&lt;=3.5,"C",IF(AP94&lt;=4.25,"D",IF(AP94&lt;=5,"E","F"))))))</f>
        <v/>
      </c>
      <c r="AQ95" s="290"/>
      <c r="AR95" s="289" t="str">
        <f t="shared" ref="AR95" si="88">IF(AR94="","",IF(AR94&lt;=2,"A",IF(AR94&lt;=2.75,"B",IF(AR94&lt;=3.5,"C",IF(AR94&lt;=4.25,"D",IF(AR94&lt;=5,"E","F"))))))</f>
        <v/>
      </c>
      <c r="AS95" s="290"/>
      <c r="AT95" s="68" t="str">
        <f>IF(AT94&lt;=2,"A",IF(AT94&lt;=2.75,"B",IF(AT94&lt;=3.5,"C",IF(AT94&lt;=4.25,"D",IF(AT94&lt;=5,"E","F")))))</f>
        <v>E</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226</v>
      </c>
      <c r="D97" s="110" t="s">
        <v>94</v>
      </c>
      <c r="E97" s="114"/>
      <c r="F97" s="299">
        <f>IF(ISBLANK(F7),"",IF(AND(F42="Yes",G42="Yes"),MAX(F86:G86), IF(F42="Yes",F86,IF(G42="Yes", G86,0))))</f>
        <v>2.3438381097591807</v>
      </c>
      <c r="G97" s="300"/>
      <c r="H97" s="299" t="str">
        <f>IF(ISBLANK(H7),"",IF(AND(H42="Yes",I42="Yes"),MAX(H86:I86), IF(H42="Yes",H86,IF(I42="Yes", I86,0))))</f>
        <v/>
      </c>
      <c r="I97" s="300"/>
      <c r="J97" s="299" t="str">
        <f>IF(ISBLANK(J7),"",IF(AND(J42="Yes",K42="Yes"),MAX(J86:K86), IF(J42="Yes",J86,IF(K42="Yes", K86,0))))</f>
        <v/>
      </c>
      <c r="K97" s="300"/>
      <c r="L97" s="299" t="str">
        <f>IF(ISBLANK(L7),"",IF(AND(L42="Yes",M42="Yes"),MAX(L86:M86), IF(L42="Yes",L86,IF(M42="Yes", M86,0))))</f>
        <v/>
      </c>
      <c r="M97" s="300"/>
      <c r="N97" s="299" t="str">
        <f>IF(ISBLANK(N7),"",IF(AND(N42="Yes",O42="Yes"),MAX(N86:O86), IF(N42="Yes",N86,IF(O42="Yes", O86,0))))</f>
        <v/>
      </c>
      <c r="O97" s="300"/>
      <c r="P97" s="299" t="str">
        <f>IF(ISBLANK(P7),"",IF(AND(P42="Yes",Q42="Yes"),MAX(P86:Q86), IF(P42="Yes",P86,IF(Q42="Yes", Q86,0))))</f>
        <v/>
      </c>
      <c r="Q97" s="300"/>
      <c r="R97" s="299" t="str">
        <f>IF(ISBLANK(R7),"",IF(AND(R42="Yes",S42="Yes"),MAX(R86:S86), IF(R42="Yes",R86,IF(S42="Yes", S86,0))))</f>
        <v/>
      </c>
      <c r="S97" s="300"/>
      <c r="T97" s="299" t="str">
        <f>IF(ISBLANK(T7),"",IF(AND(T42="Yes",U42="Yes"),MAX(T86:U86), IF(T42="Yes",T86,IF(U42="Yes", U86,0))))</f>
        <v/>
      </c>
      <c r="U97" s="300"/>
      <c r="V97" s="299" t="str">
        <f>IF(ISBLANK(V7),"",IF(AND(V42="Yes",W42="Yes"),MAX(V86:W86), IF(V42="Yes",V86,IF(W42="Yes", W86,0))))</f>
        <v/>
      </c>
      <c r="W97" s="300"/>
      <c r="X97" s="299" t="str">
        <f>IF(ISBLANK(X7),"",IF(AND(X42="Yes",Y42="Yes"),MAX(X86:Y86), IF(X42="Yes",X86,IF(Y42="Yes", Y86,0))))</f>
        <v/>
      </c>
      <c r="Y97" s="300"/>
      <c r="Z97" s="299" t="str">
        <f>IF(ISBLANK(Z7),"",IF(AND(Z42="Yes",AA42="Yes"),MAX(Z86:AA86), IF(Z42="Yes",Z86,IF(AA42="Yes", AA86,0))))</f>
        <v/>
      </c>
      <c r="AA97" s="300"/>
      <c r="AB97" s="299" t="str">
        <f>IF(ISBLANK(AB7),"",IF(AND(AB42="Yes",AC42="Yes"),MAX(AB86:AC86), IF(AB42="Yes",AB86,IF(AC42="Yes", AC86,0))))</f>
        <v/>
      </c>
      <c r="AC97" s="300"/>
      <c r="AD97" s="299" t="str">
        <f>IF(ISBLANK(AD7),"",IF(AND(AD42="Yes",AE42="Yes"),MAX(AD86:AE86), IF(AD42="Yes",AD86,IF(AE42="Yes", AE86,0))))</f>
        <v/>
      </c>
      <c r="AE97" s="300"/>
      <c r="AF97" s="299" t="str">
        <f>IF(ISBLANK(AF7),"",IF(AND(AF42="Yes",AG42="Yes"),MAX(AF86:AG86), IF(AF42="Yes",AF86,IF(AG42="Yes", AG86,0))))</f>
        <v/>
      </c>
      <c r="AG97" s="300"/>
      <c r="AH97" s="299" t="str">
        <f>IF(ISBLANK(AH7),"",IF(AND(AH42="Yes",AI42="Yes"),MAX(AH86:AI86), IF(AH42="Yes",AH86,IF(AI42="Yes", AI86,0))))</f>
        <v/>
      </c>
      <c r="AI97" s="300"/>
      <c r="AJ97" s="299" t="str">
        <f>IF(ISBLANK(AJ7),"",IF(AND(AJ42="Yes",AK42="Yes"),MAX(AJ86:AK86), IF(AJ42="Yes",AJ86,IF(AK42="Yes", AK86,0))))</f>
        <v/>
      </c>
      <c r="AK97" s="300"/>
      <c r="AL97" s="299" t="str">
        <f>IF(ISBLANK(AL7),"",IF(AND(AL42="Yes",AM42="Yes"),MAX(AL86:AM86), IF(AL42="Yes",AL86,IF(AM42="Yes", AM86,0))))</f>
        <v/>
      </c>
      <c r="AM97" s="300"/>
      <c r="AN97" s="299" t="str">
        <f>IF(ISBLANK(AN7),"",IF(AND(AN42="Yes",AO42="Yes"),MAX(AN86:AO86), IF(AN42="Yes",AN86,IF(AO42="Yes", AO86,0))))</f>
        <v/>
      </c>
      <c r="AO97" s="300"/>
      <c r="AP97" s="299" t="str">
        <f>IF(ISBLANK(AP7),"",IF(AND(AP42="Yes",AQ42="Yes"),MAX(AP86:AQ86), IF(AP42="Yes",AP86,IF(AQ42="Yes", AQ86,0))))</f>
        <v/>
      </c>
      <c r="AQ97" s="300"/>
      <c r="AR97" s="299" t="str">
        <f>IF(ISBLANK(AR7),"",IF(AND(AR42="Yes",AS42="Yes"),MAX(AR86:AS86), IF(AR42="Yes",AR86,IF(AS42="Yes", AS86,0))))</f>
        <v/>
      </c>
      <c r="AS97" s="300"/>
      <c r="AT97" s="67">
        <f>SUMPRODUCT(F97:AS97,F7:AS7)/SUM(F7:AS7)</f>
        <v>2.3438381097591807</v>
      </c>
      <c r="AU97" s="56"/>
    </row>
    <row r="98" spans="2:47" ht="13.5" thickBot="1" x14ac:dyDescent="0.3">
      <c r="B98" s="55"/>
      <c r="C98" s="10"/>
      <c r="D98" s="11" t="s">
        <v>52</v>
      </c>
      <c r="E98" s="114"/>
      <c r="F98" s="289" t="str">
        <f>IF(F97="","",IF(F97&lt;=2,"A",IF(F97&lt;=2.75,"B",IF(F97&lt;=3.5,"C",IF(F97&lt;=4.25,"D",IF(F97&lt;=5,"E","F"))))))</f>
        <v>B</v>
      </c>
      <c r="G98" s="290"/>
      <c r="H98" s="289" t="str">
        <f>IF(H97="","",IF(H97&lt;=2,"A",IF(H97&lt;=2.75,"B",IF(H97&lt;=3.5,"C",IF(H97&lt;=4.25,"D",IF(H97&lt;=5,"E","F"))))))</f>
        <v/>
      </c>
      <c r="I98" s="290"/>
      <c r="J98" s="289" t="str">
        <f t="shared" ref="J98" si="89">IF(J97="","",IF(J97&lt;=2,"A",IF(J97&lt;=2.75,"B",IF(J97&lt;=3.5,"C",IF(J97&lt;=4.25,"D",IF(J97&lt;=5,"E","F"))))))</f>
        <v/>
      </c>
      <c r="K98" s="290"/>
      <c r="L98" s="289" t="str">
        <f t="shared" ref="L98" si="90">IF(L97="","",IF(L97&lt;=2,"A",IF(L97&lt;=2.75,"B",IF(L97&lt;=3.5,"C",IF(L97&lt;=4.25,"D",IF(L97&lt;=5,"E","F"))))))</f>
        <v/>
      </c>
      <c r="M98" s="290"/>
      <c r="N98" s="289" t="str">
        <f t="shared" ref="N98" si="91">IF(N97="","",IF(N97&lt;=2,"A",IF(N97&lt;=2.75,"B",IF(N97&lt;=3.5,"C",IF(N97&lt;=4.25,"D",IF(N97&lt;=5,"E","F"))))))</f>
        <v/>
      </c>
      <c r="O98" s="290"/>
      <c r="P98" s="289" t="str">
        <f t="shared" ref="P98" si="92">IF(P97="","",IF(P97&lt;=2,"A",IF(P97&lt;=2.75,"B",IF(P97&lt;=3.5,"C",IF(P97&lt;=4.25,"D",IF(P97&lt;=5,"E","F"))))))</f>
        <v/>
      </c>
      <c r="Q98" s="290"/>
      <c r="R98" s="289" t="str">
        <f t="shared" ref="R98" si="93">IF(R97="","",IF(R97&lt;=2,"A",IF(R97&lt;=2.75,"B",IF(R97&lt;=3.5,"C",IF(R97&lt;=4.25,"D",IF(R97&lt;=5,"E","F"))))))</f>
        <v/>
      </c>
      <c r="S98" s="290"/>
      <c r="T98" s="289" t="str">
        <f t="shared" ref="T98" si="94">IF(T97="","",IF(T97&lt;=2,"A",IF(T97&lt;=2.75,"B",IF(T97&lt;=3.5,"C",IF(T97&lt;=4.25,"D",IF(T97&lt;=5,"E","F"))))))</f>
        <v/>
      </c>
      <c r="U98" s="290"/>
      <c r="V98" s="289" t="str">
        <f t="shared" ref="V98" si="95">IF(V97="","",IF(V97&lt;=2,"A",IF(V97&lt;=2.75,"B",IF(V97&lt;=3.5,"C",IF(V97&lt;=4.25,"D",IF(V97&lt;=5,"E","F"))))))</f>
        <v/>
      </c>
      <c r="W98" s="290"/>
      <c r="X98" s="289" t="str">
        <f t="shared" ref="X98" si="96">IF(X97="","",IF(X97&lt;=2,"A",IF(X97&lt;=2.75,"B",IF(X97&lt;=3.5,"C",IF(X97&lt;=4.25,"D",IF(X97&lt;=5,"E","F"))))))</f>
        <v/>
      </c>
      <c r="Y98" s="290"/>
      <c r="Z98" s="289" t="str">
        <f t="shared" ref="Z98" si="97">IF(Z97="","",IF(Z97&lt;=2,"A",IF(Z97&lt;=2.75,"B",IF(Z97&lt;=3.5,"C",IF(Z97&lt;=4.25,"D",IF(Z97&lt;=5,"E","F"))))))</f>
        <v/>
      </c>
      <c r="AA98" s="290"/>
      <c r="AB98" s="289" t="str">
        <f t="shared" ref="AB98" si="98">IF(AB97="","",IF(AB97&lt;=2,"A",IF(AB97&lt;=2.75,"B",IF(AB97&lt;=3.5,"C",IF(AB97&lt;=4.25,"D",IF(AB97&lt;=5,"E","F"))))))</f>
        <v/>
      </c>
      <c r="AC98" s="290"/>
      <c r="AD98" s="289" t="str">
        <f t="shared" ref="AD98" si="99">IF(AD97="","",IF(AD97&lt;=2,"A",IF(AD97&lt;=2.75,"B",IF(AD97&lt;=3.5,"C",IF(AD97&lt;=4.25,"D",IF(AD97&lt;=5,"E","F"))))))</f>
        <v/>
      </c>
      <c r="AE98" s="290"/>
      <c r="AF98" s="289" t="str">
        <f t="shared" ref="AF98" si="100">IF(AF97="","",IF(AF97&lt;=2,"A",IF(AF97&lt;=2.75,"B",IF(AF97&lt;=3.5,"C",IF(AF97&lt;=4.25,"D",IF(AF97&lt;=5,"E","F"))))))</f>
        <v/>
      </c>
      <c r="AG98" s="290"/>
      <c r="AH98" s="289" t="str">
        <f t="shared" ref="AH98" si="101">IF(AH97="","",IF(AH97&lt;=2,"A",IF(AH97&lt;=2.75,"B",IF(AH97&lt;=3.5,"C",IF(AH97&lt;=4.25,"D",IF(AH97&lt;=5,"E","F"))))))</f>
        <v/>
      </c>
      <c r="AI98" s="290"/>
      <c r="AJ98" s="289" t="str">
        <f t="shared" ref="AJ98" si="102">IF(AJ97="","",IF(AJ97&lt;=2,"A",IF(AJ97&lt;=2.75,"B",IF(AJ97&lt;=3.5,"C",IF(AJ97&lt;=4.25,"D",IF(AJ97&lt;=5,"E","F"))))))</f>
        <v/>
      </c>
      <c r="AK98" s="290"/>
      <c r="AL98" s="289" t="str">
        <f t="shared" ref="AL98" si="103">IF(AL97="","",IF(AL97&lt;=2,"A",IF(AL97&lt;=2.75,"B",IF(AL97&lt;=3.5,"C",IF(AL97&lt;=4.25,"D",IF(AL97&lt;=5,"E","F"))))))</f>
        <v/>
      </c>
      <c r="AM98" s="290"/>
      <c r="AN98" s="289" t="str">
        <f t="shared" ref="AN98" si="104">IF(AN97="","",IF(AN97&lt;=2,"A",IF(AN97&lt;=2.75,"B",IF(AN97&lt;=3.5,"C",IF(AN97&lt;=4.25,"D",IF(AN97&lt;=5,"E","F"))))))</f>
        <v/>
      </c>
      <c r="AO98" s="290"/>
      <c r="AP98" s="289" t="str">
        <f t="shared" ref="AP98" si="105">IF(AP97="","",IF(AP97&lt;=2,"A",IF(AP97&lt;=2.75,"B",IF(AP97&lt;=3.5,"C",IF(AP97&lt;=4.25,"D",IF(AP97&lt;=5,"E","F"))))))</f>
        <v/>
      </c>
      <c r="AQ98" s="290"/>
      <c r="AR98" s="289" t="str">
        <f t="shared" ref="AR98" si="106">IF(AR97="","",IF(AR97&lt;=2,"A",IF(AR97&lt;=2.75,"B",IF(AR97&lt;=3.5,"C",IF(AR97&lt;=4.25,"D",IF(AR97&lt;=5,"E","F"))))))</f>
        <v/>
      </c>
      <c r="AS98" s="290"/>
      <c r="AT98" s="69" t="str">
        <f>IF(AT97&lt;=2,"A",IF(AT97&lt;=2.75,"B",IF(AT97&lt;=3.5,"C",IF(AT97&lt;=4.25,"D",IF(AT97&lt;=5,"E","F")))))</f>
        <v>B</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207</v>
      </c>
      <c r="D101" s="20" t="s">
        <v>210</v>
      </c>
      <c r="F101" s="20"/>
      <c r="G101" s="231"/>
    </row>
    <row r="102" spans="2:47" ht="15.75" x14ac:dyDescent="0.25">
      <c r="C102" s="21" t="s">
        <v>208</v>
      </c>
      <c r="D102" s="20" t="s">
        <v>211</v>
      </c>
    </row>
    <row r="103" spans="2:47" ht="15.75" x14ac:dyDescent="0.25">
      <c r="C103" s="21" t="s">
        <v>209</v>
      </c>
      <c r="D103" s="20" t="s">
        <v>214</v>
      </c>
    </row>
    <row r="104" spans="2:47" ht="12.95" customHeight="1" x14ac:dyDescent="0.25">
      <c r="C104" s="21" t="s">
        <v>216</v>
      </c>
      <c r="D104" s="307" t="s">
        <v>217</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07"/>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07"/>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25.5" x14ac:dyDescent="0.25">
      <c r="C107" s="145" t="s">
        <v>243</v>
      </c>
      <c r="D107" s="147" t="s">
        <v>245</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08" t="s">
        <v>230</v>
      </c>
      <c r="D110" s="308"/>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AF3:AG3"/>
    <mergeCell ref="AF6:AG6"/>
    <mergeCell ref="AF7:AG7"/>
    <mergeCell ref="AF44:AG44"/>
    <mergeCell ref="AF89:AG89"/>
    <mergeCell ref="AD3:AE3"/>
    <mergeCell ref="AD6:AE6"/>
    <mergeCell ref="AD7:AE7"/>
    <mergeCell ref="AD44:AE44"/>
    <mergeCell ref="AD89:AE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J3:AK3"/>
    <mergeCell ref="AJ6:AK6"/>
    <mergeCell ref="AJ7:AK7"/>
    <mergeCell ref="AJ44:AK44"/>
    <mergeCell ref="AJ89:AK89"/>
    <mergeCell ref="AH3:AI3"/>
    <mergeCell ref="AH6:AI6"/>
    <mergeCell ref="AH7:AI7"/>
    <mergeCell ref="AH44:AI44"/>
    <mergeCell ref="AH89:AI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N3:AO3"/>
    <mergeCell ref="AN6:AO6"/>
    <mergeCell ref="AN7:AO7"/>
    <mergeCell ref="AN44:AO44"/>
    <mergeCell ref="AN89:AO89"/>
    <mergeCell ref="AL3:AM3"/>
    <mergeCell ref="AL6:AM6"/>
    <mergeCell ref="AL7:AM7"/>
    <mergeCell ref="AL44:AM44"/>
    <mergeCell ref="AL89:AM89"/>
    <mergeCell ref="AN91:AO91"/>
    <mergeCell ref="AN92:AO92"/>
    <mergeCell ref="AN94:AO94"/>
    <mergeCell ref="AN95:AO95"/>
    <mergeCell ref="AN97:AO97"/>
    <mergeCell ref="AN98:AO98"/>
    <mergeCell ref="AL92:AM92"/>
    <mergeCell ref="AL94:AM94"/>
    <mergeCell ref="AL95:AM95"/>
    <mergeCell ref="AL97:AM97"/>
    <mergeCell ref="AL98:AM98"/>
    <mergeCell ref="AL91:AM91"/>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s>
  <dataValidations count="3">
    <dataValidation type="list" allowBlank="1" showInputMessage="1" showErrorMessage="1" sqref="F39:AS39 E42:AS42 F26:AS31 E31 E26" xr:uid="{00000000-0002-0000-0100-000000000000}">
      <formula1>"Yes,No"</formula1>
    </dataValidation>
    <dataValidation type="decimal" operator="greaterThanOrEqual" allowBlank="1" showInputMessage="1" showErrorMessage="1" sqref="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49736-BB59-4C6F-A343-104596718889}">
  <sheetPr codeName="Sheet8">
    <pageSetUpPr fitToPage="1"/>
  </sheetPr>
  <dimension ref="A1:GX123"/>
  <sheetViews>
    <sheetView tabSelected="1" view="pageBreakPreview" zoomScaleNormal="162" zoomScaleSheetLayoutView="100" zoomScalePageLayoutView="120" workbookViewId="0">
      <pane xSplit="4" ySplit="4" topLeftCell="H38" activePane="bottomRight" state="frozenSplit"/>
      <selection pane="topRight" activeCell="E3" sqref="E3"/>
      <selection pane="bottomLeft" activeCell="D5" sqref="D5"/>
      <selection pane="bottomRight" activeCell="H60" sqref="H60"/>
    </sheetView>
  </sheetViews>
  <sheetFormatPr defaultColWidth="10.875" defaultRowHeight="12.75" x14ac:dyDescent="0.25"/>
  <cols>
    <col min="1" max="2" width="3.375" style="20" customWidth="1"/>
    <col min="3" max="3" width="5.5" style="23" bestFit="1" customWidth="1"/>
    <col min="4" max="4" width="64" style="20" bestFit="1" customWidth="1"/>
    <col min="5" max="17" width="9.125" style="23" bestFit="1" customWidth="1"/>
    <col min="18" max="18" width="5.125" style="23" bestFit="1" customWidth="1"/>
    <col min="19" max="39" width="9.125" style="23" bestFit="1" customWidth="1"/>
    <col min="40" max="16384" width="10.875" style="23"/>
  </cols>
  <sheetData>
    <row r="1" spans="1:206" x14ac:dyDescent="0.25">
      <c r="A1" s="21"/>
      <c r="B1" s="57"/>
      <c r="C1" s="175"/>
      <c r="D1" s="175" t="s">
        <v>465</v>
      </c>
      <c r="E1" s="23">
        <v>25</v>
      </c>
      <c r="F1" s="23">
        <v>50</v>
      </c>
      <c r="G1" s="23">
        <v>75</v>
      </c>
      <c r="H1" s="23">
        <v>100</v>
      </c>
      <c r="I1" s="23">
        <v>125</v>
      </c>
      <c r="J1" s="23">
        <v>150</v>
      </c>
      <c r="K1" s="23">
        <v>175</v>
      </c>
      <c r="L1" s="23">
        <v>200</v>
      </c>
      <c r="M1" s="23">
        <v>225</v>
      </c>
      <c r="N1" s="23">
        <v>250</v>
      </c>
      <c r="O1" s="23">
        <v>275</v>
      </c>
      <c r="P1" s="23">
        <v>300</v>
      </c>
      <c r="Q1" s="23">
        <v>325</v>
      </c>
      <c r="R1" s="23">
        <v>350</v>
      </c>
      <c r="S1" s="23">
        <v>375</v>
      </c>
    </row>
    <row r="2" spans="1:206" x14ac:dyDescent="0.25">
      <c r="A2" s="21"/>
      <c r="B2" s="57"/>
      <c r="C2" s="175"/>
      <c r="D2" s="175" t="s">
        <v>466</v>
      </c>
      <c r="E2" s="23">
        <v>15</v>
      </c>
      <c r="F2" s="23">
        <v>15</v>
      </c>
      <c r="G2" s="23">
        <v>15</v>
      </c>
      <c r="H2" s="23">
        <v>15</v>
      </c>
      <c r="I2" s="23">
        <v>15</v>
      </c>
      <c r="J2" s="23">
        <v>15</v>
      </c>
      <c r="K2" s="23">
        <v>15</v>
      </c>
      <c r="L2" s="23">
        <v>15</v>
      </c>
      <c r="M2" s="23">
        <v>15</v>
      </c>
      <c r="N2" s="23">
        <v>15</v>
      </c>
      <c r="O2" s="23">
        <v>15</v>
      </c>
      <c r="P2" s="23">
        <v>15</v>
      </c>
      <c r="Q2" s="23">
        <v>15</v>
      </c>
      <c r="R2" s="23">
        <v>15</v>
      </c>
      <c r="S2" s="23">
        <v>15</v>
      </c>
    </row>
    <row r="3" spans="1:206" x14ac:dyDescent="0.25">
      <c r="A3" s="21"/>
      <c r="B3" s="57"/>
      <c r="C3" s="175"/>
      <c r="D3" s="175" t="s">
        <v>467</v>
      </c>
      <c r="E3" s="23">
        <v>1</v>
      </c>
      <c r="F3" s="23">
        <v>1</v>
      </c>
      <c r="G3" s="23">
        <v>1</v>
      </c>
      <c r="H3" s="23">
        <v>1</v>
      </c>
      <c r="I3" s="23">
        <v>1</v>
      </c>
      <c r="J3" s="23">
        <v>1</v>
      </c>
      <c r="K3" s="23">
        <v>1</v>
      </c>
      <c r="L3" s="23">
        <v>1</v>
      </c>
      <c r="M3" s="23">
        <v>1</v>
      </c>
      <c r="N3" s="23">
        <v>1</v>
      </c>
      <c r="O3" s="23">
        <v>1</v>
      </c>
      <c r="P3" s="23">
        <v>1</v>
      </c>
      <c r="Q3" s="23">
        <v>1</v>
      </c>
      <c r="R3" s="23">
        <v>1</v>
      </c>
      <c r="S3" s="23">
        <v>1</v>
      </c>
    </row>
    <row r="4" spans="1:206" x14ac:dyDescent="0.25">
      <c r="A4" s="21"/>
      <c r="B4" s="57"/>
      <c r="C4" s="175"/>
      <c r="D4" s="175" t="s">
        <v>468</v>
      </c>
      <c r="E4" s="23" t="s">
        <v>275</v>
      </c>
      <c r="F4" s="23" t="s">
        <v>275</v>
      </c>
      <c r="G4" s="23" t="s">
        <v>275</v>
      </c>
      <c r="H4" s="23" t="s">
        <v>275</v>
      </c>
      <c r="I4" s="23" t="s">
        <v>275</v>
      </c>
      <c r="J4" s="23" t="s">
        <v>275</v>
      </c>
      <c r="K4" s="23" t="s">
        <v>275</v>
      </c>
      <c r="L4" s="23" t="s">
        <v>275</v>
      </c>
      <c r="M4" s="23" t="s">
        <v>275</v>
      </c>
      <c r="N4" s="23" t="s">
        <v>275</v>
      </c>
      <c r="O4" s="23" t="s">
        <v>275</v>
      </c>
      <c r="P4" s="23" t="s">
        <v>275</v>
      </c>
      <c r="Q4" s="23" t="s">
        <v>275</v>
      </c>
      <c r="R4" s="23" t="s">
        <v>275</v>
      </c>
      <c r="S4" s="23" t="s">
        <v>275</v>
      </c>
    </row>
    <row r="5" spans="1:206" x14ac:dyDescent="0.25">
      <c r="A5" s="21"/>
      <c r="B5" s="57"/>
      <c r="C5" s="175"/>
      <c r="D5" s="175"/>
    </row>
    <row r="6" spans="1:206" x14ac:dyDescent="0.25">
      <c r="A6" s="21"/>
      <c r="B6" s="57"/>
      <c r="C6" s="175"/>
      <c r="D6" s="175"/>
    </row>
    <row r="7" spans="1:206" x14ac:dyDescent="0.25">
      <c r="A7" s="21"/>
      <c r="B7" s="57"/>
      <c r="C7" s="286" t="s">
        <v>0</v>
      </c>
      <c r="D7" s="287"/>
      <c r="E7" s="180"/>
      <c r="F7" s="267"/>
      <c r="G7" s="267"/>
      <c r="H7" s="267"/>
      <c r="I7" s="267"/>
      <c r="J7" s="267"/>
      <c r="K7" s="267"/>
      <c r="L7" s="267"/>
      <c r="M7" s="267"/>
      <c r="N7" s="267"/>
      <c r="O7" s="267"/>
      <c r="P7" s="267"/>
      <c r="Q7" s="267"/>
      <c r="R7" s="267"/>
      <c r="S7" s="181"/>
      <c r="T7" s="180"/>
      <c r="U7" s="267"/>
      <c r="V7" s="267"/>
      <c r="W7" s="181"/>
      <c r="X7" s="176"/>
      <c r="Y7" s="180"/>
      <c r="Z7" s="267"/>
      <c r="AA7" s="267"/>
      <c r="AB7" s="181"/>
      <c r="AC7" s="176"/>
      <c r="AD7" s="180"/>
      <c r="AE7" s="267"/>
      <c r="AF7" s="267"/>
      <c r="AG7" s="181"/>
      <c r="AH7" s="176"/>
      <c r="AI7" s="180"/>
      <c r="AJ7" s="267"/>
      <c r="AK7" s="267"/>
      <c r="AL7" s="181"/>
      <c r="AM7" s="176"/>
      <c r="AN7" s="176"/>
      <c r="AO7" s="176"/>
      <c r="AP7" s="176"/>
      <c r="AQ7" s="176"/>
      <c r="AR7" s="176"/>
      <c r="AS7" s="176"/>
      <c r="AT7" s="176"/>
      <c r="AU7" s="176"/>
      <c r="AV7" s="176"/>
      <c r="AW7" s="176"/>
      <c r="AX7" s="176"/>
      <c r="AY7" s="176"/>
      <c r="AZ7" s="176"/>
      <c r="BA7" s="176"/>
      <c r="BB7" s="176"/>
      <c r="BC7" s="176"/>
      <c r="BD7" s="176"/>
      <c r="BE7" s="176"/>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6"/>
      <c r="CU7" s="176"/>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row>
    <row r="8" spans="1:206" x14ac:dyDescent="0.25">
      <c r="B8" s="55"/>
      <c r="C8" s="4"/>
      <c r="D8" s="77" t="s">
        <v>115</v>
      </c>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row>
    <row r="9" spans="1:206" ht="14.25" x14ac:dyDescent="0.25">
      <c r="B9" s="55"/>
      <c r="C9" s="9" t="s">
        <v>146</v>
      </c>
      <c r="D9" s="76" t="s">
        <v>147</v>
      </c>
      <c r="E9" s="80">
        <f>2*E3</f>
        <v>2</v>
      </c>
      <c r="F9" s="80">
        <v>2</v>
      </c>
      <c r="G9" s="80">
        <v>2</v>
      </c>
      <c r="H9" s="80">
        <v>2</v>
      </c>
      <c r="I9" s="80">
        <v>2</v>
      </c>
      <c r="J9" s="80">
        <v>2</v>
      </c>
      <c r="K9" s="80">
        <v>2</v>
      </c>
      <c r="L9" s="80">
        <v>2</v>
      </c>
      <c r="M9" s="80">
        <v>2</v>
      </c>
      <c r="N9" s="80">
        <v>2</v>
      </c>
      <c r="O9" s="80">
        <v>2</v>
      </c>
      <c r="P9" s="80">
        <v>2</v>
      </c>
      <c r="Q9" s="80">
        <v>2</v>
      </c>
      <c r="R9" s="80">
        <v>2</v>
      </c>
      <c r="S9" s="80">
        <v>2</v>
      </c>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0"/>
      <c r="CO9" s="80"/>
      <c r="CP9" s="80"/>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row>
    <row r="10" spans="1:206" ht="14.25" x14ac:dyDescent="0.25">
      <c r="B10" s="55"/>
      <c r="C10" s="9" t="s">
        <v>438</v>
      </c>
      <c r="D10" s="76" t="s">
        <v>439</v>
      </c>
      <c r="E10" s="80">
        <v>2</v>
      </c>
      <c r="F10" s="80">
        <v>2</v>
      </c>
      <c r="G10" s="80">
        <v>2</v>
      </c>
      <c r="H10" s="80">
        <v>2</v>
      </c>
      <c r="I10" s="80">
        <v>2</v>
      </c>
      <c r="J10" s="80">
        <v>2</v>
      </c>
      <c r="K10" s="80">
        <v>2</v>
      </c>
      <c r="L10" s="80">
        <v>2</v>
      </c>
      <c r="M10" s="80">
        <v>2</v>
      </c>
      <c r="N10" s="80">
        <v>2</v>
      </c>
      <c r="O10" s="80">
        <v>2</v>
      </c>
      <c r="P10" s="80">
        <v>2</v>
      </c>
      <c r="Q10" s="80">
        <v>2</v>
      </c>
      <c r="R10" s="80">
        <v>2</v>
      </c>
      <c r="S10" s="80">
        <v>2</v>
      </c>
      <c r="T10" s="80"/>
      <c r="U10" s="80"/>
      <c r="V10" s="80"/>
      <c r="W10" s="80"/>
      <c r="X10" s="80"/>
      <c r="Y10" s="80"/>
      <c r="Z10" s="80"/>
      <c r="AA10" s="80"/>
      <c r="AB10" s="80"/>
      <c r="AC10" s="80"/>
      <c r="AD10" s="80"/>
      <c r="AE10" s="80"/>
      <c r="AF10" s="80"/>
      <c r="AG10" s="80"/>
      <c r="AH10" s="80"/>
      <c r="AI10" s="80"/>
      <c r="AJ10" s="80"/>
      <c r="AK10" s="80"/>
      <c r="AL10" s="80"/>
      <c r="AM10" s="80"/>
      <c r="AN10" s="80"/>
      <c r="AO10" s="80"/>
      <c r="AP10" s="80"/>
      <c r="AQ10" s="80"/>
      <c r="AR10" s="80"/>
      <c r="AS10" s="80"/>
      <c r="AT10" s="80"/>
      <c r="AU10" s="80"/>
      <c r="AV10" s="80"/>
      <c r="AW10" s="80"/>
      <c r="AX10" s="80"/>
      <c r="AY10" s="80"/>
      <c r="AZ10" s="80"/>
      <c r="BA10" s="80"/>
      <c r="BB10" s="80"/>
      <c r="BC10" s="80"/>
      <c r="BD10" s="80"/>
      <c r="BE10" s="80"/>
      <c r="BF10" s="80"/>
      <c r="BG10" s="80"/>
      <c r="BH10" s="80"/>
      <c r="BI10" s="80"/>
      <c r="BJ10" s="80"/>
      <c r="BK10" s="80"/>
      <c r="BL10" s="80"/>
      <c r="BM10" s="80"/>
      <c r="BN10" s="80"/>
      <c r="BO10" s="80"/>
      <c r="BP10" s="80"/>
      <c r="BQ10" s="80"/>
      <c r="BR10" s="80"/>
      <c r="BS10" s="80"/>
      <c r="BT10" s="80"/>
      <c r="BU10" s="80"/>
      <c r="BV10" s="80"/>
      <c r="BW10" s="80"/>
      <c r="BX10" s="80"/>
      <c r="BY10" s="80"/>
      <c r="BZ10" s="80"/>
      <c r="CA10" s="80"/>
      <c r="CB10" s="80"/>
      <c r="CC10" s="80"/>
      <c r="CD10" s="80"/>
      <c r="CE10" s="80"/>
      <c r="CF10" s="80"/>
      <c r="CG10" s="80"/>
      <c r="CH10" s="80"/>
      <c r="CI10" s="80"/>
      <c r="CJ10" s="80"/>
      <c r="CK10" s="80"/>
      <c r="CL10" s="80"/>
      <c r="CM10" s="80"/>
      <c r="CN10" s="80"/>
      <c r="CO10" s="80"/>
      <c r="CP10" s="80"/>
      <c r="CQ10" s="80"/>
      <c r="CR10" s="80"/>
      <c r="CS10" s="80"/>
      <c r="CT10" s="80"/>
      <c r="CU10" s="80"/>
      <c r="CV10" s="80"/>
      <c r="CW10" s="80"/>
      <c r="CX10" s="80"/>
      <c r="CY10" s="80"/>
      <c r="CZ10" s="80"/>
      <c r="DA10" s="80"/>
      <c r="DB10" s="80"/>
      <c r="DC10" s="80"/>
      <c r="DD10" s="80"/>
      <c r="DE10" s="80"/>
      <c r="DF10" s="80"/>
      <c r="DG10" s="80"/>
      <c r="DH10" s="80"/>
      <c r="DI10" s="80"/>
      <c r="DJ10" s="80"/>
      <c r="DK10" s="80"/>
      <c r="DL10" s="80"/>
      <c r="DM10" s="80"/>
      <c r="DN10" s="80"/>
      <c r="DO10" s="80"/>
      <c r="DP10" s="80"/>
      <c r="DQ10" s="80"/>
      <c r="DR10" s="80"/>
      <c r="DS10" s="80"/>
      <c r="DT10" s="80"/>
      <c r="DU10" s="80"/>
      <c r="DV10" s="80"/>
      <c r="DW10" s="80"/>
      <c r="DX10" s="80"/>
      <c r="DY10" s="80"/>
      <c r="DZ10" s="80"/>
      <c r="EA10" s="80"/>
      <c r="EB10" s="80"/>
      <c r="EC10" s="80"/>
      <c r="ED10" s="80"/>
      <c r="EE10" s="80"/>
      <c r="EF10" s="80"/>
      <c r="EG10" s="80"/>
      <c r="EH10" s="80"/>
      <c r="EI10" s="80"/>
      <c r="EJ10" s="80"/>
      <c r="EK10" s="80"/>
      <c r="EL10" s="80"/>
      <c r="EM10" s="80"/>
      <c r="EN10" s="80"/>
      <c r="EO10" s="80"/>
      <c r="EP10" s="80"/>
      <c r="EQ10" s="80"/>
      <c r="ER10" s="80"/>
      <c r="ES10" s="80"/>
      <c r="ET10" s="80"/>
      <c r="EU10" s="80"/>
      <c r="EV10" s="80"/>
      <c r="EW10" s="80"/>
      <c r="EX10" s="80"/>
      <c r="EY10" s="80"/>
      <c r="EZ10" s="80"/>
      <c r="FA10" s="80"/>
      <c r="FB10" s="80"/>
      <c r="FC10" s="80"/>
      <c r="FD10" s="80"/>
      <c r="FE10" s="80"/>
      <c r="FF10" s="80"/>
      <c r="FG10" s="80"/>
      <c r="FH10" s="80"/>
      <c r="FI10" s="80"/>
      <c r="FJ10" s="80"/>
      <c r="FK10" s="80"/>
      <c r="FL10" s="80"/>
      <c r="FM10" s="80"/>
      <c r="FN10" s="80"/>
      <c r="FO10" s="80"/>
      <c r="FP10" s="80"/>
      <c r="FQ10" s="80"/>
      <c r="FR10" s="80"/>
      <c r="FS10" s="80"/>
      <c r="FT10" s="80"/>
      <c r="FU10" s="80"/>
      <c r="FV10" s="80"/>
      <c r="FW10" s="80"/>
      <c r="FX10" s="80"/>
      <c r="FY10" s="80"/>
      <c r="FZ10" s="80"/>
      <c r="GA10" s="80"/>
      <c r="GB10" s="80"/>
      <c r="GC10" s="80"/>
      <c r="GD10" s="80"/>
      <c r="GE10" s="80"/>
      <c r="GF10" s="80"/>
      <c r="GG10" s="80"/>
      <c r="GH10" s="80"/>
      <c r="GI10" s="80"/>
      <c r="GJ10" s="80"/>
      <c r="GK10" s="80"/>
      <c r="GL10" s="80"/>
      <c r="GM10" s="80"/>
      <c r="GN10" s="80"/>
      <c r="GO10" s="80"/>
      <c r="GP10" s="80"/>
      <c r="GQ10" s="80"/>
      <c r="GR10" s="80"/>
      <c r="GS10" s="80"/>
      <c r="GT10" s="80"/>
      <c r="GU10" s="80"/>
      <c r="GV10" s="80"/>
      <c r="GW10" s="80"/>
      <c r="GX10" s="80"/>
    </row>
    <row r="11" spans="1:206" ht="14.25" x14ac:dyDescent="0.25">
      <c r="B11" s="55"/>
      <c r="C11" s="9" t="s">
        <v>117</v>
      </c>
      <c r="D11" s="76" t="s">
        <v>174</v>
      </c>
      <c r="E11" s="82">
        <v>2</v>
      </c>
      <c r="F11" s="82">
        <v>2</v>
      </c>
      <c r="G11" s="82">
        <v>2</v>
      </c>
      <c r="H11" s="82">
        <v>2</v>
      </c>
      <c r="I11" s="82">
        <v>2</v>
      </c>
      <c r="J11" s="82">
        <v>2</v>
      </c>
      <c r="K11" s="82">
        <v>2</v>
      </c>
      <c r="L11" s="82">
        <v>2</v>
      </c>
      <c r="M11" s="82">
        <v>2</v>
      </c>
      <c r="N11" s="82">
        <v>2</v>
      </c>
      <c r="O11" s="82">
        <v>2</v>
      </c>
      <c r="P11" s="82">
        <v>2</v>
      </c>
      <c r="Q11" s="82">
        <v>2</v>
      </c>
      <c r="R11" s="82">
        <v>2</v>
      </c>
      <c r="S11" s="82">
        <v>2</v>
      </c>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c r="CN11" s="82"/>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c r="DU11" s="82"/>
      <c r="DV11" s="82"/>
      <c r="DW11" s="82"/>
      <c r="DX11" s="82"/>
      <c r="DY11" s="82"/>
      <c r="DZ11" s="82"/>
      <c r="EA11" s="82"/>
      <c r="EB11" s="82"/>
      <c r="EC11" s="82"/>
      <c r="ED11" s="82"/>
      <c r="EE11" s="82"/>
      <c r="EF11" s="82"/>
      <c r="EG11" s="82"/>
      <c r="EH11" s="82"/>
      <c r="EI11" s="82"/>
      <c r="EJ11" s="82"/>
      <c r="EK11" s="82"/>
      <c r="EL11" s="82"/>
      <c r="EM11" s="82"/>
      <c r="EN11" s="82"/>
      <c r="EO11" s="82"/>
      <c r="EP11" s="82"/>
      <c r="EQ11" s="82"/>
      <c r="ER11" s="82"/>
      <c r="ES11" s="82"/>
      <c r="ET11" s="82"/>
      <c r="EU11" s="82"/>
      <c r="EV11" s="82"/>
      <c r="EW11" s="82"/>
      <c r="EX11" s="82"/>
      <c r="EY11" s="82"/>
      <c r="EZ11" s="82"/>
      <c r="FA11" s="82"/>
      <c r="FB11" s="82"/>
      <c r="FC11" s="82"/>
      <c r="FD11" s="82"/>
      <c r="FE11" s="82"/>
      <c r="FF11" s="82"/>
      <c r="FG11" s="82"/>
      <c r="FH11" s="82"/>
      <c r="FI11" s="82"/>
      <c r="FJ11" s="82"/>
      <c r="FK11" s="82"/>
      <c r="FL11" s="82"/>
      <c r="FM11" s="82"/>
      <c r="FN11" s="82"/>
      <c r="FO11" s="82"/>
      <c r="FP11" s="82"/>
      <c r="FQ11" s="82"/>
      <c r="FR11" s="82"/>
      <c r="FS11" s="82"/>
      <c r="FT11" s="82"/>
      <c r="FU11" s="82"/>
      <c r="FV11" s="82"/>
      <c r="FW11" s="82"/>
      <c r="FX11" s="82"/>
      <c r="FY11" s="82"/>
      <c r="FZ11" s="82"/>
      <c r="GA11" s="82"/>
      <c r="GB11" s="82"/>
      <c r="GC11" s="82"/>
      <c r="GD11" s="82"/>
      <c r="GE11" s="82"/>
      <c r="GF11" s="82"/>
      <c r="GG11" s="82"/>
      <c r="GH11" s="82"/>
      <c r="GI11" s="82"/>
      <c r="GJ11" s="82"/>
      <c r="GK11" s="82"/>
      <c r="GL11" s="82"/>
      <c r="GM11" s="82"/>
      <c r="GN11" s="82"/>
      <c r="GO11" s="82"/>
      <c r="GP11" s="82"/>
      <c r="GQ11" s="82"/>
      <c r="GR11" s="82"/>
      <c r="GS11" s="82"/>
      <c r="GT11" s="82"/>
      <c r="GU11" s="82"/>
      <c r="GV11" s="82"/>
      <c r="GW11" s="82"/>
      <c r="GX11" s="82"/>
    </row>
    <row r="12" spans="1:206" ht="15.75" x14ac:dyDescent="0.25">
      <c r="B12" s="55"/>
      <c r="C12" s="9" t="s">
        <v>148</v>
      </c>
      <c r="D12" s="76" t="s">
        <v>149</v>
      </c>
      <c r="E12" s="80">
        <f>E2</f>
        <v>15</v>
      </c>
      <c r="F12" s="80">
        <f t="shared" ref="F12:H12" si="0">F2</f>
        <v>15</v>
      </c>
      <c r="G12" s="80">
        <f t="shared" si="0"/>
        <v>15</v>
      </c>
      <c r="H12" s="80">
        <f t="shared" si="0"/>
        <v>15</v>
      </c>
      <c r="I12" s="80">
        <f t="shared" ref="I12" si="1">I2</f>
        <v>15</v>
      </c>
      <c r="J12" s="80">
        <f t="shared" ref="J12:L12" si="2">J2</f>
        <v>15</v>
      </c>
      <c r="K12" s="80">
        <f t="shared" si="2"/>
        <v>15</v>
      </c>
      <c r="L12" s="80">
        <f t="shared" si="2"/>
        <v>15</v>
      </c>
      <c r="M12" s="80">
        <f t="shared" ref="M12:N12" si="3">M2</f>
        <v>15</v>
      </c>
      <c r="N12" s="80">
        <f t="shared" si="3"/>
        <v>15</v>
      </c>
      <c r="O12" s="80">
        <f t="shared" ref="O12" si="4">O2</f>
        <v>15</v>
      </c>
      <c r="P12" s="80">
        <f t="shared" ref="P12" si="5">P2</f>
        <v>15</v>
      </c>
      <c r="Q12" s="80">
        <f t="shared" ref="Q12:S12" si="6">Q2</f>
        <v>15</v>
      </c>
      <c r="R12" s="80">
        <f t="shared" si="6"/>
        <v>15</v>
      </c>
      <c r="S12" s="80">
        <f t="shared" si="6"/>
        <v>15</v>
      </c>
      <c r="T12" s="80"/>
      <c r="U12" s="80"/>
      <c r="V12" s="80"/>
      <c r="W12" s="80"/>
      <c r="X12" s="80"/>
      <c r="Y12" s="80"/>
      <c r="Z12" s="80"/>
      <c r="AA12" s="80"/>
      <c r="AB12" s="80"/>
      <c r="AC12" s="80"/>
      <c r="AD12" s="80"/>
      <c r="AE12" s="80"/>
      <c r="AF12" s="80"/>
      <c r="AG12" s="80"/>
      <c r="AH12" s="80"/>
      <c r="AI12" s="80"/>
      <c r="AJ12" s="80"/>
      <c r="AK12" s="80"/>
      <c r="AL12" s="80"/>
      <c r="AM12" s="80"/>
      <c r="AN12" s="80"/>
      <c r="AO12" s="80"/>
      <c r="AP12" s="80"/>
      <c r="AQ12" s="80"/>
      <c r="AR12" s="80"/>
      <c r="AS12" s="80"/>
      <c r="AT12" s="80"/>
      <c r="AU12" s="80"/>
      <c r="AV12" s="80"/>
      <c r="AW12" s="80"/>
      <c r="AX12" s="80"/>
      <c r="AY12" s="80"/>
      <c r="AZ12" s="80"/>
      <c r="BA12" s="80"/>
      <c r="BB12" s="80"/>
      <c r="BC12" s="80"/>
      <c r="BD12" s="80"/>
      <c r="BE12" s="80"/>
      <c r="BF12" s="80"/>
      <c r="BG12" s="80"/>
      <c r="BH12" s="80"/>
      <c r="BI12" s="80"/>
      <c r="BJ12" s="80"/>
      <c r="BK12" s="80"/>
      <c r="BL12" s="80"/>
      <c r="BM12" s="80"/>
      <c r="BN12" s="80"/>
      <c r="BO12" s="80"/>
      <c r="BP12" s="80"/>
      <c r="BQ12" s="80"/>
      <c r="BR12" s="80"/>
      <c r="BS12" s="80"/>
      <c r="BT12" s="80"/>
      <c r="BU12" s="80"/>
      <c r="BV12" s="80"/>
      <c r="BW12" s="80"/>
      <c r="BX12" s="80"/>
      <c r="BY12" s="80"/>
      <c r="BZ12" s="80"/>
      <c r="CA12" s="80"/>
      <c r="CB12" s="80"/>
      <c r="CC12" s="80"/>
      <c r="CD12" s="80"/>
      <c r="CE12" s="80"/>
      <c r="CF12" s="80"/>
      <c r="CG12" s="80"/>
      <c r="CH12" s="80"/>
      <c r="CI12" s="80"/>
      <c r="CJ12" s="80"/>
      <c r="CK12" s="80"/>
      <c r="CL12" s="80"/>
      <c r="CM12" s="80"/>
      <c r="CN12" s="80"/>
      <c r="CO12" s="80"/>
      <c r="CP12" s="80"/>
      <c r="CQ12" s="80"/>
      <c r="CR12" s="80"/>
      <c r="CS12" s="80"/>
      <c r="CT12" s="80"/>
      <c r="CU12" s="80"/>
      <c r="CV12" s="80"/>
      <c r="CW12" s="80"/>
      <c r="CX12" s="80"/>
      <c r="CY12" s="80"/>
      <c r="CZ12" s="80"/>
      <c r="DA12" s="80"/>
      <c r="DB12" s="80"/>
      <c r="DC12" s="80"/>
      <c r="DD12" s="80"/>
      <c r="DE12" s="80"/>
      <c r="DF12" s="80"/>
      <c r="DG12" s="80"/>
      <c r="DH12" s="80"/>
      <c r="DI12" s="80"/>
      <c r="DJ12" s="80"/>
      <c r="DK12" s="80"/>
      <c r="DL12" s="80"/>
      <c r="DM12" s="80"/>
      <c r="DN12" s="80"/>
      <c r="DO12" s="80"/>
      <c r="DP12" s="80"/>
      <c r="DQ12" s="80"/>
      <c r="DR12" s="80"/>
      <c r="DS12" s="80"/>
      <c r="DT12" s="80"/>
      <c r="DU12" s="80"/>
      <c r="DV12" s="80"/>
      <c r="DW12" s="80"/>
      <c r="DX12" s="80"/>
      <c r="DY12" s="80"/>
      <c r="DZ12" s="80"/>
      <c r="EA12" s="80"/>
      <c r="EB12" s="80"/>
      <c r="EC12" s="80"/>
      <c r="ED12" s="80"/>
      <c r="EE12" s="80"/>
      <c r="EF12" s="80"/>
      <c r="EG12" s="80"/>
      <c r="EH12" s="80"/>
      <c r="EI12" s="80"/>
      <c r="EJ12" s="80"/>
      <c r="EK12" s="80"/>
      <c r="EL12" s="80"/>
      <c r="EM12" s="80"/>
      <c r="EN12" s="80"/>
      <c r="EO12" s="80"/>
      <c r="EP12" s="80"/>
      <c r="EQ12" s="80"/>
      <c r="ER12" s="80"/>
      <c r="ES12" s="80"/>
      <c r="ET12" s="80"/>
      <c r="EU12" s="80"/>
      <c r="EV12" s="80"/>
      <c r="EW12" s="80"/>
      <c r="EX12" s="80"/>
      <c r="EY12" s="80"/>
      <c r="EZ12" s="80"/>
      <c r="FA12" s="80"/>
      <c r="FB12" s="80"/>
      <c r="FC12" s="80"/>
      <c r="FD12" s="80"/>
      <c r="FE12" s="80"/>
      <c r="FF12" s="80"/>
      <c r="FG12" s="80"/>
      <c r="FH12" s="80"/>
      <c r="FI12" s="80"/>
      <c r="FJ12" s="80"/>
      <c r="FK12" s="80"/>
      <c r="FL12" s="80"/>
      <c r="FM12" s="80"/>
      <c r="FN12" s="80"/>
      <c r="FO12" s="80"/>
      <c r="FP12" s="80"/>
      <c r="FQ12" s="80"/>
      <c r="FR12" s="80"/>
      <c r="FS12" s="80"/>
      <c r="FT12" s="80"/>
      <c r="FU12" s="80"/>
      <c r="FV12" s="80"/>
      <c r="FW12" s="80"/>
      <c r="FX12" s="80"/>
      <c r="FY12" s="80"/>
      <c r="FZ12" s="80"/>
      <c r="GA12" s="80"/>
      <c r="GB12" s="80"/>
      <c r="GC12" s="80"/>
      <c r="GD12" s="80"/>
      <c r="GE12" s="80"/>
      <c r="GF12" s="80"/>
      <c r="GG12" s="80"/>
      <c r="GH12" s="80"/>
      <c r="GI12" s="80"/>
      <c r="GJ12" s="80"/>
      <c r="GK12" s="80"/>
      <c r="GL12" s="80"/>
      <c r="GM12" s="80"/>
      <c r="GN12" s="80"/>
      <c r="GO12" s="80"/>
      <c r="GP12" s="80"/>
      <c r="GQ12" s="80"/>
      <c r="GR12" s="80"/>
      <c r="GS12" s="80"/>
      <c r="GT12" s="80"/>
      <c r="GU12" s="80"/>
      <c r="GV12" s="80"/>
      <c r="GW12" s="80"/>
      <c r="GX12" s="80"/>
    </row>
    <row r="13" spans="1:206" ht="14.25" x14ac:dyDescent="0.25">
      <c r="B13" s="55"/>
      <c r="C13" s="9" t="s">
        <v>153</v>
      </c>
      <c r="D13" s="76" t="s">
        <v>241</v>
      </c>
      <c r="E13" s="80">
        <f>E15*0.2</f>
        <v>5</v>
      </c>
      <c r="F13" s="80">
        <f t="shared" ref="F13:H13" si="7">F15*0.2</f>
        <v>10</v>
      </c>
      <c r="G13" s="80">
        <f t="shared" si="7"/>
        <v>15</v>
      </c>
      <c r="H13" s="80">
        <f t="shared" si="7"/>
        <v>20</v>
      </c>
      <c r="I13" s="80">
        <f t="shared" ref="I13" si="8">I15*0.2</f>
        <v>25</v>
      </c>
      <c r="J13" s="80">
        <f t="shared" ref="J13:L13" si="9">J15*0.2</f>
        <v>30</v>
      </c>
      <c r="K13" s="80">
        <f t="shared" si="9"/>
        <v>35</v>
      </c>
      <c r="L13" s="80">
        <f t="shared" si="9"/>
        <v>40</v>
      </c>
      <c r="M13" s="80">
        <f>M15*0.2</f>
        <v>45</v>
      </c>
      <c r="N13" s="80">
        <f>N15*0.2</f>
        <v>50</v>
      </c>
      <c r="O13" s="80">
        <f>O15*0.2</f>
        <v>55</v>
      </c>
      <c r="P13" s="80">
        <f>P15*0.2</f>
        <v>60</v>
      </c>
      <c r="Q13" s="80">
        <f>Q15*0.2</f>
        <v>65</v>
      </c>
      <c r="R13" s="80">
        <f t="shared" ref="R13:S13" si="10">R15*0.2</f>
        <v>70</v>
      </c>
      <c r="S13" s="80">
        <f t="shared" si="10"/>
        <v>75</v>
      </c>
      <c r="T13" s="80"/>
      <c r="U13" s="80"/>
      <c r="V13" s="80"/>
      <c r="W13" s="80"/>
      <c r="X13" s="80"/>
      <c r="Y13" s="80"/>
      <c r="Z13" s="80"/>
      <c r="AA13" s="80"/>
      <c r="AB13" s="80"/>
      <c r="AC13" s="80"/>
      <c r="AD13" s="80"/>
      <c r="AE13" s="80"/>
      <c r="AF13" s="80"/>
      <c r="AG13" s="80"/>
      <c r="AH13" s="80"/>
      <c r="AI13" s="80"/>
      <c r="AJ13" s="80"/>
      <c r="AK13" s="80"/>
      <c r="AL13" s="80"/>
      <c r="AM13" s="80"/>
      <c r="AN13" s="80"/>
      <c r="AO13" s="80"/>
      <c r="AP13" s="80"/>
      <c r="AQ13" s="80"/>
      <c r="AR13" s="80"/>
      <c r="AS13" s="80"/>
      <c r="AT13" s="80"/>
      <c r="AU13" s="80"/>
      <c r="AV13" s="80"/>
      <c r="AW13" s="80"/>
      <c r="AX13" s="80"/>
      <c r="AY13" s="80"/>
      <c r="AZ13" s="80"/>
      <c r="BA13" s="80"/>
      <c r="BB13" s="80"/>
      <c r="BC13" s="80"/>
      <c r="BD13" s="80"/>
      <c r="BE13" s="80"/>
      <c r="BF13" s="80"/>
      <c r="BG13" s="80"/>
      <c r="BH13" s="80"/>
      <c r="BI13" s="80"/>
      <c r="BJ13" s="80"/>
      <c r="BK13" s="80"/>
      <c r="BL13" s="80"/>
      <c r="BM13" s="80"/>
      <c r="BN13" s="80"/>
      <c r="BO13" s="80"/>
      <c r="BP13" s="80"/>
      <c r="BQ13" s="80"/>
      <c r="BR13" s="80"/>
      <c r="BS13" s="80"/>
      <c r="BT13" s="80"/>
      <c r="BU13" s="80"/>
      <c r="BV13" s="80"/>
      <c r="BW13" s="80"/>
      <c r="BX13" s="80"/>
      <c r="BY13" s="80"/>
      <c r="BZ13" s="80"/>
      <c r="CA13" s="80"/>
      <c r="CB13" s="80"/>
      <c r="CC13" s="80"/>
      <c r="CD13" s="80"/>
      <c r="CE13" s="80"/>
      <c r="CF13" s="80"/>
      <c r="CG13" s="80"/>
      <c r="CH13" s="80"/>
      <c r="CI13" s="80"/>
      <c r="CJ13" s="80"/>
      <c r="CK13" s="80"/>
      <c r="CL13" s="80"/>
      <c r="CM13" s="80"/>
      <c r="CN13" s="80"/>
      <c r="CO13" s="80"/>
      <c r="CP13" s="80"/>
      <c r="CQ13" s="80"/>
      <c r="CR13" s="80"/>
      <c r="CS13" s="80"/>
      <c r="CT13" s="80"/>
      <c r="CU13" s="80"/>
      <c r="CV13" s="80"/>
      <c r="CW13" s="80"/>
      <c r="CX13" s="80"/>
      <c r="CY13" s="80"/>
      <c r="CZ13" s="80"/>
      <c r="DA13" s="80"/>
      <c r="DB13" s="80"/>
      <c r="DC13" s="80"/>
      <c r="DD13" s="80"/>
      <c r="DE13" s="80"/>
      <c r="DF13" s="80"/>
      <c r="DG13" s="80"/>
      <c r="DH13" s="80"/>
      <c r="DI13" s="80"/>
      <c r="DJ13" s="80"/>
      <c r="DK13" s="80"/>
      <c r="DL13" s="80"/>
      <c r="DM13" s="80"/>
      <c r="DN13" s="80"/>
      <c r="DO13" s="80"/>
      <c r="DP13" s="80"/>
      <c r="DQ13" s="80"/>
      <c r="DR13" s="80"/>
      <c r="DS13" s="80"/>
      <c r="DT13" s="80"/>
      <c r="DU13" s="80"/>
      <c r="DV13" s="80"/>
      <c r="DW13" s="80"/>
      <c r="DX13" s="80"/>
      <c r="DY13" s="80"/>
      <c r="DZ13" s="80"/>
      <c r="EA13" s="80"/>
      <c r="EB13" s="80"/>
      <c r="EC13" s="80"/>
      <c r="ED13" s="80"/>
      <c r="EE13" s="80"/>
      <c r="EF13" s="80"/>
      <c r="EG13" s="80"/>
      <c r="EH13" s="80"/>
      <c r="EI13" s="80"/>
      <c r="EJ13" s="80"/>
      <c r="EK13" s="80"/>
      <c r="EL13" s="80"/>
      <c r="EM13" s="80"/>
      <c r="EN13" s="80"/>
      <c r="EO13" s="80"/>
      <c r="EP13" s="80"/>
      <c r="EQ13" s="80"/>
      <c r="ER13" s="80"/>
      <c r="ES13" s="80"/>
      <c r="ET13" s="80"/>
      <c r="EU13" s="80"/>
      <c r="EV13" s="80"/>
      <c r="EW13" s="80"/>
      <c r="EX13" s="80"/>
      <c r="EY13" s="80"/>
      <c r="EZ13" s="80"/>
      <c r="FA13" s="80"/>
      <c r="FB13" s="80"/>
      <c r="FC13" s="80"/>
      <c r="FD13" s="80"/>
      <c r="FE13" s="80"/>
      <c r="FF13" s="80"/>
      <c r="FG13" s="80"/>
      <c r="FH13" s="80"/>
      <c r="FI13" s="80"/>
      <c r="FJ13" s="80"/>
      <c r="FK13" s="80"/>
      <c r="FL13" s="80"/>
      <c r="FM13" s="80"/>
      <c r="FN13" s="80"/>
      <c r="FO13" s="80"/>
      <c r="FP13" s="80"/>
      <c r="FQ13" s="80"/>
      <c r="FR13" s="80"/>
      <c r="FS13" s="80"/>
      <c r="FT13" s="80"/>
      <c r="FU13" s="80"/>
      <c r="FV13" s="80"/>
      <c r="FW13" s="80"/>
      <c r="FX13" s="80"/>
      <c r="FY13" s="80"/>
      <c r="FZ13" s="80"/>
      <c r="GA13" s="80"/>
      <c r="GB13" s="80"/>
      <c r="GC13" s="80"/>
      <c r="GD13" s="80"/>
      <c r="GE13" s="80"/>
      <c r="GF13" s="80"/>
      <c r="GG13" s="80"/>
      <c r="GH13" s="80"/>
      <c r="GI13" s="80"/>
      <c r="GJ13" s="80"/>
      <c r="GK13" s="80"/>
      <c r="GL13" s="80"/>
      <c r="GM13" s="80"/>
      <c r="GN13" s="80"/>
      <c r="GO13" s="80"/>
      <c r="GP13" s="80"/>
      <c r="GQ13" s="80"/>
      <c r="GR13" s="80"/>
      <c r="GS13" s="80"/>
      <c r="GT13" s="80"/>
      <c r="GU13" s="80"/>
      <c r="GV13" s="80"/>
      <c r="GW13" s="80"/>
      <c r="GX13" s="80"/>
    </row>
    <row r="14" spans="1:206" ht="14.25" x14ac:dyDescent="0.25">
      <c r="B14" s="55"/>
      <c r="C14" s="9" t="s">
        <v>152</v>
      </c>
      <c r="D14" s="76" t="s">
        <v>157</v>
      </c>
      <c r="E14" s="80">
        <f>E15*0.2</f>
        <v>5</v>
      </c>
      <c r="F14" s="80">
        <f t="shared" ref="F14" si="11">F15*0.2</f>
        <v>10</v>
      </c>
      <c r="G14" s="80">
        <f t="shared" ref="G14" si="12">G15*0.2</f>
        <v>15</v>
      </c>
      <c r="H14" s="80">
        <f t="shared" ref="H14" si="13">H15*0.2</f>
        <v>20</v>
      </c>
      <c r="I14" s="80">
        <f t="shared" ref="I14:L14" si="14">I15*0.2</f>
        <v>25</v>
      </c>
      <c r="J14" s="80">
        <f t="shared" si="14"/>
        <v>30</v>
      </c>
      <c r="K14" s="80">
        <f t="shared" si="14"/>
        <v>35</v>
      </c>
      <c r="L14" s="80">
        <f t="shared" si="14"/>
        <v>40</v>
      </c>
      <c r="M14" s="80">
        <f>M15*0.2</f>
        <v>45</v>
      </c>
      <c r="N14" s="80">
        <f>N15*0.2</f>
        <v>50</v>
      </c>
      <c r="O14" s="80">
        <f>O15*0.2</f>
        <v>55</v>
      </c>
      <c r="P14" s="80">
        <f>P15*0.2</f>
        <v>60</v>
      </c>
      <c r="Q14" s="80">
        <f>Q15*0.2</f>
        <v>65</v>
      </c>
      <c r="R14" s="80">
        <f t="shared" ref="R14:S14" si="15">R15*0.2</f>
        <v>70</v>
      </c>
      <c r="S14" s="80">
        <f t="shared" si="15"/>
        <v>75</v>
      </c>
      <c r="T14" s="80"/>
      <c r="U14" s="80"/>
      <c r="V14" s="80"/>
      <c r="W14" s="80"/>
      <c r="X14" s="80"/>
      <c r="Y14" s="80"/>
      <c r="Z14" s="80"/>
      <c r="AA14" s="80"/>
      <c r="AB14" s="80"/>
      <c r="AC14" s="80"/>
      <c r="AD14" s="80"/>
      <c r="AE14" s="80"/>
      <c r="AF14" s="80"/>
      <c r="AG14" s="80"/>
      <c r="AH14" s="80"/>
      <c r="AI14" s="80"/>
      <c r="AJ14" s="80"/>
      <c r="AK14" s="80"/>
      <c r="AL14" s="80"/>
      <c r="AM14" s="80"/>
      <c r="AN14" s="80"/>
      <c r="AO14" s="80"/>
      <c r="AP14" s="80"/>
      <c r="AQ14" s="80"/>
      <c r="AR14" s="80"/>
      <c r="AS14" s="80"/>
      <c r="AT14" s="80"/>
      <c r="AU14" s="80"/>
      <c r="AV14" s="80"/>
      <c r="AW14" s="80"/>
      <c r="AX14" s="80"/>
      <c r="AY14" s="80"/>
      <c r="AZ14" s="80"/>
      <c r="BA14" s="80"/>
      <c r="BB14" s="80"/>
      <c r="BC14" s="80"/>
      <c r="BD14" s="80"/>
      <c r="BE14" s="80"/>
      <c r="BF14" s="80"/>
      <c r="BG14" s="80"/>
      <c r="BH14" s="80"/>
      <c r="BI14" s="80"/>
      <c r="BJ14" s="80"/>
      <c r="BK14" s="80"/>
      <c r="BL14" s="80"/>
      <c r="BM14" s="80"/>
      <c r="BN14" s="80"/>
      <c r="BO14" s="80"/>
      <c r="BP14" s="80"/>
      <c r="BQ14" s="80"/>
      <c r="BR14" s="80"/>
      <c r="BS14" s="80"/>
      <c r="BT14" s="80"/>
      <c r="BU14" s="80"/>
      <c r="BV14" s="80"/>
      <c r="BW14" s="80"/>
      <c r="BX14" s="80"/>
      <c r="BY14" s="80"/>
      <c r="BZ14" s="80"/>
      <c r="CA14" s="80"/>
      <c r="CB14" s="80"/>
      <c r="CC14" s="80"/>
      <c r="CD14" s="80"/>
      <c r="CE14" s="80"/>
      <c r="CF14" s="80"/>
      <c r="CG14" s="80"/>
      <c r="CH14" s="80"/>
      <c r="CI14" s="80"/>
      <c r="CJ14" s="80"/>
      <c r="CK14" s="80"/>
      <c r="CL14" s="80"/>
      <c r="CM14" s="80"/>
      <c r="CN14" s="80"/>
      <c r="CO14" s="80"/>
      <c r="CP14" s="80"/>
      <c r="CQ14" s="80"/>
      <c r="CR14" s="80"/>
      <c r="CS14" s="80"/>
      <c r="CT14" s="80"/>
      <c r="CU14" s="80"/>
      <c r="CV14" s="80"/>
      <c r="CW14" s="80"/>
      <c r="CX14" s="80"/>
      <c r="CY14" s="80"/>
      <c r="CZ14" s="80"/>
      <c r="DA14" s="80"/>
      <c r="DB14" s="80"/>
      <c r="DC14" s="80"/>
      <c r="DD14" s="80"/>
      <c r="DE14" s="80"/>
      <c r="DF14" s="80"/>
      <c r="DG14" s="80"/>
      <c r="DH14" s="80"/>
      <c r="DI14" s="80"/>
      <c r="DJ14" s="80"/>
      <c r="DK14" s="80"/>
      <c r="DL14" s="80"/>
      <c r="DM14" s="80"/>
      <c r="DN14" s="80"/>
      <c r="DO14" s="80"/>
      <c r="DP14" s="80"/>
      <c r="DQ14" s="80"/>
      <c r="DR14" s="80"/>
      <c r="DS14" s="80"/>
      <c r="DT14" s="80"/>
      <c r="DU14" s="80"/>
      <c r="DV14" s="80"/>
      <c r="DW14" s="80"/>
      <c r="DX14" s="80"/>
      <c r="DY14" s="80"/>
      <c r="DZ14" s="80"/>
      <c r="EA14" s="80"/>
      <c r="EB14" s="80"/>
      <c r="EC14" s="80"/>
      <c r="ED14" s="80"/>
      <c r="EE14" s="80"/>
      <c r="EF14" s="80"/>
      <c r="EG14" s="80"/>
      <c r="EH14" s="80"/>
      <c r="EI14" s="80"/>
      <c r="EJ14" s="80"/>
      <c r="EK14" s="80"/>
      <c r="EL14" s="80"/>
      <c r="EM14" s="80"/>
      <c r="EN14" s="80"/>
      <c r="EO14" s="80"/>
      <c r="EP14" s="80"/>
      <c r="EQ14" s="80"/>
      <c r="ER14" s="80"/>
      <c r="ES14" s="80"/>
      <c r="ET14" s="80"/>
      <c r="EU14" s="80"/>
      <c r="EV14" s="80"/>
      <c r="EW14" s="80"/>
      <c r="EX14" s="80"/>
      <c r="EY14" s="80"/>
      <c r="EZ14" s="80"/>
      <c r="FA14" s="80"/>
      <c r="FB14" s="80"/>
      <c r="FC14" s="80"/>
      <c r="FD14" s="80"/>
      <c r="FE14" s="80"/>
      <c r="FF14" s="80"/>
      <c r="FG14" s="80"/>
      <c r="FH14" s="80"/>
      <c r="FI14" s="80"/>
      <c r="FJ14" s="80"/>
      <c r="FK14" s="80"/>
      <c r="FL14" s="80"/>
      <c r="FM14" s="80"/>
      <c r="FN14" s="80"/>
      <c r="FO14" s="80"/>
      <c r="FP14" s="80"/>
      <c r="FQ14" s="80"/>
      <c r="FR14" s="80"/>
      <c r="FS14" s="80"/>
      <c r="FT14" s="80"/>
      <c r="FU14" s="80"/>
      <c r="FV14" s="80"/>
      <c r="FW14" s="80"/>
      <c r="FX14" s="80"/>
      <c r="FY14" s="80"/>
      <c r="FZ14" s="80"/>
      <c r="GA14" s="80"/>
      <c r="GB14" s="80"/>
      <c r="GC14" s="80"/>
      <c r="GD14" s="80"/>
      <c r="GE14" s="80"/>
      <c r="GF14" s="80"/>
      <c r="GG14" s="80"/>
      <c r="GH14" s="80"/>
      <c r="GI14" s="80"/>
      <c r="GJ14" s="80"/>
      <c r="GK14" s="80"/>
      <c r="GL14" s="80"/>
      <c r="GM14" s="80"/>
      <c r="GN14" s="80"/>
      <c r="GO14" s="80"/>
      <c r="GP14" s="80"/>
      <c r="GQ14" s="80"/>
      <c r="GR14" s="80"/>
      <c r="GS14" s="80"/>
      <c r="GT14" s="80"/>
      <c r="GU14" s="80"/>
      <c r="GV14" s="80"/>
      <c r="GW14" s="80"/>
      <c r="GX14" s="80"/>
    </row>
    <row r="15" spans="1:206" ht="14.25" x14ac:dyDescent="0.25">
      <c r="B15" s="55"/>
      <c r="C15" s="9" t="s">
        <v>170</v>
      </c>
      <c r="D15" s="76" t="s">
        <v>158</v>
      </c>
      <c r="E15" s="80">
        <f>E1</f>
        <v>25</v>
      </c>
      <c r="F15" s="80">
        <f t="shared" ref="F15:H15" si="16">F1</f>
        <v>50</v>
      </c>
      <c r="G15" s="80">
        <f t="shared" si="16"/>
        <v>75</v>
      </c>
      <c r="H15" s="80">
        <f t="shared" si="16"/>
        <v>100</v>
      </c>
      <c r="I15" s="80">
        <f t="shared" ref="I15" si="17">I1</f>
        <v>125</v>
      </c>
      <c r="J15" s="80">
        <f t="shared" ref="J15:L15" si="18">J1</f>
        <v>150</v>
      </c>
      <c r="K15" s="80">
        <f t="shared" si="18"/>
        <v>175</v>
      </c>
      <c r="L15" s="80">
        <f t="shared" si="18"/>
        <v>200</v>
      </c>
      <c r="M15" s="80">
        <f t="shared" ref="M15:N15" si="19">M1</f>
        <v>225</v>
      </c>
      <c r="N15" s="80">
        <f t="shared" si="19"/>
        <v>250</v>
      </c>
      <c r="O15" s="80">
        <f t="shared" ref="O15" si="20">O1</f>
        <v>275</v>
      </c>
      <c r="P15" s="80">
        <f t="shared" ref="P15" si="21">P1</f>
        <v>300</v>
      </c>
      <c r="Q15" s="80">
        <f t="shared" ref="Q15:S15" si="22">Q1</f>
        <v>325</v>
      </c>
      <c r="R15" s="80">
        <f t="shared" si="22"/>
        <v>350</v>
      </c>
      <c r="S15" s="80">
        <f t="shared" si="22"/>
        <v>375</v>
      </c>
      <c r="T15" s="80"/>
      <c r="U15" s="80"/>
      <c r="V15" s="80"/>
      <c r="W15" s="80"/>
      <c r="X15" s="8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c r="BD15" s="80"/>
      <c r="BE15" s="80"/>
      <c r="BF15" s="80"/>
      <c r="BG15" s="80"/>
      <c r="BH15" s="80"/>
      <c r="BI15" s="80"/>
      <c r="BJ15" s="80"/>
      <c r="BK15" s="80"/>
      <c r="BL15" s="80"/>
      <c r="BM15" s="80"/>
      <c r="BN15" s="80"/>
      <c r="BO15" s="80"/>
      <c r="BP15" s="80"/>
      <c r="BQ15" s="80"/>
      <c r="BR15" s="80"/>
      <c r="BS15" s="80"/>
      <c r="BT15" s="80"/>
      <c r="BU15" s="80"/>
      <c r="BV15" s="80"/>
      <c r="BW15" s="80"/>
      <c r="BX15" s="80"/>
      <c r="BY15" s="80"/>
      <c r="BZ15" s="80"/>
      <c r="CA15" s="80"/>
      <c r="CB15" s="80"/>
      <c r="CC15" s="80"/>
      <c r="CD15" s="80"/>
      <c r="CE15" s="80"/>
      <c r="CF15" s="80"/>
      <c r="CG15" s="80"/>
      <c r="CH15" s="80"/>
      <c r="CI15" s="80"/>
      <c r="CJ15" s="80"/>
      <c r="CK15" s="80"/>
      <c r="CL15" s="80"/>
      <c r="CM15" s="80"/>
      <c r="CN15" s="80"/>
      <c r="CO15" s="80"/>
      <c r="CP15" s="80"/>
      <c r="CQ15" s="80"/>
      <c r="CR15" s="80"/>
      <c r="CS15" s="80"/>
      <c r="CT15" s="80"/>
      <c r="CU15" s="80"/>
      <c r="CV15" s="80"/>
      <c r="CW15" s="80"/>
      <c r="CX15" s="80"/>
      <c r="CY15" s="80"/>
      <c r="CZ15" s="80"/>
      <c r="DA15" s="80"/>
      <c r="DB15" s="80"/>
      <c r="DC15" s="80"/>
      <c r="DD15" s="80"/>
      <c r="DE15" s="80"/>
      <c r="DF15" s="80"/>
      <c r="DG15" s="80"/>
      <c r="DH15" s="80"/>
      <c r="DI15" s="80"/>
      <c r="DJ15" s="80"/>
      <c r="DK15" s="80"/>
      <c r="DL15" s="80"/>
      <c r="DM15" s="80"/>
      <c r="DN15" s="80"/>
      <c r="DO15" s="80"/>
      <c r="DP15" s="80"/>
      <c r="DQ15" s="80"/>
      <c r="DR15" s="80"/>
      <c r="DS15" s="80"/>
      <c r="DT15" s="80"/>
      <c r="DU15" s="80"/>
      <c r="DV15" s="80"/>
      <c r="DW15" s="80"/>
      <c r="DX15" s="80"/>
      <c r="DY15" s="80"/>
      <c r="DZ15" s="80"/>
      <c r="EA15" s="80"/>
      <c r="EB15" s="80"/>
      <c r="EC15" s="80"/>
      <c r="ED15" s="80"/>
      <c r="EE15" s="80"/>
      <c r="EF15" s="80"/>
      <c r="EG15" s="80"/>
      <c r="EH15" s="80"/>
      <c r="EI15" s="80"/>
      <c r="EJ15" s="80"/>
      <c r="EK15" s="80"/>
      <c r="EL15" s="80"/>
      <c r="EM15" s="80"/>
      <c r="EN15" s="80"/>
      <c r="EO15" s="80"/>
      <c r="EP15" s="80"/>
      <c r="EQ15" s="80"/>
      <c r="ER15" s="80"/>
      <c r="ES15" s="80"/>
      <c r="ET15" s="80"/>
      <c r="EU15" s="80"/>
      <c r="EV15" s="80"/>
      <c r="EW15" s="80"/>
      <c r="EX15" s="80"/>
      <c r="EY15" s="80"/>
      <c r="EZ15" s="80"/>
      <c r="FA15" s="80"/>
      <c r="FB15" s="80"/>
      <c r="FC15" s="80"/>
      <c r="FD15" s="80"/>
      <c r="FE15" s="80"/>
      <c r="FF15" s="80"/>
      <c r="FG15" s="80"/>
      <c r="FH15" s="80"/>
      <c r="FI15" s="80"/>
      <c r="FJ15" s="80"/>
      <c r="FK15" s="80"/>
      <c r="FL15" s="80"/>
      <c r="FM15" s="80"/>
      <c r="FN15" s="80"/>
      <c r="FO15" s="80"/>
      <c r="FP15" s="80"/>
      <c r="FQ15" s="80"/>
      <c r="FR15" s="80"/>
      <c r="FS15" s="80"/>
      <c r="FT15" s="80"/>
      <c r="FU15" s="80"/>
      <c r="FV15" s="80"/>
      <c r="FW15" s="80"/>
      <c r="FX15" s="80"/>
      <c r="FY15" s="80"/>
      <c r="FZ15" s="80"/>
      <c r="GA15" s="80"/>
      <c r="GB15" s="80"/>
      <c r="GC15" s="80"/>
      <c r="GD15" s="80"/>
      <c r="GE15" s="80"/>
      <c r="GF15" s="80"/>
      <c r="GG15" s="80"/>
      <c r="GH15" s="80"/>
      <c r="GI15" s="80"/>
      <c r="GJ15" s="80"/>
      <c r="GK15" s="80"/>
      <c r="GL15" s="80"/>
      <c r="GM15" s="80"/>
      <c r="GN15" s="80"/>
      <c r="GO15" s="80"/>
      <c r="GP15" s="80"/>
      <c r="GQ15" s="80"/>
      <c r="GR15" s="80"/>
      <c r="GS15" s="80"/>
      <c r="GT15" s="80"/>
      <c r="GU15" s="80"/>
      <c r="GV15" s="80"/>
      <c r="GW15" s="80"/>
      <c r="GX15" s="80"/>
    </row>
    <row r="16" spans="1:206" ht="14.25" x14ac:dyDescent="0.25">
      <c r="B16" s="55"/>
      <c r="C16" s="9" t="s">
        <v>301</v>
      </c>
      <c r="D16" s="76" t="s">
        <v>445</v>
      </c>
      <c r="E16" s="80">
        <f>2*SUM(E13:E15)</f>
        <v>70</v>
      </c>
      <c r="F16" s="80">
        <f t="shared" ref="F16" si="23">2*SUM(F13:F15)</f>
        <v>140</v>
      </c>
      <c r="G16" s="80">
        <f t="shared" ref="G16" si="24">2*SUM(G13:G15)</f>
        <v>210</v>
      </c>
      <c r="H16" s="80">
        <f t="shared" ref="H16" si="25">2*SUM(H13:H15)</f>
        <v>280</v>
      </c>
      <c r="I16" s="80">
        <f t="shared" ref="I16:L16" si="26">2*SUM(I13:I15)</f>
        <v>350</v>
      </c>
      <c r="J16" s="80">
        <f t="shared" si="26"/>
        <v>420</v>
      </c>
      <c r="K16" s="80">
        <f t="shared" si="26"/>
        <v>490</v>
      </c>
      <c r="L16" s="80">
        <f t="shared" si="26"/>
        <v>560</v>
      </c>
      <c r="M16" s="80">
        <f>2*SUM(M13:M15)</f>
        <v>630</v>
      </c>
      <c r="N16" s="80">
        <f>2*SUM(N13:N15)</f>
        <v>700</v>
      </c>
      <c r="O16" s="80">
        <f>2*SUM(O13:O15)</f>
        <v>770</v>
      </c>
      <c r="P16" s="80">
        <f>2*SUM(P13:P15)</f>
        <v>840</v>
      </c>
      <c r="Q16" s="80">
        <f>2*SUM(Q13:Q15)</f>
        <v>910</v>
      </c>
      <c r="R16" s="80">
        <f t="shared" ref="R16:S16" si="27">2*SUM(R13:R15)</f>
        <v>980</v>
      </c>
      <c r="S16" s="80">
        <f t="shared" si="27"/>
        <v>1050</v>
      </c>
      <c r="T16" s="80"/>
      <c r="U16" s="80"/>
      <c r="V16" s="80"/>
      <c r="W16" s="80"/>
      <c r="X16" s="8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0"/>
      <c r="BK16" s="80"/>
      <c r="BL16" s="80"/>
      <c r="BM16" s="80"/>
      <c r="BN16" s="80"/>
      <c r="BO16" s="80"/>
      <c r="BP16" s="80"/>
      <c r="BQ16" s="80"/>
      <c r="BR16" s="80"/>
      <c r="BS16" s="80"/>
      <c r="BT16" s="80"/>
      <c r="BU16" s="80"/>
      <c r="BV16" s="80"/>
      <c r="BW16" s="80"/>
      <c r="BX16" s="80"/>
      <c r="BY16" s="80"/>
      <c r="BZ16" s="80"/>
      <c r="CA16" s="80"/>
      <c r="CB16" s="80"/>
      <c r="CC16" s="80"/>
      <c r="CD16" s="80"/>
      <c r="CE16" s="80"/>
      <c r="CF16" s="80"/>
      <c r="CG16" s="80"/>
      <c r="CH16" s="80"/>
      <c r="CI16" s="80"/>
      <c r="CJ16" s="80"/>
      <c r="CK16" s="80"/>
      <c r="CL16" s="80"/>
      <c r="CM16" s="80"/>
      <c r="CN16" s="80"/>
      <c r="CO16" s="80"/>
      <c r="CP16" s="80"/>
      <c r="CQ16" s="80"/>
      <c r="CR16" s="80"/>
      <c r="CS16" s="80"/>
      <c r="CT16" s="80"/>
      <c r="CU16" s="80"/>
      <c r="CV16" s="80"/>
      <c r="CW16" s="80"/>
      <c r="CX16" s="80"/>
      <c r="CY16" s="80"/>
      <c r="CZ16" s="80"/>
      <c r="DA16" s="80"/>
      <c r="DB16" s="80"/>
      <c r="DC16" s="80"/>
      <c r="DD16" s="80"/>
      <c r="DE16" s="80"/>
      <c r="DF16" s="80"/>
      <c r="DG16" s="80"/>
      <c r="DH16" s="80"/>
      <c r="DI16" s="80"/>
      <c r="DJ16" s="80"/>
      <c r="DK16" s="80"/>
      <c r="DL16" s="80"/>
      <c r="DM16" s="80"/>
      <c r="DN16" s="80"/>
      <c r="DO16" s="80"/>
      <c r="DP16" s="80"/>
      <c r="DQ16" s="80"/>
      <c r="DR16" s="80"/>
      <c r="DS16" s="80"/>
      <c r="DT16" s="80"/>
      <c r="DU16" s="80"/>
      <c r="DV16" s="80"/>
      <c r="DW16" s="80"/>
      <c r="DX16" s="80"/>
      <c r="DY16" s="80"/>
      <c r="DZ16" s="80"/>
      <c r="EA16" s="80"/>
      <c r="EB16" s="80"/>
      <c r="EC16" s="80"/>
      <c r="ED16" s="80"/>
      <c r="EE16" s="80"/>
      <c r="EF16" s="80"/>
      <c r="EG16" s="80"/>
      <c r="EH16" s="80"/>
      <c r="EI16" s="80"/>
      <c r="EJ16" s="80"/>
      <c r="EK16" s="80"/>
      <c r="EL16" s="80"/>
      <c r="EM16" s="80"/>
      <c r="EN16" s="80"/>
      <c r="EO16" s="80"/>
      <c r="EP16" s="80"/>
      <c r="EQ16" s="80"/>
      <c r="ER16" s="80"/>
      <c r="ES16" s="80"/>
      <c r="ET16" s="80"/>
      <c r="EU16" s="80"/>
      <c r="EV16" s="80"/>
      <c r="EW16" s="80"/>
      <c r="EX16" s="80"/>
      <c r="EY16" s="80"/>
      <c r="EZ16" s="80"/>
      <c r="FA16" s="80"/>
      <c r="FB16" s="80"/>
      <c r="FC16" s="80"/>
      <c r="FD16" s="80"/>
      <c r="FE16" s="80"/>
      <c r="FF16" s="80"/>
      <c r="FG16" s="80"/>
      <c r="FH16" s="80"/>
      <c r="FI16" s="80"/>
      <c r="FJ16" s="80"/>
      <c r="FK16" s="80"/>
      <c r="FL16" s="80"/>
      <c r="FM16" s="80"/>
      <c r="FN16" s="80"/>
      <c r="FO16" s="80"/>
      <c r="FP16" s="80"/>
      <c r="FQ16" s="80"/>
      <c r="FR16" s="80"/>
      <c r="FS16" s="80"/>
      <c r="FT16" s="80"/>
      <c r="FU16" s="80"/>
      <c r="FV16" s="80"/>
      <c r="FW16" s="80"/>
      <c r="FX16" s="80"/>
      <c r="FY16" s="80"/>
      <c r="FZ16" s="80"/>
      <c r="GA16" s="80"/>
      <c r="GB16" s="80"/>
      <c r="GC16" s="80"/>
      <c r="GD16" s="80"/>
      <c r="GE16" s="80"/>
      <c r="GF16" s="80"/>
      <c r="GG16" s="80"/>
      <c r="GH16" s="80"/>
      <c r="GI16" s="80"/>
      <c r="GJ16" s="80"/>
      <c r="GK16" s="80"/>
      <c r="GL16" s="80"/>
      <c r="GM16" s="80"/>
      <c r="GN16" s="80"/>
      <c r="GO16" s="80"/>
      <c r="GP16" s="80"/>
      <c r="GQ16" s="80"/>
      <c r="GR16" s="80"/>
      <c r="GS16" s="80"/>
      <c r="GT16" s="80"/>
      <c r="GU16" s="80"/>
      <c r="GV16" s="80"/>
      <c r="GW16" s="80"/>
      <c r="GX16" s="80"/>
    </row>
    <row r="17" spans="2:206" ht="14.25" x14ac:dyDescent="0.25">
      <c r="B17" s="55"/>
      <c r="C17" s="9" t="s">
        <v>436</v>
      </c>
      <c r="D17" s="76" t="s">
        <v>446</v>
      </c>
      <c r="E17" s="80">
        <f>E16</f>
        <v>70</v>
      </c>
      <c r="F17" s="80">
        <f t="shared" ref="F17" si="28">F16</f>
        <v>140</v>
      </c>
      <c r="G17" s="80">
        <f t="shared" ref="G17" si="29">G16</f>
        <v>210</v>
      </c>
      <c r="H17" s="80">
        <f t="shared" ref="H17" si="30">H16</f>
        <v>280</v>
      </c>
      <c r="I17" s="80">
        <f t="shared" ref="I17:L17" si="31">I16</f>
        <v>350</v>
      </c>
      <c r="J17" s="80">
        <f t="shared" si="31"/>
        <v>420</v>
      </c>
      <c r="K17" s="80">
        <f t="shared" si="31"/>
        <v>490</v>
      </c>
      <c r="L17" s="80">
        <f t="shared" si="31"/>
        <v>560</v>
      </c>
      <c r="M17" s="80">
        <f>M16</f>
        <v>630</v>
      </c>
      <c r="N17" s="80">
        <f>N16</f>
        <v>700</v>
      </c>
      <c r="O17" s="80">
        <f>O16</f>
        <v>770</v>
      </c>
      <c r="P17" s="80">
        <f>P16</f>
        <v>840</v>
      </c>
      <c r="Q17" s="80">
        <f>Q16</f>
        <v>910</v>
      </c>
      <c r="R17" s="80">
        <f t="shared" ref="R17:S17" si="32">R16</f>
        <v>980</v>
      </c>
      <c r="S17" s="80">
        <f t="shared" si="32"/>
        <v>1050</v>
      </c>
      <c r="T17" s="80"/>
      <c r="U17" s="80"/>
      <c r="V17" s="80"/>
      <c r="W17" s="80"/>
      <c r="X17" s="8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W17" s="80"/>
      <c r="BX17" s="80"/>
      <c r="BY17" s="80"/>
      <c r="BZ17" s="80"/>
      <c r="CA17" s="80"/>
      <c r="CB17" s="80"/>
      <c r="CC17" s="80"/>
      <c r="CD17" s="80"/>
      <c r="CE17" s="80"/>
      <c r="CF17" s="80"/>
      <c r="CG17" s="80"/>
      <c r="CH17" s="80"/>
      <c r="CI17" s="80"/>
      <c r="CJ17" s="80"/>
      <c r="CK17" s="80"/>
      <c r="CL17" s="80"/>
      <c r="CM17" s="80"/>
      <c r="CN17" s="80"/>
      <c r="CO17" s="80"/>
      <c r="CP17" s="80"/>
      <c r="CQ17" s="80"/>
      <c r="CR17" s="80"/>
      <c r="CS17" s="80"/>
      <c r="CT17" s="80"/>
      <c r="CU17" s="80"/>
      <c r="CV17" s="80"/>
      <c r="CW17" s="80"/>
      <c r="CX17" s="80"/>
      <c r="CY17" s="80"/>
      <c r="CZ17" s="80"/>
      <c r="DA17" s="80"/>
      <c r="DB17" s="80"/>
      <c r="DC17" s="80"/>
      <c r="DD17" s="80"/>
      <c r="DE17" s="80"/>
      <c r="DF17" s="80"/>
      <c r="DG17" s="80"/>
      <c r="DH17" s="80"/>
      <c r="DI17" s="80"/>
      <c r="DJ17" s="80"/>
      <c r="DK17" s="80"/>
      <c r="DL17" s="80"/>
      <c r="DM17" s="80"/>
      <c r="DN17" s="80"/>
      <c r="DO17" s="80"/>
      <c r="DP17" s="80"/>
      <c r="DQ17" s="80"/>
      <c r="DR17" s="80"/>
      <c r="DS17" s="80"/>
      <c r="DT17" s="80"/>
      <c r="DU17" s="80"/>
      <c r="DV17" s="80"/>
      <c r="DW17" s="80"/>
      <c r="DX17" s="80"/>
      <c r="DY17" s="80"/>
      <c r="DZ17" s="80"/>
      <c r="EA17" s="80"/>
      <c r="EB17" s="80"/>
      <c r="EC17" s="80"/>
      <c r="ED17" s="80"/>
      <c r="EE17" s="80"/>
      <c r="EF17" s="80"/>
      <c r="EG17" s="80"/>
      <c r="EH17" s="80"/>
      <c r="EI17" s="80"/>
      <c r="EJ17" s="80"/>
      <c r="EK17" s="80"/>
      <c r="EL17" s="80"/>
      <c r="EM17" s="80"/>
      <c r="EN17" s="80"/>
      <c r="EO17" s="80"/>
      <c r="EP17" s="80"/>
      <c r="EQ17" s="80"/>
      <c r="ER17" s="80"/>
      <c r="ES17" s="80"/>
      <c r="ET17" s="80"/>
      <c r="EU17" s="80"/>
      <c r="EV17" s="80"/>
      <c r="EW17" s="80"/>
      <c r="EX17" s="80"/>
      <c r="EY17" s="80"/>
      <c r="EZ17" s="80"/>
      <c r="FA17" s="80"/>
      <c r="FB17" s="80"/>
      <c r="FC17" s="80"/>
      <c r="FD17" s="80"/>
      <c r="FE17" s="80"/>
      <c r="FF17" s="80"/>
      <c r="FG17" s="80"/>
      <c r="FH17" s="80"/>
      <c r="FI17" s="80"/>
      <c r="FJ17" s="80"/>
      <c r="FK17" s="80"/>
      <c r="FL17" s="80"/>
      <c r="FM17" s="80"/>
      <c r="FN17" s="80"/>
      <c r="FO17" s="80"/>
      <c r="FP17" s="80"/>
      <c r="FQ17" s="80"/>
      <c r="FR17" s="80"/>
      <c r="FS17" s="80"/>
      <c r="FT17" s="80"/>
      <c r="FU17" s="80"/>
      <c r="FV17" s="80"/>
      <c r="FW17" s="80"/>
      <c r="FX17" s="80"/>
      <c r="FY17" s="80"/>
      <c r="FZ17" s="80"/>
      <c r="GA17" s="80"/>
      <c r="GB17" s="80"/>
      <c r="GC17" s="80"/>
      <c r="GD17" s="80"/>
      <c r="GE17" s="80"/>
      <c r="GF17" s="80"/>
      <c r="GG17" s="80"/>
      <c r="GH17" s="80"/>
      <c r="GI17" s="80"/>
      <c r="GJ17" s="80"/>
      <c r="GK17" s="80"/>
      <c r="GL17" s="80"/>
      <c r="GM17" s="80"/>
      <c r="GN17" s="80"/>
      <c r="GO17" s="80"/>
      <c r="GP17" s="80"/>
      <c r="GQ17" s="80"/>
      <c r="GR17" s="80"/>
      <c r="GS17" s="80"/>
      <c r="GT17" s="80"/>
      <c r="GU17" s="80"/>
      <c r="GV17" s="80"/>
      <c r="GW17" s="80"/>
      <c r="GX17" s="80"/>
    </row>
    <row r="18" spans="2:206" ht="14.25" x14ac:dyDescent="0.25">
      <c r="B18" s="55"/>
      <c r="C18" s="140" t="s">
        <v>232</v>
      </c>
      <c r="D18" s="76" t="s">
        <v>304</v>
      </c>
      <c r="E18" s="80">
        <f>E13*0.5</f>
        <v>2.5</v>
      </c>
      <c r="F18" s="80">
        <f t="shared" ref="F18:H18" si="33">F13*0.5</f>
        <v>5</v>
      </c>
      <c r="G18" s="80">
        <f t="shared" si="33"/>
        <v>7.5</v>
      </c>
      <c r="H18" s="80">
        <f t="shared" si="33"/>
        <v>10</v>
      </c>
      <c r="I18" s="80">
        <f t="shared" ref="I18" si="34">I13*0.5</f>
        <v>12.5</v>
      </c>
      <c r="J18" s="80">
        <f t="shared" ref="J18:L18" si="35">J13*0.5</f>
        <v>15</v>
      </c>
      <c r="K18" s="80">
        <f t="shared" si="35"/>
        <v>17.5</v>
      </c>
      <c r="L18" s="80">
        <f t="shared" si="35"/>
        <v>20</v>
      </c>
      <c r="M18" s="80">
        <f>M13*0.5</f>
        <v>22.5</v>
      </c>
      <c r="N18" s="80">
        <f>N13*0.5</f>
        <v>25</v>
      </c>
      <c r="O18" s="80">
        <f>O13*0.5</f>
        <v>27.5</v>
      </c>
      <c r="P18" s="80">
        <f>P13*0.5</f>
        <v>30</v>
      </c>
      <c r="Q18" s="80">
        <f>Q13*0.5</f>
        <v>32.5</v>
      </c>
      <c r="R18" s="80">
        <f t="shared" ref="R18:S18" si="36">R13*0.5</f>
        <v>35</v>
      </c>
      <c r="S18" s="80">
        <f t="shared" si="36"/>
        <v>37.5</v>
      </c>
      <c r="T18" s="80"/>
      <c r="U18" s="80"/>
      <c r="V18" s="80"/>
      <c r="W18" s="80"/>
      <c r="X18" s="8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0"/>
      <c r="BK18" s="80"/>
      <c r="BL18" s="80"/>
      <c r="BM18" s="80"/>
      <c r="BN18" s="80"/>
      <c r="BO18" s="80"/>
      <c r="BP18" s="80"/>
      <c r="BQ18" s="80"/>
      <c r="BR18" s="80"/>
      <c r="BS18" s="80"/>
      <c r="BT18" s="80"/>
      <c r="BU18" s="80"/>
      <c r="BV18" s="80"/>
      <c r="BW18" s="80"/>
      <c r="BX18" s="80"/>
      <c r="BY18" s="80"/>
      <c r="BZ18" s="80"/>
      <c r="CA18" s="80"/>
      <c r="CB18" s="80"/>
      <c r="CC18" s="80"/>
      <c r="CD18" s="80"/>
      <c r="CE18" s="80"/>
      <c r="CF18" s="80"/>
      <c r="CG18" s="80"/>
      <c r="CH18" s="80"/>
      <c r="CI18" s="80"/>
      <c r="CJ18" s="80"/>
      <c r="CK18" s="80"/>
      <c r="CL18" s="80"/>
      <c r="CM18" s="80"/>
      <c r="CN18" s="80"/>
      <c r="CO18" s="80"/>
      <c r="CP18" s="80"/>
      <c r="CQ18" s="80"/>
      <c r="CR18" s="80"/>
      <c r="CS18" s="80"/>
      <c r="CT18" s="80"/>
      <c r="CU18" s="80"/>
      <c r="CV18" s="80"/>
      <c r="CW18" s="80"/>
      <c r="CX18" s="80"/>
      <c r="CY18" s="80"/>
      <c r="CZ18" s="80"/>
      <c r="DA18" s="80"/>
      <c r="DB18" s="80"/>
      <c r="DC18" s="80"/>
      <c r="DD18" s="80"/>
      <c r="DE18" s="80"/>
      <c r="DF18" s="80"/>
      <c r="DG18" s="80"/>
      <c r="DH18" s="80"/>
      <c r="DI18" s="80"/>
      <c r="DJ18" s="80"/>
      <c r="DK18" s="80"/>
      <c r="DL18" s="80"/>
      <c r="DM18" s="80"/>
      <c r="DN18" s="80"/>
      <c r="DO18" s="80"/>
      <c r="DP18" s="80"/>
      <c r="DQ18" s="80"/>
      <c r="DR18" s="80"/>
      <c r="DS18" s="80"/>
      <c r="DT18" s="80"/>
      <c r="DU18" s="80"/>
      <c r="DV18" s="80"/>
      <c r="DW18" s="80"/>
      <c r="DX18" s="80"/>
      <c r="DY18" s="80"/>
      <c r="DZ18" s="80"/>
      <c r="EA18" s="80"/>
      <c r="EB18" s="80"/>
      <c r="EC18" s="80"/>
      <c r="ED18" s="80"/>
      <c r="EE18" s="80"/>
      <c r="EF18" s="80"/>
      <c r="EG18" s="80"/>
      <c r="EH18" s="80"/>
      <c r="EI18" s="80"/>
      <c r="EJ18" s="80"/>
      <c r="EK18" s="80"/>
      <c r="EL18" s="80"/>
      <c r="EM18" s="80"/>
      <c r="EN18" s="80"/>
      <c r="EO18" s="80"/>
      <c r="EP18" s="80"/>
      <c r="EQ18" s="80"/>
      <c r="ER18" s="80"/>
      <c r="ES18" s="80"/>
      <c r="ET18" s="80"/>
      <c r="EU18" s="80"/>
      <c r="EV18" s="80"/>
      <c r="EW18" s="80"/>
      <c r="EX18" s="80"/>
      <c r="EY18" s="80"/>
      <c r="EZ18" s="80"/>
      <c r="FA18" s="80"/>
      <c r="FB18" s="80"/>
      <c r="FC18" s="80"/>
      <c r="FD18" s="80"/>
      <c r="FE18" s="80"/>
      <c r="FF18" s="80"/>
      <c r="FG18" s="80"/>
      <c r="FH18" s="80"/>
      <c r="FI18" s="80"/>
      <c r="FJ18" s="80"/>
      <c r="FK18" s="80"/>
      <c r="FL18" s="80"/>
      <c r="FM18" s="80"/>
      <c r="FN18" s="80"/>
      <c r="FO18" s="80"/>
      <c r="FP18" s="80"/>
      <c r="FQ18" s="80"/>
      <c r="FR18" s="80"/>
      <c r="FS18" s="80"/>
      <c r="FT18" s="80"/>
      <c r="FU18" s="80"/>
      <c r="FV18" s="80"/>
      <c r="FW18" s="80"/>
      <c r="FX18" s="80"/>
      <c r="FY18" s="80"/>
      <c r="FZ18" s="80"/>
      <c r="GA18" s="80"/>
      <c r="GB18" s="80"/>
      <c r="GC18" s="80"/>
      <c r="GD18" s="80"/>
      <c r="GE18" s="80"/>
      <c r="GF18" s="80"/>
      <c r="GG18" s="80"/>
      <c r="GH18" s="80"/>
      <c r="GI18" s="80"/>
      <c r="GJ18" s="80"/>
      <c r="GK18" s="80"/>
      <c r="GL18" s="80"/>
      <c r="GM18" s="80"/>
      <c r="GN18" s="80"/>
      <c r="GO18" s="80"/>
      <c r="GP18" s="80"/>
      <c r="GQ18" s="80"/>
      <c r="GR18" s="80"/>
      <c r="GS18" s="80"/>
      <c r="GT18" s="80"/>
      <c r="GU18" s="80"/>
      <c r="GV18" s="80"/>
      <c r="GW18" s="80"/>
      <c r="GX18" s="80"/>
    </row>
    <row r="19" spans="2:206" ht="14.25" x14ac:dyDescent="0.25">
      <c r="B19" s="55"/>
      <c r="C19" s="9" t="s">
        <v>155</v>
      </c>
      <c r="D19" s="76" t="s">
        <v>156</v>
      </c>
      <c r="E19" s="80">
        <f>0</f>
        <v>0</v>
      </c>
      <c r="F19" s="80">
        <f>0</f>
        <v>0</v>
      </c>
      <c r="G19" s="80">
        <f>0</f>
        <v>0</v>
      </c>
      <c r="H19" s="80">
        <f>0</f>
        <v>0</v>
      </c>
      <c r="I19" s="80">
        <f>0</f>
        <v>0</v>
      </c>
      <c r="J19" s="80">
        <f>0</f>
        <v>0</v>
      </c>
      <c r="K19" s="80">
        <f>0</f>
        <v>0</v>
      </c>
      <c r="L19" s="80">
        <f>0</f>
        <v>0</v>
      </c>
      <c r="M19" s="80">
        <f>0</f>
        <v>0</v>
      </c>
      <c r="N19" s="80">
        <f>0</f>
        <v>0</v>
      </c>
      <c r="O19" s="80">
        <f>0</f>
        <v>0</v>
      </c>
      <c r="P19" s="80">
        <f>0</f>
        <v>0</v>
      </c>
      <c r="Q19" s="80">
        <f>0</f>
        <v>0</v>
      </c>
      <c r="R19" s="80">
        <f>0</f>
        <v>0</v>
      </c>
      <c r="S19" s="80">
        <f>0</f>
        <v>0</v>
      </c>
      <c r="T19" s="80"/>
      <c r="U19" s="80"/>
      <c r="V19" s="80"/>
      <c r="W19" s="80"/>
      <c r="X19" s="8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0"/>
      <c r="BI19" s="80"/>
      <c r="BJ19" s="80"/>
      <c r="BK19" s="80"/>
      <c r="BL19" s="80"/>
      <c r="BM19" s="80"/>
      <c r="BN19" s="80"/>
      <c r="BO19" s="80"/>
      <c r="BP19" s="80"/>
      <c r="BQ19" s="80"/>
      <c r="BR19" s="80"/>
      <c r="BS19" s="80"/>
      <c r="BT19" s="80"/>
      <c r="BU19" s="80"/>
      <c r="BV19" s="80"/>
      <c r="BW19" s="80"/>
      <c r="BX19" s="80"/>
      <c r="BY19" s="80"/>
      <c r="BZ19" s="80"/>
      <c r="CA19" s="80"/>
      <c r="CB19" s="80"/>
      <c r="CC19" s="80"/>
      <c r="CD19" s="80"/>
      <c r="CE19" s="80"/>
      <c r="CF19" s="80"/>
      <c r="CG19" s="80"/>
      <c r="CH19" s="80"/>
      <c r="CI19" s="80"/>
      <c r="CJ19" s="80"/>
      <c r="CK19" s="80"/>
      <c r="CL19" s="80"/>
      <c r="CM19" s="80"/>
      <c r="CN19" s="80"/>
      <c r="CO19" s="80"/>
      <c r="CP19" s="80"/>
      <c r="CQ19" s="80"/>
      <c r="CR19" s="80"/>
      <c r="CS19" s="80"/>
      <c r="CT19" s="80"/>
      <c r="CU19" s="80"/>
      <c r="CV19" s="80"/>
      <c r="CW19" s="80"/>
      <c r="CX19" s="80"/>
      <c r="CY19" s="80"/>
      <c r="CZ19" s="80"/>
      <c r="DA19" s="80"/>
      <c r="DB19" s="80"/>
      <c r="DC19" s="80"/>
      <c r="DD19" s="80"/>
      <c r="DE19" s="80"/>
      <c r="DF19" s="80"/>
      <c r="DG19" s="80"/>
      <c r="DH19" s="80"/>
      <c r="DI19" s="80"/>
      <c r="DJ19" s="80"/>
      <c r="DK19" s="80"/>
      <c r="DL19" s="80"/>
      <c r="DM19" s="80"/>
      <c r="DN19" s="80"/>
      <c r="DO19" s="80"/>
      <c r="DP19" s="80"/>
      <c r="DQ19" s="80"/>
      <c r="DR19" s="80"/>
      <c r="DS19" s="80"/>
      <c r="DT19" s="80"/>
      <c r="DU19" s="80"/>
      <c r="DV19" s="80"/>
      <c r="DW19" s="80"/>
      <c r="DX19" s="80"/>
      <c r="DY19" s="80"/>
      <c r="DZ19" s="80"/>
      <c r="EA19" s="80"/>
      <c r="EB19" s="80"/>
      <c r="EC19" s="80"/>
      <c r="ED19" s="80"/>
      <c r="EE19" s="80"/>
      <c r="EF19" s="80"/>
      <c r="EG19" s="80"/>
      <c r="EH19" s="80"/>
      <c r="EI19" s="80"/>
      <c r="EJ19" s="80"/>
      <c r="EK19" s="80"/>
      <c r="EL19" s="80"/>
      <c r="EM19" s="80"/>
      <c r="EN19" s="80"/>
      <c r="EO19" s="80"/>
      <c r="EP19" s="80"/>
      <c r="EQ19" s="80"/>
      <c r="ER19" s="80"/>
      <c r="ES19" s="80"/>
      <c r="ET19" s="80"/>
      <c r="EU19" s="80"/>
      <c r="EV19" s="80"/>
      <c r="EW19" s="80"/>
      <c r="EX19" s="80"/>
      <c r="EY19" s="80"/>
      <c r="EZ19" s="80"/>
      <c r="FA19" s="80"/>
      <c r="FB19" s="80"/>
      <c r="FC19" s="80"/>
      <c r="FD19" s="80"/>
      <c r="FE19" s="80"/>
      <c r="FF19" s="80"/>
      <c r="FG19" s="80"/>
      <c r="FH19" s="80"/>
      <c r="FI19" s="80"/>
      <c r="FJ19" s="80"/>
      <c r="FK19" s="80"/>
      <c r="FL19" s="80"/>
      <c r="FM19" s="80"/>
      <c r="FN19" s="80"/>
      <c r="FO19" s="80"/>
      <c r="FP19" s="80"/>
      <c r="FQ19" s="80"/>
      <c r="FR19" s="80"/>
      <c r="FS19" s="80"/>
      <c r="FT19" s="80"/>
      <c r="FU19" s="80"/>
      <c r="FV19" s="80"/>
      <c r="FW19" s="80"/>
      <c r="FX19" s="80"/>
      <c r="FY19" s="80"/>
      <c r="FZ19" s="80"/>
      <c r="GA19" s="80"/>
      <c r="GB19" s="80"/>
      <c r="GC19" s="80"/>
      <c r="GD19" s="80"/>
      <c r="GE19" s="80"/>
      <c r="GF19" s="80"/>
      <c r="GG19" s="80"/>
      <c r="GH19" s="80"/>
      <c r="GI19" s="80"/>
      <c r="GJ19" s="80"/>
      <c r="GK19" s="80"/>
      <c r="GL19" s="80"/>
      <c r="GM19" s="80"/>
      <c r="GN19" s="80"/>
      <c r="GO19" s="80"/>
      <c r="GP19" s="80"/>
      <c r="GQ19" s="80"/>
      <c r="GR19" s="80"/>
      <c r="GS19" s="80"/>
      <c r="GT19" s="80"/>
      <c r="GU19" s="80"/>
      <c r="GV19" s="80"/>
      <c r="GW19" s="80"/>
      <c r="GX19" s="80"/>
    </row>
    <row r="20" spans="2:206" ht="14.25" x14ac:dyDescent="0.25">
      <c r="B20" s="55"/>
      <c r="C20" s="9" t="s">
        <v>281</v>
      </c>
      <c r="D20" s="76" t="s">
        <v>282</v>
      </c>
      <c r="E20" s="80">
        <v>100</v>
      </c>
      <c r="F20" s="80">
        <v>100</v>
      </c>
      <c r="G20" s="80">
        <v>100</v>
      </c>
      <c r="H20" s="80">
        <v>100</v>
      </c>
      <c r="I20" s="80">
        <v>100</v>
      </c>
      <c r="J20" s="80">
        <v>100</v>
      </c>
      <c r="K20" s="80">
        <v>100</v>
      </c>
      <c r="L20" s="80">
        <v>100</v>
      </c>
      <c r="M20" s="80">
        <v>100</v>
      </c>
      <c r="N20" s="80">
        <v>100</v>
      </c>
      <c r="O20" s="80">
        <v>100</v>
      </c>
      <c r="P20" s="80">
        <v>100</v>
      </c>
      <c r="Q20" s="80">
        <v>100</v>
      </c>
      <c r="R20" s="80">
        <v>100</v>
      </c>
      <c r="S20" s="80">
        <v>100</v>
      </c>
      <c r="T20" s="80"/>
      <c r="U20" s="80"/>
      <c r="V20" s="80"/>
      <c r="W20" s="80"/>
      <c r="X20" s="8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80"/>
      <c r="BD20" s="80"/>
      <c r="BE20" s="80"/>
      <c r="BF20" s="80"/>
      <c r="BG20" s="80"/>
      <c r="BH20" s="80"/>
      <c r="BI20" s="80"/>
      <c r="BJ20" s="80"/>
      <c r="BK20" s="80"/>
      <c r="BL20" s="80"/>
      <c r="BM20" s="80"/>
      <c r="BN20" s="80"/>
      <c r="BO20" s="80"/>
      <c r="BP20" s="80"/>
      <c r="BQ20" s="80"/>
      <c r="BR20" s="80"/>
      <c r="BS20" s="80"/>
      <c r="BT20" s="80"/>
      <c r="BU20" s="80"/>
      <c r="BV20" s="80"/>
      <c r="BW20" s="80"/>
      <c r="BX20" s="80"/>
      <c r="BY20" s="80"/>
      <c r="BZ20" s="80"/>
      <c r="CA20" s="80"/>
      <c r="CB20" s="80"/>
      <c r="CC20" s="80"/>
      <c r="CD20" s="80"/>
      <c r="CE20" s="80"/>
      <c r="CF20" s="80"/>
      <c r="CG20" s="80"/>
      <c r="CH20" s="80"/>
      <c r="CI20" s="80"/>
      <c r="CJ20" s="80"/>
      <c r="CK20" s="80"/>
      <c r="CL20" s="80"/>
      <c r="CM20" s="80"/>
      <c r="CN20" s="80"/>
      <c r="CO20" s="80"/>
      <c r="CP20" s="80"/>
      <c r="CQ20" s="80"/>
      <c r="CR20" s="80"/>
      <c r="CS20" s="80"/>
      <c r="CT20" s="80"/>
      <c r="CU20" s="80"/>
      <c r="CV20" s="80"/>
      <c r="CW20" s="80"/>
      <c r="CX20" s="80"/>
      <c r="CY20" s="80"/>
      <c r="CZ20" s="80"/>
      <c r="DA20" s="80"/>
      <c r="DB20" s="80"/>
      <c r="DC20" s="80"/>
      <c r="DD20" s="80"/>
      <c r="DE20" s="80"/>
      <c r="DF20" s="80"/>
      <c r="DG20" s="80"/>
      <c r="DH20" s="80"/>
      <c r="DI20" s="80"/>
      <c r="DJ20" s="80"/>
      <c r="DK20" s="80"/>
      <c r="DL20" s="80"/>
      <c r="DM20" s="80"/>
      <c r="DN20" s="80"/>
      <c r="DO20" s="80"/>
      <c r="DP20" s="80"/>
      <c r="DQ20" s="80"/>
      <c r="DR20" s="80"/>
      <c r="DS20" s="80"/>
      <c r="DT20" s="80"/>
      <c r="DU20" s="80"/>
      <c r="DV20" s="80"/>
      <c r="DW20" s="80"/>
      <c r="DX20" s="80"/>
      <c r="DY20" s="80"/>
      <c r="DZ20" s="80"/>
      <c r="EA20" s="80"/>
      <c r="EB20" s="80"/>
      <c r="EC20" s="80"/>
      <c r="ED20" s="80"/>
      <c r="EE20" s="80"/>
      <c r="EF20" s="80"/>
      <c r="EG20" s="80"/>
      <c r="EH20" s="80"/>
      <c r="EI20" s="80"/>
      <c r="EJ20" s="80"/>
      <c r="EK20" s="80"/>
      <c r="EL20" s="80"/>
      <c r="EM20" s="80"/>
      <c r="EN20" s="80"/>
      <c r="EO20" s="80"/>
      <c r="EP20" s="80"/>
      <c r="EQ20" s="80"/>
      <c r="ER20" s="80"/>
      <c r="ES20" s="80"/>
      <c r="ET20" s="80"/>
      <c r="EU20" s="80"/>
      <c r="EV20" s="80"/>
      <c r="EW20" s="80"/>
      <c r="EX20" s="80"/>
      <c r="EY20" s="80"/>
      <c r="EZ20" s="80"/>
      <c r="FA20" s="80"/>
      <c r="FB20" s="80"/>
      <c r="FC20" s="80"/>
      <c r="FD20" s="80"/>
      <c r="FE20" s="80"/>
      <c r="FF20" s="80"/>
      <c r="FG20" s="80"/>
      <c r="FH20" s="80"/>
      <c r="FI20" s="80"/>
      <c r="FJ20" s="80"/>
      <c r="FK20" s="80"/>
      <c r="FL20" s="80"/>
      <c r="FM20" s="80"/>
      <c r="FN20" s="80"/>
      <c r="FO20" s="80"/>
      <c r="FP20" s="80"/>
      <c r="FQ20" s="80"/>
      <c r="FR20" s="80"/>
      <c r="FS20" s="80"/>
      <c r="FT20" s="80"/>
      <c r="FU20" s="80"/>
      <c r="FV20" s="80"/>
      <c r="FW20" s="80"/>
      <c r="FX20" s="80"/>
      <c r="FY20" s="80"/>
      <c r="FZ20" s="80"/>
      <c r="GA20" s="80"/>
      <c r="GB20" s="80"/>
      <c r="GC20" s="80"/>
      <c r="GD20" s="80"/>
      <c r="GE20" s="80"/>
      <c r="GF20" s="80"/>
      <c r="GG20" s="80"/>
      <c r="GH20" s="80"/>
      <c r="GI20" s="80"/>
      <c r="GJ20" s="80"/>
      <c r="GK20" s="80"/>
      <c r="GL20" s="80"/>
      <c r="GM20" s="80"/>
      <c r="GN20" s="80"/>
      <c r="GO20" s="80"/>
      <c r="GP20" s="80"/>
      <c r="GQ20" s="80"/>
      <c r="GR20" s="80"/>
      <c r="GS20" s="80"/>
      <c r="GT20" s="80"/>
      <c r="GU20" s="80"/>
      <c r="GV20" s="80"/>
      <c r="GW20" s="80"/>
      <c r="GX20" s="80"/>
    </row>
    <row r="21" spans="2:206" ht="14.25" x14ac:dyDescent="0.25">
      <c r="B21" s="55"/>
      <c r="C21" s="9" t="s">
        <v>320</v>
      </c>
      <c r="D21" s="76" t="s">
        <v>321</v>
      </c>
      <c r="E21" s="80">
        <v>25</v>
      </c>
      <c r="F21" s="80">
        <v>25</v>
      </c>
      <c r="G21" s="80">
        <v>25</v>
      </c>
      <c r="H21" s="80">
        <v>25</v>
      </c>
      <c r="I21" s="80">
        <v>25</v>
      </c>
      <c r="J21" s="80">
        <v>25</v>
      </c>
      <c r="K21" s="80">
        <v>25</v>
      </c>
      <c r="L21" s="80">
        <v>25</v>
      </c>
      <c r="M21" s="80">
        <v>25</v>
      </c>
      <c r="N21" s="80">
        <v>25</v>
      </c>
      <c r="O21" s="80">
        <v>25</v>
      </c>
      <c r="P21" s="80">
        <v>25</v>
      </c>
      <c r="Q21" s="80">
        <v>25</v>
      </c>
      <c r="R21" s="80">
        <v>25</v>
      </c>
      <c r="S21" s="80">
        <v>25</v>
      </c>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80"/>
      <c r="BA21" s="80"/>
      <c r="BB21" s="80"/>
      <c r="BC21" s="80"/>
      <c r="BD21" s="80"/>
      <c r="BE21" s="80"/>
      <c r="BF21" s="80"/>
      <c r="BG21" s="80"/>
      <c r="BH21" s="80"/>
      <c r="BI21" s="80"/>
      <c r="BJ21" s="80"/>
      <c r="BK21" s="80"/>
      <c r="BL21" s="80"/>
      <c r="BM21" s="80"/>
      <c r="BN21" s="80"/>
      <c r="BO21" s="80"/>
      <c r="BP21" s="80"/>
      <c r="BQ21" s="80"/>
      <c r="BR21" s="80"/>
      <c r="BS21" s="80"/>
      <c r="BT21" s="80"/>
      <c r="BU21" s="80"/>
      <c r="BV21" s="80"/>
      <c r="BW21" s="80"/>
      <c r="BX21" s="80"/>
      <c r="BY21" s="80"/>
      <c r="BZ21" s="80"/>
      <c r="CA21" s="80"/>
      <c r="CB21" s="80"/>
      <c r="CC21" s="80"/>
      <c r="CD21" s="80"/>
      <c r="CE21" s="80"/>
      <c r="CF21" s="80"/>
      <c r="CG21" s="80"/>
      <c r="CH21" s="80"/>
      <c r="CI21" s="80"/>
      <c r="CJ21" s="80"/>
      <c r="CK21" s="80"/>
      <c r="CL21" s="80"/>
      <c r="CM21" s="80"/>
      <c r="CN21" s="80"/>
      <c r="CO21" s="80"/>
      <c r="CP21" s="80"/>
      <c r="CQ21" s="80"/>
      <c r="CR21" s="80"/>
      <c r="CS21" s="80"/>
      <c r="CT21" s="80"/>
      <c r="CU21" s="80"/>
      <c r="CV21" s="80"/>
      <c r="CW21" s="80"/>
      <c r="CX21" s="80"/>
      <c r="CY21" s="80"/>
      <c r="CZ21" s="80"/>
      <c r="DA21" s="80"/>
      <c r="DB21" s="80"/>
      <c r="DC21" s="80"/>
      <c r="DD21" s="80"/>
      <c r="DE21" s="80"/>
      <c r="DF21" s="80"/>
      <c r="DG21" s="80"/>
      <c r="DH21" s="80"/>
      <c r="DI21" s="80"/>
      <c r="DJ21" s="80"/>
      <c r="DK21" s="80"/>
      <c r="DL21" s="80"/>
      <c r="DM21" s="80"/>
      <c r="DN21" s="80"/>
      <c r="DO21" s="80"/>
      <c r="DP21" s="80"/>
      <c r="DQ21" s="80"/>
      <c r="DR21" s="80"/>
      <c r="DS21" s="80"/>
      <c r="DT21" s="80"/>
      <c r="DU21" s="80"/>
      <c r="DV21" s="80"/>
      <c r="DW21" s="80"/>
      <c r="DX21" s="80"/>
      <c r="DY21" s="80"/>
      <c r="DZ21" s="80"/>
      <c r="EA21" s="80"/>
      <c r="EB21" s="80"/>
      <c r="EC21" s="80"/>
      <c r="ED21" s="80"/>
      <c r="EE21" s="80"/>
      <c r="EF21" s="80"/>
      <c r="EG21" s="80"/>
      <c r="EH21" s="80"/>
      <c r="EI21" s="80"/>
      <c r="EJ21" s="80"/>
      <c r="EK21" s="80"/>
      <c r="EL21" s="80"/>
      <c r="EM21" s="80"/>
      <c r="EN21" s="80"/>
      <c r="EO21" s="80"/>
      <c r="EP21" s="80"/>
      <c r="EQ21" s="80"/>
      <c r="ER21" s="80"/>
      <c r="ES21" s="80"/>
      <c r="ET21" s="80"/>
      <c r="EU21" s="80"/>
      <c r="EV21" s="80"/>
      <c r="EW21" s="80"/>
      <c r="EX21" s="80"/>
      <c r="EY21" s="80"/>
      <c r="EZ21" s="80"/>
      <c r="FA21" s="80"/>
      <c r="FB21" s="80"/>
      <c r="FC21" s="80"/>
      <c r="FD21" s="80"/>
      <c r="FE21" s="80"/>
      <c r="FF21" s="80"/>
      <c r="FG21" s="80"/>
      <c r="FH21" s="80"/>
      <c r="FI21" s="80"/>
      <c r="FJ21" s="80"/>
      <c r="FK21" s="80"/>
      <c r="FL21" s="80"/>
      <c r="FM21" s="80"/>
      <c r="FN21" s="80"/>
      <c r="FO21" s="80"/>
      <c r="FP21" s="80"/>
      <c r="FQ21" s="80"/>
      <c r="FR21" s="80"/>
      <c r="FS21" s="80"/>
      <c r="FT21" s="80"/>
      <c r="FU21" s="80"/>
      <c r="FV21" s="80"/>
      <c r="FW21" s="80"/>
      <c r="FX21" s="80"/>
      <c r="FY21" s="80"/>
      <c r="FZ21" s="80"/>
      <c r="GA21" s="80"/>
      <c r="GB21" s="80"/>
      <c r="GC21" s="80"/>
      <c r="GD21" s="80"/>
      <c r="GE21" s="80"/>
      <c r="GF21" s="80"/>
      <c r="GG21" s="80"/>
      <c r="GH21" s="80"/>
      <c r="GI21" s="80"/>
      <c r="GJ21" s="80"/>
      <c r="GK21" s="80"/>
      <c r="GL21" s="80"/>
      <c r="GM21" s="80"/>
      <c r="GN21" s="80"/>
      <c r="GO21" s="80"/>
      <c r="GP21" s="80"/>
      <c r="GQ21" s="80"/>
      <c r="GR21" s="80"/>
      <c r="GS21" s="80"/>
      <c r="GT21" s="80"/>
      <c r="GU21" s="80"/>
      <c r="GV21" s="80"/>
      <c r="GW21" s="80"/>
      <c r="GX21" s="80"/>
    </row>
    <row r="22" spans="2:206" ht="14.25" x14ac:dyDescent="0.25">
      <c r="B22" s="55"/>
      <c r="C22" s="9" t="s">
        <v>418</v>
      </c>
      <c r="D22" s="76" t="s">
        <v>423</v>
      </c>
      <c r="E22" s="80">
        <f>E21*0.2</f>
        <v>5</v>
      </c>
      <c r="F22" s="80">
        <f t="shared" ref="F22" si="37">F21*0.2</f>
        <v>5</v>
      </c>
      <c r="G22" s="80">
        <f t="shared" ref="G22" si="38">G21*0.2</f>
        <v>5</v>
      </c>
      <c r="H22" s="80">
        <f t="shared" ref="H22" si="39">H21*0.2</f>
        <v>5</v>
      </c>
      <c r="I22" s="80">
        <f t="shared" ref="I22:L22" si="40">I21*0.2</f>
        <v>5</v>
      </c>
      <c r="J22" s="80">
        <f t="shared" si="40"/>
        <v>5</v>
      </c>
      <c r="K22" s="80">
        <f t="shared" si="40"/>
        <v>5</v>
      </c>
      <c r="L22" s="80">
        <f t="shared" si="40"/>
        <v>5</v>
      </c>
      <c r="M22" s="80">
        <f>M21*0.2</f>
        <v>5</v>
      </c>
      <c r="N22" s="80">
        <f>N21*0.2</f>
        <v>5</v>
      </c>
      <c r="O22" s="80">
        <f>O21*0.2</f>
        <v>5</v>
      </c>
      <c r="P22" s="80">
        <f>P21*0.2</f>
        <v>5</v>
      </c>
      <c r="Q22" s="80">
        <f>Q21*0.2</f>
        <v>5</v>
      </c>
      <c r="R22" s="80">
        <f t="shared" ref="R22:S22" si="41">R21*0.2</f>
        <v>5</v>
      </c>
      <c r="S22" s="80">
        <f t="shared" si="41"/>
        <v>5</v>
      </c>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80"/>
      <c r="BD22" s="80"/>
      <c r="BE22" s="80"/>
      <c r="BF22" s="80"/>
      <c r="BG22" s="80"/>
      <c r="BH22" s="80"/>
      <c r="BI22" s="80"/>
      <c r="BJ22" s="80"/>
      <c r="BK22" s="80"/>
      <c r="BL22" s="80"/>
      <c r="BM22" s="80"/>
      <c r="BN22" s="80"/>
      <c r="BO22" s="80"/>
      <c r="BP22" s="80"/>
      <c r="BQ22" s="80"/>
      <c r="BR22" s="80"/>
      <c r="BS22" s="80"/>
      <c r="BT22" s="80"/>
      <c r="BU22" s="80"/>
      <c r="BV22" s="80"/>
      <c r="BW22" s="80"/>
      <c r="BX22" s="80"/>
      <c r="BY22" s="80"/>
      <c r="BZ22" s="80"/>
      <c r="CA22" s="80"/>
      <c r="CB22" s="80"/>
      <c r="CC22" s="80"/>
      <c r="CD22" s="80"/>
      <c r="CE22" s="80"/>
      <c r="CF22" s="80"/>
      <c r="CG22" s="80"/>
      <c r="CH22" s="80"/>
      <c r="CI22" s="80"/>
      <c r="CJ22" s="80"/>
      <c r="CK22" s="80"/>
      <c r="CL22" s="80"/>
      <c r="CM22" s="80"/>
      <c r="CN22" s="80"/>
      <c r="CO22" s="80"/>
      <c r="CP22" s="80"/>
      <c r="CQ22" s="80"/>
      <c r="CR22" s="80"/>
      <c r="CS22" s="80"/>
      <c r="CT22" s="80"/>
      <c r="CU22" s="80"/>
      <c r="CV22" s="80"/>
      <c r="CW22" s="80"/>
      <c r="CX22" s="80"/>
      <c r="CY22" s="80"/>
      <c r="CZ22" s="80"/>
      <c r="DA22" s="80"/>
      <c r="DB22" s="80"/>
      <c r="DC22" s="80"/>
      <c r="DD22" s="80"/>
      <c r="DE22" s="80"/>
      <c r="DF22" s="80"/>
      <c r="DG22" s="80"/>
      <c r="DH22" s="80"/>
      <c r="DI22" s="80"/>
      <c r="DJ22" s="80"/>
      <c r="DK22" s="80"/>
      <c r="DL22" s="80"/>
      <c r="DM22" s="80"/>
      <c r="DN22" s="80"/>
      <c r="DO22" s="80"/>
      <c r="DP22" s="80"/>
      <c r="DQ22" s="80"/>
      <c r="DR22" s="80"/>
      <c r="DS22" s="80"/>
      <c r="DT22" s="80"/>
      <c r="DU22" s="80"/>
      <c r="DV22" s="80"/>
      <c r="DW22" s="80"/>
      <c r="DX22" s="80"/>
      <c r="DY22" s="80"/>
      <c r="DZ22" s="80"/>
      <c r="EA22" s="80"/>
      <c r="EB22" s="80"/>
      <c r="EC22" s="80"/>
      <c r="ED22" s="80"/>
      <c r="EE22" s="80"/>
      <c r="EF22" s="80"/>
      <c r="EG22" s="80"/>
      <c r="EH22" s="80"/>
      <c r="EI22" s="80"/>
      <c r="EJ22" s="80"/>
      <c r="EK22" s="80"/>
      <c r="EL22" s="80"/>
      <c r="EM22" s="80"/>
      <c r="EN22" s="80"/>
      <c r="EO22" s="80"/>
      <c r="EP22" s="80"/>
      <c r="EQ22" s="80"/>
      <c r="ER22" s="80"/>
      <c r="ES22" s="80"/>
      <c r="ET22" s="80"/>
      <c r="EU22" s="80"/>
      <c r="EV22" s="80"/>
      <c r="EW22" s="80"/>
      <c r="EX22" s="80"/>
      <c r="EY22" s="80"/>
      <c r="EZ22" s="80"/>
      <c r="FA22" s="80"/>
      <c r="FB22" s="80"/>
      <c r="FC22" s="80"/>
      <c r="FD22" s="80"/>
      <c r="FE22" s="80"/>
      <c r="FF22" s="80"/>
      <c r="FG22" s="80"/>
      <c r="FH22" s="80"/>
      <c r="FI22" s="80"/>
      <c r="FJ22" s="80"/>
      <c r="FK22" s="80"/>
      <c r="FL22" s="80"/>
      <c r="FM22" s="80"/>
      <c r="FN22" s="80"/>
      <c r="FO22" s="80"/>
      <c r="FP22" s="80"/>
      <c r="FQ22" s="80"/>
      <c r="FR22" s="80"/>
      <c r="FS22" s="80"/>
      <c r="FT22" s="80"/>
      <c r="FU22" s="80"/>
      <c r="FV22" s="80"/>
      <c r="FW22" s="80"/>
      <c r="FX22" s="80"/>
      <c r="FY22" s="80"/>
      <c r="FZ22" s="80"/>
      <c r="GA22" s="80"/>
      <c r="GB22" s="80"/>
      <c r="GC22" s="80"/>
      <c r="GD22" s="80"/>
      <c r="GE22" s="80"/>
      <c r="GF22" s="80"/>
      <c r="GG22" s="80"/>
      <c r="GH22" s="80"/>
      <c r="GI22" s="80"/>
      <c r="GJ22" s="80"/>
      <c r="GK22" s="80"/>
      <c r="GL22" s="80"/>
      <c r="GM22" s="80"/>
      <c r="GN22" s="80"/>
      <c r="GO22" s="80"/>
      <c r="GP22" s="80"/>
      <c r="GQ22" s="80"/>
      <c r="GR22" s="80"/>
      <c r="GS22" s="80"/>
      <c r="GT22" s="80"/>
      <c r="GU22" s="80"/>
      <c r="GV22" s="80"/>
      <c r="GW22" s="80"/>
      <c r="GX22" s="80"/>
    </row>
    <row r="23" spans="2:206" ht="14.25" x14ac:dyDescent="0.25">
      <c r="B23" s="55"/>
      <c r="C23" s="9" t="s">
        <v>419</v>
      </c>
      <c r="D23" s="76" t="s">
        <v>422</v>
      </c>
      <c r="E23" s="80">
        <f>E21*0.2</f>
        <v>5</v>
      </c>
      <c r="F23" s="80">
        <f t="shared" ref="F23:H23" si="42">F21*0.2</f>
        <v>5</v>
      </c>
      <c r="G23" s="80">
        <f t="shared" si="42"/>
        <v>5</v>
      </c>
      <c r="H23" s="80">
        <f t="shared" si="42"/>
        <v>5</v>
      </c>
      <c r="I23" s="80">
        <f t="shared" ref="I23" si="43">I21*0.2</f>
        <v>5</v>
      </c>
      <c r="J23" s="80">
        <f t="shared" ref="J23:L23" si="44">J21*0.2</f>
        <v>5</v>
      </c>
      <c r="K23" s="80">
        <f t="shared" si="44"/>
        <v>5</v>
      </c>
      <c r="L23" s="80">
        <f t="shared" si="44"/>
        <v>5</v>
      </c>
      <c r="M23" s="80">
        <f>M21*0.2</f>
        <v>5</v>
      </c>
      <c r="N23" s="80">
        <f>N21*0.2</f>
        <v>5</v>
      </c>
      <c r="O23" s="80">
        <f>O21*0.2</f>
        <v>5</v>
      </c>
      <c r="P23" s="80">
        <f>P21*0.2</f>
        <v>5</v>
      </c>
      <c r="Q23" s="80">
        <f>Q21*0.2</f>
        <v>5</v>
      </c>
      <c r="R23" s="80">
        <f t="shared" ref="R23:S23" si="45">R21*0.2</f>
        <v>5</v>
      </c>
      <c r="S23" s="80">
        <f t="shared" si="45"/>
        <v>5</v>
      </c>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80"/>
      <c r="BD23" s="80"/>
      <c r="BE23" s="80"/>
      <c r="BF23" s="80"/>
      <c r="BG23" s="80"/>
      <c r="BH23" s="80"/>
      <c r="BI23" s="80"/>
      <c r="BJ23" s="80"/>
      <c r="BK23" s="80"/>
      <c r="BL23" s="80"/>
      <c r="BM23" s="80"/>
      <c r="BN23" s="80"/>
      <c r="BO23" s="80"/>
      <c r="BP23" s="80"/>
      <c r="BQ23" s="80"/>
      <c r="BR23" s="80"/>
      <c r="BS23" s="80"/>
      <c r="BT23" s="80"/>
      <c r="BU23" s="80"/>
      <c r="BV23" s="80"/>
      <c r="BW23" s="80"/>
      <c r="BX23" s="80"/>
      <c r="BY23" s="80"/>
      <c r="BZ23" s="80"/>
      <c r="CA23" s="80"/>
      <c r="CB23" s="80"/>
      <c r="CC23" s="80"/>
      <c r="CD23" s="80"/>
      <c r="CE23" s="80"/>
      <c r="CF23" s="80"/>
      <c r="CG23" s="80"/>
      <c r="CH23" s="80"/>
      <c r="CI23" s="80"/>
      <c r="CJ23" s="80"/>
      <c r="CK23" s="80"/>
      <c r="CL23" s="80"/>
      <c r="CM23" s="80"/>
      <c r="CN23" s="80"/>
      <c r="CO23" s="80"/>
      <c r="CP23" s="80"/>
      <c r="CQ23" s="80"/>
      <c r="CR23" s="80"/>
      <c r="CS23" s="80"/>
      <c r="CT23" s="80"/>
      <c r="CU23" s="80"/>
      <c r="CV23" s="80"/>
      <c r="CW23" s="80"/>
      <c r="CX23" s="80"/>
      <c r="CY23" s="80"/>
      <c r="CZ23" s="80"/>
      <c r="DA23" s="80"/>
      <c r="DB23" s="80"/>
      <c r="DC23" s="80"/>
      <c r="DD23" s="80"/>
      <c r="DE23" s="80"/>
      <c r="DF23" s="80"/>
      <c r="DG23" s="80"/>
      <c r="DH23" s="80"/>
      <c r="DI23" s="80"/>
      <c r="DJ23" s="80"/>
      <c r="DK23" s="80"/>
      <c r="DL23" s="80"/>
      <c r="DM23" s="80"/>
      <c r="DN23" s="80"/>
      <c r="DO23" s="80"/>
      <c r="DP23" s="80"/>
      <c r="DQ23" s="80"/>
      <c r="DR23" s="80"/>
      <c r="DS23" s="80"/>
      <c r="DT23" s="80"/>
      <c r="DU23" s="80"/>
      <c r="DV23" s="80"/>
      <c r="DW23" s="80"/>
      <c r="DX23" s="80"/>
      <c r="DY23" s="80"/>
      <c r="DZ23" s="80"/>
      <c r="EA23" s="80"/>
      <c r="EB23" s="80"/>
      <c r="EC23" s="80"/>
      <c r="ED23" s="80"/>
      <c r="EE23" s="80"/>
      <c r="EF23" s="80"/>
      <c r="EG23" s="80"/>
      <c r="EH23" s="80"/>
      <c r="EI23" s="80"/>
      <c r="EJ23" s="80"/>
      <c r="EK23" s="80"/>
      <c r="EL23" s="80"/>
      <c r="EM23" s="80"/>
      <c r="EN23" s="80"/>
      <c r="EO23" s="80"/>
      <c r="EP23" s="80"/>
      <c r="EQ23" s="80"/>
      <c r="ER23" s="80"/>
      <c r="ES23" s="80"/>
      <c r="ET23" s="80"/>
      <c r="EU23" s="80"/>
      <c r="EV23" s="80"/>
      <c r="EW23" s="80"/>
      <c r="EX23" s="80"/>
      <c r="EY23" s="80"/>
      <c r="EZ23" s="80"/>
      <c r="FA23" s="80"/>
      <c r="FB23" s="80"/>
      <c r="FC23" s="80"/>
      <c r="FD23" s="80"/>
      <c r="FE23" s="80"/>
      <c r="FF23" s="80"/>
      <c r="FG23" s="80"/>
      <c r="FH23" s="80"/>
      <c r="FI23" s="80"/>
      <c r="FJ23" s="80"/>
      <c r="FK23" s="80"/>
      <c r="FL23" s="80"/>
      <c r="FM23" s="80"/>
      <c r="FN23" s="80"/>
      <c r="FO23" s="80"/>
      <c r="FP23" s="80"/>
      <c r="FQ23" s="80"/>
      <c r="FR23" s="80"/>
      <c r="FS23" s="80"/>
      <c r="FT23" s="80"/>
      <c r="FU23" s="80"/>
      <c r="FV23" s="80"/>
      <c r="FW23" s="80"/>
      <c r="FX23" s="80"/>
      <c r="FY23" s="80"/>
      <c r="FZ23" s="80"/>
      <c r="GA23" s="80"/>
      <c r="GB23" s="80"/>
      <c r="GC23" s="80"/>
      <c r="GD23" s="80"/>
      <c r="GE23" s="80"/>
      <c r="GF23" s="80"/>
      <c r="GG23" s="80"/>
      <c r="GH23" s="80"/>
      <c r="GI23" s="80"/>
      <c r="GJ23" s="80"/>
      <c r="GK23" s="80"/>
      <c r="GL23" s="80"/>
      <c r="GM23" s="80"/>
      <c r="GN23" s="80"/>
      <c r="GO23" s="80"/>
      <c r="GP23" s="80"/>
      <c r="GQ23" s="80"/>
      <c r="GR23" s="80"/>
      <c r="GS23" s="80"/>
      <c r="GT23" s="80"/>
      <c r="GU23" s="80"/>
      <c r="GV23" s="80"/>
      <c r="GW23" s="80"/>
      <c r="GX23" s="80"/>
    </row>
    <row r="24" spans="2:206" ht="14.25" x14ac:dyDescent="0.25">
      <c r="B24" s="55"/>
      <c r="C24" s="9" t="s">
        <v>420</v>
      </c>
      <c r="D24" s="76" t="s">
        <v>421</v>
      </c>
      <c r="E24" s="230">
        <v>0.5</v>
      </c>
      <c r="F24" s="230">
        <v>0.5</v>
      </c>
      <c r="G24" s="230">
        <v>0.5</v>
      </c>
      <c r="H24" s="230">
        <v>0.5</v>
      </c>
      <c r="I24" s="230">
        <v>0.5</v>
      </c>
      <c r="J24" s="230">
        <v>0.5</v>
      </c>
      <c r="K24" s="230">
        <v>0.5</v>
      </c>
      <c r="L24" s="230">
        <v>0.5</v>
      </c>
      <c r="M24" s="230">
        <v>0.5</v>
      </c>
      <c r="N24" s="230">
        <v>0.5</v>
      </c>
      <c r="O24" s="230">
        <v>0.5</v>
      </c>
      <c r="P24" s="230">
        <v>0.5</v>
      </c>
      <c r="Q24" s="230">
        <v>0.5</v>
      </c>
      <c r="R24" s="230">
        <v>0.5</v>
      </c>
      <c r="S24" s="230">
        <v>0.5</v>
      </c>
      <c r="T24" s="230"/>
      <c r="U24" s="230"/>
      <c r="V24" s="230"/>
      <c r="W24" s="230"/>
      <c r="X24" s="230"/>
      <c r="Y24" s="230"/>
      <c r="Z24" s="230"/>
      <c r="AA24" s="230"/>
      <c r="AB24" s="230"/>
      <c r="AC24" s="230"/>
      <c r="AD24" s="230"/>
      <c r="AE24" s="230"/>
      <c r="AF24" s="230"/>
      <c r="AG24" s="230"/>
      <c r="AH24" s="230"/>
      <c r="AI24" s="230"/>
      <c r="AJ24" s="230"/>
      <c r="AK24" s="230"/>
      <c r="AL24" s="230"/>
      <c r="AM24" s="230"/>
      <c r="AN24" s="230"/>
      <c r="AO24" s="230"/>
      <c r="AP24" s="230"/>
      <c r="AQ24" s="230"/>
      <c r="AR24" s="230"/>
      <c r="AS24" s="230"/>
      <c r="AT24" s="230"/>
      <c r="AU24" s="230"/>
      <c r="AV24" s="230"/>
      <c r="AW24" s="230"/>
      <c r="AX24" s="230"/>
      <c r="AY24" s="230"/>
      <c r="AZ24" s="230"/>
      <c r="BA24" s="230"/>
      <c r="BB24" s="230"/>
      <c r="BC24" s="230"/>
      <c r="BD24" s="230"/>
      <c r="BE24" s="230"/>
      <c r="BF24" s="230"/>
      <c r="BG24" s="230"/>
      <c r="BH24" s="230"/>
      <c r="BI24" s="230"/>
      <c r="BJ24" s="230"/>
      <c r="BK24" s="230"/>
      <c r="BL24" s="230"/>
      <c r="BM24" s="230"/>
      <c r="BN24" s="230"/>
      <c r="BO24" s="230"/>
      <c r="BP24" s="230"/>
      <c r="BQ24" s="230"/>
      <c r="BR24" s="230"/>
      <c r="BS24" s="230"/>
      <c r="BT24" s="230"/>
      <c r="BU24" s="230"/>
      <c r="BV24" s="230"/>
      <c r="BW24" s="230"/>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c r="DA24" s="230"/>
      <c r="DB24" s="230"/>
      <c r="DC24" s="230"/>
      <c r="DD24" s="230"/>
      <c r="DE24" s="230"/>
      <c r="DF24" s="230"/>
      <c r="DG24" s="230"/>
      <c r="DH24" s="230"/>
      <c r="DI24" s="230"/>
      <c r="DJ24" s="230"/>
      <c r="DK24" s="230"/>
      <c r="DL24" s="230"/>
      <c r="DM24" s="230"/>
      <c r="DN24" s="230"/>
      <c r="DO24" s="230"/>
      <c r="DP24" s="230"/>
      <c r="DQ24" s="230"/>
      <c r="DR24" s="230"/>
      <c r="DS24" s="230"/>
      <c r="DT24" s="230"/>
      <c r="DU24" s="230"/>
      <c r="DV24" s="230"/>
      <c r="DW24" s="230"/>
      <c r="DX24" s="230"/>
      <c r="DY24" s="230"/>
      <c r="DZ24" s="230"/>
      <c r="EA24" s="230"/>
      <c r="EB24" s="230"/>
      <c r="EC24" s="230"/>
      <c r="ED24" s="230"/>
      <c r="EE24" s="230"/>
      <c r="EF24" s="230"/>
      <c r="EG24" s="230"/>
      <c r="EH24" s="230"/>
      <c r="EI24" s="230"/>
      <c r="EJ24" s="230"/>
      <c r="EK24" s="230"/>
      <c r="EL24" s="230"/>
      <c r="EM24" s="230"/>
      <c r="EN24" s="230"/>
      <c r="EO24" s="230"/>
      <c r="EP24" s="230"/>
      <c r="EQ24" s="230"/>
      <c r="ER24" s="230"/>
      <c r="ES24" s="230"/>
      <c r="ET24" s="230"/>
      <c r="EU24" s="230"/>
      <c r="EV24" s="230"/>
      <c r="EW24" s="230"/>
      <c r="EX24" s="230"/>
      <c r="EY24" s="230"/>
      <c r="EZ24" s="230"/>
      <c r="FA24" s="230"/>
      <c r="FB24" s="230"/>
      <c r="FC24" s="230"/>
      <c r="FD24" s="230"/>
      <c r="FE24" s="230"/>
      <c r="FF24" s="230"/>
      <c r="FG24" s="230"/>
      <c r="FH24" s="230"/>
      <c r="FI24" s="230"/>
      <c r="FJ24" s="230"/>
      <c r="FK24" s="230"/>
      <c r="FL24" s="230"/>
      <c r="FM24" s="230"/>
      <c r="FN24" s="230"/>
      <c r="FO24" s="230"/>
      <c r="FP24" s="230"/>
      <c r="FQ24" s="230"/>
      <c r="FR24" s="230"/>
      <c r="FS24" s="230"/>
      <c r="FT24" s="230"/>
      <c r="FU24" s="230"/>
      <c r="FV24" s="230"/>
      <c r="FW24" s="230"/>
      <c r="FX24" s="230"/>
      <c r="FY24" s="230"/>
      <c r="FZ24" s="230"/>
      <c r="GA24" s="230"/>
      <c r="GB24" s="230"/>
      <c r="GC24" s="230"/>
      <c r="GD24" s="230"/>
      <c r="GE24" s="230"/>
      <c r="GF24" s="230"/>
      <c r="GG24" s="230"/>
      <c r="GH24" s="230"/>
      <c r="GI24" s="230"/>
      <c r="GJ24" s="230"/>
      <c r="GK24" s="230"/>
      <c r="GL24" s="230"/>
      <c r="GM24" s="230"/>
      <c r="GN24" s="230"/>
      <c r="GO24" s="230"/>
      <c r="GP24" s="230"/>
      <c r="GQ24" s="230"/>
      <c r="GR24" s="230"/>
      <c r="GS24" s="230"/>
      <c r="GT24" s="230"/>
      <c r="GU24" s="230"/>
      <c r="GV24" s="230"/>
      <c r="GW24" s="230"/>
      <c r="GX24" s="230"/>
    </row>
    <row r="25" spans="2:206" ht="14.25" x14ac:dyDescent="0.25">
      <c r="B25" s="55"/>
      <c r="C25" s="9" t="s">
        <v>159</v>
      </c>
      <c r="D25" s="76" t="s">
        <v>160</v>
      </c>
      <c r="E25" s="80">
        <v>0</v>
      </c>
      <c r="F25" s="80">
        <v>0</v>
      </c>
      <c r="G25" s="80">
        <v>0</v>
      </c>
      <c r="H25" s="80">
        <v>0</v>
      </c>
      <c r="I25" s="80">
        <v>0</v>
      </c>
      <c r="J25" s="80">
        <v>0</v>
      </c>
      <c r="K25" s="80">
        <v>0</v>
      </c>
      <c r="L25" s="80">
        <v>0</v>
      </c>
      <c r="M25" s="80">
        <v>0</v>
      </c>
      <c r="N25" s="80">
        <v>0</v>
      </c>
      <c r="O25" s="80">
        <v>0</v>
      </c>
      <c r="P25" s="80">
        <v>0</v>
      </c>
      <c r="Q25" s="80">
        <v>0</v>
      </c>
      <c r="R25" s="80">
        <v>0</v>
      </c>
      <c r="S25" s="80">
        <v>0</v>
      </c>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80"/>
      <c r="DQ25" s="80"/>
      <c r="DR25" s="80"/>
      <c r="DS25" s="80"/>
      <c r="DT25" s="80"/>
      <c r="DU25" s="80"/>
      <c r="DV25" s="80"/>
      <c r="DW25" s="80"/>
      <c r="DX25" s="80"/>
      <c r="DY25" s="80"/>
      <c r="DZ25" s="80"/>
      <c r="EA25" s="80"/>
      <c r="EB25" s="80"/>
      <c r="EC25" s="80"/>
      <c r="ED25" s="80"/>
      <c r="EE25" s="80"/>
      <c r="EF25" s="80"/>
      <c r="EG25" s="80"/>
      <c r="EH25" s="80"/>
      <c r="EI25" s="80"/>
      <c r="EJ25" s="80"/>
      <c r="EK25" s="80"/>
      <c r="EL25" s="80"/>
      <c r="EM25" s="80"/>
      <c r="EN25" s="80"/>
      <c r="EO25" s="80"/>
      <c r="EP25" s="80"/>
      <c r="EQ25" s="80"/>
      <c r="ER25" s="80"/>
      <c r="ES25" s="80"/>
      <c r="ET25" s="80"/>
      <c r="EU25" s="80"/>
      <c r="EV25" s="80"/>
      <c r="EW25" s="80"/>
      <c r="EX25" s="80"/>
      <c r="EY25" s="80"/>
      <c r="EZ25" s="80"/>
      <c r="FA25" s="80"/>
      <c r="FB25" s="80"/>
      <c r="FC25" s="80"/>
      <c r="FD25" s="80"/>
      <c r="FE25" s="80"/>
      <c r="FF25" s="80"/>
      <c r="FG25" s="80"/>
      <c r="FH25" s="80"/>
      <c r="FI25" s="80"/>
      <c r="FJ25" s="80"/>
      <c r="FK25" s="80"/>
      <c r="FL25" s="80"/>
      <c r="FM25" s="80"/>
      <c r="FN25" s="80"/>
      <c r="FO25" s="80"/>
      <c r="FP25" s="80"/>
      <c r="FQ25" s="80"/>
      <c r="FR25" s="80"/>
      <c r="FS25" s="80"/>
      <c r="FT25" s="80"/>
      <c r="FU25" s="80"/>
      <c r="FV25" s="80"/>
      <c r="FW25" s="80"/>
      <c r="FX25" s="80"/>
      <c r="FY25" s="80"/>
      <c r="FZ25" s="80"/>
      <c r="GA25" s="80"/>
      <c r="GB25" s="80"/>
      <c r="GC25" s="80"/>
      <c r="GD25" s="80"/>
      <c r="GE25" s="80"/>
      <c r="GF25" s="80"/>
      <c r="GG25" s="80"/>
      <c r="GH25" s="80"/>
      <c r="GI25" s="80"/>
      <c r="GJ25" s="80"/>
      <c r="GK25" s="80"/>
      <c r="GL25" s="80"/>
      <c r="GM25" s="80"/>
      <c r="GN25" s="80"/>
      <c r="GO25" s="80"/>
      <c r="GP25" s="80"/>
      <c r="GQ25" s="80"/>
      <c r="GR25" s="80"/>
      <c r="GS25" s="80"/>
      <c r="GT25" s="80"/>
      <c r="GU25" s="80"/>
      <c r="GV25" s="80"/>
      <c r="GW25" s="80"/>
      <c r="GX25" s="80"/>
    </row>
    <row r="26" spans="2:206" x14ac:dyDescent="0.25">
      <c r="B26" s="55"/>
      <c r="C26" s="9" t="s">
        <v>318</v>
      </c>
      <c r="D26" s="76" t="s">
        <v>319</v>
      </c>
      <c r="E26" s="86">
        <v>45</v>
      </c>
      <c r="F26" s="86">
        <v>45</v>
      </c>
      <c r="G26" s="86">
        <v>45</v>
      </c>
      <c r="H26" s="86">
        <v>45</v>
      </c>
      <c r="I26" s="86">
        <v>45</v>
      </c>
      <c r="J26" s="86">
        <v>45</v>
      </c>
      <c r="K26" s="86">
        <v>45</v>
      </c>
      <c r="L26" s="86">
        <v>45</v>
      </c>
      <c r="M26" s="86">
        <v>45</v>
      </c>
      <c r="N26" s="86">
        <v>45</v>
      </c>
      <c r="O26" s="86">
        <v>45</v>
      </c>
      <c r="P26" s="86">
        <v>45</v>
      </c>
      <c r="Q26" s="86">
        <v>45</v>
      </c>
      <c r="R26" s="86">
        <v>45</v>
      </c>
      <c r="S26" s="86">
        <v>45</v>
      </c>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row>
    <row r="27" spans="2:206" x14ac:dyDescent="0.25">
      <c r="B27" s="55"/>
      <c r="C27" s="9" t="s">
        <v>332</v>
      </c>
      <c r="D27" s="76" t="s">
        <v>333</v>
      </c>
      <c r="E27" s="86">
        <v>5</v>
      </c>
      <c r="F27" s="86">
        <v>5</v>
      </c>
      <c r="G27" s="86">
        <v>5</v>
      </c>
      <c r="H27" s="86">
        <v>5</v>
      </c>
      <c r="I27" s="86">
        <v>5</v>
      </c>
      <c r="J27" s="86">
        <v>5</v>
      </c>
      <c r="K27" s="86">
        <v>5</v>
      </c>
      <c r="L27" s="86">
        <v>5</v>
      </c>
      <c r="M27" s="86">
        <v>5</v>
      </c>
      <c r="N27" s="86">
        <v>5</v>
      </c>
      <c r="O27" s="86">
        <v>5</v>
      </c>
      <c r="P27" s="86">
        <v>5</v>
      </c>
      <c r="Q27" s="86">
        <v>5</v>
      </c>
      <c r="R27" s="86">
        <v>5</v>
      </c>
      <c r="S27" s="86">
        <v>5</v>
      </c>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row>
    <row r="28" spans="2:206" x14ac:dyDescent="0.25">
      <c r="B28" s="55"/>
      <c r="C28" s="9" t="s">
        <v>161</v>
      </c>
      <c r="D28" s="76" t="s">
        <v>162</v>
      </c>
      <c r="E28" s="80">
        <v>90</v>
      </c>
      <c r="F28" s="80">
        <v>90</v>
      </c>
      <c r="G28" s="80">
        <v>90</v>
      </c>
      <c r="H28" s="80">
        <v>90</v>
      </c>
      <c r="I28" s="80">
        <v>90</v>
      </c>
      <c r="J28" s="80">
        <v>90</v>
      </c>
      <c r="K28" s="80">
        <v>90</v>
      </c>
      <c r="L28" s="80">
        <v>90</v>
      </c>
      <c r="M28" s="80">
        <v>90</v>
      </c>
      <c r="N28" s="80">
        <v>90</v>
      </c>
      <c r="O28" s="80">
        <v>90</v>
      </c>
      <c r="P28" s="80">
        <v>90</v>
      </c>
      <c r="Q28" s="80">
        <v>90</v>
      </c>
      <c r="R28" s="80">
        <v>90</v>
      </c>
      <c r="S28" s="80">
        <v>90</v>
      </c>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80"/>
      <c r="DQ28" s="80"/>
      <c r="DR28" s="80"/>
      <c r="DS28" s="80"/>
      <c r="DT28" s="80"/>
      <c r="DU28" s="80"/>
      <c r="DV28" s="80"/>
      <c r="DW28" s="80"/>
      <c r="DX28" s="80"/>
      <c r="DY28" s="80"/>
      <c r="DZ28" s="80"/>
      <c r="EA28" s="80"/>
      <c r="EB28" s="80"/>
      <c r="EC28" s="80"/>
      <c r="ED28" s="80"/>
      <c r="EE28" s="80"/>
      <c r="EF28" s="80"/>
      <c r="EG28" s="80"/>
      <c r="EH28" s="80"/>
      <c r="EI28" s="80"/>
      <c r="EJ28" s="80"/>
      <c r="EK28" s="80"/>
      <c r="EL28" s="80"/>
      <c r="EM28" s="80"/>
      <c r="EN28" s="80"/>
      <c r="EO28" s="80"/>
      <c r="EP28" s="80"/>
      <c r="EQ28" s="80"/>
      <c r="ER28" s="80"/>
      <c r="ES28" s="80"/>
      <c r="ET28" s="80"/>
      <c r="EU28" s="80"/>
      <c r="EV28" s="80"/>
      <c r="EW28" s="80"/>
      <c r="EX28" s="80"/>
      <c r="EY28" s="80"/>
      <c r="EZ28" s="80"/>
      <c r="FA28" s="80"/>
      <c r="FB28" s="80"/>
      <c r="FC28" s="80"/>
      <c r="FD28" s="80"/>
      <c r="FE28" s="80"/>
      <c r="FF28" s="80"/>
      <c r="FG28" s="80"/>
      <c r="FH28" s="80"/>
      <c r="FI28" s="80"/>
      <c r="FJ28" s="80"/>
      <c r="FK28" s="80"/>
      <c r="FL28" s="80"/>
      <c r="FM28" s="80"/>
      <c r="FN28" s="80"/>
      <c r="FO28" s="80"/>
      <c r="FP28" s="80"/>
      <c r="FQ28" s="80"/>
      <c r="FR28" s="80"/>
      <c r="FS28" s="80"/>
      <c r="FT28" s="80"/>
      <c r="FU28" s="80"/>
      <c r="FV28" s="80"/>
      <c r="FW28" s="80"/>
      <c r="FX28" s="80"/>
      <c r="FY28" s="80"/>
      <c r="FZ28" s="80"/>
      <c r="GA28" s="80"/>
      <c r="GB28" s="80"/>
      <c r="GC28" s="80"/>
      <c r="GD28" s="80"/>
      <c r="GE28" s="80"/>
      <c r="GF28" s="80"/>
      <c r="GG28" s="80"/>
      <c r="GH28" s="80"/>
      <c r="GI28" s="80"/>
      <c r="GJ28" s="80"/>
      <c r="GK28" s="80"/>
      <c r="GL28" s="80"/>
      <c r="GM28" s="80"/>
      <c r="GN28" s="80"/>
      <c r="GO28" s="80"/>
      <c r="GP28" s="80"/>
      <c r="GQ28" s="80"/>
      <c r="GR28" s="80"/>
      <c r="GS28" s="80"/>
      <c r="GT28" s="80"/>
      <c r="GU28" s="80"/>
      <c r="GV28" s="80"/>
      <c r="GW28" s="80"/>
      <c r="GX28" s="80"/>
    </row>
    <row r="29" spans="2:206" ht="14.25" x14ac:dyDescent="0.25">
      <c r="B29" s="55"/>
      <c r="C29" s="9" t="s">
        <v>163</v>
      </c>
      <c r="D29" s="139" t="s">
        <v>165</v>
      </c>
      <c r="E29" s="80">
        <v>45</v>
      </c>
      <c r="F29" s="80">
        <v>45</v>
      </c>
      <c r="G29" s="80">
        <v>45</v>
      </c>
      <c r="H29" s="80">
        <v>45</v>
      </c>
      <c r="I29" s="80">
        <v>45</v>
      </c>
      <c r="J29" s="80">
        <v>45</v>
      </c>
      <c r="K29" s="80">
        <v>45</v>
      </c>
      <c r="L29" s="80">
        <v>45</v>
      </c>
      <c r="M29" s="80">
        <v>45</v>
      </c>
      <c r="N29" s="80">
        <v>45</v>
      </c>
      <c r="O29" s="80">
        <v>45</v>
      </c>
      <c r="P29" s="80">
        <v>45</v>
      </c>
      <c r="Q29" s="80">
        <v>45</v>
      </c>
      <c r="R29" s="80">
        <v>45</v>
      </c>
      <c r="S29" s="80">
        <v>45</v>
      </c>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80"/>
      <c r="DQ29" s="80"/>
      <c r="DR29" s="80"/>
      <c r="DS29" s="80"/>
      <c r="DT29" s="80"/>
      <c r="DU29" s="80"/>
      <c r="DV29" s="80"/>
      <c r="DW29" s="80"/>
      <c r="DX29" s="80"/>
      <c r="DY29" s="80"/>
      <c r="DZ29" s="80"/>
      <c r="EA29" s="80"/>
      <c r="EB29" s="80"/>
      <c r="EC29" s="80"/>
      <c r="ED29" s="80"/>
      <c r="EE29" s="80"/>
      <c r="EF29" s="80"/>
      <c r="EG29" s="80"/>
      <c r="EH29" s="80"/>
      <c r="EI29" s="80"/>
      <c r="EJ29" s="80"/>
      <c r="EK29" s="80"/>
      <c r="EL29" s="80"/>
      <c r="EM29" s="80"/>
      <c r="EN29" s="80"/>
      <c r="EO29" s="80"/>
      <c r="EP29" s="80"/>
      <c r="EQ29" s="80"/>
      <c r="ER29" s="80"/>
      <c r="ES29" s="80"/>
      <c r="ET29" s="80"/>
      <c r="EU29" s="80"/>
      <c r="EV29" s="80"/>
      <c r="EW29" s="80"/>
      <c r="EX29" s="80"/>
      <c r="EY29" s="80"/>
      <c r="EZ29" s="80"/>
      <c r="FA29" s="80"/>
      <c r="FB29" s="80"/>
      <c r="FC29" s="80"/>
      <c r="FD29" s="80"/>
      <c r="FE29" s="80"/>
      <c r="FF29" s="80"/>
      <c r="FG29" s="80"/>
      <c r="FH29" s="80"/>
      <c r="FI29" s="80"/>
      <c r="FJ29" s="80"/>
      <c r="FK29" s="80"/>
      <c r="FL29" s="80"/>
      <c r="FM29" s="80"/>
      <c r="FN29" s="80"/>
      <c r="FO29" s="80"/>
      <c r="FP29" s="80"/>
      <c r="FQ29" s="80"/>
      <c r="FR29" s="80"/>
      <c r="FS29" s="80"/>
      <c r="FT29" s="80"/>
      <c r="FU29" s="80"/>
      <c r="FV29" s="80"/>
      <c r="FW29" s="80"/>
      <c r="FX29" s="80"/>
      <c r="FY29" s="80"/>
      <c r="FZ29" s="80"/>
      <c r="GA29" s="80"/>
      <c r="GB29" s="80"/>
      <c r="GC29" s="80"/>
      <c r="GD29" s="80"/>
      <c r="GE29" s="80"/>
      <c r="GF29" s="80"/>
      <c r="GG29" s="80"/>
      <c r="GH29" s="80"/>
      <c r="GI29" s="80"/>
      <c r="GJ29" s="80"/>
      <c r="GK29" s="80"/>
      <c r="GL29" s="80"/>
      <c r="GM29" s="80"/>
      <c r="GN29" s="80"/>
      <c r="GO29" s="80"/>
      <c r="GP29" s="80"/>
      <c r="GQ29" s="80"/>
      <c r="GR29" s="80"/>
      <c r="GS29" s="80"/>
      <c r="GT29" s="80"/>
      <c r="GU29" s="80"/>
      <c r="GV29" s="80"/>
      <c r="GW29" s="80"/>
      <c r="GX29" s="80"/>
    </row>
    <row r="30" spans="2:206" ht="14.25" x14ac:dyDescent="0.25">
      <c r="B30" s="55"/>
      <c r="C30" s="9" t="s">
        <v>296</v>
      </c>
      <c r="D30" s="76" t="s">
        <v>297</v>
      </c>
      <c r="E30" s="80">
        <v>12</v>
      </c>
      <c r="F30" s="80">
        <v>12</v>
      </c>
      <c r="G30" s="80">
        <v>12</v>
      </c>
      <c r="H30" s="80">
        <v>12</v>
      </c>
      <c r="I30" s="80">
        <v>12</v>
      </c>
      <c r="J30" s="80">
        <v>12</v>
      </c>
      <c r="K30" s="80">
        <v>12</v>
      </c>
      <c r="L30" s="80">
        <v>12</v>
      </c>
      <c r="M30" s="80">
        <v>12</v>
      </c>
      <c r="N30" s="80">
        <v>12</v>
      </c>
      <c r="O30" s="80">
        <v>12</v>
      </c>
      <c r="P30" s="80">
        <v>12</v>
      </c>
      <c r="Q30" s="80">
        <v>12</v>
      </c>
      <c r="R30" s="80">
        <v>12</v>
      </c>
      <c r="S30" s="80">
        <v>12</v>
      </c>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80"/>
      <c r="DQ30" s="80"/>
      <c r="DR30" s="80"/>
      <c r="DS30" s="80"/>
      <c r="DT30" s="80"/>
      <c r="DU30" s="80"/>
      <c r="DV30" s="80"/>
      <c r="DW30" s="80"/>
      <c r="DX30" s="80"/>
      <c r="DY30" s="80"/>
      <c r="DZ30" s="80"/>
      <c r="EA30" s="80"/>
      <c r="EB30" s="80"/>
      <c r="EC30" s="80"/>
      <c r="ED30" s="80"/>
      <c r="EE30" s="80"/>
      <c r="EF30" s="80"/>
      <c r="EG30" s="80"/>
      <c r="EH30" s="80"/>
      <c r="EI30" s="80"/>
      <c r="EJ30" s="80"/>
      <c r="EK30" s="80"/>
      <c r="EL30" s="80"/>
      <c r="EM30" s="80"/>
      <c r="EN30" s="80"/>
      <c r="EO30" s="80"/>
      <c r="EP30" s="80"/>
      <c r="EQ30" s="80"/>
      <c r="ER30" s="80"/>
      <c r="ES30" s="80"/>
      <c r="ET30" s="80"/>
      <c r="EU30" s="80"/>
      <c r="EV30" s="80"/>
      <c r="EW30" s="80"/>
      <c r="EX30" s="80"/>
      <c r="EY30" s="80"/>
      <c r="EZ30" s="80"/>
      <c r="FA30" s="80"/>
      <c r="FB30" s="80"/>
      <c r="FC30" s="80"/>
      <c r="FD30" s="80"/>
      <c r="FE30" s="80"/>
      <c r="FF30" s="80"/>
      <c r="FG30" s="80"/>
      <c r="FH30" s="80"/>
      <c r="FI30" s="80"/>
      <c r="FJ30" s="80"/>
      <c r="FK30" s="80"/>
      <c r="FL30" s="80"/>
      <c r="FM30" s="80"/>
      <c r="FN30" s="80"/>
      <c r="FO30" s="80"/>
      <c r="FP30" s="80"/>
      <c r="FQ30" s="80"/>
      <c r="FR30" s="80"/>
      <c r="FS30" s="80"/>
      <c r="FT30" s="80"/>
      <c r="FU30" s="80"/>
      <c r="FV30" s="80"/>
      <c r="FW30" s="80"/>
      <c r="FX30" s="80"/>
      <c r="FY30" s="80"/>
      <c r="FZ30" s="80"/>
      <c r="GA30" s="80"/>
      <c r="GB30" s="80"/>
      <c r="GC30" s="80"/>
      <c r="GD30" s="80"/>
      <c r="GE30" s="80"/>
      <c r="GF30" s="80"/>
      <c r="GG30" s="80"/>
      <c r="GH30" s="80"/>
      <c r="GI30" s="80"/>
      <c r="GJ30" s="80"/>
      <c r="GK30" s="80"/>
      <c r="GL30" s="80"/>
      <c r="GM30" s="80"/>
      <c r="GN30" s="80"/>
      <c r="GO30" s="80"/>
      <c r="GP30" s="80"/>
      <c r="GQ30" s="80"/>
      <c r="GR30" s="80"/>
      <c r="GS30" s="80"/>
      <c r="GT30" s="80"/>
      <c r="GU30" s="80"/>
      <c r="GV30" s="80"/>
      <c r="GW30" s="80"/>
      <c r="GX30" s="80"/>
    </row>
    <row r="31" spans="2:206" ht="14.25" x14ac:dyDescent="0.25">
      <c r="B31" s="55"/>
      <c r="C31" s="9" t="s">
        <v>171</v>
      </c>
      <c r="D31" s="76" t="s">
        <v>433</v>
      </c>
      <c r="E31" s="80">
        <f>12*E9+E36</f>
        <v>33</v>
      </c>
      <c r="F31" s="80">
        <f t="shared" ref="F31:H31" si="46">12*F9+F36</f>
        <v>33</v>
      </c>
      <c r="G31" s="80">
        <f t="shared" si="46"/>
        <v>33</v>
      </c>
      <c r="H31" s="80">
        <f t="shared" si="46"/>
        <v>33</v>
      </c>
      <c r="I31" s="80">
        <f t="shared" ref="I31" si="47">12*I9+I36</f>
        <v>33</v>
      </c>
      <c r="J31" s="80">
        <f t="shared" ref="J31:L31" si="48">12*J9+J36</f>
        <v>33</v>
      </c>
      <c r="K31" s="80">
        <f t="shared" si="48"/>
        <v>33</v>
      </c>
      <c r="L31" s="80">
        <f t="shared" si="48"/>
        <v>33</v>
      </c>
      <c r="M31" s="80">
        <f>12*M9+M36</f>
        <v>33</v>
      </c>
      <c r="N31" s="80">
        <f>12*N9+N36</f>
        <v>33</v>
      </c>
      <c r="O31" s="80">
        <f>12*O9+O36</f>
        <v>33</v>
      </c>
      <c r="P31" s="80">
        <f>12*P9+P36</f>
        <v>33</v>
      </c>
      <c r="Q31" s="80">
        <f>12*Q9+Q36</f>
        <v>33</v>
      </c>
      <c r="R31" s="80">
        <f t="shared" ref="R31:S31" si="49">12*R9+R36</f>
        <v>33</v>
      </c>
      <c r="S31" s="80">
        <f t="shared" si="49"/>
        <v>33</v>
      </c>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80"/>
      <c r="DQ31" s="80"/>
      <c r="DR31" s="80"/>
      <c r="DS31" s="80"/>
      <c r="DT31" s="80"/>
      <c r="DU31" s="80"/>
      <c r="DV31" s="80"/>
      <c r="DW31" s="80"/>
      <c r="DX31" s="80"/>
      <c r="DY31" s="80"/>
      <c r="DZ31" s="80"/>
      <c r="EA31" s="80"/>
      <c r="EB31" s="80"/>
      <c r="EC31" s="80"/>
      <c r="ED31" s="80"/>
      <c r="EE31" s="80"/>
      <c r="EF31" s="80"/>
      <c r="EG31" s="80"/>
      <c r="EH31" s="80"/>
      <c r="EI31" s="80"/>
      <c r="EJ31" s="80"/>
      <c r="EK31" s="80"/>
      <c r="EL31" s="80"/>
      <c r="EM31" s="80"/>
      <c r="EN31" s="80"/>
      <c r="EO31" s="80"/>
      <c r="EP31" s="80"/>
      <c r="EQ31" s="80"/>
      <c r="ER31" s="80"/>
      <c r="ES31" s="80"/>
      <c r="ET31" s="80"/>
      <c r="EU31" s="80"/>
      <c r="EV31" s="80"/>
      <c r="EW31" s="80"/>
      <c r="EX31" s="80"/>
      <c r="EY31" s="80"/>
      <c r="EZ31" s="80"/>
      <c r="FA31" s="80"/>
      <c r="FB31" s="80"/>
      <c r="FC31" s="80"/>
      <c r="FD31" s="80"/>
      <c r="FE31" s="80"/>
      <c r="FF31" s="80"/>
      <c r="FG31" s="80"/>
      <c r="FH31" s="80"/>
      <c r="FI31" s="80"/>
      <c r="FJ31" s="80"/>
      <c r="FK31" s="80"/>
      <c r="FL31" s="80"/>
      <c r="FM31" s="80"/>
      <c r="FN31" s="80"/>
      <c r="FO31" s="80"/>
      <c r="FP31" s="80"/>
      <c r="FQ31" s="80"/>
      <c r="FR31" s="80"/>
      <c r="FS31" s="80"/>
      <c r="FT31" s="80"/>
      <c r="FU31" s="80"/>
      <c r="FV31" s="80"/>
      <c r="FW31" s="80"/>
      <c r="FX31" s="80"/>
      <c r="FY31" s="80"/>
      <c r="FZ31" s="80"/>
      <c r="GA31" s="80"/>
      <c r="GB31" s="80"/>
      <c r="GC31" s="80"/>
      <c r="GD31" s="80"/>
      <c r="GE31" s="80"/>
      <c r="GF31" s="80"/>
      <c r="GG31" s="80"/>
      <c r="GH31" s="80"/>
      <c r="GI31" s="80"/>
      <c r="GJ31" s="80"/>
      <c r="GK31" s="80"/>
      <c r="GL31" s="80"/>
      <c r="GM31" s="80"/>
      <c r="GN31" s="80"/>
      <c r="GO31" s="80"/>
      <c r="GP31" s="80"/>
      <c r="GQ31" s="80"/>
      <c r="GR31" s="80"/>
      <c r="GS31" s="80"/>
      <c r="GT31" s="80"/>
      <c r="GU31" s="80"/>
      <c r="GV31" s="80"/>
      <c r="GW31" s="80"/>
      <c r="GX31" s="80"/>
    </row>
    <row r="32" spans="2:206" x14ac:dyDescent="0.25">
      <c r="B32" s="55"/>
      <c r="C32" s="9" t="s">
        <v>343</v>
      </c>
      <c r="D32" s="76" t="s">
        <v>434</v>
      </c>
      <c r="E32" s="80">
        <f>12*E9+E36</f>
        <v>33</v>
      </c>
      <c r="F32" s="80">
        <f t="shared" ref="F32:H32" si="50">12*F9+F36</f>
        <v>33</v>
      </c>
      <c r="G32" s="80">
        <f t="shared" si="50"/>
        <v>33</v>
      </c>
      <c r="H32" s="80">
        <f t="shared" si="50"/>
        <v>33</v>
      </c>
      <c r="I32" s="80">
        <f t="shared" ref="I32" si="51">12*I9+I36</f>
        <v>33</v>
      </c>
      <c r="J32" s="80">
        <f t="shared" ref="J32:L32" si="52">12*J9+J36</f>
        <v>33</v>
      </c>
      <c r="K32" s="80">
        <f t="shared" si="52"/>
        <v>33</v>
      </c>
      <c r="L32" s="80">
        <f t="shared" si="52"/>
        <v>33</v>
      </c>
      <c r="M32" s="80">
        <f>12*M9+M36</f>
        <v>33</v>
      </c>
      <c r="N32" s="80">
        <f>12*N9+N36</f>
        <v>33</v>
      </c>
      <c r="O32" s="80">
        <f>12*O9+O36</f>
        <v>33</v>
      </c>
      <c r="P32" s="80">
        <f>12*P9+P36</f>
        <v>33</v>
      </c>
      <c r="Q32" s="80">
        <f>12*Q9+Q36</f>
        <v>33</v>
      </c>
      <c r="R32" s="80">
        <f t="shared" ref="R32:S32" si="53">12*R9+R36</f>
        <v>33</v>
      </c>
      <c r="S32" s="80">
        <f t="shared" si="53"/>
        <v>33</v>
      </c>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c r="FP32" s="80"/>
      <c r="FQ32" s="80"/>
      <c r="FR32" s="80"/>
      <c r="FS32" s="80"/>
      <c r="FT32" s="80"/>
      <c r="FU32" s="80"/>
      <c r="FV32" s="80"/>
      <c r="FW32" s="80"/>
      <c r="FX32" s="80"/>
      <c r="FY32" s="80"/>
      <c r="FZ32" s="80"/>
      <c r="GA32" s="80"/>
      <c r="GB32" s="80"/>
      <c r="GC32" s="80"/>
      <c r="GD32" s="80"/>
      <c r="GE32" s="80"/>
      <c r="GF32" s="80"/>
      <c r="GG32" s="80"/>
      <c r="GH32" s="80"/>
      <c r="GI32" s="80"/>
      <c r="GJ32" s="80"/>
      <c r="GK32" s="80"/>
      <c r="GL32" s="80"/>
      <c r="GM32" s="80"/>
      <c r="GN32" s="80"/>
      <c r="GO32" s="80"/>
      <c r="GP32" s="80"/>
      <c r="GQ32" s="80"/>
      <c r="GR32" s="80"/>
      <c r="GS32" s="80"/>
      <c r="GT32" s="80"/>
      <c r="GU32" s="80"/>
      <c r="GV32" s="80"/>
      <c r="GW32" s="80"/>
      <c r="GX32" s="80"/>
    </row>
    <row r="33" spans="1:206" ht="14.25" x14ac:dyDescent="0.25">
      <c r="B33" s="55"/>
      <c r="C33" s="9" t="s">
        <v>28</v>
      </c>
      <c r="D33" s="76" t="s">
        <v>15</v>
      </c>
      <c r="E33" s="86">
        <v>0</v>
      </c>
      <c r="F33" s="86">
        <v>0</v>
      </c>
      <c r="G33" s="86">
        <v>0</v>
      </c>
      <c r="H33" s="86">
        <v>0</v>
      </c>
      <c r="I33" s="86">
        <v>0</v>
      </c>
      <c r="J33" s="86">
        <v>0</v>
      </c>
      <c r="K33" s="86">
        <v>0</v>
      </c>
      <c r="L33" s="86">
        <v>0</v>
      </c>
      <c r="M33" s="86">
        <v>0</v>
      </c>
      <c r="N33" s="86">
        <v>0</v>
      </c>
      <c r="O33" s="86">
        <v>0</v>
      </c>
      <c r="P33" s="86">
        <v>0</v>
      </c>
      <c r="Q33" s="86">
        <v>0</v>
      </c>
      <c r="R33" s="86">
        <v>0</v>
      </c>
      <c r="S33" s="86">
        <v>0</v>
      </c>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row>
    <row r="34" spans="1:206" ht="14.25" x14ac:dyDescent="0.25">
      <c r="B34" s="55"/>
      <c r="C34" s="9" t="s">
        <v>30</v>
      </c>
      <c r="D34" s="76" t="s">
        <v>16</v>
      </c>
      <c r="E34" s="86">
        <v>12</v>
      </c>
      <c r="F34" s="86">
        <v>12</v>
      </c>
      <c r="G34" s="86">
        <v>12</v>
      </c>
      <c r="H34" s="86">
        <v>12</v>
      </c>
      <c r="I34" s="86">
        <v>12</v>
      </c>
      <c r="J34" s="86">
        <v>12</v>
      </c>
      <c r="K34" s="86">
        <v>12</v>
      </c>
      <c r="L34" s="86">
        <v>12</v>
      </c>
      <c r="M34" s="86">
        <v>12</v>
      </c>
      <c r="N34" s="86">
        <v>12</v>
      </c>
      <c r="O34" s="86">
        <v>12</v>
      </c>
      <c r="P34" s="86">
        <v>12</v>
      </c>
      <c r="Q34" s="86">
        <v>12</v>
      </c>
      <c r="R34" s="86">
        <v>12</v>
      </c>
      <c r="S34" s="86">
        <v>12</v>
      </c>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row>
    <row r="35" spans="1:206" ht="14.25" x14ac:dyDescent="0.25">
      <c r="B35" s="55"/>
      <c r="C35" s="9" t="s">
        <v>27</v>
      </c>
      <c r="D35" s="76" t="s">
        <v>14</v>
      </c>
      <c r="E35" s="40">
        <v>0.9</v>
      </c>
      <c r="F35" s="40">
        <v>0.9</v>
      </c>
      <c r="G35" s="40">
        <v>0.9</v>
      </c>
      <c r="H35" s="40">
        <v>0.9</v>
      </c>
      <c r="I35" s="40">
        <v>0.9</v>
      </c>
      <c r="J35" s="40">
        <v>0.9</v>
      </c>
      <c r="K35" s="40">
        <v>0.9</v>
      </c>
      <c r="L35" s="40">
        <v>0.9</v>
      </c>
      <c r="M35" s="40">
        <v>0.9</v>
      </c>
      <c r="N35" s="40">
        <v>0.9</v>
      </c>
      <c r="O35" s="40">
        <v>0.9</v>
      </c>
      <c r="P35" s="40">
        <v>0.9</v>
      </c>
      <c r="Q35" s="40">
        <v>0.9</v>
      </c>
      <c r="R35" s="40">
        <v>0.9</v>
      </c>
      <c r="S35" s="40">
        <v>0.9</v>
      </c>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0"/>
      <c r="CR35" s="40"/>
      <c r="CS35" s="40"/>
      <c r="CT35" s="40"/>
      <c r="CU35" s="40"/>
      <c r="CV35" s="40"/>
      <c r="CW35" s="40"/>
      <c r="CX35" s="40"/>
      <c r="CY35" s="40"/>
      <c r="CZ35" s="40"/>
      <c r="DA35" s="40"/>
      <c r="DB35" s="40"/>
      <c r="DC35" s="40"/>
      <c r="DD35" s="40"/>
      <c r="DE35" s="40"/>
      <c r="DF35" s="40"/>
      <c r="DG35" s="40"/>
      <c r="DH35" s="40"/>
      <c r="DI35" s="40"/>
      <c r="DJ35" s="40"/>
      <c r="DK35" s="40"/>
      <c r="DL35" s="40"/>
      <c r="DM35" s="40"/>
      <c r="DN35" s="40"/>
      <c r="DO35" s="40"/>
      <c r="DP35" s="40"/>
      <c r="DQ35" s="40"/>
      <c r="DR35" s="40"/>
      <c r="DS35" s="40"/>
      <c r="DT35" s="40"/>
      <c r="DU35" s="40"/>
      <c r="DV35" s="40"/>
      <c r="DW35" s="40"/>
      <c r="DX35" s="40"/>
      <c r="DY35" s="40"/>
      <c r="DZ35" s="40"/>
      <c r="EA35" s="40"/>
      <c r="EB35" s="40"/>
      <c r="EC35" s="40"/>
      <c r="ED35" s="40"/>
      <c r="EE35" s="40"/>
      <c r="EF35" s="40"/>
      <c r="EG35" s="40"/>
      <c r="EH35" s="40"/>
      <c r="EI35" s="40"/>
      <c r="EJ35" s="40"/>
      <c r="EK35" s="40"/>
      <c r="EL35" s="40"/>
      <c r="EM35" s="40"/>
      <c r="EN35" s="40"/>
      <c r="EO35" s="40"/>
      <c r="EP35" s="40"/>
      <c r="EQ35" s="40"/>
      <c r="ER35" s="40"/>
      <c r="ES35" s="40"/>
      <c r="ET35" s="40"/>
      <c r="EU35" s="40"/>
      <c r="EV35" s="40"/>
      <c r="EW35" s="40"/>
      <c r="EX35" s="40"/>
      <c r="EY35" s="40"/>
      <c r="EZ35" s="40"/>
      <c r="FA35" s="40"/>
      <c r="FB35" s="40"/>
      <c r="FC35" s="40"/>
      <c r="FD35" s="40"/>
      <c r="FE35" s="40"/>
      <c r="FF35" s="40"/>
      <c r="FG35" s="40"/>
      <c r="FH35" s="40"/>
      <c r="FI35" s="40"/>
      <c r="FJ35" s="40"/>
      <c r="FK35" s="40"/>
      <c r="FL35" s="40"/>
      <c r="FM35" s="40"/>
      <c r="FN35" s="40"/>
      <c r="FO35" s="40"/>
      <c r="FP35" s="40"/>
      <c r="FQ35" s="40"/>
      <c r="FR35" s="40"/>
      <c r="FS35" s="40"/>
      <c r="FT35" s="40"/>
      <c r="FU35" s="40"/>
      <c r="FV35" s="40"/>
      <c r="FW35" s="40"/>
      <c r="FX35" s="40"/>
      <c r="FY35" s="40"/>
      <c r="FZ35" s="40"/>
      <c r="GA35" s="40"/>
      <c r="GB35" s="40"/>
      <c r="GC35" s="40"/>
      <c r="GD35" s="40"/>
      <c r="GE35" s="40"/>
      <c r="GF35" s="40"/>
      <c r="GG35" s="40"/>
      <c r="GH35" s="40"/>
      <c r="GI35" s="40"/>
      <c r="GJ35" s="40"/>
      <c r="GK35" s="40"/>
      <c r="GL35" s="40"/>
      <c r="GM35" s="40"/>
      <c r="GN35" s="40"/>
      <c r="GO35" s="40"/>
      <c r="GP35" s="40"/>
      <c r="GQ35" s="40"/>
      <c r="GR35" s="40"/>
      <c r="GS35" s="40"/>
      <c r="GT35" s="40"/>
      <c r="GU35" s="40"/>
      <c r="GV35" s="40"/>
      <c r="GW35" s="40"/>
      <c r="GX35" s="40"/>
    </row>
    <row r="36" spans="1:206" ht="14.25" x14ac:dyDescent="0.25">
      <c r="B36" s="55"/>
      <c r="C36" s="9" t="s">
        <v>121</v>
      </c>
      <c r="D36" s="76" t="s">
        <v>23</v>
      </c>
      <c r="E36" s="86">
        <v>9</v>
      </c>
      <c r="F36" s="86">
        <v>9</v>
      </c>
      <c r="G36" s="86">
        <v>9</v>
      </c>
      <c r="H36" s="86">
        <v>9</v>
      </c>
      <c r="I36" s="86">
        <v>9</v>
      </c>
      <c r="J36" s="86">
        <v>9</v>
      </c>
      <c r="K36" s="86">
        <v>9</v>
      </c>
      <c r="L36" s="86">
        <v>9</v>
      </c>
      <c r="M36" s="86">
        <v>9</v>
      </c>
      <c r="N36" s="86">
        <v>9</v>
      </c>
      <c r="O36" s="86">
        <v>9</v>
      </c>
      <c r="P36" s="86">
        <v>9</v>
      </c>
      <c r="Q36" s="86">
        <v>9</v>
      </c>
      <c r="R36" s="86">
        <v>9</v>
      </c>
      <c r="S36" s="86">
        <v>9</v>
      </c>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row>
    <row r="37" spans="1:206" ht="14.25" x14ac:dyDescent="0.25">
      <c r="B37" s="55"/>
      <c r="C37" s="9" t="s">
        <v>29</v>
      </c>
      <c r="D37" s="76" t="s">
        <v>22</v>
      </c>
      <c r="E37" s="86">
        <v>0</v>
      </c>
      <c r="F37" s="86">
        <v>0</v>
      </c>
      <c r="G37" s="86">
        <v>0</v>
      </c>
      <c r="H37" s="86">
        <v>0</v>
      </c>
      <c r="I37" s="86">
        <v>0</v>
      </c>
      <c r="J37" s="86">
        <v>0</v>
      </c>
      <c r="K37" s="86">
        <v>0</v>
      </c>
      <c r="L37" s="86">
        <v>0</v>
      </c>
      <c r="M37" s="86">
        <v>0</v>
      </c>
      <c r="N37" s="86">
        <v>0</v>
      </c>
      <c r="O37" s="86">
        <v>0</v>
      </c>
      <c r="P37" s="86">
        <v>0</v>
      </c>
      <c r="Q37" s="86">
        <v>0</v>
      </c>
      <c r="R37" s="86">
        <v>0</v>
      </c>
      <c r="S37" s="86">
        <v>0</v>
      </c>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c r="DA37" s="86"/>
      <c r="DB37" s="86"/>
      <c r="DC37" s="86"/>
      <c r="DD37" s="86"/>
      <c r="DE37" s="86"/>
      <c r="DF37" s="86"/>
      <c r="DG37" s="86"/>
      <c r="DH37" s="86"/>
      <c r="DI37" s="86"/>
      <c r="DJ37" s="86"/>
      <c r="DK37" s="86"/>
      <c r="DL37" s="86"/>
      <c r="DM37" s="86"/>
      <c r="DN37" s="86"/>
      <c r="DO37" s="86"/>
      <c r="DP37" s="86"/>
      <c r="DQ37" s="86"/>
      <c r="DR37" s="86"/>
      <c r="DS37" s="86"/>
      <c r="DT37" s="86"/>
      <c r="DU37" s="86"/>
      <c r="DV37" s="86"/>
      <c r="DW37" s="86"/>
      <c r="DX37" s="86"/>
      <c r="DY37" s="86"/>
      <c r="DZ37" s="86"/>
      <c r="EA37" s="86"/>
      <c r="EB37" s="86"/>
      <c r="EC37" s="86"/>
      <c r="ED37" s="86"/>
      <c r="EE37" s="86"/>
      <c r="EF37" s="86"/>
      <c r="EG37" s="86"/>
      <c r="EH37" s="86"/>
      <c r="EI37" s="86"/>
      <c r="EJ37" s="86"/>
      <c r="EK37" s="86"/>
      <c r="EL37" s="86"/>
      <c r="EM37" s="86"/>
      <c r="EN37" s="86"/>
      <c r="EO37" s="86"/>
      <c r="EP37" s="86"/>
      <c r="EQ37" s="86"/>
      <c r="ER37" s="86"/>
      <c r="ES37" s="86"/>
      <c r="ET37" s="86"/>
      <c r="EU37" s="86"/>
      <c r="EV37" s="86"/>
      <c r="EW37" s="86"/>
      <c r="EX37" s="86"/>
      <c r="EY37" s="86"/>
      <c r="EZ37" s="86"/>
      <c r="FA37" s="86"/>
      <c r="FB37" s="86"/>
      <c r="FC37" s="86"/>
      <c r="FD37" s="86"/>
      <c r="FE37" s="86"/>
      <c r="FF37" s="86"/>
      <c r="FG37" s="86"/>
      <c r="FH37" s="86"/>
      <c r="FI37" s="86"/>
      <c r="FJ37" s="86"/>
      <c r="FK37" s="86"/>
      <c r="FL37" s="86"/>
      <c r="FM37" s="86"/>
      <c r="FN37" s="86"/>
      <c r="FO37" s="86"/>
      <c r="FP37" s="86"/>
      <c r="FQ37" s="86"/>
      <c r="FR37" s="86"/>
      <c r="FS37" s="86"/>
      <c r="FT37" s="86"/>
      <c r="FU37" s="86"/>
      <c r="FV37" s="86"/>
      <c r="FW37" s="86"/>
      <c r="FX37" s="86"/>
      <c r="FY37" s="86"/>
      <c r="FZ37" s="86"/>
      <c r="GA37" s="86"/>
      <c r="GB37" s="86"/>
      <c r="GC37" s="86"/>
      <c r="GD37" s="86"/>
      <c r="GE37" s="86"/>
      <c r="GF37" s="86"/>
      <c r="GG37" s="86"/>
      <c r="GH37" s="86"/>
      <c r="GI37" s="86"/>
      <c r="GJ37" s="86"/>
      <c r="GK37" s="86"/>
      <c r="GL37" s="86"/>
      <c r="GM37" s="86"/>
      <c r="GN37" s="86"/>
      <c r="GO37" s="86"/>
      <c r="GP37" s="86"/>
      <c r="GQ37" s="86"/>
      <c r="GR37" s="86"/>
      <c r="GS37" s="86"/>
      <c r="GT37" s="86"/>
      <c r="GU37" s="86"/>
      <c r="GV37" s="86"/>
      <c r="GW37" s="86"/>
      <c r="GX37" s="86"/>
    </row>
    <row r="38" spans="1:206" ht="14.25" x14ac:dyDescent="0.25">
      <c r="B38" s="55"/>
      <c r="C38" s="9" t="s">
        <v>330</v>
      </c>
      <c r="D38" s="76" t="s">
        <v>327</v>
      </c>
      <c r="E38" s="91">
        <v>1</v>
      </c>
      <c r="F38" s="91">
        <v>1</v>
      </c>
      <c r="G38" s="91">
        <v>1</v>
      </c>
      <c r="H38" s="91">
        <v>1</v>
      </c>
      <c r="I38" s="91">
        <v>1</v>
      </c>
      <c r="J38" s="91">
        <v>1</v>
      </c>
      <c r="K38" s="91">
        <v>1</v>
      </c>
      <c r="L38" s="91">
        <v>1</v>
      </c>
      <c r="M38" s="91">
        <v>1</v>
      </c>
      <c r="N38" s="91">
        <v>1</v>
      </c>
      <c r="O38" s="91">
        <v>1</v>
      </c>
      <c r="P38" s="91">
        <v>1</v>
      </c>
      <c r="Q38" s="91">
        <v>1</v>
      </c>
      <c r="R38" s="91">
        <v>1</v>
      </c>
      <c r="S38" s="91">
        <v>1</v>
      </c>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1"/>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c r="GO38" s="91"/>
      <c r="GP38" s="91"/>
      <c r="GQ38" s="91"/>
      <c r="GR38" s="91"/>
      <c r="GS38" s="91"/>
      <c r="GT38" s="91"/>
      <c r="GU38" s="91"/>
      <c r="GV38" s="91"/>
      <c r="GW38" s="91"/>
      <c r="GX38" s="91"/>
    </row>
    <row r="39" spans="1:206" ht="14.25" x14ac:dyDescent="0.25">
      <c r="B39" s="55"/>
      <c r="C39" s="9" t="s">
        <v>329</v>
      </c>
      <c r="D39" s="76" t="s">
        <v>328</v>
      </c>
      <c r="E39" s="91">
        <v>0.1</v>
      </c>
      <c r="F39" s="91">
        <v>0.1</v>
      </c>
      <c r="G39" s="91">
        <v>0.1</v>
      </c>
      <c r="H39" s="91">
        <v>0.1</v>
      </c>
      <c r="I39" s="91">
        <v>0.1</v>
      </c>
      <c r="J39" s="91">
        <v>0.1</v>
      </c>
      <c r="K39" s="91">
        <v>0.1</v>
      </c>
      <c r="L39" s="91">
        <v>0.1</v>
      </c>
      <c r="M39" s="91">
        <v>0.1</v>
      </c>
      <c r="N39" s="91">
        <v>0.1</v>
      </c>
      <c r="O39" s="91">
        <v>0.1</v>
      </c>
      <c r="P39" s="91">
        <v>0.1</v>
      </c>
      <c r="Q39" s="91">
        <v>0.1</v>
      </c>
      <c r="R39" s="91">
        <v>0.1</v>
      </c>
      <c r="S39" s="91">
        <v>0.1</v>
      </c>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1"/>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c r="GO39" s="91"/>
      <c r="GP39" s="91"/>
      <c r="GQ39" s="91"/>
      <c r="GR39" s="91"/>
      <c r="GS39" s="91"/>
      <c r="GT39" s="91"/>
      <c r="GU39" s="91"/>
      <c r="GV39" s="91"/>
      <c r="GW39" s="91"/>
      <c r="GX39" s="91"/>
    </row>
    <row r="40" spans="1:206" ht="14.25" x14ac:dyDescent="0.25">
      <c r="B40" s="55"/>
      <c r="C40" s="9" t="s">
        <v>323</v>
      </c>
      <c r="D40" s="76" t="s">
        <v>324</v>
      </c>
      <c r="E40" s="91">
        <v>10</v>
      </c>
      <c r="F40" s="91">
        <v>10</v>
      </c>
      <c r="G40" s="91">
        <v>10</v>
      </c>
      <c r="H40" s="91">
        <v>10</v>
      </c>
      <c r="I40" s="91">
        <v>10</v>
      </c>
      <c r="J40" s="91">
        <v>10</v>
      </c>
      <c r="K40" s="91">
        <v>10</v>
      </c>
      <c r="L40" s="91">
        <v>10</v>
      </c>
      <c r="M40" s="91">
        <v>10</v>
      </c>
      <c r="N40" s="91">
        <v>10</v>
      </c>
      <c r="O40" s="91">
        <v>10</v>
      </c>
      <c r="P40" s="91">
        <v>10</v>
      </c>
      <c r="Q40" s="91">
        <v>10</v>
      </c>
      <c r="R40" s="91">
        <v>10</v>
      </c>
      <c r="S40" s="91">
        <v>10</v>
      </c>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1"/>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c r="GO40" s="91"/>
      <c r="GP40" s="91"/>
      <c r="GQ40" s="91"/>
      <c r="GR40" s="91"/>
      <c r="GS40" s="91"/>
      <c r="GT40" s="91"/>
      <c r="GU40" s="91"/>
      <c r="GV40" s="91"/>
      <c r="GW40" s="91"/>
      <c r="GX40" s="91"/>
    </row>
    <row r="41" spans="1:206" ht="14.25" x14ac:dyDescent="0.25">
      <c r="B41" s="55"/>
      <c r="C41" s="9" t="s">
        <v>325</v>
      </c>
      <c r="D41" s="76" t="s">
        <v>326</v>
      </c>
      <c r="E41" s="91">
        <v>3</v>
      </c>
      <c r="F41" s="91">
        <v>3</v>
      </c>
      <c r="G41" s="91">
        <v>3</v>
      </c>
      <c r="H41" s="91">
        <v>3</v>
      </c>
      <c r="I41" s="91">
        <v>3</v>
      </c>
      <c r="J41" s="91">
        <v>3</v>
      </c>
      <c r="K41" s="91">
        <v>3</v>
      </c>
      <c r="L41" s="91">
        <v>3</v>
      </c>
      <c r="M41" s="91">
        <v>3</v>
      </c>
      <c r="N41" s="91">
        <v>3</v>
      </c>
      <c r="O41" s="91">
        <v>3</v>
      </c>
      <c r="P41" s="91">
        <v>3</v>
      </c>
      <c r="Q41" s="91">
        <v>3</v>
      </c>
      <c r="R41" s="91">
        <v>3</v>
      </c>
      <c r="S41" s="91">
        <v>3</v>
      </c>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c r="GO41" s="91"/>
      <c r="GP41" s="91"/>
      <c r="GQ41" s="91"/>
      <c r="GR41" s="91"/>
      <c r="GS41" s="91"/>
      <c r="GT41" s="91"/>
      <c r="GU41" s="91"/>
      <c r="GV41" s="91"/>
      <c r="GW41" s="91"/>
      <c r="GX41" s="91"/>
    </row>
    <row r="42" spans="1:206" s="240" customFormat="1" x14ac:dyDescent="0.25">
      <c r="A42" s="235"/>
      <c r="B42" s="236"/>
      <c r="C42" s="9"/>
      <c r="D42" s="76" t="s">
        <v>273</v>
      </c>
      <c r="E42" s="237" t="s">
        <v>275</v>
      </c>
      <c r="F42" s="237" t="str">
        <f t="shared" ref="F42:H42" si="54">F4</f>
        <v>Free</v>
      </c>
      <c r="G42" s="237" t="str">
        <f t="shared" si="54"/>
        <v>Free</v>
      </c>
      <c r="H42" s="237" t="str">
        <f t="shared" si="54"/>
        <v>Free</v>
      </c>
      <c r="I42" s="237" t="str">
        <f t="shared" ref="I42" si="55">I4</f>
        <v>Free</v>
      </c>
      <c r="J42" s="237" t="str">
        <f t="shared" ref="J42:L42" si="56">J4</f>
        <v>Free</v>
      </c>
      <c r="K42" s="237" t="str">
        <f t="shared" si="56"/>
        <v>Free</v>
      </c>
      <c r="L42" s="237" t="str">
        <f t="shared" si="56"/>
        <v>Free</v>
      </c>
      <c r="M42" s="237" t="str">
        <f t="shared" ref="M42:N42" si="57">M4</f>
        <v>Free</v>
      </c>
      <c r="N42" s="237" t="str">
        <f t="shared" si="57"/>
        <v>Free</v>
      </c>
      <c r="O42" s="237" t="str">
        <f t="shared" ref="O42" si="58">O4</f>
        <v>Free</v>
      </c>
      <c r="P42" s="237" t="str">
        <f t="shared" ref="P42" si="59">P4</f>
        <v>Free</v>
      </c>
      <c r="Q42" s="237" t="str">
        <f t="shared" ref="Q42:S42" si="60">Q4</f>
        <v>Free</v>
      </c>
      <c r="R42" s="237" t="str">
        <f t="shared" si="60"/>
        <v>Free</v>
      </c>
      <c r="S42" s="237" t="str">
        <f t="shared" si="60"/>
        <v>Free</v>
      </c>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7"/>
      <c r="CM42" s="237"/>
      <c r="CN42" s="237"/>
      <c r="CO42" s="237"/>
      <c r="CP42" s="237"/>
      <c r="CQ42" s="237"/>
      <c r="CR42" s="237"/>
      <c r="CS42" s="237"/>
      <c r="CT42" s="237"/>
      <c r="CU42" s="237"/>
      <c r="CV42" s="237"/>
      <c r="CW42" s="237"/>
      <c r="CX42" s="237"/>
      <c r="CY42" s="237"/>
      <c r="CZ42" s="237"/>
      <c r="DA42" s="237"/>
      <c r="DB42" s="237"/>
      <c r="DC42" s="237"/>
      <c r="DD42" s="237"/>
      <c r="DE42" s="237"/>
      <c r="DF42" s="237"/>
      <c r="DG42" s="237"/>
      <c r="DH42" s="237"/>
      <c r="DI42" s="237"/>
      <c r="DJ42" s="237"/>
      <c r="DK42" s="237"/>
      <c r="DL42" s="237"/>
      <c r="DM42" s="237"/>
      <c r="DN42" s="237"/>
      <c r="DO42" s="237"/>
      <c r="DP42" s="237"/>
      <c r="DQ42" s="237"/>
      <c r="DR42" s="237"/>
      <c r="DS42" s="237"/>
      <c r="DT42" s="237"/>
      <c r="DU42" s="237"/>
      <c r="DV42" s="237"/>
      <c r="DW42" s="237"/>
      <c r="DX42" s="237"/>
      <c r="DY42" s="237"/>
      <c r="DZ42" s="237"/>
      <c r="EA42" s="237"/>
      <c r="EB42" s="237"/>
      <c r="EC42" s="237"/>
      <c r="ED42" s="237"/>
      <c r="EE42" s="237"/>
      <c r="EF42" s="237"/>
      <c r="EG42" s="237"/>
      <c r="EH42" s="237"/>
      <c r="EI42" s="237"/>
      <c r="EJ42" s="237"/>
      <c r="EK42" s="237"/>
      <c r="EL42" s="237"/>
      <c r="EM42" s="237"/>
      <c r="EN42" s="237"/>
      <c r="EO42" s="237"/>
      <c r="EP42" s="237"/>
      <c r="EQ42" s="237"/>
      <c r="ER42" s="237"/>
      <c r="ES42" s="237"/>
      <c r="ET42" s="237"/>
      <c r="EU42" s="237"/>
      <c r="EV42" s="237"/>
      <c r="EW42" s="237"/>
      <c r="EX42" s="237"/>
      <c r="EY42" s="237"/>
      <c r="EZ42" s="237"/>
      <c r="FA42" s="237"/>
      <c r="FB42" s="237"/>
      <c r="FC42" s="237"/>
      <c r="FD42" s="237"/>
      <c r="FE42" s="237"/>
      <c r="FF42" s="237"/>
      <c r="FG42" s="237"/>
      <c r="FH42" s="237"/>
      <c r="FI42" s="237"/>
      <c r="FJ42" s="237"/>
      <c r="FK42" s="237"/>
      <c r="FL42" s="237"/>
      <c r="FM42" s="237"/>
      <c r="FN42" s="237"/>
      <c r="FO42" s="237"/>
      <c r="FP42" s="237"/>
      <c r="FQ42" s="237"/>
      <c r="FR42" s="237"/>
      <c r="FS42" s="237"/>
      <c r="FT42" s="237"/>
      <c r="FU42" s="237"/>
      <c r="FV42" s="237"/>
      <c r="FW42" s="237"/>
      <c r="FX42" s="237"/>
      <c r="FY42" s="237"/>
      <c r="FZ42" s="237"/>
      <c r="GA42" s="237"/>
      <c r="GB42" s="237"/>
      <c r="GC42" s="237"/>
      <c r="GD42" s="237"/>
      <c r="GE42" s="237"/>
      <c r="GF42" s="237"/>
      <c r="GG42" s="237"/>
      <c r="GH42" s="237"/>
      <c r="GI42" s="237"/>
      <c r="GJ42" s="237"/>
      <c r="GK42" s="237"/>
      <c r="GL42" s="237"/>
      <c r="GM42" s="237"/>
      <c r="GN42" s="237"/>
      <c r="GO42" s="237"/>
      <c r="GP42" s="237"/>
      <c r="GQ42" s="237"/>
      <c r="GR42" s="237"/>
      <c r="GS42" s="237"/>
      <c r="GT42" s="237"/>
      <c r="GU42" s="237"/>
      <c r="GV42" s="237"/>
      <c r="GW42" s="237"/>
      <c r="GX42" s="237"/>
    </row>
    <row r="43" spans="1:206" x14ac:dyDescent="0.25">
      <c r="B43" s="55"/>
      <c r="C43" s="9"/>
      <c r="D43" s="76" t="s">
        <v>173</v>
      </c>
      <c r="E43" s="40" t="s">
        <v>74</v>
      </c>
      <c r="F43" s="40" t="s">
        <v>74</v>
      </c>
      <c r="G43" s="40" t="s">
        <v>74</v>
      </c>
      <c r="H43" s="40" t="s">
        <v>74</v>
      </c>
      <c r="I43" s="40" t="s">
        <v>74</v>
      </c>
      <c r="J43" s="40" t="s">
        <v>74</v>
      </c>
      <c r="K43" s="40" t="s">
        <v>74</v>
      </c>
      <c r="L43" s="40" t="s">
        <v>74</v>
      </c>
      <c r="M43" s="40" t="s">
        <v>74</v>
      </c>
      <c r="N43" s="40" t="s">
        <v>74</v>
      </c>
      <c r="O43" s="40" t="s">
        <v>74</v>
      </c>
      <c r="P43" s="40" t="s">
        <v>74</v>
      </c>
      <c r="Q43" s="40" t="s">
        <v>74</v>
      </c>
      <c r="R43" s="40" t="s">
        <v>74</v>
      </c>
      <c r="S43" s="40" t="s">
        <v>74</v>
      </c>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0"/>
      <c r="GJ43" s="40"/>
      <c r="GK43" s="40"/>
      <c r="GL43" s="40"/>
      <c r="GM43" s="40"/>
      <c r="GN43" s="40"/>
      <c r="GO43" s="40"/>
      <c r="GP43" s="40"/>
      <c r="GQ43" s="40"/>
      <c r="GR43" s="40"/>
      <c r="GS43" s="40"/>
      <c r="GT43" s="40"/>
      <c r="GU43" s="40"/>
      <c r="GV43" s="40"/>
      <c r="GW43" s="40"/>
      <c r="GX43" s="40"/>
    </row>
    <row r="44" spans="1:206" ht="15.75" x14ac:dyDescent="0.25">
      <c r="B44" s="55"/>
      <c r="C44" s="9"/>
      <c r="D44" s="107" t="s">
        <v>236</v>
      </c>
      <c r="E44" s="40" t="s">
        <v>74</v>
      </c>
      <c r="F44" s="40" t="s">
        <v>74</v>
      </c>
      <c r="G44" s="40" t="s">
        <v>74</v>
      </c>
      <c r="H44" s="40" t="s">
        <v>74</v>
      </c>
      <c r="I44" s="40" t="s">
        <v>74</v>
      </c>
      <c r="J44" s="40" t="s">
        <v>74</v>
      </c>
      <c r="K44" s="40" t="s">
        <v>74</v>
      </c>
      <c r="L44" s="40" t="s">
        <v>74</v>
      </c>
      <c r="M44" s="40" t="s">
        <v>74</v>
      </c>
      <c r="N44" s="40" t="s">
        <v>74</v>
      </c>
      <c r="O44" s="40" t="s">
        <v>74</v>
      </c>
      <c r="P44" s="40" t="s">
        <v>74</v>
      </c>
      <c r="Q44" s="40" t="s">
        <v>74</v>
      </c>
      <c r="R44" s="40" t="s">
        <v>74</v>
      </c>
      <c r="S44" s="40" t="s">
        <v>74</v>
      </c>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0"/>
      <c r="GJ44" s="40"/>
      <c r="GK44" s="40"/>
      <c r="GL44" s="40"/>
      <c r="GM44" s="40"/>
      <c r="GN44" s="40"/>
      <c r="GO44" s="40"/>
      <c r="GP44" s="40"/>
      <c r="GQ44" s="40"/>
      <c r="GR44" s="40"/>
      <c r="GS44" s="40"/>
      <c r="GT44" s="40"/>
      <c r="GU44" s="40"/>
      <c r="GV44" s="40"/>
      <c r="GW44" s="40"/>
      <c r="GX44" s="40"/>
    </row>
    <row r="45" spans="1:206" x14ac:dyDescent="0.25">
      <c r="B45" s="55"/>
      <c r="C45" s="37"/>
      <c r="D45" s="60"/>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37"/>
      <c r="CN45" s="37"/>
      <c r="CO45" s="37"/>
      <c r="CP45" s="37"/>
      <c r="CQ45" s="37"/>
      <c r="CR45" s="37"/>
      <c r="CS45" s="37"/>
      <c r="CT45" s="37"/>
      <c r="CU45" s="37"/>
      <c r="CV45" s="37"/>
      <c r="CW45" s="37"/>
      <c r="CX45" s="37"/>
      <c r="CY45" s="37"/>
      <c r="CZ45" s="37"/>
      <c r="DA45" s="37"/>
      <c r="DB45" s="37"/>
      <c r="DC45" s="37"/>
      <c r="DD45" s="37"/>
      <c r="DE45" s="37"/>
      <c r="DF45" s="37"/>
      <c r="DG45" s="37"/>
      <c r="DH45" s="37"/>
      <c r="DI45" s="37"/>
      <c r="DJ45" s="37"/>
      <c r="DK45" s="37"/>
      <c r="DL45" s="37"/>
      <c r="DM45" s="37"/>
      <c r="DN45" s="37"/>
      <c r="DO45" s="37"/>
      <c r="DP45" s="37"/>
      <c r="DQ45" s="37"/>
      <c r="DR45" s="37"/>
      <c r="DS45" s="37"/>
      <c r="DT45" s="37"/>
      <c r="DU45" s="37"/>
      <c r="DV45" s="37"/>
      <c r="DW45" s="37"/>
      <c r="DX45" s="37"/>
      <c r="DY45" s="37"/>
      <c r="DZ45" s="37"/>
      <c r="EA45" s="37"/>
      <c r="EB45" s="37"/>
      <c r="EC45" s="37"/>
      <c r="ED45" s="37"/>
      <c r="EE45" s="37"/>
      <c r="EF45" s="37"/>
      <c r="EG45" s="37"/>
      <c r="EH45" s="37"/>
      <c r="EI45" s="37"/>
      <c r="EJ45" s="37"/>
      <c r="EK45" s="37"/>
      <c r="EL45" s="37"/>
      <c r="EM45" s="37"/>
      <c r="EN45" s="37"/>
      <c r="EO45" s="37"/>
      <c r="EP45" s="37"/>
      <c r="EQ45" s="37"/>
      <c r="ER45" s="37"/>
      <c r="ES45" s="37"/>
      <c r="ET45" s="37"/>
      <c r="EU45" s="37"/>
      <c r="EV45" s="37"/>
      <c r="EW45" s="37"/>
      <c r="EX45" s="37"/>
      <c r="EY45" s="37"/>
      <c r="EZ45" s="37"/>
      <c r="FA45" s="37"/>
      <c r="FB45" s="37"/>
      <c r="FC45" s="37"/>
      <c r="FD45" s="37"/>
      <c r="FE45" s="37"/>
      <c r="FF45" s="37"/>
      <c r="FG45" s="37"/>
      <c r="FH45" s="37"/>
      <c r="FI45" s="37"/>
      <c r="FJ45" s="37"/>
      <c r="FK45" s="37"/>
      <c r="FL45" s="37"/>
      <c r="FM45" s="37"/>
      <c r="FN45" s="37"/>
      <c r="FO45" s="37"/>
      <c r="FP45" s="37"/>
      <c r="FQ45" s="37"/>
      <c r="FR45" s="37"/>
      <c r="FS45" s="37"/>
      <c r="FT45" s="37"/>
      <c r="FU45" s="37"/>
      <c r="FV45" s="37"/>
      <c r="FW45" s="37"/>
      <c r="FX45" s="37"/>
      <c r="FY45" s="37"/>
      <c r="FZ45" s="37"/>
      <c r="GA45" s="37"/>
      <c r="GB45" s="37"/>
      <c r="GC45" s="37"/>
      <c r="GD45" s="37"/>
      <c r="GE45" s="37"/>
      <c r="GF45" s="37"/>
      <c r="GG45" s="37"/>
      <c r="GH45" s="37"/>
      <c r="GI45" s="37"/>
      <c r="GJ45" s="37"/>
      <c r="GK45" s="37"/>
      <c r="GL45" s="37"/>
      <c r="GM45" s="37"/>
      <c r="GN45" s="37"/>
      <c r="GO45" s="37"/>
      <c r="GP45" s="37"/>
      <c r="GQ45" s="37"/>
      <c r="GR45" s="37"/>
      <c r="GS45" s="37"/>
      <c r="GT45" s="37"/>
      <c r="GU45" s="37"/>
      <c r="GV45" s="37"/>
      <c r="GW45" s="37"/>
      <c r="GX45" s="37"/>
    </row>
    <row r="46" spans="1:206" x14ac:dyDescent="0.25">
      <c r="A46" s="22"/>
      <c r="B46" s="61"/>
      <c r="C46" s="286" t="s">
        <v>24</v>
      </c>
      <c r="D46" s="287"/>
      <c r="E46" s="286"/>
      <c r="F46" s="287"/>
      <c r="G46" s="287"/>
      <c r="H46" s="287"/>
      <c r="I46" s="287"/>
      <c r="J46" s="287"/>
      <c r="K46" s="287"/>
      <c r="L46" s="287"/>
      <c r="M46" s="287"/>
      <c r="N46" s="287"/>
      <c r="O46" s="287"/>
      <c r="P46" s="287"/>
      <c r="Q46" s="287"/>
      <c r="R46" s="287"/>
      <c r="S46" s="304"/>
      <c r="T46" s="286"/>
      <c r="U46" s="287"/>
      <c r="V46" s="287"/>
      <c r="W46" s="304"/>
      <c r="X46" s="176"/>
      <c r="Y46" s="286"/>
      <c r="Z46" s="287"/>
      <c r="AA46" s="287"/>
      <c r="AB46" s="304"/>
      <c r="AC46" s="176"/>
      <c r="AD46" s="286"/>
      <c r="AE46" s="287"/>
      <c r="AF46" s="287"/>
      <c r="AG46" s="304"/>
      <c r="AH46" s="176"/>
      <c r="AI46" s="286"/>
      <c r="AJ46" s="287"/>
      <c r="AK46" s="287"/>
      <c r="AL46" s="304"/>
      <c r="AM46" s="176"/>
      <c r="AN46" s="286"/>
      <c r="AO46" s="287"/>
      <c r="AP46" s="287"/>
      <c r="AQ46" s="304"/>
      <c r="AR46" s="176"/>
      <c r="AS46" s="286"/>
      <c r="AT46" s="287"/>
      <c r="AU46" s="287"/>
      <c r="AV46" s="304"/>
      <c r="AW46" s="176"/>
      <c r="AX46" s="286"/>
      <c r="AY46" s="287"/>
      <c r="AZ46" s="287"/>
      <c r="BA46" s="304"/>
      <c r="BB46" s="176"/>
      <c r="BC46" s="286"/>
      <c r="BD46" s="287"/>
      <c r="BE46" s="287"/>
      <c r="BF46" s="304"/>
      <c r="BG46" s="176"/>
      <c r="BH46" s="286"/>
      <c r="BI46" s="287"/>
      <c r="BJ46" s="287"/>
      <c r="BK46" s="304"/>
      <c r="BL46" s="176"/>
      <c r="BM46" s="286"/>
      <c r="BN46" s="287"/>
      <c r="BO46" s="287"/>
      <c r="BP46" s="304"/>
      <c r="BQ46" s="176"/>
      <c r="BR46" s="286"/>
      <c r="BS46" s="287"/>
      <c r="BT46" s="287"/>
      <c r="BU46" s="304"/>
      <c r="BV46" s="176"/>
      <c r="BW46" s="286"/>
      <c r="BX46" s="287"/>
      <c r="BY46" s="287"/>
      <c r="BZ46" s="304"/>
      <c r="CA46" s="176"/>
      <c r="CB46" s="286"/>
      <c r="CC46" s="287"/>
      <c r="CD46" s="287"/>
      <c r="CE46" s="304"/>
      <c r="CF46" s="176"/>
      <c r="CG46" s="286"/>
      <c r="CH46" s="287"/>
      <c r="CI46" s="287"/>
      <c r="CJ46" s="304"/>
      <c r="CK46" s="176"/>
      <c r="CL46" s="286"/>
      <c r="CM46" s="287"/>
      <c r="CN46" s="287"/>
      <c r="CO46" s="304"/>
      <c r="CP46" s="176"/>
      <c r="CQ46" s="286"/>
      <c r="CR46" s="287"/>
      <c r="CS46" s="287"/>
      <c r="CT46" s="304"/>
      <c r="CU46" s="176"/>
      <c r="CV46" s="286"/>
      <c r="CW46" s="287"/>
      <c r="CX46" s="287"/>
      <c r="CY46" s="304"/>
      <c r="CZ46" s="176"/>
      <c r="DA46" s="286"/>
      <c r="DB46" s="287"/>
      <c r="DC46" s="287"/>
      <c r="DD46" s="304"/>
      <c r="DE46" s="176"/>
      <c r="DF46" s="286"/>
      <c r="DG46" s="287"/>
      <c r="DH46" s="287"/>
      <c r="DI46" s="304"/>
      <c r="DJ46" s="176"/>
      <c r="DK46" s="286"/>
      <c r="DL46" s="287"/>
      <c r="DM46" s="287"/>
      <c r="DN46" s="304"/>
      <c r="DO46" s="176"/>
      <c r="DP46" s="286"/>
      <c r="DQ46" s="287"/>
      <c r="DR46" s="287"/>
      <c r="DS46" s="304"/>
      <c r="DT46" s="176"/>
      <c r="DU46" s="286"/>
      <c r="DV46" s="287"/>
      <c r="DW46" s="287"/>
      <c r="DX46" s="304"/>
      <c r="DY46" s="176"/>
      <c r="DZ46" s="286"/>
      <c r="EA46" s="287"/>
      <c r="EB46" s="287"/>
      <c r="EC46" s="304"/>
      <c r="ED46" s="176"/>
      <c r="EE46" s="286"/>
      <c r="EF46" s="287"/>
      <c r="EG46" s="287"/>
      <c r="EH46" s="304"/>
      <c r="EI46" s="176"/>
      <c r="EJ46" s="286"/>
      <c r="EK46" s="287"/>
      <c r="EL46" s="287"/>
      <c r="EM46" s="304"/>
      <c r="EN46" s="176"/>
      <c r="EO46" s="286"/>
      <c r="EP46" s="287"/>
      <c r="EQ46" s="287"/>
      <c r="ER46" s="304"/>
      <c r="ES46" s="176"/>
      <c r="ET46" s="286"/>
      <c r="EU46" s="287"/>
      <c r="EV46" s="287"/>
      <c r="EW46" s="304"/>
      <c r="EX46" s="176"/>
      <c r="EY46" s="286"/>
      <c r="EZ46" s="287"/>
      <c r="FA46" s="287"/>
      <c r="FB46" s="304"/>
      <c r="FC46" s="176"/>
      <c r="FD46" s="286"/>
      <c r="FE46" s="287"/>
      <c r="FF46" s="287"/>
      <c r="FG46" s="304"/>
      <c r="FH46" s="176"/>
      <c r="FI46" s="286"/>
      <c r="FJ46" s="287"/>
      <c r="FK46" s="287"/>
      <c r="FL46" s="304"/>
      <c r="FM46" s="176"/>
      <c r="FN46" s="286"/>
      <c r="FO46" s="287"/>
      <c r="FP46" s="287"/>
      <c r="FQ46" s="304"/>
      <c r="FR46" s="176"/>
      <c r="FS46" s="286"/>
      <c r="FT46" s="287"/>
      <c r="FU46" s="287"/>
      <c r="FV46" s="304"/>
      <c r="FW46" s="176"/>
      <c r="FX46" s="286"/>
      <c r="FY46" s="287"/>
      <c r="FZ46" s="287"/>
      <c r="GA46" s="304"/>
      <c r="GB46" s="176"/>
      <c r="GC46" s="286"/>
      <c r="GD46" s="287"/>
      <c r="GE46" s="287"/>
      <c r="GF46" s="304"/>
      <c r="GG46" s="176"/>
      <c r="GH46" s="286"/>
      <c r="GI46" s="287"/>
      <c r="GJ46" s="287"/>
      <c r="GK46" s="304"/>
      <c r="GL46" s="176"/>
      <c r="GM46" s="286"/>
      <c r="GN46" s="287"/>
      <c r="GO46" s="287"/>
      <c r="GP46" s="304"/>
      <c r="GQ46" s="176"/>
      <c r="GR46" s="286"/>
      <c r="GS46" s="287"/>
      <c r="GT46" s="287"/>
      <c r="GU46" s="304"/>
      <c r="GV46" s="176"/>
      <c r="GW46" s="286"/>
      <c r="GX46" s="287"/>
    </row>
    <row r="47" spans="1:206" ht="15.75" x14ac:dyDescent="0.25">
      <c r="B47" s="55"/>
      <c r="C47" s="4"/>
      <c r="D47" s="77" t="s">
        <v>234</v>
      </c>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row>
    <row r="48" spans="1:206" ht="14.25" x14ac:dyDescent="0.25">
      <c r="B48" s="55"/>
      <c r="C48" s="10" t="s">
        <v>276</v>
      </c>
      <c r="D48" s="93" t="s">
        <v>280</v>
      </c>
      <c r="E48" s="177">
        <f>(E31/3.5) + 3</f>
        <v>12.428571428571429</v>
      </c>
      <c r="F48" s="268">
        <f t="shared" ref="F48:H48" si="61">(F31/3.5) + 3</f>
        <v>12.428571428571429</v>
      </c>
      <c r="G48" s="268">
        <f t="shared" si="61"/>
        <v>12.428571428571429</v>
      </c>
      <c r="H48" s="268">
        <f t="shared" si="61"/>
        <v>12.428571428571429</v>
      </c>
      <c r="I48" s="268">
        <f t="shared" ref="I48" si="62">(I31/3.5) + 3</f>
        <v>12.428571428571429</v>
      </c>
      <c r="J48" s="268">
        <f t="shared" ref="J48:L48" si="63">(J31/3.5) + 3</f>
        <v>12.428571428571429</v>
      </c>
      <c r="K48" s="268">
        <f t="shared" si="63"/>
        <v>12.428571428571429</v>
      </c>
      <c r="L48" s="268">
        <f t="shared" si="63"/>
        <v>12.428571428571429</v>
      </c>
      <c r="M48" s="268">
        <f>(M31/3.5) + 3</f>
        <v>12.428571428571429</v>
      </c>
      <c r="N48" s="268">
        <f>(N31/3.5) + 3</f>
        <v>12.428571428571429</v>
      </c>
      <c r="O48" s="268">
        <f>(O31/3.5) + 3</f>
        <v>12.428571428571429</v>
      </c>
      <c r="P48" s="268">
        <f>(P31/3.5) + 3</f>
        <v>12.428571428571429</v>
      </c>
      <c r="Q48" s="177">
        <f>(Q31/3.5) + 3</f>
        <v>12.428571428571429</v>
      </c>
      <c r="R48" s="177">
        <f t="shared" ref="R48:S48" si="64">(R31/3.5) + 3</f>
        <v>12.428571428571429</v>
      </c>
      <c r="S48" s="177">
        <f t="shared" si="64"/>
        <v>12.428571428571429</v>
      </c>
      <c r="T48" s="177"/>
      <c r="U48" s="177"/>
      <c r="V48" s="177"/>
      <c r="W48" s="177"/>
      <c r="X48" s="177"/>
      <c r="Y48" s="177"/>
      <c r="Z48" s="177"/>
      <c r="AA48" s="177"/>
      <c r="AB48" s="177"/>
      <c r="AC48" s="177"/>
      <c r="AD48" s="177"/>
      <c r="AE48" s="177"/>
      <c r="AF48" s="177"/>
      <c r="AG48" s="177"/>
      <c r="AH48" s="177"/>
      <c r="AI48" s="177"/>
      <c r="AJ48" s="177"/>
      <c r="AK48" s="177"/>
      <c r="AL48" s="177"/>
      <c r="AM48" s="177"/>
      <c r="AN48" s="177"/>
      <c r="AO48" s="177"/>
      <c r="AP48" s="177"/>
      <c r="AQ48" s="177"/>
      <c r="AR48" s="177"/>
      <c r="AS48" s="177"/>
      <c r="AT48" s="177"/>
      <c r="AU48" s="177"/>
      <c r="AV48" s="177"/>
      <c r="AW48" s="177"/>
      <c r="AX48" s="177"/>
      <c r="AY48" s="177"/>
      <c r="AZ48" s="177"/>
      <c r="BA48" s="177"/>
      <c r="BB48" s="177"/>
      <c r="BC48" s="177"/>
      <c r="BD48" s="177"/>
      <c r="BE48" s="177"/>
      <c r="BF48" s="177"/>
      <c r="BG48" s="177"/>
      <c r="BH48" s="177"/>
      <c r="BI48" s="177"/>
      <c r="BJ48" s="177"/>
      <c r="BK48" s="177"/>
      <c r="BL48" s="177"/>
      <c r="BM48" s="177"/>
      <c r="BN48" s="177"/>
      <c r="BO48" s="177"/>
      <c r="BP48" s="177"/>
      <c r="BQ48" s="177"/>
      <c r="BR48" s="177"/>
      <c r="BS48" s="177"/>
      <c r="BT48" s="177"/>
      <c r="BU48" s="177"/>
      <c r="BV48" s="177"/>
      <c r="BW48" s="177"/>
      <c r="BX48" s="177"/>
      <c r="BY48" s="177"/>
      <c r="BZ48" s="177"/>
      <c r="CA48" s="177"/>
      <c r="CB48" s="177"/>
      <c r="CC48" s="177"/>
      <c r="CD48" s="177"/>
      <c r="CE48" s="177"/>
      <c r="CF48" s="177"/>
      <c r="CG48" s="177"/>
      <c r="CH48" s="177"/>
      <c r="CI48" s="177"/>
      <c r="CJ48" s="177"/>
      <c r="CK48" s="177"/>
      <c r="CL48" s="177"/>
      <c r="CM48" s="177"/>
      <c r="CN48" s="177"/>
      <c r="CO48" s="177"/>
      <c r="CP48" s="177"/>
      <c r="CQ48" s="177"/>
      <c r="CR48" s="177"/>
      <c r="CS48" s="177"/>
      <c r="CT48" s="177"/>
      <c r="CU48" s="177"/>
      <c r="CV48" s="177"/>
      <c r="CW48" s="177"/>
      <c r="CX48" s="177"/>
      <c r="CY48" s="177"/>
      <c r="CZ48" s="177"/>
      <c r="DA48" s="177"/>
      <c r="DB48" s="177"/>
      <c r="DC48" s="177"/>
      <c r="DD48" s="177"/>
      <c r="DE48" s="177"/>
      <c r="DF48" s="177"/>
      <c r="DG48" s="177"/>
      <c r="DH48" s="177"/>
      <c r="DI48" s="177"/>
      <c r="DJ48" s="177"/>
      <c r="DK48" s="177"/>
      <c r="DL48" s="177"/>
      <c r="DM48" s="177"/>
      <c r="DN48" s="177"/>
      <c r="DO48" s="177"/>
      <c r="DP48" s="177"/>
      <c r="DQ48" s="177"/>
      <c r="DR48" s="177"/>
      <c r="DS48" s="177"/>
      <c r="DT48" s="177"/>
      <c r="DU48" s="177"/>
      <c r="DV48" s="177"/>
      <c r="DW48" s="177"/>
      <c r="DX48" s="177"/>
      <c r="DY48" s="177"/>
      <c r="DZ48" s="177"/>
      <c r="EA48" s="177"/>
      <c r="EB48" s="177"/>
      <c r="EC48" s="177"/>
      <c r="ED48" s="177"/>
      <c r="EE48" s="177"/>
      <c r="EF48" s="177"/>
      <c r="EG48" s="177"/>
      <c r="EH48" s="177"/>
      <c r="EI48" s="177"/>
      <c r="EJ48" s="177"/>
      <c r="EK48" s="177"/>
      <c r="EL48" s="177"/>
      <c r="EM48" s="177"/>
      <c r="EN48" s="177"/>
      <c r="EO48" s="177"/>
      <c r="EP48" s="177"/>
      <c r="EQ48" s="177"/>
      <c r="ER48" s="177"/>
      <c r="ES48" s="177"/>
      <c r="ET48" s="177"/>
      <c r="EU48" s="177"/>
      <c r="EV48" s="177"/>
      <c r="EW48" s="177"/>
      <c r="EX48" s="177"/>
      <c r="EY48" s="177"/>
      <c r="EZ48" s="177"/>
      <c r="FA48" s="177"/>
      <c r="FB48" s="177"/>
      <c r="FC48" s="177"/>
      <c r="FD48" s="177"/>
      <c r="FE48" s="177"/>
      <c r="FF48" s="177"/>
      <c r="FG48" s="177"/>
      <c r="FH48" s="177"/>
      <c r="FI48" s="177"/>
      <c r="FJ48" s="177"/>
      <c r="FK48" s="177"/>
      <c r="FL48" s="177"/>
      <c r="FM48" s="177"/>
      <c r="FN48" s="177"/>
      <c r="FO48" s="177"/>
      <c r="FP48" s="177"/>
      <c r="FQ48" s="177"/>
      <c r="FR48" s="177"/>
      <c r="FS48" s="177"/>
      <c r="FT48" s="177"/>
      <c r="FU48" s="177"/>
      <c r="FV48" s="177"/>
      <c r="FW48" s="177"/>
      <c r="FX48" s="177"/>
      <c r="FY48" s="177"/>
      <c r="FZ48" s="177"/>
      <c r="GA48" s="177"/>
      <c r="GB48" s="177"/>
      <c r="GC48" s="177"/>
      <c r="GD48" s="177"/>
      <c r="GE48" s="177"/>
      <c r="GF48" s="177"/>
      <c r="GG48" s="177"/>
      <c r="GH48" s="177"/>
      <c r="GI48" s="177"/>
      <c r="GJ48" s="177"/>
      <c r="GK48" s="177"/>
      <c r="GL48" s="177"/>
      <c r="GM48" s="177"/>
      <c r="GN48" s="177"/>
      <c r="GO48" s="177"/>
      <c r="GP48" s="177"/>
      <c r="GQ48" s="177"/>
      <c r="GR48" s="177"/>
      <c r="GS48" s="177"/>
      <c r="GT48" s="177"/>
      <c r="GU48" s="177"/>
      <c r="GV48" s="177"/>
      <c r="GW48" s="177"/>
      <c r="GX48" s="177"/>
    </row>
    <row r="49" spans="2:206" x14ac:dyDescent="0.25">
      <c r="B49" s="55"/>
      <c r="C49" s="10" t="s">
        <v>283</v>
      </c>
      <c r="D49" s="93" t="s">
        <v>285</v>
      </c>
      <c r="E49" s="178">
        <f t="shared" ref="E49:N49" si="65">E16/3600</f>
        <v>1.9444444444444445E-2</v>
      </c>
      <c r="F49" s="270">
        <f t="shared" si="65"/>
        <v>3.888888888888889E-2</v>
      </c>
      <c r="G49" s="270">
        <f t="shared" si="65"/>
        <v>5.8333333333333334E-2</v>
      </c>
      <c r="H49" s="270">
        <f t="shared" si="65"/>
        <v>7.7777777777777779E-2</v>
      </c>
      <c r="I49" s="270">
        <f t="shared" ref="I49" si="66">I16/3600</f>
        <v>9.7222222222222224E-2</v>
      </c>
      <c r="J49" s="270">
        <f t="shared" ref="J49:L49" si="67">J16/3600</f>
        <v>0.11666666666666667</v>
      </c>
      <c r="K49" s="270">
        <f t="shared" si="67"/>
        <v>0.1361111111111111</v>
      </c>
      <c r="L49" s="270">
        <f t="shared" si="67"/>
        <v>0.15555555555555556</v>
      </c>
      <c r="M49" s="270">
        <f t="shared" ref="M49" si="68">M16/3600</f>
        <v>0.17499999999999999</v>
      </c>
      <c r="N49" s="270">
        <f t="shared" si="65"/>
        <v>0.19444444444444445</v>
      </c>
      <c r="O49" s="270">
        <f t="shared" ref="O49" si="69">O16/3600</f>
        <v>0.21388888888888888</v>
      </c>
      <c r="P49" s="270">
        <f t="shared" ref="P49" si="70">P16/3600</f>
        <v>0.23333333333333334</v>
      </c>
      <c r="Q49" s="178">
        <f t="shared" ref="Q49:S49" si="71">Q16/3600</f>
        <v>0.25277777777777777</v>
      </c>
      <c r="R49" s="178">
        <f t="shared" si="71"/>
        <v>0.2722222222222222</v>
      </c>
      <c r="S49" s="178">
        <f t="shared" si="71"/>
        <v>0.29166666666666669</v>
      </c>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c r="BU49" s="178"/>
      <c r="BV49" s="178"/>
      <c r="BW49" s="178"/>
      <c r="BX49" s="178"/>
      <c r="BY49" s="178"/>
      <c r="BZ49" s="178"/>
      <c r="CA49" s="178"/>
      <c r="CB49" s="178"/>
      <c r="CC49" s="178"/>
      <c r="CD49" s="178"/>
      <c r="CE49" s="178"/>
      <c r="CF49" s="178"/>
      <c r="CG49" s="178"/>
      <c r="CH49" s="178"/>
      <c r="CI49" s="178"/>
      <c r="CJ49" s="178"/>
      <c r="CK49" s="178"/>
      <c r="CL49" s="178"/>
      <c r="CM49" s="178"/>
      <c r="CN49" s="178"/>
      <c r="CO49" s="178"/>
      <c r="CP49" s="178"/>
      <c r="CQ49" s="178"/>
      <c r="CR49" s="178"/>
      <c r="CS49" s="178"/>
      <c r="CT49" s="178"/>
      <c r="CU49" s="178"/>
      <c r="CV49" s="178"/>
      <c r="CW49" s="178"/>
      <c r="CX49" s="178"/>
      <c r="CY49" s="178"/>
      <c r="CZ49" s="178"/>
      <c r="DA49" s="178"/>
      <c r="DB49" s="178"/>
      <c r="DC49" s="178"/>
      <c r="DD49" s="178"/>
      <c r="DE49" s="178"/>
      <c r="DF49" s="178"/>
      <c r="DG49" s="178"/>
      <c r="DH49" s="178"/>
      <c r="DI49" s="178"/>
      <c r="DJ49" s="178"/>
      <c r="DK49" s="178"/>
      <c r="DL49" s="178"/>
      <c r="DM49" s="178"/>
      <c r="DN49" s="178"/>
      <c r="DO49" s="178"/>
      <c r="DP49" s="178"/>
      <c r="DQ49" s="178"/>
      <c r="DR49" s="178"/>
      <c r="DS49" s="178"/>
      <c r="DT49" s="178"/>
      <c r="DU49" s="178"/>
      <c r="DV49" s="178"/>
      <c r="DW49" s="178"/>
      <c r="DX49" s="178"/>
      <c r="DY49" s="178"/>
      <c r="DZ49" s="178"/>
      <c r="EA49" s="178"/>
      <c r="EB49" s="178"/>
      <c r="EC49" s="178"/>
      <c r="ED49" s="178"/>
      <c r="EE49" s="178"/>
      <c r="EF49" s="178"/>
      <c r="EG49" s="178"/>
      <c r="EH49" s="178"/>
      <c r="EI49" s="178"/>
      <c r="EJ49" s="178"/>
      <c r="EK49" s="178"/>
      <c r="EL49" s="178"/>
      <c r="EM49" s="178"/>
      <c r="EN49" s="178"/>
      <c r="EO49" s="178"/>
      <c r="EP49" s="178"/>
      <c r="EQ49" s="178"/>
      <c r="ER49" s="178"/>
      <c r="ES49" s="178"/>
      <c r="ET49" s="178"/>
      <c r="EU49" s="178"/>
      <c r="EV49" s="178"/>
      <c r="EW49" s="178"/>
      <c r="EX49" s="178"/>
      <c r="EY49" s="178"/>
      <c r="EZ49" s="178"/>
      <c r="FA49" s="178"/>
      <c r="FB49" s="178"/>
      <c r="FC49" s="178"/>
      <c r="FD49" s="178"/>
      <c r="FE49" s="178"/>
      <c r="FF49" s="178"/>
      <c r="FG49" s="178"/>
      <c r="FH49" s="178"/>
      <c r="FI49" s="178"/>
      <c r="FJ49" s="178"/>
      <c r="FK49" s="178"/>
      <c r="FL49" s="178"/>
      <c r="FM49" s="178"/>
      <c r="FN49" s="178"/>
      <c r="FO49" s="178"/>
      <c r="FP49" s="178"/>
      <c r="FQ49" s="178"/>
      <c r="FR49" s="178"/>
      <c r="FS49" s="178"/>
      <c r="FT49" s="178"/>
      <c r="FU49" s="178"/>
      <c r="FV49" s="178"/>
      <c r="FW49" s="178"/>
      <c r="FX49" s="178"/>
      <c r="FY49" s="178"/>
      <c r="FZ49" s="178"/>
      <c r="GA49" s="178"/>
      <c r="GB49" s="178"/>
      <c r="GC49" s="178"/>
      <c r="GD49" s="178"/>
      <c r="GE49" s="178"/>
      <c r="GF49" s="178"/>
      <c r="GG49" s="178"/>
      <c r="GH49" s="178"/>
      <c r="GI49" s="178"/>
      <c r="GJ49" s="178"/>
      <c r="GK49" s="178"/>
      <c r="GL49" s="178"/>
      <c r="GM49" s="178"/>
      <c r="GN49" s="178"/>
      <c r="GO49" s="178"/>
      <c r="GP49" s="178"/>
      <c r="GQ49" s="178"/>
      <c r="GR49" s="178"/>
      <c r="GS49" s="178"/>
      <c r="GT49" s="178"/>
      <c r="GU49" s="178"/>
      <c r="GV49" s="178"/>
      <c r="GW49" s="178"/>
      <c r="GX49" s="178"/>
    </row>
    <row r="50" spans="2:206" ht="14.25" x14ac:dyDescent="0.25">
      <c r="B50" s="55"/>
      <c r="C50" s="10" t="s">
        <v>281</v>
      </c>
      <c r="D50" s="93" t="s">
        <v>284</v>
      </c>
      <c r="E50" s="178">
        <f t="shared" ref="E50:N50" si="72">E20/3600</f>
        <v>2.7777777777777776E-2</v>
      </c>
      <c r="F50" s="270">
        <f t="shared" si="72"/>
        <v>2.7777777777777776E-2</v>
      </c>
      <c r="G50" s="270">
        <f t="shared" si="72"/>
        <v>2.7777777777777776E-2</v>
      </c>
      <c r="H50" s="270">
        <f t="shared" si="72"/>
        <v>2.7777777777777776E-2</v>
      </c>
      <c r="I50" s="270">
        <f t="shared" ref="I50" si="73">I20/3600</f>
        <v>2.7777777777777776E-2</v>
      </c>
      <c r="J50" s="270">
        <f t="shared" ref="J50:L50" si="74">J20/3600</f>
        <v>2.7777777777777776E-2</v>
      </c>
      <c r="K50" s="270">
        <f t="shared" si="74"/>
        <v>2.7777777777777776E-2</v>
      </c>
      <c r="L50" s="270">
        <f t="shared" si="74"/>
        <v>2.7777777777777776E-2</v>
      </c>
      <c r="M50" s="270">
        <f t="shared" ref="M50" si="75">M20/3600</f>
        <v>2.7777777777777776E-2</v>
      </c>
      <c r="N50" s="270">
        <f t="shared" si="72"/>
        <v>2.7777777777777776E-2</v>
      </c>
      <c r="O50" s="270">
        <f t="shared" ref="O50" si="76">O20/3600</f>
        <v>2.7777777777777776E-2</v>
      </c>
      <c r="P50" s="270">
        <f t="shared" ref="P50" si="77">P20/3600</f>
        <v>2.7777777777777776E-2</v>
      </c>
      <c r="Q50" s="178">
        <f t="shared" ref="Q50:S50" si="78">Q20/3600</f>
        <v>2.7777777777777776E-2</v>
      </c>
      <c r="R50" s="178">
        <f t="shared" si="78"/>
        <v>2.7777777777777776E-2</v>
      </c>
      <c r="S50" s="178">
        <f t="shared" si="78"/>
        <v>2.7777777777777776E-2</v>
      </c>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c r="BU50" s="178"/>
      <c r="BV50" s="178"/>
      <c r="BW50" s="178"/>
      <c r="BX50" s="178"/>
      <c r="BY50" s="178"/>
      <c r="BZ50" s="178"/>
      <c r="CA50" s="178"/>
      <c r="CB50" s="178"/>
      <c r="CC50" s="178"/>
      <c r="CD50" s="178"/>
      <c r="CE50" s="178"/>
      <c r="CF50" s="178"/>
      <c r="CG50" s="178"/>
      <c r="CH50" s="178"/>
      <c r="CI50" s="178"/>
      <c r="CJ50" s="178"/>
      <c r="CK50" s="178"/>
      <c r="CL50" s="178"/>
      <c r="CM50" s="178"/>
      <c r="CN50" s="178"/>
      <c r="CO50" s="178"/>
      <c r="CP50" s="178"/>
      <c r="CQ50" s="178"/>
      <c r="CR50" s="178"/>
      <c r="CS50" s="178"/>
      <c r="CT50" s="178"/>
      <c r="CU50" s="178"/>
      <c r="CV50" s="178"/>
      <c r="CW50" s="178"/>
      <c r="CX50" s="178"/>
      <c r="CY50" s="178"/>
      <c r="CZ50" s="178"/>
      <c r="DA50" s="178"/>
      <c r="DB50" s="178"/>
      <c r="DC50" s="178"/>
      <c r="DD50" s="178"/>
      <c r="DE50" s="178"/>
      <c r="DF50" s="178"/>
      <c r="DG50" s="178"/>
      <c r="DH50" s="178"/>
      <c r="DI50" s="178"/>
      <c r="DJ50" s="178"/>
      <c r="DK50" s="178"/>
      <c r="DL50" s="178"/>
      <c r="DM50" s="178"/>
      <c r="DN50" s="178"/>
      <c r="DO50" s="178"/>
      <c r="DP50" s="178"/>
      <c r="DQ50" s="178"/>
      <c r="DR50" s="178"/>
      <c r="DS50" s="178"/>
      <c r="DT50" s="178"/>
      <c r="DU50" s="178"/>
      <c r="DV50" s="178"/>
      <c r="DW50" s="178"/>
      <c r="DX50" s="178"/>
      <c r="DY50" s="178"/>
      <c r="DZ50" s="178"/>
      <c r="EA50" s="178"/>
      <c r="EB50" s="178"/>
      <c r="EC50" s="178"/>
      <c r="ED50" s="178"/>
      <c r="EE50" s="178"/>
      <c r="EF50" s="178"/>
      <c r="EG50" s="178"/>
      <c r="EH50" s="178"/>
      <c r="EI50" s="178"/>
      <c r="EJ50" s="178"/>
      <c r="EK50" s="178"/>
      <c r="EL50" s="178"/>
      <c r="EM50" s="178"/>
      <c r="EN50" s="178"/>
      <c r="EO50" s="178"/>
      <c r="EP50" s="178"/>
      <c r="EQ50" s="178"/>
      <c r="ER50" s="178"/>
      <c r="ES50" s="178"/>
      <c r="ET50" s="178"/>
      <c r="EU50" s="178"/>
      <c r="EV50" s="178"/>
      <c r="EW50" s="178"/>
      <c r="EX50" s="178"/>
      <c r="EY50" s="178"/>
      <c r="EZ50" s="178"/>
      <c r="FA50" s="178"/>
      <c r="FB50" s="178"/>
      <c r="FC50" s="178"/>
      <c r="FD50" s="178"/>
      <c r="FE50" s="178"/>
      <c r="FF50" s="178"/>
      <c r="FG50" s="178"/>
      <c r="FH50" s="178"/>
      <c r="FI50" s="178"/>
      <c r="FJ50" s="178"/>
      <c r="FK50" s="178"/>
      <c r="FL50" s="178"/>
      <c r="FM50" s="178"/>
      <c r="FN50" s="178"/>
      <c r="FO50" s="178"/>
      <c r="FP50" s="178"/>
      <c r="FQ50" s="178"/>
      <c r="FR50" s="178"/>
      <c r="FS50" s="178"/>
      <c r="FT50" s="178"/>
      <c r="FU50" s="178"/>
      <c r="FV50" s="178"/>
      <c r="FW50" s="178"/>
      <c r="FX50" s="178"/>
      <c r="FY50" s="178"/>
      <c r="FZ50" s="178"/>
      <c r="GA50" s="178"/>
      <c r="GB50" s="178"/>
      <c r="GC50" s="178"/>
      <c r="GD50" s="178"/>
      <c r="GE50" s="178"/>
      <c r="GF50" s="178"/>
      <c r="GG50" s="178"/>
      <c r="GH50" s="178"/>
      <c r="GI50" s="178"/>
      <c r="GJ50" s="178"/>
      <c r="GK50" s="178"/>
      <c r="GL50" s="178"/>
      <c r="GM50" s="178"/>
      <c r="GN50" s="178"/>
      <c r="GO50" s="178"/>
      <c r="GP50" s="178"/>
      <c r="GQ50" s="178"/>
      <c r="GR50" s="178"/>
      <c r="GS50" s="178"/>
      <c r="GT50" s="178"/>
      <c r="GU50" s="178"/>
      <c r="GV50" s="178"/>
      <c r="GW50" s="178"/>
      <c r="GX50" s="178"/>
    </row>
    <row r="51" spans="2:206" ht="14.25" x14ac:dyDescent="0.25">
      <c r="B51" s="55"/>
      <c r="C51" s="10" t="s">
        <v>278</v>
      </c>
      <c r="D51" s="93" t="s">
        <v>286</v>
      </c>
      <c r="E51" s="177">
        <f t="shared" ref="E51:N51" si="79">MAX(8*E52/E30,1)</f>
        <v>1</v>
      </c>
      <c r="F51" s="268">
        <f t="shared" si="79"/>
        <v>1</v>
      </c>
      <c r="G51" s="268">
        <f t="shared" si="79"/>
        <v>1</v>
      </c>
      <c r="H51" s="268">
        <f t="shared" si="79"/>
        <v>1</v>
      </c>
      <c r="I51" s="268">
        <f t="shared" ref="I51" si="80">MAX(8*I52/I30,1)</f>
        <v>1</v>
      </c>
      <c r="J51" s="268">
        <f t="shared" ref="J51:L51" si="81">MAX(8*J52/J30,1)</f>
        <v>1</v>
      </c>
      <c r="K51" s="268">
        <f t="shared" si="81"/>
        <v>1.0054208223143923</v>
      </c>
      <c r="L51" s="268">
        <f t="shared" si="81"/>
        <v>1.0987478173093093</v>
      </c>
      <c r="M51" s="268">
        <f t="shared" ref="M51" si="82">MAX(8*M52/M30,1)</f>
        <v>1.2112247620970249</v>
      </c>
      <c r="N51" s="268">
        <f t="shared" si="79"/>
        <v>1.3470664810273563</v>
      </c>
      <c r="O51" s="268">
        <f t="shared" ref="O51" si="83">MAX(8*O52/O30,1)</f>
        <v>1.5114544266199799</v>
      </c>
      <c r="P51" s="268">
        <f t="shared" ref="P51" si="84">MAX(8*P52/P30,1)</f>
        <v>1.7107645437217129</v>
      </c>
      <c r="Q51" s="177">
        <f t="shared" ref="Q51:S51" si="85">MAX(8*Q52/Q30,1)</f>
        <v>1.9528499228918168</v>
      </c>
      <c r="R51" s="177">
        <f t="shared" si="85"/>
        <v>2.2473916162104031</v>
      </c>
      <c r="S51" s="177">
        <f t="shared" si="85"/>
        <v>2.6063342916459349</v>
      </c>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177"/>
      <c r="BN51" s="177"/>
      <c r="BO51" s="177"/>
      <c r="BP51" s="177"/>
      <c r="BQ51" s="177"/>
      <c r="BR51" s="177"/>
      <c r="BS51" s="177"/>
      <c r="BT51" s="177"/>
      <c r="BU51" s="177"/>
      <c r="BV51" s="177"/>
      <c r="BW51" s="177"/>
      <c r="BX51" s="177"/>
      <c r="BY51" s="177"/>
      <c r="BZ51" s="177"/>
      <c r="CA51" s="177"/>
      <c r="CB51" s="177"/>
      <c r="CC51" s="177"/>
      <c r="CD51" s="177"/>
      <c r="CE51" s="177"/>
      <c r="CF51" s="177"/>
      <c r="CG51" s="177"/>
      <c r="CH51" s="177"/>
      <c r="CI51" s="177"/>
      <c r="CJ51" s="177"/>
      <c r="CK51" s="177"/>
      <c r="CL51" s="177"/>
      <c r="CM51" s="177"/>
      <c r="CN51" s="177"/>
      <c r="CO51" s="177"/>
      <c r="CP51" s="177"/>
      <c r="CQ51" s="177"/>
      <c r="CR51" s="177"/>
      <c r="CS51" s="177"/>
      <c r="CT51" s="177"/>
      <c r="CU51" s="177"/>
      <c r="CV51" s="177"/>
      <c r="CW51" s="177"/>
      <c r="CX51" s="177"/>
      <c r="CY51" s="177"/>
      <c r="CZ51" s="177"/>
      <c r="DA51" s="177"/>
      <c r="DB51" s="177"/>
      <c r="DC51" s="177"/>
      <c r="DD51" s="177"/>
      <c r="DE51" s="177"/>
      <c r="DF51" s="177"/>
      <c r="DG51" s="177"/>
      <c r="DH51" s="177"/>
      <c r="DI51" s="177"/>
      <c r="DJ51" s="177"/>
      <c r="DK51" s="177"/>
      <c r="DL51" s="177"/>
      <c r="DM51" s="177"/>
      <c r="DN51" s="177"/>
      <c r="DO51" s="177"/>
      <c r="DP51" s="177"/>
      <c r="DQ51" s="177"/>
      <c r="DR51" s="177"/>
      <c r="DS51" s="177"/>
      <c r="DT51" s="177"/>
      <c r="DU51" s="177"/>
      <c r="DV51" s="177"/>
      <c r="DW51" s="177"/>
      <c r="DX51" s="177"/>
      <c r="DY51" s="177"/>
      <c r="DZ51" s="177"/>
      <c r="EA51" s="177"/>
      <c r="EB51" s="177"/>
      <c r="EC51" s="177"/>
      <c r="ED51" s="177"/>
      <c r="EE51" s="177"/>
      <c r="EF51" s="177"/>
      <c r="EG51" s="177"/>
      <c r="EH51" s="177"/>
      <c r="EI51" s="177"/>
      <c r="EJ51" s="177"/>
      <c r="EK51" s="177"/>
      <c r="EL51" s="177"/>
      <c r="EM51" s="177"/>
      <c r="EN51" s="177"/>
      <c r="EO51" s="177"/>
      <c r="EP51" s="177"/>
      <c r="EQ51" s="177"/>
      <c r="ER51" s="177"/>
      <c r="ES51" s="177"/>
      <c r="ET51" s="177"/>
      <c r="EU51" s="177"/>
      <c r="EV51" s="177"/>
      <c r="EW51" s="177"/>
      <c r="EX51" s="177"/>
      <c r="EY51" s="177"/>
      <c r="EZ51" s="177"/>
      <c r="FA51" s="177"/>
      <c r="FB51" s="177"/>
      <c r="FC51" s="177"/>
      <c r="FD51" s="177"/>
      <c r="FE51" s="177"/>
      <c r="FF51" s="177"/>
      <c r="FG51" s="177"/>
      <c r="FH51" s="177"/>
      <c r="FI51" s="177"/>
      <c r="FJ51" s="177"/>
      <c r="FK51" s="177"/>
      <c r="FL51" s="177"/>
      <c r="FM51" s="177"/>
      <c r="FN51" s="177"/>
      <c r="FO51" s="177"/>
      <c r="FP51" s="177"/>
      <c r="FQ51" s="177"/>
      <c r="FR51" s="177"/>
      <c r="FS51" s="177"/>
      <c r="FT51" s="177"/>
      <c r="FU51" s="177"/>
      <c r="FV51" s="177"/>
      <c r="FW51" s="177"/>
      <c r="FX51" s="177"/>
      <c r="FY51" s="177"/>
      <c r="FZ51" s="177"/>
      <c r="GA51" s="177"/>
      <c r="GB51" s="177"/>
      <c r="GC51" s="177"/>
      <c r="GD51" s="177"/>
      <c r="GE51" s="177"/>
      <c r="GF51" s="177"/>
      <c r="GG51" s="177"/>
      <c r="GH51" s="177"/>
      <c r="GI51" s="177"/>
      <c r="GJ51" s="177"/>
      <c r="GK51" s="177"/>
      <c r="GL51" s="177"/>
      <c r="GM51" s="177"/>
      <c r="GN51" s="177"/>
      <c r="GO51" s="177"/>
      <c r="GP51" s="177"/>
      <c r="GQ51" s="177"/>
      <c r="GR51" s="177"/>
      <c r="GS51" s="177"/>
      <c r="GT51" s="177"/>
      <c r="GU51" s="177"/>
      <c r="GV51" s="177"/>
      <c r="GW51" s="177"/>
      <c r="GX51" s="177"/>
    </row>
    <row r="52" spans="2:206" ht="14.25" x14ac:dyDescent="0.25">
      <c r="B52" s="55"/>
      <c r="C52" s="10" t="s">
        <v>277</v>
      </c>
      <c r="D52" s="93" t="s">
        <v>287</v>
      </c>
      <c r="E52" s="177">
        <f t="shared" ref="E52:N52" si="86">(E50*EXP(E50*E48)+E49*EXP(-E49*E48))/((E50+E49)*EXP((E50-E49)*E48))</f>
        <v>1.0405917001548015</v>
      </c>
      <c r="F52" s="268">
        <f t="shared" si="86"/>
        <v>1.0886428143948315</v>
      </c>
      <c r="G52" s="268">
        <f t="shared" si="86"/>
        <v>1.1456902497499226</v>
      </c>
      <c r="H52" s="268">
        <f t="shared" si="86"/>
        <v>1.2136081181958649</v>
      </c>
      <c r="I52" s="268">
        <f t="shared" ref="I52" si="87">(I50*EXP(I50*I48)+I49*EXP(-I49*I48))/((I50+I49)*EXP((I50-I49)*I48))</f>
        <v>1.2946847311680703</v>
      </c>
      <c r="J52" s="268">
        <f t="shared" ref="J52:L52" si="88">(J50*EXP(J50*J48)+J49*EXP(-J49*J48))/((J50+J49)*EXP((J50-J49)*J48))</f>
        <v>1.3917176660933397</v>
      </c>
      <c r="K52" s="268">
        <f t="shared" si="88"/>
        <v>1.5081312334715886</v>
      </c>
      <c r="L52" s="268">
        <f t="shared" si="88"/>
        <v>1.6481217259639638</v>
      </c>
      <c r="M52" s="268">
        <f t="shared" ref="M52" si="89">(M50*EXP(M50*M48)+M49*EXP(-M49*M48))/((M50+M49)*EXP((M50-M49)*M48))</f>
        <v>1.8168371431455375</v>
      </c>
      <c r="N52" s="268">
        <f t="shared" si="86"/>
        <v>2.0205997215410343</v>
      </c>
      <c r="O52" s="268">
        <f t="shared" ref="O52" si="90">(O50*EXP(O50*O48)+O49*EXP(-O49*O48))/((O50+O49)*EXP((O50-O49)*O48))</f>
        <v>2.2671816399299698</v>
      </c>
      <c r="P52" s="268">
        <f t="shared" ref="P52" si="91">(P50*EXP(P50*P48)+P49*EXP(-P49*P48))/((P50+P49)*EXP((P50-P49)*P48))</f>
        <v>2.5661468155825693</v>
      </c>
      <c r="Q52" s="177">
        <f t="shared" ref="Q52:S52" si="92">(Q50*EXP(Q50*Q48)+Q49*EXP(-Q49*Q48))/((Q50+Q49)*EXP((Q50-Q49)*Q48))</f>
        <v>2.9292748843377252</v>
      </c>
      <c r="R52" s="177">
        <f t="shared" si="92"/>
        <v>3.3710874243156046</v>
      </c>
      <c r="S52" s="177">
        <f t="shared" si="92"/>
        <v>3.9095014374689021</v>
      </c>
      <c r="T52" s="177"/>
      <c r="U52" s="177"/>
      <c r="V52" s="177"/>
      <c r="W52" s="177"/>
      <c r="X52" s="177"/>
      <c r="Y52" s="177"/>
      <c r="Z52" s="177"/>
      <c r="AA52" s="177"/>
      <c r="AB52" s="177"/>
      <c r="AC52" s="177"/>
      <c r="AD52" s="177"/>
      <c r="AE52" s="177"/>
      <c r="AF52" s="177"/>
      <c r="AG52" s="177"/>
      <c r="AH52" s="177"/>
      <c r="AI52" s="177"/>
      <c r="AJ52" s="177"/>
      <c r="AK52" s="177"/>
      <c r="AL52" s="177"/>
      <c r="AM52" s="177"/>
      <c r="AN52" s="177"/>
      <c r="AO52" s="177"/>
      <c r="AP52" s="177"/>
      <c r="AQ52" s="177"/>
      <c r="AR52" s="177"/>
      <c r="AS52" s="177"/>
      <c r="AT52" s="177"/>
      <c r="AU52" s="177"/>
      <c r="AV52" s="177"/>
      <c r="AW52" s="177"/>
      <c r="AX52" s="177"/>
      <c r="AY52" s="177"/>
      <c r="AZ52" s="177"/>
      <c r="BA52" s="177"/>
      <c r="BB52" s="177"/>
      <c r="BC52" s="177"/>
      <c r="BD52" s="177"/>
      <c r="BE52" s="177"/>
      <c r="BF52" s="177"/>
      <c r="BG52" s="177"/>
      <c r="BH52" s="177"/>
      <c r="BI52" s="177"/>
      <c r="BJ52" s="177"/>
      <c r="BK52" s="177"/>
      <c r="BL52" s="177"/>
      <c r="BM52" s="177"/>
      <c r="BN52" s="177"/>
      <c r="BO52" s="177"/>
      <c r="BP52" s="177"/>
      <c r="BQ52" s="177"/>
      <c r="BR52" s="177"/>
      <c r="BS52" s="177"/>
      <c r="BT52" s="177"/>
      <c r="BU52" s="177"/>
      <c r="BV52" s="177"/>
      <c r="BW52" s="177"/>
      <c r="BX52" s="177"/>
      <c r="BY52" s="177"/>
      <c r="BZ52" s="177"/>
      <c r="CA52" s="177"/>
      <c r="CB52" s="177"/>
      <c r="CC52" s="177"/>
      <c r="CD52" s="177"/>
      <c r="CE52" s="177"/>
      <c r="CF52" s="177"/>
      <c r="CG52" s="177"/>
      <c r="CH52" s="177"/>
      <c r="CI52" s="177"/>
      <c r="CJ52" s="177"/>
      <c r="CK52" s="177"/>
      <c r="CL52" s="177"/>
      <c r="CM52" s="177"/>
      <c r="CN52" s="177"/>
      <c r="CO52" s="177"/>
      <c r="CP52" s="177"/>
      <c r="CQ52" s="177"/>
      <c r="CR52" s="177"/>
      <c r="CS52" s="177"/>
      <c r="CT52" s="177"/>
      <c r="CU52" s="177"/>
      <c r="CV52" s="177"/>
      <c r="CW52" s="177"/>
      <c r="CX52" s="177"/>
      <c r="CY52" s="177"/>
      <c r="CZ52" s="177"/>
      <c r="DA52" s="177"/>
      <c r="DB52" s="177"/>
      <c r="DC52" s="177"/>
      <c r="DD52" s="177"/>
      <c r="DE52" s="177"/>
      <c r="DF52" s="177"/>
      <c r="DG52" s="177"/>
      <c r="DH52" s="177"/>
      <c r="DI52" s="177"/>
      <c r="DJ52" s="177"/>
      <c r="DK52" s="177"/>
      <c r="DL52" s="177"/>
      <c r="DM52" s="177"/>
      <c r="DN52" s="177"/>
      <c r="DO52" s="177"/>
      <c r="DP52" s="177"/>
      <c r="DQ52" s="177"/>
      <c r="DR52" s="177"/>
      <c r="DS52" s="177"/>
      <c r="DT52" s="177"/>
      <c r="DU52" s="177"/>
      <c r="DV52" s="177"/>
      <c r="DW52" s="177"/>
      <c r="DX52" s="177"/>
      <c r="DY52" s="177"/>
      <c r="DZ52" s="177"/>
      <c r="EA52" s="177"/>
      <c r="EB52" s="177"/>
      <c r="EC52" s="177"/>
      <c r="ED52" s="177"/>
      <c r="EE52" s="177"/>
      <c r="EF52" s="177"/>
      <c r="EG52" s="177"/>
      <c r="EH52" s="177"/>
      <c r="EI52" s="177"/>
      <c r="EJ52" s="177"/>
      <c r="EK52" s="177"/>
      <c r="EL52" s="177"/>
      <c r="EM52" s="177"/>
      <c r="EN52" s="177"/>
      <c r="EO52" s="177"/>
      <c r="EP52" s="177"/>
      <c r="EQ52" s="177"/>
      <c r="ER52" s="177"/>
      <c r="ES52" s="177"/>
      <c r="ET52" s="177"/>
      <c r="EU52" s="177"/>
      <c r="EV52" s="177"/>
      <c r="EW52" s="177"/>
      <c r="EX52" s="177"/>
      <c r="EY52" s="177"/>
      <c r="EZ52" s="177"/>
      <c r="FA52" s="177"/>
      <c r="FB52" s="177"/>
      <c r="FC52" s="177"/>
      <c r="FD52" s="177"/>
      <c r="FE52" s="177"/>
      <c r="FF52" s="177"/>
      <c r="FG52" s="177"/>
      <c r="FH52" s="177"/>
      <c r="FI52" s="177"/>
      <c r="FJ52" s="177"/>
      <c r="FK52" s="177"/>
      <c r="FL52" s="177"/>
      <c r="FM52" s="177"/>
      <c r="FN52" s="177"/>
      <c r="FO52" s="177"/>
      <c r="FP52" s="177"/>
      <c r="FQ52" s="177"/>
      <c r="FR52" s="177"/>
      <c r="FS52" s="177"/>
      <c r="FT52" s="177"/>
      <c r="FU52" s="177"/>
      <c r="FV52" s="177"/>
      <c r="FW52" s="177"/>
      <c r="FX52" s="177"/>
      <c r="FY52" s="177"/>
      <c r="FZ52" s="177"/>
      <c r="GA52" s="177"/>
      <c r="GB52" s="177"/>
      <c r="GC52" s="177"/>
      <c r="GD52" s="177"/>
      <c r="GE52" s="177"/>
      <c r="GF52" s="177"/>
      <c r="GG52" s="177"/>
      <c r="GH52" s="177"/>
      <c r="GI52" s="177"/>
      <c r="GJ52" s="177"/>
      <c r="GK52" s="177"/>
      <c r="GL52" s="177"/>
      <c r="GM52" s="177"/>
      <c r="GN52" s="177"/>
      <c r="GO52" s="177"/>
      <c r="GP52" s="177"/>
      <c r="GQ52" s="177"/>
      <c r="GR52" s="177"/>
      <c r="GS52" s="177"/>
      <c r="GT52" s="177"/>
      <c r="GU52" s="177"/>
      <c r="GV52" s="177"/>
      <c r="GW52" s="177"/>
      <c r="GX52" s="177"/>
    </row>
    <row r="53" spans="2:206" ht="14.25" x14ac:dyDescent="0.25">
      <c r="B53" s="55"/>
      <c r="C53" s="10" t="s">
        <v>279</v>
      </c>
      <c r="D53" s="93" t="s">
        <v>288</v>
      </c>
      <c r="E53" s="177">
        <f>E48+2*(E51-1)</f>
        <v>12.428571428571429</v>
      </c>
      <c r="F53" s="268">
        <f t="shared" ref="F53:H53" si="93">F48+2*(F51-1)</f>
        <v>12.428571428571429</v>
      </c>
      <c r="G53" s="268">
        <f t="shared" si="93"/>
        <v>12.428571428571429</v>
      </c>
      <c r="H53" s="268">
        <f t="shared" si="93"/>
        <v>12.428571428571429</v>
      </c>
      <c r="I53" s="268">
        <f t="shared" ref="I53" si="94">I48+2*(I51-1)</f>
        <v>12.428571428571429</v>
      </c>
      <c r="J53" s="268">
        <f t="shared" ref="J53:L53" si="95">J48+2*(J51-1)</f>
        <v>12.428571428571429</v>
      </c>
      <c r="K53" s="268">
        <f t="shared" si="95"/>
        <v>12.439413073200214</v>
      </c>
      <c r="L53" s="268">
        <f t="shared" si="95"/>
        <v>12.626067063190048</v>
      </c>
      <c r="M53" s="268">
        <f>M48+2*(M51-1)</f>
        <v>12.851020952765479</v>
      </c>
      <c r="N53" s="268">
        <f>N48+2*(N51-1)</f>
        <v>13.122704390626142</v>
      </c>
      <c r="O53" s="268">
        <f>O48+2*(O51-1)</f>
        <v>13.451480281811389</v>
      </c>
      <c r="P53" s="268">
        <f>P48+2*(P51-1)</f>
        <v>13.850100516014855</v>
      </c>
      <c r="Q53" s="177">
        <f>Q48+2*(Q51-1)</f>
        <v>14.334271274355062</v>
      </c>
      <c r="R53" s="177">
        <f t="shared" ref="R53:S53" si="96">R48+2*(R51-1)</f>
        <v>14.923354660992235</v>
      </c>
      <c r="S53" s="177">
        <f t="shared" si="96"/>
        <v>15.641240011863299</v>
      </c>
      <c r="T53" s="177"/>
      <c r="U53" s="177"/>
      <c r="V53" s="177"/>
      <c r="W53" s="177"/>
      <c r="X53" s="177"/>
      <c r="Y53" s="177"/>
      <c r="Z53" s="177"/>
      <c r="AA53" s="177"/>
      <c r="AB53" s="177"/>
      <c r="AC53" s="177"/>
      <c r="AD53" s="177"/>
      <c r="AE53" s="177"/>
      <c r="AF53" s="177"/>
      <c r="AG53" s="177"/>
      <c r="AH53" s="177"/>
      <c r="AI53" s="177"/>
      <c r="AJ53" s="177"/>
      <c r="AK53" s="177"/>
      <c r="AL53" s="177"/>
      <c r="AM53" s="177"/>
      <c r="AN53" s="177"/>
      <c r="AO53" s="177"/>
      <c r="AP53" s="177"/>
      <c r="AQ53" s="177"/>
      <c r="AR53" s="177"/>
      <c r="AS53" s="177"/>
      <c r="AT53" s="177"/>
      <c r="AU53" s="177"/>
      <c r="AV53" s="177"/>
      <c r="AW53" s="177"/>
      <c r="AX53" s="177"/>
      <c r="AY53" s="177"/>
      <c r="AZ53" s="177"/>
      <c r="BA53" s="177"/>
      <c r="BB53" s="177"/>
      <c r="BC53" s="177"/>
      <c r="BD53" s="177"/>
      <c r="BE53" s="177"/>
      <c r="BF53" s="177"/>
      <c r="BG53" s="177"/>
      <c r="BH53" s="177"/>
      <c r="BI53" s="177"/>
      <c r="BJ53" s="177"/>
      <c r="BK53" s="177"/>
      <c r="BL53" s="177"/>
      <c r="BM53" s="177"/>
      <c r="BN53" s="177"/>
      <c r="BO53" s="177"/>
      <c r="BP53" s="177"/>
      <c r="BQ53" s="177"/>
      <c r="BR53" s="177"/>
      <c r="BS53" s="177"/>
      <c r="BT53" s="177"/>
      <c r="BU53" s="177"/>
      <c r="BV53" s="177"/>
      <c r="BW53" s="177"/>
      <c r="BX53" s="177"/>
      <c r="BY53" s="177"/>
      <c r="BZ53" s="177"/>
      <c r="CA53" s="177"/>
      <c r="CB53" s="177"/>
      <c r="CC53" s="177"/>
      <c r="CD53" s="177"/>
      <c r="CE53" s="177"/>
      <c r="CF53" s="177"/>
      <c r="CG53" s="177"/>
      <c r="CH53" s="177"/>
      <c r="CI53" s="177"/>
      <c r="CJ53" s="177"/>
      <c r="CK53" s="177"/>
      <c r="CL53" s="177"/>
      <c r="CM53" s="177"/>
      <c r="CN53" s="177"/>
      <c r="CO53" s="177"/>
      <c r="CP53" s="177"/>
      <c r="CQ53" s="177"/>
      <c r="CR53" s="177"/>
      <c r="CS53" s="177"/>
      <c r="CT53" s="177"/>
      <c r="CU53" s="177"/>
      <c r="CV53" s="177"/>
      <c r="CW53" s="177"/>
      <c r="CX53" s="177"/>
      <c r="CY53" s="177"/>
      <c r="CZ53" s="177"/>
      <c r="DA53" s="177"/>
      <c r="DB53" s="177"/>
      <c r="DC53" s="177"/>
      <c r="DD53" s="177"/>
      <c r="DE53" s="177"/>
      <c r="DF53" s="177"/>
      <c r="DG53" s="177"/>
      <c r="DH53" s="177"/>
      <c r="DI53" s="177"/>
      <c r="DJ53" s="177"/>
      <c r="DK53" s="177"/>
      <c r="DL53" s="177"/>
      <c r="DM53" s="177"/>
      <c r="DN53" s="177"/>
      <c r="DO53" s="177"/>
      <c r="DP53" s="177"/>
      <c r="DQ53" s="177"/>
      <c r="DR53" s="177"/>
      <c r="DS53" s="177"/>
      <c r="DT53" s="177"/>
      <c r="DU53" s="177"/>
      <c r="DV53" s="177"/>
      <c r="DW53" s="177"/>
      <c r="DX53" s="177"/>
      <c r="DY53" s="177"/>
      <c r="DZ53" s="177"/>
      <c r="EA53" s="177"/>
      <c r="EB53" s="177"/>
      <c r="EC53" s="177"/>
      <c r="ED53" s="177"/>
      <c r="EE53" s="177"/>
      <c r="EF53" s="177"/>
      <c r="EG53" s="177"/>
      <c r="EH53" s="177"/>
      <c r="EI53" s="177"/>
      <c r="EJ53" s="177"/>
      <c r="EK53" s="177"/>
      <c r="EL53" s="177"/>
      <c r="EM53" s="177"/>
      <c r="EN53" s="177"/>
      <c r="EO53" s="177"/>
      <c r="EP53" s="177"/>
      <c r="EQ53" s="177"/>
      <c r="ER53" s="177"/>
      <c r="ES53" s="177"/>
      <c r="ET53" s="177"/>
      <c r="EU53" s="177"/>
      <c r="EV53" s="177"/>
      <c r="EW53" s="177"/>
      <c r="EX53" s="177"/>
      <c r="EY53" s="177"/>
      <c r="EZ53" s="177"/>
      <c r="FA53" s="177"/>
      <c r="FB53" s="177"/>
      <c r="FC53" s="177"/>
      <c r="FD53" s="177"/>
      <c r="FE53" s="177"/>
      <c r="FF53" s="177"/>
      <c r="FG53" s="177"/>
      <c r="FH53" s="177"/>
      <c r="FI53" s="177"/>
      <c r="FJ53" s="177"/>
      <c r="FK53" s="177"/>
      <c r="FL53" s="177"/>
      <c r="FM53" s="177"/>
      <c r="FN53" s="177"/>
      <c r="FO53" s="177"/>
      <c r="FP53" s="177"/>
      <c r="FQ53" s="177"/>
      <c r="FR53" s="177"/>
      <c r="FS53" s="177"/>
      <c r="FT53" s="177"/>
      <c r="FU53" s="177"/>
      <c r="FV53" s="177"/>
      <c r="FW53" s="177"/>
      <c r="FX53" s="177"/>
      <c r="FY53" s="177"/>
      <c r="FZ53" s="177"/>
      <c r="GA53" s="177"/>
      <c r="GB53" s="177"/>
      <c r="GC53" s="177"/>
      <c r="GD53" s="177"/>
      <c r="GE53" s="177"/>
      <c r="GF53" s="177"/>
      <c r="GG53" s="177"/>
      <c r="GH53" s="177"/>
      <c r="GI53" s="177"/>
      <c r="GJ53" s="177"/>
      <c r="GK53" s="177"/>
      <c r="GL53" s="177"/>
      <c r="GM53" s="177"/>
      <c r="GN53" s="177"/>
      <c r="GO53" s="177"/>
      <c r="GP53" s="177"/>
      <c r="GQ53" s="177"/>
      <c r="GR53" s="177"/>
      <c r="GS53" s="177"/>
      <c r="GT53" s="177"/>
      <c r="GU53" s="177"/>
      <c r="GV53" s="177"/>
      <c r="GW53" s="177"/>
      <c r="GX53" s="177"/>
    </row>
    <row r="54" spans="2:206" ht="14.25" x14ac:dyDescent="0.25">
      <c r="B54" s="55"/>
      <c r="C54" s="10" t="s">
        <v>295</v>
      </c>
      <c r="D54" s="93" t="s">
        <v>290</v>
      </c>
      <c r="E54" s="177">
        <f t="shared" ref="E54:Q54" si="97">1-EXP(-E53*E49/E9)</f>
        <v>0.11381835577381472</v>
      </c>
      <c r="F54" s="268">
        <f t="shared" ref="F54:H54" si="98">1-EXP(-F53*F49/F9)</f>
        <v>0.21468209343657474</v>
      </c>
      <c r="G54" s="268">
        <f t="shared" si="98"/>
        <v>0.304065686321358</v>
      </c>
      <c r="H54" s="268">
        <f t="shared" si="98"/>
        <v>0.38327578563083919</v>
      </c>
      <c r="I54" s="268">
        <f t="shared" ref="I54" si="99">1-EXP(-I53*I49/I9)</f>
        <v>0.4534703216762348</v>
      </c>
      <c r="J54" s="268">
        <f t="shared" si="97"/>
        <v>0.51567543104463753</v>
      </c>
      <c r="K54" s="268">
        <f t="shared" si="97"/>
        <v>0.57111701842395035</v>
      </c>
      <c r="L54" s="268">
        <f t="shared" si="97"/>
        <v>0.62544905038715037</v>
      </c>
      <c r="M54" s="268">
        <f t="shared" ref="M54:N54" si="100">1-EXP(-M53*M49/M9)</f>
        <v>0.67517358056155552</v>
      </c>
      <c r="N54" s="268">
        <f t="shared" si="100"/>
        <v>0.72079764754248565</v>
      </c>
      <c r="O54" s="268">
        <f t="shared" ref="O54" si="101">1-EXP(-O53*O49/O9)</f>
        <v>0.76273107718224176</v>
      </c>
      <c r="P54" s="268">
        <f t="shared" ref="P54" si="102">1-EXP(-P53*P49/P9)</f>
        <v>0.80127733315269256</v>
      </c>
      <c r="Q54" s="177">
        <f t="shared" si="97"/>
        <v>0.83662263306465345</v>
      </c>
      <c r="R54" s="177">
        <f t="shared" ref="R54" si="103">1-EXP(-R53*R49/R9)</f>
        <v>0.8688264973545341</v>
      </c>
      <c r="S54" s="177">
        <f t="shared" ref="S54" si="104">1-EXP(-S53*S49/S9)</f>
        <v>0.89781947411060292</v>
      </c>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c r="AS54" s="177"/>
      <c r="AT54" s="177"/>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77"/>
      <c r="BW54" s="177"/>
      <c r="BX54" s="177"/>
      <c r="BY54" s="177"/>
      <c r="BZ54" s="177"/>
      <c r="CA54" s="177"/>
      <c r="CB54" s="177"/>
      <c r="CC54" s="177"/>
      <c r="CD54" s="177"/>
      <c r="CE54" s="177"/>
      <c r="CF54" s="177"/>
      <c r="CG54" s="177"/>
      <c r="CH54" s="177"/>
      <c r="CI54" s="177"/>
      <c r="CJ54" s="177"/>
      <c r="CK54" s="177"/>
      <c r="CL54" s="177"/>
      <c r="CM54" s="177"/>
      <c r="CN54" s="177"/>
      <c r="CO54" s="177"/>
      <c r="CP54" s="177"/>
      <c r="CQ54" s="177"/>
      <c r="CR54" s="177"/>
      <c r="CS54" s="177"/>
      <c r="CT54" s="177"/>
      <c r="CU54" s="177"/>
      <c r="CV54" s="177"/>
      <c r="CW54" s="177"/>
      <c r="CX54" s="177"/>
      <c r="CY54" s="177"/>
      <c r="CZ54" s="177"/>
      <c r="DA54" s="177"/>
      <c r="DB54" s="177"/>
      <c r="DC54" s="177"/>
      <c r="DD54" s="177"/>
      <c r="DE54" s="177"/>
      <c r="DF54" s="177"/>
      <c r="DG54" s="177"/>
      <c r="DH54" s="177"/>
      <c r="DI54" s="177"/>
      <c r="DJ54" s="177"/>
      <c r="DK54" s="177"/>
      <c r="DL54" s="177"/>
      <c r="DM54" s="177"/>
      <c r="DN54" s="177"/>
      <c r="DO54" s="177"/>
      <c r="DP54" s="177"/>
      <c r="DQ54" s="177"/>
      <c r="DR54" s="177"/>
      <c r="DS54" s="177"/>
      <c r="DT54" s="177"/>
      <c r="DU54" s="177"/>
      <c r="DV54" s="177"/>
      <c r="DW54" s="177"/>
      <c r="DX54" s="177"/>
      <c r="DY54" s="177"/>
      <c r="DZ54" s="177"/>
      <c r="EA54" s="177"/>
      <c r="EB54" s="177"/>
      <c r="EC54" s="177"/>
      <c r="ED54" s="177"/>
      <c r="EE54" s="177"/>
      <c r="EF54" s="177"/>
      <c r="EG54" s="177"/>
      <c r="EH54" s="177"/>
      <c r="EI54" s="177"/>
      <c r="EJ54" s="177"/>
      <c r="EK54" s="177"/>
      <c r="EL54" s="177"/>
      <c r="EM54" s="177"/>
      <c r="EN54" s="177"/>
      <c r="EO54" s="177"/>
      <c r="EP54" s="177"/>
      <c r="EQ54" s="177"/>
      <c r="ER54" s="177"/>
      <c r="ES54" s="177"/>
      <c r="ET54" s="177"/>
      <c r="EU54" s="177"/>
      <c r="EV54" s="177"/>
      <c r="EW54" s="177"/>
      <c r="EX54" s="177"/>
      <c r="EY54" s="177"/>
      <c r="EZ54" s="177"/>
      <c r="FA54" s="177"/>
      <c r="FB54" s="177"/>
      <c r="FC54" s="177"/>
      <c r="FD54" s="177"/>
      <c r="FE54" s="177"/>
      <c r="FF54" s="177"/>
      <c r="FG54" s="177"/>
      <c r="FH54" s="177"/>
      <c r="FI54" s="177"/>
      <c r="FJ54" s="177"/>
      <c r="FK54" s="177"/>
      <c r="FL54" s="177"/>
      <c r="FM54" s="177"/>
      <c r="FN54" s="177"/>
      <c r="FO54" s="177"/>
      <c r="FP54" s="177"/>
      <c r="FQ54" s="177"/>
      <c r="FR54" s="177"/>
      <c r="FS54" s="177"/>
      <c r="FT54" s="177"/>
      <c r="FU54" s="177"/>
      <c r="FV54" s="177"/>
      <c r="FW54" s="177"/>
      <c r="FX54" s="177"/>
      <c r="FY54" s="177"/>
      <c r="FZ54" s="177"/>
      <c r="GA54" s="177"/>
      <c r="GB54" s="177"/>
      <c r="GC54" s="177"/>
      <c r="GD54" s="177"/>
      <c r="GE54" s="177"/>
      <c r="GF54" s="177"/>
      <c r="GG54" s="177"/>
      <c r="GH54" s="177"/>
      <c r="GI54" s="177"/>
      <c r="GJ54" s="177"/>
      <c r="GK54" s="177"/>
      <c r="GL54" s="177"/>
      <c r="GM54" s="177"/>
      <c r="GN54" s="177"/>
      <c r="GO54" s="177"/>
      <c r="GP54" s="177"/>
      <c r="GQ54" s="177"/>
      <c r="GR54" s="177"/>
      <c r="GS54" s="177"/>
      <c r="GT54" s="177"/>
      <c r="GU54" s="177"/>
      <c r="GV54" s="177"/>
      <c r="GW54" s="177"/>
      <c r="GX54" s="177"/>
    </row>
    <row r="55" spans="2:206" ht="14.25" x14ac:dyDescent="0.25">
      <c r="B55" s="55"/>
      <c r="C55" s="10" t="s">
        <v>289</v>
      </c>
      <c r="D55" s="93" t="s">
        <v>291</v>
      </c>
      <c r="E55" s="177">
        <f t="shared" ref="E55:Q55" si="105">1-(1-E54)^E9</f>
        <v>0.21468209343657474</v>
      </c>
      <c r="F55" s="268">
        <f t="shared" ref="F55:H55" si="106">1-(1-F54)^F9</f>
        <v>0.38327578563083931</v>
      </c>
      <c r="G55" s="268">
        <f t="shared" si="106"/>
        <v>0.51567543104463753</v>
      </c>
      <c r="H55" s="268">
        <f t="shared" si="106"/>
        <v>0.6196512434107414</v>
      </c>
      <c r="I55" s="268">
        <f t="shared" ref="I55" si="107">1-(1-I54)^I9</f>
        <v>0.70130531071132174</v>
      </c>
      <c r="J55" s="268">
        <f t="shared" si="105"/>
        <v>0.76542971190620235</v>
      </c>
      <c r="K55" s="268">
        <f t="shared" si="105"/>
        <v>0.81605938811443779</v>
      </c>
      <c r="L55" s="268">
        <f t="shared" si="105"/>
        <v>0.85971158614411258</v>
      </c>
      <c r="M55" s="268">
        <f t="shared" ref="M55:N55" si="108">1-(1-M54)^M9</f>
        <v>0.89448779723479976</v>
      </c>
      <c r="N55" s="268">
        <f t="shared" si="108"/>
        <v>0.9220460463821899</v>
      </c>
      <c r="O55" s="268">
        <f t="shared" ref="O55" si="109">1-(1-O54)^O9</f>
        <v>0.94370345826490065</v>
      </c>
      <c r="P55" s="268">
        <f t="shared" ref="P55" si="110">1-(1-P54)^P9</f>
        <v>0.96050930168109405</v>
      </c>
      <c r="Q55" s="177">
        <f t="shared" si="105"/>
        <v>0.97330783597327308</v>
      </c>
      <c r="R55" s="177">
        <f t="shared" ref="R55" si="111">1-(1-R54)^R9</f>
        <v>0.98279351220371991</v>
      </c>
      <c r="S55" s="177">
        <f t="shared" ref="S55" si="112">1-(1-S54)^S9</f>
        <v>0.98955914012896629</v>
      </c>
      <c r="T55" s="177"/>
      <c r="U55" s="177"/>
      <c r="V55" s="177"/>
      <c r="W55" s="177"/>
      <c r="X55" s="177"/>
      <c r="Y55" s="177"/>
      <c r="Z55" s="177"/>
      <c r="AA55" s="177"/>
      <c r="AB55" s="177"/>
      <c r="AC55" s="177"/>
      <c r="AD55" s="177"/>
      <c r="AE55" s="177"/>
      <c r="AF55" s="177"/>
      <c r="AG55" s="177"/>
      <c r="AH55" s="177"/>
      <c r="AI55" s="177"/>
      <c r="AJ55" s="177"/>
      <c r="AK55" s="177"/>
      <c r="AL55" s="177"/>
      <c r="AM55" s="177"/>
      <c r="AN55" s="177"/>
      <c r="AO55" s="177"/>
      <c r="AP55" s="177"/>
      <c r="AQ55" s="177"/>
      <c r="AR55" s="177"/>
      <c r="AS55" s="177"/>
      <c r="AT55" s="177"/>
      <c r="AU55" s="177"/>
      <c r="AV55" s="177"/>
      <c r="AW55" s="177"/>
      <c r="AX55" s="177"/>
      <c r="AY55" s="177"/>
      <c r="AZ55" s="177"/>
      <c r="BA55" s="177"/>
      <c r="BB55" s="177"/>
      <c r="BC55" s="177"/>
      <c r="BD55" s="177"/>
      <c r="BE55" s="177"/>
      <c r="BF55" s="177"/>
      <c r="BG55" s="177"/>
      <c r="BH55" s="177"/>
      <c r="BI55" s="177"/>
      <c r="BJ55" s="177"/>
      <c r="BK55" s="177"/>
      <c r="BL55" s="177"/>
      <c r="BM55" s="177"/>
      <c r="BN55" s="177"/>
      <c r="BO55" s="177"/>
      <c r="BP55" s="177"/>
      <c r="BQ55" s="177"/>
      <c r="BR55" s="177"/>
      <c r="BS55" s="177"/>
      <c r="BT55" s="177"/>
      <c r="BU55" s="177"/>
      <c r="BV55" s="177"/>
      <c r="BW55" s="177"/>
      <c r="BX55" s="177"/>
      <c r="BY55" s="177"/>
      <c r="BZ55" s="177"/>
      <c r="CA55" s="177"/>
      <c r="CB55" s="177"/>
      <c r="CC55" s="177"/>
      <c r="CD55" s="177"/>
      <c r="CE55" s="177"/>
      <c r="CF55" s="177"/>
      <c r="CG55" s="177"/>
      <c r="CH55" s="177"/>
      <c r="CI55" s="177"/>
      <c r="CJ55" s="177"/>
      <c r="CK55" s="177"/>
      <c r="CL55" s="177"/>
      <c r="CM55" s="177"/>
      <c r="CN55" s="177"/>
      <c r="CO55" s="177"/>
      <c r="CP55" s="177"/>
      <c r="CQ55" s="177"/>
      <c r="CR55" s="177"/>
      <c r="CS55" s="177"/>
      <c r="CT55" s="177"/>
      <c r="CU55" s="177"/>
      <c r="CV55" s="177"/>
      <c r="CW55" s="177"/>
      <c r="CX55" s="177"/>
      <c r="CY55" s="177"/>
      <c r="CZ55" s="177"/>
      <c r="DA55" s="177"/>
      <c r="DB55" s="177"/>
      <c r="DC55" s="177"/>
      <c r="DD55" s="177"/>
      <c r="DE55" s="177"/>
      <c r="DF55" s="177"/>
      <c r="DG55" s="177"/>
      <c r="DH55" s="177"/>
      <c r="DI55" s="177"/>
      <c r="DJ55" s="177"/>
      <c r="DK55" s="177"/>
      <c r="DL55" s="177"/>
      <c r="DM55" s="177"/>
      <c r="DN55" s="177"/>
      <c r="DO55" s="177"/>
      <c r="DP55" s="177"/>
      <c r="DQ55" s="177"/>
      <c r="DR55" s="177"/>
      <c r="DS55" s="177"/>
      <c r="DT55" s="177"/>
      <c r="DU55" s="177"/>
      <c r="DV55" s="177"/>
      <c r="DW55" s="177"/>
      <c r="DX55" s="177"/>
      <c r="DY55" s="177"/>
      <c r="DZ55" s="177"/>
      <c r="EA55" s="177"/>
      <c r="EB55" s="177"/>
      <c r="EC55" s="177"/>
      <c r="ED55" s="177"/>
      <c r="EE55" s="177"/>
      <c r="EF55" s="177"/>
      <c r="EG55" s="177"/>
      <c r="EH55" s="177"/>
      <c r="EI55" s="177"/>
      <c r="EJ55" s="177"/>
      <c r="EK55" s="177"/>
      <c r="EL55" s="177"/>
      <c r="EM55" s="177"/>
      <c r="EN55" s="177"/>
      <c r="EO55" s="177"/>
      <c r="EP55" s="177"/>
      <c r="EQ55" s="177"/>
      <c r="ER55" s="177"/>
      <c r="ES55" s="177"/>
      <c r="ET55" s="177"/>
      <c r="EU55" s="177"/>
      <c r="EV55" s="177"/>
      <c r="EW55" s="177"/>
      <c r="EX55" s="177"/>
      <c r="EY55" s="177"/>
      <c r="EZ55" s="177"/>
      <c r="FA55" s="177"/>
      <c r="FB55" s="177"/>
      <c r="FC55" s="177"/>
      <c r="FD55" s="177"/>
      <c r="FE55" s="177"/>
      <c r="FF55" s="177"/>
      <c r="FG55" s="177"/>
      <c r="FH55" s="177"/>
      <c r="FI55" s="177"/>
      <c r="FJ55" s="177"/>
      <c r="FK55" s="177"/>
      <c r="FL55" s="177"/>
      <c r="FM55" s="177"/>
      <c r="FN55" s="177"/>
      <c r="FO55" s="177"/>
      <c r="FP55" s="177"/>
      <c r="FQ55" s="177"/>
      <c r="FR55" s="177"/>
      <c r="FS55" s="177"/>
      <c r="FT55" s="177"/>
      <c r="FU55" s="177"/>
      <c r="FV55" s="177"/>
      <c r="FW55" s="177"/>
      <c r="FX55" s="177"/>
      <c r="FY55" s="177"/>
      <c r="FZ55" s="177"/>
      <c r="GA55" s="177"/>
      <c r="GB55" s="177"/>
      <c r="GC55" s="177"/>
      <c r="GD55" s="177"/>
      <c r="GE55" s="177"/>
      <c r="GF55" s="177"/>
      <c r="GG55" s="177"/>
      <c r="GH55" s="177"/>
      <c r="GI55" s="177"/>
      <c r="GJ55" s="177"/>
      <c r="GK55" s="177"/>
      <c r="GL55" s="177"/>
      <c r="GM55" s="177"/>
      <c r="GN55" s="177"/>
      <c r="GO55" s="177"/>
      <c r="GP55" s="177"/>
      <c r="GQ55" s="177"/>
      <c r="GR55" s="177"/>
      <c r="GS55" s="177"/>
      <c r="GT55" s="177"/>
      <c r="GU55" s="177"/>
      <c r="GV55" s="177"/>
      <c r="GW55" s="177"/>
      <c r="GX55" s="177"/>
    </row>
    <row r="56" spans="2:206" ht="14.25" x14ac:dyDescent="0.25">
      <c r="B56" s="55"/>
      <c r="C56" s="10" t="s">
        <v>292</v>
      </c>
      <c r="D56" s="93" t="s">
        <v>302</v>
      </c>
      <c r="E56" s="177">
        <f>IF(E42="Free", (1/E49)*(EXP(E49*E53)-E49*E53-1)/E55, "-")</f>
        <v>7.5946713320865902</v>
      </c>
      <c r="F56" s="268">
        <f t="shared" ref="F56" si="113">IF(F42="Free", (1/F49)*(EXP(F49*F53)-F49*F53-1)/F55, "-")</f>
        <v>9.2677223330935394</v>
      </c>
      <c r="G56" s="268">
        <f t="shared" ref="G56" si="114">IF(G42="Free", (1/G49)*(EXP(G49*G53)-G49*G53-1)/G55, "-")</f>
        <v>11.293851448212708</v>
      </c>
      <c r="H56" s="268">
        <f t="shared" ref="H56" si="115">IF(H42="Free", (1/H49)*(EXP(H49*H53)-H49*H53-1)/H55, "-")</f>
        <v>13.746196785469161</v>
      </c>
      <c r="I56" s="268">
        <f t="shared" ref="I56:L56" si="116">IF(I42="Free", (1/I49)*(EXP(I49*I53)-I49*I53-1)/I55, "-")</f>
        <v>16.713489369505904</v>
      </c>
      <c r="J56" s="268">
        <f t="shared" si="116"/>
        <v>20.30360373637323</v>
      </c>
      <c r="K56" s="268">
        <f t="shared" si="116"/>
        <v>24.698637425844076</v>
      </c>
      <c r="L56" s="268">
        <f t="shared" si="116"/>
        <v>31.13756681028508</v>
      </c>
      <c r="M56" s="268">
        <f>IF(M42="Free", (1/M49)*(EXP(M49*M53)-M49*M53-1)/M55, "-")</f>
        <v>39.790676724795439</v>
      </c>
      <c r="N56" s="268">
        <f>IF(N42="Free", (1/N49)*(EXP(N49*N53)-N49*N53-1)/N55, "-")</f>
        <v>51.74085500318197</v>
      </c>
      <c r="O56" s="268">
        <f>IF(O42="Free", (1/O49)*(EXP(O49*O53)-O49*O53-1)/O55, "-")</f>
        <v>68.794241263474674</v>
      </c>
      <c r="P56" s="268">
        <f>IF(P42="Free", (1/P49)*(EXP(P49*P53)-P49*P53-1)/P55, "-")</f>
        <v>94.105113686457841</v>
      </c>
      <c r="Q56" s="177">
        <f>IF(Q42="Free", (1/Q49)*(EXP(Q49*Q53)-Q49*Q53-1)/Q55, "-")</f>
        <v>133.48256043913145</v>
      </c>
      <c r="R56" s="177">
        <f t="shared" ref="R56:S56" si="117">IF(R42="Free", (1/R49)*(EXP(R49*R53)-R49*R53-1)/R55, "-")</f>
        <v>198.30864370297809</v>
      </c>
      <c r="S56" s="177">
        <f t="shared" si="117"/>
        <v>312.57390746775877</v>
      </c>
      <c r="T56" s="177"/>
      <c r="U56" s="177"/>
      <c r="V56" s="177"/>
      <c r="W56" s="177"/>
      <c r="X56" s="177"/>
      <c r="Y56" s="177"/>
      <c r="Z56" s="177"/>
      <c r="AA56" s="177"/>
      <c r="AB56" s="177"/>
      <c r="AC56" s="177"/>
      <c r="AD56" s="177"/>
      <c r="AE56" s="177"/>
      <c r="AF56" s="177"/>
      <c r="AG56" s="177"/>
      <c r="AH56" s="177"/>
      <c r="AI56" s="177"/>
      <c r="AJ56" s="177"/>
      <c r="AK56" s="177"/>
      <c r="AL56" s="177"/>
      <c r="AM56" s="177"/>
      <c r="AN56" s="177"/>
      <c r="AO56" s="177"/>
      <c r="AP56" s="177"/>
      <c r="AQ56" s="177"/>
      <c r="AR56" s="177"/>
      <c r="AS56" s="177"/>
      <c r="AT56" s="177"/>
      <c r="AU56" s="177"/>
      <c r="AV56" s="177"/>
      <c r="AW56" s="177"/>
      <c r="AX56" s="177"/>
      <c r="AY56" s="177"/>
      <c r="AZ56" s="177"/>
      <c r="BA56" s="177"/>
      <c r="BB56" s="177"/>
      <c r="BC56" s="177"/>
      <c r="BD56" s="177"/>
      <c r="BE56" s="177"/>
      <c r="BF56" s="177"/>
      <c r="BG56" s="177"/>
      <c r="BH56" s="177"/>
      <c r="BI56" s="177"/>
      <c r="BJ56" s="177"/>
      <c r="BK56" s="177"/>
      <c r="BL56" s="177"/>
      <c r="BM56" s="177"/>
      <c r="BN56" s="177"/>
      <c r="BO56" s="177"/>
      <c r="BP56" s="177"/>
      <c r="BQ56" s="177"/>
      <c r="BR56" s="177"/>
      <c r="BS56" s="177"/>
      <c r="BT56" s="177"/>
      <c r="BU56" s="177"/>
      <c r="BV56" s="177"/>
      <c r="BW56" s="177"/>
      <c r="BX56" s="177"/>
      <c r="BY56" s="177"/>
      <c r="BZ56" s="177"/>
      <c r="CA56" s="177"/>
      <c r="CB56" s="177"/>
      <c r="CC56" s="177"/>
      <c r="CD56" s="177"/>
      <c r="CE56" s="177"/>
      <c r="CF56" s="177"/>
      <c r="CG56" s="177"/>
      <c r="CH56" s="177"/>
      <c r="CI56" s="177"/>
      <c r="CJ56" s="177"/>
      <c r="CK56" s="177"/>
      <c r="CL56" s="177"/>
      <c r="CM56" s="177"/>
      <c r="CN56" s="177"/>
      <c r="CO56" s="177"/>
      <c r="CP56" s="177"/>
      <c r="CQ56" s="177"/>
      <c r="CR56" s="177"/>
      <c r="CS56" s="177"/>
      <c r="CT56" s="177"/>
      <c r="CU56" s="177"/>
      <c r="CV56" s="177"/>
      <c r="CW56" s="177"/>
      <c r="CX56" s="177"/>
      <c r="CY56" s="177"/>
      <c r="CZ56" s="177"/>
      <c r="DA56" s="177"/>
      <c r="DB56" s="177"/>
      <c r="DC56" s="177"/>
      <c r="DD56" s="177"/>
      <c r="DE56" s="177"/>
      <c r="DF56" s="177"/>
      <c r="DG56" s="177"/>
      <c r="DH56" s="177"/>
      <c r="DI56" s="177"/>
      <c r="DJ56" s="177"/>
      <c r="DK56" s="177"/>
      <c r="DL56" s="177"/>
      <c r="DM56" s="177"/>
      <c r="DN56" s="177"/>
      <c r="DO56" s="177"/>
      <c r="DP56" s="177"/>
      <c r="DQ56" s="177"/>
      <c r="DR56" s="177"/>
      <c r="DS56" s="177"/>
      <c r="DT56" s="177"/>
      <c r="DU56" s="177"/>
      <c r="DV56" s="177"/>
      <c r="DW56" s="177"/>
      <c r="DX56" s="177"/>
      <c r="DY56" s="177"/>
      <c r="DZ56" s="177"/>
      <c r="EA56" s="177"/>
      <c r="EB56" s="177"/>
      <c r="EC56" s="177"/>
      <c r="ED56" s="177"/>
      <c r="EE56" s="177"/>
      <c r="EF56" s="177"/>
      <c r="EG56" s="177"/>
      <c r="EH56" s="177"/>
      <c r="EI56" s="177"/>
      <c r="EJ56" s="177"/>
      <c r="EK56" s="177"/>
      <c r="EL56" s="177"/>
      <c r="EM56" s="177"/>
      <c r="EN56" s="177"/>
      <c r="EO56" s="177"/>
      <c r="EP56" s="177"/>
      <c r="EQ56" s="177"/>
      <c r="ER56" s="177"/>
      <c r="ES56" s="177"/>
      <c r="ET56" s="177"/>
      <c r="EU56" s="177"/>
      <c r="EV56" s="177"/>
      <c r="EW56" s="177"/>
      <c r="EX56" s="177"/>
      <c r="EY56" s="177"/>
      <c r="EZ56" s="177"/>
      <c r="FA56" s="177"/>
      <c r="FB56" s="177"/>
      <c r="FC56" s="177"/>
      <c r="FD56" s="177"/>
      <c r="FE56" s="177"/>
      <c r="FF56" s="177"/>
      <c r="FG56" s="177"/>
      <c r="FH56" s="177"/>
      <c r="FI56" s="177"/>
      <c r="FJ56" s="177"/>
      <c r="FK56" s="177"/>
      <c r="FL56" s="177"/>
      <c r="FM56" s="177"/>
      <c r="FN56" s="177"/>
      <c r="FO56" s="177"/>
      <c r="FP56" s="177"/>
      <c r="FQ56" s="177"/>
      <c r="FR56" s="177"/>
      <c r="FS56" s="177"/>
      <c r="FT56" s="177"/>
      <c r="FU56" s="177"/>
      <c r="FV56" s="177"/>
      <c r="FW56" s="177"/>
      <c r="FX56" s="177"/>
      <c r="FY56" s="177"/>
      <c r="FZ56" s="177"/>
      <c r="GA56" s="177"/>
      <c r="GB56" s="177"/>
      <c r="GC56" s="177"/>
      <c r="GD56" s="177"/>
      <c r="GE56" s="177"/>
      <c r="GF56" s="177"/>
      <c r="GG56" s="177"/>
      <c r="GH56" s="177"/>
      <c r="GI56" s="177"/>
      <c r="GJ56" s="177"/>
      <c r="GK56" s="177"/>
      <c r="GL56" s="177"/>
      <c r="GM56" s="177"/>
      <c r="GN56" s="177"/>
      <c r="GO56" s="177"/>
      <c r="GP56" s="177"/>
      <c r="GQ56" s="177"/>
      <c r="GR56" s="177"/>
      <c r="GS56" s="177"/>
      <c r="GT56" s="177"/>
      <c r="GU56" s="177"/>
      <c r="GV56" s="177"/>
      <c r="GW56" s="177"/>
      <c r="GX56" s="177"/>
    </row>
    <row r="57" spans="2:206" ht="14.25" x14ac:dyDescent="0.25">
      <c r="B57" s="55"/>
      <c r="C57" s="10" t="s">
        <v>300</v>
      </c>
      <c r="D57" s="93" t="s">
        <v>303</v>
      </c>
      <c r="E57" s="178">
        <f>IF(E42="Free", _xlfn.CEILING.MATH(1/EXP(-E49*E48),1),"-")</f>
        <v>2</v>
      </c>
      <c r="F57" s="270">
        <f t="shared" ref="F57:H57" si="118">IF(F42="Free", _xlfn.CEILING.MATH(1/EXP(-F49*F48),1),"-")</f>
        <v>2</v>
      </c>
      <c r="G57" s="270">
        <f t="shared" si="118"/>
        <v>3</v>
      </c>
      <c r="H57" s="270">
        <f t="shared" si="118"/>
        <v>3</v>
      </c>
      <c r="I57" s="270">
        <f t="shared" ref="I57" si="119">IF(I42="Free", _xlfn.CEILING.MATH(1/EXP(-I49*I48),1),"-")</f>
        <v>4</v>
      </c>
      <c r="J57" s="270">
        <f t="shared" ref="J57:S57" si="120">IF(J42="Free", _xlfn.CEILING.MATH(1/EXP(-J49*J48),1),"-")</f>
        <v>5</v>
      </c>
      <c r="K57" s="270">
        <f t="shared" si="120"/>
        <v>6</v>
      </c>
      <c r="L57" s="270">
        <f t="shared" si="120"/>
        <v>7</v>
      </c>
      <c r="M57" s="270">
        <f t="shared" si="120"/>
        <v>9</v>
      </c>
      <c r="N57" s="270">
        <f t="shared" si="120"/>
        <v>12</v>
      </c>
      <c r="O57" s="270">
        <f t="shared" si="120"/>
        <v>15</v>
      </c>
      <c r="P57" s="270">
        <f t="shared" si="120"/>
        <v>19</v>
      </c>
      <c r="Q57" s="178">
        <f t="shared" si="120"/>
        <v>24</v>
      </c>
      <c r="R57" s="178">
        <f t="shared" si="120"/>
        <v>30</v>
      </c>
      <c r="S57" s="178">
        <f t="shared" si="120"/>
        <v>38</v>
      </c>
      <c r="T57" s="178"/>
      <c r="U57" s="178"/>
      <c r="V57" s="178"/>
      <c r="W57" s="178"/>
      <c r="X57" s="178"/>
      <c r="Y57" s="178"/>
      <c r="Z57" s="178"/>
      <c r="AA57" s="178"/>
      <c r="AB57" s="178"/>
      <c r="AC57" s="178"/>
      <c r="AD57" s="178"/>
      <c r="AE57" s="178"/>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c r="BK57" s="178"/>
      <c r="BL57" s="178"/>
      <c r="BM57" s="178"/>
      <c r="BN57" s="178"/>
      <c r="BO57" s="178"/>
      <c r="BP57" s="178"/>
      <c r="BQ57" s="178"/>
      <c r="BR57" s="178"/>
      <c r="BS57" s="178"/>
      <c r="BT57" s="178"/>
      <c r="BU57" s="178"/>
      <c r="BV57" s="178"/>
      <c r="BW57" s="178"/>
      <c r="BX57" s="178"/>
      <c r="BY57" s="178"/>
      <c r="BZ57" s="178"/>
      <c r="CA57" s="178"/>
      <c r="CB57" s="178"/>
      <c r="CC57" s="178"/>
      <c r="CD57" s="178"/>
      <c r="CE57" s="178"/>
      <c r="CF57" s="178"/>
      <c r="CG57" s="178"/>
      <c r="CH57" s="178"/>
      <c r="CI57" s="178"/>
      <c r="CJ57" s="178"/>
      <c r="CK57" s="178"/>
      <c r="CL57" s="178"/>
      <c r="CM57" s="178"/>
      <c r="CN57" s="178"/>
      <c r="CO57" s="178"/>
      <c r="CP57" s="178"/>
      <c r="CQ57" s="178"/>
      <c r="CR57" s="178"/>
      <c r="CS57" s="178"/>
      <c r="CT57" s="178"/>
      <c r="CU57" s="178"/>
      <c r="CV57" s="178"/>
      <c r="CW57" s="178"/>
      <c r="CX57" s="178"/>
      <c r="CY57" s="178"/>
      <c r="CZ57" s="178"/>
      <c r="DA57" s="178"/>
      <c r="DB57" s="178"/>
      <c r="DC57" s="178"/>
      <c r="DD57" s="178"/>
      <c r="DE57" s="178"/>
      <c r="DF57" s="178"/>
      <c r="DG57" s="178"/>
      <c r="DH57" s="178"/>
      <c r="DI57" s="178"/>
      <c r="DJ57" s="178"/>
      <c r="DK57" s="178"/>
      <c r="DL57" s="178"/>
      <c r="DM57" s="178"/>
      <c r="DN57" s="178"/>
      <c r="DO57" s="178"/>
      <c r="DP57" s="178"/>
      <c r="DQ57" s="178"/>
      <c r="DR57" s="178"/>
      <c r="DS57" s="178"/>
      <c r="DT57" s="178"/>
      <c r="DU57" s="178"/>
      <c r="DV57" s="178"/>
      <c r="DW57" s="178"/>
      <c r="DX57" s="178"/>
      <c r="DY57" s="178"/>
      <c r="DZ57" s="178"/>
      <c r="EA57" s="178"/>
      <c r="EB57" s="178"/>
      <c r="EC57" s="178"/>
      <c r="ED57" s="178"/>
      <c r="EE57" s="178"/>
      <c r="EF57" s="178"/>
      <c r="EG57" s="178"/>
      <c r="EH57" s="178"/>
      <c r="EI57" s="178"/>
      <c r="EJ57" s="178"/>
      <c r="EK57" s="178"/>
      <c r="EL57" s="178"/>
      <c r="EM57" s="178"/>
      <c r="EN57" s="178"/>
      <c r="EO57" s="178"/>
      <c r="EP57" s="178"/>
      <c r="EQ57" s="178"/>
      <c r="ER57" s="178"/>
      <c r="ES57" s="178"/>
      <c r="ET57" s="178"/>
      <c r="EU57" s="178"/>
      <c r="EV57" s="178"/>
      <c r="EW57" s="178"/>
      <c r="EX57" s="178"/>
      <c r="EY57" s="178"/>
      <c r="EZ57" s="178"/>
      <c r="FA57" s="178"/>
      <c r="FB57" s="178"/>
      <c r="FC57" s="178"/>
      <c r="FD57" s="178"/>
      <c r="FE57" s="178"/>
      <c r="FF57" s="178"/>
      <c r="FG57" s="178"/>
      <c r="FH57" s="178"/>
      <c r="FI57" s="178"/>
      <c r="FJ57" s="178"/>
      <c r="FK57" s="178"/>
      <c r="FL57" s="178"/>
      <c r="FM57" s="178"/>
      <c r="FN57" s="178"/>
      <c r="FO57" s="178"/>
      <c r="FP57" s="178"/>
      <c r="FQ57" s="178"/>
      <c r="FR57" s="178"/>
      <c r="FS57" s="178"/>
      <c r="FT57" s="178"/>
      <c r="FU57" s="178"/>
      <c r="FV57" s="178"/>
      <c r="FW57" s="178"/>
      <c r="FX57" s="178"/>
      <c r="FY57" s="178"/>
      <c r="FZ57" s="178"/>
      <c r="GA57" s="178"/>
      <c r="GB57" s="178"/>
      <c r="GC57" s="178"/>
      <c r="GD57" s="178"/>
      <c r="GE57" s="178"/>
      <c r="GF57" s="178"/>
      <c r="GG57" s="178"/>
      <c r="GH57" s="178"/>
      <c r="GI57" s="178"/>
      <c r="GJ57" s="178"/>
      <c r="GK57" s="178"/>
      <c r="GL57" s="178"/>
      <c r="GM57" s="178"/>
      <c r="GN57" s="178"/>
      <c r="GO57" s="178"/>
      <c r="GP57" s="178"/>
      <c r="GQ57" s="178"/>
      <c r="GR57" s="178"/>
      <c r="GS57" s="178"/>
      <c r="GT57" s="178"/>
      <c r="GU57" s="178"/>
      <c r="GV57" s="178"/>
      <c r="GW57" s="178"/>
      <c r="GX57" s="178"/>
    </row>
    <row r="58" spans="2:206" ht="14.25" x14ac:dyDescent="0.25">
      <c r="B58" s="55"/>
      <c r="C58" s="10" t="s">
        <v>299</v>
      </c>
      <c r="D58" s="93" t="s">
        <v>298</v>
      </c>
      <c r="E58" s="178">
        <f>((1/(E49/E9)) - (E48-(1/(E49/E9)))*EXP(-(E49/E9)*E48))/(1-EXP(-(E49/E9)*E48))</f>
        <v>1607.7660033535569</v>
      </c>
      <c r="F58" s="270">
        <f t="shared" ref="F58:H58" si="121">((1/(F49/F9)) - (F48-(1/(F49/F9)))*EXP(-(F49/F9)*F48))/(1-EXP(-(F49/F9)*F48))</f>
        <v>382.22083859447491</v>
      </c>
      <c r="G58" s="270">
        <f t="shared" si="121"/>
        <v>162.78341235342248</v>
      </c>
      <c r="H58" s="270">
        <f t="shared" si="121"/>
        <v>88.46869197245654</v>
      </c>
      <c r="I58" s="270">
        <f t="shared" ref="I58" si="122">((1/(I49/I9)) - (I48-(1/(I49/I9)))*EXP(-(I49/I9)*I48))/(1-EXP(-(I49/I9)*I48))</f>
        <v>55.178344580211544</v>
      </c>
      <c r="J58" s="270">
        <f t="shared" ref="J58:L58" si="123">((1/(J49/J9)) - (J48-(1/(J49/J9)))*EXP(-(J49/J9)*J48))/(1-EXP(-(J49/J9)*J48))</f>
        <v>37.671179136861852</v>
      </c>
      <c r="K58" s="270">
        <f t="shared" si="123"/>
        <v>27.445923890092899</v>
      </c>
      <c r="L58" s="270">
        <f t="shared" si="123"/>
        <v>21.012060583374247</v>
      </c>
      <c r="M58" s="270">
        <f>((1/(M49/M9)) - (M48-(1/(M49/M9)))*EXP(-(M49/M9)*M48))/(1-EXP(-(M49/M9)*M48))</f>
        <v>16.730746866515037</v>
      </c>
      <c r="N58" s="270">
        <f>((1/(N49/N9)) - (N48-(1/(N49/N9)))*EXP(-(N49/N9)*N48))/(1-EXP(-(N49/N9)*N48))</f>
        <v>13.753858825701931</v>
      </c>
      <c r="O58" s="270">
        <f>((1/(O49/O9)) - (O48-(1/(O49/O9)))*EXP(-(O49/O9)*O48))/(1-EXP(-(O49/O9)*O48))</f>
        <v>11.608736828177163</v>
      </c>
      <c r="P58" s="270">
        <f>((1/(P49/P9)) - (P48-(1/(P49/P9)))*EXP(-(P49/P9)*P48))/(1-EXP(-(P49/P9)*P48))</f>
        <v>10.016148237983645</v>
      </c>
      <c r="Q58" s="178">
        <f>((1/(Q49/Q9)) - (Q48-(1/(Q49/Q9)))*EXP(-(Q49/Q9)*Q48))/(1-EXP(-(Q49/Q9)*Q48))</f>
        <v>8.8031693760787579</v>
      </c>
      <c r="R58" s="178">
        <f t="shared" ref="R58:S58" si="124">((1/(R49/R9)) - (R48-(1/(R49/R9)))*EXP(-(R49/R9)*R48))/(1-EXP(-(R49/R9)*R48))</f>
        <v>7.8584653718054165</v>
      </c>
      <c r="S58" s="178">
        <f t="shared" si="124"/>
        <v>7.1079775889126759</v>
      </c>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c r="BK58" s="178"/>
      <c r="BL58" s="178"/>
      <c r="BM58" s="178"/>
      <c r="BN58" s="178"/>
      <c r="BO58" s="178"/>
      <c r="BP58" s="178"/>
      <c r="BQ58" s="178"/>
      <c r="BR58" s="178"/>
      <c r="BS58" s="178"/>
      <c r="BT58" s="178"/>
      <c r="BU58" s="178"/>
      <c r="BV58" s="178"/>
      <c r="BW58" s="178"/>
      <c r="BX58" s="178"/>
      <c r="BY58" s="178"/>
      <c r="BZ58" s="178"/>
      <c r="CA58" s="178"/>
      <c r="CB58" s="178"/>
      <c r="CC58" s="178"/>
      <c r="CD58" s="178"/>
      <c r="CE58" s="178"/>
      <c r="CF58" s="178"/>
      <c r="CG58" s="178"/>
      <c r="CH58" s="178"/>
      <c r="CI58" s="178"/>
      <c r="CJ58" s="178"/>
      <c r="CK58" s="178"/>
      <c r="CL58" s="178"/>
      <c r="CM58" s="178"/>
      <c r="CN58" s="178"/>
      <c r="CO58" s="178"/>
      <c r="CP58" s="178"/>
      <c r="CQ58" s="178"/>
      <c r="CR58" s="178"/>
      <c r="CS58" s="178"/>
      <c r="CT58" s="178"/>
      <c r="CU58" s="178"/>
      <c r="CV58" s="178"/>
      <c r="CW58" s="178"/>
      <c r="CX58" s="178"/>
      <c r="CY58" s="178"/>
      <c r="CZ58" s="178"/>
      <c r="DA58" s="178"/>
      <c r="DB58" s="178"/>
      <c r="DC58" s="178"/>
      <c r="DD58" s="178"/>
      <c r="DE58" s="178"/>
      <c r="DF58" s="178"/>
      <c r="DG58" s="178"/>
      <c r="DH58" s="178"/>
      <c r="DI58" s="178"/>
      <c r="DJ58" s="178"/>
      <c r="DK58" s="178"/>
      <c r="DL58" s="178"/>
      <c r="DM58" s="178"/>
      <c r="DN58" s="178"/>
      <c r="DO58" s="178"/>
      <c r="DP58" s="178"/>
      <c r="DQ58" s="178"/>
      <c r="DR58" s="178"/>
      <c r="DS58" s="178"/>
      <c r="DT58" s="178"/>
      <c r="DU58" s="178"/>
      <c r="DV58" s="178"/>
      <c r="DW58" s="178"/>
      <c r="DX58" s="178"/>
      <c r="DY58" s="178"/>
      <c r="DZ58" s="178"/>
      <c r="EA58" s="178"/>
      <c r="EB58" s="178"/>
      <c r="EC58" s="178"/>
      <c r="ED58" s="178"/>
      <c r="EE58" s="178"/>
      <c r="EF58" s="178"/>
      <c r="EG58" s="178"/>
      <c r="EH58" s="178"/>
      <c r="EI58" s="178"/>
      <c r="EJ58" s="178"/>
      <c r="EK58" s="178"/>
      <c r="EL58" s="178"/>
      <c r="EM58" s="178"/>
      <c r="EN58" s="178"/>
      <c r="EO58" s="178"/>
      <c r="EP58" s="178"/>
      <c r="EQ58" s="178"/>
      <c r="ER58" s="178"/>
      <c r="ES58" s="178"/>
      <c r="ET58" s="178"/>
      <c r="EU58" s="178"/>
      <c r="EV58" s="178"/>
      <c r="EW58" s="178"/>
      <c r="EX58" s="178"/>
      <c r="EY58" s="178"/>
      <c r="EZ58" s="178"/>
      <c r="FA58" s="178"/>
      <c r="FB58" s="178"/>
      <c r="FC58" s="178"/>
      <c r="FD58" s="178"/>
      <c r="FE58" s="178"/>
      <c r="FF58" s="178"/>
      <c r="FG58" s="178"/>
      <c r="FH58" s="178"/>
      <c r="FI58" s="178"/>
      <c r="FJ58" s="178"/>
      <c r="FK58" s="178"/>
      <c r="FL58" s="178"/>
      <c r="FM58" s="178"/>
      <c r="FN58" s="178"/>
      <c r="FO58" s="178"/>
      <c r="FP58" s="178"/>
      <c r="FQ58" s="178"/>
      <c r="FR58" s="178"/>
      <c r="FS58" s="178"/>
      <c r="FT58" s="178"/>
      <c r="FU58" s="178"/>
      <c r="FV58" s="178"/>
      <c r="FW58" s="178"/>
      <c r="FX58" s="178"/>
      <c r="FY58" s="178"/>
      <c r="FZ58" s="178"/>
      <c r="GA58" s="178"/>
      <c r="GB58" s="178"/>
      <c r="GC58" s="178"/>
      <c r="GD58" s="178"/>
      <c r="GE58" s="178"/>
      <c r="GF58" s="178"/>
      <c r="GG58" s="178"/>
      <c r="GH58" s="178"/>
      <c r="GI58" s="178"/>
      <c r="GJ58" s="178"/>
      <c r="GK58" s="178"/>
      <c r="GL58" s="178"/>
      <c r="GM58" s="178"/>
      <c r="GN58" s="178"/>
      <c r="GO58" s="178"/>
      <c r="GP58" s="178"/>
      <c r="GQ58" s="178"/>
      <c r="GR58" s="178"/>
      <c r="GS58" s="178"/>
      <c r="GT58" s="178"/>
      <c r="GU58" s="178"/>
      <c r="GV58" s="178"/>
      <c r="GW58" s="178"/>
      <c r="GX58" s="178"/>
    </row>
    <row r="59" spans="2:206" ht="14.25" x14ac:dyDescent="0.25">
      <c r="B59" s="55"/>
      <c r="C59" s="10" t="s">
        <v>103</v>
      </c>
      <c r="D59" s="93" t="s">
        <v>39</v>
      </c>
      <c r="E59" s="177">
        <f t="shared" ref="E59:N59" si="125">0.681*E9^0.514</f>
        <v>0.97247071016552877</v>
      </c>
      <c r="F59" s="268">
        <f t="shared" si="125"/>
        <v>0.97247071016552877</v>
      </c>
      <c r="G59" s="268">
        <f t="shared" si="125"/>
        <v>0.97247071016552877</v>
      </c>
      <c r="H59" s="268">
        <f t="shared" si="125"/>
        <v>0.97247071016552877</v>
      </c>
      <c r="I59" s="268">
        <f t="shared" ref="I59" si="126">0.681*I9^0.514</f>
        <v>0.97247071016552877</v>
      </c>
      <c r="J59" s="268">
        <f t="shared" ref="J59:L59" si="127">0.681*J9^0.514</f>
        <v>0.97247071016552877</v>
      </c>
      <c r="K59" s="268">
        <f t="shared" si="127"/>
        <v>0.97247071016552877</v>
      </c>
      <c r="L59" s="268">
        <f t="shared" si="127"/>
        <v>0.97247071016552877</v>
      </c>
      <c r="M59" s="268">
        <f t="shared" ref="M59" si="128">0.681*M9^0.514</f>
        <v>0.97247071016552877</v>
      </c>
      <c r="N59" s="268">
        <f t="shared" si="125"/>
        <v>0.97247071016552877</v>
      </c>
      <c r="O59" s="268">
        <f t="shared" ref="O59" si="129">0.681*O9^0.514</f>
        <v>0.97247071016552877</v>
      </c>
      <c r="P59" s="268">
        <f t="shared" ref="P59" si="130">0.681*P9^0.514</f>
        <v>0.97247071016552877</v>
      </c>
      <c r="Q59" s="177">
        <f t="shared" ref="Q59:S59" si="131">0.681*Q9^0.514</f>
        <v>0.97247071016552877</v>
      </c>
      <c r="R59" s="177">
        <f t="shared" si="131"/>
        <v>0.97247071016552877</v>
      </c>
      <c r="S59" s="177">
        <f t="shared" si="131"/>
        <v>0.97247071016552877</v>
      </c>
      <c r="T59" s="177"/>
      <c r="U59" s="177"/>
      <c r="V59" s="177"/>
      <c r="W59" s="177"/>
      <c r="X59" s="177"/>
      <c r="Y59" s="177"/>
      <c r="Z59" s="177"/>
      <c r="AA59" s="177"/>
      <c r="AB59" s="177"/>
      <c r="AC59" s="177"/>
      <c r="AD59" s="177"/>
      <c r="AE59" s="177"/>
      <c r="AF59" s="177"/>
      <c r="AG59" s="177"/>
      <c r="AH59" s="177"/>
      <c r="AI59" s="177"/>
      <c r="AJ59" s="177"/>
      <c r="AK59" s="177"/>
      <c r="AL59" s="177"/>
      <c r="AM59" s="177"/>
      <c r="AN59" s="177"/>
      <c r="AO59" s="177"/>
      <c r="AP59" s="177"/>
      <c r="AQ59" s="177"/>
      <c r="AR59" s="177"/>
      <c r="AS59" s="177"/>
      <c r="AT59" s="177"/>
      <c r="AU59" s="177"/>
      <c r="AV59" s="177"/>
      <c r="AW59" s="177"/>
      <c r="AX59" s="177"/>
      <c r="AY59" s="177"/>
      <c r="AZ59" s="177"/>
      <c r="BA59" s="177"/>
      <c r="BB59" s="177"/>
      <c r="BC59" s="177"/>
      <c r="BD59" s="177"/>
      <c r="BE59" s="177"/>
      <c r="BF59" s="177"/>
      <c r="BG59" s="177"/>
      <c r="BH59" s="177"/>
      <c r="BI59" s="177"/>
      <c r="BJ59" s="177"/>
      <c r="BK59" s="177"/>
      <c r="BL59" s="177"/>
      <c r="BM59" s="177"/>
      <c r="BN59" s="177"/>
      <c r="BO59" s="177"/>
      <c r="BP59" s="177"/>
      <c r="BQ59" s="177"/>
      <c r="BR59" s="177"/>
      <c r="BS59" s="177"/>
      <c r="BT59" s="177"/>
      <c r="BU59" s="177"/>
      <c r="BV59" s="177"/>
      <c r="BW59" s="177"/>
      <c r="BX59" s="177"/>
      <c r="BY59" s="177"/>
      <c r="BZ59" s="177"/>
      <c r="CA59" s="177"/>
      <c r="CB59" s="177"/>
      <c r="CC59" s="177"/>
      <c r="CD59" s="177"/>
      <c r="CE59" s="177"/>
      <c r="CF59" s="177"/>
      <c r="CG59" s="177"/>
      <c r="CH59" s="177"/>
      <c r="CI59" s="177"/>
      <c r="CJ59" s="177"/>
      <c r="CK59" s="177"/>
      <c r="CL59" s="177"/>
      <c r="CM59" s="177"/>
      <c r="CN59" s="177"/>
      <c r="CO59" s="177"/>
      <c r="CP59" s="177"/>
      <c r="CQ59" s="177"/>
      <c r="CR59" s="177"/>
      <c r="CS59" s="177"/>
      <c r="CT59" s="177"/>
      <c r="CU59" s="177"/>
      <c r="CV59" s="177"/>
      <c r="CW59" s="177"/>
      <c r="CX59" s="177"/>
      <c r="CY59" s="177"/>
      <c r="CZ59" s="177"/>
      <c r="DA59" s="177"/>
      <c r="DB59" s="177"/>
      <c r="DC59" s="177"/>
      <c r="DD59" s="177"/>
      <c r="DE59" s="177"/>
      <c r="DF59" s="177"/>
      <c r="DG59" s="177"/>
      <c r="DH59" s="177"/>
      <c r="DI59" s="177"/>
      <c r="DJ59" s="177"/>
      <c r="DK59" s="177"/>
      <c r="DL59" s="177"/>
      <c r="DM59" s="177"/>
      <c r="DN59" s="177"/>
      <c r="DO59" s="177"/>
      <c r="DP59" s="177"/>
      <c r="DQ59" s="177"/>
      <c r="DR59" s="177"/>
      <c r="DS59" s="177"/>
      <c r="DT59" s="177"/>
      <c r="DU59" s="177"/>
      <c r="DV59" s="177"/>
      <c r="DW59" s="177"/>
      <c r="DX59" s="177"/>
      <c r="DY59" s="177"/>
      <c r="DZ59" s="177"/>
      <c r="EA59" s="177"/>
      <c r="EB59" s="177"/>
      <c r="EC59" s="177"/>
      <c r="ED59" s="177"/>
      <c r="EE59" s="177"/>
      <c r="EF59" s="177"/>
      <c r="EG59" s="177"/>
      <c r="EH59" s="177"/>
      <c r="EI59" s="177"/>
      <c r="EJ59" s="177"/>
      <c r="EK59" s="177"/>
      <c r="EL59" s="177"/>
      <c r="EM59" s="177"/>
      <c r="EN59" s="177"/>
      <c r="EO59" s="177"/>
      <c r="EP59" s="177"/>
      <c r="EQ59" s="177"/>
      <c r="ER59" s="177"/>
      <c r="ES59" s="177"/>
      <c r="ET59" s="177"/>
      <c r="EU59" s="177"/>
      <c r="EV59" s="177"/>
      <c r="EW59" s="177"/>
      <c r="EX59" s="177"/>
      <c r="EY59" s="177"/>
      <c r="EZ59" s="177"/>
      <c r="FA59" s="177"/>
      <c r="FB59" s="177"/>
      <c r="FC59" s="177"/>
      <c r="FD59" s="177"/>
      <c r="FE59" s="177"/>
      <c r="FF59" s="177"/>
      <c r="FG59" s="177"/>
      <c r="FH59" s="177"/>
      <c r="FI59" s="177"/>
      <c r="FJ59" s="177"/>
      <c r="FK59" s="177"/>
      <c r="FL59" s="177"/>
      <c r="FM59" s="177"/>
      <c r="FN59" s="177"/>
      <c r="FO59" s="177"/>
      <c r="FP59" s="177"/>
      <c r="FQ59" s="177"/>
      <c r="FR59" s="177"/>
      <c r="FS59" s="177"/>
      <c r="FT59" s="177"/>
      <c r="FU59" s="177"/>
      <c r="FV59" s="177"/>
      <c r="FW59" s="177"/>
      <c r="FX59" s="177"/>
      <c r="FY59" s="177"/>
      <c r="FZ59" s="177"/>
      <c r="GA59" s="177"/>
      <c r="GB59" s="177"/>
      <c r="GC59" s="177"/>
      <c r="GD59" s="177"/>
      <c r="GE59" s="177"/>
      <c r="GF59" s="177"/>
      <c r="GG59" s="177"/>
      <c r="GH59" s="177"/>
      <c r="GI59" s="177"/>
      <c r="GJ59" s="177"/>
      <c r="GK59" s="177"/>
      <c r="GL59" s="177"/>
      <c r="GM59" s="177"/>
      <c r="GN59" s="177"/>
      <c r="GO59" s="177"/>
      <c r="GP59" s="177"/>
      <c r="GQ59" s="177"/>
      <c r="GR59" s="177"/>
      <c r="GS59" s="177"/>
      <c r="GT59" s="177"/>
      <c r="GU59" s="177"/>
      <c r="GV59" s="177"/>
      <c r="GW59" s="177"/>
      <c r="GX59" s="177"/>
    </row>
    <row r="60" spans="2:206" ht="14.25" x14ac:dyDescent="0.25">
      <c r="B60" s="55"/>
      <c r="C60" s="10" t="s">
        <v>150</v>
      </c>
      <c r="D60" s="93" t="s">
        <v>151</v>
      </c>
      <c r="E60" s="179">
        <f>2*SUM(E13:E15)/(4*E9)</f>
        <v>8.75</v>
      </c>
      <c r="F60" s="269">
        <f t="shared" ref="F60:H60" si="132">2*SUM(F13:F15)/(4*F9)</f>
        <v>17.5</v>
      </c>
      <c r="G60" s="269">
        <f t="shared" si="132"/>
        <v>26.25</v>
      </c>
      <c r="H60" s="269">
        <f>2*SUM(H13:H15)/(4*H9)</f>
        <v>35</v>
      </c>
      <c r="I60" s="269">
        <f t="shared" ref="I60" si="133">2*SUM(I13:I15)/(4*I9)</f>
        <v>43.75</v>
      </c>
      <c r="J60" s="269">
        <f t="shared" ref="J60:L60" si="134">2*SUM(J13:J15)/(4*J9)</f>
        <v>52.5</v>
      </c>
      <c r="K60" s="269">
        <f t="shared" si="134"/>
        <v>61.25</v>
      </c>
      <c r="L60" s="269">
        <f t="shared" si="134"/>
        <v>70</v>
      </c>
      <c r="M60" s="269">
        <f>2*SUM(M13:M15)/(4*M9)</f>
        <v>78.75</v>
      </c>
      <c r="N60" s="269">
        <f>2*SUM(N13:N15)/(4*N9)</f>
        <v>87.5</v>
      </c>
      <c r="O60" s="269">
        <f>2*SUM(O13:O15)/(4*O9)</f>
        <v>96.25</v>
      </c>
      <c r="P60" s="269">
        <f>2*SUM(P13:P15)/(4*P9)</f>
        <v>105</v>
      </c>
      <c r="Q60" s="179">
        <f>2*SUM(Q13:Q15)/(4*Q9)</f>
        <v>113.75</v>
      </c>
      <c r="R60" s="179">
        <f t="shared" ref="R60:S60" si="135">2*SUM(R13:R15)/(4*R9)</f>
        <v>122.5</v>
      </c>
      <c r="S60" s="179">
        <f t="shared" si="135"/>
        <v>131.25</v>
      </c>
      <c r="T60" s="179"/>
      <c r="U60" s="179"/>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c r="CX60" s="179"/>
      <c r="CY60" s="179"/>
      <c r="CZ60" s="179"/>
      <c r="DA60" s="179"/>
      <c r="DB60" s="179"/>
      <c r="DC60" s="179"/>
      <c r="DD60" s="179"/>
      <c r="DE60" s="179"/>
      <c r="DF60" s="179"/>
      <c r="DG60" s="179"/>
      <c r="DH60" s="179"/>
      <c r="DI60" s="179"/>
      <c r="DJ60" s="179"/>
      <c r="DK60" s="179"/>
      <c r="DL60" s="179"/>
      <c r="DM60" s="179"/>
      <c r="DN60" s="179"/>
      <c r="DO60" s="179"/>
      <c r="DP60" s="179"/>
      <c r="DQ60" s="179"/>
      <c r="DR60" s="179"/>
      <c r="DS60" s="179"/>
      <c r="DT60" s="179"/>
      <c r="DU60" s="179"/>
      <c r="DV60" s="179"/>
      <c r="DW60" s="179"/>
      <c r="DX60" s="179"/>
      <c r="DY60" s="179"/>
      <c r="DZ60" s="179"/>
      <c r="EA60" s="179"/>
      <c r="EB60" s="179"/>
      <c r="EC60" s="179"/>
      <c r="ED60" s="179"/>
      <c r="EE60" s="179"/>
      <c r="EF60" s="179"/>
      <c r="EG60" s="179"/>
      <c r="EH60" s="179"/>
      <c r="EI60" s="179"/>
      <c r="EJ60" s="179"/>
      <c r="EK60" s="179"/>
      <c r="EL60" s="179"/>
      <c r="EM60" s="179"/>
      <c r="EN60" s="179"/>
      <c r="EO60" s="179"/>
      <c r="EP60" s="179"/>
      <c r="EQ60" s="179"/>
      <c r="ER60" s="179"/>
      <c r="ES60" s="179"/>
      <c r="ET60" s="179"/>
      <c r="EU60" s="179"/>
      <c r="EV60" s="179"/>
      <c r="EW60" s="179"/>
      <c r="EX60" s="179"/>
      <c r="EY60" s="179"/>
      <c r="EZ60" s="179"/>
      <c r="FA60" s="179"/>
      <c r="FB60" s="179"/>
      <c r="FC60" s="179"/>
      <c r="FD60" s="179"/>
      <c r="FE60" s="179"/>
      <c r="FF60" s="179"/>
      <c r="FG60" s="179"/>
      <c r="FH60" s="179"/>
      <c r="FI60" s="179"/>
      <c r="FJ60" s="179"/>
      <c r="FK60" s="179"/>
      <c r="FL60" s="179"/>
      <c r="FM60" s="179"/>
      <c r="FN60" s="179"/>
      <c r="FO60" s="179"/>
      <c r="FP60" s="179"/>
      <c r="FQ60" s="179"/>
      <c r="FR60" s="179"/>
      <c r="FS60" s="179"/>
      <c r="FT60" s="179"/>
      <c r="FU60" s="179"/>
      <c r="FV60" s="179"/>
      <c r="FW60" s="179"/>
      <c r="FX60" s="179"/>
      <c r="FY60" s="179"/>
      <c r="FZ60" s="179"/>
      <c r="GA60" s="179"/>
      <c r="GB60" s="179"/>
      <c r="GC60" s="179"/>
      <c r="GD60" s="179"/>
      <c r="GE60" s="179"/>
      <c r="GF60" s="179"/>
      <c r="GG60" s="179"/>
      <c r="GH60" s="179"/>
      <c r="GI60" s="179"/>
      <c r="GJ60" s="179"/>
      <c r="GK60" s="179"/>
      <c r="GL60" s="179"/>
      <c r="GM60" s="179"/>
      <c r="GN60" s="179"/>
      <c r="GO60" s="179"/>
      <c r="GP60" s="179"/>
      <c r="GQ60" s="179"/>
      <c r="GR60" s="179"/>
      <c r="GS60" s="179"/>
      <c r="GT60" s="179"/>
      <c r="GU60" s="179"/>
      <c r="GV60" s="179"/>
      <c r="GW60" s="179"/>
      <c r="GX60" s="179"/>
    </row>
    <row r="61" spans="2:206" ht="14.25" x14ac:dyDescent="0.25">
      <c r="B61" s="55"/>
      <c r="C61" s="10" t="s">
        <v>101</v>
      </c>
      <c r="D61" s="93" t="s">
        <v>32</v>
      </c>
      <c r="E61" s="177">
        <f t="shared" ref="E61:Q61" si="136">0.00013*E60*E12</f>
        <v>1.7062499999999998E-2</v>
      </c>
      <c r="F61" s="268">
        <f t="shared" ref="F61:H61" si="137">0.00013*F60*F12</f>
        <v>3.4124999999999996E-2</v>
      </c>
      <c r="G61" s="268">
        <f t="shared" si="137"/>
        <v>5.1187499999999997E-2</v>
      </c>
      <c r="H61" s="268">
        <f t="shared" si="137"/>
        <v>6.8249999999999991E-2</v>
      </c>
      <c r="I61" s="268">
        <f t="shared" ref="I61" si="138">0.00013*I60*I12</f>
        <v>8.5312499999999999E-2</v>
      </c>
      <c r="J61" s="268">
        <f t="shared" si="136"/>
        <v>0.10237499999999999</v>
      </c>
      <c r="K61" s="268">
        <f t="shared" si="136"/>
        <v>0.11943749999999999</v>
      </c>
      <c r="L61" s="268">
        <f t="shared" si="136"/>
        <v>0.13649999999999998</v>
      </c>
      <c r="M61" s="268">
        <f t="shared" ref="M61:N61" si="139">0.00013*M60*M12</f>
        <v>0.15356249999999996</v>
      </c>
      <c r="N61" s="268">
        <f t="shared" si="139"/>
        <v>0.170625</v>
      </c>
      <c r="O61" s="268">
        <f t="shared" ref="O61" si="140">0.00013*O60*O12</f>
        <v>0.18768749999999998</v>
      </c>
      <c r="P61" s="268">
        <f t="shared" ref="P61" si="141">0.00013*P60*P12</f>
        <v>0.20474999999999999</v>
      </c>
      <c r="Q61" s="177">
        <f t="shared" si="136"/>
        <v>0.22181249999999997</v>
      </c>
      <c r="R61" s="177">
        <f t="shared" ref="R61" si="142">0.00013*R60*R12</f>
        <v>0.23887499999999998</v>
      </c>
      <c r="S61" s="177">
        <f t="shared" ref="S61" si="143">0.00013*S60*S12</f>
        <v>0.25593749999999998</v>
      </c>
      <c r="T61" s="177"/>
      <c r="U61" s="177"/>
      <c r="V61" s="177"/>
      <c r="W61" s="177"/>
      <c r="X61" s="177"/>
      <c r="Y61" s="177"/>
      <c r="Z61" s="177"/>
      <c r="AA61" s="177"/>
      <c r="AB61" s="177"/>
      <c r="AC61" s="177"/>
      <c r="AD61" s="177"/>
      <c r="AE61" s="177"/>
      <c r="AF61" s="177"/>
      <c r="AG61" s="177"/>
      <c r="AH61" s="177"/>
      <c r="AI61" s="177"/>
      <c r="AJ61" s="177"/>
      <c r="AK61" s="177"/>
      <c r="AL61" s="177"/>
      <c r="AM61" s="177"/>
      <c r="AN61" s="177"/>
      <c r="AO61" s="177"/>
      <c r="AP61" s="177"/>
      <c r="AQ61" s="177"/>
      <c r="AR61" s="177"/>
      <c r="AS61" s="177"/>
      <c r="AT61" s="177"/>
      <c r="AU61" s="177"/>
      <c r="AV61" s="177"/>
      <c r="AW61" s="177"/>
      <c r="AX61" s="177"/>
      <c r="AY61" s="177"/>
      <c r="AZ61" s="177"/>
      <c r="BA61" s="177"/>
      <c r="BB61" s="177"/>
      <c r="BC61" s="177"/>
      <c r="BD61" s="177"/>
      <c r="BE61" s="177"/>
      <c r="BF61" s="177"/>
      <c r="BG61" s="177"/>
      <c r="BH61" s="177"/>
      <c r="BI61" s="177"/>
      <c r="BJ61" s="177"/>
      <c r="BK61" s="177"/>
      <c r="BL61" s="177"/>
      <c r="BM61" s="177"/>
      <c r="BN61" s="177"/>
      <c r="BO61" s="177"/>
      <c r="BP61" s="177"/>
      <c r="BQ61" s="177"/>
      <c r="BR61" s="177"/>
      <c r="BS61" s="177"/>
      <c r="BT61" s="177"/>
      <c r="BU61" s="177"/>
      <c r="BV61" s="177"/>
      <c r="BW61" s="177"/>
      <c r="BX61" s="177"/>
      <c r="BY61" s="177"/>
      <c r="BZ61" s="177"/>
      <c r="CA61" s="177"/>
      <c r="CB61" s="177"/>
      <c r="CC61" s="177"/>
      <c r="CD61" s="177"/>
      <c r="CE61" s="177"/>
      <c r="CF61" s="177"/>
      <c r="CG61" s="177"/>
      <c r="CH61" s="177"/>
      <c r="CI61" s="177"/>
      <c r="CJ61" s="177"/>
      <c r="CK61" s="177"/>
      <c r="CL61" s="177"/>
      <c r="CM61" s="177"/>
      <c r="CN61" s="177"/>
      <c r="CO61" s="177"/>
      <c r="CP61" s="177"/>
      <c r="CQ61" s="177"/>
      <c r="CR61" s="177"/>
      <c r="CS61" s="177"/>
      <c r="CT61" s="177"/>
      <c r="CU61" s="177"/>
      <c r="CV61" s="177"/>
      <c r="CW61" s="177"/>
      <c r="CX61" s="177"/>
      <c r="CY61" s="177"/>
      <c r="CZ61" s="177"/>
      <c r="DA61" s="177"/>
      <c r="DB61" s="177"/>
      <c r="DC61" s="177"/>
      <c r="DD61" s="177"/>
      <c r="DE61" s="177"/>
      <c r="DF61" s="177"/>
      <c r="DG61" s="177"/>
      <c r="DH61" s="177"/>
      <c r="DI61" s="177"/>
      <c r="DJ61" s="177"/>
      <c r="DK61" s="177"/>
      <c r="DL61" s="177"/>
      <c r="DM61" s="177"/>
      <c r="DN61" s="177"/>
      <c r="DO61" s="177"/>
      <c r="DP61" s="177"/>
      <c r="DQ61" s="177"/>
      <c r="DR61" s="177"/>
      <c r="DS61" s="177"/>
      <c r="DT61" s="177"/>
      <c r="DU61" s="177"/>
      <c r="DV61" s="177"/>
      <c r="DW61" s="177"/>
      <c r="DX61" s="177"/>
      <c r="DY61" s="177"/>
      <c r="DZ61" s="177"/>
      <c r="EA61" s="177"/>
      <c r="EB61" s="177"/>
      <c r="EC61" s="177"/>
      <c r="ED61" s="177"/>
      <c r="EE61" s="177"/>
      <c r="EF61" s="177"/>
      <c r="EG61" s="177"/>
      <c r="EH61" s="177"/>
      <c r="EI61" s="177"/>
      <c r="EJ61" s="177"/>
      <c r="EK61" s="177"/>
      <c r="EL61" s="177"/>
      <c r="EM61" s="177"/>
      <c r="EN61" s="177"/>
      <c r="EO61" s="177"/>
      <c r="EP61" s="177"/>
      <c r="EQ61" s="177"/>
      <c r="ER61" s="177"/>
      <c r="ES61" s="177"/>
      <c r="ET61" s="177"/>
      <c r="EU61" s="177"/>
      <c r="EV61" s="177"/>
      <c r="EW61" s="177"/>
      <c r="EX61" s="177"/>
      <c r="EY61" s="177"/>
      <c r="EZ61" s="177"/>
      <c r="FA61" s="177"/>
      <c r="FB61" s="177"/>
      <c r="FC61" s="177"/>
      <c r="FD61" s="177"/>
      <c r="FE61" s="177"/>
      <c r="FF61" s="177"/>
      <c r="FG61" s="177"/>
      <c r="FH61" s="177"/>
      <c r="FI61" s="177"/>
      <c r="FJ61" s="177"/>
      <c r="FK61" s="177"/>
      <c r="FL61" s="177"/>
      <c r="FM61" s="177"/>
      <c r="FN61" s="177"/>
      <c r="FO61" s="177"/>
      <c r="FP61" s="177"/>
      <c r="FQ61" s="177"/>
      <c r="FR61" s="177"/>
      <c r="FS61" s="177"/>
      <c r="FT61" s="177"/>
      <c r="FU61" s="177"/>
      <c r="FV61" s="177"/>
      <c r="FW61" s="177"/>
      <c r="FX61" s="177"/>
      <c r="FY61" s="177"/>
      <c r="FZ61" s="177"/>
      <c r="GA61" s="177"/>
      <c r="GB61" s="177"/>
      <c r="GC61" s="177"/>
      <c r="GD61" s="177"/>
      <c r="GE61" s="177"/>
      <c r="GF61" s="177"/>
      <c r="GG61" s="177"/>
      <c r="GH61" s="177"/>
      <c r="GI61" s="177"/>
      <c r="GJ61" s="177"/>
      <c r="GK61" s="177"/>
      <c r="GL61" s="177"/>
      <c r="GM61" s="177"/>
      <c r="GN61" s="177"/>
      <c r="GO61" s="177"/>
      <c r="GP61" s="177"/>
      <c r="GQ61" s="177"/>
      <c r="GR61" s="177"/>
      <c r="GS61" s="177"/>
      <c r="GT61" s="177"/>
      <c r="GU61" s="177"/>
      <c r="GV61" s="177"/>
      <c r="GW61" s="177"/>
      <c r="GX61" s="177"/>
    </row>
    <row r="62" spans="2:206" ht="14.25" x14ac:dyDescent="0.25">
      <c r="B62" s="55"/>
      <c r="C62" s="10" t="s">
        <v>102</v>
      </c>
      <c r="D62" s="93" t="s">
        <v>33</v>
      </c>
      <c r="E62" s="177">
        <f t="shared" ref="E62" si="144">0.00569*SUM(E18:E19)/4-E25*(0.0027*E60-0.1946)</f>
        <v>3.5562499999999999E-3</v>
      </c>
      <c r="F62" s="268">
        <f t="shared" ref="F62:H62" si="145">0.00569*SUM(F18:F19)/4-F25*(0.0027*F60-0.1946)</f>
        <v>7.1124999999999999E-3</v>
      </c>
      <c r="G62" s="268">
        <f t="shared" si="145"/>
        <v>1.0668749999999999E-2</v>
      </c>
      <c r="H62" s="268">
        <f t="shared" si="145"/>
        <v>1.4225E-2</v>
      </c>
      <c r="I62" s="268">
        <f t="shared" ref="I62" si="146">0.00569*SUM(I18:I19)/4-I25*(0.0027*I60-0.1946)</f>
        <v>1.7781249999999998E-2</v>
      </c>
      <c r="J62" s="268">
        <f t="shared" ref="J62:L62" si="147">0.00569*SUM(J18:J19)/4-J25*(0.0027*J60-0.1946)</f>
        <v>2.1337499999999999E-2</v>
      </c>
      <c r="K62" s="268">
        <f t="shared" si="147"/>
        <v>2.4893749999999999E-2</v>
      </c>
      <c r="L62" s="268">
        <f t="shared" si="147"/>
        <v>2.845E-2</v>
      </c>
      <c r="M62" s="268">
        <f t="shared" ref="M62:N62" si="148">0.00569*SUM(M18:M19)/4-M25*(0.0027*M60-0.1946)</f>
        <v>3.200625E-2</v>
      </c>
      <c r="N62" s="268">
        <f t="shared" si="148"/>
        <v>3.5562499999999997E-2</v>
      </c>
      <c r="O62" s="268">
        <f t="shared" ref="O62" si="149">0.00569*SUM(O18:O19)/4-O25*(0.0027*O60-0.1946)</f>
        <v>3.9118750000000001E-2</v>
      </c>
      <c r="P62" s="268">
        <f t="shared" ref="P62" si="150">0.00569*SUM(P18:P19)/4-P25*(0.0027*P60-0.1946)</f>
        <v>4.2674999999999998E-2</v>
      </c>
      <c r="Q62" s="177">
        <f t="shared" ref="Q62:S62" si="151">0.00569*SUM(Q18:Q19)/4-Q25*(0.0027*Q60-0.1946)</f>
        <v>4.6231249999999995E-2</v>
      </c>
      <c r="R62" s="177">
        <f t="shared" si="151"/>
        <v>4.9787499999999998E-2</v>
      </c>
      <c r="S62" s="177">
        <f t="shared" si="151"/>
        <v>5.3343749999999995E-2</v>
      </c>
      <c r="T62" s="177"/>
      <c r="U62" s="177"/>
      <c r="V62" s="177"/>
      <c r="W62" s="177"/>
      <c r="X62" s="177"/>
      <c r="Y62" s="177"/>
      <c r="Z62" s="177"/>
      <c r="AA62" s="177"/>
      <c r="AB62" s="177"/>
      <c r="AC62" s="177"/>
      <c r="AD62" s="177"/>
      <c r="AE62" s="177"/>
      <c r="AF62" s="177"/>
      <c r="AG62" s="177"/>
      <c r="AH62" s="177"/>
      <c r="AI62" s="177"/>
      <c r="AJ62" s="177"/>
      <c r="AK62" s="177"/>
      <c r="AL62" s="177"/>
      <c r="AM62" s="177"/>
      <c r="AN62" s="177"/>
      <c r="AO62" s="177"/>
      <c r="AP62" s="177"/>
      <c r="AQ62" s="177"/>
      <c r="AR62" s="177"/>
      <c r="AS62" s="177"/>
      <c r="AT62" s="177"/>
      <c r="AU62" s="177"/>
      <c r="AV62" s="177"/>
      <c r="AW62" s="177"/>
      <c r="AX62" s="177"/>
      <c r="AY62" s="177"/>
      <c r="AZ62" s="177"/>
      <c r="BA62" s="177"/>
      <c r="BB62" s="177"/>
      <c r="BC62" s="177"/>
      <c r="BD62" s="177"/>
      <c r="BE62" s="177"/>
      <c r="BF62" s="177"/>
      <c r="BG62" s="177"/>
      <c r="BH62" s="177"/>
      <c r="BI62" s="177"/>
      <c r="BJ62" s="177"/>
      <c r="BK62" s="177"/>
      <c r="BL62" s="177"/>
      <c r="BM62" s="177"/>
      <c r="BN62" s="177"/>
      <c r="BO62" s="177"/>
      <c r="BP62" s="177"/>
      <c r="BQ62" s="177"/>
      <c r="BR62" s="177"/>
      <c r="BS62" s="177"/>
      <c r="BT62" s="177"/>
      <c r="BU62" s="177"/>
      <c r="BV62" s="177"/>
      <c r="BW62" s="177"/>
      <c r="BX62" s="177"/>
      <c r="BY62" s="177"/>
      <c r="BZ62" s="177"/>
      <c r="CA62" s="177"/>
      <c r="CB62" s="177"/>
      <c r="CC62" s="177"/>
      <c r="CD62" s="177"/>
      <c r="CE62" s="177"/>
      <c r="CF62" s="177"/>
      <c r="CG62" s="177"/>
      <c r="CH62" s="177"/>
      <c r="CI62" s="177"/>
      <c r="CJ62" s="177"/>
      <c r="CK62" s="177"/>
      <c r="CL62" s="177"/>
      <c r="CM62" s="177"/>
      <c r="CN62" s="177"/>
      <c r="CO62" s="177"/>
      <c r="CP62" s="177"/>
      <c r="CQ62" s="177"/>
      <c r="CR62" s="177"/>
      <c r="CS62" s="177"/>
      <c r="CT62" s="177"/>
      <c r="CU62" s="177"/>
      <c r="CV62" s="177"/>
      <c r="CW62" s="177"/>
      <c r="CX62" s="177"/>
      <c r="CY62" s="177"/>
      <c r="CZ62" s="177"/>
      <c r="DA62" s="177"/>
      <c r="DB62" s="177"/>
      <c r="DC62" s="177"/>
      <c r="DD62" s="177"/>
      <c r="DE62" s="177"/>
      <c r="DF62" s="177"/>
      <c r="DG62" s="177"/>
      <c r="DH62" s="177"/>
      <c r="DI62" s="177"/>
      <c r="DJ62" s="177"/>
      <c r="DK62" s="177"/>
      <c r="DL62" s="177"/>
      <c r="DM62" s="177"/>
      <c r="DN62" s="177"/>
      <c r="DO62" s="177"/>
      <c r="DP62" s="177"/>
      <c r="DQ62" s="177"/>
      <c r="DR62" s="177"/>
      <c r="DS62" s="177"/>
      <c r="DT62" s="177"/>
      <c r="DU62" s="177"/>
      <c r="DV62" s="177"/>
      <c r="DW62" s="177"/>
      <c r="DX62" s="177"/>
      <c r="DY62" s="177"/>
      <c r="DZ62" s="177"/>
      <c r="EA62" s="177"/>
      <c r="EB62" s="177"/>
      <c r="EC62" s="177"/>
      <c r="ED62" s="177"/>
      <c r="EE62" s="177"/>
      <c r="EF62" s="177"/>
      <c r="EG62" s="177"/>
      <c r="EH62" s="177"/>
      <c r="EI62" s="177"/>
      <c r="EJ62" s="177"/>
      <c r="EK62" s="177"/>
      <c r="EL62" s="177"/>
      <c r="EM62" s="177"/>
      <c r="EN62" s="177"/>
      <c r="EO62" s="177"/>
      <c r="EP62" s="177"/>
      <c r="EQ62" s="177"/>
      <c r="ER62" s="177"/>
      <c r="ES62" s="177"/>
      <c r="ET62" s="177"/>
      <c r="EU62" s="177"/>
      <c r="EV62" s="177"/>
      <c r="EW62" s="177"/>
      <c r="EX62" s="177"/>
      <c r="EY62" s="177"/>
      <c r="EZ62" s="177"/>
      <c r="FA62" s="177"/>
      <c r="FB62" s="177"/>
      <c r="FC62" s="177"/>
      <c r="FD62" s="177"/>
      <c r="FE62" s="177"/>
      <c r="FF62" s="177"/>
      <c r="FG62" s="177"/>
      <c r="FH62" s="177"/>
      <c r="FI62" s="177"/>
      <c r="FJ62" s="177"/>
      <c r="FK62" s="177"/>
      <c r="FL62" s="177"/>
      <c r="FM62" s="177"/>
      <c r="FN62" s="177"/>
      <c r="FO62" s="177"/>
      <c r="FP62" s="177"/>
      <c r="FQ62" s="177"/>
      <c r="FR62" s="177"/>
      <c r="FS62" s="177"/>
      <c r="FT62" s="177"/>
      <c r="FU62" s="177"/>
      <c r="FV62" s="177"/>
      <c r="FW62" s="177"/>
      <c r="FX62" s="177"/>
      <c r="FY62" s="177"/>
      <c r="FZ62" s="177"/>
      <c r="GA62" s="177"/>
      <c r="GB62" s="177"/>
      <c r="GC62" s="177"/>
      <c r="GD62" s="177"/>
      <c r="GE62" s="177"/>
      <c r="GF62" s="177"/>
      <c r="GG62" s="177"/>
      <c r="GH62" s="177"/>
      <c r="GI62" s="177"/>
      <c r="GJ62" s="177"/>
      <c r="GK62" s="177"/>
      <c r="GL62" s="177"/>
      <c r="GM62" s="177"/>
      <c r="GN62" s="177"/>
      <c r="GO62" s="177"/>
      <c r="GP62" s="177"/>
      <c r="GQ62" s="177"/>
      <c r="GR62" s="177"/>
      <c r="GS62" s="177"/>
      <c r="GT62" s="177"/>
      <c r="GU62" s="177"/>
      <c r="GV62" s="177"/>
      <c r="GW62" s="177"/>
      <c r="GX62" s="177"/>
    </row>
    <row r="63" spans="2:206" ht="14.25" x14ac:dyDescent="0.25">
      <c r="B63" s="55"/>
      <c r="C63" s="10" t="s">
        <v>164</v>
      </c>
      <c r="D63" s="93" t="s">
        <v>221</v>
      </c>
      <c r="E63" s="179">
        <f t="shared" ref="E63:N63" si="152">E29+4</f>
        <v>49</v>
      </c>
      <c r="F63" s="269">
        <f t="shared" si="152"/>
        <v>49</v>
      </c>
      <c r="G63" s="269">
        <f t="shared" si="152"/>
        <v>49</v>
      </c>
      <c r="H63" s="269">
        <f t="shared" si="152"/>
        <v>49</v>
      </c>
      <c r="I63" s="269">
        <f t="shared" ref="I63" si="153">I29+4</f>
        <v>49</v>
      </c>
      <c r="J63" s="269">
        <f t="shared" ref="J63:L63" si="154">J29+4</f>
        <v>49</v>
      </c>
      <c r="K63" s="269">
        <f t="shared" si="154"/>
        <v>49</v>
      </c>
      <c r="L63" s="269">
        <f t="shared" si="154"/>
        <v>49</v>
      </c>
      <c r="M63" s="269">
        <f t="shared" ref="M63" si="155">M29+4</f>
        <v>49</v>
      </c>
      <c r="N63" s="269">
        <f t="shared" si="152"/>
        <v>49</v>
      </c>
      <c r="O63" s="269">
        <f t="shared" ref="O63" si="156">O29+4</f>
        <v>49</v>
      </c>
      <c r="P63" s="269">
        <f t="shared" ref="P63" si="157">P29+4</f>
        <v>49</v>
      </c>
      <c r="Q63" s="179">
        <f t="shared" ref="Q63:S63" si="158">Q29+4</f>
        <v>49</v>
      </c>
      <c r="R63" s="179">
        <f t="shared" si="158"/>
        <v>49</v>
      </c>
      <c r="S63" s="179">
        <f t="shared" si="158"/>
        <v>49</v>
      </c>
      <c r="T63" s="179"/>
      <c r="U63" s="179"/>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c r="CX63" s="179"/>
      <c r="CY63" s="179"/>
      <c r="CZ63" s="179"/>
      <c r="DA63" s="179"/>
      <c r="DB63" s="179"/>
      <c r="DC63" s="179"/>
      <c r="DD63" s="179"/>
      <c r="DE63" s="179"/>
      <c r="DF63" s="179"/>
      <c r="DG63" s="179"/>
      <c r="DH63" s="179"/>
      <c r="DI63" s="179"/>
      <c r="DJ63" s="179"/>
      <c r="DK63" s="179"/>
      <c r="DL63" s="179"/>
      <c r="DM63" s="179"/>
      <c r="DN63" s="179"/>
      <c r="DO63" s="179"/>
      <c r="DP63" s="179"/>
      <c r="DQ63" s="179"/>
      <c r="DR63" s="179"/>
      <c r="DS63" s="179"/>
      <c r="DT63" s="179"/>
      <c r="DU63" s="179"/>
      <c r="DV63" s="179"/>
      <c r="DW63" s="179"/>
      <c r="DX63" s="179"/>
      <c r="DY63" s="179"/>
      <c r="DZ63" s="179"/>
      <c r="EA63" s="179"/>
      <c r="EB63" s="179"/>
      <c r="EC63" s="179"/>
      <c r="ED63" s="179"/>
      <c r="EE63" s="179"/>
      <c r="EF63" s="179"/>
      <c r="EG63" s="179"/>
      <c r="EH63" s="179"/>
      <c r="EI63" s="179"/>
      <c r="EJ63" s="179"/>
      <c r="EK63" s="179"/>
      <c r="EL63" s="179"/>
      <c r="EM63" s="179"/>
      <c r="EN63" s="179"/>
      <c r="EO63" s="179"/>
      <c r="EP63" s="179"/>
      <c r="EQ63" s="179"/>
      <c r="ER63" s="179"/>
      <c r="ES63" s="179"/>
      <c r="ET63" s="179"/>
      <c r="EU63" s="179"/>
      <c r="EV63" s="179"/>
      <c r="EW63" s="179"/>
      <c r="EX63" s="179"/>
      <c r="EY63" s="179"/>
      <c r="EZ63" s="179"/>
      <c r="FA63" s="179"/>
      <c r="FB63" s="179"/>
      <c r="FC63" s="179"/>
      <c r="FD63" s="179"/>
      <c r="FE63" s="179"/>
      <c r="FF63" s="179"/>
      <c r="FG63" s="179"/>
      <c r="FH63" s="179"/>
      <c r="FI63" s="179"/>
      <c r="FJ63" s="179"/>
      <c r="FK63" s="179"/>
      <c r="FL63" s="179"/>
      <c r="FM63" s="179"/>
      <c r="FN63" s="179"/>
      <c r="FO63" s="179"/>
      <c r="FP63" s="179"/>
      <c r="FQ63" s="179"/>
      <c r="FR63" s="179"/>
      <c r="FS63" s="179"/>
      <c r="FT63" s="179"/>
      <c r="FU63" s="179"/>
      <c r="FV63" s="179"/>
      <c r="FW63" s="179"/>
      <c r="FX63" s="179"/>
      <c r="FY63" s="179"/>
      <c r="FZ63" s="179"/>
      <c r="GA63" s="179"/>
      <c r="GB63" s="179"/>
      <c r="GC63" s="179"/>
      <c r="GD63" s="179"/>
      <c r="GE63" s="179"/>
      <c r="GF63" s="179"/>
      <c r="GG63" s="179"/>
      <c r="GH63" s="179"/>
      <c r="GI63" s="179"/>
      <c r="GJ63" s="179"/>
      <c r="GK63" s="179"/>
      <c r="GL63" s="179"/>
      <c r="GM63" s="179"/>
      <c r="GN63" s="179"/>
      <c r="GO63" s="179"/>
      <c r="GP63" s="179"/>
      <c r="GQ63" s="179"/>
      <c r="GR63" s="179"/>
      <c r="GS63" s="179"/>
      <c r="GT63" s="179"/>
      <c r="GU63" s="179"/>
      <c r="GV63" s="179"/>
      <c r="GW63" s="179"/>
      <c r="GX63" s="179"/>
    </row>
    <row r="64" spans="2:206" ht="14.25" x14ac:dyDescent="0.25">
      <c r="B64" s="55"/>
      <c r="C64" s="10" t="s">
        <v>166</v>
      </c>
      <c r="D64" s="93" t="s">
        <v>167</v>
      </c>
      <c r="E64" s="13" t="e">
        <f ca="1">IF(E42="Signalized",(E28-E63)^2/(2*E28),IF(E42="Free",TWSC_PED_DELAY(E9,E57,E58,E54,E55,E38,E56),IF(E42="Stop - Two way",1,IF(E42="Stop - All way",1,"Control N/A!"))))</f>
        <v>#NAME?</v>
      </c>
      <c r="F64" s="13" t="e">
        <f t="shared" ref="F64:H64" ca="1" si="159">IF(F42="Signalized",(F28-F63)^2/(2*F28),IF(F42="Free",TWSC_PED_DELAY(F9,F57,F58,F54,F55,F38,F56),IF(F42="Stop - Two way",1,IF(F42="Stop - All way",1,"Control N/A!"))))</f>
        <v>#NAME?</v>
      </c>
      <c r="G64" s="13" t="e">
        <f t="shared" ca="1" si="159"/>
        <v>#NAME?</v>
      </c>
      <c r="H64" s="13" t="e">
        <f t="shared" ca="1" si="159"/>
        <v>#NAME?</v>
      </c>
      <c r="I64" s="13" t="e">
        <f t="shared" ref="I64:J64" ca="1" si="160">IF(I42="Signalized",(I28-I63)^2/(2*I28),IF(I42="Free",TWSC_PED_DELAY(I9,I57,I58,I54,I55,I38,I56),IF(I42="Stop - Two way",1,IF(I42="Stop - All way",1,"Control N/A!"))))</f>
        <v>#NAME?</v>
      </c>
      <c r="J64" s="13" t="e">
        <f t="shared" ca="1" si="160"/>
        <v>#NAME?</v>
      </c>
      <c r="K64" s="13" t="e">
        <f ca="1">IF(K42="Signalized",(K28-K63)^2/(2*K28),IF(K42="Free",TWSC_PED_DELAY(K9,K57,K58,K54,K55,K38,K56),IF(K42="Stop - Two way",1,IF(K42="Stop - All way",1,"Control N/A!"))))</f>
        <v>#NAME?</v>
      </c>
      <c r="L64" s="13" t="e">
        <f ca="1">IF(L42="Signalized",(L28-L63)^2/(2*L28),IF(L42="Free",TWSC_PED_DELAY(L9,L57,L58,L54,L55,L38,L56),IF(L42="Stop - Two way",1,IF(L42="Stop - All way",1,"Control N/A!"))))</f>
        <v>#NAME?</v>
      </c>
      <c r="M64" s="13" t="e">
        <f t="shared" ref="M64:N64" ca="1" si="161">IF(M42="Signalized",(M28-M63)^2/(2*M28),IF(M42="Free",TWSC_PED_DELAY(M9,M57,M58,M54,M55,M38,M56),IF(M42="Stop - Two way",1,IF(M42="Stop - All way",1,"Control N/A!"))))</f>
        <v>#NAME?</v>
      </c>
      <c r="N64" s="13" t="e">
        <f t="shared" ca="1" si="161"/>
        <v>#NAME?</v>
      </c>
      <c r="O64" s="13" t="e">
        <f t="shared" ref="O64" ca="1" si="162">IF(O42="Signalized",(O28-O63)^2/(2*O28),IF(O42="Free",TWSC_PED_DELAY(O9,O57,O58,O54,O55,O38,O56),IF(O42="Stop - Two way",1,IF(O42="Stop - All way",1,"Control N/A!"))))</f>
        <v>#NAME?</v>
      </c>
      <c r="P64" s="13" t="e">
        <f t="shared" ref="P64:Q64" ca="1" si="163">IF(P42="Signalized",(P28-P63)^2/(2*P28),IF(P42="Free",TWSC_PED_DELAY(P9,P57,P58,P54,P55,P38,P56),IF(P42="Stop - Two way",1,IF(P42="Stop - All way",1,"Control N/A!"))))</f>
        <v>#NAME?</v>
      </c>
      <c r="Q64" s="13" t="e">
        <f t="shared" ca="1" si="163"/>
        <v>#NAME?</v>
      </c>
      <c r="R64" s="13" t="e">
        <f ca="1">IF(R42="Signalized",(R28-R63)^2/(2*R28),IF(R42="Free",TWSC_PED_DELAY(R9,R57,R58,R54,R55,R38,R56),IF(R42="Stop - Two way",1,IF(R42="Stop - All way",1,"Control N/A!"))))</f>
        <v>#NAME?</v>
      </c>
      <c r="S64" s="13" t="e">
        <f ca="1">IF(S42="Signalized",(S28-S63)^2/(2*S28),IF(S42="Free",TWSC_PED_DELAY(S9,S57,S58,S54,S55,S38,S56),IF(S42="Stop - Two way",1,IF(S42="Stop - All way",1,"Control N/A!"))))</f>
        <v>#NAME?</v>
      </c>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c r="EY64" s="13"/>
      <c r="EZ64" s="13"/>
      <c r="FA64" s="13"/>
      <c r="FB64" s="13"/>
      <c r="FC64" s="13"/>
      <c r="FD64" s="13"/>
      <c r="FE64" s="13"/>
      <c r="FF64" s="13"/>
      <c r="FG64" s="13"/>
      <c r="FH64" s="13"/>
      <c r="FI64" s="13"/>
      <c r="FJ64" s="13"/>
      <c r="FK64" s="13"/>
      <c r="FL64" s="13"/>
      <c r="FM64" s="13"/>
      <c r="FN64" s="13"/>
      <c r="FO64" s="13"/>
      <c r="FP64" s="13"/>
      <c r="FQ64" s="13"/>
      <c r="FR64" s="13"/>
      <c r="FS64" s="13"/>
      <c r="FT64" s="13"/>
      <c r="FU64" s="13"/>
      <c r="FV64" s="13"/>
      <c r="FW64" s="13"/>
      <c r="FX64" s="13"/>
      <c r="FY64" s="13"/>
      <c r="FZ64" s="13"/>
      <c r="GA64" s="13"/>
      <c r="GB64" s="13"/>
      <c r="GC64" s="13"/>
      <c r="GD64" s="13"/>
      <c r="GE64" s="13"/>
      <c r="GF64" s="13"/>
      <c r="GG64" s="13"/>
      <c r="GH64" s="13"/>
      <c r="GI64" s="13"/>
      <c r="GJ64" s="13"/>
      <c r="GK64" s="13"/>
      <c r="GL64" s="13"/>
      <c r="GM64" s="13"/>
      <c r="GN64" s="13"/>
      <c r="GO64" s="13"/>
      <c r="GP64" s="13"/>
      <c r="GQ64" s="13"/>
      <c r="GR64" s="13"/>
      <c r="GS64" s="13"/>
      <c r="GT64" s="13"/>
      <c r="GU64" s="13"/>
      <c r="GV64" s="13"/>
      <c r="GW64" s="13"/>
      <c r="GX64" s="13"/>
    </row>
    <row r="65" spans="2:206" ht="14.25" x14ac:dyDescent="0.25">
      <c r="B65" s="55"/>
      <c r="C65" s="10" t="s">
        <v>168</v>
      </c>
      <c r="D65" s="93" t="s">
        <v>169</v>
      </c>
      <c r="E65" s="177" t="e">
        <f ca="1">0.0401*LN(E64)</f>
        <v>#NAME?</v>
      </c>
      <c r="F65" s="268" t="e">
        <f t="shared" ref="F65" ca="1" si="164">0.0401*LN(F64)</f>
        <v>#NAME?</v>
      </c>
      <c r="G65" s="268" t="e">
        <f t="shared" ref="G65" ca="1" si="165">0.0401*LN(G64)</f>
        <v>#NAME?</v>
      </c>
      <c r="H65" s="268" t="e">
        <f t="shared" ref="H65" ca="1" si="166">0.0401*LN(H64)</f>
        <v>#NAME?</v>
      </c>
      <c r="I65" s="268" t="e">
        <f t="shared" ref="I65:L65" ca="1" si="167">0.0401*LN(I64)</f>
        <v>#NAME?</v>
      </c>
      <c r="J65" s="268" t="e">
        <f t="shared" ca="1" si="167"/>
        <v>#NAME?</v>
      </c>
      <c r="K65" s="268" t="e">
        <f t="shared" ca="1" si="167"/>
        <v>#NAME?</v>
      </c>
      <c r="L65" s="268" t="e">
        <f t="shared" ca="1" si="167"/>
        <v>#NAME?</v>
      </c>
      <c r="M65" s="268" t="e">
        <f ca="1">0.0401*LN(M64)</f>
        <v>#NAME?</v>
      </c>
      <c r="N65" s="268" t="e">
        <f ca="1">0.0401*LN(N64)</f>
        <v>#NAME?</v>
      </c>
      <c r="O65" s="268" t="e">
        <f ca="1">0.0401*LN(O64)</f>
        <v>#NAME?</v>
      </c>
      <c r="P65" s="268" t="e">
        <f ca="1">0.0401*LN(P64)</f>
        <v>#NAME?</v>
      </c>
      <c r="Q65" s="177" t="e">
        <f ca="1">0.0401*LN(Q64)</f>
        <v>#NAME?</v>
      </c>
      <c r="R65" s="177" t="e">
        <f t="shared" ref="R65" ca="1" si="168">0.0401*LN(R64)</f>
        <v>#NAME?</v>
      </c>
      <c r="S65" s="177" t="e">
        <f ca="1">0.0401*LN(S64)</f>
        <v>#NAME?</v>
      </c>
      <c r="T65" s="177"/>
      <c r="U65" s="177"/>
      <c r="V65" s="177"/>
      <c r="W65" s="177"/>
      <c r="X65" s="177"/>
      <c r="Y65" s="177"/>
      <c r="Z65" s="177"/>
      <c r="AA65" s="177"/>
      <c r="AB65" s="177"/>
      <c r="AC65" s="177"/>
      <c r="AD65" s="177"/>
      <c r="AE65" s="177"/>
      <c r="AF65" s="177"/>
      <c r="AG65" s="177"/>
      <c r="AH65" s="177"/>
      <c r="AI65" s="177"/>
      <c r="AJ65" s="177"/>
      <c r="AK65" s="177"/>
      <c r="AL65" s="177"/>
      <c r="AM65" s="177"/>
      <c r="AN65" s="177"/>
      <c r="AO65" s="177"/>
      <c r="AP65" s="177"/>
      <c r="AQ65" s="177"/>
      <c r="AR65" s="177"/>
      <c r="AS65" s="177"/>
      <c r="AT65" s="177"/>
      <c r="AU65" s="177"/>
      <c r="AV65" s="177"/>
      <c r="AW65" s="177"/>
      <c r="AX65" s="177"/>
      <c r="AY65" s="177"/>
      <c r="AZ65" s="177"/>
      <c r="BA65" s="177"/>
      <c r="BB65" s="177"/>
      <c r="BC65" s="177"/>
      <c r="BD65" s="177"/>
      <c r="BE65" s="177"/>
      <c r="BF65" s="177"/>
      <c r="BG65" s="177"/>
      <c r="BH65" s="177"/>
      <c r="BI65" s="177"/>
      <c r="BJ65" s="177"/>
      <c r="BK65" s="177"/>
      <c r="BL65" s="177"/>
      <c r="BM65" s="177"/>
      <c r="BN65" s="177"/>
      <c r="BO65" s="177"/>
      <c r="BP65" s="177"/>
      <c r="BQ65" s="177"/>
      <c r="BR65" s="177"/>
      <c r="BS65" s="177"/>
      <c r="BT65" s="177"/>
      <c r="BU65" s="177"/>
      <c r="BV65" s="177"/>
      <c r="BW65" s="177"/>
      <c r="BX65" s="177"/>
      <c r="BY65" s="177"/>
      <c r="BZ65" s="177"/>
      <c r="CA65" s="177"/>
      <c r="CB65" s="177"/>
      <c r="CC65" s="177"/>
      <c r="CD65" s="177"/>
      <c r="CE65" s="177"/>
      <c r="CF65" s="177"/>
      <c r="CG65" s="177"/>
      <c r="CH65" s="177"/>
      <c r="CI65" s="177"/>
      <c r="CJ65" s="177"/>
      <c r="CK65" s="177"/>
      <c r="CL65" s="177"/>
      <c r="CM65" s="177"/>
      <c r="CN65" s="177"/>
      <c r="CO65" s="177"/>
      <c r="CP65" s="177"/>
      <c r="CQ65" s="177"/>
      <c r="CR65" s="177"/>
      <c r="CS65" s="177"/>
      <c r="CT65" s="177"/>
      <c r="CU65" s="177"/>
      <c r="CV65" s="177"/>
      <c r="CW65" s="177"/>
      <c r="CX65" s="177"/>
      <c r="CY65" s="177"/>
      <c r="CZ65" s="177"/>
      <c r="DA65" s="177"/>
      <c r="DB65" s="177"/>
      <c r="DC65" s="177"/>
      <c r="DD65" s="177"/>
      <c r="DE65" s="177"/>
      <c r="DF65" s="177"/>
      <c r="DG65" s="177"/>
      <c r="DH65" s="177"/>
      <c r="DI65" s="177"/>
      <c r="DJ65" s="177"/>
      <c r="DK65" s="177"/>
      <c r="DL65" s="177"/>
      <c r="DM65" s="177"/>
      <c r="DN65" s="177"/>
      <c r="DO65" s="177"/>
      <c r="DP65" s="177"/>
      <c r="DQ65" s="177"/>
      <c r="DR65" s="177"/>
      <c r="DS65" s="177"/>
      <c r="DT65" s="177"/>
      <c r="DU65" s="177"/>
      <c r="DV65" s="177"/>
      <c r="DW65" s="177"/>
      <c r="DX65" s="177"/>
      <c r="DY65" s="177"/>
      <c r="DZ65" s="177"/>
      <c r="EA65" s="177"/>
      <c r="EB65" s="177"/>
      <c r="EC65" s="177"/>
      <c r="ED65" s="177"/>
      <c r="EE65" s="177"/>
      <c r="EF65" s="177"/>
      <c r="EG65" s="177"/>
      <c r="EH65" s="177"/>
      <c r="EI65" s="177"/>
      <c r="EJ65" s="177"/>
      <c r="EK65" s="177"/>
      <c r="EL65" s="177"/>
      <c r="EM65" s="177"/>
      <c r="EN65" s="177"/>
      <c r="EO65" s="177"/>
      <c r="EP65" s="177"/>
      <c r="EQ65" s="177"/>
      <c r="ER65" s="177"/>
      <c r="ES65" s="177"/>
      <c r="ET65" s="177"/>
      <c r="EU65" s="177"/>
      <c r="EV65" s="177"/>
      <c r="EW65" s="177"/>
      <c r="EX65" s="177"/>
      <c r="EY65" s="177"/>
      <c r="EZ65" s="177"/>
      <c r="FA65" s="177"/>
      <c r="FB65" s="177"/>
      <c r="FC65" s="177"/>
      <c r="FD65" s="177"/>
      <c r="FE65" s="177"/>
      <c r="FF65" s="177"/>
      <c r="FG65" s="177"/>
      <c r="FH65" s="177"/>
      <c r="FI65" s="177"/>
      <c r="FJ65" s="177"/>
      <c r="FK65" s="177"/>
      <c r="FL65" s="177"/>
      <c r="FM65" s="177"/>
      <c r="FN65" s="177"/>
      <c r="FO65" s="177"/>
      <c r="FP65" s="177"/>
      <c r="FQ65" s="177"/>
      <c r="FR65" s="177"/>
      <c r="FS65" s="177"/>
      <c r="FT65" s="177"/>
      <c r="FU65" s="177"/>
      <c r="FV65" s="177"/>
      <c r="FW65" s="177"/>
      <c r="FX65" s="177"/>
      <c r="FY65" s="177"/>
      <c r="FZ65" s="177"/>
      <c r="GA65" s="177"/>
      <c r="GB65" s="177"/>
      <c r="GC65" s="177"/>
      <c r="GD65" s="177"/>
      <c r="GE65" s="177"/>
      <c r="GF65" s="177"/>
      <c r="GG65" s="177"/>
      <c r="GH65" s="177"/>
      <c r="GI65" s="177"/>
      <c r="GJ65" s="177"/>
      <c r="GK65" s="177"/>
      <c r="GL65" s="177"/>
      <c r="GM65" s="177"/>
      <c r="GN65" s="177"/>
      <c r="GO65" s="177"/>
      <c r="GP65" s="177"/>
      <c r="GQ65" s="177"/>
      <c r="GR65" s="177"/>
      <c r="GS65" s="177"/>
      <c r="GT65" s="177"/>
      <c r="GU65" s="177"/>
      <c r="GV65" s="177"/>
      <c r="GW65" s="177"/>
      <c r="GX65" s="177"/>
    </row>
    <row r="66" spans="2:206" ht="14.25" x14ac:dyDescent="0.25">
      <c r="B66" s="55"/>
      <c r="C66" s="10" t="s">
        <v>48</v>
      </c>
      <c r="D66" s="93" t="s">
        <v>40</v>
      </c>
      <c r="E66" s="177" t="e">
        <f t="shared" ref="E66:Q66" ca="1" si="169">IF(AND(E9&gt;0,E30&gt;0),0.5997+E59+E61+E62+E65,0)</f>
        <v>#NAME?</v>
      </c>
      <c r="F66" s="268" t="e">
        <f t="shared" ref="F66:H66" ca="1" si="170">IF(AND(F9&gt;0,F30&gt;0),0.5997+F59+F61+F62+F65,0)</f>
        <v>#NAME?</v>
      </c>
      <c r="G66" s="268" t="e">
        <f t="shared" ca="1" si="170"/>
        <v>#NAME?</v>
      </c>
      <c r="H66" s="268" t="e">
        <f t="shared" ca="1" si="170"/>
        <v>#NAME?</v>
      </c>
      <c r="I66" s="268" t="e">
        <f t="shared" ref="I66" ca="1" si="171">IF(AND(I9&gt;0,I30&gt;0),0.5997+I59+I61+I62+I65,0)</f>
        <v>#NAME?</v>
      </c>
      <c r="J66" s="268" t="e">
        <f t="shared" ca="1" si="169"/>
        <v>#NAME?</v>
      </c>
      <c r="K66" s="268" t="e">
        <f t="shared" ca="1" si="169"/>
        <v>#NAME?</v>
      </c>
      <c r="L66" s="268" t="e">
        <f t="shared" ca="1" si="169"/>
        <v>#NAME?</v>
      </c>
      <c r="M66" s="268" t="e">
        <f t="shared" ref="M66:N66" ca="1" si="172">IF(AND(M9&gt;0,M30&gt;0),0.5997+M59+M61+M62+M65,0)</f>
        <v>#NAME?</v>
      </c>
      <c r="N66" s="268" t="e">
        <f t="shared" ca="1" si="172"/>
        <v>#NAME?</v>
      </c>
      <c r="O66" s="268" t="e">
        <f t="shared" ref="O66" ca="1" si="173">IF(AND(O9&gt;0,O30&gt;0),0.5997+O59+O61+O62+O65,0)</f>
        <v>#NAME?</v>
      </c>
      <c r="P66" s="268" t="e">
        <f t="shared" ref="P66" ca="1" si="174">IF(AND(P9&gt;0,P30&gt;0),0.5997+P59+P61+P62+P65,0)</f>
        <v>#NAME?</v>
      </c>
      <c r="Q66" s="177" t="e">
        <f t="shared" ca="1" si="169"/>
        <v>#NAME?</v>
      </c>
      <c r="R66" s="177" t="e">
        <f t="shared" ref="R66" ca="1" si="175">IF(AND(R9&gt;0,R30&gt;0),0.5997+R59+R61+R62+R65,0)</f>
        <v>#NAME?</v>
      </c>
      <c r="S66" s="177" t="e">
        <f t="shared" ref="S66" ca="1" si="176">IF(AND(S9&gt;0,S30&gt;0),0.5997+S59+S61+S62+S65,0)</f>
        <v>#NAME?</v>
      </c>
      <c r="T66" s="177"/>
      <c r="U66" s="177"/>
      <c r="V66" s="177"/>
      <c r="W66" s="177"/>
      <c r="X66" s="177"/>
      <c r="Y66" s="177"/>
      <c r="Z66" s="177"/>
      <c r="AA66" s="177"/>
      <c r="AB66" s="177"/>
      <c r="AC66" s="177"/>
      <c r="AD66" s="177"/>
      <c r="AE66" s="177"/>
      <c r="AF66" s="177"/>
      <c r="AG66" s="177"/>
      <c r="AH66" s="177"/>
      <c r="AI66" s="177"/>
      <c r="AJ66" s="177"/>
      <c r="AK66" s="177"/>
      <c r="AL66" s="177"/>
      <c r="AM66" s="177"/>
      <c r="AN66" s="177"/>
      <c r="AO66" s="177"/>
      <c r="AP66" s="177"/>
      <c r="AQ66" s="177"/>
      <c r="AR66" s="177"/>
      <c r="AS66" s="177"/>
      <c r="AT66" s="177"/>
      <c r="AU66" s="177"/>
      <c r="AV66" s="177"/>
      <c r="AW66" s="177"/>
      <c r="AX66" s="177"/>
      <c r="AY66" s="177"/>
      <c r="AZ66" s="177"/>
      <c r="BA66" s="177"/>
      <c r="BB66" s="177"/>
      <c r="BC66" s="177"/>
      <c r="BD66" s="177"/>
      <c r="BE66" s="177"/>
      <c r="BF66" s="177"/>
      <c r="BG66" s="177"/>
      <c r="BH66" s="177"/>
      <c r="BI66" s="177"/>
      <c r="BJ66" s="177"/>
      <c r="BK66" s="177"/>
      <c r="BL66" s="177"/>
      <c r="BM66" s="177"/>
      <c r="BN66" s="177"/>
      <c r="BO66" s="177"/>
      <c r="BP66" s="177"/>
      <c r="BQ66" s="177"/>
      <c r="BR66" s="177"/>
      <c r="BS66" s="177"/>
      <c r="BT66" s="177"/>
      <c r="BU66" s="177"/>
      <c r="BV66" s="177"/>
      <c r="BW66" s="177"/>
      <c r="BX66" s="177"/>
      <c r="BY66" s="177"/>
      <c r="BZ66" s="177"/>
      <c r="CA66" s="177"/>
      <c r="CB66" s="177"/>
      <c r="CC66" s="177"/>
      <c r="CD66" s="177"/>
      <c r="CE66" s="177"/>
      <c r="CF66" s="177"/>
      <c r="CG66" s="177"/>
      <c r="CH66" s="177"/>
      <c r="CI66" s="177"/>
      <c r="CJ66" s="177"/>
      <c r="CK66" s="177"/>
      <c r="CL66" s="177"/>
      <c r="CM66" s="177"/>
      <c r="CN66" s="177"/>
      <c r="CO66" s="177"/>
      <c r="CP66" s="177"/>
      <c r="CQ66" s="177"/>
      <c r="CR66" s="177"/>
      <c r="CS66" s="177"/>
      <c r="CT66" s="177"/>
      <c r="CU66" s="177"/>
      <c r="CV66" s="177"/>
      <c r="CW66" s="177"/>
      <c r="CX66" s="177"/>
      <c r="CY66" s="177"/>
      <c r="CZ66" s="177"/>
      <c r="DA66" s="177"/>
      <c r="DB66" s="177"/>
      <c r="DC66" s="177"/>
      <c r="DD66" s="177"/>
      <c r="DE66" s="177"/>
      <c r="DF66" s="177"/>
      <c r="DG66" s="177"/>
      <c r="DH66" s="177"/>
      <c r="DI66" s="177"/>
      <c r="DJ66" s="177"/>
      <c r="DK66" s="177"/>
      <c r="DL66" s="177"/>
      <c r="DM66" s="177"/>
      <c r="DN66" s="177"/>
      <c r="DO66" s="177"/>
      <c r="DP66" s="177"/>
      <c r="DQ66" s="177"/>
      <c r="DR66" s="177"/>
      <c r="DS66" s="177"/>
      <c r="DT66" s="177"/>
      <c r="DU66" s="177"/>
      <c r="DV66" s="177"/>
      <c r="DW66" s="177"/>
      <c r="DX66" s="177"/>
      <c r="DY66" s="177"/>
      <c r="DZ66" s="177"/>
      <c r="EA66" s="177"/>
      <c r="EB66" s="177"/>
      <c r="EC66" s="177"/>
      <c r="ED66" s="177"/>
      <c r="EE66" s="177"/>
      <c r="EF66" s="177"/>
      <c r="EG66" s="177"/>
      <c r="EH66" s="177"/>
      <c r="EI66" s="177"/>
      <c r="EJ66" s="177"/>
      <c r="EK66" s="177"/>
      <c r="EL66" s="177"/>
      <c r="EM66" s="177"/>
      <c r="EN66" s="177"/>
      <c r="EO66" s="177"/>
      <c r="EP66" s="177"/>
      <c r="EQ66" s="177"/>
      <c r="ER66" s="177"/>
      <c r="ES66" s="177"/>
      <c r="ET66" s="177"/>
      <c r="EU66" s="177"/>
      <c r="EV66" s="177"/>
      <c r="EW66" s="177"/>
      <c r="EX66" s="177"/>
      <c r="EY66" s="177"/>
      <c r="EZ66" s="177"/>
      <c r="FA66" s="177"/>
      <c r="FB66" s="177"/>
      <c r="FC66" s="177"/>
      <c r="FD66" s="177"/>
      <c r="FE66" s="177"/>
      <c r="FF66" s="177"/>
      <c r="FG66" s="177"/>
      <c r="FH66" s="177"/>
      <c r="FI66" s="177"/>
      <c r="FJ66" s="177"/>
      <c r="FK66" s="177"/>
      <c r="FL66" s="177"/>
      <c r="FM66" s="177"/>
      <c r="FN66" s="177"/>
      <c r="FO66" s="177"/>
      <c r="FP66" s="177"/>
      <c r="FQ66" s="177"/>
      <c r="FR66" s="177"/>
      <c r="FS66" s="177"/>
      <c r="FT66" s="177"/>
      <c r="FU66" s="177"/>
      <c r="FV66" s="177"/>
      <c r="FW66" s="177"/>
      <c r="FX66" s="177"/>
      <c r="FY66" s="177"/>
      <c r="FZ66" s="177"/>
      <c r="GA66" s="177"/>
      <c r="GB66" s="177"/>
      <c r="GC66" s="177"/>
      <c r="GD66" s="177"/>
      <c r="GE66" s="177"/>
      <c r="GF66" s="177"/>
      <c r="GG66" s="177"/>
      <c r="GH66" s="177"/>
      <c r="GI66" s="177"/>
      <c r="GJ66" s="177"/>
      <c r="GK66" s="177"/>
      <c r="GL66" s="177"/>
      <c r="GM66" s="177"/>
      <c r="GN66" s="177"/>
      <c r="GO66" s="177"/>
      <c r="GP66" s="177"/>
      <c r="GQ66" s="177"/>
      <c r="GR66" s="177"/>
      <c r="GS66" s="177"/>
      <c r="GT66" s="177"/>
      <c r="GU66" s="177"/>
      <c r="GV66" s="177"/>
      <c r="GW66" s="177"/>
      <c r="GX66" s="177"/>
    </row>
    <row r="67" spans="2:206" x14ac:dyDescent="0.25">
      <c r="B67" s="55"/>
      <c r="C67" s="10"/>
      <c r="D67" s="93" t="s">
        <v>220</v>
      </c>
      <c r="E67" s="10" t="e">
        <f t="shared" ref="E67:N67" ca="1" si="177">IF(E66&lt;=2,"A",IF(E66&lt;=2.75,"B",IF(E66&lt;=3.5,"C",IF(E66&lt;=4.25,"D",IF(E66&lt;=5,"E","F")))))</f>
        <v>#NAME?</v>
      </c>
      <c r="F67" s="10" t="e">
        <f t="shared" ca="1" si="177"/>
        <v>#NAME?</v>
      </c>
      <c r="G67" s="10" t="e">
        <f t="shared" ca="1" si="177"/>
        <v>#NAME?</v>
      </c>
      <c r="H67" s="10" t="e">
        <f t="shared" ca="1" si="177"/>
        <v>#NAME?</v>
      </c>
      <c r="I67" s="10" t="e">
        <f t="shared" ref="I67" ca="1" si="178">IF(I66&lt;=2,"A",IF(I66&lt;=2.75,"B",IF(I66&lt;=3.5,"C",IF(I66&lt;=4.25,"D",IF(I66&lt;=5,"E","F")))))</f>
        <v>#NAME?</v>
      </c>
      <c r="J67" s="10" t="e">
        <f t="shared" ref="J67:L67" ca="1" si="179">IF(J66&lt;=2,"A",IF(J66&lt;=2.75,"B",IF(J66&lt;=3.5,"C",IF(J66&lt;=4.25,"D",IF(J66&lt;=5,"E","F")))))</f>
        <v>#NAME?</v>
      </c>
      <c r="K67" s="10" t="e">
        <f t="shared" ca="1" si="179"/>
        <v>#NAME?</v>
      </c>
      <c r="L67" s="10" t="e">
        <f t="shared" ca="1" si="179"/>
        <v>#NAME?</v>
      </c>
      <c r="M67" s="10" t="e">
        <f t="shared" ref="M67" ca="1" si="180">IF(M66&lt;=2,"A",IF(M66&lt;=2.75,"B",IF(M66&lt;=3.5,"C",IF(M66&lt;=4.25,"D",IF(M66&lt;=5,"E","F")))))</f>
        <v>#NAME?</v>
      </c>
      <c r="N67" s="10" t="e">
        <f t="shared" ca="1" si="177"/>
        <v>#NAME?</v>
      </c>
      <c r="O67" s="10" t="e">
        <f t="shared" ref="O67" ca="1" si="181">IF(O66&lt;=2,"A",IF(O66&lt;=2.75,"B",IF(O66&lt;=3.5,"C",IF(O66&lt;=4.25,"D",IF(O66&lt;=5,"E","F")))))</f>
        <v>#NAME?</v>
      </c>
      <c r="P67" s="10" t="e">
        <f t="shared" ref="P67" ca="1" si="182">IF(P66&lt;=2,"A",IF(P66&lt;=2.75,"B",IF(P66&lt;=3.5,"C",IF(P66&lt;=4.25,"D",IF(P66&lt;=5,"E","F")))))</f>
        <v>#NAME?</v>
      </c>
      <c r="Q67" s="10" t="e">
        <f t="shared" ref="Q67:S67" ca="1" si="183">IF(Q66&lt;=2,"A",IF(Q66&lt;=2.75,"B",IF(Q66&lt;=3.5,"C",IF(Q66&lt;=4.25,"D",IF(Q66&lt;=5,"E","F")))))</f>
        <v>#NAME?</v>
      </c>
      <c r="R67" s="10" t="e">
        <f t="shared" ca="1" si="183"/>
        <v>#NAME?</v>
      </c>
      <c r="S67" s="10" t="e">
        <f t="shared" ca="1" si="183"/>
        <v>#NAME?</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c r="DQ67" s="10"/>
      <c r="DR67" s="10"/>
      <c r="DS67" s="10"/>
      <c r="DT67" s="10"/>
      <c r="DU67" s="10"/>
      <c r="DV67" s="10"/>
      <c r="DW67" s="10"/>
      <c r="DX67" s="10"/>
      <c r="DY67" s="10"/>
      <c r="DZ67" s="10"/>
      <c r="EA67" s="10"/>
      <c r="EB67" s="10"/>
      <c r="EC67" s="10"/>
      <c r="ED67" s="10"/>
      <c r="EE67" s="10"/>
      <c r="EF67" s="10"/>
      <c r="EG67" s="10"/>
      <c r="EH67" s="10"/>
      <c r="EI67" s="10"/>
      <c r="EJ67" s="10"/>
      <c r="EK67" s="10"/>
      <c r="EL67" s="10"/>
      <c r="EM67" s="10"/>
      <c r="EN67" s="10"/>
      <c r="EO67" s="10"/>
      <c r="EP67" s="10"/>
      <c r="EQ67" s="10"/>
      <c r="ER67" s="10"/>
      <c r="ES67" s="10"/>
      <c r="ET67" s="10"/>
      <c r="EU67" s="10"/>
      <c r="EV67" s="10"/>
      <c r="EW67" s="10"/>
      <c r="EX67" s="10"/>
      <c r="EY67" s="10"/>
      <c r="EZ67" s="10"/>
      <c r="FA67" s="10"/>
      <c r="FB67" s="10"/>
      <c r="FC67" s="10"/>
      <c r="FD67" s="10"/>
      <c r="FE67" s="10"/>
      <c r="FF67" s="10"/>
      <c r="FG67" s="10"/>
      <c r="FH67" s="10"/>
      <c r="FI67" s="10"/>
      <c r="FJ67" s="10"/>
      <c r="FK67" s="10"/>
      <c r="FL67" s="10"/>
      <c r="FM67" s="10"/>
      <c r="FN67" s="10"/>
      <c r="FO67" s="10"/>
      <c r="FP67" s="10"/>
      <c r="FQ67" s="10"/>
      <c r="FR67" s="10"/>
      <c r="FS67" s="10"/>
      <c r="FT67" s="10"/>
      <c r="FU67" s="10"/>
      <c r="FV67" s="10"/>
      <c r="FW67" s="10"/>
      <c r="FX67" s="10"/>
      <c r="FY67" s="10"/>
      <c r="FZ67" s="10"/>
      <c r="GA67" s="10"/>
      <c r="GB67" s="10"/>
      <c r="GC67" s="10"/>
      <c r="GD67" s="10"/>
      <c r="GE67" s="10"/>
      <c r="GF67" s="10"/>
      <c r="GG67" s="10"/>
      <c r="GH67" s="10"/>
      <c r="GI67" s="10"/>
      <c r="GJ67" s="10"/>
      <c r="GK67" s="10"/>
      <c r="GL67" s="10"/>
      <c r="GM67" s="10"/>
      <c r="GN67" s="10"/>
      <c r="GO67" s="10"/>
      <c r="GP67" s="10"/>
      <c r="GQ67" s="10"/>
      <c r="GR67" s="10"/>
      <c r="GS67" s="10"/>
      <c r="GT67" s="10"/>
      <c r="GU67" s="10"/>
      <c r="GV67" s="10"/>
      <c r="GW67" s="10"/>
      <c r="GX67" s="10"/>
    </row>
    <row r="68" spans="2:206" x14ac:dyDescent="0.25">
      <c r="B68" s="55"/>
      <c r="C68" s="10"/>
      <c r="D68" s="93" t="s">
        <v>177</v>
      </c>
      <c r="E68" s="264">
        <f>4*SUM(E18:E19)*IF(E44="Yes",1,0)</f>
        <v>10</v>
      </c>
      <c r="F68" s="264">
        <f t="shared" ref="F68:H68" si="184">4*SUM(F18:F19)*IF(F44="Yes",1,0)</f>
        <v>20</v>
      </c>
      <c r="G68" s="264">
        <f t="shared" si="184"/>
        <v>30</v>
      </c>
      <c r="H68" s="264">
        <f t="shared" si="184"/>
        <v>40</v>
      </c>
      <c r="I68" s="264">
        <f t="shared" ref="I68" si="185">4*SUM(I18:I19)*IF(I44="Yes",1,0)</f>
        <v>50</v>
      </c>
      <c r="J68" s="264">
        <f t="shared" ref="J68:L68" si="186">4*SUM(J18:J19)*IF(J44="Yes",1,0)</f>
        <v>60</v>
      </c>
      <c r="K68" s="264">
        <f t="shared" si="186"/>
        <v>70</v>
      </c>
      <c r="L68" s="264">
        <f t="shared" si="186"/>
        <v>80</v>
      </c>
      <c r="M68" s="264">
        <f>4*SUM(M18:M19)*IF(M44="Yes",1,0)</f>
        <v>90</v>
      </c>
      <c r="N68" s="264">
        <f>4*SUM(N18:N19)*IF(N44="Yes",1,0)</f>
        <v>100</v>
      </c>
      <c r="O68" s="264">
        <f>4*SUM(O18:O19)*IF(O44="Yes",1,0)</f>
        <v>110</v>
      </c>
      <c r="P68" s="264">
        <f>4*SUM(P18:P19)*IF(P44="Yes",1,0)</f>
        <v>120</v>
      </c>
      <c r="Q68" s="264">
        <f>4*SUM(Q18:Q19)*IF(Q44="Yes",1,0)</f>
        <v>130</v>
      </c>
      <c r="R68" s="264">
        <f t="shared" ref="R68:S68" si="187">4*SUM(R18:R19)*IF(R44="Yes",1,0)</f>
        <v>140</v>
      </c>
      <c r="S68" s="264">
        <f t="shared" si="187"/>
        <v>150</v>
      </c>
      <c r="T68" s="264"/>
      <c r="U68" s="264"/>
      <c r="V68" s="264"/>
      <c r="W68" s="264"/>
      <c r="X68" s="264"/>
      <c r="Y68" s="264"/>
      <c r="Z68" s="264"/>
      <c r="AA68" s="264"/>
      <c r="AB68" s="264"/>
      <c r="AC68" s="264"/>
      <c r="AD68" s="264"/>
      <c r="AE68" s="264"/>
      <c r="AF68" s="264"/>
      <c r="AG68" s="264"/>
      <c r="AH68" s="264"/>
      <c r="AI68" s="264"/>
      <c r="AJ68" s="264"/>
      <c r="AK68" s="264"/>
      <c r="AL68" s="264"/>
      <c r="AM68" s="264"/>
      <c r="AN68" s="264"/>
      <c r="AO68" s="264"/>
      <c r="AP68" s="264"/>
      <c r="AQ68" s="264"/>
      <c r="AR68" s="264"/>
      <c r="AS68" s="264"/>
      <c r="AT68" s="264"/>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4"/>
      <c r="BW68" s="264"/>
      <c r="BX68" s="264"/>
      <c r="BY68" s="264"/>
      <c r="BZ68" s="264"/>
      <c r="CA68" s="264"/>
      <c r="CB68" s="264"/>
      <c r="CC68" s="264"/>
      <c r="CD68" s="264"/>
      <c r="CE68" s="264"/>
      <c r="CF68" s="264"/>
      <c r="CG68" s="264"/>
      <c r="CH68" s="264"/>
      <c r="CI68" s="264"/>
      <c r="CJ68" s="264"/>
      <c r="CK68" s="264"/>
      <c r="CL68" s="264"/>
      <c r="CM68" s="264"/>
      <c r="CN68" s="264"/>
      <c r="CO68" s="264"/>
      <c r="CP68" s="264"/>
      <c r="CQ68" s="264"/>
      <c r="CR68" s="264"/>
      <c r="CS68" s="264"/>
      <c r="CT68" s="264"/>
      <c r="CU68" s="264"/>
      <c r="CV68" s="264"/>
      <c r="CW68" s="264"/>
      <c r="CX68" s="264"/>
      <c r="CY68" s="264"/>
      <c r="CZ68" s="264"/>
      <c r="DA68" s="264"/>
      <c r="DB68" s="264"/>
      <c r="DC68" s="264"/>
      <c r="DD68" s="264"/>
      <c r="DE68" s="264"/>
      <c r="DF68" s="264"/>
      <c r="DG68" s="264"/>
      <c r="DH68" s="264"/>
      <c r="DI68" s="264"/>
      <c r="DJ68" s="264"/>
      <c r="DK68" s="264"/>
      <c r="DL68" s="264"/>
      <c r="DM68" s="264"/>
      <c r="DN68" s="264"/>
      <c r="DO68" s="264"/>
      <c r="DP68" s="264"/>
      <c r="DQ68" s="264"/>
      <c r="DR68" s="264"/>
      <c r="DS68" s="264"/>
      <c r="DT68" s="264"/>
      <c r="DU68" s="264"/>
      <c r="DV68" s="264"/>
      <c r="DW68" s="264"/>
      <c r="DX68" s="264"/>
      <c r="DY68" s="264"/>
      <c r="DZ68" s="264"/>
      <c r="EA68" s="264"/>
      <c r="EB68" s="264"/>
      <c r="EC68" s="264"/>
      <c r="ED68" s="264"/>
      <c r="EE68" s="264"/>
      <c r="EF68" s="264"/>
      <c r="EG68" s="264"/>
      <c r="EH68" s="264"/>
      <c r="EI68" s="264"/>
      <c r="EJ68" s="264"/>
      <c r="EK68" s="264"/>
      <c r="EL68" s="264"/>
      <c r="EM68" s="264"/>
      <c r="EN68" s="264"/>
      <c r="EO68" s="264"/>
      <c r="EP68" s="264"/>
      <c r="EQ68" s="264"/>
      <c r="ER68" s="264"/>
      <c r="ES68" s="264"/>
      <c r="ET68" s="264"/>
      <c r="EU68" s="264"/>
      <c r="EV68" s="264"/>
      <c r="EW68" s="264"/>
      <c r="EX68" s="264"/>
      <c r="EY68" s="264"/>
      <c r="EZ68" s="264"/>
      <c r="FA68" s="264"/>
      <c r="FB68" s="264"/>
      <c r="FC68" s="264"/>
      <c r="FD68" s="264"/>
      <c r="FE68" s="264"/>
      <c r="FF68" s="264"/>
      <c r="FG68" s="264"/>
      <c r="FH68" s="264"/>
      <c r="FI68" s="264"/>
      <c r="FJ68" s="264"/>
      <c r="FK68" s="264"/>
      <c r="FL68" s="264"/>
      <c r="FM68" s="264"/>
      <c r="FN68" s="264"/>
      <c r="FO68" s="264"/>
      <c r="FP68" s="264"/>
      <c r="FQ68" s="264"/>
      <c r="FR68" s="264"/>
      <c r="FS68" s="264"/>
      <c r="FT68" s="264"/>
      <c r="FU68" s="264"/>
      <c r="FV68" s="264"/>
      <c r="FW68" s="264"/>
      <c r="FX68" s="264"/>
      <c r="FY68" s="264"/>
      <c r="FZ68" s="264"/>
      <c r="GA68" s="264"/>
      <c r="GB68" s="264"/>
      <c r="GC68" s="264"/>
      <c r="GD68" s="264"/>
      <c r="GE68" s="264"/>
      <c r="GF68" s="264"/>
      <c r="GG68" s="264"/>
      <c r="GH68" s="264"/>
      <c r="GI68" s="264"/>
      <c r="GJ68" s="264"/>
      <c r="GK68" s="264"/>
      <c r="GL68" s="264"/>
      <c r="GM68" s="264"/>
      <c r="GN68" s="264"/>
      <c r="GO68" s="264"/>
      <c r="GP68" s="264"/>
      <c r="GQ68" s="264"/>
      <c r="GR68" s="264"/>
      <c r="GS68" s="264"/>
      <c r="GT68" s="264"/>
      <c r="GU68" s="264"/>
      <c r="GV68" s="264"/>
      <c r="GW68" s="264"/>
      <c r="GX68" s="264"/>
    </row>
    <row r="69" spans="2:206" ht="15.75" x14ac:dyDescent="0.25">
      <c r="B69" s="55"/>
      <c r="C69" s="4"/>
      <c r="D69" s="77" t="s">
        <v>235</v>
      </c>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row>
    <row r="70" spans="2:206" ht="14.25" x14ac:dyDescent="0.25">
      <c r="B70" s="55"/>
      <c r="C70" s="10" t="s">
        <v>317</v>
      </c>
      <c r="D70" s="93" t="s">
        <v>402</v>
      </c>
      <c r="E70" s="13">
        <f t="shared" ref="E70:N70" si="188">MAX(1500*ROUNDDOWN(E33/2.5,0),1500)</f>
        <v>1500</v>
      </c>
      <c r="F70" s="13">
        <f t="shared" si="188"/>
        <v>1500</v>
      </c>
      <c r="G70" s="13">
        <f t="shared" si="188"/>
        <v>1500</v>
      </c>
      <c r="H70" s="13">
        <f t="shared" si="188"/>
        <v>1500</v>
      </c>
      <c r="I70" s="13">
        <f t="shared" ref="I70" si="189">MAX(1500*ROUNDDOWN(I33/2.5,0),1500)</f>
        <v>1500</v>
      </c>
      <c r="J70" s="13">
        <f t="shared" ref="J70:L70" si="190">MAX(1500*ROUNDDOWN(J33/2.5,0),1500)</f>
        <v>1500</v>
      </c>
      <c r="K70" s="13">
        <f t="shared" si="190"/>
        <v>1500</v>
      </c>
      <c r="L70" s="13">
        <f t="shared" si="190"/>
        <v>1500</v>
      </c>
      <c r="M70" s="13">
        <f t="shared" ref="M70" si="191">MAX(1500*ROUNDDOWN(M33/2.5,0),1500)</f>
        <v>1500</v>
      </c>
      <c r="N70" s="13">
        <f t="shared" si="188"/>
        <v>1500</v>
      </c>
      <c r="O70" s="13">
        <f t="shared" ref="O70" si="192">MAX(1500*ROUNDDOWN(O33/2.5,0),1500)</f>
        <v>1500</v>
      </c>
      <c r="P70" s="13">
        <f t="shared" ref="P70" si="193">MAX(1500*ROUNDDOWN(P33/2.5,0),1500)</f>
        <v>1500</v>
      </c>
      <c r="Q70" s="13">
        <f t="shared" ref="Q70:S70" si="194">MAX(1500*ROUNDDOWN(Q33/2.5,0),1500)</f>
        <v>1500</v>
      </c>
      <c r="R70" s="13">
        <f t="shared" si="194"/>
        <v>1500</v>
      </c>
      <c r="S70" s="13">
        <f t="shared" si="194"/>
        <v>1500</v>
      </c>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c r="EY70" s="13"/>
      <c r="EZ70" s="13"/>
      <c r="FA70" s="13"/>
      <c r="FB70" s="13"/>
      <c r="FC70" s="13"/>
      <c r="FD70" s="13"/>
      <c r="FE70" s="13"/>
      <c r="FF70" s="13"/>
      <c r="FG70" s="13"/>
      <c r="FH70" s="13"/>
      <c r="FI70" s="13"/>
      <c r="FJ70" s="13"/>
      <c r="FK70" s="13"/>
      <c r="FL70" s="13"/>
      <c r="FM70" s="13"/>
      <c r="FN70" s="13"/>
      <c r="FO70" s="13"/>
      <c r="FP70" s="13"/>
      <c r="FQ70" s="13"/>
      <c r="FR70" s="13"/>
      <c r="FS70" s="13"/>
      <c r="FT70" s="13"/>
      <c r="FU70" s="13"/>
      <c r="FV70" s="13"/>
      <c r="FW70" s="13"/>
      <c r="FX70" s="13"/>
      <c r="FY70" s="13"/>
      <c r="FZ70" s="13"/>
      <c r="GA70" s="13"/>
      <c r="GB70" s="13"/>
      <c r="GC70" s="13"/>
      <c r="GD70" s="13"/>
      <c r="GE70" s="13"/>
      <c r="GF70" s="13"/>
      <c r="GG70" s="13"/>
      <c r="GH70" s="13"/>
      <c r="GI70" s="13"/>
      <c r="GJ70" s="13"/>
      <c r="GK70" s="13"/>
      <c r="GL70" s="13"/>
      <c r="GM70" s="13"/>
      <c r="GN70" s="13"/>
      <c r="GO70" s="13"/>
      <c r="GP70" s="13"/>
      <c r="GQ70" s="13"/>
      <c r="GR70" s="13"/>
      <c r="GS70" s="13"/>
      <c r="GT70" s="13"/>
      <c r="GU70" s="13"/>
      <c r="GV70" s="13"/>
      <c r="GW70" s="13"/>
      <c r="GX70" s="13"/>
    </row>
    <row r="71" spans="2:206" ht="14.25" x14ac:dyDescent="0.25">
      <c r="B71" s="55"/>
      <c r="C71" s="10" t="s">
        <v>322</v>
      </c>
      <c r="D71" s="93" t="s">
        <v>403</v>
      </c>
      <c r="E71" s="13">
        <v>5</v>
      </c>
      <c r="F71" s="13">
        <v>5</v>
      </c>
      <c r="G71" s="13">
        <v>5</v>
      </c>
      <c r="H71" s="13">
        <v>5</v>
      </c>
      <c r="I71" s="13">
        <v>5</v>
      </c>
      <c r="J71" s="13">
        <v>5</v>
      </c>
      <c r="K71" s="13">
        <v>5</v>
      </c>
      <c r="L71" s="13">
        <v>5</v>
      </c>
      <c r="M71" s="13">
        <v>5</v>
      </c>
      <c r="N71" s="13">
        <v>5</v>
      </c>
      <c r="O71" s="13">
        <v>5</v>
      </c>
      <c r="P71" s="13">
        <v>5</v>
      </c>
      <c r="Q71" s="13">
        <v>5</v>
      </c>
      <c r="R71" s="13">
        <v>5</v>
      </c>
      <c r="S71" s="13">
        <v>5</v>
      </c>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c r="EY71" s="13"/>
      <c r="EZ71" s="13"/>
      <c r="FA71" s="13"/>
      <c r="FB71" s="13"/>
      <c r="FC71" s="13"/>
      <c r="FD71" s="13"/>
      <c r="FE71" s="13"/>
      <c r="FF71" s="13"/>
      <c r="FG71" s="13"/>
      <c r="FH71" s="13"/>
      <c r="FI71" s="13"/>
      <c r="FJ71" s="13"/>
      <c r="FK71" s="13"/>
      <c r="FL71" s="13"/>
      <c r="FM71" s="13"/>
      <c r="FN71" s="13"/>
      <c r="FO71" s="13"/>
      <c r="FP71" s="13"/>
      <c r="FQ71" s="13"/>
      <c r="FR71" s="13"/>
      <c r="FS71" s="13"/>
      <c r="FT71" s="13"/>
      <c r="FU71" s="13"/>
      <c r="FV71" s="13"/>
      <c r="FW71" s="13"/>
      <c r="FX71" s="13"/>
      <c r="FY71" s="13"/>
      <c r="FZ71" s="13"/>
      <c r="GA71" s="13"/>
      <c r="GB71" s="13"/>
      <c r="GC71" s="13"/>
      <c r="GD71" s="13"/>
      <c r="GE71" s="13"/>
      <c r="GF71" s="13"/>
      <c r="GG71" s="13"/>
      <c r="GH71" s="13"/>
      <c r="GI71" s="13"/>
      <c r="GJ71" s="13"/>
      <c r="GK71" s="13"/>
      <c r="GL71" s="13"/>
      <c r="GM71" s="13"/>
      <c r="GN71" s="13"/>
      <c r="GO71" s="13"/>
      <c r="GP71" s="13"/>
      <c r="GQ71" s="13"/>
      <c r="GR71" s="13"/>
      <c r="GS71" s="13"/>
      <c r="GT71" s="13"/>
      <c r="GU71" s="13"/>
      <c r="GV71" s="13"/>
      <c r="GW71" s="13"/>
      <c r="GX71" s="13"/>
    </row>
    <row r="72" spans="2:206" ht="14.25" x14ac:dyDescent="0.25">
      <c r="B72" s="55"/>
      <c r="C72" s="10" t="s">
        <v>306</v>
      </c>
      <c r="D72" s="93" t="s">
        <v>405</v>
      </c>
      <c r="E72" s="13">
        <f t="shared" ref="E72:Q72" si="195">E70*EXP(-(E13/3600)*E71)*E26/E28</f>
        <v>744.80970936773701</v>
      </c>
      <c r="F72" s="13">
        <f t="shared" ref="F72:H72" si="196">F70*EXP(-(F13/3600)*F71)*F26/F28</f>
        <v>739.65533755793717</v>
      </c>
      <c r="G72" s="13">
        <f t="shared" si="196"/>
        <v>734.53663599843003</v>
      </c>
      <c r="H72" s="13">
        <f t="shared" si="196"/>
        <v>729.45335783726125</v>
      </c>
      <c r="I72" s="13">
        <f t="shared" ref="I72" si="197">I70*EXP(-(I13/3600)*I71)*I26/I28</f>
        <v>724.40525793078723</v>
      </c>
      <c r="J72" s="13">
        <f t="shared" si="195"/>
        <v>719.39209283185357</v>
      </c>
      <c r="K72" s="13">
        <f t="shared" si="195"/>
        <v>714.41362077805456</v>
      </c>
      <c r="L72" s="13">
        <f t="shared" si="195"/>
        <v>709.46960168007411</v>
      </c>
      <c r="M72" s="13">
        <f t="shared" ref="M72:N72" si="198">M70*EXP(-(M13/3600)*M71)*M26/M28</f>
        <v>704.55979711010684</v>
      </c>
      <c r="N72" s="13">
        <f t="shared" si="198"/>
        <v>699.68397029036055</v>
      </c>
      <c r="O72" s="13">
        <f t="shared" ref="O72" si="199">O70*EXP(-(O13/3600)*O71)*O26/O28</f>
        <v>694.84188608163709</v>
      </c>
      <c r="P72" s="13">
        <f t="shared" ref="P72" si="200">P70*EXP(-(P13/3600)*P71)*P26/P28</f>
        <v>690.03331097199248</v>
      </c>
      <c r="Q72" s="13">
        <f t="shared" si="195"/>
        <v>685.25801306547601</v>
      </c>
      <c r="R72" s="13">
        <f t="shared" ref="R72" si="201">R70*EXP(-(R13/3600)*R71)*R26/R28</f>
        <v>680.51576207094672</v>
      </c>
      <c r="S72" s="13">
        <f t="shared" ref="S72" si="202">S70*EXP(-(S13/3600)*S71)*S26/S28</f>
        <v>675.80632929096794</v>
      </c>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c r="FN72" s="13"/>
      <c r="FO72" s="13"/>
      <c r="FP72" s="13"/>
      <c r="FQ72" s="13"/>
      <c r="FR72" s="13"/>
      <c r="FS72" s="13"/>
      <c r="FT72" s="13"/>
      <c r="FU72" s="13"/>
      <c r="FV72" s="13"/>
      <c r="FW72" s="13"/>
      <c r="FX72" s="13"/>
      <c r="FY72" s="13"/>
      <c r="FZ72" s="13"/>
      <c r="GA72" s="13"/>
      <c r="GB72" s="13"/>
      <c r="GC72" s="13"/>
      <c r="GD72" s="13"/>
      <c r="GE72" s="13"/>
      <c r="GF72" s="13"/>
      <c r="GG72" s="13"/>
      <c r="GH72" s="13"/>
      <c r="GI72" s="13"/>
      <c r="GJ72" s="13"/>
      <c r="GK72" s="13"/>
      <c r="GL72" s="13"/>
      <c r="GM72" s="13"/>
      <c r="GN72" s="13"/>
      <c r="GO72" s="13"/>
      <c r="GP72" s="13"/>
      <c r="GQ72" s="13"/>
      <c r="GR72" s="13"/>
      <c r="GS72" s="13"/>
      <c r="GT72" s="13"/>
      <c r="GU72" s="13"/>
      <c r="GV72" s="13"/>
      <c r="GW72" s="13"/>
      <c r="GX72" s="13"/>
    </row>
    <row r="73" spans="2:206" ht="14.25" x14ac:dyDescent="0.25">
      <c r="B73" s="55"/>
      <c r="C73" s="208" t="s">
        <v>428</v>
      </c>
      <c r="D73" s="182" t="s">
        <v>429</v>
      </c>
      <c r="E73" s="13">
        <f t="shared" ref="E73:Q73" si="203">0.5*E28*(1-E26/E28)^2/(1-MIN(E21/E72,1)*(E26/E28))</f>
        <v>11.442029408051155</v>
      </c>
      <c r="F73" s="13">
        <f t="shared" ref="F73:H73" si="204">0.5*F28*(1-F26/F28)^2/(1-MIN(F21/F72,1)*(F26/F28))</f>
        <v>11.443390590341084</v>
      </c>
      <c r="G73" s="13">
        <f t="shared" si="204"/>
        <v>11.444761585477645</v>
      </c>
      <c r="H73" s="13">
        <f t="shared" si="204"/>
        <v>11.446142466539532</v>
      </c>
      <c r="I73" s="13">
        <f t="shared" ref="I73" si="205">0.5*I28*(1-I26/I28)^2/(1-MIN(I21/I72,1)*(I26/I28))</f>
        <v>11.447533307182951</v>
      </c>
      <c r="J73" s="13">
        <f t="shared" si="203"/>
        <v>11.448934181646662</v>
      </c>
      <c r="K73" s="13">
        <f t="shared" si="203"/>
        <v>11.450345164757055</v>
      </c>
      <c r="L73" s="13">
        <f t="shared" si="203"/>
        <v>11.451766331933296</v>
      </c>
      <c r="M73" s="13">
        <f t="shared" ref="M73:N73" si="206">0.5*M28*(1-M26/M28)^2/(1-MIN(M21/M72,1)*(M26/M28))</f>
        <v>11.453197759192514</v>
      </c>
      <c r="N73" s="13">
        <f t="shared" si="206"/>
        <v>11.454639523155031</v>
      </c>
      <c r="O73" s="13">
        <f t="shared" ref="O73" si="207">0.5*O28*(1-O26/O28)^2/(1-MIN(O21/O72,1)*(O26/O28))</f>
        <v>11.456091701049663</v>
      </c>
      <c r="P73" s="13">
        <f t="shared" ref="P73" si="208">0.5*P28*(1-P26/P28)^2/(1-MIN(P21/P72,1)*(P26/P28))</f>
        <v>11.457554370719071</v>
      </c>
      <c r="Q73" s="13">
        <f t="shared" si="203"/>
        <v>11.459027610625151</v>
      </c>
      <c r="R73" s="13">
        <f t="shared" ref="R73" si="209">0.5*R28*(1-R26/R28)^2/(1-MIN(R21/R72,1)*(R26/R28))</f>
        <v>11.460511499854498</v>
      </c>
      <c r="S73" s="13">
        <f t="shared" ref="S73" si="210">0.5*S28*(1-S26/S28)^2/(1-MIN(S21/S72,1)*(S26/S28))</f>
        <v>11.462006118123913</v>
      </c>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c r="FN73" s="13"/>
      <c r="FO73" s="13"/>
      <c r="FP73" s="13"/>
      <c r="FQ73" s="13"/>
      <c r="FR73" s="13"/>
      <c r="FS73" s="13"/>
      <c r="FT73" s="13"/>
      <c r="FU73" s="13"/>
      <c r="FV73" s="13"/>
      <c r="FW73" s="13"/>
      <c r="FX73" s="13"/>
      <c r="FY73" s="13"/>
      <c r="FZ73" s="13"/>
      <c r="GA73" s="13"/>
      <c r="GB73" s="13"/>
      <c r="GC73" s="13"/>
      <c r="GD73" s="13"/>
      <c r="GE73" s="13"/>
      <c r="GF73" s="13"/>
      <c r="GG73" s="13"/>
      <c r="GH73" s="13"/>
      <c r="GI73" s="13"/>
      <c r="GJ73" s="13"/>
      <c r="GK73" s="13"/>
      <c r="GL73" s="13"/>
      <c r="GM73" s="13"/>
      <c r="GN73" s="13"/>
      <c r="GO73" s="13"/>
      <c r="GP73" s="13"/>
      <c r="GQ73" s="13"/>
      <c r="GR73" s="13"/>
      <c r="GS73" s="13"/>
      <c r="GT73" s="13"/>
      <c r="GU73" s="13"/>
      <c r="GV73" s="13"/>
      <c r="GW73" s="13"/>
      <c r="GX73" s="13"/>
    </row>
    <row r="74" spans="2:206" x14ac:dyDescent="0.25">
      <c r="B74" s="55"/>
      <c r="C74" s="289" t="s">
        <v>441</v>
      </c>
      <c r="D74" s="290"/>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13"/>
      <c r="FE74" s="13"/>
      <c r="FF74" s="13"/>
      <c r="FG74" s="13"/>
      <c r="FH74" s="13"/>
      <c r="FI74" s="13"/>
      <c r="FJ74" s="13"/>
      <c r="FK74" s="13"/>
      <c r="FL74" s="13"/>
      <c r="FM74" s="13"/>
      <c r="FN74" s="13"/>
      <c r="FO74" s="13"/>
      <c r="FP74" s="13"/>
      <c r="FQ74" s="13"/>
      <c r="FR74" s="13"/>
      <c r="FS74" s="13"/>
      <c r="FT74" s="13"/>
      <c r="FU74" s="13"/>
      <c r="FV74" s="13"/>
      <c r="FW74" s="13"/>
      <c r="FX74" s="13"/>
      <c r="FY74" s="13"/>
      <c r="FZ74" s="13"/>
      <c r="GA74" s="13"/>
      <c r="GB74" s="13"/>
      <c r="GC74" s="13"/>
      <c r="GD74" s="13"/>
      <c r="GE74" s="13"/>
      <c r="GF74" s="13"/>
      <c r="GG74" s="13"/>
      <c r="GH74" s="13"/>
      <c r="GI74" s="13"/>
      <c r="GJ74" s="13"/>
      <c r="GK74" s="13"/>
      <c r="GL74" s="13"/>
      <c r="GM74" s="13"/>
      <c r="GN74" s="13"/>
      <c r="GO74" s="13"/>
      <c r="GP74" s="13"/>
      <c r="GQ74" s="13"/>
      <c r="GR74" s="13"/>
      <c r="GS74" s="13"/>
      <c r="GT74" s="13"/>
      <c r="GU74" s="13"/>
      <c r="GV74" s="13"/>
      <c r="GW74" s="13"/>
      <c r="GX74" s="13"/>
    </row>
    <row r="75" spans="2:206" ht="14.25" x14ac:dyDescent="0.25">
      <c r="B75" s="55"/>
      <c r="C75" s="10" t="s">
        <v>430</v>
      </c>
      <c r="D75" s="93" t="s">
        <v>431</v>
      </c>
      <c r="E75" s="13">
        <f t="shared" ref="E75:N75" si="211">E32/E40 +E41</f>
        <v>6.3</v>
      </c>
      <c r="F75" s="13">
        <f t="shared" si="211"/>
        <v>6.3</v>
      </c>
      <c r="G75" s="13">
        <f t="shared" si="211"/>
        <v>6.3</v>
      </c>
      <c r="H75" s="13">
        <f t="shared" si="211"/>
        <v>6.3</v>
      </c>
      <c r="I75" s="13">
        <f t="shared" ref="I75" si="212">I32/I40 +I41</f>
        <v>6.3</v>
      </c>
      <c r="J75" s="13">
        <f t="shared" ref="J75:L75" si="213">J32/J40 +J41</f>
        <v>6.3</v>
      </c>
      <c r="K75" s="13">
        <f t="shared" si="213"/>
        <v>6.3</v>
      </c>
      <c r="L75" s="13">
        <f t="shared" si="213"/>
        <v>6.3</v>
      </c>
      <c r="M75" s="13">
        <f t="shared" ref="M75" si="214">M32/M40 +M41</f>
        <v>6.3</v>
      </c>
      <c r="N75" s="13">
        <f t="shared" si="211"/>
        <v>6.3</v>
      </c>
      <c r="O75" s="13">
        <f t="shared" ref="O75" si="215">O32/O40 +O41</f>
        <v>6.3</v>
      </c>
      <c r="P75" s="13">
        <f t="shared" ref="P75" si="216">P32/P40 +P41</f>
        <v>6.3</v>
      </c>
      <c r="Q75" s="13">
        <f t="shared" ref="Q75:S75" si="217">Q32/Q40 +Q41</f>
        <v>6.3</v>
      </c>
      <c r="R75" s="13">
        <f t="shared" si="217"/>
        <v>6.3</v>
      </c>
      <c r="S75" s="13">
        <f t="shared" si="217"/>
        <v>6.3</v>
      </c>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13"/>
      <c r="FE75" s="13"/>
      <c r="FF75" s="13"/>
      <c r="FG75" s="13"/>
      <c r="FH75" s="13"/>
      <c r="FI75" s="13"/>
      <c r="FJ75" s="13"/>
      <c r="FK75" s="13"/>
      <c r="FL75" s="13"/>
      <c r="FM75" s="13"/>
      <c r="FN75" s="13"/>
      <c r="FO75" s="13"/>
      <c r="FP75" s="13"/>
      <c r="FQ75" s="13"/>
      <c r="FR75" s="13"/>
      <c r="FS75" s="13"/>
      <c r="FT75" s="13"/>
      <c r="FU75" s="13"/>
      <c r="FV75" s="13"/>
      <c r="FW75" s="13"/>
      <c r="FX75" s="13"/>
      <c r="FY75" s="13"/>
      <c r="FZ75" s="13"/>
      <c r="GA75" s="13"/>
      <c r="GB75" s="13"/>
      <c r="GC75" s="13"/>
      <c r="GD75" s="13"/>
      <c r="GE75" s="13"/>
      <c r="GF75" s="13"/>
      <c r="GG75" s="13"/>
      <c r="GH75" s="13"/>
      <c r="GI75" s="13"/>
      <c r="GJ75" s="13"/>
      <c r="GK75" s="13"/>
      <c r="GL75" s="13"/>
      <c r="GM75" s="13"/>
      <c r="GN75" s="13"/>
      <c r="GO75" s="13"/>
      <c r="GP75" s="13"/>
      <c r="GQ75" s="13"/>
      <c r="GR75" s="13"/>
      <c r="GS75" s="13"/>
      <c r="GT75" s="13"/>
      <c r="GU75" s="13"/>
      <c r="GV75" s="13"/>
      <c r="GW75" s="13"/>
      <c r="GX75" s="13"/>
    </row>
    <row r="76" spans="2:206" ht="14.25" x14ac:dyDescent="0.25">
      <c r="B76" s="55"/>
      <c r="C76" s="10" t="s">
        <v>436</v>
      </c>
      <c r="D76" s="233" t="s">
        <v>437</v>
      </c>
      <c r="E76" s="177">
        <f t="shared" ref="E76:N76" si="218">E17/3600</f>
        <v>1.9444444444444445E-2</v>
      </c>
      <c r="F76" s="268">
        <f t="shared" si="218"/>
        <v>3.888888888888889E-2</v>
      </c>
      <c r="G76" s="268">
        <f t="shared" si="218"/>
        <v>5.8333333333333334E-2</v>
      </c>
      <c r="H76" s="268">
        <f t="shared" si="218"/>
        <v>7.7777777777777779E-2</v>
      </c>
      <c r="I76" s="268">
        <f t="shared" ref="I76" si="219">I17/3600</f>
        <v>9.7222222222222224E-2</v>
      </c>
      <c r="J76" s="268">
        <f t="shared" ref="J76:L76" si="220">J17/3600</f>
        <v>0.11666666666666667</v>
      </c>
      <c r="K76" s="268">
        <f t="shared" si="220"/>
        <v>0.1361111111111111</v>
      </c>
      <c r="L76" s="268">
        <f t="shared" si="220"/>
        <v>0.15555555555555556</v>
      </c>
      <c r="M76" s="268">
        <f t="shared" ref="M76" si="221">M17/3600</f>
        <v>0.17499999999999999</v>
      </c>
      <c r="N76" s="268">
        <f t="shared" si="218"/>
        <v>0.19444444444444445</v>
      </c>
      <c r="O76" s="268">
        <f t="shared" ref="O76" si="222">O17/3600</f>
        <v>0.21388888888888888</v>
      </c>
      <c r="P76" s="268">
        <f t="shared" ref="P76" si="223">P17/3600</f>
        <v>0.23333333333333334</v>
      </c>
      <c r="Q76" s="177">
        <f t="shared" ref="Q76:S76" si="224">Q17/3600</f>
        <v>0.25277777777777777</v>
      </c>
      <c r="R76" s="177">
        <f t="shared" si="224"/>
        <v>0.2722222222222222</v>
      </c>
      <c r="S76" s="177">
        <f t="shared" si="224"/>
        <v>0.29166666666666669</v>
      </c>
      <c r="T76" s="177"/>
      <c r="U76" s="177"/>
      <c r="V76" s="177"/>
      <c r="W76" s="177"/>
      <c r="X76" s="177"/>
      <c r="Y76" s="177"/>
      <c r="Z76" s="177"/>
      <c r="AA76" s="177"/>
      <c r="AB76" s="177"/>
      <c r="AC76" s="177"/>
      <c r="AD76" s="177"/>
      <c r="AE76" s="177"/>
      <c r="AF76" s="177"/>
      <c r="AG76" s="177"/>
      <c r="AH76" s="177"/>
      <c r="AI76" s="177"/>
      <c r="AJ76" s="177"/>
      <c r="AK76" s="177"/>
      <c r="AL76" s="177"/>
      <c r="AM76" s="177"/>
      <c r="AN76" s="177"/>
      <c r="AO76" s="177"/>
      <c r="AP76" s="177"/>
      <c r="AQ76" s="177"/>
      <c r="AR76" s="177"/>
      <c r="AS76" s="177"/>
      <c r="AT76" s="177"/>
      <c r="AU76" s="177"/>
      <c r="AV76" s="177"/>
      <c r="AW76" s="177"/>
      <c r="AX76" s="177"/>
      <c r="AY76" s="177"/>
      <c r="AZ76" s="177"/>
      <c r="BA76" s="177"/>
      <c r="BB76" s="177"/>
      <c r="BC76" s="177"/>
      <c r="BD76" s="177"/>
      <c r="BE76" s="177"/>
      <c r="BF76" s="177"/>
      <c r="BG76" s="177"/>
      <c r="BH76" s="177"/>
      <c r="BI76" s="177"/>
      <c r="BJ76" s="177"/>
      <c r="BK76" s="177"/>
      <c r="BL76" s="177"/>
      <c r="BM76" s="177"/>
      <c r="BN76" s="177"/>
      <c r="BO76" s="177"/>
      <c r="BP76" s="177"/>
      <c r="BQ76" s="177"/>
      <c r="BR76" s="177"/>
      <c r="BS76" s="177"/>
      <c r="BT76" s="177"/>
      <c r="BU76" s="177"/>
      <c r="BV76" s="177"/>
      <c r="BW76" s="177"/>
      <c r="BX76" s="177"/>
      <c r="BY76" s="177"/>
      <c r="BZ76" s="177"/>
      <c r="CA76" s="177"/>
      <c r="CB76" s="177"/>
      <c r="CC76" s="177"/>
      <c r="CD76" s="177"/>
      <c r="CE76" s="177"/>
      <c r="CF76" s="177"/>
      <c r="CG76" s="177"/>
      <c r="CH76" s="177"/>
      <c r="CI76" s="177"/>
      <c r="CJ76" s="177"/>
      <c r="CK76" s="177"/>
      <c r="CL76" s="177"/>
      <c r="CM76" s="177"/>
      <c r="CN76" s="177"/>
      <c r="CO76" s="177"/>
      <c r="CP76" s="177"/>
      <c r="CQ76" s="177"/>
      <c r="CR76" s="177"/>
      <c r="CS76" s="177"/>
      <c r="CT76" s="177"/>
      <c r="CU76" s="177"/>
      <c r="CV76" s="177"/>
      <c r="CW76" s="177"/>
      <c r="CX76" s="177"/>
      <c r="CY76" s="177"/>
      <c r="CZ76" s="177"/>
      <c r="DA76" s="177"/>
      <c r="DB76" s="177"/>
      <c r="DC76" s="177"/>
      <c r="DD76" s="177"/>
      <c r="DE76" s="177"/>
      <c r="DF76" s="177"/>
      <c r="DG76" s="177"/>
      <c r="DH76" s="177"/>
      <c r="DI76" s="177"/>
      <c r="DJ76" s="177"/>
      <c r="DK76" s="177"/>
      <c r="DL76" s="177"/>
      <c r="DM76" s="177"/>
      <c r="DN76" s="177"/>
      <c r="DO76" s="177"/>
      <c r="DP76" s="177"/>
      <c r="DQ76" s="177"/>
      <c r="DR76" s="177"/>
      <c r="DS76" s="177"/>
      <c r="DT76" s="177"/>
      <c r="DU76" s="177"/>
      <c r="DV76" s="177"/>
      <c r="DW76" s="177"/>
      <c r="DX76" s="177"/>
      <c r="DY76" s="177"/>
      <c r="DZ76" s="177"/>
      <c r="EA76" s="177"/>
      <c r="EB76" s="177"/>
      <c r="EC76" s="177"/>
      <c r="ED76" s="177"/>
      <c r="EE76" s="177"/>
      <c r="EF76" s="177"/>
      <c r="EG76" s="177"/>
      <c r="EH76" s="177"/>
      <c r="EI76" s="177"/>
      <c r="EJ76" s="177"/>
      <c r="EK76" s="177"/>
      <c r="EL76" s="177"/>
      <c r="EM76" s="177"/>
      <c r="EN76" s="177"/>
      <c r="EO76" s="177"/>
      <c r="EP76" s="177"/>
      <c r="EQ76" s="177"/>
      <c r="ER76" s="177"/>
      <c r="ES76" s="177"/>
      <c r="ET76" s="177"/>
      <c r="EU76" s="177"/>
      <c r="EV76" s="177"/>
      <c r="EW76" s="177"/>
      <c r="EX76" s="177"/>
      <c r="EY76" s="177"/>
      <c r="EZ76" s="177"/>
      <c r="FA76" s="177"/>
      <c r="FB76" s="177"/>
      <c r="FC76" s="177"/>
      <c r="FD76" s="177"/>
      <c r="FE76" s="177"/>
      <c r="FF76" s="177"/>
      <c r="FG76" s="177"/>
      <c r="FH76" s="177"/>
      <c r="FI76" s="177"/>
      <c r="FJ76" s="177"/>
      <c r="FK76" s="177"/>
      <c r="FL76" s="177"/>
      <c r="FM76" s="177"/>
      <c r="FN76" s="177"/>
      <c r="FO76" s="177"/>
      <c r="FP76" s="177"/>
      <c r="FQ76" s="177"/>
      <c r="FR76" s="177"/>
      <c r="FS76" s="177"/>
      <c r="FT76" s="177"/>
      <c r="FU76" s="177"/>
      <c r="FV76" s="177"/>
      <c r="FW76" s="177"/>
      <c r="FX76" s="177"/>
      <c r="FY76" s="177"/>
      <c r="FZ76" s="177"/>
      <c r="GA76" s="177"/>
      <c r="GB76" s="177"/>
      <c r="GC76" s="177"/>
      <c r="GD76" s="177"/>
      <c r="GE76" s="177"/>
      <c r="GF76" s="177"/>
      <c r="GG76" s="177"/>
      <c r="GH76" s="177"/>
      <c r="GI76" s="177"/>
      <c r="GJ76" s="177"/>
      <c r="GK76" s="177"/>
      <c r="GL76" s="177"/>
      <c r="GM76" s="177"/>
      <c r="GN76" s="177"/>
      <c r="GO76" s="177"/>
      <c r="GP76" s="177"/>
      <c r="GQ76" s="177"/>
      <c r="GR76" s="177"/>
      <c r="GS76" s="177"/>
      <c r="GT76" s="177"/>
      <c r="GU76" s="177"/>
      <c r="GV76" s="177"/>
      <c r="GW76" s="177"/>
      <c r="GX76" s="177"/>
    </row>
    <row r="77" spans="2:206" ht="14.25" x14ac:dyDescent="0.25">
      <c r="B77" s="55"/>
      <c r="C77" s="10" t="s">
        <v>308</v>
      </c>
      <c r="D77" s="93" t="s">
        <v>406</v>
      </c>
      <c r="E77" s="13">
        <f t="shared" ref="E77:Q77" si="225">MAX(IF(E33=0,0,4*E78/E33),1)</f>
        <v>1</v>
      </c>
      <c r="F77" s="13">
        <f t="shared" ref="F77:H77" si="226">MAX(IF(F33=0,0,4*F78/F33),1)</f>
        <v>1</v>
      </c>
      <c r="G77" s="13">
        <f t="shared" si="226"/>
        <v>1</v>
      </c>
      <c r="H77" s="13">
        <f t="shared" si="226"/>
        <v>1</v>
      </c>
      <c r="I77" s="13">
        <f t="shared" ref="I77" si="227">MAX(IF(I33=0,0,4*I78/I33),1)</f>
        <v>1</v>
      </c>
      <c r="J77" s="13">
        <f t="shared" si="225"/>
        <v>1</v>
      </c>
      <c r="K77" s="13">
        <f t="shared" si="225"/>
        <v>1</v>
      </c>
      <c r="L77" s="13">
        <f t="shared" si="225"/>
        <v>1</v>
      </c>
      <c r="M77" s="13">
        <f t="shared" ref="M77:N77" si="228">MAX(IF(M33=0,0,4*M78/M33),1)</f>
        <v>1</v>
      </c>
      <c r="N77" s="13">
        <f t="shared" si="228"/>
        <v>1</v>
      </c>
      <c r="O77" s="13">
        <f t="shared" ref="O77" si="229">MAX(IF(O33=0,0,4*O78/O33),1)</f>
        <v>1</v>
      </c>
      <c r="P77" s="13">
        <f t="shared" ref="P77" si="230">MAX(IF(P33=0,0,4*P78/P33),1)</f>
        <v>1</v>
      </c>
      <c r="Q77" s="13">
        <f t="shared" si="225"/>
        <v>1</v>
      </c>
      <c r="R77" s="13">
        <f t="shared" ref="R77" si="231">MAX(IF(R33=0,0,4*R78/R33),1)</f>
        <v>1</v>
      </c>
      <c r="S77" s="13">
        <f t="shared" ref="S77" si="232">MAX(IF(S33=0,0,4*S78/S33),1)</f>
        <v>1</v>
      </c>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13"/>
      <c r="FE77" s="13"/>
      <c r="FF77" s="13"/>
      <c r="FG77" s="13"/>
      <c r="FH77" s="13"/>
      <c r="FI77" s="13"/>
      <c r="FJ77" s="13"/>
      <c r="FK77" s="13"/>
      <c r="FL77" s="13"/>
      <c r="FM77" s="13"/>
      <c r="FN77" s="13"/>
      <c r="FO77" s="13"/>
      <c r="FP77" s="13"/>
      <c r="FQ77" s="13"/>
      <c r="FR77" s="13"/>
      <c r="FS77" s="13"/>
      <c r="FT77" s="13"/>
      <c r="FU77" s="13"/>
      <c r="FV77" s="13"/>
      <c r="FW77" s="13"/>
      <c r="FX77" s="13"/>
      <c r="FY77" s="13"/>
      <c r="FZ77" s="13"/>
      <c r="GA77" s="13"/>
      <c r="GB77" s="13"/>
      <c r="GC77" s="13"/>
      <c r="GD77" s="13"/>
      <c r="GE77" s="13"/>
      <c r="GF77" s="13"/>
      <c r="GG77" s="13"/>
      <c r="GH77" s="13"/>
      <c r="GI77" s="13"/>
      <c r="GJ77" s="13"/>
      <c r="GK77" s="13"/>
      <c r="GL77" s="13"/>
      <c r="GM77" s="13"/>
      <c r="GN77" s="13"/>
      <c r="GO77" s="13"/>
      <c r="GP77" s="13"/>
      <c r="GQ77" s="13"/>
      <c r="GR77" s="13"/>
      <c r="GS77" s="13"/>
      <c r="GT77" s="13"/>
      <c r="GU77" s="13"/>
      <c r="GV77" s="13"/>
      <c r="GW77" s="13"/>
      <c r="GX77" s="13"/>
    </row>
    <row r="78" spans="2:206" ht="14.25" x14ac:dyDescent="0.25">
      <c r="B78" s="55"/>
      <c r="C78" s="10" t="s">
        <v>309</v>
      </c>
      <c r="D78" s="93" t="s">
        <v>407</v>
      </c>
      <c r="E78" s="13">
        <f t="shared" ref="E78:N78" si="233">((E21/3600)*EXP(E75*E21/3600) + E76*EXP(-E76*E75))/(((E21/3600)+E76)*EXP(((E21/3600)-E76))*E75)</f>
        <v>0.14896398057813312</v>
      </c>
      <c r="F78" s="13">
        <f t="shared" si="233"/>
        <v>0.13477767894550485</v>
      </c>
      <c r="G78" s="13">
        <f t="shared" si="233"/>
        <v>0.12197282269254166</v>
      </c>
      <c r="H78" s="13">
        <f t="shared" si="233"/>
        <v>0.1104145909768824</v>
      </c>
      <c r="I78" s="13">
        <f t="shared" ref="I78" si="234">((I21/3600)*EXP(I75*I21/3600) + I76*EXP(-I76*I75))/(((I21/3600)+I76)*EXP(((I21/3600)-I76))*I75)</f>
        <v>9.9981339617642814E-2</v>
      </c>
      <c r="J78" s="13">
        <f t="shared" ref="J78:L78" si="235">((J21/3600)*EXP(J75*J21/3600) + J76*EXP(-J76*J75))/(((J21/3600)+J76)*EXP(((J21/3600)-J76))*J75)</f>
        <v>9.0563312471853896E-2</v>
      </c>
      <c r="K78" s="13">
        <f t="shared" si="235"/>
        <v>8.206147888019881E-2</v>
      </c>
      <c r="L78" s="13">
        <f t="shared" si="235"/>
        <v>7.4386484845519102E-2</v>
      </c>
      <c r="M78" s="13">
        <f t="shared" ref="M78" si="236">((M21/3600)*EXP(M75*M21/3600) + M76*EXP(-M76*M75))/(((M21/3600)+M76)*EXP(((M21/3600)-M76))*M75)</f>
        <v>6.7457706814940274E-2</v>
      </c>
      <c r="N78" s="13">
        <f t="shared" si="233"/>
        <v>6.1202398025667529E-2</v>
      </c>
      <c r="O78" s="13">
        <f t="shared" ref="O78" si="237">((O21/3600)*EXP(O75*O21/3600) + O76*EXP(-O76*O75))/(((O21/3600)+O76)*EXP(((O21/3600)-O76))*O75)</f>
        <v>5.5554918357090831E-2</v>
      </c>
      <c r="P78" s="13">
        <f t="shared" ref="P78" si="238">((P21/3600)*EXP(P75*P21/3600) + P76*EXP(-P76*P75))/(((P21/3600)+P76)*EXP(((P21/3600)-P76))*P75)</f>
        <v>5.0456039518253067E-2</v>
      </c>
      <c r="Q78" s="13">
        <f t="shared" ref="Q78:S78" si="239">((Q21/3600)*EXP(Q75*Q21/3600) + Q76*EXP(-Q76*Q75))/(((Q21/3600)+Q76)*EXP(((Q21/3600)-Q76))*Q75)</f>
        <v>4.5852318199389064E-2</v>
      </c>
      <c r="R78" s="13">
        <f t="shared" si="239"/>
        <v>4.1695530537627458E-2</v>
      </c>
      <c r="S78" s="13">
        <f t="shared" si="239"/>
        <v>3.7942161897727707E-2</v>
      </c>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13"/>
      <c r="FE78" s="13"/>
      <c r="FF78" s="13"/>
      <c r="FG78" s="13"/>
      <c r="FH78" s="13"/>
      <c r="FI78" s="13"/>
      <c r="FJ78" s="13"/>
      <c r="FK78" s="13"/>
      <c r="FL78" s="13"/>
      <c r="FM78" s="13"/>
      <c r="FN78" s="13"/>
      <c r="FO78" s="13"/>
      <c r="FP78" s="13"/>
      <c r="FQ78" s="13"/>
      <c r="FR78" s="13"/>
      <c r="FS78" s="13"/>
      <c r="FT78" s="13"/>
      <c r="FU78" s="13"/>
      <c r="FV78" s="13"/>
      <c r="FW78" s="13"/>
      <c r="FX78" s="13"/>
      <c r="FY78" s="13"/>
      <c r="FZ78" s="13"/>
      <c r="GA78" s="13"/>
      <c r="GB78" s="13"/>
      <c r="GC78" s="13"/>
      <c r="GD78" s="13"/>
      <c r="GE78" s="13"/>
      <c r="GF78" s="13"/>
      <c r="GG78" s="13"/>
      <c r="GH78" s="13"/>
      <c r="GI78" s="13"/>
      <c r="GJ78" s="13"/>
      <c r="GK78" s="13"/>
      <c r="GL78" s="13"/>
      <c r="GM78" s="13"/>
      <c r="GN78" s="13"/>
      <c r="GO78" s="13"/>
      <c r="GP78" s="13"/>
      <c r="GQ78" s="13"/>
      <c r="GR78" s="13"/>
      <c r="GS78" s="13"/>
      <c r="GT78" s="13"/>
      <c r="GU78" s="13"/>
      <c r="GV78" s="13"/>
      <c r="GW78" s="13"/>
      <c r="GX78" s="13"/>
    </row>
    <row r="79" spans="2:206" ht="14.25" x14ac:dyDescent="0.25">
      <c r="B79" s="55"/>
      <c r="C79" s="10" t="s">
        <v>310</v>
      </c>
      <c r="D79" s="93" t="s">
        <v>410</v>
      </c>
      <c r="E79" s="13">
        <f t="shared" ref="E79:N79" si="240">E75+2*(E77-1)</f>
        <v>6.3</v>
      </c>
      <c r="F79" s="13">
        <f t="shared" si="240"/>
        <v>6.3</v>
      </c>
      <c r="G79" s="13">
        <f t="shared" si="240"/>
        <v>6.3</v>
      </c>
      <c r="H79" s="13">
        <f t="shared" si="240"/>
        <v>6.3</v>
      </c>
      <c r="I79" s="13">
        <f t="shared" ref="I79" si="241">I75+2*(I77-1)</f>
        <v>6.3</v>
      </c>
      <c r="J79" s="13">
        <f t="shared" ref="J79:L79" si="242">J75+2*(J77-1)</f>
        <v>6.3</v>
      </c>
      <c r="K79" s="13">
        <f t="shared" si="242"/>
        <v>6.3</v>
      </c>
      <c r="L79" s="13">
        <f t="shared" si="242"/>
        <v>6.3</v>
      </c>
      <c r="M79" s="13">
        <f t="shared" ref="M79" si="243">M75+2*(M77-1)</f>
        <v>6.3</v>
      </c>
      <c r="N79" s="13">
        <f t="shared" si="240"/>
        <v>6.3</v>
      </c>
      <c r="O79" s="13">
        <f t="shared" ref="O79" si="244">O75+2*(O77-1)</f>
        <v>6.3</v>
      </c>
      <c r="P79" s="13">
        <f t="shared" ref="P79" si="245">P75+2*(P77-1)</f>
        <v>6.3</v>
      </c>
      <c r="Q79" s="13">
        <f t="shared" ref="Q79:S79" si="246">Q75+2*(Q77-1)</f>
        <v>6.3</v>
      </c>
      <c r="R79" s="13">
        <f t="shared" si="246"/>
        <v>6.3</v>
      </c>
      <c r="S79" s="13">
        <f t="shared" si="246"/>
        <v>6.3</v>
      </c>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13"/>
      <c r="FE79" s="13"/>
      <c r="FF79" s="13"/>
      <c r="FG79" s="13"/>
      <c r="FH79" s="13"/>
      <c r="FI79" s="13"/>
      <c r="FJ79" s="13"/>
      <c r="FK79" s="13"/>
      <c r="FL79" s="13"/>
      <c r="FM79" s="13"/>
      <c r="FN79" s="13"/>
      <c r="FO79" s="13"/>
      <c r="FP79" s="13"/>
      <c r="FQ79" s="13"/>
      <c r="FR79" s="13"/>
      <c r="FS79" s="13"/>
      <c r="FT79" s="13"/>
      <c r="FU79" s="13"/>
      <c r="FV79" s="13"/>
      <c r="FW79" s="13"/>
      <c r="FX79" s="13"/>
      <c r="FY79" s="13"/>
      <c r="FZ79" s="13"/>
      <c r="GA79" s="13"/>
      <c r="GB79" s="13"/>
      <c r="GC79" s="13"/>
      <c r="GD79" s="13"/>
      <c r="GE79" s="13"/>
      <c r="GF79" s="13"/>
      <c r="GG79" s="13"/>
      <c r="GH79" s="13"/>
      <c r="GI79" s="13"/>
      <c r="GJ79" s="13"/>
      <c r="GK79" s="13"/>
      <c r="GL79" s="13"/>
      <c r="GM79" s="13"/>
      <c r="GN79" s="13"/>
      <c r="GO79" s="13"/>
      <c r="GP79" s="13"/>
      <c r="GQ79" s="13"/>
      <c r="GR79" s="13"/>
      <c r="GS79" s="13"/>
      <c r="GT79" s="13"/>
      <c r="GU79" s="13"/>
      <c r="GV79" s="13"/>
      <c r="GW79" s="13"/>
      <c r="GX79" s="13"/>
    </row>
    <row r="80" spans="2:206" ht="14.25" x14ac:dyDescent="0.25">
      <c r="B80" s="55"/>
      <c r="C80" s="10" t="s">
        <v>311</v>
      </c>
      <c r="D80" s="93" t="s">
        <v>408</v>
      </c>
      <c r="E80" s="13">
        <f t="shared" ref="E80:Q80" si="247">1-EXP(-E79*E76/E32)</f>
        <v>3.7052398076770077E-3</v>
      </c>
      <c r="F80" s="13">
        <f t="shared" ref="F80:H80" si="248">1-EXP(-F79*F76/F32)</f>
        <v>7.3967508133215842E-3</v>
      </c>
      <c r="G80" s="13">
        <f t="shared" si="248"/>
        <v>1.1074583885437583E-2</v>
      </c>
      <c r="H80" s="13">
        <f t="shared" si="248"/>
        <v>1.4738789704048738E-2</v>
      </c>
      <c r="I80" s="13">
        <f t="shared" ref="I80" si="249">1-EXP(-I79*I76/I32)</f>
        <v>1.8389418761397325E-2</v>
      </c>
      <c r="J80" s="13">
        <f t="shared" si="247"/>
        <v>2.2026521362639495E-2</v>
      </c>
      <c r="K80" s="13">
        <f t="shared" si="247"/>
        <v>2.5650147626538944E-2</v>
      </c>
      <c r="L80" s="13">
        <f t="shared" si="247"/>
        <v>2.9260347486157245E-2</v>
      </c>
      <c r="M80" s="13">
        <f t="shared" ref="M80:N80" si="250">1-EXP(-M79*M76/M32)</f>
        <v>3.2857170689542081E-2</v>
      </c>
      <c r="N80" s="13">
        <f t="shared" si="250"/>
        <v>3.644066680041258E-2</v>
      </c>
      <c r="O80" s="13">
        <f t="shared" ref="O80" si="251">1-EXP(-O79*O76/O32)</f>
        <v>4.0010885198842328E-2</v>
      </c>
      <c r="P80" s="13">
        <f t="shared" ref="P80" si="252">1-EXP(-P79*P76/P32)</f>
        <v>4.3567875081940155E-2</v>
      </c>
      <c r="Q80" s="13">
        <f t="shared" si="247"/>
        <v>4.7111685464527597E-2</v>
      </c>
      <c r="R80" s="13">
        <f t="shared" ref="R80" si="253">1-EXP(-R79*R76/R32)</f>
        <v>5.0642365179814686E-2</v>
      </c>
      <c r="S80" s="13">
        <f t="shared" ref="S80" si="254">1-EXP(-S79*S76/S32)</f>
        <v>5.4159962880072521E-2</v>
      </c>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c r="EY80" s="13"/>
      <c r="EZ80" s="13"/>
      <c r="FA80" s="13"/>
      <c r="FB80" s="13"/>
      <c r="FC80" s="13"/>
      <c r="FD80" s="13"/>
      <c r="FE80" s="13"/>
      <c r="FF80" s="13"/>
      <c r="FG80" s="13"/>
      <c r="FH80" s="13"/>
      <c r="FI80" s="13"/>
      <c r="FJ80" s="13"/>
      <c r="FK80" s="13"/>
      <c r="FL80" s="13"/>
      <c r="FM80" s="13"/>
      <c r="FN80" s="13"/>
      <c r="FO80" s="13"/>
      <c r="FP80" s="13"/>
      <c r="FQ80" s="13"/>
      <c r="FR80" s="13"/>
      <c r="FS80" s="13"/>
      <c r="FT80" s="13"/>
      <c r="FU80" s="13"/>
      <c r="FV80" s="13"/>
      <c r="FW80" s="13"/>
      <c r="FX80" s="13"/>
      <c r="FY80" s="13"/>
      <c r="FZ80" s="13"/>
      <c r="GA80" s="13"/>
      <c r="GB80" s="13"/>
      <c r="GC80" s="13"/>
      <c r="GD80" s="13"/>
      <c r="GE80" s="13"/>
      <c r="GF80" s="13"/>
      <c r="GG80" s="13"/>
      <c r="GH80" s="13"/>
      <c r="GI80" s="13"/>
      <c r="GJ80" s="13"/>
      <c r="GK80" s="13"/>
      <c r="GL80" s="13"/>
      <c r="GM80" s="13"/>
      <c r="GN80" s="13"/>
      <c r="GO80" s="13"/>
      <c r="GP80" s="13"/>
      <c r="GQ80" s="13"/>
      <c r="GR80" s="13"/>
      <c r="GS80" s="13"/>
      <c r="GT80" s="13"/>
      <c r="GU80" s="13"/>
      <c r="GV80" s="13"/>
      <c r="GW80" s="13"/>
      <c r="GX80" s="13"/>
    </row>
    <row r="81" spans="2:206" ht="14.25" x14ac:dyDescent="0.25">
      <c r="B81" s="55"/>
      <c r="C81" s="10" t="s">
        <v>312</v>
      </c>
      <c r="D81" s="93" t="s">
        <v>435</v>
      </c>
      <c r="E81" s="13">
        <f t="shared" ref="E81:Q81" si="255">1 - (1-E80)^E32</f>
        <v>0.11529409505651722</v>
      </c>
      <c r="F81" s="13">
        <f t="shared" ref="F81:H81" si="256">1 - (1-F80)^F32</f>
        <v>0.21729546175813308</v>
      </c>
      <c r="G81" s="13">
        <f t="shared" si="256"/>
        <v>0.30753667319135791</v>
      </c>
      <c r="H81" s="13">
        <f t="shared" si="256"/>
        <v>0.38737360581558478</v>
      </c>
      <c r="I81" s="13">
        <f t="shared" ref="I81" si="257">1 - (1-I80)^I32</f>
        <v>0.4580058115408131</v>
      </c>
      <c r="J81" s="13">
        <f t="shared" si="255"/>
        <v>0.52049454102510584</v>
      </c>
      <c r="K81" s="13">
        <f t="shared" si="255"/>
        <v>0.5757786889922758</v>
      </c>
      <c r="L81" s="13">
        <f t="shared" si="255"/>
        <v>0.62468890114859987</v>
      </c>
      <c r="M81" s="13">
        <f t="shared" ref="M81:N81" si="258">1 - (1-M80)^M32</f>
        <v>0.6679600546553387</v>
      </c>
      <c r="N81" s="13">
        <f t="shared" si="258"/>
        <v>0.70624229967646734</v>
      </c>
      <c r="O81" s="13">
        <f t="shared" ref="O81" si="259">1 - (1-O80)^O32</f>
        <v>0.74011082790115168</v>
      </c>
      <c r="P81" s="13">
        <f t="shared" ref="P81" si="260">1 - (1-P80)^P32</f>
        <v>0.77007451481327605</v>
      </c>
      <c r="Q81" s="13">
        <f t="shared" si="255"/>
        <v>0.79658356555830978</v>
      </c>
      <c r="R81" s="13">
        <f t="shared" ref="R81" si="261">1 - (1-R80)^R32</f>
        <v>0.82003627928688771</v>
      </c>
      <c r="S81" s="13">
        <f t="shared" ref="S81" si="262">1 - (1-S80)^S32</f>
        <v>0.84078503360950985</v>
      </c>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c r="EY81" s="13"/>
      <c r="EZ81" s="13"/>
      <c r="FA81" s="13"/>
      <c r="FB81" s="13"/>
      <c r="FC81" s="13"/>
      <c r="FD81" s="13"/>
      <c r="FE81" s="13"/>
      <c r="FF81" s="13"/>
      <c r="FG81" s="13"/>
      <c r="FH81" s="13"/>
      <c r="FI81" s="13"/>
      <c r="FJ81" s="13"/>
      <c r="FK81" s="13"/>
      <c r="FL81" s="13"/>
      <c r="FM81" s="13"/>
      <c r="FN81" s="13"/>
      <c r="FO81" s="13"/>
      <c r="FP81" s="13"/>
      <c r="FQ81" s="13"/>
      <c r="FR81" s="13"/>
      <c r="FS81" s="13"/>
      <c r="FT81" s="13"/>
      <c r="FU81" s="13"/>
      <c r="FV81" s="13"/>
      <c r="FW81" s="13"/>
      <c r="FX81" s="13"/>
      <c r="FY81" s="13"/>
      <c r="FZ81" s="13"/>
      <c r="GA81" s="13"/>
      <c r="GB81" s="13"/>
      <c r="GC81" s="13"/>
      <c r="GD81" s="13"/>
      <c r="GE81" s="13"/>
      <c r="GF81" s="13"/>
      <c r="GG81" s="13"/>
      <c r="GH81" s="13"/>
      <c r="GI81" s="13"/>
      <c r="GJ81" s="13"/>
      <c r="GK81" s="13"/>
      <c r="GL81" s="13"/>
      <c r="GM81" s="13"/>
      <c r="GN81" s="13"/>
      <c r="GO81" s="13"/>
      <c r="GP81" s="13"/>
      <c r="GQ81" s="13"/>
      <c r="GR81" s="13"/>
      <c r="GS81" s="13"/>
      <c r="GT81" s="13"/>
      <c r="GU81" s="13"/>
      <c r="GV81" s="13"/>
      <c r="GW81" s="13"/>
      <c r="GX81" s="13"/>
    </row>
    <row r="82" spans="2:206" ht="14.25" x14ac:dyDescent="0.25">
      <c r="B82" s="55"/>
      <c r="C82" s="10" t="s">
        <v>313</v>
      </c>
      <c r="D82" s="93" t="s">
        <v>411</v>
      </c>
      <c r="E82" s="13">
        <f t="shared" ref="E82:Q82" si="263">(1/E76)*(EXP(E76*E75)-E49*E75-1)/E81</f>
        <v>3.4878297543141978</v>
      </c>
      <c r="F82" s="13">
        <f t="shared" ref="F82:H82" si="264">(1/F76)*(EXP(F76*F75)-F49*F75-1)/F81</f>
        <v>3.8603372630917896</v>
      </c>
      <c r="G82" s="13">
        <f t="shared" si="264"/>
        <v>4.270977658945041</v>
      </c>
      <c r="H82" s="13">
        <f t="shared" si="264"/>
        <v>4.7235535498150769</v>
      </c>
      <c r="I82" s="13">
        <f t="shared" ref="I82" si="265">(1/I76)*(EXP(I76*I75)-I49*I75-1)/I81</f>
        <v>5.2222521400810518</v>
      </c>
      <c r="J82" s="13">
        <f t="shared" si="263"/>
        <v>5.7716865933160797</v>
      </c>
      <c r="K82" s="13">
        <f t="shared" si="263"/>
        <v>6.3769421250835938</v>
      </c>
      <c r="L82" s="13">
        <f t="shared" si="263"/>
        <v>7.0436273685742039</v>
      </c>
      <c r="M82" s="13">
        <f t="shared" ref="M82:N82" si="266">(1/M76)*(EXP(M76*M75)-M49*M75-1)/M81</f>
        <v>7.7779316166058239</v>
      </c>
      <c r="N82" s="13">
        <f t="shared" si="266"/>
        <v>8.5866886113642789</v>
      </c>
      <c r="O82" s="13">
        <f t="shared" ref="O82" si="267">(1/O76)*(EXP(O76*O75)-O49*O75-1)/O81</f>
        <v>9.4774476291592489</v>
      </c>
      <c r="P82" s="13">
        <f t="shared" ref="P82" si="268">(1/P76)*(EXP(P76*P75)-P49*P75-1)/P81</f>
        <v>10.458552692425815</v>
      </c>
      <c r="Q82" s="13">
        <f t="shared" si="263"/>
        <v>11.539230836343574</v>
      </c>
      <c r="R82" s="13">
        <f t="shared" ref="R82" si="269">(1/R76)*(EXP(R76*R75)-R49*R75-1)/R81</f>
        <v>12.729690464025161</v>
      </c>
      <c r="S82" s="13">
        <f t="shared" ref="S82" si="270">(1/S76)*(EXP(S76*S75)-S49*S75-1)/S81</f>
        <v>14.041230943638165</v>
      </c>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c r="EY82" s="13"/>
      <c r="EZ82" s="13"/>
      <c r="FA82" s="13"/>
      <c r="FB82" s="13"/>
      <c r="FC82" s="13"/>
      <c r="FD82" s="13"/>
      <c r="FE82" s="13"/>
      <c r="FF82" s="13"/>
      <c r="FG82" s="13"/>
      <c r="FH82" s="13"/>
      <c r="FI82" s="13"/>
      <c r="FJ82" s="13"/>
      <c r="FK82" s="13"/>
      <c r="FL82" s="13"/>
      <c r="FM82" s="13"/>
      <c r="FN82" s="13"/>
      <c r="FO82" s="13"/>
      <c r="FP82" s="13"/>
      <c r="FQ82" s="13"/>
      <c r="FR82" s="13"/>
      <c r="FS82" s="13"/>
      <c r="FT82" s="13"/>
      <c r="FU82" s="13"/>
      <c r="FV82" s="13"/>
      <c r="FW82" s="13"/>
      <c r="FX82" s="13"/>
      <c r="FY82" s="13"/>
      <c r="FZ82" s="13"/>
      <c r="GA82" s="13"/>
      <c r="GB82" s="13"/>
      <c r="GC82" s="13"/>
      <c r="GD82" s="13"/>
      <c r="GE82" s="13"/>
      <c r="GF82" s="13"/>
      <c r="GG82" s="13"/>
      <c r="GH82" s="13"/>
      <c r="GI82" s="13"/>
      <c r="GJ82" s="13"/>
      <c r="GK82" s="13"/>
      <c r="GL82" s="13"/>
      <c r="GM82" s="13"/>
      <c r="GN82" s="13"/>
      <c r="GO82" s="13"/>
      <c r="GP82" s="13"/>
      <c r="GQ82" s="13"/>
      <c r="GR82" s="13"/>
      <c r="GS82" s="13"/>
      <c r="GT82" s="13"/>
      <c r="GU82" s="13"/>
      <c r="GV82" s="13"/>
      <c r="GW82" s="13"/>
      <c r="GX82" s="13"/>
    </row>
    <row r="83" spans="2:206" x14ac:dyDescent="0.25">
      <c r="B83" s="55"/>
      <c r="C83" s="10" t="s">
        <v>294</v>
      </c>
      <c r="D83" s="93" t="s">
        <v>412</v>
      </c>
      <c r="E83" s="13">
        <f t="shared" ref="E83:N83" si="271">((1/E76) - (E90+(1/E76))*EXP(-E76*E90))/(1-EXP(-E76*E90))</f>
        <v>3.0857035790794201</v>
      </c>
      <c r="F83" s="13">
        <f t="shared" si="271"/>
        <v>3.0215034949661521</v>
      </c>
      <c r="G83" s="13">
        <f t="shared" si="271"/>
        <v>2.9574953984384851</v>
      </c>
      <c r="H83" s="13">
        <f t="shared" si="271"/>
        <v>2.8937735789602139</v>
      </c>
      <c r="I83" s="13">
        <f t="shared" ref="I83" si="272">((1/I76) - (I90+(1/I76))*EXP(-I76*I90))/(1-EXP(-I76*I90))</f>
        <v>2.8304303105924804</v>
      </c>
      <c r="J83" s="13">
        <f t="shared" ref="J83:L83" si="273">((1/J76) - (J90+(1/J76))*EXP(-J76*J90))/(1-EXP(-J76*J90))</f>
        <v>2.7675552289872698</v>
      </c>
      <c r="K83" s="13">
        <f t="shared" si="273"/>
        <v>2.705234748523345</v>
      </c>
      <c r="L83" s="13">
        <f t="shared" si="273"/>
        <v>2.6435515275993744</v>
      </c>
      <c r="M83" s="13">
        <f t="shared" ref="M83" si="274">((1/M76) - (M90+(1/M76))*EXP(-M76*M90))/(1-EXP(-M76*M90))</f>
        <v>2.5825839888723037</v>
      </c>
      <c r="N83" s="13">
        <f t="shared" si="271"/>
        <v>2.5224058998686401</v>
      </c>
      <c r="O83" s="13">
        <f t="shared" ref="O83" si="275">((1/O76) - (O90+(1/O76))*EXP(-O76*O90))/(1-EXP(-O76*O90))</f>
        <v>2.4630860179523837</v>
      </c>
      <c r="P83" s="13">
        <f t="shared" ref="P83" si="276">((1/P76) - (P90+(1/P76))*EXP(-P76*P90))/(1-EXP(-P76*P90))</f>
        <v>2.4046878021569218</v>
      </c>
      <c r="Q83" s="13">
        <f t="shared" ref="Q83:S83" si="277">((1/Q76) - (Q90+(1/Q76))*EXP(-Q76*Q90))/(1-EXP(-Q76*Q90))</f>
        <v>2.3472691929286102</v>
      </c>
      <c r="R83" s="13">
        <f t="shared" si="277"/>
        <v>2.2908824594321917</v>
      </c>
      <c r="S83" s="13">
        <f t="shared" si="277"/>
        <v>2.2355741127724627</v>
      </c>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c r="EY83" s="13"/>
      <c r="EZ83" s="13"/>
      <c r="FA83" s="13"/>
      <c r="FB83" s="13"/>
      <c r="FC83" s="13"/>
      <c r="FD83" s="13"/>
      <c r="FE83" s="13"/>
      <c r="FF83" s="13"/>
      <c r="FG83" s="13"/>
      <c r="FH83" s="13"/>
      <c r="FI83" s="13"/>
      <c r="FJ83" s="13"/>
      <c r="FK83" s="13"/>
      <c r="FL83" s="13"/>
      <c r="FM83" s="13"/>
      <c r="FN83" s="13"/>
      <c r="FO83" s="13"/>
      <c r="FP83" s="13"/>
      <c r="FQ83" s="13"/>
      <c r="FR83" s="13"/>
      <c r="FS83" s="13"/>
      <c r="FT83" s="13"/>
      <c r="FU83" s="13"/>
      <c r="FV83" s="13"/>
      <c r="FW83" s="13"/>
      <c r="FX83" s="13"/>
      <c r="FY83" s="13"/>
      <c r="FZ83" s="13"/>
      <c r="GA83" s="13"/>
      <c r="GB83" s="13"/>
      <c r="GC83" s="13"/>
      <c r="GD83" s="13"/>
      <c r="GE83" s="13"/>
      <c r="GF83" s="13"/>
      <c r="GG83" s="13"/>
      <c r="GH83" s="13"/>
      <c r="GI83" s="13"/>
      <c r="GJ83" s="13"/>
      <c r="GK83" s="13"/>
      <c r="GL83" s="13"/>
      <c r="GM83" s="13"/>
      <c r="GN83" s="13"/>
      <c r="GO83" s="13"/>
      <c r="GP83" s="13"/>
      <c r="GQ83" s="13"/>
      <c r="GR83" s="13"/>
      <c r="GS83" s="13"/>
      <c r="GT83" s="13"/>
      <c r="GU83" s="13"/>
      <c r="GV83" s="13"/>
      <c r="GW83" s="13"/>
      <c r="GX83" s="13"/>
    </row>
    <row r="84" spans="2:206" x14ac:dyDescent="0.25">
      <c r="B84" s="55"/>
      <c r="C84" s="10" t="s">
        <v>293</v>
      </c>
      <c r="D84" s="93" t="s">
        <v>303</v>
      </c>
      <c r="E84" s="13">
        <f t="shared" ref="E84:N84" si="278">ROUND(1/EXP(-E76*E79),0)</f>
        <v>1</v>
      </c>
      <c r="F84" s="13">
        <f t="shared" si="278"/>
        <v>1</v>
      </c>
      <c r="G84" s="13">
        <f t="shared" si="278"/>
        <v>1</v>
      </c>
      <c r="H84" s="13">
        <f t="shared" si="278"/>
        <v>2</v>
      </c>
      <c r="I84" s="13">
        <f t="shared" ref="I84" si="279">ROUND(1/EXP(-I76*I79),0)</f>
        <v>2</v>
      </c>
      <c r="J84" s="13">
        <f t="shared" ref="J84:L84" si="280">ROUND(1/EXP(-J76*J79),0)</f>
        <v>2</v>
      </c>
      <c r="K84" s="13">
        <f t="shared" si="280"/>
        <v>2</v>
      </c>
      <c r="L84" s="13">
        <f t="shared" si="280"/>
        <v>3</v>
      </c>
      <c r="M84" s="13">
        <f t="shared" ref="M84" si="281">ROUND(1/EXP(-M76*M79),0)</f>
        <v>3</v>
      </c>
      <c r="N84" s="13">
        <f t="shared" si="278"/>
        <v>3</v>
      </c>
      <c r="O84" s="13">
        <f t="shared" ref="O84" si="282">ROUND(1/EXP(-O76*O79),0)</f>
        <v>4</v>
      </c>
      <c r="P84" s="13">
        <f t="shared" ref="P84" si="283">ROUND(1/EXP(-P76*P79),0)</f>
        <v>4</v>
      </c>
      <c r="Q84" s="13">
        <f t="shared" ref="Q84:S84" si="284">ROUND(1/EXP(-Q76*Q79),0)</f>
        <v>5</v>
      </c>
      <c r="R84" s="13">
        <f t="shared" si="284"/>
        <v>6</v>
      </c>
      <c r="S84" s="13">
        <f t="shared" si="284"/>
        <v>6</v>
      </c>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c r="FN84" s="13"/>
      <c r="FO84" s="13"/>
      <c r="FP84" s="13"/>
      <c r="FQ84" s="13"/>
      <c r="FR84" s="13"/>
      <c r="FS84" s="13"/>
      <c r="FT84" s="13"/>
      <c r="FU84" s="13"/>
      <c r="FV84" s="13"/>
      <c r="FW84" s="13"/>
      <c r="FX84" s="13"/>
      <c r="FY84" s="13"/>
      <c r="FZ84" s="13"/>
      <c r="GA84" s="13"/>
      <c r="GB84" s="13"/>
      <c r="GC84" s="13"/>
      <c r="GD84" s="13"/>
      <c r="GE84" s="13"/>
      <c r="GF84" s="13"/>
      <c r="GG84" s="13"/>
      <c r="GH84" s="13"/>
      <c r="GI84" s="13"/>
      <c r="GJ84" s="13"/>
      <c r="GK84" s="13"/>
      <c r="GL84" s="13"/>
      <c r="GM84" s="13"/>
      <c r="GN84" s="13"/>
      <c r="GO84" s="13"/>
      <c r="GP84" s="13"/>
      <c r="GQ84" s="13"/>
      <c r="GR84" s="13"/>
      <c r="GS84" s="13"/>
      <c r="GT84" s="13"/>
      <c r="GU84" s="13"/>
      <c r="GV84" s="13"/>
      <c r="GW84" s="13"/>
      <c r="GX84" s="13"/>
    </row>
    <row r="85" spans="2:206" ht="14.25" x14ac:dyDescent="0.25">
      <c r="B85" s="55"/>
      <c r="C85" s="208" t="s">
        <v>425</v>
      </c>
      <c r="D85" s="182" t="s">
        <v>426</v>
      </c>
      <c r="E85" s="13" t="e" cm="1">
        <f t="array" aca="1" ref="E85" ca="1">ONESTAGELEFT_BIKE_DELAY(E10,E84,E83,E80,E81,E39,E82)</f>
        <v>#NAME?</v>
      </c>
      <c r="F85" s="13" t="e">
        <f t="shared" ref="F85:H85" ca="1" si="285">ONESTAGELEFT_BIKE_DELAY(F10,F84,F83,F80,F81,F39,F82)</f>
        <v>#NAME?</v>
      </c>
      <c r="G85" s="13" t="e">
        <f t="shared" ca="1" si="285"/>
        <v>#NAME?</v>
      </c>
      <c r="H85" s="13" t="e">
        <f t="shared" ca="1" si="285"/>
        <v>#NAME?</v>
      </c>
      <c r="I85" s="13" t="e">
        <f t="shared" ref="I85" ca="1" si="286">ONESTAGELEFT_BIKE_DELAY(I10,I84,I83,I80,I81,I39,I82)</f>
        <v>#NAME?</v>
      </c>
      <c r="J85" s="13" t="e">
        <f t="shared" ref="J85:L85" ca="1" si="287">ONESTAGELEFT_BIKE_DELAY(J10,J84,J83,J80,J81,J39,J82)</f>
        <v>#NAME?</v>
      </c>
      <c r="K85" s="13" t="e">
        <f t="shared" ca="1" si="287"/>
        <v>#NAME?</v>
      </c>
      <c r="L85" s="13" t="e">
        <f t="shared" ca="1" si="287"/>
        <v>#NAME?</v>
      </c>
      <c r="M85" s="13" t="e">
        <f t="shared" ref="M85:N85" ca="1" si="288">ONESTAGELEFT_BIKE_DELAY(M10,M84,M83,M80,M81,M39,M82)</f>
        <v>#NAME?</v>
      </c>
      <c r="N85" s="13" t="e">
        <f t="shared" ca="1" si="288"/>
        <v>#NAME?</v>
      </c>
      <c r="O85" s="13" t="e">
        <f t="shared" ref="O85" ca="1" si="289">ONESTAGELEFT_BIKE_DELAY(O10,O84,O83,O80,O81,O39,O82)</f>
        <v>#NAME?</v>
      </c>
      <c r="P85" s="13" t="e">
        <f t="shared" ref="P85:Q85" ca="1" si="290">ONESTAGELEFT_BIKE_DELAY(P10,P84,P83,P80,P81,P39,P82)</f>
        <v>#NAME?</v>
      </c>
      <c r="Q85" s="13" t="e">
        <f t="shared" ca="1" si="290"/>
        <v>#NAME?</v>
      </c>
      <c r="R85" s="13" t="e">
        <f t="shared" ref="R85" ca="1" si="291">ONESTAGELEFT_BIKE_DELAY(R10,R84,R83,R80,R81,R39,R82)</f>
        <v>#NAME?</v>
      </c>
      <c r="S85" s="13" t="e">
        <f t="shared" ref="S85" ca="1" si="292">ONESTAGELEFT_BIKE_DELAY(S10,S84,S83,S80,S81,S39,S82)</f>
        <v>#NAME?</v>
      </c>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c r="EY85" s="13"/>
      <c r="EZ85" s="13"/>
      <c r="FA85" s="13"/>
      <c r="FB85" s="13"/>
      <c r="FC85" s="13"/>
      <c r="FD85" s="13"/>
      <c r="FE85" s="13"/>
      <c r="FF85" s="13"/>
      <c r="FG85" s="13"/>
      <c r="FH85" s="13"/>
      <c r="FI85" s="13"/>
      <c r="FJ85" s="13"/>
      <c r="FK85" s="13"/>
      <c r="FL85" s="13"/>
      <c r="FM85" s="13"/>
      <c r="FN85" s="13"/>
      <c r="FO85" s="13"/>
      <c r="FP85" s="13"/>
      <c r="FQ85" s="13"/>
      <c r="FR85" s="13"/>
      <c r="FS85" s="13"/>
      <c r="FT85" s="13"/>
      <c r="FU85" s="13"/>
      <c r="FV85" s="13"/>
      <c r="FW85" s="13"/>
      <c r="FX85" s="13"/>
      <c r="FY85" s="13"/>
      <c r="FZ85" s="13"/>
      <c r="GA85" s="13"/>
      <c r="GB85" s="13"/>
      <c r="GC85" s="13"/>
      <c r="GD85" s="13"/>
      <c r="GE85" s="13"/>
      <c r="GF85" s="13"/>
      <c r="GG85" s="13"/>
      <c r="GH85" s="13"/>
      <c r="GI85" s="13"/>
      <c r="GJ85" s="13"/>
      <c r="GK85" s="13"/>
      <c r="GL85" s="13"/>
      <c r="GM85" s="13"/>
      <c r="GN85" s="13"/>
      <c r="GO85" s="13"/>
      <c r="GP85" s="13"/>
      <c r="GQ85" s="13"/>
      <c r="GR85" s="13"/>
      <c r="GS85" s="13"/>
      <c r="GT85" s="13"/>
      <c r="GU85" s="13"/>
      <c r="GV85" s="13"/>
      <c r="GW85" s="13"/>
      <c r="GX85" s="13"/>
    </row>
    <row r="86" spans="2:206" x14ac:dyDescent="0.25">
      <c r="B86" s="55"/>
      <c r="C86" s="289" t="s">
        <v>440</v>
      </c>
      <c r="D86" s="290"/>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c r="EY86" s="13"/>
      <c r="EZ86" s="13"/>
      <c r="FA86" s="13"/>
      <c r="FB86" s="13"/>
      <c r="FC86" s="13"/>
      <c r="FD86" s="13"/>
      <c r="FE86" s="13"/>
      <c r="FF86" s="13"/>
      <c r="FG86" s="13"/>
      <c r="FH86" s="13"/>
      <c r="FI86" s="13"/>
      <c r="FJ86" s="13"/>
      <c r="FK86" s="13"/>
      <c r="FL86" s="13"/>
      <c r="FM86" s="13"/>
      <c r="FN86" s="13"/>
      <c r="FO86" s="13"/>
      <c r="FP86" s="13"/>
      <c r="FQ86" s="13"/>
      <c r="FR86" s="13"/>
      <c r="FS86" s="13"/>
      <c r="FT86" s="13"/>
      <c r="FU86" s="13"/>
      <c r="FV86" s="13"/>
      <c r="FW86" s="13"/>
      <c r="FX86" s="13"/>
      <c r="FY86" s="13"/>
      <c r="FZ86" s="13"/>
      <c r="GA86" s="13"/>
      <c r="GB86" s="13"/>
      <c r="GC86" s="13"/>
      <c r="GD86" s="13"/>
      <c r="GE86" s="13"/>
      <c r="GF86" s="13"/>
      <c r="GG86" s="13"/>
      <c r="GH86" s="13"/>
      <c r="GI86" s="13"/>
      <c r="GJ86" s="13"/>
      <c r="GK86" s="13"/>
      <c r="GL86" s="13"/>
      <c r="GM86" s="13"/>
      <c r="GN86" s="13"/>
      <c r="GO86" s="13"/>
      <c r="GP86" s="13"/>
      <c r="GQ86" s="13"/>
      <c r="GR86" s="13"/>
      <c r="GS86" s="13"/>
      <c r="GT86" s="13"/>
      <c r="GU86" s="13"/>
      <c r="GV86" s="13"/>
      <c r="GW86" s="13"/>
      <c r="GX86" s="13"/>
    </row>
    <row r="87" spans="2:206" ht="14.25" x14ac:dyDescent="0.25">
      <c r="B87" s="55"/>
      <c r="C87" s="10" t="s">
        <v>305</v>
      </c>
      <c r="D87" s="93" t="s">
        <v>432</v>
      </c>
      <c r="E87" s="13">
        <f t="shared" ref="E87:N87" si="293">E31/E40 +E41</f>
        <v>6.3</v>
      </c>
      <c r="F87" s="13">
        <f t="shared" si="293"/>
        <v>6.3</v>
      </c>
      <c r="G87" s="13">
        <f t="shared" si="293"/>
        <v>6.3</v>
      </c>
      <c r="H87" s="13">
        <f t="shared" si="293"/>
        <v>6.3</v>
      </c>
      <c r="I87" s="13">
        <f t="shared" ref="I87" si="294">I31/I40 +I41</f>
        <v>6.3</v>
      </c>
      <c r="J87" s="13">
        <f t="shared" ref="J87:L87" si="295">J31/J40 +J41</f>
        <v>6.3</v>
      </c>
      <c r="K87" s="13">
        <f t="shared" si="295"/>
        <v>6.3</v>
      </c>
      <c r="L87" s="13">
        <f t="shared" si="295"/>
        <v>6.3</v>
      </c>
      <c r="M87" s="13">
        <f t="shared" ref="M87" si="296">M31/M40 +M41</f>
        <v>6.3</v>
      </c>
      <c r="N87" s="13">
        <f t="shared" si="293"/>
        <v>6.3</v>
      </c>
      <c r="O87" s="13">
        <f t="shared" ref="O87" si="297">O31/O40 +O41</f>
        <v>6.3</v>
      </c>
      <c r="P87" s="13">
        <f t="shared" ref="P87" si="298">P31/P40 +P41</f>
        <v>6.3</v>
      </c>
      <c r="Q87" s="13">
        <f t="shared" ref="Q87:S87" si="299">Q31/Q40 +Q41</f>
        <v>6.3</v>
      </c>
      <c r="R87" s="13">
        <f t="shared" si="299"/>
        <v>6.3</v>
      </c>
      <c r="S87" s="13">
        <f t="shared" si="299"/>
        <v>6.3</v>
      </c>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c r="EY87" s="13"/>
      <c r="EZ87" s="13"/>
      <c r="FA87" s="13"/>
      <c r="FB87" s="13"/>
      <c r="FC87" s="13"/>
      <c r="FD87" s="13"/>
      <c r="FE87" s="13"/>
      <c r="FF87" s="13"/>
      <c r="FG87" s="13"/>
      <c r="FH87" s="13"/>
      <c r="FI87" s="13"/>
      <c r="FJ87" s="13"/>
      <c r="FK87" s="13"/>
      <c r="FL87" s="13"/>
      <c r="FM87" s="13"/>
      <c r="FN87" s="13"/>
      <c r="FO87" s="13"/>
      <c r="FP87" s="13"/>
      <c r="FQ87" s="13"/>
      <c r="FR87" s="13"/>
      <c r="FS87" s="13"/>
      <c r="FT87" s="13"/>
      <c r="FU87" s="13"/>
      <c r="FV87" s="13"/>
      <c r="FW87" s="13"/>
      <c r="FX87" s="13"/>
      <c r="FY87" s="13"/>
      <c r="FZ87" s="13"/>
      <c r="GA87" s="13"/>
      <c r="GB87" s="13"/>
      <c r="GC87" s="13"/>
      <c r="GD87" s="13"/>
      <c r="GE87" s="13"/>
      <c r="GF87" s="13"/>
      <c r="GG87" s="13"/>
      <c r="GH87" s="13"/>
      <c r="GI87" s="13"/>
      <c r="GJ87" s="13"/>
      <c r="GK87" s="13"/>
      <c r="GL87" s="13"/>
      <c r="GM87" s="13"/>
      <c r="GN87" s="13"/>
      <c r="GO87" s="13"/>
      <c r="GP87" s="13"/>
      <c r="GQ87" s="13"/>
      <c r="GR87" s="13"/>
      <c r="GS87" s="13"/>
      <c r="GT87" s="13"/>
      <c r="GU87" s="13"/>
      <c r="GV87" s="13"/>
      <c r="GW87" s="13"/>
      <c r="GX87" s="13"/>
    </row>
    <row r="88" spans="2:206" ht="14.25" x14ac:dyDescent="0.25">
      <c r="B88" s="55"/>
      <c r="C88" s="10" t="s">
        <v>308</v>
      </c>
      <c r="D88" s="93" t="s">
        <v>406</v>
      </c>
      <c r="E88" s="13">
        <f t="shared" ref="E88:Q88" si="300">MAX(IF(E33=0,0,2.5*E89/E33),1)</f>
        <v>1</v>
      </c>
      <c r="F88" s="13">
        <f t="shared" ref="F88:H88" si="301">MAX(IF(F33=0,0,2.5*F89/F33),1)</f>
        <v>1</v>
      </c>
      <c r="G88" s="13">
        <f t="shared" si="301"/>
        <v>1</v>
      </c>
      <c r="H88" s="13">
        <f t="shared" si="301"/>
        <v>1</v>
      </c>
      <c r="I88" s="13">
        <f t="shared" ref="I88" si="302">MAX(IF(I33=0,0,2.5*I89/I33),1)</f>
        <v>1</v>
      </c>
      <c r="J88" s="13">
        <f t="shared" si="300"/>
        <v>1</v>
      </c>
      <c r="K88" s="13">
        <f t="shared" si="300"/>
        <v>1</v>
      </c>
      <c r="L88" s="13">
        <f t="shared" si="300"/>
        <v>1</v>
      </c>
      <c r="M88" s="13">
        <f t="shared" ref="M88:N88" si="303">MAX(IF(M33=0,0,2.5*M89/M33),1)</f>
        <v>1</v>
      </c>
      <c r="N88" s="13">
        <f t="shared" si="303"/>
        <v>1</v>
      </c>
      <c r="O88" s="13">
        <f t="shared" ref="O88" si="304">MAX(IF(O33=0,0,2.5*O89/O33),1)</f>
        <v>1</v>
      </c>
      <c r="P88" s="13">
        <f t="shared" ref="P88" si="305">MAX(IF(P33=0,0,2.5*P89/P33),1)</f>
        <v>1</v>
      </c>
      <c r="Q88" s="13">
        <f t="shared" si="300"/>
        <v>1</v>
      </c>
      <c r="R88" s="13">
        <f t="shared" ref="R88" si="306">MAX(IF(R33=0,0,2.5*R89/R33),1)</f>
        <v>1</v>
      </c>
      <c r="S88" s="13">
        <f t="shared" ref="S88" si="307">MAX(IF(S33=0,0,2.5*S89/S33),1)</f>
        <v>1</v>
      </c>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c r="EY88" s="13"/>
      <c r="EZ88" s="13"/>
      <c r="FA88" s="13"/>
      <c r="FB88" s="13"/>
      <c r="FC88" s="13"/>
      <c r="FD88" s="13"/>
      <c r="FE88" s="13"/>
      <c r="FF88" s="13"/>
      <c r="FG88" s="13"/>
      <c r="FH88" s="13"/>
      <c r="FI88" s="13"/>
      <c r="FJ88" s="13"/>
      <c r="FK88" s="13"/>
      <c r="FL88" s="13"/>
      <c r="FM88" s="13"/>
      <c r="FN88" s="13"/>
      <c r="FO88" s="13"/>
      <c r="FP88" s="13"/>
      <c r="FQ88" s="13"/>
      <c r="FR88" s="13"/>
      <c r="FS88" s="13"/>
      <c r="FT88" s="13"/>
      <c r="FU88" s="13"/>
      <c r="FV88" s="13"/>
      <c r="FW88" s="13"/>
      <c r="FX88" s="13"/>
      <c r="FY88" s="13"/>
      <c r="FZ88" s="13"/>
      <c r="GA88" s="13"/>
      <c r="GB88" s="13"/>
      <c r="GC88" s="13"/>
      <c r="GD88" s="13"/>
      <c r="GE88" s="13"/>
      <c r="GF88" s="13"/>
      <c r="GG88" s="13"/>
      <c r="GH88" s="13"/>
      <c r="GI88" s="13"/>
      <c r="GJ88" s="13"/>
      <c r="GK88" s="13"/>
      <c r="GL88" s="13"/>
      <c r="GM88" s="13"/>
      <c r="GN88" s="13"/>
      <c r="GO88" s="13"/>
      <c r="GP88" s="13"/>
      <c r="GQ88" s="13"/>
      <c r="GR88" s="13"/>
      <c r="GS88" s="13"/>
      <c r="GT88" s="13"/>
      <c r="GU88" s="13"/>
      <c r="GV88" s="13"/>
      <c r="GW88" s="13"/>
      <c r="GX88" s="13"/>
    </row>
    <row r="89" spans="2:206" ht="14.25" x14ac:dyDescent="0.25">
      <c r="B89" s="55"/>
      <c r="C89" s="10" t="s">
        <v>309</v>
      </c>
      <c r="D89" s="93" t="s">
        <v>407</v>
      </c>
      <c r="E89" s="13">
        <f t="shared" ref="E89:N89" si="308">((E21/3600)*EXP(E87*E21/3600) + E49*EXP(-E49*E87))/(((E21/3600)+E49)*EXP(((E21/3600)-E49))*E87)</f>
        <v>0.14896398057813312</v>
      </c>
      <c r="F89" s="13">
        <f t="shared" si="308"/>
        <v>0.13477767894550485</v>
      </c>
      <c r="G89" s="13">
        <f t="shared" si="308"/>
        <v>0.12197282269254166</v>
      </c>
      <c r="H89" s="13">
        <f t="shared" si="308"/>
        <v>0.1104145909768824</v>
      </c>
      <c r="I89" s="13">
        <f t="shared" ref="I89" si="309">((I21/3600)*EXP(I87*I21/3600) + I49*EXP(-I49*I87))/(((I21/3600)+I49)*EXP(((I21/3600)-I49))*I87)</f>
        <v>9.9981339617642814E-2</v>
      </c>
      <c r="J89" s="13">
        <f t="shared" ref="J89:L89" si="310">((J21/3600)*EXP(J87*J21/3600) + J49*EXP(-J49*J87))/(((J21/3600)+J49)*EXP(((J21/3600)-J49))*J87)</f>
        <v>9.0563312471853896E-2</v>
      </c>
      <c r="K89" s="13">
        <f t="shared" si="310"/>
        <v>8.206147888019881E-2</v>
      </c>
      <c r="L89" s="13">
        <f t="shared" si="310"/>
        <v>7.4386484845519102E-2</v>
      </c>
      <c r="M89" s="13">
        <f t="shared" ref="M89" si="311">((M21/3600)*EXP(M87*M21/3600) + M49*EXP(-M49*M87))/(((M21/3600)+M49)*EXP(((M21/3600)-M49))*M87)</f>
        <v>6.7457706814940274E-2</v>
      </c>
      <c r="N89" s="13">
        <f t="shared" si="308"/>
        <v>6.1202398025667529E-2</v>
      </c>
      <c r="O89" s="13">
        <f t="shared" ref="O89" si="312">((O21/3600)*EXP(O87*O21/3600) + O49*EXP(-O49*O87))/(((O21/3600)+O49)*EXP(((O21/3600)-O49))*O87)</f>
        <v>5.5554918357090831E-2</v>
      </c>
      <c r="P89" s="13">
        <f t="shared" ref="P89" si="313">((P21/3600)*EXP(P87*P21/3600) + P49*EXP(-P49*P87))/(((P21/3600)+P49)*EXP(((P21/3600)-P49))*P87)</f>
        <v>5.0456039518253067E-2</v>
      </c>
      <c r="Q89" s="13">
        <f t="shared" ref="Q89:S89" si="314">((Q21/3600)*EXP(Q87*Q21/3600) + Q49*EXP(-Q49*Q87))/(((Q21/3600)+Q49)*EXP(((Q21/3600)-Q49))*Q87)</f>
        <v>4.5852318199389064E-2</v>
      </c>
      <c r="R89" s="13">
        <f t="shared" si="314"/>
        <v>4.1695530537627458E-2</v>
      </c>
      <c r="S89" s="13">
        <f t="shared" si="314"/>
        <v>3.7942161897727707E-2</v>
      </c>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c r="EY89" s="13"/>
      <c r="EZ89" s="13"/>
      <c r="FA89" s="13"/>
      <c r="FB89" s="13"/>
      <c r="FC89" s="13"/>
      <c r="FD89" s="13"/>
      <c r="FE89" s="13"/>
      <c r="FF89" s="13"/>
      <c r="FG89" s="13"/>
      <c r="FH89" s="13"/>
      <c r="FI89" s="13"/>
      <c r="FJ89" s="13"/>
      <c r="FK89" s="13"/>
      <c r="FL89" s="13"/>
      <c r="FM89" s="13"/>
      <c r="FN89" s="13"/>
      <c r="FO89" s="13"/>
      <c r="FP89" s="13"/>
      <c r="FQ89" s="13"/>
      <c r="FR89" s="13"/>
      <c r="FS89" s="13"/>
      <c r="FT89" s="13"/>
      <c r="FU89" s="13"/>
      <c r="FV89" s="13"/>
      <c r="FW89" s="13"/>
      <c r="FX89" s="13"/>
      <c r="FY89" s="13"/>
      <c r="FZ89" s="13"/>
      <c r="GA89" s="13"/>
      <c r="GB89" s="13"/>
      <c r="GC89" s="13"/>
      <c r="GD89" s="13"/>
      <c r="GE89" s="13"/>
      <c r="GF89" s="13"/>
      <c r="GG89" s="13"/>
      <c r="GH89" s="13"/>
      <c r="GI89" s="13"/>
      <c r="GJ89" s="13"/>
      <c r="GK89" s="13"/>
      <c r="GL89" s="13"/>
      <c r="GM89" s="13"/>
      <c r="GN89" s="13"/>
      <c r="GO89" s="13"/>
      <c r="GP89" s="13"/>
      <c r="GQ89" s="13"/>
      <c r="GR89" s="13"/>
      <c r="GS89" s="13"/>
      <c r="GT89" s="13"/>
      <c r="GU89" s="13"/>
      <c r="GV89" s="13"/>
      <c r="GW89" s="13"/>
      <c r="GX89" s="13"/>
    </row>
    <row r="90" spans="2:206" ht="14.25" x14ac:dyDescent="0.25">
      <c r="B90" s="55"/>
      <c r="C90" s="10" t="s">
        <v>310</v>
      </c>
      <c r="D90" s="93" t="s">
        <v>410</v>
      </c>
      <c r="E90" s="13">
        <f t="shared" ref="E90:N90" si="315">E87+2*(E88-1)</f>
        <v>6.3</v>
      </c>
      <c r="F90" s="13">
        <f t="shared" si="315"/>
        <v>6.3</v>
      </c>
      <c r="G90" s="13">
        <f t="shared" si="315"/>
        <v>6.3</v>
      </c>
      <c r="H90" s="13">
        <f t="shared" si="315"/>
        <v>6.3</v>
      </c>
      <c r="I90" s="13">
        <f t="shared" ref="I90" si="316">I87+2*(I88-1)</f>
        <v>6.3</v>
      </c>
      <c r="J90" s="13">
        <f t="shared" ref="J90:L90" si="317">J87+2*(J88-1)</f>
        <v>6.3</v>
      </c>
      <c r="K90" s="13">
        <f t="shared" si="317"/>
        <v>6.3</v>
      </c>
      <c r="L90" s="13">
        <f t="shared" si="317"/>
        <v>6.3</v>
      </c>
      <c r="M90" s="13">
        <f t="shared" ref="M90" si="318">M87+2*(M88-1)</f>
        <v>6.3</v>
      </c>
      <c r="N90" s="13">
        <f t="shared" si="315"/>
        <v>6.3</v>
      </c>
      <c r="O90" s="13">
        <f t="shared" ref="O90" si="319">O87+2*(O88-1)</f>
        <v>6.3</v>
      </c>
      <c r="P90" s="13">
        <f t="shared" ref="P90" si="320">P87+2*(P88-1)</f>
        <v>6.3</v>
      </c>
      <c r="Q90" s="13">
        <f t="shared" ref="Q90:S90" si="321">Q87+2*(Q88-1)</f>
        <v>6.3</v>
      </c>
      <c r="R90" s="13">
        <f t="shared" si="321"/>
        <v>6.3</v>
      </c>
      <c r="S90" s="13">
        <f t="shared" si="321"/>
        <v>6.3</v>
      </c>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c r="EY90" s="13"/>
      <c r="EZ90" s="13"/>
      <c r="FA90" s="13"/>
      <c r="FB90" s="13"/>
      <c r="FC90" s="13"/>
      <c r="FD90" s="13"/>
      <c r="FE90" s="13"/>
      <c r="FF90" s="13"/>
      <c r="FG90" s="13"/>
      <c r="FH90" s="13"/>
      <c r="FI90" s="13"/>
      <c r="FJ90" s="13"/>
      <c r="FK90" s="13"/>
      <c r="FL90" s="13"/>
      <c r="FM90" s="13"/>
      <c r="FN90" s="13"/>
      <c r="FO90" s="13"/>
      <c r="FP90" s="13"/>
      <c r="FQ90" s="13"/>
      <c r="FR90" s="13"/>
      <c r="FS90" s="13"/>
      <c r="FT90" s="13"/>
      <c r="FU90" s="13"/>
      <c r="FV90" s="13"/>
      <c r="FW90" s="13"/>
      <c r="FX90" s="13"/>
      <c r="FY90" s="13"/>
      <c r="FZ90" s="13"/>
      <c r="GA90" s="13"/>
      <c r="GB90" s="13"/>
      <c r="GC90" s="13"/>
      <c r="GD90" s="13"/>
      <c r="GE90" s="13"/>
      <c r="GF90" s="13"/>
      <c r="GG90" s="13"/>
      <c r="GH90" s="13"/>
      <c r="GI90" s="13"/>
      <c r="GJ90" s="13"/>
      <c r="GK90" s="13"/>
      <c r="GL90" s="13"/>
      <c r="GM90" s="13"/>
      <c r="GN90" s="13"/>
      <c r="GO90" s="13"/>
      <c r="GP90" s="13"/>
      <c r="GQ90" s="13"/>
      <c r="GR90" s="13"/>
      <c r="GS90" s="13"/>
      <c r="GT90" s="13"/>
      <c r="GU90" s="13"/>
      <c r="GV90" s="13"/>
      <c r="GW90" s="13"/>
      <c r="GX90" s="13"/>
    </row>
    <row r="91" spans="2:206" ht="14.25" x14ac:dyDescent="0.25">
      <c r="B91" s="55"/>
      <c r="C91" s="10" t="s">
        <v>311</v>
      </c>
      <c r="D91" s="93" t="s">
        <v>408</v>
      </c>
      <c r="E91" s="13">
        <f t="shared" ref="E91:Q91" si="322">1-EXP(-E90*E49)</f>
        <v>0.11529409505651644</v>
      </c>
      <c r="F91" s="13">
        <f t="shared" ref="F91:H91" si="323">1-EXP(-F90*F49)</f>
        <v>0.21729546175813186</v>
      </c>
      <c r="G91" s="13">
        <f t="shared" si="323"/>
        <v>0.30753667319135658</v>
      </c>
      <c r="H91" s="13">
        <f t="shared" si="323"/>
        <v>0.38737360581558389</v>
      </c>
      <c r="I91" s="13">
        <f t="shared" ref="I91" si="324">1-EXP(-I90*I49)</f>
        <v>0.45800581154081288</v>
      </c>
      <c r="J91" s="13">
        <f t="shared" si="322"/>
        <v>0.52049454102510584</v>
      </c>
      <c r="K91" s="13">
        <f t="shared" si="322"/>
        <v>0.5757786889922758</v>
      </c>
      <c r="L91" s="13">
        <f t="shared" si="322"/>
        <v>0.62468890114860043</v>
      </c>
      <c r="M91" s="13">
        <f t="shared" ref="M91:N91" si="325">1-EXP(-M90*M49)</f>
        <v>0.66796005465533925</v>
      </c>
      <c r="N91" s="13">
        <f t="shared" si="325"/>
        <v>0.70624229967646723</v>
      </c>
      <c r="O91" s="13">
        <f t="shared" ref="O91" si="326">1-EXP(-O90*O49)</f>
        <v>0.74011082790115224</v>
      </c>
      <c r="P91" s="13">
        <f t="shared" ref="P91" si="327">1-EXP(-P90*P49)</f>
        <v>0.77007451481327616</v>
      </c>
      <c r="Q91" s="13">
        <f t="shared" si="322"/>
        <v>0.79658356555830989</v>
      </c>
      <c r="R91" s="13">
        <f t="shared" ref="R91" si="328">1-EXP(-R90*R49)</f>
        <v>0.82003627928688783</v>
      </c>
      <c r="S91" s="13">
        <f t="shared" ref="S91" si="329">1-EXP(-S90*S49)</f>
        <v>0.84078503360950974</v>
      </c>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c r="EY91" s="13"/>
      <c r="EZ91" s="13"/>
      <c r="FA91" s="13"/>
      <c r="FB91" s="13"/>
      <c r="FC91" s="13"/>
      <c r="FD91" s="13"/>
      <c r="FE91" s="13"/>
      <c r="FF91" s="13"/>
      <c r="FG91" s="13"/>
      <c r="FH91" s="13"/>
      <c r="FI91" s="13"/>
      <c r="FJ91" s="13"/>
      <c r="FK91" s="13"/>
      <c r="FL91" s="13"/>
      <c r="FM91" s="13"/>
      <c r="FN91" s="13"/>
      <c r="FO91" s="13"/>
      <c r="FP91" s="13"/>
      <c r="FQ91" s="13"/>
      <c r="FR91" s="13"/>
      <c r="FS91" s="13"/>
      <c r="FT91" s="13"/>
      <c r="FU91" s="13"/>
      <c r="FV91" s="13"/>
      <c r="FW91" s="13"/>
      <c r="FX91" s="13"/>
      <c r="FY91" s="13"/>
      <c r="FZ91" s="13"/>
      <c r="GA91" s="13"/>
      <c r="GB91" s="13"/>
      <c r="GC91" s="13"/>
      <c r="GD91" s="13"/>
      <c r="GE91" s="13"/>
      <c r="GF91" s="13"/>
      <c r="GG91" s="13"/>
      <c r="GH91" s="13"/>
      <c r="GI91" s="13"/>
      <c r="GJ91" s="13"/>
      <c r="GK91" s="13"/>
      <c r="GL91" s="13"/>
      <c r="GM91" s="13"/>
      <c r="GN91" s="13"/>
      <c r="GO91" s="13"/>
      <c r="GP91" s="13"/>
      <c r="GQ91" s="13"/>
      <c r="GR91" s="13"/>
      <c r="GS91" s="13"/>
      <c r="GT91" s="13"/>
      <c r="GU91" s="13"/>
      <c r="GV91" s="13"/>
      <c r="GW91" s="13"/>
      <c r="GX91" s="13"/>
    </row>
    <row r="92" spans="2:206" ht="14.25" x14ac:dyDescent="0.25">
      <c r="B92" s="55"/>
      <c r="C92" s="10" t="s">
        <v>312</v>
      </c>
      <c r="D92" s="93" t="s">
        <v>409</v>
      </c>
      <c r="E92" s="13">
        <f t="shared" ref="E92:Q92" si="330">1-(1-E91)^E31</f>
        <v>0.98244646631911248</v>
      </c>
      <c r="F92" s="13">
        <f t="shared" ref="F92:H92" si="331">1-(1-F91)^F31</f>
        <v>0.99969187345531396</v>
      </c>
      <c r="G92" s="13">
        <f t="shared" si="331"/>
        <v>0.99999459129031987</v>
      </c>
      <c r="H92" s="13">
        <f t="shared" si="331"/>
        <v>0.99999990505803249</v>
      </c>
      <c r="I92" s="13">
        <f t="shared" ref="I92" si="332">1-(1-I91)^I31</f>
        <v>0.999999998333433</v>
      </c>
      <c r="J92" s="13">
        <f t="shared" si="330"/>
        <v>0.99999999997074585</v>
      </c>
      <c r="K92" s="13">
        <f t="shared" si="330"/>
        <v>0.99999999999948652</v>
      </c>
      <c r="L92" s="13">
        <f t="shared" si="330"/>
        <v>0.99999999999999101</v>
      </c>
      <c r="M92" s="13">
        <f t="shared" ref="M92:N92" si="333">1-(1-M91)^M31</f>
        <v>0.99999999999999989</v>
      </c>
      <c r="N92" s="13">
        <f t="shared" si="333"/>
        <v>1</v>
      </c>
      <c r="O92" s="13">
        <f t="shared" ref="O92" si="334">1-(1-O91)^O31</f>
        <v>1</v>
      </c>
      <c r="P92" s="13">
        <f t="shared" ref="P92" si="335">1-(1-P91)^P31</f>
        <v>1</v>
      </c>
      <c r="Q92" s="13">
        <f t="shared" si="330"/>
        <v>1</v>
      </c>
      <c r="R92" s="13">
        <f t="shared" ref="R92" si="336">1-(1-R91)^R31</f>
        <v>1</v>
      </c>
      <c r="S92" s="13">
        <f t="shared" ref="S92" si="337">1-(1-S91)^S31</f>
        <v>1</v>
      </c>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c r="EY92" s="13"/>
      <c r="EZ92" s="13"/>
      <c r="FA92" s="13"/>
      <c r="FB92" s="13"/>
      <c r="FC92" s="13"/>
      <c r="FD92" s="13"/>
      <c r="FE92" s="13"/>
      <c r="FF92" s="13"/>
      <c r="FG92" s="13"/>
      <c r="FH92" s="13"/>
      <c r="FI92" s="13"/>
      <c r="FJ92" s="13"/>
      <c r="FK92" s="13"/>
      <c r="FL92" s="13"/>
      <c r="FM92" s="13"/>
      <c r="FN92" s="13"/>
      <c r="FO92" s="13"/>
      <c r="FP92" s="13"/>
      <c r="FQ92" s="13"/>
      <c r="FR92" s="13"/>
      <c r="FS92" s="13"/>
      <c r="FT92" s="13"/>
      <c r="FU92" s="13"/>
      <c r="FV92" s="13"/>
      <c r="FW92" s="13"/>
      <c r="FX92" s="13"/>
      <c r="FY92" s="13"/>
      <c r="FZ92" s="13"/>
      <c r="GA92" s="13"/>
      <c r="GB92" s="13"/>
      <c r="GC92" s="13"/>
      <c r="GD92" s="13"/>
      <c r="GE92" s="13"/>
      <c r="GF92" s="13"/>
      <c r="GG92" s="13"/>
      <c r="GH92" s="13"/>
      <c r="GI92" s="13"/>
      <c r="GJ92" s="13"/>
      <c r="GK92" s="13"/>
      <c r="GL92" s="13"/>
      <c r="GM92" s="13"/>
      <c r="GN92" s="13"/>
      <c r="GO92" s="13"/>
      <c r="GP92" s="13"/>
      <c r="GQ92" s="13"/>
      <c r="GR92" s="13"/>
      <c r="GS92" s="13"/>
      <c r="GT92" s="13"/>
      <c r="GU92" s="13"/>
      <c r="GV92" s="13"/>
      <c r="GW92" s="13"/>
      <c r="GX92" s="13"/>
    </row>
    <row r="93" spans="2:206" ht="14.25" x14ac:dyDescent="0.25">
      <c r="B93" s="55"/>
      <c r="C93" s="10" t="s">
        <v>313</v>
      </c>
      <c r="D93" s="93" t="s">
        <v>411</v>
      </c>
      <c r="E93" s="13">
        <f t="shared" ref="E93:Q93" si="338">(1/E49)*(EXP(E49*E90)-E49*E90-1)/E92</f>
        <v>0.40931103018923576</v>
      </c>
      <c r="F93" s="13">
        <f t="shared" ref="F93:H93" si="339">(1/F49)*(EXP(F49*F90)-F49*F90-1)/F92</f>
        <v>0.83909231474127199</v>
      </c>
      <c r="G93" s="13">
        <f t="shared" si="339"/>
        <v>1.3134893647892141</v>
      </c>
      <c r="H93" s="13">
        <f t="shared" si="339"/>
        <v>1.8297801445777986</v>
      </c>
      <c r="I93" s="13">
        <f t="shared" ref="I93" si="340">(1/I49)*(EXP(I49*I90)-I49*I90-1)/I92</f>
        <v>2.3918218334747015</v>
      </c>
      <c r="J93" s="13">
        <f t="shared" si="338"/>
        <v>3.0041313644166929</v>
      </c>
      <c r="K93" s="13">
        <f t="shared" si="338"/>
        <v>3.671707376562134</v>
      </c>
      <c r="L93" s="13">
        <f t="shared" si="338"/>
        <v>4.4000758409748633</v>
      </c>
      <c r="M93" s="13">
        <f t="shared" ref="M93:N93" si="341">(1/M49)*(EXP(M49*M90)-M49*M90-1)/M92</f>
        <v>5.195347627733514</v>
      </c>
      <c r="N93" s="13">
        <f t="shared" si="341"/>
        <v>6.0642827114956397</v>
      </c>
      <c r="O93" s="13">
        <f t="shared" ref="O93" si="342">(1/O49)*(EXP(O49*O90)-O49*O90-1)/O92</f>
        <v>7.0143616112068585</v>
      </c>
      <c r="P93" s="13">
        <f t="shared" ref="P93" si="343">(1/P49)*(EXP(P49*P90)-P49*P90-1)/P92</f>
        <v>8.0538648902688923</v>
      </c>
      <c r="Q93" s="13">
        <f t="shared" si="338"/>
        <v>9.1919616434149614</v>
      </c>
      <c r="R93" s="13">
        <f t="shared" ref="R93" si="344">(1/R49)*(EXP(R49*R90)-R49*R90-1)/R92</f>
        <v>10.438808004592968</v>
      </c>
      <c r="S93" s="13">
        <f t="shared" ref="S93" si="345">(1/S49)*(EXP(S49*S90)-S49*S90-1)/S92</f>
        <v>11.805656830865704</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c r="EY93" s="13"/>
      <c r="EZ93" s="13"/>
      <c r="FA93" s="13"/>
      <c r="FB93" s="13"/>
      <c r="FC93" s="13"/>
      <c r="FD93" s="13"/>
      <c r="FE93" s="13"/>
      <c r="FF93" s="13"/>
      <c r="FG93" s="13"/>
      <c r="FH93" s="13"/>
      <c r="FI93" s="13"/>
      <c r="FJ93" s="13"/>
      <c r="FK93" s="13"/>
      <c r="FL93" s="13"/>
      <c r="FM93" s="13"/>
      <c r="FN93" s="13"/>
      <c r="FO93" s="13"/>
      <c r="FP93" s="13"/>
      <c r="FQ93" s="13"/>
      <c r="FR93" s="13"/>
      <c r="FS93" s="13"/>
      <c r="FT93" s="13"/>
      <c r="FU93" s="13"/>
      <c r="FV93" s="13"/>
      <c r="FW93" s="13"/>
      <c r="FX93" s="13"/>
      <c r="FY93" s="13"/>
      <c r="FZ93" s="13"/>
      <c r="GA93" s="13"/>
      <c r="GB93" s="13"/>
      <c r="GC93" s="13"/>
      <c r="GD93" s="13"/>
      <c r="GE93" s="13"/>
      <c r="GF93" s="13"/>
      <c r="GG93" s="13"/>
      <c r="GH93" s="13"/>
      <c r="GI93" s="13"/>
      <c r="GJ93" s="13"/>
      <c r="GK93" s="13"/>
      <c r="GL93" s="13"/>
      <c r="GM93" s="13"/>
      <c r="GN93" s="13"/>
      <c r="GO93" s="13"/>
      <c r="GP93" s="13"/>
      <c r="GQ93" s="13"/>
      <c r="GR93" s="13"/>
      <c r="GS93" s="13"/>
      <c r="GT93" s="13"/>
      <c r="GU93" s="13"/>
      <c r="GV93" s="13"/>
      <c r="GW93" s="13"/>
      <c r="GX93" s="13"/>
    </row>
    <row r="94" spans="2:206" x14ac:dyDescent="0.25">
      <c r="B94" s="55"/>
      <c r="C94" s="10" t="s">
        <v>294</v>
      </c>
      <c r="D94" s="93" t="s">
        <v>412</v>
      </c>
      <c r="E94" s="13">
        <f t="shared" ref="E94:N94" si="346">((1/E49) - (E90+(1/E49))*EXP(-E49*E90))/(1-EXP(-E49*E90))</f>
        <v>3.0857035790794201</v>
      </c>
      <c r="F94" s="13">
        <f t="shared" si="346"/>
        <v>3.0215034949661521</v>
      </c>
      <c r="G94" s="13">
        <f t="shared" si="346"/>
        <v>2.9574953984384851</v>
      </c>
      <c r="H94" s="13">
        <f t="shared" si="346"/>
        <v>2.8937735789602139</v>
      </c>
      <c r="I94" s="13">
        <f t="shared" ref="I94" si="347">((1/I49) - (I90+(1/I49))*EXP(-I49*I90))/(1-EXP(-I49*I90))</f>
        <v>2.8304303105924804</v>
      </c>
      <c r="J94" s="13">
        <f t="shared" ref="J94:L94" si="348">((1/J49) - (J90+(1/J49))*EXP(-J49*J90))/(1-EXP(-J49*J90))</f>
        <v>2.7675552289872698</v>
      </c>
      <c r="K94" s="13">
        <f t="shared" si="348"/>
        <v>2.705234748523345</v>
      </c>
      <c r="L94" s="13">
        <f t="shared" si="348"/>
        <v>2.6435515275993744</v>
      </c>
      <c r="M94" s="13">
        <f t="shared" ref="M94" si="349">((1/M49) - (M90+(1/M49))*EXP(-M49*M90))/(1-EXP(-M49*M90))</f>
        <v>2.5825839888723037</v>
      </c>
      <c r="N94" s="13">
        <f t="shared" si="346"/>
        <v>2.5224058998686401</v>
      </c>
      <c r="O94" s="13">
        <f t="shared" ref="O94" si="350">((1/O49) - (O90+(1/O49))*EXP(-O49*O90))/(1-EXP(-O49*O90))</f>
        <v>2.4630860179523837</v>
      </c>
      <c r="P94" s="13">
        <f t="shared" ref="P94" si="351">((1/P49) - (P90+(1/P49))*EXP(-P49*P90))/(1-EXP(-P49*P90))</f>
        <v>2.4046878021569218</v>
      </c>
      <c r="Q94" s="13">
        <f t="shared" ref="Q94:S94" si="352">((1/Q49) - (Q90+(1/Q49))*EXP(-Q49*Q90))/(1-EXP(-Q49*Q90))</f>
        <v>2.3472691929286102</v>
      </c>
      <c r="R94" s="13">
        <f t="shared" si="352"/>
        <v>2.2908824594321917</v>
      </c>
      <c r="S94" s="13">
        <f t="shared" si="352"/>
        <v>2.2355741127724627</v>
      </c>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c r="EY94" s="13"/>
      <c r="EZ94" s="13"/>
      <c r="FA94" s="13"/>
      <c r="FB94" s="13"/>
      <c r="FC94" s="13"/>
      <c r="FD94" s="13"/>
      <c r="FE94" s="13"/>
      <c r="FF94" s="13"/>
      <c r="FG94" s="13"/>
      <c r="FH94" s="13"/>
      <c r="FI94" s="13"/>
      <c r="FJ94" s="13"/>
      <c r="FK94" s="13"/>
      <c r="FL94" s="13"/>
      <c r="FM94" s="13"/>
      <c r="FN94" s="13"/>
      <c r="FO94" s="13"/>
      <c r="FP94" s="13"/>
      <c r="FQ94" s="13"/>
      <c r="FR94" s="13"/>
      <c r="FS94" s="13"/>
      <c r="FT94" s="13"/>
      <c r="FU94" s="13"/>
      <c r="FV94" s="13"/>
      <c r="FW94" s="13"/>
      <c r="FX94" s="13"/>
      <c r="FY94" s="13"/>
      <c r="FZ94" s="13"/>
      <c r="GA94" s="13"/>
      <c r="GB94" s="13"/>
      <c r="GC94" s="13"/>
      <c r="GD94" s="13"/>
      <c r="GE94" s="13"/>
      <c r="GF94" s="13"/>
      <c r="GG94" s="13"/>
      <c r="GH94" s="13"/>
      <c r="GI94" s="13"/>
      <c r="GJ94" s="13"/>
      <c r="GK94" s="13"/>
      <c r="GL94" s="13"/>
      <c r="GM94" s="13"/>
      <c r="GN94" s="13"/>
      <c r="GO94" s="13"/>
      <c r="GP94" s="13"/>
      <c r="GQ94" s="13"/>
      <c r="GR94" s="13"/>
      <c r="GS94" s="13"/>
      <c r="GT94" s="13"/>
      <c r="GU94" s="13"/>
      <c r="GV94" s="13"/>
      <c r="GW94" s="13"/>
      <c r="GX94" s="13"/>
    </row>
    <row r="95" spans="2:206" x14ac:dyDescent="0.25">
      <c r="B95" s="55"/>
      <c r="C95" s="10" t="s">
        <v>293</v>
      </c>
      <c r="D95" s="93" t="s">
        <v>303</v>
      </c>
      <c r="E95" s="13">
        <f t="shared" ref="E95:N95" si="353">ROUND(1/EXP(-E49*E90),0)</f>
        <v>1</v>
      </c>
      <c r="F95" s="13">
        <f t="shared" si="353"/>
        <v>1</v>
      </c>
      <c r="G95" s="13">
        <f t="shared" si="353"/>
        <v>1</v>
      </c>
      <c r="H95" s="13">
        <f t="shared" si="353"/>
        <v>2</v>
      </c>
      <c r="I95" s="13">
        <f t="shared" ref="I95" si="354">ROUND(1/EXP(-I49*I90),0)</f>
        <v>2</v>
      </c>
      <c r="J95" s="13">
        <f t="shared" ref="J95:L95" si="355">ROUND(1/EXP(-J49*J90),0)</f>
        <v>2</v>
      </c>
      <c r="K95" s="13">
        <f t="shared" si="355"/>
        <v>2</v>
      </c>
      <c r="L95" s="13">
        <f t="shared" si="355"/>
        <v>3</v>
      </c>
      <c r="M95" s="13">
        <f t="shared" ref="M95" si="356">ROUND(1/EXP(-M49*M90),0)</f>
        <v>3</v>
      </c>
      <c r="N95" s="13">
        <f t="shared" si="353"/>
        <v>3</v>
      </c>
      <c r="O95" s="13">
        <f t="shared" ref="O95" si="357">ROUND(1/EXP(-O49*O90),0)</f>
        <v>4</v>
      </c>
      <c r="P95" s="13">
        <f t="shared" ref="P95" si="358">ROUND(1/EXP(-P49*P90),0)</f>
        <v>4</v>
      </c>
      <c r="Q95" s="13">
        <f t="shared" ref="Q95:S95" si="359">ROUND(1/EXP(-Q49*Q90),0)</f>
        <v>5</v>
      </c>
      <c r="R95" s="13">
        <f t="shared" si="359"/>
        <v>6</v>
      </c>
      <c r="S95" s="13">
        <f t="shared" si="359"/>
        <v>6</v>
      </c>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c r="EY95" s="13"/>
      <c r="EZ95" s="13"/>
      <c r="FA95" s="13"/>
      <c r="FB95" s="13"/>
      <c r="FC95" s="13"/>
      <c r="FD95" s="13"/>
      <c r="FE95" s="13"/>
      <c r="FF95" s="13"/>
      <c r="FG95" s="13"/>
      <c r="FH95" s="13"/>
      <c r="FI95" s="13"/>
      <c r="FJ95" s="13"/>
      <c r="FK95" s="13"/>
      <c r="FL95" s="13"/>
      <c r="FM95" s="13"/>
      <c r="FN95" s="13"/>
      <c r="FO95" s="13"/>
      <c r="FP95" s="13"/>
      <c r="FQ95" s="13"/>
      <c r="FR95" s="13"/>
      <c r="FS95" s="13"/>
      <c r="FT95" s="13"/>
      <c r="FU95" s="13"/>
      <c r="FV95" s="13"/>
      <c r="FW95" s="13"/>
      <c r="FX95" s="13"/>
      <c r="FY95" s="13"/>
      <c r="FZ95" s="13"/>
      <c r="GA95" s="13"/>
      <c r="GB95" s="13"/>
      <c r="GC95" s="13"/>
      <c r="GD95" s="13"/>
      <c r="GE95" s="13"/>
      <c r="GF95" s="13"/>
      <c r="GG95" s="13"/>
      <c r="GH95" s="13"/>
      <c r="GI95" s="13"/>
      <c r="GJ95" s="13"/>
      <c r="GK95" s="13"/>
      <c r="GL95" s="13"/>
      <c r="GM95" s="13"/>
      <c r="GN95" s="13"/>
      <c r="GO95" s="13"/>
      <c r="GP95" s="13"/>
      <c r="GQ95" s="13"/>
      <c r="GR95" s="13"/>
      <c r="GS95" s="13"/>
      <c r="GT95" s="13"/>
      <c r="GU95" s="13"/>
      <c r="GV95" s="13"/>
      <c r="GW95" s="13"/>
      <c r="GX95" s="13"/>
    </row>
    <row r="96" spans="2:206" ht="14.25" x14ac:dyDescent="0.25">
      <c r="B96" s="55"/>
      <c r="C96" s="10" t="s">
        <v>314</v>
      </c>
      <c r="D96" s="93" t="s">
        <v>413</v>
      </c>
      <c r="E96" s="13" t="e">
        <f t="shared" ref="E96:Q96" ca="1" si="360">ONESTAGELEFT_BIKE_DELAY(E9,E95,E94,E91,E92,E38,E93)</f>
        <v>#NAME?</v>
      </c>
      <c r="F96" s="13" t="e">
        <f t="shared" ref="F96:H96" ca="1" si="361">ONESTAGELEFT_BIKE_DELAY(F9,F95,F94,F91,F92,F38,F93)</f>
        <v>#NAME?</v>
      </c>
      <c r="G96" s="13" t="e">
        <f t="shared" ca="1" si="361"/>
        <v>#NAME?</v>
      </c>
      <c r="H96" s="13" t="e">
        <f t="shared" ca="1" si="361"/>
        <v>#NAME?</v>
      </c>
      <c r="I96" s="13" t="e">
        <f t="shared" ref="I96" ca="1" si="362">ONESTAGELEFT_BIKE_DELAY(I9,I95,I94,I91,I92,I38,I93)</f>
        <v>#NAME?</v>
      </c>
      <c r="J96" s="13" t="e">
        <f t="shared" ca="1" si="360"/>
        <v>#NAME?</v>
      </c>
      <c r="K96" s="13" t="e">
        <f t="shared" ca="1" si="360"/>
        <v>#NAME?</v>
      </c>
      <c r="L96" s="13" t="e">
        <f t="shared" ca="1" si="360"/>
        <v>#NAME?</v>
      </c>
      <c r="M96" s="13" t="e">
        <f t="shared" ref="M96:N96" ca="1" si="363">ONESTAGELEFT_BIKE_DELAY(M9,M95,M94,M91,M92,M38,M93)</f>
        <v>#NAME?</v>
      </c>
      <c r="N96" s="13" t="e">
        <f t="shared" ca="1" si="363"/>
        <v>#NAME?</v>
      </c>
      <c r="O96" s="13" t="e">
        <f t="shared" ref="O96" ca="1" si="364">ONESTAGELEFT_BIKE_DELAY(O9,O95,O94,O91,O92,O38,O93)</f>
        <v>#NAME?</v>
      </c>
      <c r="P96" s="13" t="e">
        <f t="shared" ref="P96" ca="1" si="365">ONESTAGELEFT_BIKE_DELAY(P9,P95,P94,P91,P92,P38,P93)</f>
        <v>#NAME?</v>
      </c>
      <c r="Q96" s="13" t="e">
        <f t="shared" ca="1" si="360"/>
        <v>#NAME?</v>
      </c>
      <c r="R96" s="13" t="e">
        <f t="shared" ref="R96" ca="1" si="366">ONESTAGELEFT_BIKE_DELAY(R9,R95,R94,R91,R92,R38,R93)</f>
        <v>#NAME?</v>
      </c>
      <c r="S96" s="13" t="e">
        <f t="shared" ref="S96" ca="1" si="367">ONESTAGELEFT_BIKE_DELAY(S9,S95,S94,S91,S92,S38,S93)</f>
        <v>#NAME?</v>
      </c>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c r="FN96" s="13"/>
      <c r="FO96" s="13"/>
      <c r="FP96" s="13"/>
      <c r="FQ96" s="13"/>
      <c r="FR96" s="13"/>
      <c r="FS96" s="13"/>
      <c r="FT96" s="13"/>
      <c r="FU96" s="13"/>
      <c r="FV96" s="13"/>
      <c r="FW96" s="13"/>
      <c r="FX96" s="13"/>
      <c r="FY96" s="13"/>
      <c r="FZ96" s="13"/>
      <c r="GA96" s="13"/>
      <c r="GB96" s="13"/>
      <c r="GC96" s="13"/>
      <c r="GD96" s="13"/>
      <c r="GE96" s="13"/>
      <c r="GF96" s="13"/>
      <c r="GG96" s="13"/>
      <c r="GH96" s="13"/>
      <c r="GI96" s="13"/>
      <c r="GJ96" s="13"/>
      <c r="GK96" s="13"/>
      <c r="GL96" s="13"/>
      <c r="GM96" s="13"/>
      <c r="GN96" s="13"/>
      <c r="GO96" s="13"/>
      <c r="GP96" s="13"/>
      <c r="GQ96" s="13"/>
      <c r="GR96" s="13"/>
      <c r="GS96" s="13"/>
      <c r="GT96" s="13"/>
      <c r="GU96" s="13"/>
      <c r="GV96" s="13"/>
      <c r="GW96" s="13"/>
      <c r="GX96" s="13"/>
    </row>
    <row r="97" spans="1:206" ht="14.25" x14ac:dyDescent="0.25">
      <c r="B97" s="55"/>
      <c r="C97" s="10" t="s">
        <v>315</v>
      </c>
      <c r="D97" s="93" t="s">
        <v>414</v>
      </c>
      <c r="E97" s="13">
        <f t="shared" ref="E97:N97" si="368">(E26)/2 + E27 + E41</f>
        <v>30.5</v>
      </c>
      <c r="F97" s="13">
        <f t="shared" si="368"/>
        <v>30.5</v>
      </c>
      <c r="G97" s="13">
        <f t="shared" si="368"/>
        <v>30.5</v>
      </c>
      <c r="H97" s="13">
        <f t="shared" si="368"/>
        <v>30.5</v>
      </c>
      <c r="I97" s="13">
        <f t="shared" ref="I97" si="369">(I26)/2 + I27 + I41</f>
        <v>30.5</v>
      </c>
      <c r="J97" s="13">
        <f t="shared" ref="J97:L97" si="370">(J26)/2 + J27 + J41</f>
        <v>30.5</v>
      </c>
      <c r="K97" s="13">
        <f t="shared" si="370"/>
        <v>30.5</v>
      </c>
      <c r="L97" s="13">
        <f t="shared" si="370"/>
        <v>30.5</v>
      </c>
      <c r="M97" s="13">
        <f t="shared" ref="M97" si="371">(M26)/2 + M27 + M41</f>
        <v>30.5</v>
      </c>
      <c r="N97" s="13">
        <f t="shared" si="368"/>
        <v>30.5</v>
      </c>
      <c r="O97" s="13">
        <f t="shared" ref="O97" si="372">(O26)/2 + O27 + O41</f>
        <v>30.5</v>
      </c>
      <c r="P97" s="13">
        <f t="shared" ref="P97" si="373">(P26)/2 + P27 + P41</f>
        <v>30.5</v>
      </c>
      <c r="Q97" s="13">
        <f t="shared" ref="Q97:S97" si="374">(Q26)/2 + Q27 + Q41</f>
        <v>30.5</v>
      </c>
      <c r="R97" s="13">
        <f t="shared" si="374"/>
        <v>30.5</v>
      </c>
      <c r="S97" s="13">
        <f t="shared" si="374"/>
        <v>30.5</v>
      </c>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c r="FN97" s="13"/>
      <c r="FO97" s="13"/>
      <c r="FP97" s="13"/>
      <c r="FQ97" s="13"/>
      <c r="FR97" s="13"/>
      <c r="FS97" s="13"/>
      <c r="FT97" s="13"/>
      <c r="FU97" s="13"/>
      <c r="FV97" s="13"/>
      <c r="FW97" s="13"/>
      <c r="FX97" s="13"/>
      <c r="FY97" s="13"/>
      <c r="FZ97" s="13"/>
      <c r="GA97" s="13"/>
      <c r="GB97" s="13"/>
      <c r="GC97" s="13"/>
      <c r="GD97" s="13"/>
      <c r="GE97" s="13"/>
      <c r="GF97" s="13"/>
      <c r="GG97" s="13"/>
      <c r="GH97" s="13"/>
      <c r="GI97" s="13"/>
      <c r="GJ97" s="13"/>
      <c r="GK97" s="13"/>
      <c r="GL97" s="13"/>
      <c r="GM97" s="13"/>
      <c r="GN97" s="13"/>
      <c r="GO97" s="13"/>
      <c r="GP97" s="13"/>
      <c r="GQ97" s="13"/>
      <c r="GR97" s="13"/>
      <c r="GS97" s="13"/>
      <c r="GT97" s="13"/>
      <c r="GU97" s="13"/>
      <c r="GV97" s="13"/>
      <c r="GW97" s="13"/>
      <c r="GX97" s="13"/>
    </row>
    <row r="98" spans="1:206" ht="14.25" x14ac:dyDescent="0.25">
      <c r="B98" s="55"/>
      <c r="C98" s="10" t="s">
        <v>331</v>
      </c>
      <c r="D98" s="93" t="s">
        <v>415</v>
      </c>
      <c r="E98" s="13">
        <f t="shared" ref="E98:N98" si="375">((E28-E26)/2)+E26+E27+2*E41</f>
        <v>78.5</v>
      </c>
      <c r="F98" s="13">
        <f t="shared" si="375"/>
        <v>78.5</v>
      </c>
      <c r="G98" s="13">
        <f t="shared" si="375"/>
        <v>78.5</v>
      </c>
      <c r="H98" s="13">
        <f t="shared" si="375"/>
        <v>78.5</v>
      </c>
      <c r="I98" s="13">
        <f t="shared" ref="I98" si="376">((I28-I26)/2)+I26+I27+2*I41</f>
        <v>78.5</v>
      </c>
      <c r="J98" s="13">
        <f t="shared" ref="J98:L98" si="377">((J28-J26)/2)+J26+J27+2*J41</f>
        <v>78.5</v>
      </c>
      <c r="K98" s="13">
        <f t="shared" si="377"/>
        <v>78.5</v>
      </c>
      <c r="L98" s="13">
        <f t="shared" si="377"/>
        <v>78.5</v>
      </c>
      <c r="M98" s="13">
        <f t="shared" ref="M98" si="378">((M28-M26)/2)+M26+M27+2*M41</f>
        <v>78.5</v>
      </c>
      <c r="N98" s="13">
        <f t="shared" si="375"/>
        <v>78.5</v>
      </c>
      <c r="O98" s="13">
        <f t="shared" ref="O98" si="379">((O28-O26)/2)+O26+O27+2*O41</f>
        <v>78.5</v>
      </c>
      <c r="P98" s="13">
        <f t="shared" ref="P98" si="380">((P28-P26)/2)+P26+P27+2*P41</f>
        <v>78.5</v>
      </c>
      <c r="Q98" s="13">
        <f t="shared" ref="Q98:S98" si="381">((Q28-Q26)/2)+Q26+Q27+2*Q41</f>
        <v>78.5</v>
      </c>
      <c r="R98" s="13">
        <f t="shared" si="381"/>
        <v>78.5</v>
      </c>
      <c r="S98" s="13">
        <f t="shared" si="381"/>
        <v>78.5</v>
      </c>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c r="FN98" s="13"/>
      <c r="FO98" s="13"/>
      <c r="FP98" s="13"/>
      <c r="FQ98" s="13"/>
      <c r="FR98" s="13"/>
      <c r="FS98" s="13"/>
      <c r="FT98" s="13"/>
      <c r="FU98" s="13"/>
      <c r="FV98" s="13"/>
      <c r="FW98" s="13"/>
      <c r="FX98" s="13"/>
      <c r="FY98" s="13"/>
      <c r="FZ98" s="13"/>
      <c r="GA98" s="13"/>
      <c r="GB98" s="13"/>
      <c r="GC98" s="13"/>
      <c r="GD98" s="13"/>
      <c r="GE98" s="13"/>
      <c r="GF98" s="13"/>
      <c r="GG98" s="13"/>
      <c r="GH98" s="13"/>
      <c r="GI98" s="13"/>
      <c r="GJ98" s="13"/>
      <c r="GK98" s="13"/>
      <c r="GL98" s="13"/>
      <c r="GM98" s="13"/>
      <c r="GN98" s="13"/>
      <c r="GO98" s="13"/>
      <c r="GP98" s="13"/>
      <c r="GQ98" s="13"/>
      <c r="GR98" s="13"/>
      <c r="GS98" s="13"/>
      <c r="GT98" s="13"/>
      <c r="GU98" s="13"/>
      <c r="GV98" s="13"/>
      <c r="GW98" s="13"/>
      <c r="GX98" s="13"/>
    </row>
    <row r="99" spans="1:206" ht="14.25" x14ac:dyDescent="0.25">
      <c r="B99" s="55"/>
      <c r="C99" s="10" t="s">
        <v>316</v>
      </c>
      <c r="D99" s="93" t="s">
        <v>416</v>
      </c>
      <c r="E99" s="13">
        <f t="shared" ref="E99:Q99" si="382">(E26/E28)*E97+((E28-E26)/E28)*E98</f>
        <v>54.5</v>
      </c>
      <c r="F99" s="13">
        <f t="shared" ref="F99:H99" si="383">(F26/F28)*F97+((F28-F26)/F28)*F98</f>
        <v>54.5</v>
      </c>
      <c r="G99" s="13">
        <f t="shared" si="383"/>
        <v>54.5</v>
      </c>
      <c r="H99" s="13">
        <f t="shared" si="383"/>
        <v>54.5</v>
      </c>
      <c r="I99" s="13">
        <f t="shared" ref="I99" si="384">(I26/I28)*I97+((I28-I26)/I28)*I98</f>
        <v>54.5</v>
      </c>
      <c r="J99" s="13">
        <f t="shared" si="382"/>
        <v>54.5</v>
      </c>
      <c r="K99" s="13">
        <f t="shared" si="382"/>
        <v>54.5</v>
      </c>
      <c r="L99" s="13">
        <f t="shared" si="382"/>
        <v>54.5</v>
      </c>
      <c r="M99" s="13">
        <f t="shared" ref="M99:N99" si="385">(M26/M28)*M97+((M28-M26)/M28)*M98</f>
        <v>54.5</v>
      </c>
      <c r="N99" s="13">
        <f t="shared" si="385"/>
        <v>54.5</v>
      </c>
      <c r="O99" s="13">
        <f t="shared" ref="O99" si="386">(O26/O28)*O97+((O28-O26)/O28)*O98</f>
        <v>54.5</v>
      </c>
      <c r="P99" s="13">
        <f t="shared" ref="P99" si="387">(P26/P28)*P97+((P28-P26)/P28)*P98</f>
        <v>54.5</v>
      </c>
      <c r="Q99" s="13">
        <f t="shared" si="382"/>
        <v>54.5</v>
      </c>
      <c r="R99" s="13">
        <f t="shared" ref="R99" si="388">(R26/R28)*R97+((R28-R26)/R28)*R98</f>
        <v>54.5</v>
      </c>
      <c r="S99" s="13">
        <f t="shared" ref="S99" si="389">(S26/S28)*S97+((S28-S26)/S28)*S98</f>
        <v>54.5</v>
      </c>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c r="FN99" s="13"/>
      <c r="FO99" s="13"/>
      <c r="FP99" s="13"/>
      <c r="FQ99" s="13"/>
      <c r="FR99" s="13"/>
      <c r="FS99" s="13"/>
      <c r="FT99" s="13"/>
      <c r="FU99" s="13"/>
      <c r="FV99" s="13"/>
      <c r="FW99" s="13"/>
      <c r="FX99" s="13"/>
      <c r="FY99" s="13"/>
      <c r="FZ99" s="13"/>
      <c r="GA99" s="13"/>
      <c r="GB99" s="13"/>
      <c r="GC99" s="13"/>
      <c r="GD99" s="13"/>
      <c r="GE99" s="13"/>
      <c r="GF99" s="13"/>
      <c r="GG99" s="13"/>
      <c r="GH99" s="13"/>
      <c r="GI99" s="13"/>
      <c r="GJ99" s="13"/>
      <c r="GK99" s="13"/>
      <c r="GL99" s="13"/>
      <c r="GM99" s="13"/>
      <c r="GN99" s="13"/>
      <c r="GO99" s="13"/>
      <c r="GP99" s="13"/>
      <c r="GQ99" s="13"/>
      <c r="GR99" s="13"/>
      <c r="GS99" s="13"/>
      <c r="GT99" s="13"/>
      <c r="GU99" s="13"/>
      <c r="GV99" s="13"/>
      <c r="GW99" s="13"/>
      <c r="GX99" s="13"/>
    </row>
    <row r="100" spans="1:206" ht="14.25" x14ac:dyDescent="0.25">
      <c r="B100" s="55"/>
      <c r="C100" s="10" t="s">
        <v>307</v>
      </c>
      <c r="D100" s="93" t="s">
        <v>427</v>
      </c>
      <c r="E100" s="13">
        <f t="shared" ref="E100:Q100" si="390">E73+(E22/E21)*((1-E24)*80 + E24*E99)</f>
        <v>24.892029408051158</v>
      </c>
      <c r="F100" s="13">
        <f t="shared" ref="F100:H100" si="391">F73+(F22/F21)*((1-F24)*80 + F24*F99)</f>
        <v>24.893390590341085</v>
      </c>
      <c r="G100" s="13">
        <f t="shared" si="391"/>
        <v>24.894761585477646</v>
      </c>
      <c r="H100" s="13">
        <f t="shared" si="391"/>
        <v>24.896142466539533</v>
      </c>
      <c r="I100" s="13">
        <f t="shared" ref="I100" si="392">I73+(I22/I21)*((1-I24)*80 + I24*I99)</f>
        <v>24.897533307182954</v>
      </c>
      <c r="J100" s="13">
        <f t="shared" si="390"/>
        <v>24.898934181646663</v>
      </c>
      <c r="K100" s="13">
        <f t="shared" si="390"/>
        <v>24.900345164757056</v>
      </c>
      <c r="L100" s="13">
        <f t="shared" si="390"/>
        <v>24.901766331933295</v>
      </c>
      <c r="M100" s="13">
        <f t="shared" ref="M100:N100" si="393">M73+(M22/M21)*((1-M24)*80 + M24*M99)</f>
        <v>24.903197759192516</v>
      </c>
      <c r="N100" s="13">
        <f t="shared" si="393"/>
        <v>24.904639523155033</v>
      </c>
      <c r="O100" s="13">
        <f t="shared" ref="O100" si="394">O73+(O22/O21)*((1-O24)*80 + O24*O99)</f>
        <v>24.906091701049665</v>
      </c>
      <c r="P100" s="13">
        <f t="shared" ref="P100" si="395">P73+(P22/P21)*((1-P24)*80 + P24*P99)</f>
        <v>24.907554370719073</v>
      </c>
      <c r="Q100" s="13">
        <f t="shared" si="390"/>
        <v>24.909027610625152</v>
      </c>
      <c r="R100" s="13">
        <f t="shared" ref="R100" si="396">R73+(R22/R21)*((1-R24)*80 + R24*R99)</f>
        <v>24.910511499854501</v>
      </c>
      <c r="S100" s="13">
        <f t="shared" ref="S100" si="397">S73+(S22/S21)*((1-S24)*80 + S24*S99)</f>
        <v>24.912006118123912</v>
      </c>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c r="FN100" s="13"/>
      <c r="FO100" s="13"/>
      <c r="FP100" s="13"/>
      <c r="FQ100" s="13"/>
      <c r="FR100" s="13"/>
      <c r="FS100" s="13"/>
      <c r="FT100" s="13"/>
      <c r="FU100" s="13"/>
      <c r="FV100" s="13"/>
      <c r="FW100" s="13"/>
      <c r="FX100" s="13"/>
      <c r="FY100" s="13"/>
      <c r="FZ100" s="13"/>
      <c r="GA100" s="13"/>
      <c r="GB100" s="13"/>
      <c r="GC100" s="13"/>
      <c r="GD100" s="13"/>
      <c r="GE100" s="13"/>
      <c r="GF100" s="13"/>
      <c r="GG100" s="13"/>
      <c r="GH100" s="13"/>
      <c r="GI100" s="13"/>
      <c r="GJ100" s="13"/>
      <c r="GK100" s="13"/>
      <c r="GL100" s="13"/>
      <c r="GM100" s="13"/>
      <c r="GN100" s="13"/>
      <c r="GO100" s="13"/>
      <c r="GP100" s="13"/>
      <c r="GQ100" s="13"/>
      <c r="GR100" s="13"/>
      <c r="GS100" s="13"/>
      <c r="GT100" s="13"/>
      <c r="GU100" s="13"/>
      <c r="GV100" s="13"/>
      <c r="GW100" s="13"/>
      <c r="GX100" s="13"/>
    </row>
    <row r="101" spans="1:206" x14ac:dyDescent="0.25">
      <c r="B101" s="55"/>
      <c r="C101" s="208"/>
      <c r="D101" s="234"/>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c r="FN101" s="13"/>
      <c r="FO101" s="13"/>
      <c r="FP101" s="13"/>
      <c r="FQ101" s="13"/>
      <c r="FR101" s="13"/>
      <c r="FS101" s="13"/>
      <c r="FT101" s="13"/>
      <c r="FU101" s="13"/>
      <c r="FV101" s="13"/>
      <c r="FW101" s="13"/>
      <c r="FX101" s="13"/>
      <c r="FY101" s="13"/>
      <c r="FZ101" s="13"/>
      <c r="GA101" s="13"/>
      <c r="GB101" s="13"/>
      <c r="GC101" s="13"/>
      <c r="GD101" s="13"/>
      <c r="GE101" s="13"/>
      <c r="GF101" s="13"/>
      <c r="GG101" s="13"/>
      <c r="GH101" s="13"/>
      <c r="GI101" s="13"/>
      <c r="GJ101" s="13"/>
      <c r="GK101" s="13"/>
      <c r="GL101" s="13"/>
      <c r="GM101" s="13"/>
      <c r="GN101" s="13"/>
      <c r="GO101" s="13"/>
      <c r="GP101" s="13"/>
      <c r="GQ101" s="13"/>
      <c r="GR101" s="13"/>
      <c r="GS101" s="13"/>
      <c r="GT101" s="13"/>
      <c r="GU101" s="13"/>
      <c r="GV101" s="13"/>
      <c r="GW101" s="13"/>
      <c r="GX101" s="13"/>
    </row>
    <row r="102" spans="1:206" ht="14.25" x14ac:dyDescent="0.25">
      <c r="B102" s="55"/>
      <c r="C102" s="10" t="s">
        <v>442</v>
      </c>
      <c r="D102" s="93" t="s">
        <v>443</v>
      </c>
      <c r="E102" s="13">
        <f t="shared" ref="E102:N102" si="398">IF(E42="Signalized",E100,IF(E42="Stop - Two way",E85,IF(E42="Stop - All way",0,IF(E42="Free",0,"Control N/A!"))))</f>
        <v>0</v>
      </c>
      <c r="F102" s="13">
        <f t="shared" si="398"/>
        <v>0</v>
      </c>
      <c r="G102" s="13">
        <f t="shared" si="398"/>
        <v>0</v>
      </c>
      <c r="H102" s="13">
        <f t="shared" si="398"/>
        <v>0</v>
      </c>
      <c r="I102" s="13">
        <f t="shared" ref="I102" si="399">IF(I42="Signalized",I100,IF(I42="Stop - Two way",I85,IF(I42="Stop - All way",0,IF(I42="Free",0,"Control N/A!"))))</f>
        <v>0</v>
      </c>
      <c r="J102" s="13">
        <f t="shared" ref="J102:L102" si="400">IF(J42="Signalized",J100,IF(J42="Stop - Two way",J85,IF(J42="Stop - All way",0,IF(J42="Free",0,"Control N/A!"))))</f>
        <v>0</v>
      </c>
      <c r="K102" s="13">
        <f t="shared" si="400"/>
        <v>0</v>
      </c>
      <c r="L102" s="13">
        <f t="shared" si="400"/>
        <v>0</v>
      </c>
      <c r="M102" s="13">
        <f t="shared" ref="M102" si="401">IF(M42="Signalized",M100,IF(M42="Stop - Two way",M85,IF(M42="Stop - All way",0,IF(M42="Free",0,"Control N/A!"))))</f>
        <v>0</v>
      </c>
      <c r="N102" s="13">
        <f t="shared" si="398"/>
        <v>0</v>
      </c>
      <c r="O102" s="13">
        <f t="shared" ref="O102" si="402">IF(O42="Signalized",O100,IF(O42="Stop - Two way",O85,IF(O42="Stop - All way",0,IF(O42="Free",0,"Control N/A!"))))</f>
        <v>0</v>
      </c>
      <c r="P102" s="13">
        <f t="shared" ref="P102" si="403">IF(P42="Signalized",P100,IF(P42="Stop - Two way",P85,IF(P42="Stop - All way",0,IF(P42="Free",0,"Control N/A!"))))</f>
        <v>0</v>
      </c>
      <c r="Q102" s="13">
        <f t="shared" ref="Q102:S102" si="404">IF(Q42="Signalized",Q100,IF(Q42="Stop - Two way",Q85,IF(Q42="Stop - All way",0,IF(Q42="Free",0,"Control N/A!"))))</f>
        <v>0</v>
      </c>
      <c r="R102" s="13">
        <f t="shared" si="404"/>
        <v>0</v>
      </c>
      <c r="S102" s="13">
        <f t="shared" si="404"/>
        <v>0</v>
      </c>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row>
    <row r="103" spans="1:206" ht="14.25" x14ac:dyDescent="0.25">
      <c r="B103" s="55"/>
      <c r="C103" s="10" t="s">
        <v>109</v>
      </c>
      <c r="D103" s="93" t="s">
        <v>110</v>
      </c>
      <c r="E103" s="13">
        <f t="shared" ref="E103:N103" si="405">IF(AND(E43="Yes",(E37-1.5)&gt;0),E37-1.5,E37)</f>
        <v>0</v>
      </c>
      <c r="F103" s="13">
        <f t="shared" si="405"/>
        <v>0</v>
      </c>
      <c r="G103" s="13">
        <f t="shared" si="405"/>
        <v>0</v>
      </c>
      <c r="H103" s="13">
        <f t="shared" si="405"/>
        <v>0</v>
      </c>
      <c r="I103" s="13">
        <f t="shared" ref="I103" si="406">IF(AND(I43="Yes",(I37-1.5)&gt;0),I37-1.5,I37)</f>
        <v>0</v>
      </c>
      <c r="J103" s="13">
        <f t="shared" ref="J103:L103" si="407">IF(AND(J43="Yes",(J37-1.5)&gt;0),J37-1.5,J37)</f>
        <v>0</v>
      </c>
      <c r="K103" s="13">
        <f t="shared" si="407"/>
        <v>0</v>
      </c>
      <c r="L103" s="13">
        <f t="shared" si="407"/>
        <v>0</v>
      </c>
      <c r="M103" s="13">
        <f t="shared" ref="M103" si="408">IF(AND(M43="Yes",(M37-1.5)&gt;0),M37-1.5,M37)</f>
        <v>0</v>
      </c>
      <c r="N103" s="13">
        <f t="shared" si="405"/>
        <v>0</v>
      </c>
      <c r="O103" s="13">
        <f t="shared" ref="O103" si="409">IF(AND(O43="Yes",(O37-1.5)&gt;0),O37-1.5,O37)</f>
        <v>0</v>
      </c>
      <c r="P103" s="13">
        <f t="shared" ref="P103" si="410">IF(AND(P43="Yes",(P37-1.5)&gt;0),P37-1.5,P37)</f>
        <v>0</v>
      </c>
      <c r="Q103" s="13">
        <f t="shared" ref="Q103:S103" si="411">IF(AND(Q43="Yes",(Q37-1.5)&gt;0),Q37-1.5,Q37)</f>
        <v>0</v>
      </c>
      <c r="R103" s="13">
        <f t="shared" si="411"/>
        <v>0</v>
      </c>
      <c r="S103" s="13">
        <f t="shared" si="411"/>
        <v>0</v>
      </c>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c r="FN103" s="13"/>
      <c r="FO103" s="13"/>
      <c r="FP103" s="13"/>
      <c r="FQ103" s="13"/>
      <c r="FR103" s="13"/>
      <c r="FS103" s="13"/>
      <c r="FT103" s="13"/>
      <c r="FU103" s="13"/>
      <c r="FV103" s="13"/>
      <c r="FW103" s="13"/>
      <c r="FX103" s="13"/>
      <c r="FY103" s="13"/>
      <c r="FZ103" s="13"/>
      <c r="GA103" s="13"/>
      <c r="GB103" s="13"/>
      <c r="GC103" s="13"/>
      <c r="GD103" s="13"/>
      <c r="GE103" s="13"/>
      <c r="GF103" s="13"/>
      <c r="GG103" s="13"/>
      <c r="GH103" s="13"/>
      <c r="GI103" s="13"/>
      <c r="GJ103" s="13"/>
      <c r="GK103" s="13"/>
      <c r="GL103" s="13"/>
      <c r="GM103" s="13"/>
      <c r="GN103" s="13"/>
      <c r="GO103" s="13"/>
      <c r="GP103" s="13"/>
      <c r="GQ103" s="13"/>
      <c r="GR103" s="13"/>
      <c r="GS103" s="13"/>
      <c r="GT103" s="13"/>
      <c r="GU103" s="13"/>
      <c r="GV103" s="13"/>
      <c r="GW103" s="13"/>
      <c r="GX103" s="13"/>
    </row>
    <row r="104" spans="1:206" ht="14.25" x14ac:dyDescent="0.25">
      <c r="B104" s="55"/>
      <c r="C104" s="10" t="s">
        <v>175</v>
      </c>
      <c r="D104" s="93" t="s">
        <v>176</v>
      </c>
      <c r="E104" s="179">
        <f>IF(E35&gt;0,0,1)</f>
        <v>0</v>
      </c>
      <c r="F104" s="269">
        <f t="shared" ref="F104:H104" si="412">IF(F35&gt;0,0,1)</f>
        <v>0</v>
      </c>
      <c r="G104" s="269">
        <f t="shared" si="412"/>
        <v>0</v>
      </c>
      <c r="H104" s="269">
        <f t="shared" si="412"/>
        <v>0</v>
      </c>
      <c r="I104" s="269">
        <f t="shared" ref="I104" si="413">IF(I35&gt;0,0,1)</f>
        <v>0</v>
      </c>
      <c r="J104" s="269">
        <f t="shared" ref="J104:L104" si="414">IF(J35&gt;0,0,1)</f>
        <v>0</v>
      </c>
      <c r="K104" s="269">
        <f t="shared" si="414"/>
        <v>0</v>
      </c>
      <c r="L104" s="269">
        <f t="shared" si="414"/>
        <v>0</v>
      </c>
      <c r="M104" s="269">
        <f>IF(M35&gt;0,0,1)</f>
        <v>0</v>
      </c>
      <c r="N104" s="269">
        <f>IF(N35&gt;0,0,1)</f>
        <v>0</v>
      </c>
      <c r="O104" s="269">
        <f>IF(O35&gt;0,0,1)</f>
        <v>0</v>
      </c>
      <c r="P104" s="269">
        <f>IF(P35&gt;0,0,1)</f>
        <v>0</v>
      </c>
      <c r="Q104" s="179">
        <f>IF(Q35&gt;0,0,1)</f>
        <v>0</v>
      </c>
      <c r="R104" s="179">
        <f t="shared" ref="R104:S104" si="415">IF(R35&gt;0,0,1)</f>
        <v>0</v>
      </c>
      <c r="S104" s="179">
        <f t="shared" si="415"/>
        <v>0</v>
      </c>
      <c r="T104" s="179"/>
      <c r="U104" s="179"/>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c r="CX104" s="179"/>
      <c r="CY104" s="179"/>
      <c r="CZ104" s="179"/>
      <c r="DA104" s="179"/>
      <c r="DB104" s="179"/>
      <c r="DC104" s="179"/>
      <c r="DD104" s="179"/>
      <c r="DE104" s="179"/>
      <c r="DF104" s="179"/>
      <c r="DG104" s="179"/>
      <c r="DH104" s="179"/>
      <c r="DI104" s="179"/>
      <c r="DJ104" s="179"/>
      <c r="DK104" s="179"/>
      <c r="DL104" s="179"/>
      <c r="DM104" s="179"/>
      <c r="DN104" s="179"/>
      <c r="DO104" s="179"/>
      <c r="DP104" s="179"/>
      <c r="DQ104" s="179"/>
      <c r="DR104" s="179"/>
      <c r="DS104" s="179"/>
      <c r="DT104" s="179"/>
      <c r="DU104" s="179"/>
      <c r="DV104" s="179"/>
      <c r="DW104" s="179"/>
      <c r="DX104" s="179"/>
      <c r="DY104" s="179"/>
      <c r="DZ104" s="179"/>
      <c r="EA104" s="179"/>
      <c r="EB104" s="179"/>
      <c r="EC104" s="179"/>
      <c r="ED104" s="179"/>
      <c r="EE104" s="179"/>
      <c r="EF104" s="179"/>
      <c r="EG104" s="179"/>
      <c r="EH104" s="179"/>
      <c r="EI104" s="179"/>
      <c r="EJ104" s="179"/>
      <c r="EK104" s="179"/>
      <c r="EL104" s="179"/>
      <c r="EM104" s="179"/>
      <c r="EN104" s="179"/>
      <c r="EO104" s="179"/>
      <c r="EP104" s="179"/>
      <c r="EQ104" s="179"/>
      <c r="ER104" s="179"/>
      <c r="ES104" s="179"/>
      <c r="ET104" s="179"/>
      <c r="EU104" s="179"/>
      <c r="EV104" s="179"/>
      <c r="EW104" s="179"/>
      <c r="EX104" s="179"/>
      <c r="EY104" s="179"/>
      <c r="EZ104" s="179"/>
      <c r="FA104" s="179"/>
      <c r="FB104" s="179"/>
      <c r="FC104" s="179"/>
      <c r="FD104" s="179"/>
      <c r="FE104" s="179"/>
      <c r="FF104" s="179"/>
      <c r="FG104" s="179"/>
      <c r="FH104" s="179"/>
      <c r="FI104" s="179"/>
      <c r="FJ104" s="179"/>
      <c r="FK104" s="179"/>
      <c r="FL104" s="179"/>
      <c r="FM104" s="179"/>
      <c r="FN104" s="179"/>
      <c r="FO104" s="179"/>
      <c r="FP104" s="179"/>
      <c r="FQ104" s="179"/>
      <c r="FR104" s="179"/>
      <c r="FS104" s="179"/>
      <c r="FT104" s="179"/>
      <c r="FU104" s="179"/>
      <c r="FV104" s="179"/>
      <c r="FW104" s="179"/>
      <c r="FX104" s="179"/>
      <c r="FY104" s="179"/>
      <c r="FZ104" s="179"/>
      <c r="GA104" s="179"/>
      <c r="GB104" s="179"/>
      <c r="GC104" s="179"/>
      <c r="GD104" s="179"/>
      <c r="GE104" s="179"/>
      <c r="GF104" s="179"/>
      <c r="GG104" s="179"/>
      <c r="GH104" s="179"/>
      <c r="GI104" s="179"/>
      <c r="GJ104" s="179"/>
      <c r="GK104" s="179"/>
      <c r="GL104" s="179"/>
      <c r="GM104" s="179"/>
      <c r="GN104" s="179"/>
      <c r="GO104" s="179"/>
      <c r="GP104" s="179"/>
      <c r="GQ104" s="179"/>
      <c r="GR104" s="179"/>
      <c r="GS104" s="179"/>
      <c r="GT104" s="179"/>
      <c r="GU104" s="179"/>
      <c r="GV104" s="179"/>
      <c r="GW104" s="179"/>
      <c r="GX104" s="179"/>
    </row>
    <row r="105" spans="1:206" ht="14.25" x14ac:dyDescent="0.25">
      <c r="B105" s="55"/>
      <c r="C105" s="10" t="s">
        <v>45</v>
      </c>
      <c r="D105" s="93" t="s">
        <v>107</v>
      </c>
      <c r="E105" s="10">
        <f t="shared" ref="E105:Q105" si="416">E34+E33+E103+E104*E36</f>
        <v>12</v>
      </c>
      <c r="F105" s="10">
        <f t="shared" ref="F105:H105" si="417">F34+F33+F103+F104*F36</f>
        <v>12</v>
      </c>
      <c r="G105" s="10">
        <f t="shared" si="417"/>
        <v>12</v>
      </c>
      <c r="H105" s="10">
        <f t="shared" si="417"/>
        <v>12</v>
      </c>
      <c r="I105" s="10">
        <f t="shared" ref="I105" si="418">I34+I33+I103+I104*I36</f>
        <v>12</v>
      </c>
      <c r="J105" s="10">
        <f t="shared" si="416"/>
        <v>12</v>
      </c>
      <c r="K105" s="10">
        <f t="shared" si="416"/>
        <v>12</v>
      </c>
      <c r="L105" s="10">
        <f t="shared" si="416"/>
        <v>12</v>
      </c>
      <c r="M105" s="10">
        <f t="shared" ref="M105:N105" si="419">M34+M33+M103+M104*M36</f>
        <v>12</v>
      </c>
      <c r="N105" s="10">
        <f t="shared" si="419"/>
        <v>12</v>
      </c>
      <c r="O105" s="10">
        <f t="shared" ref="O105" si="420">O34+O33+O103+O104*O36</f>
        <v>12</v>
      </c>
      <c r="P105" s="10">
        <f t="shared" ref="P105" si="421">P34+P33+P103+P104*P36</f>
        <v>12</v>
      </c>
      <c r="Q105" s="10">
        <f t="shared" si="416"/>
        <v>12</v>
      </c>
      <c r="R105" s="10">
        <f t="shared" ref="R105" si="422">R34+R33+R103+R104*R36</f>
        <v>12</v>
      </c>
      <c r="S105" s="10">
        <f t="shared" ref="S105" si="423">S34+S33+S103+S104*S36</f>
        <v>12</v>
      </c>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c r="BQ105" s="10"/>
      <c r="BR105" s="10"/>
      <c r="BS105" s="10"/>
      <c r="BT105" s="10"/>
      <c r="BU105" s="10"/>
      <c r="BV105" s="10"/>
      <c r="BW105" s="10"/>
      <c r="BX105" s="10"/>
      <c r="BY105" s="10"/>
      <c r="BZ105" s="10"/>
      <c r="CA105" s="10"/>
      <c r="CB105" s="10"/>
      <c r="CC105" s="10"/>
      <c r="CD105" s="10"/>
      <c r="CE105" s="10"/>
      <c r="CF105" s="10"/>
      <c r="CG105" s="10"/>
      <c r="CH105" s="10"/>
      <c r="CI105" s="10"/>
      <c r="CJ105" s="10"/>
      <c r="CK105" s="10"/>
      <c r="CL105" s="10"/>
      <c r="CM105" s="10"/>
      <c r="CN105" s="10"/>
      <c r="CO105" s="10"/>
      <c r="CP105" s="10"/>
      <c r="CQ105" s="10"/>
      <c r="CR105" s="10"/>
      <c r="CS105" s="10"/>
      <c r="CT105" s="10"/>
      <c r="CU105" s="10"/>
      <c r="CV105" s="10"/>
      <c r="CW105" s="10"/>
      <c r="CX105" s="10"/>
      <c r="CY105" s="10"/>
      <c r="CZ105" s="10"/>
      <c r="DA105" s="10"/>
      <c r="DB105" s="10"/>
      <c r="DC105" s="10"/>
      <c r="DD105" s="10"/>
      <c r="DE105" s="10"/>
      <c r="DF105" s="10"/>
      <c r="DG105" s="10"/>
      <c r="DH105" s="10"/>
      <c r="DI105" s="10"/>
      <c r="DJ105" s="10"/>
      <c r="DK105" s="10"/>
      <c r="DL105" s="10"/>
      <c r="DM105" s="10"/>
      <c r="DN105" s="10"/>
      <c r="DO105" s="10"/>
      <c r="DP105" s="10"/>
      <c r="DQ105" s="10"/>
      <c r="DR105" s="10"/>
      <c r="DS105" s="10"/>
      <c r="DT105" s="10"/>
      <c r="DU105" s="10"/>
      <c r="DV105" s="10"/>
      <c r="DW105" s="10"/>
      <c r="DX105" s="10"/>
      <c r="DY105" s="10"/>
      <c r="DZ105" s="10"/>
      <c r="EA105" s="10"/>
      <c r="EB105" s="10"/>
      <c r="EC105" s="10"/>
      <c r="ED105" s="10"/>
      <c r="EE105" s="10"/>
      <c r="EF105" s="10"/>
      <c r="EG105" s="10"/>
      <c r="EH105" s="10"/>
      <c r="EI105" s="10"/>
      <c r="EJ105" s="10"/>
      <c r="EK105" s="10"/>
      <c r="EL105" s="10"/>
      <c r="EM105" s="10"/>
      <c r="EN105" s="10"/>
      <c r="EO105" s="10"/>
      <c r="EP105" s="10"/>
      <c r="EQ105" s="10"/>
      <c r="ER105" s="10"/>
      <c r="ES105" s="10"/>
      <c r="ET105" s="10"/>
      <c r="EU105" s="10"/>
      <c r="EV105" s="10"/>
      <c r="EW105" s="10"/>
      <c r="EX105" s="10"/>
      <c r="EY105" s="10"/>
      <c r="EZ105" s="10"/>
      <c r="FA105" s="10"/>
      <c r="FB105" s="10"/>
      <c r="FC105" s="10"/>
      <c r="FD105" s="10"/>
      <c r="FE105" s="10"/>
      <c r="FF105" s="10"/>
      <c r="FG105" s="10"/>
      <c r="FH105" s="10"/>
      <c r="FI105" s="10"/>
      <c r="FJ105" s="10"/>
      <c r="FK105" s="10"/>
      <c r="FL105" s="10"/>
      <c r="FM105" s="10"/>
      <c r="FN105" s="10"/>
      <c r="FO105" s="10"/>
      <c r="FP105" s="10"/>
      <c r="FQ105" s="10"/>
      <c r="FR105" s="10"/>
      <c r="FS105" s="10"/>
      <c r="FT105" s="10"/>
      <c r="FU105" s="10"/>
      <c r="FV105" s="10"/>
      <c r="FW105" s="10"/>
      <c r="FX105" s="10"/>
      <c r="FY105" s="10"/>
      <c r="FZ105" s="10"/>
      <c r="GA105" s="10"/>
      <c r="GB105" s="10"/>
      <c r="GC105" s="10"/>
      <c r="GD105" s="10"/>
      <c r="GE105" s="10"/>
      <c r="GF105" s="10"/>
      <c r="GG105" s="10"/>
      <c r="GH105" s="10"/>
      <c r="GI105" s="10"/>
      <c r="GJ105" s="10"/>
      <c r="GK105" s="10"/>
      <c r="GL105" s="10"/>
      <c r="GM105" s="10"/>
      <c r="GN105" s="10"/>
      <c r="GO105" s="10"/>
      <c r="GP105" s="10"/>
      <c r="GQ105" s="10"/>
      <c r="GR105" s="10"/>
      <c r="GS105" s="10"/>
      <c r="GT105" s="10"/>
      <c r="GU105" s="10"/>
      <c r="GV105" s="10"/>
      <c r="GW105" s="10"/>
      <c r="GX105" s="10"/>
    </row>
    <row r="106" spans="1:206" ht="14.25" x14ac:dyDescent="0.25">
      <c r="B106" s="55"/>
      <c r="C106" s="10" t="s">
        <v>103</v>
      </c>
      <c r="D106" s="93" t="s">
        <v>39</v>
      </c>
      <c r="E106" s="177">
        <f t="shared" ref="E106:Q106" si="424">0.0153*E31-0.2144*E105</f>
        <v>-2.0678999999999998</v>
      </c>
      <c r="F106" s="268">
        <f t="shared" ref="F106:H106" si="425">0.0153*F31-0.2144*F105</f>
        <v>-2.0678999999999998</v>
      </c>
      <c r="G106" s="268">
        <f t="shared" si="425"/>
        <v>-2.0678999999999998</v>
      </c>
      <c r="H106" s="268">
        <f t="shared" si="425"/>
        <v>-2.0678999999999998</v>
      </c>
      <c r="I106" s="268">
        <f t="shared" ref="I106" si="426">0.0153*I31-0.2144*I105</f>
        <v>-2.0678999999999998</v>
      </c>
      <c r="J106" s="268">
        <f t="shared" si="424"/>
        <v>-2.0678999999999998</v>
      </c>
      <c r="K106" s="268">
        <f t="shared" si="424"/>
        <v>-2.0678999999999998</v>
      </c>
      <c r="L106" s="268">
        <f t="shared" si="424"/>
        <v>-2.0678999999999998</v>
      </c>
      <c r="M106" s="268">
        <f t="shared" ref="M106:N106" si="427">0.0153*M31-0.2144*M105</f>
        <v>-2.0678999999999998</v>
      </c>
      <c r="N106" s="268">
        <f t="shared" si="427"/>
        <v>-2.0678999999999998</v>
      </c>
      <c r="O106" s="268">
        <f t="shared" ref="O106" si="428">0.0153*O31-0.2144*O105</f>
        <v>-2.0678999999999998</v>
      </c>
      <c r="P106" s="268">
        <f t="shared" ref="P106" si="429">0.0153*P31-0.2144*P105</f>
        <v>-2.0678999999999998</v>
      </c>
      <c r="Q106" s="177">
        <f t="shared" si="424"/>
        <v>-2.0678999999999998</v>
      </c>
      <c r="R106" s="177">
        <f t="shared" ref="R106" si="430">0.0153*R31-0.2144*R105</f>
        <v>-2.0678999999999998</v>
      </c>
      <c r="S106" s="177">
        <f t="shared" ref="S106" si="431">0.0153*S31-0.2144*S105</f>
        <v>-2.0678999999999998</v>
      </c>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7"/>
      <c r="AR106" s="177"/>
      <c r="AS106" s="177"/>
      <c r="AT106" s="177"/>
      <c r="AU106" s="177"/>
      <c r="AV106" s="177"/>
      <c r="AW106" s="177"/>
      <c r="AX106" s="177"/>
      <c r="AY106" s="177"/>
      <c r="AZ106" s="177"/>
      <c r="BA106" s="177"/>
      <c r="BB106" s="177"/>
      <c r="BC106" s="177"/>
      <c r="BD106" s="177"/>
      <c r="BE106" s="177"/>
      <c r="BF106" s="177"/>
      <c r="BG106" s="177"/>
      <c r="BH106" s="177"/>
      <c r="BI106" s="177"/>
      <c r="BJ106" s="177"/>
      <c r="BK106" s="177"/>
      <c r="BL106" s="177"/>
      <c r="BM106" s="177"/>
      <c r="BN106" s="177"/>
      <c r="BO106" s="177"/>
      <c r="BP106" s="177"/>
      <c r="BQ106" s="177"/>
      <c r="BR106" s="177"/>
      <c r="BS106" s="177"/>
      <c r="BT106" s="177"/>
      <c r="BU106" s="177"/>
      <c r="BV106" s="177"/>
      <c r="BW106" s="177"/>
      <c r="BX106" s="177"/>
      <c r="BY106" s="177"/>
      <c r="BZ106" s="177"/>
      <c r="CA106" s="177"/>
      <c r="CB106" s="177"/>
      <c r="CC106" s="177"/>
      <c r="CD106" s="177"/>
      <c r="CE106" s="177"/>
      <c r="CF106" s="177"/>
      <c r="CG106" s="177"/>
      <c r="CH106" s="177"/>
      <c r="CI106" s="177"/>
      <c r="CJ106" s="177"/>
      <c r="CK106" s="177"/>
      <c r="CL106" s="177"/>
      <c r="CM106" s="177"/>
      <c r="CN106" s="177"/>
      <c r="CO106" s="177"/>
      <c r="CP106" s="177"/>
      <c r="CQ106" s="177"/>
      <c r="CR106" s="177"/>
      <c r="CS106" s="177"/>
      <c r="CT106" s="177"/>
      <c r="CU106" s="177"/>
      <c r="CV106" s="177"/>
      <c r="CW106" s="177"/>
      <c r="CX106" s="177"/>
      <c r="CY106" s="177"/>
      <c r="CZ106" s="177"/>
      <c r="DA106" s="177"/>
      <c r="DB106" s="177"/>
      <c r="DC106" s="177"/>
      <c r="DD106" s="177"/>
      <c r="DE106" s="177"/>
      <c r="DF106" s="177"/>
      <c r="DG106" s="177"/>
      <c r="DH106" s="177"/>
      <c r="DI106" s="177"/>
      <c r="DJ106" s="177"/>
      <c r="DK106" s="177"/>
      <c r="DL106" s="177"/>
      <c r="DM106" s="177"/>
      <c r="DN106" s="177"/>
      <c r="DO106" s="177"/>
      <c r="DP106" s="177"/>
      <c r="DQ106" s="177"/>
      <c r="DR106" s="177"/>
      <c r="DS106" s="177"/>
      <c r="DT106" s="177"/>
      <c r="DU106" s="177"/>
      <c r="DV106" s="177"/>
      <c r="DW106" s="177"/>
      <c r="DX106" s="177"/>
      <c r="DY106" s="177"/>
      <c r="DZ106" s="177"/>
      <c r="EA106" s="177"/>
      <c r="EB106" s="177"/>
      <c r="EC106" s="177"/>
      <c r="ED106" s="177"/>
      <c r="EE106" s="177"/>
      <c r="EF106" s="177"/>
      <c r="EG106" s="177"/>
      <c r="EH106" s="177"/>
      <c r="EI106" s="177"/>
      <c r="EJ106" s="177"/>
      <c r="EK106" s="177"/>
      <c r="EL106" s="177"/>
      <c r="EM106" s="177"/>
      <c r="EN106" s="177"/>
      <c r="EO106" s="177"/>
      <c r="EP106" s="177"/>
      <c r="EQ106" s="177"/>
      <c r="ER106" s="177"/>
      <c r="ES106" s="177"/>
      <c r="ET106" s="177"/>
      <c r="EU106" s="177"/>
      <c r="EV106" s="177"/>
      <c r="EW106" s="177"/>
      <c r="EX106" s="177"/>
      <c r="EY106" s="177"/>
      <c r="EZ106" s="177"/>
      <c r="FA106" s="177"/>
      <c r="FB106" s="177"/>
      <c r="FC106" s="177"/>
      <c r="FD106" s="177"/>
      <c r="FE106" s="177"/>
      <c r="FF106" s="177"/>
      <c r="FG106" s="177"/>
      <c r="FH106" s="177"/>
      <c r="FI106" s="177"/>
      <c r="FJ106" s="177"/>
      <c r="FK106" s="177"/>
      <c r="FL106" s="177"/>
      <c r="FM106" s="177"/>
      <c r="FN106" s="177"/>
      <c r="FO106" s="177"/>
      <c r="FP106" s="177"/>
      <c r="FQ106" s="177"/>
      <c r="FR106" s="177"/>
      <c r="FS106" s="177"/>
      <c r="FT106" s="177"/>
      <c r="FU106" s="177"/>
      <c r="FV106" s="177"/>
      <c r="FW106" s="177"/>
      <c r="FX106" s="177"/>
      <c r="FY106" s="177"/>
      <c r="FZ106" s="177"/>
      <c r="GA106" s="177"/>
      <c r="GB106" s="177"/>
      <c r="GC106" s="177"/>
      <c r="GD106" s="177"/>
      <c r="GE106" s="177"/>
      <c r="GF106" s="177"/>
      <c r="GG106" s="177"/>
      <c r="GH106" s="177"/>
      <c r="GI106" s="177"/>
      <c r="GJ106" s="177"/>
      <c r="GK106" s="177"/>
      <c r="GL106" s="177"/>
      <c r="GM106" s="177"/>
      <c r="GN106" s="177"/>
      <c r="GO106" s="177"/>
      <c r="GP106" s="177"/>
      <c r="GQ106" s="177"/>
      <c r="GR106" s="177"/>
      <c r="GS106" s="177"/>
      <c r="GT106" s="177"/>
      <c r="GU106" s="177"/>
      <c r="GV106" s="177"/>
      <c r="GW106" s="177"/>
      <c r="GX106" s="177"/>
    </row>
    <row r="107" spans="1:206" ht="14.25" x14ac:dyDescent="0.25">
      <c r="B107" s="55"/>
      <c r="C107" s="10" t="s">
        <v>102</v>
      </c>
      <c r="D107" s="93" t="s">
        <v>33</v>
      </c>
      <c r="E107" s="177">
        <f t="shared" ref="E107" si="432">0.0066*SUM(E13:E15)/(4*E11)</f>
        <v>2.8875000000000001E-2</v>
      </c>
      <c r="F107" s="268">
        <f t="shared" ref="F107:H107" si="433">0.0066*SUM(F13:F15)/(4*F11)</f>
        <v>5.7750000000000003E-2</v>
      </c>
      <c r="G107" s="268">
        <f t="shared" si="433"/>
        <v>8.6624999999999994E-2</v>
      </c>
      <c r="H107" s="268">
        <f t="shared" si="433"/>
        <v>0.11550000000000001</v>
      </c>
      <c r="I107" s="268">
        <f t="shared" ref="I107" si="434">0.0066*SUM(I13:I15)/(4*I11)</f>
        <v>0.144375</v>
      </c>
      <c r="J107" s="268">
        <f t="shared" ref="J107:L107" si="435">0.0066*SUM(J13:J15)/(4*J11)</f>
        <v>0.17324999999999999</v>
      </c>
      <c r="K107" s="268">
        <f t="shared" si="435"/>
        <v>0.202125</v>
      </c>
      <c r="L107" s="268">
        <f t="shared" si="435"/>
        <v>0.23100000000000001</v>
      </c>
      <c r="M107" s="268">
        <f t="shared" ref="M107:N107" si="436">0.0066*SUM(M13:M15)/(4*M11)</f>
        <v>0.25987500000000002</v>
      </c>
      <c r="N107" s="268">
        <f t="shared" si="436"/>
        <v>0.28875000000000001</v>
      </c>
      <c r="O107" s="268">
        <f t="shared" ref="O107" si="437">0.0066*SUM(O13:O15)/(4*O11)</f>
        <v>0.31762499999999999</v>
      </c>
      <c r="P107" s="268">
        <f t="shared" ref="P107" si="438">0.0066*SUM(P13:P15)/(4*P11)</f>
        <v>0.34649999999999997</v>
      </c>
      <c r="Q107" s="177">
        <f t="shared" ref="Q107:S107" si="439">0.0066*SUM(Q13:Q15)/(4*Q11)</f>
        <v>0.37537500000000001</v>
      </c>
      <c r="R107" s="177">
        <f t="shared" si="439"/>
        <v>0.40425</v>
      </c>
      <c r="S107" s="177">
        <f t="shared" si="439"/>
        <v>0.43312499999999998</v>
      </c>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7"/>
      <c r="AR107" s="177"/>
      <c r="AS107" s="177"/>
      <c r="AT107" s="177"/>
      <c r="AU107" s="177"/>
      <c r="AV107" s="177"/>
      <c r="AW107" s="177"/>
      <c r="AX107" s="177"/>
      <c r="AY107" s="177"/>
      <c r="AZ107" s="177"/>
      <c r="BA107" s="177"/>
      <c r="BB107" s="177"/>
      <c r="BC107" s="177"/>
      <c r="BD107" s="177"/>
      <c r="BE107" s="177"/>
      <c r="BF107" s="177"/>
      <c r="BG107" s="177"/>
      <c r="BH107" s="177"/>
      <c r="BI107" s="177"/>
      <c r="BJ107" s="177"/>
      <c r="BK107" s="177"/>
      <c r="BL107" s="177"/>
      <c r="BM107" s="177"/>
      <c r="BN107" s="177"/>
      <c r="BO107" s="177"/>
      <c r="BP107" s="177"/>
      <c r="BQ107" s="177"/>
      <c r="BR107" s="177"/>
      <c r="BS107" s="177"/>
      <c r="BT107" s="177"/>
      <c r="BU107" s="177"/>
      <c r="BV107" s="177"/>
      <c r="BW107" s="177"/>
      <c r="BX107" s="177"/>
      <c r="BY107" s="177"/>
      <c r="BZ107" s="177"/>
      <c r="CA107" s="177"/>
      <c r="CB107" s="177"/>
      <c r="CC107" s="177"/>
      <c r="CD107" s="177"/>
      <c r="CE107" s="177"/>
      <c r="CF107" s="177"/>
      <c r="CG107" s="177"/>
      <c r="CH107" s="177"/>
      <c r="CI107" s="177"/>
      <c r="CJ107" s="177"/>
      <c r="CK107" s="177"/>
      <c r="CL107" s="177"/>
      <c r="CM107" s="177"/>
      <c r="CN107" s="177"/>
      <c r="CO107" s="177"/>
      <c r="CP107" s="177"/>
      <c r="CQ107" s="177"/>
      <c r="CR107" s="177"/>
      <c r="CS107" s="177"/>
      <c r="CT107" s="177"/>
      <c r="CU107" s="177"/>
      <c r="CV107" s="177"/>
      <c r="CW107" s="177"/>
      <c r="CX107" s="177"/>
      <c r="CY107" s="177"/>
      <c r="CZ107" s="177"/>
      <c r="DA107" s="177"/>
      <c r="DB107" s="177"/>
      <c r="DC107" s="177"/>
      <c r="DD107" s="177"/>
      <c r="DE107" s="177"/>
      <c r="DF107" s="177"/>
      <c r="DG107" s="177"/>
      <c r="DH107" s="177"/>
      <c r="DI107" s="177"/>
      <c r="DJ107" s="177"/>
      <c r="DK107" s="177"/>
      <c r="DL107" s="177"/>
      <c r="DM107" s="177"/>
      <c r="DN107" s="177"/>
      <c r="DO107" s="177"/>
      <c r="DP107" s="177"/>
      <c r="DQ107" s="177"/>
      <c r="DR107" s="177"/>
      <c r="DS107" s="177"/>
      <c r="DT107" s="177"/>
      <c r="DU107" s="177"/>
      <c r="DV107" s="177"/>
      <c r="DW107" s="177"/>
      <c r="DX107" s="177"/>
      <c r="DY107" s="177"/>
      <c r="DZ107" s="177"/>
      <c r="EA107" s="177"/>
      <c r="EB107" s="177"/>
      <c r="EC107" s="177"/>
      <c r="ED107" s="177"/>
      <c r="EE107" s="177"/>
      <c r="EF107" s="177"/>
      <c r="EG107" s="177"/>
      <c r="EH107" s="177"/>
      <c r="EI107" s="177"/>
      <c r="EJ107" s="177"/>
      <c r="EK107" s="177"/>
      <c r="EL107" s="177"/>
      <c r="EM107" s="177"/>
      <c r="EN107" s="177"/>
      <c r="EO107" s="177"/>
      <c r="EP107" s="177"/>
      <c r="EQ107" s="177"/>
      <c r="ER107" s="177"/>
      <c r="ES107" s="177"/>
      <c r="ET107" s="177"/>
      <c r="EU107" s="177"/>
      <c r="EV107" s="177"/>
      <c r="EW107" s="177"/>
      <c r="EX107" s="177"/>
      <c r="EY107" s="177"/>
      <c r="EZ107" s="177"/>
      <c r="FA107" s="177"/>
      <c r="FB107" s="177"/>
      <c r="FC107" s="177"/>
      <c r="FD107" s="177"/>
      <c r="FE107" s="177"/>
      <c r="FF107" s="177"/>
      <c r="FG107" s="177"/>
      <c r="FH107" s="177"/>
      <c r="FI107" s="177"/>
      <c r="FJ107" s="177"/>
      <c r="FK107" s="177"/>
      <c r="FL107" s="177"/>
      <c r="FM107" s="177"/>
      <c r="FN107" s="177"/>
      <c r="FO107" s="177"/>
      <c r="FP107" s="177"/>
      <c r="FQ107" s="177"/>
      <c r="FR107" s="177"/>
      <c r="FS107" s="177"/>
      <c r="FT107" s="177"/>
      <c r="FU107" s="177"/>
      <c r="FV107" s="177"/>
      <c r="FW107" s="177"/>
      <c r="FX107" s="177"/>
      <c r="FY107" s="177"/>
      <c r="FZ107" s="177"/>
      <c r="GA107" s="177"/>
      <c r="GB107" s="177"/>
      <c r="GC107" s="177"/>
      <c r="GD107" s="177"/>
      <c r="GE107" s="177"/>
      <c r="GF107" s="177"/>
      <c r="GG107" s="177"/>
      <c r="GH107" s="177"/>
      <c r="GI107" s="177"/>
      <c r="GJ107" s="177"/>
      <c r="GK107" s="177"/>
      <c r="GL107" s="177"/>
      <c r="GM107" s="177"/>
      <c r="GN107" s="177"/>
      <c r="GO107" s="177"/>
      <c r="GP107" s="177"/>
      <c r="GQ107" s="177"/>
      <c r="GR107" s="177"/>
      <c r="GS107" s="177"/>
      <c r="GT107" s="177"/>
      <c r="GU107" s="177"/>
      <c r="GV107" s="177"/>
      <c r="GW107" s="177"/>
      <c r="GX107" s="177"/>
    </row>
    <row r="108" spans="1:206" ht="14.25" x14ac:dyDescent="0.25">
      <c r="B108" s="55"/>
      <c r="C108" s="10" t="s">
        <v>98</v>
      </c>
      <c r="D108" s="93" t="s">
        <v>219</v>
      </c>
      <c r="E108" s="177">
        <f t="shared" ref="E108:Q108" si="440">IF(E9&gt;0,4.1324+E107+E106,0)</f>
        <v>2.093375</v>
      </c>
      <c r="F108" s="268">
        <f t="shared" ref="F108:H108" si="441">IF(F9&gt;0,4.1324+F107+F106,0)</f>
        <v>2.1222500000000002</v>
      </c>
      <c r="G108" s="268">
        <f t="shared" si="441"/>
        <v>2.1511249999999995</v>
      </c>
      <c r="H108" s="268">
        <f t="shared" si="441"/>
        <v>2.1799999999999997</v>
      </c>
      <c r="I108" s="268">
        <f t="shared" ref="I108" si="442">IF(I9&gt;0,4.1324+I107+I106,0)</f>
        <v>2.2088749999999999</v>
      </c>
      <c r="J108" s="268">
        <f t="shared" si="440"/>
        <v>2.2377500000000001</v>
      </c>
      <c r="K108" s="268">
        <f t="shared" si="440"/>
        <v>2.2666249999999994</v>
      </c>
      <c r="L108" s="268">
        <f t="shared" si="440"/>
        <v>2.2954999999999997</v>
      </c>
      <c r="M108" s="268">
        <f t="shared" ref="M108:N108" si="443">IF(M9&gt;0,4.1324+M107+M106,0)</f>
        <v>2.3243749999999999</v>
      </c>
      <c r="N108" s="268">
        <f t="shared" si="443"/>
        <v>2.3532500000000001</v>
      </c>
      <c r="O108" s="268">
        <f t="shared" ref="O108" si="444">IF(O9&gt;0,4.1324+O107+O106,0)</f>
        <v>2.3821249999999994</v>
      </c>
      <c r="P108" s="268">
        <f t="shared" ref="P108" si="445">IF(P9&gt;0,4.1324+P107+P106,0)</f>
        <v>2.4109999999999996</v>
      </c>
      <c r="Q108" s="177">
        <f t="shared" si="440"/>
        <v>2.4398749999999998</v>
      </c>
      <c r="R108" s="177">
        <f t="shared" ref="R108" si="446">IF(R9&gt;0,4.1324+R107+R106,0)</f>
        <v>2.46875</v>
      </c>
      <c r="S108" s="177">
        <f t="shared" ref="S108" si="447">IF(S9&gt;0,4.1324+S107+S106,0)</f>
        <v>2.4976249999999993</v>
      </c>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7"/>
      <c r="AR108" s="177"/>
      <c r="AS108" s="177"/>
      <c r="AT108" s="177"/>
      <c r="AU108" s="177"/>
      <c r="AV108" s="177"/>
      <c r="AW108" s="177"/>
      <c r="AX108" s="177"/>
      <c r="AY108" s="177"/>
      <c r="AZ108" s="177"/>
      <c r="BA108" s="177"/>
      <c r="BB108" s="177"/>
      <c r="BC108" s="177"/>
      <c r="BD108" s="177"/>
      <c r="BE108" s="177"/>
      <c r="BF108" s="177"/>
      <c r="BG108" s="177"/>
      <c r="BH108" s="177"/>
      <c r="BI108" s="177"/>
      <c r="BJ108" s="177"/>
      <c r="BK108" s="177"/>
      <c r="BL108" s="177"/>
      <c r="BM108" s="177"/>
      <c r="BN108" s="177"/>
      <c r="BO108" s="177"/>
      <c r="BP108" s="177"/>
      <c r="BQ108" s="177"/>
      <c r="BR108" s="177"/>
      <c r="BS108" s="177"/>
      <c r="BT108" s="177"/>
      <c r="BU108" s="177"/>
      <c r="BV108" s="177"/>
      <c r="BW108" s="177"/>
      <c r="BX108" s="177"/>
      <c r="BY108" s="177"/>
      <c r="BZ108" s="177"/>
      <c r="CA108" s="177"/>
      <c r="CB108" s="177"/>
      <c r="CC108" s="177"/>
      <c r="CD108" s="177"/>
      <c r="CE108" s="177"/>
      <c r="CF108" s="177"/>
      <c r="CG108" s="177"/>
      <c r="CH108" s="177"/>
      <c r="CI108" s="177"/>
      <c r="CJ108" s="177"/>
      <c r="CK108" s="177"/>
      <c r="CL108" s="177"/>
      <c r="CM108" s="177"/>
      <c r="CN108" s="177"/>
      <c r="CO108" s="177"/>
      <c r="CP108" s="177"/>
      <c r="CQ108" s="177"/>
      <c r="CR108" s="177"/>
      <c r="CS108" s="177"/>
      <c r="CT108" s="177"/>
      <c r="CU108" s="177"/>
      <c r="CV108" s="177"/>
      <c r="CW108" s="177"/>
      <c r="CX108" s="177"/>
      <c r="CY108" s="177"/>
      <c r="CZ108" s="177"/>
      <c r="DA108" s="177"/>
      <c r="DB108" s="177"/>
      <c r="DC108" s="177"/>
      <c r="DD108" s="177"/>
      <c r="DE108" s="177"/>
      <c r="DF108" s="177"/>
      <c r="DG108" s="177"/>
      <c r="DH108" s="177"/>
      <c r="DI108" s="177"/>
      <c r="DJ108" s="177"/>
      <c r="DK108" s="177"/>
      <c r="DL108" s="177"/>
      <c r="DM108" s="177"/>
      <c r="DN108" s="177"/>
      <c r="DO108" s="177"/>
      <c r="DP108" s="177"/>
      <c r="DQ108" s="177"/>
      <c r="DR108" s="177"/>
      <c r="DS108" s="177"/>
      <c r="DT108" s="177"/>
      <c r="DU108" s="177"/>
      <c r="DV108" s="177"/>
      <c r="DW108" s="177"/>
      <c r="DX108" s="177"/>
      <c r="DY108" s="177"/>
      <c r="DZ108" s="177"/>
      <c r="EA108" s="177"/>
      <c r="EB108" s="177"/>
      <c r="EC108" s="177"/>
      <c r="ED108" s="177"/>
      <c r="EE108" s="177"/>
      <c r="EF108" s="177"/>
      <c r="EG108" s="177"/>
      <c r="EH108" s="177"/>
      <c r="EI108" s="177"/>
      <c r="EJ108" s="177"/>
      <c r="EK108" s="177"/>
      <c r="EL108" s="177"/>
      <c r="EM108" s="177"/>
      <c r="EN108" s="177"/>
      <c r="EO108" s="177"/>
      <c r="EP108" s="177"/>
      <c r="EQ108" s="177"/>
      <c r="ER108" s="177"/>
      <c r="ES108" s="177"/>
      <c r="ET108" s="177"/>
      <c r="EU108" s="177"/>
      <c r="EV108" s="177"/>
      <c r="EW108" s="177"/>
      <c r="EX108" s="177"/>
      <c r="EY108" s="177"/>
      <c r="EZ108" s="177"/>
      <c r="FA108" s="177"/>
      <c r="FB108" s="177"/>
      <c r="FC108" s="177"/>
      <c r="FD108" s="177"/>
      <c r="FE108" s="177"/>
      <c r="FF108" s="177"/>
      <c r="FG108" s="177"/>
      <c r="FH108" s="177"/>
      <c r="FI108" s="177"/>
      <c r="FJ108" s="177"/>
      <c r="FK108" s="177"/>
      <c r="FL108" s="177"/>
      <c r="FM108" s="177"/>
      <c r="FN108" s="177"/>
      <c r="FO108" s="177"/>
      <c r="FP108" s="177"/>
      <c r="FQ108" s="177"/>
      <c r="FR108" s="177"/>
      <c r="FS108" s="177"/>
      <c r="FT108" s="177"/>
      <c r="FU108" s="177"/>
      <c r="FV108" s="177"/>
      <c r="FW108" s="177"/>
      <c r="FX108" s="177"/>
      <c r="FY108" s="177"/>
      <c r="FZ108" s="177"/>
      <c r="GA108" s="177"/>
      <c r="GB108" s="177"/>
      <c r="GC108" s="177"/>
      <c r="GD108" s="177"/>
      <c r="GE108" s="177"/>
      <c r="GF108" s="177"/>
      <c r="GG108" s="177"/>
      <c r="GH108" s="177"/>
      <c r="GI108" s="177"/>
      <c r="GJ108" s="177"/>
      <c r="GK108" s="177"/>
      <c r="GL108" s="177"/>
      <c r="GM108" s="177"/>
      <c r="GN108" s="177"/>
      <c r="GO108" s="177"/>
      <c r="GP108" s="177"/>
      <c r="GQ108" s="177"/>
      <c r="GR108" s="177"/>
      <c r="GS108" s="177"/>
      <c r="GT108" s="177"/>
      <c r="GU108" s="177"/>
      <c r="GV108" s="177"/>
      <c r="GW108" s="177"/>
      <c r="GX108" s="177"/>
    </row>
    <row r="109" spans="1:206" x14ac:dyDescent="0.25">
      <c r="B109" s="55"/>
      <c r="C109" s="10"/>
      <c r="D109" s="93" t="s">
        <v>51</v>
      </c>
      <c r="E109" s="10" t="str">
        <f t="shared" ref="E109:N109" si="448">IF(E108&lt;=2,"A",IF(E108&lt;=2.75,"B",IF(E108&lt;=3.5,"C",IF(E108&lt;=4.25,"D",IF(E108&lt;=5,"E","F")))))</f>
        <v>B</v>
      </c>
      <c r="F109" s="10" t="str">
        <f t="shared" si="448"/>
        <v>B</v>
      </c>
      <c r="G109" s="10" t="str">
        <f t="shared" si="448"/>
        <v>B</v>
      </c>
      <c r="H109" s="10" t="str">
        <f t="shared" si="448"/>
        <v>B</v>
      </c>
      <c r="I109" s="10" t="str">
        <f t="shared" ref="I109" si="449">IF(I108&lt;=2,"A",IF(I108&lt;=2.75,"B",IF(I108&lt;=3.5,"C",IF(I108&lt;=4.25,"D",IF(I108&lt;=5,"E","F")))))</f>
        <v>B</v>
      </c>
      <c r="J109" s="10" t="str">
        <f t="shared" ref="J109:L109" si="450">IF(J108&lt;=2,"A",IF(J108&lt;=2.75,"B",IF(J108&lt;=3.5,"C",IF(J108&lt;=4.25,"D",IF(J108&lt;=5,"E","F")))))</f>
        <v>B</v>
      </c>
      <c r="K109" s="10" t="str">
        <f t="shared" si="450"/>
        <v>B</v>
      </c>
      <c r="L109" s="10" t="str">
        <f t="shared" si="450"/>
        <v>B</v>
      </c>
      <c r="M109" s="10" t="str">
        <f t="shared" ref="M109" si="451">IF(M108&lt;=2,"A",IF(M108&lt;=2.75,"B",IF(M108&lt;=3.5,"C",IF(M108&lt;=4.25,"D",IF(M108&lt;=5,"E","F")))))</f>
        <v>B</v>
      </c>
      <c r="N109" s="10" t="str">
        <f t="shared" si="448"/>
        <v>B</v>
      </c>
      <c r="O109" s="10" t="str">
        <f t="shared" ref="O109" si="452">IF(O108&lt;=2,"A",IF(O108&lt;=2.75,"B",IF(O108&lt;=3.5,"C",IF(O108&lt;=4.25,"D",IF(O108&lt;=5,"E","F")))))</f>
        <v>B</v>
      </c>
      <c r="P109" s="10" t="str">
        <f t="shared" ref="P109" si="453">IF(P108&lt;=2,"A",IF(P108&lt;=2.75,"B",IF(P108&lt;=3.5,"C",IF(P108&lt;=4.25,"D",IF(P108&lt;=5,"E","F")))))</f>
        <v>B</v>
      </c>
      <c r="Q109" s="10" t="str">
        <f t="shared" ref="Q109:S109" si="454">IF(Q108&lt;=2,"A",IF(Q108&lt;=2.75,"B",IF(Q108&lt;=3.5,"C",IF(Q108&lt;=4.25,"D",IF(Q108&lt;=5,"E","F")))))</f>
        <v>B</v>
      </c>
      <c r="R109" s="10" t="str">
        <f t="shared" si="454"/>
        <v>B</v>
      </c>
      <c r="S109" s="10" t="str">
        <f t="shared" si="454"/>
        <v>B</v>
      </c>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0"/>
      <c r="CY109" s="10"/>
      <c r="CZ109" s="10"/>
      <c r="DA109" s="10"/>
      <c r="DB109" s="10"/>
      <c r="DC109" s="10"/>
      <c r="DD109" s="10"/>
      <c r="DE109" s="10"/>
      <c r="DF109" s="10"/>
      <c r="DG109" s="10"/>
      <c r="DH109" s="10"/>
      <c r="DI109" s="10"/>
      <c r="DJ109" s="10"/>
      <c r="DK109" s="10"/>
      <c r="DL109" s="10"/>
      <c r="DM109" s="10"/>
      <c r="DN109" s="10"/>
      <c r="DO109" s="10"/>
      <c r="DP109" s="10"/>
      <c r="DQ109" s="10"/>
      <c r="DR109" s="10"/>
      <c r="DS109" s="10"/>
      <c r="DT109" s="10"/>
      <c r="DU109" s="10"/>
      <c r="DV109" s="10"/>
      <c r="DW109" s="10"/>
      <c r="DX109" s="10"/>
      <c r="DY109" s="10"/>
      <c r="DZ109" s="10"/>
      <c r="EA109" s="10"/>
      <c r="EB109" s="10"/>
      <c r="EC109" s="10"/>
      <c r="ED109" s="10"/>
      <c r="EE109" s="10"/>
      <c r="EF109" s="10"/>
      <c r="EG109" s="10"/>
      <c r="EH109" s="10"/>
      <c r="EI109" s="10"/>
      <c r="EJ109" s="10"/>
      <c r="EK109" s="10"/>
      <c r="EL109" s="10"/>
      <c r="EM109" s="10"/>
      <c r="EN109" s="10"/>
      <c r="EO109" s="10"/>
      <c r="EP109" s="10"/>
      <c r="EQ109" s="10"/>
      <c r="ER109" s="10"/>
      <c r="ES109" s="10"/>
      <c r="ET109" s="10"/>
      <c r="EU109" s="10"/>
      <c r="EV109" s="10"/>
      <c r="EW109" s="10"/>
      <c r="EX109" s="10"/>
      <c r="EY109" s="10"/>
      <c r="EZ109" s="10"/>
      <c r="FA109" s="10"/>
      <c r="FB109" s="10"/>
      <c r="FC109" s="10"/>
      <c r="FD109" s="10"/>
      <c r="FE109" s="10"/>
      <c r="FF109" s="10"/>
      <c r="FG109" s="10"/>
      <c r="FH109" s="10"/>
      <c r="FI109" s="10"/>
      <c r="FJ109" s="10"/>
      <c r="FK109" s="10"/>
      <c r="FL109" s="10"/>
      <c r="FM109" s="10"/>
      <c r="FN109" s="10"/>
      <c r="FO109" s="10"/>
      <c r="FP109" s="10"/>
      <c r="FQ109" s="10"/>
      <c r="FR109" s="10"/>
      <c r="FS109" s="10"/>
      <c r="FT109" s="10"/>
      <c r="FU109" s="10"/>
      <c r="FV109" s="10"/>
      <c r="FW109" s="10"/>
      <c r="FX109" s="10"/>
      <c r="FY109" s="10"/>
      <c r="FZ109" s="10"/>
      <c r="GA109" s="10"/>
      <c r="GB109" s="10"/>
      <c r="GC109" s="10"/>
      <c r="GD109" s="10"/>
      <c r="GE109" s="10"/>
      <c r="GF109" s="10"/>
      <c r="GG109" s="10"/>
      <c r="GH109" s="10"/>
      <c r="GI109" s="10"/>
      <c r="GJ109" s="10"/>
      <c r="GK109" s="10"/>
      <c r="GL109" s="10"/>
      <c r="GM109" s="10"/>
      <c r="GN109" s="10"/>
      <c r="GO109" s="10"/>
      <c r="GP109" s="10"/>
      <c r="GQ109" s="10"/>
      <c r="GR109" s="10"/>
      <c r="GS109" s="10"/>
      <c r="GT109" s="10"/>
      <c r="GU109" s="10"/>
      <c r="GV109" s="10"/>
      <c r="GW109" s="10"/>
      <c r="GX109" s="10"/>
    </row>
    <row r="110" spans="1:206" x14ac:dyDescent="0.25">
      <c r="B110" s="55"/>
      <c r="C110" s="10"/>
      <c r="D110" s="93" t="s">
        <v>178</v>
      </c>
      <c r="E110" s="264">
        <f>4*E13*IF(E44="Yes",1,0)</f>
        <v>20</v>
      </c>
      <c r="F110" s="264">
        <f t="shared" ref="F110:H110" si="455">4*F13*IF(F44="Yes",1,0)</f>
        <v>40</v>
      </c>
      <c r="G110" s="264">
        <f t="shared" si="455"/>
        <v>60</v>
      </c>
      <c r="H110" s="264">
        <f t="shared" si="455"/>
        <v>80</v>
      </c>
      <c r="I110" s="264">
        <f t="shared" ref="I110" si="456">4*I13*IF(I44="Yes",1,0)</f>
        <v>100</v>
      </c>
      <c r="J110" s="264">
        <f t="shared" ref="J110:L110" si="457">4*J13*IF(J44="Yes",1,0)</f>
        <v>120</v>
      </c>
      <c r="K110" s="264">
        <f t="shared" si="457"/>
        <v>140</v>
      </c>
      <c r="L110" s="264">
        <f t="shared" si="457"/>
        <v>160</v>
      </c>
      <c r="M110" s="264">
        <f>4*M13*IF(M44="Yes",1,0)</f>
        <v>180</v>
      </c>
      <c r="N110" s="264">
        <f>4*N13*IF(N44="Yes",1,0)</f>
        <v>200</v>
      </c>
      <c r="O110" s="264">
        <f>4*O13*IF(O44="Yes",1,0)</f>
        <v>220</v>
      </c>
      <c r="P110" s="264">
        <f>4*P13*IF(P44="Yes",1,0)</f>
        <v>240</v>
      </c>
      <c r="Q110" s="264">
        <f>4*Q13*IF(Q44="Yes",1,0)</f>
        <v>260</v>
      </c>
      <c r="R110" s="264">
        <f t="shared" ref="R110:S110" si="458">4*R13*IF(R44="Yes",1,0)</f>
        <v>280</v>
      </c>
      <c r="S110" s="264">
        <f t="shared" si="458"/>
        <v>300</v>
      </c>
      <c r="T110" s="264"/>
      <c r="U110" s="264"/>
      <c r="V110" s="264"/>
      <c r="W110" s="264"/>
      <c r="X110" s="264"/>
      <c r="Y110" s="264"/>
      <c r="Z110" s="264"/>
      <c r="AA110" s="264"/>
      <c r="AB110" s="264"/>
      <c r="AC110" s="264"/>
      <c r="AD110" s="264"/>
      <c r="AE110" s="264"/>
      <c r="AF110" s="264"/>
      <c r="AG110" s="264"/>
      <c r="AH110" s="264"/>
      <c r="AI110" s="264"/>
      <c r="AJ110" s="264"/>
      <c r="AK110" s="264"/>
      <c r="AL110" s="264"/>
      <c r="AM110" s="264"/>
      <c r="AN110" s="264"/>
      <c r="AO110" s="264"/>
      <c r="AP110" s="264"/>
      <c r="AQ110" s="264"/>
      <c r="AR110" s="264"/>
      <c r="AS110" s="264"/>
      <c r="AT110" s="264"/>
      <c r="AU110" s="264"/>
      <c r="AV110" s="264"/>
      <c r="AW110" s="264"/>
      <c r="AX110" s="264"/>
      <c r="AY110" s="264"/>
      <c r="AZ110" s="264"/>
      <c r="BA110" s="264"/>
      <c r="BB110" s="264"/>
      <c r="BC110" s="264"/>
      <c r="BD110" s="264"/>
      <c r="BE110" s="264"/>
      <c r="BF110" s="264"/>
      <c r="BG110" s="264"/>
      <c r="BH110" s="264"/>
      <c r="BI110" s="264"/>
      <c r="BJ110" s="264"/>
      <c r="BK110" s="264"/>
      <c r="BL110" s="264"/>
      <c r="BM110" s="264"/>
      <c r="BN110" s="264"/>
      <c r="BO110" s="264"/>
      <c r="BP110" s="264"/>
      <c r="BQ110" s="264"/>
      <c r="BR110" s="264"/>
      <c r="BS110" s="264"/>
      <c r="BT110" s="264"/>
      <c r="BU110" s="264"/>
      <c r="BV110" s="264"/>
      <c r="BW110" s="264"/>
      <c r="BX110" s="264"/>
      <c r="BY110" s="264"/>
      <c r="BZ110" s="264"/>
      <c r="CA110" s="264"/>
      <c r="CB110" s="264"/>
      <c r="CC110" s="264"/>
      <c r="CD110" s="264"/>
      <c r="CE110" s="264"/>
      <c r="CF110" s="264"/>
      <c r="CG110" s="264"/>
      <c r="CH110" s="264"/>
      <c r="CI110" s="264"/>
      <c r="CJ110" s="264"/>
      <c r="CK110" s="264"/>
      <c r="CL110" s="264"/>
      <c r="CM110" s="264"/>
      <c r="CN110" s="264"/>
      <c r="CO110" s="264"/>
      <c r="CP110" s="264"/>
      <c r="CQ110" s="264"/>
      <c r="CR110" s="264"/>
      <c r="CS110" s="264"/>
      <c r="CT110" s="264"/>
      <c r="CU110" s="264"/>
      <c r="CV110" s="264"/>
      <c r="CW110" s="264"/>
      <c r="CX110" s="264"/>
      <c r="CY110" s="264"/>
      <c r="CZ110" s="264"/>
      <c r="DA110" s="264"/>
      <c r="DB110" s="264"/>
      <c r="DC110" s="264"/>
      <c r="DD110" s="264"/>
      <c r="DE110" s="264"/>
      <c r="DF110" s="264"/>
      <c r="DG110" s="264"/>
      <c r="DH110" s="264"/>
      <c r="DI110" s="264"/>
      <c r="DJ110" s="264"/>
      <c r="DK110" s="264"/>
      <c r="DL110" s="264"/>
      <c r="DM110" s="264"/>
      <c r="DN110" s="264"/>
      <c r="DO110" s="264"/>
      <c r="DP110" s="264"/>
      <c r="DQ110" s="264"/>
      <c r="DR110" s="264"/>
      <c r="DS110" s="264"/>
      <c r="DT110" s="264"/>
      <c r="DU110" s="264"/>
      <c r="DV110" s="264"/>
      <c r="DW110" s="264"/>
      <c r="DX110" s="264"/>
      <c r="DY110" s="264"/>
      <c r="DZ110" s="264"/>
      <c r="EA110" s="264"/>
      <c r="EB110" s="264"/>
      <c r="EC110" s="264"/>
      <c r="ED110" s="264"/>
      <c r="EE110" s="264"/>
      <c r="EF110" s="264"/>
      <c r="EG110" s="264"/>
      <c r="EH110" s="264"/>
      <c r="EI110" s="264"/>
      <c r="EJ110" s="264"/>
      <c r="EK110" s="264"/>
      <c r="EL110" s="264"/>
      <c r="EM110" s="264"/>
      <c r="EN110" s="264"/>
      <c r="EO110" s="264"/>
      <c r="EP110" s="264"/>
      <c r="EQ110" s="264"/>
      <c r="ER110" s="264"/>
      <c r="ES110" s="264"/>
      <c r="ET110" s="264"/>
      <c r="EU110" s="264"/>
      <c r="EV110" s="264"/>
      <c r="EW110" s="264"/>
      <c r="EX110" s="264"/>
      <c r="EY110" s="264"/>
      <c r="EZ110" s="264"/>
      <c r="FA110" s="264"/>
      <c r="FB110" s="264"/>
      <c r="FC110" s="264"/>
      <c r="FD110" s="264"/>
      <c r="FE110" s="264"/>
      <c r="FF110" s="264"/>
      <c r="FG110" s="264"/>
      <c r="FH110" s="264"/>
      <c r="FI110" s="264"/>
      <c r="FJ110" s="264"/>
      <c r="FK110" s="264"/>
      <c r="FL110" s="264"/>
      <c r="FM110" s="264"/>
      <c r="FN110" s="264"/>
      <c r="FO110" s="264"/>
      <c r="FP110" s="264"/>
      <c r="FQ110" s="264"/>
      <c r="FR110" s="264"/>
      <c r="FS110" s="264"/>
      <c r="FT110" s="264"/>
      <c r="FU110" s="264"/>
      <c r="FV110" s="264"/>
      <c r="FW110" s="264"/>
      <c r="FX110" s="264"/>
      <c r="FY110" s="264"/>
      <c r="FZ110" s="264"/>
      <c r="GA110" s="264"/>
      <c r="GB110" s="264"/>
      <c r="GC110" s="264"/>
      <c r="GD110" s="264"/>
      <c r="GE110" s="264"/>
      <c r="GF110" s="264"/>
      <c r="GG110" s="264"/>
      <c r="GH110" s="264"/>
      <c r="GI110" s="264"/>
      <c r="GJ110" s="264"/>
      <c r="GK110" s="264"/>
      <c r="GL110" s="264"/>
      <c r="GM110" s="264"/>
      <c r="GN110" s="264"/>
      <c r="GO110" s="264"/>
      <c r="GP110" s="264"/>
      <c r="GQ110" s="264"/>
      <c r="GR110" s="264"/>
      <c r="GS110" s="264"/>
      <c r="GT110" s="264"/>
      <c r="GU110" s="264"/>
      <c r="GV110" s="264"/>
      <c r="GW110" s="264"/>
      <c r="GX110" s="264"/>
    </row>
    <row r="111" spans="1:206" x14ac:dyDescent="0.25">
      <c r="B111" s="55"/>
      <c r="C111" s="37"/>
      <c r="D111" s="60"/>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37"/>
      <c r="CN111" s="37"/>
      <c r="CO111" s="37"/>
      <c r="CP111" s="37"/>
      <c r="CQ111" s="37"/>
      <c r="CR111" s="37"/>
      <c r="CS111" s="37"/>
      <c r="CT111" s="37"/>
      <c r="CU111" s="37"/>
      <c r="CV111" s="37"/>
      <c r="CW111" s="37"/>
      <c r="CX111" s="37"/>
      <c r="CY111" s="37"/>
      <c r="CZ111" s="37"/>
      <c r="DA111" s="37"/>
      <c r="DB111" s="37"/>
      <c r="DC111" s="37"/>
      <c r="DD111" s="37"/>
      <c r="DE111" s="37"/>
      <c r="DF111" s="37"/>
      <c r="DG111" s="37"/>
      <c r="DH111" s="37"/>
      <c r="DI111" s="37"/>
      <c r="DJ111" s="37"/>
      <c r="DK111" s="37"/>
      <c r="DL111" s="37"/>
      <c r="DM111" s="37"/>
      <c r="DN111" s="37"/>
      <c r="DO111" s="37"/>
      <c r="DP111" s="37"/>
      <c r="DQ111" s="37"/>
      <c r="DR111" s="37"/>
      <c r="DS111" s="37"/>
      <c r="DT111" s="37"/>
      <c r="DU111" s="37"/>
      <c r="DV111" s="37"/>
      <c r="DW111" s="37"/>
      <c r="DX111" s="37"/>
      <c r="DY111" s="37"/>
      <c r="DZ111" s="37"/>
      <c r="EA111" s="37"/>
      <c r="EB111" s="37"/>
      <c r="EC111" s="37"/>
      <c r="ED111" s="37"/>
      <c r="EE111" s="37"/>
      <c r="EF111" s="37"/>
      <c r="EG111" s="37"/>
      <c r="EH111" s="37"/>
      <c r="EI111" s="37"/>
      <c r="EJ111" s="37"/>
      <c r="EK111" s="37"/>
      <c r="EL111" s="37"/>
      <c r="EM111" s="37"/>
      <c r="EN111" s="37"/>
      <c r="EO111" s="37"/>
      <c r="EP111" s="37"/>
      <c r="EQ111" s="37"/>
      <c r="ER111" s="37"/>
      <c r="ES111" s="37"/>
      <c r="ET111" s="37"/>
      <c r="EU111" s="37"/>
      <c r="EV111" s="37"/>
      <c r="EW111" s="37"/>
      <c r="EX111" s="37"/>
      <c r="EY111" s="37"/>
      <c r="EZ111" s="37"/>
      <c r="FA111" s="37"/>
      <c r="FB111" s="37"/>
      <c r="FC111" s="37"/>
      <c r="FD111" s="37"/>
      <c r="FE111" s="37"/>
      <c r="FF111" s="37"/>
      <c r="FG111" s="37"/>
      <c r="FH111" s="37"/>
      <c r="FI111" s="37"/>
      <c r="FJ111" s="37"/>
      <c r="FK111" s="37"/>
      <c r="FL111" s="37"/>
      <c r="FM111" s="37"/>
      <c r="FN111" s="37"/>
      <c r="FO111" s="37"/>
      <c r="FP111" s="37"/>
      <c r="FQ111" s="37"/>
      <c r="FR111" s="37"/>
      <c r="FS111" s="37"/>
      <c r="FT111" s="37"/>
      <c r="FU111" s="37"/>
      <c r="FV111" s="37"/>
      <c r="FW111" s="37"/>
      <c r="FX111" s="37"/>
      <c r="FY111" s="37"/>
      <c r="FZ111" s="37"/>
      <c r="GA111" s="37"/>
      <c r="GB111" s="37"/>
      <c r="GC111" s="37"/>
      <c r="GD111" s="37"/>
      <c r="GE111" s="37"/>
      <c r="GF111" s="37"/>
      <c r="GG111" s="37"/>
      <c r="GH111" s="37"/>
      <c r="GI111" s="37"/>
      <c r="GJ111" s="37"/>
      <c r="GK111" s="37"/>
      <c r="GL111" s="37"/>
      <c r="GM111" s="37"/>
      <c r="GN111" s="37"/>
      <c r="GO111" s="37"/>
      <c r="GP111" s="37"/>
      <c r="GQ111" s="37"/>
      <c r="GR111" s="37"/>
      <c r="GS111" s="37"/>
      <c r="GT111" s="37"/>
      <c r="GU111" s="37"/>
      <c r="GV111" s="37"/>
      <c r="GW111" s="37"/>
      <c r="GX111" s="37"/>
    </row>
    <row r="112" spans="1:206" x14ac:dyDescent="0.25">
      <c r="A112" s="21"/>
      <c r="B112" s="57"/>
      <c r="C112" s="286" t="s">
        <v>49</v>
      </c>
      <c r="D112" s="304"/>
      <c r="E112" s="286" t="e">
        <f>#REF!</f>
        <v>#REF!</v>
      </c>
      <c r="F112" s="287"/>
      <c r="G112" s="287"/>
      <c r="H112" s="287"/>
      <c r="I112" s="287"/>
      <c r="J112" s="287"/>
      <c r="K112" s="287"/>
      <c r="L112" s="287"/>
      <c r="M112" s="287"/>
      <c r="N112" s="287"/>
      <c r="O112" s="287"/>
      <c r="P112" s="287"/>
      <c r="Q112" s="287"/>
      <c r="R112" s="287"/>
      <c r="S112" s="304"/>
      <c r="T112" s="286"/>
      <c r="U112" s="287"/>
      <c r="V112" s="287"/>
      <c r="W112" s="304"/>
      <c r="X112" s="176"/>
      <c r="Y112" s="286"/>
      <c r="Z112" s="287"/>
      <c r="AA112" s="287"/>
      <c r="AB112" s="304"/>
      <c r="AC112" s="176"/>
      <c r="AD112" s="286"/>
      <c r="AE112" s="287"/>
      <c r="AF112" s="287"/>
      <c r="AG112" s="304"/>
      <c r="AH112" s="176"/>
      <c r="AI112" s="286"/>
      <c r="AJ112" s="287"/>
      <c r="AK112" s="287"/>
      <c r="AL112" s="304"/>
      <c r="AM112" s="176"/>
      <c r="AN112" s="286"/>
      <c r="AO112" s="287"/>
      <c r="AP112" s="287"/>
      <c r="AQ112" s="304"/>
      <c r="AR112" s="176"/>
      <c r="AS112" s="286"/>
      <c r="AT112" s="287"/>
      <c r="AU112" s="287"/>
      <c r="AV112" s="304"/>
      <c r="AW112" s="176"/>
      <c r="AX112" s="286"/>
      <c r="AY112" s="287"/>
      <c r="AZ112" s="287"/>
      <c r="BA112" s="304"/>
      <c r="BB112" s="176"/>
      <c r="BC112" s="286"/>
      <c r="BD112" s="287"/>
      <c r="BE112" s="287"/>
      <c r="BF112" s="304"/>
      <c r="BG112" s="176"/>
      <c r="BH112" s="286"/>
      <c r="BI112" s="287"/>
      <c r="BJ112" s="287"/>
      <c r="BK112" s="304"/>
      <c r="BL112" s="176"/>
      <c r="BM112" s="286"/>
      <c r="BN112" s="287"/>
      <c r="BO112" s="287"/>
      <c r="BP112" s="304"/>
      <c r="BQ112" s="176"/>
      <c r="BR112" s="286"/>
      <c r="BS112" s="287"/>
      <c r="BT112" s="287"/>
      <c r="BU112" s="304"/>
      <c r="BV112" s="176"/>
      <c r="BW112" s="286"/>
      <c r="BX112" s="287"/>
      <c r="BY112" s="287"/>
      <c r="BZ112" s="304"/>
      <c r="CA112" s="176"/>
      <c r="CB112" s="286"/>
      <c r="CC112" s="287"/>
      <c r="CD112" s="287"/>
      <c r="CE112" s="304"/>
      <c r="CF112" s="176"/>
      <c r="CG112" s="286"/>
      <c r="CH112" s="287"/>
      <c r="CI112" s="287"/>
      <c r="CJ112" s="304"/>
      <c r="CK112" s="176"/>
      <c r="CL112" s="286"/>
      <c r="CM112" s="287"/>
      <c r="CN112" s="287"/>
      <c r="CO112" s="304"/>
      <c r="CP112" s="176"/>
      <c r="CQ112" s="286"/>
      <c r="CR112" s="287"/>
      <c r="CS112" s="287"/>
      <c r="CT112" s="304"/>
      <c r="CU112" s="176"/>
      <c r="CV112" s="286"/>
      <c r="CW112" s="287"/>
      <c r="CX112" s="287"/>
      <c r="CY112" s="304"/>
      <c r="CZ112" s="176"/>
      <c r="DA112" s="286"/>
      <c r="DB112" s="287"/>
      <c r="DC112" s="287"/>
      <c r="DD112" s="304"/>
      <c r="DE112" s="176"/>
      <c r="DF112" s="286"/>
      <c r="DG112" s="287"/>
      <c r="DH112" s="287"/>
      <c r="DI112" s="304"/>
      <c r="DJ112" s="176"/>
      <c r="DK112" s="286"/>
      <c r="DL112" s="287"/>
      <c r="DM112" s="287"/>
      <c r="DN112" s="304"/>
      <c r="DO112" s="176"/>
      <c r="DP112" s="286"/>
      <c r="DQ112" s="287"/>
      <c r="DR112" s="287"/>
      <c r="DS112" s="304"/>
      <c r="DT112" s="176"/>
      <c r="DU112" s="286"/>
      <c r="DV112" s="287"/>
      <c r="DW112" s="287"/>
      <c r="DX112" s="304"/>
      <c r="DY112" s="176"/>
      <c r="DZ112" s="286"/>
      <c r="EA112" s="287"/>
      <c r="EB112" s="287"/>
      <c r="EC112" s="304"/>
      <c r="ED112" s="176"/>
      <c r="EE112" s="286"/>
      <c r="EF112" s="287"/>
      <c r="EG112" s="287"/>
      <c r="EH112" s="304"/>
      <c r="EI112" s="176"/>
      <c r="EJ112" s="286"/>
      <c r="EK112" s="287"/>
      <c r="EL112" s="287"/>
      <c r="EM112" s="304"/>
      <c r="EN112" s="176"/>
      <c r="EO112" s="286"/>
      <c r="EP112" s="287"/>
      <c r="EQ112" s="287"/>
      <c r="ER112" s="304"/>
      <c r="ES112" s="176"/>
      <c r="ET112" s="286"/>
      <c r="EU112" s="287"/>
      <c r="EV112" s="287"/>
      <c r="EW112" s="304"/>
      <c r="EX112" s="176"/>
      <c r="EY112" s="286"/>
      <c r="EZ112" s="287"/>
      <c r="FA112" s="287"/>
      <c r="FB112" s="304"/>
      <c r="FC112" s="176"/>
      <c r="FD112" s="286"/>
      <c r="FE112" s="287"/>
      <c r="FF112" s="287"/>
      <c r="FG112" s="304"/>
      <c r="FH112" s="176"/>
      <c r="FI112" s="286"/>
      <c r="FJ112" s="287"/>
      <c r="FK112" s="287"/>
      <c r="FL112" s="304"/>
      <c r="FM112" s="176"/>
      <c r="FN112" s="286"/>
      <c r="FO112" s="287"/>
      <c r="FP112" s="287"/>
      <c r="FQ112" s="304"/>
      <c r="FR112" s="176"/>
      <c r="FS112" s="286"/>
      <c r="FT112" s="287"/>
      <c r="FU112" s="287"/>
      <c r="FV112" s="304"/>
      <c r="FW112" s="176"/>
      <c r="FX112" s="286"/>
      <c r="FY112" s="287"/>
      <c r="FZ112" s="287"/>
      <c r="GA112" s="304"/>
      <c r="GB112" s="176"/>
      <c r="GC112" s="286"/>
      <c r="GD112" s="287"/>
      <c r="GE112" s="287"/>
      <c r="GF112" s="304"/>
      <c r="GG112" s="176"/>
      <c r="GH112" s="286"/>
      <c r="GI112" s="287"/>
      <c r="GJ112" s="287"/>
      <c r="GK112" s="304"/>
      <c r="GL112" s="176"/>
      <c r="GM112" s="286"/>
      <c r="GN112" s="287"/>
      <c r="GO112" s="287"/>
      <c r="GP112" s="304"/>
      <c r="GQ112" s="176"/>
      <c r="GR112" s="286"/>
      <c r="GS112" s="287"/>
      <c r="GT112" s="287"/>
      <c r="GU112" s="304"/>
      <c r="GV112" s="176"/>
      <c r="GW112" s="286"/>
      <c r="GX112" s="287"/>
    </row>
    <row r="113" spans="2:206" x14ac:dyDescent="0.25">
      <c r="B113" s="55"/>
      <c r="C113" s="4"/>
      <c r="D113" s="8" t="s">
        <v>50</v>
      </c>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c r="GH113" s="4"/>
      <c r="GI113" s="4"/>
      <c r="GJ113" s="4"/>
      <c r="GK113" s="4"/>
      <c r="GL113" s="4"/>
      <c r="GM113" s="4"/>
      <c r="GN113" s="4"/>
      <c r="GO113" s="4"/>
      <c r="GP113" s="4"/>
      <c r="GQ113" s="4"/>
      <c r="GR113" s="4"/>
      <c r="GS113" s="4"/>
      <c r="GT113" s="4"/>
      <c r="GU113" s="4"/>
      <c r="GV113" s="4"/>
      <c r="GW113" s="4"/>
      <c r="GX113" s="4"/>
    </row>
    <row r="114" spans="2:206" ht="14.25" x14ac:dyDescent="0.25">
      <c r="B114" s="55"/>
      <c r="C114" s="10" t="s">
        <v>222</v>
      </c>
      <c r="D114" s="11" t="s">
        <v>218</v>
      </c>
      <c r="E114" s="266" t="e">
        <f ca="1">IF(SUM(E9:S9)=0,"",MAX(E66*IF(E44="Yes",1,0), Q66*IF(Q44="Yes",1,0), R66*IF(R44="Yes",1,0), S66*IF(S44="Yes",1,0)))</f>
        <v>#NAME?</v>
      </c>
      <c r="F114" s="266" t="e">
        <f ca="1">IF(SUM(F9:H9)=0,"",MAX(F66*IF(F44="Yes",1,0), G66*IF(G44="Yes",1,0), H66*IF(H44="Yes",1,0),#REF!*IF(#REF!= "Yes",1,0)))</f>
        <v>#NAME?</v>
      </c>
      <c r="G114" s="266" t="e">
        <f ca="1">IF(SUM(G9:I9)=0,"",MAX(G66*IF(G44="Yes",1,0), H66*IF(H44="Yes",1,0), I66*IF(I44="Yes",1,0),#REF!*IF(#REF!= "Yes",1,0)))</f>
        <v>#NAME?</v>
      </c>
      <c r="H114" s="266" t="e">
        <f ca="1">IF(SUM(H9:J9)=0,"",MAX(H66*IF(H44="Yes",1,0), I66*IF(I44="Yes",1,0), J66*IF(J44="Yes",1,0),#REF!*IF(#REF!= "Yes",1,0)))</f>
        <v>#NAME?</v>
      </c>
      <c r="I114" s="266" t="e">
        <f ca="1">IF(SUM(I9:K9)=0,"",MAX(I66*IF(I44="Yes",1,0), J66*IF(J44="Yes",1,0), K66*IF(K44="Yes",1,0),#REF!*IF(#REF!= "Yes",1,0)))</f>
        <v>#NAME?</v>
      </c>
      <c r="J114" s="266" t="e">
        <f ca="1">IF(SUM(J9:L9)=0,"",MAX(J66*IF(J44="Yes",1,0), K66*IF(K44="Yes",1,0), L66*IF(L44="Yes",1,0),#REF!*IF(#REF!= "Yes",1,0)))</f>
        <v>#NAME?</v>
      </c>
      <c r="K114" s="266" t="e">
        <f ca="1">IF(SUM(K9:M9)=0,"",MAX(K66*IF(K44="Yes",1,0), L66*IF(L44="Yes",1,0), M66*IF(M44="Yes",1,0),#REF!*IF(#REF!= "Yes",1,0)))</f>
        <v>#NAME?</v>
      </c>
      <c r="L114" s="266" t="e">
        <f ca="1">IF(SUM(L9:N9)=0,"",MAX(L66*IF(L44="Yes",1,0), M66*IF(M44="Yes",1,0), N66*IF(N44="Yes",1,0),#REF!*IF(#REF!= "Yes",1,0)))</f>
        <v>#NAME?</v>
      </c>
      <c r="M114" s="266" t="e">
        <f ca="1">IF(SUM(M9:O9)=0,"",MAX(M66*IF(M44="Yes",1,0), N66*IF(N44="Yes",1,0), O66*IF(O44="Yes",1,0),#REF!*IF(#REF!= "Yes",1,0)))</f>
        <v>#NAME?</v>
      </c>
      <c r="N114" s="266" t="e">
        <f ca="1">IF(SUM(N9:P9)=0,"",MAX(N66*IF(N44="Yes",1,0), O66*IF(O44="Yes",1,0), P66*IF(P44="Yes",1,0),#REF!*IF(#REF!= "Yes",1,0)))</f>
        <v>#NAME?</v>
      </c>
      <c r="O114" s="266" t="e">
        <f ca="1">IF(SUM(O9:Q9)=0,"",MAX(O66*IF(O44="Yes",1,0), P66*IF(P44="Yes",1,0), Q66*IF(Q44="Yes",1,0),#REF!*IF(#REF!= "Yes",1,0)))</f>
        <v>#NAME?</v>
      </c>
      <c r="P114" s="266" t="e">
        <f ca="1">IF(SUM(P9:R9)=0,"",MAX(P66*IF(P44="Yes",1,0), Q66*IF(Q44="Yes",1,0), R66*IF(R44="Yes",1,0),#REF!*IF(#REF!= "Yes",1,0)))</f>
        <v>#NAME?</v>
      </c>
      <c r="Q114" s="266" t="e">
        <f ca="1">IF(SUM(Q9:S9)=0,"",MAX(Q66*IF(Q44="Yes",1,0), R66*IF(R44="Yes",1,0), S66*IF(S44="Yes",1,0),#REF!*IF(#REF!= "Yes",1,0)))</f>
        <v>#NAME?</v>
      </c>
      <c r="R114" s="266" t="e">
        <f ca="1">IF(SUM(R9:T9)=0,"",MAX(R66*IF(R44="Yes",1,0), S66*IF(S44="Yes",1,0),#REF!*IF(#REF!= "Yes",1,0), T66*IF(T44="Yes",1,0)))</f>
        <v>#NAME?</v>
      </c>
      <c r="S114" s="266" t="e">
        <f ca="1">IF(SUM(S9:U9)=0,"",MAX(S66*IF(S44="Yes",1,0),#REF!*IF(#REF!= "Yes",1,0), T66*IF(T44="Yes",1,0), U66*IF(U44="Yes",1,0)))</f>
        <v>#NAME?</v>
      </c>
      <c r="T114" s="266"/>
      <c r="U114" s="266"/>
      <c r="V114" s="266"/>
      <c r="W114" s="266"/>
      <c r="X114" s="266"/>
      <c r="Y114" s="266"/>
      <c r="Z114" s="266"/>
      <c r="AA114" s="266"/>
      <c r="AB114" s="266"/>
      <c r="AC114" s="266"/>
      <c r="AD114" s="266"/>
      <c r="AE114" s="266"/>
      <c r="AF114" s="266"/>
      <c r="AG114" s="266"/>
      <c r="AH114" s="266"/>
      <c r="AI114" s="266"/>
      <c r="AJ114" s="266"/>
      <c r="AK114" s="266"/>
      <c r="AL114" s="266"/>
      <c r="AM114" s="266"/>
      <c r="AN114" s="266"/>
      <c r="AO114" s="266"/>
      <c r="AP114" s="266"/>
      <c r="AQ114" s="266"/>
      <c r="AR114" s="266"/>
      <c r="AS114" s="266"/>
      <c r="AT114" s="266"/>
      <c r="AU114" s="266"/>
      <c r="AV114" s="266"/>
      <c r="AW114" s="266"/>
      <c r="AX114" s="266"/>
      <c r="AY114" s="266"/>
      <c r="AZ114" s="266"/>
      <c r="BA114" s="266"/>
      <c r="BB114" s="266"/>
      <c r="BC114" s="266"/>
      <c r="BD114" s="266"/>
      <c r="BE114" s="266"/>
      <c r="BF114" s="266"/>
      <c r="BG114" s="266"/>
      <c r="BH114" s="266"/>
      <c r="BI114" s="266"/>
      <c r="BJ114" s="266"/>
      <c r="BK114" s="266"/>
      <c r="BL114" s="266"/>
      <c r="BM114" s="266"/>
      <c r="BN114" s="266"/>
      <c r="BO114" s="266"/>
      <c r="BP114" s="266"/>
      <c r="BQ114" s="266"/>
      <c r="BR114" s="266"/>
      <c r="BS114" s="266"/>
      <c r="BT114" s="266"/>
      <c r="BU114" s="266"/>
      <c r="BV114" s="266"/>
      <c r="BW114" s="266"/>
      <c r="BX114" s="266"/>
      <c r="BY114" s="266"/>
      <c r="BZ114" s="266"/>
      <c r="CA114" s="266"/>
      <c r="CB114" s="266"/>
      <c r="CC114" s="266"/>
      <c r="CD114" s="266"/>
      <c r="CE114" s="266"/>
      <c r="CF114" s="266"/>
      <c r="CG114" s="266"/>
      <c r="CH114" s="266"/>
      <c r="CI114" s="266"/>
      <c r="CJ114" s="266"/>
      <c r="CK114" s="266"/>
      <c r="CL114" s="266"/>
      <c r="CM114" s="266"/>
      <c r="CN114" s="266"/>
      <c r="CO114" s="266"/>
      <c r="CP114" s="266"/>
      <c r="CQ114" s="266"/>
      <c r="CR114" s="266"/>
      <c r="CS114" s="266"/>
      <c r="CT114" s="266"/>
      <c r="CU114" s="266"/>
      <c r="CV114" s="266"/>
      <c r="CW114" s="266"/>
      <c r="CX114" s="266"/>
      <c r="CY114" s="266"/>
      <c r="CZ114" s="266"/>
      <c r="DA114" s="266"/>
      <c r="DB114" s="266"/>
      <c r="DC114" s="266"/>
      <c r="DD114" s="266"/>
      <c r="DE114" s="266"/>
      <c r="DF114" s="266"/>
      <c r="DG114" s="266"/>
      <c r="DH114" s="266"/>
      <c r="DI114" s="266"/>
      <c r="DJ114" s="266"/>
      <c r="DK114" s="266"/>
      <c r="DL114" s="266"/>
      <c r="DM114" s="266"/>
      <c r="DN114" s="266"/>
      <c r="DO114" s="266"/>
      <c r="DP114" s="266"/>
      <c r="DQ114" s="266"/>
      <c r="DR114" s="266"/>
      <c r="DS114" s="266"/>
      <c r="DT114" s="266"/>
      <c r="DU114" s="266"/>
      <c r="DV114" s="266"/>
      <c r="DW114" s="266"/>
      <c r="DX114" s="266"/>
      <c r="DY114" s="266"/>
      <c r="DZ114" s="266"/>
      <c r="EA114" s="266"/>
      <c r="EB114" s="266"/>
      <c r="EC114" s="266"/>
      <c r="ED114" s="266"/>
      <c r="EE114" s="266"/>
      <c r="EF114" s="266"/>
      <c r="EG114" s="266"/>
      <c r="EH114" s="266"/>
      <c r="EI114" s="266"/>
      <c r="EJ114" s="266"/>
      <c r="EK114" s="266"/>
      <c r="EL114" s="266"/>
      <c r="EM114" s="266"/>
      <c r="EN114" s="266"/>
      <c r="EO114" s="266"/>
      <c r="EP114" s="266"/>
      <c r="EQ114" s="266"/>
      <c r="ER114" s="266"/>
      <c r="ES114" s="266"/>
      <c r="ET114" s="266"/>
      <c r="EU114" s="266"/>
      <c r="EV114" s="266"/>
      <c r="EW114" s="266"/>
      <c r="EX114" s="266"/>
      <c r="EY114" s="266"/>
      <c r="EZ114" s="266"/>
      <c r="FA114" s="266"/>
      <c r="FB114" s="266"/>
      <c r="FC114" s="266"/>
      <c r="FD114" s="266"/>
      <c r="FE114" s="266"/>
      <c r="FF114" s="266"/>
      <c r="FG114" s="266"/>
      <c r="FH114" s="266"/>
      <c r="FI114" s="266"/>
      <c r="FJ114" s="266"/>
      <c r="FK114" s="266"/>
      <c r="FL114" s="266"/>
      <c r="FM114" s="266"/>
      <c r="FN114" s="266"/>
      <c r="FO114" s="266"/>
      <c r="FP114" s="266"/>
      <c r="FQ114" s="266"/>
      <c r="FR114" s="266"/>
      <c r="FS114" s="266"/>
      <c r="FT114" s="266"/>
      <c r="FU114" s="266"/>
      <c r="FV114" s="266"/>
      <c r="FW114" s="266"/>
      <c r="FX114" s="266"/>
      <c r="FY114" s="266"/>
      <c r="FZ114" s="266"/>
      <c r="GA114" s="266"/>
      <c r="GB114" s="266"/>
      <c r="GC114" s="266"/>
      <c r="GD114" s="266"/>
      <c r="GE114" s="266"/>
      <c r="GF114" s="266"/>
      <c r="GG114" s="266"/>
      <c r="GH114" s="266"/>
      <c r="GI114" s="266"/>
      <c r="GJ114" s="266"/>
      <c r="GK114" s="266"/>
      <c r="GL114" s="266"/>
      <c r="GM114" s="266"/>
      <c r="GN114" s="266"/>
      <c r="GO114" s="266"/>
      <c r="GP114" s="266"/>
      <c r="GQ114" s="266"/>
      <c r="GR114" s="266"/>
      <c r="GS114" s="266"/>
      <c r="GT114" s="266"/>
      <c r="GU114" s="266"/>
      <c r="GV114" s="266"/>
      <c r="GW114" s="266"/>
      <c r="GX114" s="266"/>
    </row>
    <row r="115" spans="2:206" x14ac:dyDescent="0.25">
      <c r="B115" s="55"/>
      <c r="C115" s="10"/>
      <c r="D115" s="11" t="s">
        <v>41</v>
      </c>
      <c r="E115" s="265" t="e">
        <f ca="1">IF(E114="","",IF(E114&lt;=2,"A",IF(E114&lt;=2.75,"B",IF(E114&lt;=3.5,"C",IF(E114&lt;=4.25,"D",IF(E114&lt;=5,"E","F"))))))</f>
        <v>#NAME?</v>
      </c>
      <c r="F115" s="265" t="e">
        <f t="shared" ref="F115" ca="1" si="459">IF(F114="","",IF(F114&lt;=2,"A",IF(F114&lt;=2.75,"B",IF(F114&lt;=3.5,"C",IF(F114&lt;=4.25,"D",IF(F114&lt;=5,"E","F"))))))</f>
        <v>#NAME?</v>
      </c>
      <c r="G115" s="265" t="e">
        <f t="shared" ref="G115" ca="1" si="460">IF(G114="","",IF(G114&lt;=2,"A",IF(G114&lt;=2.75,"B",IF(G114&lt;=3.5,"C",IF(G114&lt;=4.25,"D",IF(G114&lt;=5,"E","F"))))))</f>
        <v>#NAME?</v>
      </c>
      <c r="H115" s="265" t="e">
        <f t="shared" ref="H115" ca="1" si="461">IF(H114="","",IF(H114&lt;=2,"A",IF(H114&lt;=2.75,"B",IF(H114&lt;=3.5,"C",IF(H114&lt;=4.25,"D",IF(H114&lt;=5,"E","F"))))))</f>
        <v>#NAME?</v>
      </c>
      <c r="I115" s="265" t="e">
        <f t="shared" ref="I115:L115" ca="1" si="462">IF(I114="","",IF(I114&lt;=2,"A",IF(I114&lt;=2.75,"B",IF(I114&lt;=3.5,"C",IF(I114&lt;=4.25,"D",IF(I114&lt;=5,"E","F"))))))</f>
        <v>#NAME?</v>
      </c>
      <c r="J115" s="265" t="e">
        <f t="shared" ca="1" si="462"/>
        <v>#NAME?</v>
      </c>
      <c r="K115" s="265" t="e">
        <f t="shared" ca="1" si="462"/>
        <v>#NAME?</v>
      </c>
      <c r="L115" s="265" t="e">
        <f t="shared" ca="1" si="462"/>
        <v>#NAME?</v>
      </c>
      <c r="M115" s="265" t="e">
        <f ca="1">IF(M114="","",IF(M114&lt;=2,"A",IF(M114&lt;=2.75,"B",IF(M114&lt;=3.5,"C",IF(M114&lt;=4.25,"D",IF(M114&lt;=5,"E","F"))))))</f>
        <v>#NAME?</v>
      </c>
      <c r="N115" s="265" t="e">
        <f ca="1">IF(N114="","",IF(N114&lt;=2,"A",IF(N114&lt;=2.75,"B",IF(N114&lt;=3.5,"C",IF(N114&lt;=4.25,"D",IF(N114&lt;=5,"E","F"))))))</f>
        <v>#NAME?</v>
      </c>
      <c r="O115" s="265" t="e">
        <f ca="1">IF(O114="","",IF(O114&lt;=2,"A",IF(O114&lt;=2.75,"B",IF(O114&lt;=3.5,"C",IF(O114&lt;=4.25,"D",IF(O114&lt;=5,"E","F"))))))</f>
        <v>#NAME?</v>
      </c>
      <c r="P115" s="265" t="e">
        <f ca="1">IF(P114="","",IF(P114&lt;=2,"A",IF(P114&lt;=2.75,"B",IF(P114&lt;=3.5,"C",IF(P114&lt;=4.25,"D",IF(P114&lt;=5,"E","F"))))))</f>
        <v>#NAME?</v>
      </c>
      <c r="Q115" s="265" t="e">
        <f ca="1">IF(Q114="","",IF(Q114&lt;=2,"A",IF(Q114&lt;=2.75,"B",IF(Q114&lt;=3.5,"C",IF(Q114&lt;=4.25,"D",IF(Q114&lt;=5,"E","F"))))))</f>
        <v>#NAME?</v>
      </c>
      <c r="R115" s="265" t="e">
        <f t="shared" ref="R115:S115" ca="1" si="463">IF(R114="","",IF(R114&lt;=2,"A",IF(R114&lt;=2.75,"B",IF(R114&lt;=3.5,"C",IF(R114&lt;=4.25,"D",IF(R114&lt;=5,"E","F"))))))</f>
        <v>#NAME?</v>
      </c>
      <c r="S115" s="265" t="e">
        <f t="shared" ca="1" si="463"/>
        <v>#NAME?</v>
      </c>
      <c r="T115" s="265"/>
      <c r="U115" s="265"/>
      <c r="V115" s="265"/>
      <c r="W115" s="265"/>
      <c r="X115" s="265"/>
      <c r="Y115" s="265"/>
      <c r="Z115" s="265"/>
      <c r="AA115" s="265"/>
      <c r="AB115" s="265"/>
      <c r="AC115" s="265"/>
      <c r="AD115" s="265"/>
      <c r="AE115" s="265"/>
      <c r="AF115" s="265"/>
      <c r="AG115" s="265"/>
      <c r="AH115" s="265"/>
      <c r="AI115" s="265"/>
      <c r="AJ115" s="265"/>
      <c r="AK115" s="265"/>
      <c r="AL115" s="265"/>
      <c r="AM115" s="265"/>
      <c r="AN115" s="265"/>
      <c r="AO115" s="265"/>
      <c r="AP115" s="265"/>
      <c r="AQ115" s="265"/>
      <c r="AR115" s="265"/>
      <c r="AS115" s="265"/>
      <c r="AT115" s="265"/>
      <c r="AU115" s="265"/>
      <c r="AV115" s="265"/>
      <c r="AW115" s="265"/>
      <c r="AX115" s="265"/>
      <c r="AY115" s="265"/>
      <c r="AZ115" s="265"/>
      <c r="BA115" s="265"/>
      <c r="BB115" s="265"/>
      <c r="BC115" s="265"/>
      <c r="BD115" s="265"/>
      <c r="BE115" s="265"/>
      <c r="BF115" s="265"/>
      <c r="BG115" s="265"/>
      <c r="BH115" s="265"/>
      <c r="BI115" s="265"/>
      <c r="BJ115" s="265"/>
      <c r="BK115" s="265"/>
      <c r="BL115" s="265"/>
      <c r="BM115" s="265"/>
      <c r="BN115" s="265"/>
      <c r="BO115" s="265"/>
      <c r="BP115" s="265"/>
      <c r="BQ115" s="265"/>
      <c r="BR115" s="265"/>
      <c r="BS115" s="265"/>
      <c r="BT115" s="265"/>
      <c r="BU115" s="265"/>
      <c r="BV115" s="265"/>
      <c r="BW115" s="265"/>
      <c r="BX115" s="265"/>
      <c r="BY115" s="265"/>
      <c r="BZ115" s="265"/>
      <c r="CA115" s="265"/>
      <c r="CB115" s="265"/>
      <c r="CC115" s="265"/>
      <c r="CD115" s="265"/>
      <c r="CE115" s="265"/>
      <c r="CF115" s="265"/>
      <c r="CG115" s="265"/>
      <c r="CH115" s="265"/>
      <c r="CI115" s="265"/>
      <c r="CJ115" s="265"/>
      <c r="CK115" s="265"/>
      <c r="CL115" s="265"/>
      <c r="CM115" s="265"/>
      <c r="CN115" s="265"/>
      <c r="CO115" s="265"/>
      <c r="CP115" s="265"/>
      <c r="CQ115" s="265"/>
      <c r="CR115" s="265"/>
      <c r="CS115" s="265"/>
      <c r="CT115" s="265"/>
      <c r="CU115" s="265"/>
      <c r="CV115" s="265"/>
      <c r="CW115" s="265"/>
      <c r="CX115" s="265"/>
      <c r="CY115" s="265"/>
      <c r="CZ115" s="265"/>
      <c r="DA115" s="265"/>
      <c r="DB115" s="265"/>
      <c r="DC115" s="265"/>
      <c r="DD115" s="265"/>
      <c r="DE115" s="265"/>
      <c r="DF115" s="265"/>
      <c r="DG115" s="265"/>
      <c r="DH115" s="265"/>
      <c r="DI115" s="265"/>
      <c r="DJ115" s="265"/>
      <c r="DK115" s="265"/>
      <c r="DL115" s="265"/>
      <c r="DM115" s="265"/>
      <c r="DN115" s="265"/>
      <c r="DO115" s="265"/>
      <c r="DP115" s="265"/>
      <c r="DQ115" s="265"/>
      <c r="DR115" s="265"/>
      <c r="DS115" s="265"/>
      <c r="DT115" s="265"/>
      <c r="DU115" s="265"/>
      <c r="DV115" s="265"/>
      <c r="DW115" s="265"/>
      <c r="DX115" s="265"/>
      <c r="DY115" s="265"/>
      <c r="DZ115" s="265"/>
      <c r="EA115" s="265"/>
      <c r="EB115" s="265"/>
      <c r="EC115" s="265"/>
      <c r="ED115" s="265"/>
      <c r="EE115" s="265"/>
      <c r="EF115" s="265"/>
      <c r="EG115" s="265"/>
      <c r="EH115" s="265"/>
      <c r="EI115" s="265"/>
      <c r="EJ115" s="265"/>
      <c r="EK115" s="265"/>
      <c r="EL115" s="265"/>
      <c r="EM115" s="265"/>
      <c r="EN115" s="265"/>
      <c r="EO115" s="265"/>
      <c r="EP115" s="265"/>
      <c r="EQ115" s="265"/>
      <c r="ER115" s="265"/>
      <c r="ES115" s="265"/>
      <c r="ET115" s="265"/>
      <c r="EU115" s="265"/>
      <c r="EV115" s="265"/>
      <c r="EW115" s="265"/>
      <c r="EX115" s="265"/>
      <c r="EY115" s="265"/>
      <c r="EZ115" s="265"/>
      <c r="FA115" s="265"/>
      <c r="FB115" s="265"/>
      <c r="FC115" s="265"/>
      <c r="FD115" s="265"/>
      <c r="FE115" s="265"/>
      <c r="FF115" s="265"/>
      <c r="FG115" s="265"/>
      <c r="FH115" s="265"/>
      <c r="FI115" s="265"/>
      <c r="FJ115" s="265"/>
      <c r="FK115" s="265"/>
      <c r="FL115" s="265"/>
      <c r="FM115" s="265"/>
      <c r="FN115" s="265"/>
      <c r="FO115" s="265"/>
      <c r="FP115" s="265"/>
      <c r="FQ115" s="265"/>
      <c r="FR115" s="265"/>
      <c r="FS115" s="265"/>
      <c r="FT115" s="265"/>
      <c r="FU115" s="265"/>
      <c r="FV115" s="265"/>
      <c r="FW115" s="265"/>
      <c r="FX115" s="265"/>
      <c r="FY115" s="265"/>
      <c r="FZ115" s="265"/>
      <c r="GA115" s="265"/>
      <c r="GB115" s="265"/>
      <c r="GC115" s="265"/>
      <c r="GD115" s="265"/>
      <c r="GE115" s="265"/>
      <c r="GF115" s="265"/>
      <c r="GG115" s="265"/>
      <c r="GH115" s="265"/>
      <c r="GI115" s="265"/>
      <c r="GJ115" s="265"/>
      <c r="GK115" s="265"/>
      <c r="GL115" s="265"/>
      <c r="GM115" s="265"/>
      <c r="GN115" s="265"/>
      <c r="GO115" s="265"/>
      <c r="GP115" s="265"/>
      <c r="GQ115" s="265"/>
      <c r="GR115" s="265"/>
      <c r="GS115" s="265"/>
      <c r="GT115" s="265"/>
      <c r="GU115" s="265"/>
      <c r="GV115" s="265"/>
      <c r="GW115" s="265"/>
      <c r="GX115" s="265"/>
    </row>
    <row r="116" spans="2:206" x14ac:dyDescent="0.25">
      <c r="B116" s="55"/>
      <c r="C116" s="4"/>
      <c r="D116" s="8" t="s">
        <v>20</v>
      </c>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c r="GH116" s="4"/>
      <c r="GI116" s="4"/>
      <c r="GJ116" s="4"/>
      <c r="GK116" s="4"/>
      <c r="GL116" s="4"/>
      <c r="GM116" s="4"/>
      <c r="GN116" s="4"/>
      <c r="GO116" s="4"/>
      <c r="GP116" s="4"/>
      <c r="GQ116" s="4"/>
      <c r="GR116" s="4"/>
      <c r="GS116" s="4"/>
      <c r="GT116" s="4"/>
      <c r="GU116" s="4"/>
      <c r="GV116" s="4"/>
      <c r="GW116" s="4"/>
      <c r="GX116" s="4"/>
    </row>
    <row r="117" spans="2:206" ht="14.25" x14ac:dyDescent="0.25">
      <c r="B117" s="55"/>
      <c r="C117" s="10" t="s">
        <v>223</v>
      </c>
      <c r="D117" s="11" t="s">
        <v>219</v>
      </c>
      <c r="E117" s="266">
        <f>IF(SUM(E9:S9)=0,"",MAX(E108*IF(E44="Yes",1,0),Q108*IF(Q44="Yes",1,0),R108*IF(R44="Yes",1,0),S108*IF(S44="Yes",1,0)))</f>
        <v>2.4976249999999993</v>
      </c>
      <c r="F117" s="266" t="e">
        <f>IF(SUM(F9:H9)=0,"",MAX(F108*IF(F44="Yes",1,0),G108*IF(G44="Yes",1,0),H108*IF(H44="Yes",1,0),#REF!*IF(#REF!="Yes",1,0)))</f>
        <v>#REF!</v>
      </c>
      <c r="G117" s="266" t="e">
        <f>IF(SUM(G9:I9)=0,"",MAX(G108*IF(G44="Yes",1,0),H108*IF(H44="Yes",1,0),I108*IF(I44="Yes",1,0),#REF!*IF(#REF!="Yes",1,0)))</f>
        <v>#REF!</v>
      </c>
      <c r="H117" s="266" t="e">
        <f>IF(SUM(H9:J9)=0,"",MAX(H108*IF(H44="Yes",1,0),I108*IF(I44="Yes",1,0),J108*IF(J44="Yes",1,0),#REF!*IF(#REF!="Yes",1,0)))</f>
        <v>#REF!</v>
      </c>
      <c r="I117" s="266" t="e">
        <f>IF(SUM(I9:K9)=0,"",MAX(I108*IF(I44="Yes",1,0),J108*IF(J44="Yes",1,0),K108*IF(K44="Yes",1,0),#REF!*IF(#REF!="Yes",1,0)))</f>
        <v>#REF!</v>
      </c>
      <c r="J117" s="266" t="e">
        <f>IF(SUM(J9:L9)=0,"",MAX(J108*IF(J44="Yes",1,0),K108*IF(K44="Yes",1,0),L108*IF(L44="Yes",1,0),#REF!*IF(#REF!="Yes",1,0)))</f>
        <v>#REF!</v>
      </c>
      <c r="K117" s="266" t="e">
        <f>IF(SUM(K9:M9)=0,"",MAX(K108*IF(K44="Yes",1,0),L108*IF(L44="Yes",1,0),M108*IF(M44="Yes",1,0),#REF!*IF(#REF!="Yes",1,0)))</f>
        <v>#REF!</v>
      </c>
      <c r="L117" s="266" t="e">
        <f>IF(SUM(L9:N9)=0,"",MAX(L108*IF(L44="Yes",1,0),M108*IF(M44="Yes",1,0),N108*IF(N44="Yes",1,0),#REF!*IF(#REF!="Yes",1,0)))</f>
        <v>#REF!</v>
      </c>
      <c r="M117" s="266" t="e">
        <f>IF(SUM(M9:O9)=0,"",MAX(M108*IF(M44="Yes",1,0),N108*IF(N44="Yes",1,0),O108*IF(O44="Yes",1,0),#REF!*IF(#REF!="Yes",1,0)))</f>
        <v>#REF!</v>
      </c>
      <c r="N117" s="266" t="e">
        <f>IF(SUM(N9:P9)=0,"",MAX(N108*IF(N44="Yes",1,0),O108*IF(O44="Yes",1,0),P108*IF(P44="Yes",1,0),#REF!*IF(#REF!="Yes",1,0)))</f>
        <v>#REF!</v>
      </c>
      <c r="O117" s="266" t="e">
        <f>IF(SUM(O9:Q9)=0,"",MAX(O108*IF(O44="Yes",1,0),P108*IF(P44="Yes",1,0),Q108*IF(Q44="Yes",1,0),#REF!*IF(#REF!="Yes",1,0)))</f>
        <v>#REF!</v>
      </c>
      <c r="P117" s="266" t="e">
        <f>IF(SUM(P9:R9)=0,"",MAX(P108*IF(P44="Yes",1,0),Q108*IF(Q44="Yes",1,0),R108*IF(R44="Yes",1,0),#REF!*IF(#REF!="Yes",1,0)))</f>
        <v>#REF!</v>
      </c>
      <c r="Q117" s="266" t="e">
        <f>IF(SUM(Q9:S9)=0,"",MAX(Q108*IF(Q44="Yes",1,0),R108*IF(R44="Yes",1,0),S108*IF(S44="Yes",1,0),#REF!*IF(#REF!="Yes",1,0)))</f>
        <v>#REF!</v>
      </c>
      <c r="R117" s="266" t="e">
        <f>IF(SUM(R9:T9)=0,"",MAX(R108*IF(R44="Yes",1,0),S108*IF(S44="Yes",1,0),#REF!*IF(#REF!="Yes",1,0),T108*IF(T44="Yes",1,0)))</f>
        <v>#REF!</v>
      </c>
      <c r="S117" s="266" t="e">
        <f>IF(SUM(S9:U9)=0,"",MAX(S108*IF(S44="Yes",1,0),#REF!*IF(#REF!="Yes",1,0),T108*IF(T44="Yes",1,0),U108*IF(U44="Yes",1,0)))</f>
        <v>#REF!</v>
      </c>
      <c r="T117" s="266"/>
      <c r="U117" s="266"/>
      <c r="V117" s="266"/>
      <c r="W117" s="266"/>
      <c r="X117" s="266"/>
      <c r="Y117" s="266"/>
      <c r="Z117" s="266"/>
      <c r="AA117" s="266"/>
      <c r="AB117" s="266"/>
      <c r="AC117" s="266"/>
      <c r="AD117" s="266"/>
      <c r="AE117" s="266"/>
      <c r="AF117" s="266"/>
      <c r="AG117" s="266"/>
      <c r="AH117" s="266"/>
      <c r="AI117" s="266"/>
      <c r="AJ117" s="266"/>
      <c r="AK117" s="266"/>
      <c r="AL117" s="266"/>
      <c r="AM117" s="266"/>
      <c r="AN117" s="266"/>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266"/>
      <c r="BN117" s="266"/>
      <c r="BO117" s="266"/>
      <c r="BP117" s="266"/>
      <c r="BQ117" s="266"/>
      <c r="BR117" s="266"/>
      <c r="BS117" s="266"/>
      <c r="BT117" s="266"/>
      <c r="BU117" s="266"/>
      <c r="BV117" s="266"/>
      <c r="BW117" s="266"/>
      <c r="BX117" s="266"/>
      <c r="BY117" s="266"/>
      <c r="BZ117" s="266"/>
      <c r="CA117" s="266"/>
      <c r="CB117" s="266"/>
      <c r="CC117" s="266"/>
      <c r="CD117" s="266"/>
      <c r="CE117" s="266"/>
      <c r="CF117" s="266"/>
      <c r="CG117" s="266"/>
      <c r="CH117" s="266"/>
      <c r="CI117" s="266"/>
      <c r="CJ117" s="266"/>
      <c r="CK117" s="266"/>
      <c r="CL117" s="266"/>
      <c r="CM117" s="266"/>
      <c r="CN117" s="266"/>
      <c r="CO117" s="266"/>
      <c r="CP117" s="266"/>
      <c r="CQ117" s="266"/>
      <c r="CR117" s="266"/>
      <c r="CS117" s="266"/>
      <c r="CT117" s="266"/>
      <c r="CU117" s="266"/>
      <c r="CV117" s="266"/>
      <c r="CW117" s="266"/>
      <c r="CX117" s="266"/>
      <c r="CY117" s="266"/>
      <c r="CZ117" s="266"/>
      <c r="DA117" s="266"/>
      <c r="DB117" s="266"/>
      <c r="DC117" s="266"/>
      <c r="DD117" s="266"/>
      <c r="DE117" s="266"/>
      <c r="DF117" s="266"/>
      <c r="DG117" s="266"/>
      <c r="DH117" s="266"/>
      <c r="DI117" s="266"/>
      <c r="DJ117" s="266"/>
      <c r="DK117" s="266"/>
      <c r="DL117" s="266"/>
      <c r="DM117" s="266"/>
      <c r="DN117" s="266"/>
      <c r="DO117" s="266"/>
      <c r="DP117" s="266"/>
      <c r="DQ117" s="266"/>
      <c r="DR117" s="266"/>
      <c r="DS117" s="266"/>
      <c r="DT117" s="266"/>
      <c r="DU117" s="266"/>
      <c r="DV117" s="266"/>
      <c r="DW117" s="266"/>
      <c r="DX117" s="266"/>
      <c r="DY117" s="266"/>
      <c r="DZ117" s="266"/>
      <c r="EA117" s="266"/>
      <c r="EB117" s="266"/>
      <c r="EC117" s="266"/>
      <c r="ED117" s="266"/>
      <c r="EE117" s="266"/>
      <c r="EF117" s="266"/>
      <c r="EG117" s="266"/>
      <c r="EH117" s="266"/>
      <c r="EI117" s="266"/>
      <c r="EJ117" s="266"/>
      <c r="EK117" s="266"/>
      <c r="EL117" s="266"/>
      <c r="EM117" s="266"/>
      <c r="EN117" s="266"/>
      <c r="EO117" s="266"/>
      <c r="EP117" s="266"/>
      <c r="EQ117" s="266"/>
      <c r="ER117" s="266"/>
      <c r="ES117" s="266"/>
      <c r="ET117" s="266"/>
      <c r="EU117" s="266"/>
      <c r="EV117" s="266"/>
      <c r="EW117" s="266"/>
      <c r="EX117" s="266"/>
      <c r="EY117" s="266"/>
      <c r="EZ117" s="266"/>
      <c r="FA117" s="266"/>
      <c r="FB117" s="266"/>
      <c r="FC117" s="266"/>
      <c r="FD117" s="266"/>
      <c r="FE117" s="266"/>
      <c r="FF117" s="266"/>
      <c r="FG117" s="266"/>
      <c r="FH117" s="266"/>
      <c r="FI117" s="266"/>
      <c r="FJ117" s="266"/>
      <c r="FK117" s="266"/>
      <c r="FL117" s="266"/>
      <c r="FM117" s="266"/>
      <c r="FN117" s="266"/>
      <c r="FO117" s="266"/>
      <c r="FP117" s="266"/>
      <c r="FQ117" s="266"/>
      <c r="FR117" s="266"/>
      <c r="FS117" s="266"/>
      <c r="FT117" s="266"/>
      <c r="FU117" s="266"/>
      <c r="FV117" s="266"/>
      <c r="FW117" s="266"/>
      <c r="FX117" s="266"/>
      <c r="FY117" s="266"/>
      <c r="FZ117" s="266"/>
      <c r="GA117" s="266"/>
      <c r="GB117" s="266"/>
      <c r="GC117" s="266"/>
      <c r="GD117" s="266"/>
      <c r="GE117" s="266"/>
      <c r="GF117" s="266"/>
      <c r="GG117" s="266"/>
      <c r="GH117" s="266"/>
      <c r="GI117" s="266"/>
      <c r="GJ117" s="266"/>
      <c r="GK117" s="266"/>
      <c r="GL117" s="266"/>
      <c r="GM117" s="266"/>
      <c r="GN117" s="266"/>
      <c r="GO117" s="266"/>
      <c r="GP117" s="266"/>
      <c r="GQ117" s="266"/>
      <c r="GR117" s="266"/>
      <c r="GS117" s="266"/>
      <c r="GT117" s="266"/>
      <c r="GU117" s="266"/>
      <c r="GV117" s="266"/>
      <c r="GW117" s="266"/>
      <c r="GX117" s="266"/>
    </row>
    <row r="118" spans="2:206" x14ac:dyDescent="0.25">
      <c r="B118" s="55"/>
      <c r="C118" s="10"/>
      <c r="D118" s="11" t="s">
        <v>51</v>
      </c>
      <c r="E118" s="265" t="str">
        <f>IF(E117="","",IF(E117&lt;=2,"A",IF(E117&lt;=2.75,"B",IF(E117&lt;=3.5,"C",IF(E117&lt;=4.25,"D",IF(E117&lt;=5,"E","F"))))))</f>
        <v>B</v>
      </c>
      <c r="F118" s="265" t="e">
        <f t="shared" ref="F118" si="464">IF(F117="","",IF(F117&lt;=2,"A",IF(F117&lt;=2.75,"B",IF(F117&lt;=3.5,"C",IF(F117&lt;=4.25,"D",IF(F117&lt;=5,"E","F"))))))</f>
        <v>#REF!</v>
      </c>
      <c r="G118" s="265" t="e">
        <f t="shared" ref="G118" si="465">IF(G117="","",IF(G117&lt;=2,"A",IF(G117&lt;=2.75,"B",IF(G117&lt;=3.5,"C",IF(G117&lt;=4.25,"D",IF(G117&lt;=5,"E","F"))))))</f>
        <v>#REF!</v>
      </c>
      <c r="H118" s="265" t="e">
        <f t="shared" ref="H118" si="466">IF(H117="","",IF(H117&lt;=2,"A",IF(H117&lt;=2.75,"B",IF(H117&lt;=3.5,"C",IF(H117&lt;=4.25,"D",IF(H117&lt;=5,"E","F"))))))</f>
        <v>#REF!</v>
      </c>
      <c r="I118" s="265" t="e">
        <f t="shared" ref="I118:L118" si="467">IF(I117="","",IF(I117&lt;=2,"A",IF(I117&lt;=2.75,"B",IF(I117&lt;=3.5,"C",IF(I117&lt;=4.25,"D",IF(I117&lt;=5,"E","F"))))))</f>
        <v>#REF!</v>
      </c>
      <c r="J118" s="265" t="e">
        <f t="shared" si="467"/>
        <v>#REF!</v>
      </c>
      <c r="K118" s="265" t="e">
        <f t="shared" si="467"/>
        <v>#REF!</v>
      </c>
      <c r="L118" s="265" t="e">
        <f t="shared" si="467"/>
        <v>#REF!</v>
      </c>
      <c r="M118" s="265" t="e">
        <f>IF(M117="","",IF(M117&lt;=2,"A",IF(M117&lt;=2.75,"B",IF(M117&lt;=3.5,"C",IF(M117&lt;=4.25,"D",IF(M117&lt;=5,"E","F"))))))</f>
        <v>#REF!</v>
      </c>
      <c r="N118" s="265" t="e">
        <f>IF(N117="","",IF(N117&lt;=2,"A",IF(N117&lt;=2.75,"B",IF(N117&lt;=3.5,"C",IF(N117&lt;=4.25,"D",IF(N117&lt;=5,"E","F"))))))</f>
        <v>#REF!</v>
      </c>
      <c r="O118" s="265" t="e">
        <f>IF(O117="","",IF(O117&lt;=2,"A",IF(O117&lt;=2.75,"B",IF(O117&lt;=3.5,"C",IF(O117&lt;=4.25,"D",IF(O117&lt;=5,"E","F"))))))</f>
        <v>#REF!</v>
      </c>
      <c r="P118" s="265" t="e">
        <f>IF(P117="","",IF(P117&lt;=2,"A",IF(P117&lt;=2.75,"B",IF(P117&lt;=3.5,"C",IF(P117&lt;=4.25,"D",IF(P117&lt;=5,"E","F"))))))</f>
        <v>#REF!</v>
      </c>
      <c r="Q118" s="265" t="e">
        <f>IF(Q117="","",IF(Q117&lt;=2,"A",IF(Q117&lt;=2.75,"B",IF(Q117&lt;=3.5,"C",IF(Q117&lt;=4.25,"D",IF(Q117&lt;=5,"E","F"))))))</f>
        <v>#REF!</v>
      </c>
      <c r="R118" s="265" t="e">
        <f t="shared" ref="R118:S118" si="468">IF(R117="","",IF(R117&lt;=2,"A",IF(R117&lt;=2.75,"B",IF(R117&lt;=3.5,"C",IF(R117&lt;=4.25,"D",IF(R117&lt;=5,"E","F"))))))</f>
        <v>#REF!</v>
      </c>
      <c r="S118" s="265" t="e">
        <f t="shared" si="468"/>
        <v>#REF!</v>
      </c>
      <c r="T118" s="265"/>
      <c r="U118" s="265"/>
      <c r="V118" s="265"/>
      <c r="W118" s="265"/>
      <c r="X118" s="265"/>
      <c r="Y118" s="265"/>
      <c r="Z118" s="265"/>
      <c r="AA118" s="265"/>
      <c r="AB118" s="265"/>
      <c r="AC118" s="265"/>
      <c r="AD118" s="265"/>
      <c r="AE118" s="265"/>
      <c r="AF118" s="265"/>
      <c r="AG118" s="265"/>
      <c r="AH118" s="265"/>
      <c r="AI118" s="265"/>
      <c r="AJ118" s="265"/>
      <c r="AK118" s="265"/>
      <c r="AL118" s="265"/>
      <c r="AM118" s="265"/>
      <c r="AN118" s="265"/>
      <c r="AO118" s="265"/>
      <c r="AP118" s="265"/>
      <c r="AQ118" s="265"/>
      <c r="AR118" s="265"/>
      <c r="AS118" s="265"/>
      <c r="AT118" s="265"/>
      <c r="AU118" s="265"/>
      <c r="AV118" s="265"/>
      <c r="AW118" s="265"/>
      <c r="AX118" s="265"/>
      <c r="AY118" s="265"/>
      <c r="AZ118" s="265"/>
      <c r="BA118" s="265"/>
      <c r="BB118" s="265"/>
      <c r="BC118" s="265"/>
      <c r="BD118" s="265"/>
      <c r="BE118" s="265"/>
      <c r="BF118" s="265"/>
      <c r="BG118" s="265"/>
      <c r="BH118" s="265"/>
      <c r="BI118" s="265"/>
      <c r="BJ118" s="265"/>
      <c r="BK118" s="265"/>
      <c r="BL118" s="265"/>
      <c r="BM118" s="265"/>
      <c r="BN118" s="265"/>
      <c r="BO118" s="265"/>
      <c r="BP118" s="265"/>
      <c r="BQ118" s="265"/>
      <c r="BR118" s="265"/>
      <c r="BS118" s="265"/>
      <c r="BT118" s="265"/>
      <c r="BU118" s="265"/>
      <c r="BV118" s="265"/>
      <c r="BW118" s="265"/>
      <c r="BX118" s="265"/>
      <c r="BY118" s="265"/>
      <c r="BZ118" s="265"/>
      <c r="CA118" s="265"/>
      <c r="CB118" s="265"/>
      <c r="CC118" s="265"/>
      <c r="CD118" s="265"/>
      <c r="CE118" s="265"/>
      <c r="CF118" s="265"/>
      <c r="CG118" s="265"/>
      <c r="CH118" s="265"/>
      <c r="CI118" s="265"/>
      <c r="CJ118" s="265"/>
      <c r="CK118" s="265"/>
      <c r="CL118" s="265"/>
      <c r="CM118" s="265"/>
      <c r="CN118" s="265"/>
      <c r="CO118" s="265"/>
      <c r="CP118" s="265"/>
      <c r="CQ118" s="265"/>
      <c r="CR118" s="265"/>
      <c r="CS118" s="265"/>
      <c r="CT118" s="265"/>
      <c r="CU118" s="265"/>
      <c r="CV118" s="265"/>
      <c r="CW118" s="265"/>
      <c r="CX118" s="265"/>
      <c r="CY118" s="265"/>
      <c r="CZ118" s="265"/>
      <c r="DA118" s="265"/>
      <c r="DB118" s="265"/>
      <c r="DC118" s="265"/>
      <c r="DD118" s="265"/>
      <c r="DE118" s="265"/>
      <c r="DF118" s="265"/>
      <c r="DG118" s="265"/>
      <c r="DH118" s="265"/>
      <c r="DI118" s="265"/>
      <c r="DJ118" s="265"/>
      <c r="DK118" s="265"/>
      <c r="DL118" s="265"/>
      <c r="DM118" s="265"/>
      <c r="DN118" s="265"/>
      <c r="DO118" s="265"/>
      <c r="DP118" s="265"/>
      <c r="DQ118" s="265"/>
      <c r="DR118" s="265"/>
      <c r="DS118" s="265"/>
      <c r="DT118" s="265"/>
      <c r="DU118" s="265"/>
      <c r="DV118" s="265"/>
      <c r="DW118" s="265"/>
      <c r="DX118" s="265"/>
      <c r="DY118" s="265"/>
      <c r="DZ118" s="265"/>
      <c r="EA118" s="265"/>
      <c r="EB118" s="265"/>
      <c r="EC118" s="265"/>
      <c r="ED118" s="265"/>
      <c r="EE118" s="265"/>
      <c r="EF118" s="265"/>
      <c r="EG118" s="265"/>
      <c r="EH118" s="265"/>
      <c r="EI118" s="265"/>
      <c r="EJ118" s="265"/>
      <c r="EK118" s="265"/>
      <c r="EL118" s="265"/>
      <c r="EM118" s="265"/>
      <c r="EN118" s="265"/>
      <c r="EO118" s="265"/>
      <c r="EP118" s="265"/>
      <c r="EQ118" s="265"/>
      <c r="ER118" s="265"/>
      <c r="ES118" s="265"/>
      <c r="ET118" s="265"/>
      <c r="EU118" s="265"/>
      <c r="EV118" s="265"/>
      <c r="EW118" s="265"/>
      <c r="EX118" s="265"/>
      <c r="EY118" s="265"/>
      <c r="EZ118" s="265"/>
      <c r="FA118" s="265"/>
      <c r="FB118" s="265"/>
      <c r="FC118" s="265"/>
      <c r="FD118" s="265"/>
      <c r="FE118" s="265"/>
      <c r="FF118" s="265"/>
      <c r="FG118" s="265"/>
      <c r="FH118" s="265"/>
      <c r="FI118" s="265"/>
      <c r="FJ118" s="265"/>
      <c r="FK118" s="265"/>
      <c r="FL118" s="265"/>
      <c r="FM118" s="265"/>
      <c r="FN118" s="265"/>
      <c r="FO118" s="265"/>
      <c r="FP118" s="265"/>
      <c r="FQ118" s="265"/>
      <c r="FR118" s="265"/>
      <c r="FS118" s="265"/>
      <c r="FT118" s="265"/>
      <c r="FU118" s="265"/>
      <c r="FV118" s="265"/>
      <c r="FW118" s="265"/>
      <c r="FX118" s="265"/>
      <c r="FY118" s="265"/>
      <c r="FZ118" s="265"/>
      <c r="GA118" s="265"/>
      <c r="GB118" s="265"/>
      <c r="GC118" s="265"/>
      <c r="GD118" s="265"/>
      <c r="GE118" s="265"/>
      <c r="GF118" s="265"/>
      <c r="GG118" s="265"/>
      <c r="GH118" s="265"/>
      <c r="GI118" s="265"/>
      <c r="GJ118" s="265"/>
      <c r="GK118" s="265"/>
      <c r="GL118" s="265"/>
      <c r="GM118" s="265"/>
      <c r="GN118" s="265"/>
      <c r="GO118" s="265"/>
      <c r="GP118" s="265"/>
      <c r="GQ118" s="265"/>
      <c r="GR118" s="265"/>
      <c r="GS118" s="265"/>
      <c r="GT118" s="265"/>
      <c r="GU118" s="265"/>
      <c r="GV118" s="265"/>
      <c r="GW118" s="265"/>
      <c r="GX118" s="265"/>
    </row>
    <row r="119" spans="2:206" ht="13.5" thickBot="1" x14ac:dyDescent="0.3">
      <c r="B119" s="63"/>
      <c r="C119" s="30"/>
      <c r="D119" s="64"/>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1" spans="2:206" ht="25.5" x14ac:dyDescent="0.25">
      <c r="C121" s="21" t="s">
        <v>207</v>
      </c>
      <c r="D121" s="142" t="s">
        <v>237</v>
      </c>
    </row>
    <row r="122" spans="2:206" ht="15.75" x14ac:dyDescent="0.25">
      <c r="C122" s="21" t="s">
        <v>208</v>
      </c>
      <c r="D122" s="20" t="s">
        <v>212</v>
      </c>
    </row>
    <row r="123" spans="2:206" ht="15.75" x14ac:dyDescent="0.25">
      <c r="C123" s="21" t="s">
        <v>209</v>
      </c>
      <c r="D123" s="20" t="s">
        <v>213</v>
      </c>
    </row>
  </sheetData>
  <mergeCells count="83">
    <mergeCell ref="GM46:GP46"/>
    <mergeCell ref="GR46:GU46"/>
    <mergeCell ref="GW46:GX46"/>
    <mergeCell ref="GM112:GP112"/>
    <mergeCell ref="GR112:GU112"/>
    <mergeCell ref="GW112:GX112"/>
    <mergeCell ref="FS46:FV46"/>
    <mergeCell ref="FX46:GA46"/>
    <mergeCell ref="GC46:GF46"/>
    <mergeCell ref="GH46:GK46"/>
    <mergeCell ref="FS112:FV112"/>
    <mergeCell ref="FX112:GA112"/>
    <mergeCell ref="GC112:GF112"/>
    <mergeCell ref="GH112:GK112"/>
    <mergeCell ref="EY46:FB46"/>
    <mergeCell ref="FD46:FG46"/>
    <mergeCell ref="FI46:FL46"/>
    <mergeCell ref="FN46:FQ46"/>
    <mergeCell ref="EY112:FB112"/>
    <mergeCell ref="FD112:FG112"/>
    <mergeCell ref="FI112:FL112"/>
    <mergeCell ref="FN112:FQ112"/>
    <mergeCell ref="EE46:EH46"/>
    <mergeCell ref="EJ46:EM46"/>
    <mergeCell ref="EO46:ER46"/>
    <mergeCell ref="ET46:EW46"/>
    <mergeCell ref="EE112:EH112"/>
    <mergeCell ref="EJ112:EM112"/>
    <mergeCell ref="EO112:ER112"/>
    <mergeCell ref="ET112:EW112"/>
    <mergeCell ref="DK46:DN46"/>
    <mergeCell ref="DP46:DS46"/>
    <mergeCell ref="DU46:DX46"/>
    <mergeCell ref="DZ46:EC46"/>
    <mergeCell ref="DK112:DN112"/>
    <mergeCell ref="DP112:DS112"/>
    <mergeCell ref="DU112:DX112"/>
    <mergeCell ref="DZ112:EC112"/>
    <mergeCell ref="CQ46:CT46"/>
    <mergeCell ref="CV46:CY46"/>
    <mergeCell ref="DA46:DD46"/>
    <mergeCell ref="DF46:DI46"/>
    <mergeCell ref="CV112:CY112"/>
    <mergeCell ref="DA112:DD112"/>
    <mergeCell ref="DF112:DI112"/>
    <mergeCell ref="CQ112:CT112"/>
    <mergeCell ref="CG46:CJ46"/>
    <mergeCell ref="CL46:CO46"/>
    <mergeCell ref="CB112:CE112"/>
    <mergeCell ref="CG112:CJ112"/>
    <mergeCell ref="CL112:CO112"/>
    <mergeCell ref="BH112:BK112"/>
    <mergeCell ref="BM112:BP112"/>
    <mergeCell ref="BR112:BU112"/>
    <mergeCell ref="BW46:BZ46"/>
    <mergeCell ref="CB46:CE46"/>
    <mergeCell ref="BW112:BZ112"/>
    <mergeCell ref="BH46:BK46"/>
    <mergeCell ref="BM46:BP46"/>
    <mergeCell ref="BR46:BU46"/>
    <mergeCell ref="T46:W46"/>
    <mergeCell ref="T112:W112"/>
    <mergeCell ref="Y46:AB46"/>
    <mergeCell ref="Y112:AB112"/>
    <mergeCell ref="BC112:BF112"/>
    <mergeCell ref="AI112:AL112"/>
    <mergeCell ref="AD46:AG46"/>
    <mergeCell ref="AD112:AG112"/>
    <mergeCell ref="AN46:AQ46"/>
    <mergeCell ref="AS46:AV46"/>
    <mergeCell ref="AX46:BA46"/>
    <mergeCell ref="AN112:AQ112"/>
    <mergeCell ref="AS112:AV112"/>
    <mergeCell ref="AX112:BA112"/>
    <mergeCell ref="BC46:BF46"/>
    <mergeCell ref="AI46:AL46"/>
    <mergeCell ref="C7:D7"/>
    <mergeCell ref="C112:D112"/>
    <mergeCell ref="E112:S112"/>
    <mergeCell ref="C74:D74"/>
    <mergeCell ref="C86:D86"/>
    <mergeCell ref="C46:D46"/>
    <mergeCell ref="E46:S46"/>
  </mergeCells>
  <dataValidations count="3">
    <dataValidation type="list" allowBlank="1" showInputMessage="1" showErrorMessage="1" sqref="E42:GX42" xr:uid="{DC66922B-DD44-42E7-B43D-8FEFED89FAFE}">
      <formula1>"Signalized, Stop - Two way, Stop - All way, Free"</formula1>
    </dataValidation>
    <dataValidation type="decimal" operator="greaterThanOrEqual" allowBlank="1" showInputMessage="1" showErrorMessage="1" sqref="E11:GX11" xr:uid="{0B9845D2-8777-4D39-9CB8-81B050C771C3}">
      <formula1>0</formula1>
    </dataValidation>
    <dataValidation type="list" allowBlank="1" showInputMessage="1" showErrorMessage="1" sqref="E43:GX44" xr:uid="{E206F1D4-4BFE-476C-B123-603FD7CA6A52}">
      <formula1>"Yes,No"</formula1>
    </dataValidation>
  </dataValidations>
  <pageMargins left="0.125" right="0.125" top="0.5" bottom="0.5" header="0" footer="0"/>
  <pageSetup scale="29" fitToWidth="0" orientation="portrait" horizontalDpi="4294967295" verticalDpi="4294967295" r:id="rId1"/>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9EDE2-BA23-477F-86EB-80F1DD9FE912}">
  <sheetPr codeName="Sheet9"/>
  <dimension ref="B3:AH480"/>
  <sheetViews>
    <sheetView topLeftCell="S1" workbookViewId="0">
      <selection activeCell="Z14" sqref="Z14"/>
    </sheetView>
  </sheetViews>
  <sheetFormatPr defaultRowHeight="15.75" x14ac:dyDescent="0.25"/>
  <cols>
    <col min="2" max="2" width="7" bestFit="1" customWidth="1"/>
    <col min="4" max="4" width="11.375" bestFit="1" customWidth="1"/>
    <col min="5" max="5" width="11.75" customWidth="1"/>
    <col min="6" max="7" width="9.375" bestFit="1" customWidth="1"/>
    <col min="8" max="15" width="9.375" customWidth="1"/>
    <col min="17" max="17" width="7.25" customWidth="1"/>
    <col min="18" max="18" width="2.875" bestFit="1" customWidth="1"/>
    <col min="19" max="19" width="4.375" bestFit="1" customWidth="1"/>
    <col min="20" max="20" width="3.875" bestFit="1" customWidth="1"/>
    <col min="21" max="21" width="3.125" bestFit="1" customWidth="1"/>
    <col min="22" max="22" width="3.875" bestFit="1" customWidth="1"/>
    <col min="23" max="23" width="7.375" bestFit="1" customWidth="1"/>
    <col min="24" max="24" width="9.375" bestFit="1" customWidth="1"/>
    <col min="25" max="29" width="6.625" customWidth="1"/>
  </cols>
  <sheetData>
    <row r="3" spans="3:34" x14ac:dyDescent="0.25">
      <c r="D3">
        <v>100</v>
      </c>
      <c r="E3">
        <v>200</v>
      </c>
      <c r="F3">
        <v>300</v>
      </c>
      <c r="X3" s="281" t="s">
        <v>476</v>
      </c>
    </row>
    <row r="4" spans="3:34" x14ac:dyDescent="0.25">
      <c r="C4" s="280" t="s">
        <v>490</v>
      </c>
      <c r="D4">
        <v>200</v>
      </c>
      <c r="Q4" s="280" t="s">
        <v>491</v>
      </c>
      <c r="R4" s="280" t="s">
        <v>343</v>
      </c>
      <c r="S4" s="280" t="s">
        <v>486</v>
      </c>
      <c r="T4" s="280" t="s">
        <v>485</v>
      </c>
      <c r="U4" s="280" t="s">
        <v>484</v>
      </c>
      <c r="V4" s="280" t="s">
        <v>489</v>
      </c>
      <c r="W4" s="280" t="s">
        <v>490</v>
      </c>
      <c r="X4" s="275">
        <v>0</v>
      </c>
      <c r="Y4" s="275">
        <v>0.05</v>
      </c>
      <c r="Z4" s="275">
        <v>0.1</v>
      </c>
      <c r="AA4" s="275">
        <v>0.15</v>
      </c>
      <c r="AB4" s="275">
        <v>0.2</v>
      </c>
      <c r="AC4" s="275">
        <v>0.25</v>
      </c>
      <c r="AD4" s="275">
        <v>0.3</v>
      </c>
      <c r="AE4" s="275">
        <v>0.4</v>
      </c>
      <c r="AF4" s="275">
        <v>0.5</v>
      </c>
      <c r="AG4" s="275">
        <v>0.75</v>
      </c>
      <c r="AH4" s="275">
        <v>0.999</v>
      </c>
    </row>
    <row r="5" spans="3:34" x14ac:dyDescent="0.25">
      <c r="C5" s="280" t="s">
        <v>491</v>
      </c>
      <c r="D5">
        <v>20</v>
      </c>
      <c r="Q5">
        <v>20</v>
      </c>
      <c r="R5" s="274">
        <v>52</v>
      </c>
      <c r="S5" s="274">
        <v>10</v>
      </c>
      <c r="T5">
        <v>3.5</v>
      </c>
      <c r="U5">
        <v>3</v>
      </c>
      <c r="V5">
        <v>4</v>
      </c>
      <c r="W5">
        <v>100</v>
      </c>
      <c r="X5" s="279" t="e" cm="1">
        <f t="array" aca="1" ref="X5" ca="1">TWSC_PED_DELAY($Q5,$W5,$R5,$S5,$T5,$U5,X$4,$V5)</f>
        <v>#NAME?</v>
      </c>
      <c r="Y5" s="279" cm="1">
        <f t="array" ref="Y5">PEDBIKE_DELAY($Q5,$W5,$R5,$S5,$T5,$U5,Y$4,$V5,TRUE)</f>
        <v>5.0916520414269071</v>
      </c>
      <c r="Z5" s="279" cm="1">
        <f t="array" ref="Z5">PEDBIKE_DELAY($Q5,$W5,$R5,$S5,$T5,$U5,Z$4,$V5,TRUE)</f>
        <v>4.9197847348092107</v>
      </c>
      <c r="AA5" s="279" cm="1">
        <f t="array" ref="AA5">PEDBIKE_DELAY($Q5,$W5,$R5,$S5,$T5,$U5,AA$4,$V5,TRUE)</f>
        <v>4.7462081602438877</v>
      </c>
      <c r="AB5" s="279" cm="1">
        <f t="array" ref="AB5">PEDBIKE_DELAY($Q5,$W5,$R5,$S5,$T5,$U5,AB$4,$V5,TRUE)</f>
        <v>4.5709777344220397</v>
      </c>
      <c r="AC5" s="279" cm="1">
        <f t="array" ref="AC5">PEDBIKE_DELAY($Q5,$W5,$R5,$S5,$T5,$U5,AC$4,$V5,TRUE)</f>
        <v>4.3941522934182782</v>
      </c>
      <c r="AD5" s="279" cm="1">
        <f t="array" ref="AD5">PEDBIKE_DELAY($Q5,$W5,$R5,$S5,$T5,$U5,AD$4,$V5,TRUE)</f>
        <v>4.2157941923532842</v>
      </c>
      <c r="AE5" s="279" cm="1">
        <f t="array" ref="AE5">PEDBIKE_DELAY($Q5,$W5,$R5,$S5,$T5,$U5,AE$4,$V5,TRUE)</f>
        <v>3.8547476373438134</v>
      </c>
      <c r="AF5" s="279" cm="1">
        <f t="array" ref="AF5">PEDBIKE_DELAY($Q5,$W5,$R5,$S5,$T5,$U5,AF$4,$V5,TRUE)</f>
        <v>3.4884112016023154</v>
      </c>
      <c r="AG5" s="279" cm="1">
        <f t="array" ref="AG5">PEDBIKE_DELAY($Q5,$W5,$R5,$S5,$T5,$U5,AG$4,$V5,TRUE)</f>
        <v>2.5537662853187744</v>
      </c>
      <c r="AH5" s="279" cm="1">
        <f t="array" ref="AH5">PEDBIKE_DELAY($Q5,$W5,$R5,$S5,$T5,$U5,AH$4,$V5,TRUE)</f>
        <v>1.6058758186965647</v>
      </c>
    </row>
    <row r="6" spans="3:34" x14ac:dyDescent="0.25">
      <c r="C6" s="280" t="s">
        <v>343</v>
      </c>
      <c r="D6" s="274">
        <v>52</v>
      </c>
      <c r="Q6">
        <v>20</v>
      </c>
      <c r="R6" s="274">
        <v>52</v>
      </c>
      <c r="S6" s="274">
        <v>10</v>
      </c>
      <c r="T6">
        <v>3.5</v>
      </c>
      <c r="U6">
        <v>3</v>
      </c>
      <c r="V6">
        <v>4</v>
      </c>
      <c r="W6">
        <v>110</v>
      </c>
      <c r="X6" s="279" t="e" cm="1">
        <f t="array" aca="1" ref="X6" ca="1">TWSC_PED_DELAY($Q6,$W6,$R6,$S6,$T6,$U6,X$4,$V6)</f>
        <v>#NAME?</v>
      </c>
      <c r="Y6" s="279" cm="1">
        <f t="array" ref="Y6">PEDBIKE_DELAY($Q6,$W6,$R6,$S6,$T6,$U6,Y$4,$V6,TRUE)</f>
        <v>5.6926025862493255</v>
      </c>
      <c r="Z6" s="279" cm="1">
        <f t="array" ref="Z6">PEDBIKE_DELAY($Q6,$W6,$R6,$S6,$T6,$U6,Z$4,$V6,TRUE)</f>
        <v>5.4902730613334789</v>
      </c>
      <c r="AA6" s="279" cm="1">
        <f t="array" ref="AA6">PEDBIKE_DELAY($Q6,$W6,$R6,$S6,$T6,$U6,AA$4,$V6,TRUE)</f>
        <v>5.2862824034061209</v>
      </c>
      <c r="AB6" s="279" cm="1">
        <f t="array" ref="AB6">PEDBIKE_DELAY($Q6,$W6,$R6,$S6,$T6,$U6,AB$4,$V6,TRUE)</f>
        <v>5.0807476631481547</v>
      </c>
      <c r="AC6" s="279" cm="1">
        <f t="array" ref="AC6">PEDBIKE_DELAY($Q6,$W6,$R6,$S6,$T6,$U6,AC$4,$V6,TRUE)</f>
        <v>4.8737928707720801</v>
      </c>
      <c r="AD6" s="279" cm="1">
        <f t="array" ref="AD6">PEDBIKE_DELAY($Q6,$W6,$R6,$S6,$T6,$U6,AD$4,$V6,TRUE)</f>
        <v>4.6655492571027155</v>
      </c>
      <c r="AE6" s="279" cm="1">
        <f t="array" ref="AE6">PEDBIKE_DELAY($Q6,$W6,$R6,$S6,$T6,$U6,AE$4,$V6,TRUE)</f>
        <v>4.2457578521124315</v>
      </c>
      <c r="AF6" s="279" cm="1">
        <f t="array" ref="AF6">PEDBIKE_DELAY($Q6,$W6,$R6,$S6,$T6,$U6,AF$4,$V6,TRUE)</f>
        <v>3.8225760101698594</v>
      </c>
      <c r="AG6" s="279" cm="1">
        <f t="array" ref="AG6">PEDBIKE_DELAY($Q6,$W6,$R6,$S6,$T6,$U6,AG$4,$V6,TRUE)</f>
        <v>2.7588762224350267</v>
      </c>
      <c r="AH6" s="279" cm="1">
        <f t="array" ref="AH6">PEDBIKE_DELAY($Q6,$W6,$R6,$S6,$T6,$U6,AH$4,$V6,TRUE)</f>
        <v>1.7116082640723698</v>
      </c>
    </row>
    <row r="7" spans="3:34" x14ac:dyDescent="0.25">
      <c r="C7" s="280" t="s">
        <v>486</v>
      </c>
      <c r="D7" s="274">
        <v>10</v>
      </c>
      <c r="Q7">
        <v>20</v>
      </c>
      <c r="R7" s="274">
        <v>52</v>
      </c>
      <c r="S7" s="274">
        <v>10</v>
      </c>
      <c r="T7">
        <v>3.5</v>
      </c>
      <c r="U7">
        <v>3</v>
      </c>
      <c r="V7">
        <v>4</v>
      </c>
      <c r="W7">
        <v>120</v>
      </c>
      <c r="X7" s="279" t="e" cm="1">
        <f t="array" aca="1" ref="X7" ca="1">TWSC_PED_DELAY($Q7,$W7,$R7,$S7,$T7,$U7,X$4,$V7)</f>
        <v>#NAME?</v>
      </c>
      <c r="Y7" s="279" cm="1">
        <f t="array" ref="Y7">PEDBIKE_DELAY($Q7,$W7,$R7,$S7,$T7,$U7,Y$4,$V7,TRUE)</f>
        <v>6.3140405944386426</v>
      </c>
      <c r="Z7" s="279" cm="1">
        <f t="array" ref="Z7">PEDBIKE_DELAY($Q7,$W7,$R7,$S7,$T7,$U7,Z$4,$V7,TRUE)</f>
        <v>6.0794608872333766</v>
      </c>
      <c r="AA7" s="279" cm="1">
        <f t="array" ref="AA7">PEDBIKE_DELAY($Q7,$W7,$R7,$S7,$T7,$U7,AA$4,$V7,TRUE)</f>
        <v>5.8431797177712186</v>
      </c>
      <c r="AB7" s="279" cm="1">
        <f t="array" ref="AB7">PEDBIKE_DELAY($Q7,$W7,$R7,$S7,$T7,$U7,AB$4,$V7,TRUE)</f>
        <v>5.6053902984076664</v>
      </c>
      <c r="AC7" s="279" cm="1">
        <f t="array" ref="AC7">PEDBIKE_DELAY($Q7,$W7,$R7,$S7,$T7,$U7,AC$4,$V7,TRUE)</f>
        <v>5.3662978743731395</v>
      </c>
      <c r="AD7" s="279" cm="1">
        <f t="array" ref="AD7">PEDBIKE_DELAY($Q7,$W7,$R7,$S7,$T7,$U7,AD$4,$V7,TRUE)</f>
        <v>5.1261201388068223</v>
      </c>
      <c r="AE7" s="279" cm="1">
        <f t="array" ref="AE7">PEDBIKE_DELAY($Q7,$W7,$R7,$S7,$T7,$U7,AE$4,$V7,TRUE)</f>
        <v>4.6434443040767777</v>
      </c>
      <c r="AF7" s="279" cm="1">
        <f t="array" ref="AF7">PEDBIKE_DELAY($Q7,$W7,$R7,$S7,$T7,$U7,AF$4,$V7,TRUE)</f>
        <v>4.1593696907194877</v>
      </c>
      <c r="AG7" s="279" cm="1">
        <f t="array" ref="AG7">PEDBIKE_DELAY($Q7,$W7,$R7,$S7,$T7,$U7,AG$4,$V7,TRUE)</f>
        <v>2.9583266634530725</v>
      </c>
      <c r="AH7" s="279" cm="1">
        <f t="array" ref="AH7">PEDBIKE_DELAY($Q7,$W7,$R7,$S7,$T7,$U7,AH$4,$V7,TRUE)</f>
        <v>1.8094896500720246</v>
      </c>
    </row>
    <row r="8" spans="3:34" x14ac:dyDescent="0.25">
      <c r="C8" s="280" t="s">
        <v>485</v>
      </c>
      <c r="D8">
        <v>3.5</v>
      </c>
      <c r="Q8">
        <v>20</v>
      </c>
      <c r="R8" s="274">
        <v>52</v>
      </c>
      <c r="S8" s="274">
        <v>10</v>
      </c>
      <c r="T8">
        <v>3.5</v>
      </c>
      <c r="U8">
        <v>3</v>
      </c>
      <c r="V8">
        <v>4</v>
      </c>
      <c r="W8">
        <v>130</v>
      </c>
      <c r="X8" s="279" t="e" cm="1">
        <f t="array" aca="1" ref="X8" ca="1">TWSC_PED_DELAY($Q8,$W8,$R8,$S8,$T8,$U8,X$4,$V8)</f>
        <v>#NAME?</v>
      </c>
      <c r="Y8" s="279" cm="1">
        <f t="array" ref="Y8">PEDBIKE_DELAY($Q8,$W8,$R8,$S8,$T8,$U8,Y$4,$V8,TRUE)</f>
        <v>6.9569803518692845</v>
      </c>
      <c r="Z8" s="279" cm="1">
        <f t="array" ref="Z8">PEDBIKE_DELAY($Q8,$W8,$R8,$S8,$T8,$U8,Z$4,$V8,TRUE)</f>
        <v>6.6884886478275893</v>
      </c>
      <c r="AA8" s="279" cm="1">
        <f t="array" ref="AA8">PEDBIKE_DELAY($Q8,$W8,$R8,$S8,$T8,$U8,AA$4,$V8,TRUE)</f>
        <v>6.4181419182176027</v>
      </c>
      <c r="AB8" s="279" cm="1">
        <f t="array" ref="AB8">PEDBIKE_DELAY($Q8,$W8,$R8,$S8,$T8,$U8,AB$4,$V8,TRUE)</f>
        <v>6.1462239389306159</v>
      </c>
      <c r="AC8" s="279" cm="1">
        <f t="array" ref="AC8">PEDBIKE_DELAY($Q8,$W8,$R8,$S8,$T8,$U8,AC$4,$V8,TRUE)</f>
        <v>5.873037342214217</v>
      </c>
      <c r="AD8" s="279" cm="1">
        <f t="array" ref="AD8">PEDBIKE_DELAY($Q8,$W8,$R8,$S8,$T8,$U8,AD$4,$V8,TRUE)</f>
        <v>5.598904322688405</v>
      </c>
      <c r="AE8" s="279" cm="1">
        <f t="array" ref="AE8">PEDBIKE_DELAY($Q8,$W8,$R8,$S8,$T8,$U8,AE$4,$V8,TRUE)</f>
        <v>5.0491899688462976</v>
      </c>
      <c r="AF8" s="279" cm="1">
        <f t="array" ref="AF8">PEDBIKE_DELAY($Q8,$W8,$R8,$S8,$T8,$U8,AF$4,$V8,TRUE)</f>
        <v>4.5000776626233581</v>
      </c>
      <c r="AG8" s="279" cm="1">
        <f t="array" ref="AG8">PEDBIKE_DELAY($Q8,$W8,$R8,$S8,$T8,$U8,AG$4,$V8,TRUE)</f>
        <v>3.152927749999459</v>
      </c>
      <c r="AH8" s="279" cm="1">
        <f t="array" ref="AH8">PEDBIKE_DELAY($Q8,$W8,$R8,$S8,$T8,$U8,AH$4,$V8,TRUE)</f>
        <v>1.8999629502516366</v>
      </c>
    </row>
    <row r="9" spans="3:34" x14ac:dyDescent="0.25">
      <c r="C9" s="280" t="s">
        <v>484</v>
      </c>
      <c r="D9">
        <v>3</v>
      </c>
      <c r="Q9">
        <v>20</v>
      </c>
      <c r="R9" s="274">
        <v>52</v>
      </c>
      <c r="S9" s="274">
        <v>10</v>
      </c>
      <c r="T9">
        <v>3.5</v>
      </c>
      <c r="U9">
        <v>3</v>
      </c>
      <c r="V9">
        <v>4</v>
      </c>
      <c r="W9">
        <v>140</v>
      </c>
      <c r="X9" s="279" t="e" cm="1">
        <f t="array" aca="1" ref="X9" ca="1">TWSC_PED_DELAY($Q9,$W9,$R9,$S9,$T9,$U9,X$4,$V9)</f>
        <v>#NAME?</v>
      </c>
      <c r="Y9" s="279" cm="1">
        <f t="array" ref="Y9">PEDBIKE_DELAY($Q9,$W9,$R9,$S9,$T9,$U9,Y$4,$V9,TRUE)</f>
        <v>7.6224616888356742</v>
      </c>
      <c r="Z9" s="279" cm="1">
        <f t="array" ref="Z9">PEDBIKE_DELAY($Q9,$W9,$R9,$S9,$T9,$U9,Z$4,$V9,TRUE)</f>
        <v>7.3185143279109361</v>
      </c>
      <c r="AA9" s="279" cm="1">
        <f t="array" ref="AA9">PEDBIKE_DELAY($Q9,$W9,$R9,$S9,$T9,$U9,AA$4,$V9,TRUE)</f>
        <v>7.0124221848040182</v>
      </c>
      <c r="AB9" s="279" cm="1">
        <f t="array" ref="AB9">PEDBIKE_DELAY($Q9,$W9,$R9,$S9,$T9,$U9,AB$4,$V9,TRUE)</f>
        <v>6.7045735874565233</v>
      </c>
      <c r="AC9" s="279" cm="1">
        <f t="array" ref="AC9">PEDBIKE_DELAY($Q9,$W9,$R9,$S9,$T9,$U9,AC$4,$V9,TRUE)</f>
        <v>6.395384594744197</v>
      </c>
      <c r="AD9" s="279" cm="1">
        <f t="array" ref="AD9">PEDBIKE_DELAY($Q9,$W9,$R9,$S9,$T9,$U9,AD$4,$V9,TRUE)</f>
        <v>6.0853001190485694</v>
      </c>
      <c r="AE9" s="279" cm="1">
        <f t="array" ref="AE9">PEDBIKE_DELAY($Q9,$W9,$R9,$S9,$T9,$U9,AE$4,$V9,TRUE)</f>
        <v>5.4643755900363926</v>
      </c>
      <c r="AF9" s="279" cm="1">
        <f t="array" ref="AF9">PEDBIKE_DELAY($Q9,$W9,$R9,$S9,$T9,$U9,AF$4,$V9,TRUE)</f>
        <v>4.8459810106859402</v>
      </c>
      <c r="AG9" s="279" cm="1">
        <f t="array" ref="AG9">PEDBIKE_DELAY($Q9,$W9,$R9,$S9,$T9,$U9,AG$4,$V9,TRUE)</f>
        <v>3.3434764995039754</v>
      </c>
      <c r="AH9" s="279" cm="1">
        <f t="array" ref="AH9">PEDBIKE_DELAY($Q9,$W9,$R9,$S9,$T9,$U9,AH$4,$V9,TRUE)</f>
        <v>1.98344792811663</v>
      </c>
    </row>
    <row r="10" spans="3:34" x14ac:dyDescent="0.25">
      <c r="C10" s="280" t="s">
        <v>489</v>
      </c>
      <c r="D10">
        <v>4</v>
      </c>
      <c r="Q10">
        <v>20</v>
      </c>
      <c r="R10" s="274">
        <v>52</v>
      </c>
      <c r="S10" s="274">
        <v>10</v>
      </c>
      <c r="T10">
        <v>3.5</v>
      </c>
      <c r="U10">
        <v>3</v>
      </c>
      <c r="V10">
        <v>4</v>
      </c>
      <c r="W10">
        <v>150</v>
      </c>
      <c r="X10" s="279" t="e" cm="1">
        <f t="array" aca="1" ref="X10" ca="1">TWSC_PED_DELAY($Q10,$W10,$R10,$S10,$T10,$U10,X$4,$V10)</f>
        <v>#NAME?</v>
      </c>
      <c r="Y10" s="279" cm="1">
        <f t="array" ref="Y10">PEDBIKE_DELAY($Q10,$W10,$R10,$S10,$T10,$U10,Y$4,$V10,TRUE)</f>
        <v>8.3115520811552344</v>
      </c>
      <c r="Z10" s="279" cm="1">
        <f t="array" ref="Z10">PEDBIKE_DELAY($Q10,$W10,$R10,$S10,$T10,$U10,Z$4,$V10,TRUE)</f>
        <v>7.9707159764688145</v>
      </c>
      <c r="AA10" s="279" cm="1">
        <f t="array" ref="AA10">PEDBIKE_DELAY($Q10,$W10,$R10,$S10,$T10,$U10,AA$4,$V10,TRUE)</f>
        <v>7.6272878566328286</v>
      </c>
      <c r="AB10" s="279" cm="1">
        <f t="array" ref="AB10">PEDBIKE_DELAY($Q10,$W10,$R10,$S10,$T10,$U10,AB$4,$V10,TRUE)</f>
        <v>7.2817739136469264</v>
      </c>
      <c r="AC10" s="279" cm="1">
        <f t="array" ref="AC10">PEDBIKE_DELAY($Q10,$W10,$R10,$S10,$T10,$U10,AC$4,$V10,TRUE)</f>
        <v>6.9347192780159155</v>
      </c>
      <c r="AD10" s="279" cm="1">
        <f t="array" ref="AD10">PEDBIKE_DELAY($Q10,$W10,$R10,$S10,$T10,$U10,AD$4,$V10,TRUE)</f>
        <v>6.5867097161301968</v>
      </c>
      <c r="AE10" s="279" cm="1">
        <f t="array" ref="AE10">PEDBIKE_DELAY($Q10,$W10,$R10,$S10,$T10,$U10,AE$4,$V10,TRUE)</f>
        <v>5.8903825990941749</v>
      </c>
      <c r="AF10" s="279" cm="1">
        <f t="array" ref="AF10">PEDBIKE_DELAY($Q10,$W10,$R10,$S10,$T10,$U10,AF$4,$V10,TRUE)</f>
        <v>5.1983591420019533</v>
      </c>
      <c r="AG10" s="279" cm="1">
        <f t="array" ref="AG10">PEDBIKE_DELAY($Q10,$W10,$R10,$S10,$T10,$U10,AG$4,$V10,TRUE)</f>
        <v>3.5307585826677856</v>
      </c>
      <c r="AH10" s="279" cm="1">
        <f t="array" ref="AH10">PEDBIKE_DELAY($Q10,$W10,$R10,$S10,$T10,$U10,AH$4,$V10,TRUE)</f>
        <v>2.0603423165173815</v>
      </c>
    </row>
    <row r="11" spans="3:34" x14ac:dyDescent="0.25">
      <c r="C11" s="280" t="s">
        <v>477</v>
      </c>
      <c r="D11" s="273">
        <v>0.5</v>
      </c>
      <c r="Q11">
        <v>20</v>
      </c>
      <c r="R11" s="274">
        <v>52</v>
      </c>
      <c r="S11" s="274">
        <v>10</v>
      </c>
      <c r="T11">
        <v>3.5</v>
      </c>
      <c r="U11">
        <v>3</v>
      </c>
      <c r="V11">
        <v>4</v>
      </c>
      <c r="W11">
        <v>160</v>
      </c>
      <c r="X11" s="279" t="e" cm="1">
        <f t="array" aca="1" ref="X11" ca="1">TWSC_PED_DELAY($Q11,$W11,$R11,$S11,$T11,$U11,X$4,$V11)</f>
        <v>#NAME?</v>
      </c>
      <c r="Y11" s="279" cm="1">
        <f t="array" ref="Y11">PEDBIKE_DELAY($Q11,$W11,$R11,$S11,$T11,$U11,Y$4,$V11,TRUE)</f>
        <v>9.0253487872372347</v>
      </c>
      <c r="Z11" s="279" cm="1">
        <f t="array" ref="Z11">PEDBIKE_DELAY($Q11,$W11,$R11,$S11,$T11,$U11,Z$4,$V11,TRUE)</f>
        <v>8.6462942361894921</v>
      </c>
      <c r="AA11" s="279" cm="1">
        <f t="array" ref="AA11">PEDBIKE_DELAY($Q11,$W11,$R11,$S11,$T11,$U11,AA$4,$V11,TRUE)</f>
        <v>8.2640232268684652</v>
      </c>
      <c r="AB11" s="279" cm="1">
        <f t="array" ref="AB11">PEDBIKE_DELAY($Q11,$W11,$R11,$S11,$T11,$U11,AB$4,$V11,TRUE)</f>
        <v>7.8791722100467823</v>
      </c>
      <c r="AC11" s="279" cm="1">
        <f t="array" ref="AC11">PEDBIKE_DELAY($Q11,$W11,$R11,$S11,$T11,$U11,AC$4,$V11,TRUE)</f>
        <v>7.4924303956465996</v>
      </c>
      <c r="AD11" s="279" cm="1">
        <f t="array" ref="AD11">PEDBIKE_DELAY($Q11,$W11,$R11,$S11,$T11,$U11,AD$4,$V11,TRUE)</f>
        <v>7.1045422200526671</v>
      </c>
      <c r="AE11" s="279" cm="1">
        <f t="array" ref="AE11">PEDBIKE_DELAY($Q11,$W11,$R11,$S11,$T11,$U11,AE$4,$V11,TRUE)</f>
        <v>6.3285960219748087</v>
      </c>
      <c r="AF11" s="279" cm="1">
        <f t="array" ref="AF11">PEDBIKE_DELAY($Q11,$W11,$R11,$S11,$T11,$U11,AF$4,$V11,TRUE)</f>
        <v>5.558492428934322</v>
      </c>
      <c r="AG11" s="279" cm="1">
        <f t="array" ref="AG11">PEDBIKE_DELAY($Q11,$W11,$R11,$S11,$T11,$U11,AG$4,$V11,TRUE)</f>
        <v>3.7155500672381052</v>
      </c>
      <c r="AH11" s="279" cm="1">
        <f t="array" ref="AH11">PEDBIKE_DELAY($Q11,$W11,$R11,$S11,$T11,$U11,AH$4,$V11,TRUE)</f>
        <v>2.1310229380531531</v>
      </c>
    </row>
    <row r="12" spans="3:34" x14ac:dyDescent="0.25">
      <c r="Q12">
        <v>20</v>
      </c>
      <c r="R12" s="274">
        <v>52</v>
      </c>
      <c r="S12" s="274">
        <v>10</v>
      </c>
      <c r="T12">
        <v>3.5</v>
      </c>
      <c r="U12">
        <v>3</v>
      </c>
      <c r="V12">
        <v>4</v>
      </c>
      <c r="W12">
        <v>170</v>
      </c>
      <c r="X12" s="279" t="e" cm="1">
        <f t="array" aca="1" ref="X12" ca="1">TWSC_PED_DELAY($Q12,$W12,$R12,$S12,$T12,$U12,X$4,$V12)</f>
        <v>#NAME?</v>
      </c>
      <c r="Y12" s="279" cm="1">
        <f t="array" ref="Y12">PEDBIKE_DELAY($Q12,$W12,$R12,$S12,$T12,$U12,Y$4,$V12,TRUE)</f>
        <v>9.764981025735322</v>
      </c>
      <c r="Z12" s="279" cm="1">
        <f t="array" ref="Z12">PEDBIKE_DELAY($Q12,$W12,$R12,$S12,$T12,$U12,Z$4,$V12,TRUE)</f>
        <v>9.3464748934528696</v>
      </c>
      <c r="AA12" s="279" cm="1">
        <f t="array" ref="AA12">PEDBIKE_DELAY($Q12,$W12,$R12,$S12,$T12,$U12,AA$4,$V12,TRUE)</f>
        <v>8.923932345236322</v>
      </c>
      <c r="AB12" s="279" cm="1">
        <f t="array" ref="AB12">PEDBIKE_DELAY($Q12,$W12,$R12,$S12,$T12,$U12,AB$4,$V12,TRUE)</f>
        <v>8.4981313477666838</v>
      </c>
      <c r="AC12" s="279" cm="1">
        <f t="array" ref="AC12">PEDBIKE_DELAY($Q12,$W12,$R12,$S12,$T12,$U12,AC$4,$V12,TRUE)</f>
        <v>8.0699193363972697</v>
      </c>
      <c r="AD12" s="279" cm="1">
        <f t="array" ref="AD12">PEDBIKE_DELAY($Q12,$W12,$R12,$S12,$T12,$U12,AD$4,$V12,TRUE)</f>
        <v>7.640216688612</v>
      </c>
      <c r="AE12" s="279" cm="1">
        <f t="array" ref="AE12">PEDBIKE_DELAY($Q12,$W12,$R12,$S12,$T12,$U12,AE$4,$V12,TRUE)</f>
        <v>6.7804073791732922</v>
      </c>
      <c r="AF12" s="279" cm="1">
        <f t="array" ref="AF12">PEDBIKE_DELAY($Q12,$W12,$R12,$S12,$T12,$U12,AF$4,$V12,TRUE)</f>
        <v>5.9276648442350908</v>
      </c>
      <c r="AG12" s="279" cm="1">
        <f t="array" ref="AG12">PEDBIKE_DELAY($Q12,$W12,$R12,$S12,$T12,$U12,AG$4,$V12,TRUE)</f>
        <v>3.8986191324414206</v>
      </c>
      <c r="AH12" s="279" cm="1">
        <f t="array" ref="AH12">PEDBIKE_DELAY($Q12,$W12,$R12,$S12,$T12,$U12,AH$4,$V12,TRUE)</f>
        <v>2.1958467694079937</v>
      </c>
    </row>
    <row r="13" spans="3:34" x14ac:dyDescent="0.25">
      <c r="C13" s="278" t="s">
        <v>476</v>
      </c>
      <c r="D13" s="279" cm="1">
        <f t="array" ref="D13">PEDBIKE_DELAY(D5,D4,D6,D7,D8,D9,D11,D10,TRUE)</f>
        <v>6.970081199402248</v>
      </c>
      <c r="Q13">
        <v>20</v>
      </c>
      <c r="R13" s="274">
        <v>52</v>
      </c>
      <c r="S13" s="274">
        <v>10</v>
      </c>
      <c r="T13">
        <v>3.5</v>
      </c>
      <c r="U13">
        <v>3</v>
      </c>
      <c r="V13">
        <v>4</v>
      </c>
      <c r="W13">
        <v>180</v>
      </c>
      <c r="X13" s="279" t="e" cm="1">
        <f t="array" aca="1" ref="X13" ca="1">TWSC_PED_DELAY($Q13,$W13,$R13,$S13,$T13,$U13,X$4,$V13)</f>
        <v>#NAME?</v>
      </c>
      <c r="Y13" s="279" cm="1">
        <f t="array" ref="Y13">PEDBIKE_DELAY($Q13,$W13,$R13,$S13,$T13,$U13,Y$4,$V13,TRUE)</f>
        <v>10.531612198454663</v>
      </c>
      <c r="Z13" s="279" cm="1">
        <f t="array" ref="Z13">PEDBIKE_DELAY($Q13,$W13,$R13,$S13,$T13,$U13,Z$4,$V13,TRUE)</f>
        <v>10.07251145447292</v>
      </c>
      <c r="AA13" s="279" cm="1">
        <f t="array" ref="AA13">PEDBIKE_DELAY($Q13,$W13,$R13,$S13,$T13,$U13,AA$4,$V13,TRUE)</f>
        <v>9.6083418342927072</v>
      </c>
      <c r="AB13" s="279" cm="1">
        <f t="array" ref="AB13">PEDBIKE_DELAY($Q13,$W13,$R13,$S13,$T13,$U13,AB$4,$V13,TRUE)</f>
        <v>9.1400327385042779</v>
      </c>
      <c r="AC13" s="279" cm="1">
        <f t="array" ref="AC13">PEDBIKE_DELAY($Q13,$W13,$R13,$S13,$T13,$U13,AC$4,$V13,TRUE)</f>
        <v>8.6686029041146657</v>
      </c>
      <c r="AD13" s="279" cm="1">
        <f t="array" ref="AD13">PEDBIKE_DELAY($Q13,$W13,$R13,$S13,$T13,$U13,AD$4,$V13,TRUE)</f>
        <v>8.1951651656746787</v>
      </c>
      <c r="AE13" s="279" cm="1">
        <f t="array" ref="AE13">PEDBIKE_DELAY($Q13,$W13,$R13,$S13,$T13,$U13,AE$4,$V13,TRUE)</f>
        <v>7.2472175855523089</v>
      </c>
      <c r="AF13" s="279" cm="1">
        <f t="array" ref="AF13">PEDBIKE_DELAY($Q13,$W13,$R13,$S13,$T13,$U13,AF$4,$V13,TRUE)</f>
        <v>6.3071665942696207</v>
      </c>
      <c r="AG13" s="279" cm="1">
        <f t="array" ref="AG13">PEDBIKE_DELAY($Q13,$W13,$R13,$S13,$T13,$U13,AG$4,$V13,TRUE)</f>
        <v>4.0807277583341754</v>
      </c>
      <c r="AH13" s="279" cm="1">
        <f t="array" ref="AH13">PEDBIKE_DELAY($Q13,$W13,$R13,$S13,$T13,$U13,AH$4,$V13,TRUE)</f>
        <v>2.2551519523983399</v>
      </c>
    </row>
    <row r="14" spans="3:34" x14ac:dyDescent="0.25">
      <c r="C14" s="278" t="s">
        <v>475</v>
      </c>
      <c r="D14" s="279">
        <f>INDEX(G33:G480,MATCH(D29,$B33:$B480,0),1)</f>
        <v>8.3737259143308389</v>
      </c>
      <c r="Q14">
        <v>20</v>
      </c>
      <c r="R14" s="274">
        <v>52</v>
      </c>
      <c r="S14" s="274">
        <v>10</v>
      </c>
      <c r="T14">
        <v>3.5</v>
      </c>
      <c r="U14">
        <v>3</v>
      </c>
      <c r="V14">
        <v>4</v>
      </c>
      <c r="W14">
        <v>190</v>
      </c>
      <c r="X14" s="279" t="e" cm="1">
        <f t="array" aca="1" ref="X14" ca="1">TWSC_PED_DELAY($Q14,$W14,$R14,$S14,$T14,$U14,X$4,$V14)</f>
        <v>#NAME?</v>
      </c>
      <c r="Y14" s="279" cm="1">
        <f t="array" ref="Y14">PEDBIKE_DELAY($Q14,$W14,$R14,$S14,$T14,$U14,Y$4,$V14,TRUE)</f>
        <v>11.316594786198491</v>
      </c>
      <c r="Z14" s="279" cm="1">
        <f t="array" ref="Z14">PEDBIKE_DELAY($Q14,$W14,$R14,$S14,$T14,$U14,Z$4,$V14,TRUE)</f>
        <v>10.807068203563938</v>
      </c>
      <c r="AA14" s="279" cm="1">
        <f t="array" ref="AA14">PEDBIKE_DELAY($Q14,$W14,$R14,$S14,$T14,$U14,AA$4,$V14,TRUE)</f>
        <v>10.292363467289052</v>
      </c>
      <c r="AB14" s="279" cm="1">
        <f t="array" ref="AB14">PEDBIKE_DELAY($Q14,$W14,$R14,$S14,$T14,$U14,AB$4,$V14,TRUE)</f>
        <v>9.7736373777123653</v>
      </c>
      <c r="AC14" s="279" cm="1">
        <f t="array" ref="AC14">PEDBIKE_DELAY($Q14,$W14,$R14,$S14,$T14,$U14,AC$4,$V14,TRUE)</f>
        <v>9.2521482322582109</v>
      </c>
      <c r="AD14" s="279" cm="1">
        <f t="array" ref="AD14">PEDBIKE_DELAY($Q14,$W14,$R14,$S14,$T14,$U14,AD$4,$V14,TRUE)</f>
        <v>8.7292594577792286</v>
      </c>
      <c r="AE14" s="279" cm="1">
        <f t="array" ref="AE14">PEDBIKE_DELAY($Q14,$W14,$R14,$S14,$T14,$U14,AE$4,$V14,TRUE)</f>
        <v>7.6852835106996951</v>
      </c>
      <c r="AF14" s="279" cm="1">
        <f t="array" ref="AF14">PEDBIKE_DELAY($Q14,$W14,$R14,$S14,$T14,$U14,AF$4,$V14,TRUE)</f>
        <v>6.6548510576026843</v>
      </c>
      <c r="AG14" s="279" cm="1">
        <f t="array" ref="AG14">PEDBIKE_DELAY($Q14,$W14,$R14,$S14,$T14,$U14,AG$4,$V14,TRUE)</f>
        <v>4.2415978955448876</v>
      </c>
      <c r="AH14" s="279" cm="1">
        <f t="array" ref="AH14">PEDBIKE_DELAY($Q14,$W14,$R14,$S14,$T14,$U14,AH$4,$V14,TRUE)</f>
        <v>2.3092581776824868</v>
      </c>
    </row>
    <row r="15" spans="3:34" x14ac:dyDescent="0.25">
      <c r="Q15">
        <v>20</v>
      </c>
      <c r="R15" s="274">
        <v>52</v>
      </c>
      <c r="S15" s="274">
        <v>10</v>
      </c>
      <c r="T15">
        <v>3.5</v>
      </c>
      <c r="U15">
        <v>3</v>
      </c>
      <c r="V15">
        <v>4</v>
      </c>
      <c r="W15">
        <v>200</v>
      </c>
      <c r="X15" s="279" t="e" cm="1">
        <f t="array" aca="1" ref="X15" ca="1">TWSC_PED_DELAY($Q15,$W15,$R15,$S15,$T15,$U15,X$4,$V15)</f>
        <v>#NAME?</v>
      </c>
      <c r="Y15" s="279" cm="1">
        <f t="array" ref="Y15">PEDBIKE_DELAY($Q15,$W15,$R15,$S15,$T15,$U15,Y$4,$V15,TRUE)</f>
        <v>12.121432827702021</v>
      </c>
      <c r="Z15" s="279" cm="1">
        <f t="array" ref="Z15">PEDBIKE_DELAY($Q15,$W15,$R15,$S15,$T15,$U15,Z$4,$V15,TRUE)</f>
        <v>11.551815480146249</v>
      </c>
      <c r="AA15" s="279" cm="1">
        <f t="array" ref="AA15">PEDBIKE_DELAY($Q15,$W15,$R15,$S15,$T15,$U15,AA$4,$V15,TRUE)</f>
        <v>10.977666581188929</v>
      </c>
      <c r="AB15" s="279" cm="1">
        <f t="array" ref="AB15">PEDBIKE_DELAY($Q15,$W15,$R15,$S15,$T15,$U15,AB$4,$V15,TRUE)</f>
        <v>10.400471827555119</v>
      </c>
      <c r="AC15" s="279" cm="1">
        <f t="array" ref="AC15">PEDBIKE_DELAY($Q15,$W15,$R15,$S15,$T15,$U15,AC$4,$V15,TRUE)</f>
        <v>9.8218253264261079</v>
      </c>
      <c r="AD15" s="279" cm="1">
        <f t="array" ref="AD15">PEDBIKE_DELAY($Q15,$W15,$R15,$S15,$T15,$U15,AD$4,$V15,TRUE)</f>
        <v>9.2434292275691874</v>
      </c>
      <c r="AE15" s="279" cm="1">
        <f t="array" ref="AE15">PEDBIKE_DELAY($Q15,$W15,$R15,$S15,$T15,$U15,AE$4,$V15,TRUE)</f>
        <v>8.0947290808063457</v>
      </c>
      <c r="AF15" s="279" cm="1">
        <f t="array" ref="AF15">PEDBIKE_DELAY($Q15,$W15,$R15,$S15,$T15,$U15,AF$4,$V15,TRUE)</f>
        <v>6.970081199402248</v>
      </c>
      <c r="AG15" s="279" cm="1">
        <f t="array" ref="AG15">PEDBIKE_DELAY($Q15,$W15,$R15,$S15,$T15,$U15,AG$4,$V15,TRUE)</f>
        <v>4.3802067879004358</v>
      </c>
      <c r="AH15" s="279" cm="1">
        <f t="array" ref="AH15">PEDBIKE_DELAY($Q15,$W15,$R15,$S15,$T15,$U15,AH$4,$V15,TRUE)</f>
        <v>2.358468679154448</v>
      </c>
    </row>
    <row r="16" spans="3:34" x14ac:dyDescent="0.25">
      <c r="Q16">
        <v>20</v>
      </c>
      <c r="R16" s="274">
        <v>52</v>
      </c>
      <c r="S16" s="274">
        <v>10</v>
      </c>
      <c r="T16">
        <v>3.5</v>
      </c>
      <c r="U16">
        <v>3</v>
      </c>
      <c r="V16">
        <v>4</v>
      </c>
      <c r="W16">
        <v>210</v>
      </c>
      <c r="X16" s="279" t="e" cm="1">
        <f t="array" aca="1" ref="X16" ca="1">TWSC_PED_DELAY($Q16,$W16,$R16,$S16,$T16,$U16,X$4,$V16)</f>
        <v>#NAME?</v>
      </c>
      <c r="Y16" s="279" cm="1">
        <f t="array" ref="Y16">PEDBIKE_DELAY($Q16,$W16,$R16,$S16,$T16,$U16,Y$4,$V16,TRUE)</f>
        <v>12.956069794393223</v>
      </c>
      <c r="Z16" s="279" cm="1">
        <f t="array" ref="Z16">PEDBIKE_DELAY($Q16,$W16,$R16,$S16,$T16,$U16,Z$4,$V16,TRUE)</f>
        <v>12.324429181887718</v>
      </c>
      <c r="AA16" s="279" cm="1">
        <f t="array" ref="AA16">PEDBIKE_DELAY($Q16,$W16,$R16,$S16,$T16,$U16,AA$4,$V16,TRUE)</f>
        <v>11.688583388968951</v>
      </c>
      <c r="AB16" s="279" cm="1">
        <f t="array" ref="AB16">PEDBIKE_DELAY($Q16,$W16,$R16,$S16,$T16,$U16,AB$4,$V16,TRUE)</f>
        <v>11.050397176679009</v>
      </c>
      <c r="AC16" s="279" cm="1">
        <f t="array" ref="AC16">PEDBIKE_DELAY($Q16,$W16,$R16,$S16,$T16,$U16,AC$4,$V16,TRUE)</f>
        <v>10.411856718453498</v>
      </c>
      <c r="AD16" s="279" cm="1">
        <f t="array" ref="AD16">PEDBIKE_DELAY($Q16,$W16,$R16,$S16,$T16,$U16,AD$4,$V16,TRUE)</f>
        <v>9.7750646359832913</v>
      </c>
      <c r="AE16" s="279" cm="1">
        <f t="array" ref="AE16">PEDBIKE_DELAY($Q16,$W16,$R16,$S16,$T16,$U16,AE$4,$V16,TRUE)</f>
        <v>8.5156760325428031</v>
      </c>
      <c r="AF16" s="279" cm="1">
        <f t="array" ref="AF16">PEDBIKE_DELAY($Q16,$W16,$R16,$S16,$T16,$U16,AF$4,$V16,TRUE)</f>
        <v>7.2910750038953243</v>
      </c>
      <c r="AG16" s="279" cm="1">
        <f t="array" ref="AG16">PEDBIKE_DELAY($Q16,$W16,$R16,$S16,$T16,$U16,AG$4,$V16,TRUE)</f>
        <v>4.5147638805965213</v>
      </c>
      <c r="AH16" s="279" cm="1">
        <f t="array" ref="AH16">PEDBIKE_DELAY($Q16,$W16,$R16,$S16,$T16,$U16,AH$4,$V16,TRUE)</f>
        <v>2.4030711329265775</v>
      </c>
    </row>
    <row r="17" spans="2:34" x14ac:dyDescent="0.25">
      <c r="Q17">
        <v>20</v>
      </c>
      <c r="R17" s="274">
        <v>52</v>
      </c>
      <c r="S17" s="274">
        <v>10</v>
      </c>
      <c r="T17">
        <v>3.5</v>
      </c>
      <c r="U17">
        <v>3</v>
      </c>
      <c r="V17">
        <v>4</v>
      </c>
      <c r="W17">
        <v>220</v>
      </c>
      <c r="X17" s="279" t="e" cm="1">
        <f t="array" aca="1" ref="X17" ca="1">TWSC_PED_DELAY($Q17,$W17,$R17,$S17,$T17,$U17,X$4,$V17)</f>
        <v>#NAME?</v>
      </c>
      <c r="Y17" s="279" cm="1">
        <f t="array" ref="Y17">PEDBIKE_DELAY($Q17,$W17,$R17,$S17,$T17,$U17,Y$4,$V17,TRUE)</f>
        <v>13.82192059185032</v>
      </c>
      <c r="Z17" s="279" cm="1">
        <f t="array" ref="Z17">PEDBIKE_DELAY($Q17,$W17,$R17,$S17,$T17,$U17,Z$4,$V17,TRUE)</f>
        <v>13.126460434752994</v>
      </c>
      <c r="AA17" s="279" cm="1">
        <f t="array" ref="AA17">PEDBIKE_DELAY($Q17,$W17,$R17,$S17,$T17,$U17,AA$4,$V17,TRUE)</f>
        <v>12.42676496317292</v>
      </c>
      <c r="AB17" s="279" cm="1">
        <f t="array" ref="AB17">PEDBIKE_DELAY($Q17,$W17,$R17,$S17,$T17,$U17,AB$4,$V17,TRUE)</f>
        <v>11.72512624453293</v>
      </c>
      <c r="AC17" s="279" cm="1">
        <f t="array" ref="AC17">PEDBIKE_DELAY($Q17,$W17,$R17,$S17,$T17,$U17,AC$4,$V17,TRUE)</f>
        <v>11.023978047820568</v>
      </c>
      <c r="AD17" s="279" cm="1">
        <f t="array" ref="AD17">PEDBIKE_DELAY($Q17,$W17,$R17,$S17,$T17,$U17,AD$4,$V17,TRUE)</f>
        <v>10.325885771156312</v>
      </c>
      <c r="AE17" s="279" cm="1">
        <f t="array" ref="AE17">PEDBIKE_DELAY($Q17,$W17,$R17,$S17,$T17,$U17,AE$4,$V17,TRUE)</f>
        <v>8.9497071647768323</v>
      </c>
      <c r="AF17" s="279" cm="1">
        <f t="array" ref="AF17">PEDBIKE_DELAY($Q17,$W17,$R17,$S17,$T17,$U17,AF$4,$V17,TRUE)</f>
        <v>7.6191646026818525</v>
      </c>
      <c r="AG17" s="279" cm="1">
        <f t="array" ref="AG17">PEDBIKE_DELAY($Q17,$W17,$R17,$S17,$T17,$U17,AG$4,$V17,TRUE)</f>
        <v>4.6458388339269039</v>
      </c>
      <c r="AH17" s="279" cm="1">
        <f t="array" ref="AH17">PEDBIKE_DELAY($Q17,$W17,$R17,$S17,$T17,$U17,AH$4,$V17,TRUE)</f>
        <v>2.4433374646275885</v>
      </c>
    </row>
    <row r="18" spans="2:34" x14ac:dyDescent="0.25">
      <c r="C18" t="s">
        <v>479</v>
      </c>
      <c r="D18" s="273">
        <f>$D$9+$D$6/$D$8</f>
        <v>17.857142857142858</v>
      </c>
      <c r="Q18">
        <v>20</v>
      </c>
      <c r="R18" s="274">
        <v>52</v>
      </c>
      <c r="S18" s="274">
        <v>10</v>
      </c>
      <c r="T18">
        <v>3.5</v>
      </c>
      <c r="U18">
        <v>3</v>
      </c>
      <c r="V18">
        <v>4</v>
      </c>
      <c r="W18">
        <v>230</v>
      </c>
      <c r="X18" s="279" t="e" cm="1">
        <f t="array" aca="1" ref="X18" ca="1">TWSC_PED_DELAY($Q18,$W18,$R18,$S18,$T18,$U18,X$4,$V18)</f>
        <v>#NAME?</v>
      </c>
      <c r="Y18" s="279" cm="1">
        <f t="array" ref="Y18">PEDBIKE_DELAY($Q18,$W18,$R18,$S18,$T18,$U18,Y$4,$V18,TRUE)</f>
        <v>14.720439813919048</v>
      </c>
      <c r="Z18" s="279" cm="1">
        <f t="array" ref="Z18">PEDBIKE_DELAY($Q18,$W18,$R18,$S18,$T18,$U18,Z$4,$V18,TRUE)</f>
        <v>13.959491050515329</v>
      </c>
      <c r="AA18" s="279" cm="1">
        <f t="array" ref="AA18">PEDBIKE_DELAY($Q18,$W18,$R18,$S18,$T18,$U18,AA$4,$V18,TRUE)</f>
        <v>13.193886872027077</v>
      </c>
      <c r="AB18" s="279" cm="1">
        <f t="array" ref="AB18">PEDBIKE_DELAY($Q18,$W18,$R18,$S18,$T18,$U18,AB$4,$V18,TRUE)</f>
        <v>12.426392388273706</v>
      </c>
      <c r="AC18" s="279" cm="1">
        <f t="array" ref="AC18">PEDBIKE_DELAY($Q18,$W18,$R18,$S18,$T18,$U18,AC$4,$V18,TRUE)</f>
        <v>11.659943175202516</v>
      </c>
      <c r="AD18" s="279" cm="1">
        <f t="array" ref="AD18">PEDBIKE_DELAY($Q18,$W18,$R18,$S18,$T18,$U18,AD$4,$V18,TRUE)</f>
        <v>10.897629690702626</v>
      </c>
      <c r="AE18" s="279" cm="1">
        <f t="array" ref="AE18">PEDBIKE_DELAY($Q18,$W18,$R18,$S18,$T18,$U18,AE$4,$V18,TRUE)</f>
        <v>9.3984208520844295</v>
      </c>
      <c r="AF18" s="279" cm="1">
        <f t="array" ref="AF18">PEDBIKE_DELAY($Q18,$W18,$R18,$S18,$T18,$U18,AF$4,$V18,TRUE)</f>
        <v>7.9556950996432585</v>
      </c>
      <c r="AG18" s="279" cm="1">
        <f t="array" ref="AG18">PEDBIKE_DELAY($Q18,$W18,$R18,$S18,$T18,$U18,AG$4,$V18,TRUE)</f>
        <v>4.7739966682507911</v>
      </c>
      <c r="AH18" s="279" cm="1">
        <f t="array" ref="AH18">PEDBIKE_DELAY($Q18,$W18,$R18,$S18,$T18,$U18,AH$4,$V18,TRUE)</f>
        <v>2.479525108470821</v>
      </c>
    </row>
    <row r="19" spans="2:34" x14ac:dyDescent="0.25">
      <c r="C19" t="s">
        <v>482</v>
      </c>
      <c r="D19" s="273">
        <f>D4/3600</f>
        <v>5.5555555555555552E-2</v>
      </c>
      <c r="Q19">
        <v>20</v>
      </c>
      <c r="R19" s="274">
        <v>52</v>
      </c>
      <c r="S19" s="274">
        <v>10</v>
      </c>
      <c r="T19">
        <v>3.5</v>
      </c>
      <c r="U19">
        <v>3</v>
      </c>
      <c r="V19">
        <v>4</v>
      </c>
      <c r="W19">
        <v>240</v>
      </c>
      <c r="X19" s="279" t="e" cm="1">
        <f t="array" aca="1" ref="X19" ca="1">TWSC_PED_DELAY($Q19,$W19,$R19,$S19,$T19,$U19,X$4,$V19)</f>
        <v>#NAME?</v>
      </c>
      <c r="Y19" s="279" cm="1">
        <f t="array" ref="Y19">PEDBIKE_DELAY($Q19,$W19,$R19,$S19,$T19,$U19,Y$4,$V19,TRUE)</f>
        <v>15.653124715721349</v>
      </c>
      <c r="Z19" s="279" cm="1">
        <f t="array" ref="Z19">PEDBIKE_DELAY($Q19,$W19,$R19,$S19,$T19,$U19,Z$4,$V19,TRUE)</f>
        <v>14.825136935398829</v>
      </c>
      <c r="AA19" s="279" cm="1">
        <f t="array" ref="AA19">PEDBIKE_DELAY($Q19,$W19,$R19,$S19,$T19,$U19,AA$4,$V19,TRUE)</f>
        <v>13.991652801094196</v>
      </c>
      <c r="AB19" s="279" cm="1">
        <f t="array" ref="AB19">PEDBIKE_DELAY($Q19,$W19,$R19,$S19,$T19,$U19,AB$4,$V19,TRUE)</f>
        <v>13.155953172027598</v>
      </c>
      <c r="AC19" s="279" cm="1">
        <f t="array" ref="AC19">PEDBIKE_DELAY($Q19,$W19,$R19,$S19,$T19,$U19,AC$4,$V19,TRUE)</f>
        <v>12.321527781795847</v>
      </c>
      <c r="AD19" s="279" cm="1">
        <f t="array" ref="AD19">PEDBIKE_DELAY($Q19,$W19,$R19,$S19,$T19,$U19,AD$4,$V19,TRUE)</f>
        <v>11.492053871906778</v>
      </c>
      <c r="AE19" s="279" cm="1">
        <f t="array" ref="AE19">PEDBIKE_DELAY($Q19,$W19,$R19,$S19,$T19,$U19,AE$4,$V19,TRUE)</f>
        <v>9.8634340671808598</v>
      </c>
      <c r="AF19" s="279" cm="1">
        <f t="array" ref="AF19">PEDBIKE_DELAY($Q19,$W19,$R19,$S19,$T19,$U19,AF$4,$V19,TRUE)</f>
        <v>8.302027096694939</v>
      </c>
      <c r="AG19" s="279" cm="1">
        <f t="array" ref="AG19">PEDBIKE_DELAY($Q19,$W19,$R19,$S19,$T19,$U19,AG$4,$V19,TRUE)</f>
        <v>4.8997990428342275</v>
      </c>
      <c r="AH19" s="279" cm="1">
        <f t="array" ref="AH19">PEDBIKE_DELAY($Q19,$W19,$R19,$S19,$T19,$U19,AH$4,$V19,TRUE)</f>
        <v>2.5118777497026961</v>
      </c>
    </row>
    <row r="20" spans="2:34" x14ac:dyDescent="0.25">
      <c r="C20" t="s">
        <v>483</v>
      </c>
      <c r="D20" s="273">
        <f>$D$5/3600</f>
        <v>5.5555555555555558E-3</v>
      </c>
      <c r="Q20">
        <v>20</v>
      </c>
      <c r="R20" s="274">
        <v>52</v>
      </c>
      <c r="S20" s="274">
        <v>10</v>
      </c>
      <c r="T20">
        <v>3.5</v>
      </c>
      <c r="U20">
        <v>3</v>
      </c>
      <c r="V20">
        <v>4</v>
      </c>
      <c r="W20">
        <v>250</v>
      </c>
      <c r="X20" s="279" t="e" cm="1">
        <f t="array" aca="1" ref="X20" ca="1">TWSC_PED_DELAY($Q20,$W20,$R20,$S20,$T20,$U20,X$4,$V20)</f>
        <v>#NAME?</v>
      </c>
      <c r="Y20" s="279" cm="1">
        <f t="array" ref="Y20">PEDBIKE_DELAY($Q20,$W20,$R20,$S20,$T20,$U20,Y$4,$V20,TRUE)</f>
        <v>16.621518246905943</v>
      </c>
      <c r="Z20" s="279" cm="1">
        <f t="array" ref="Z20">PEDBIKE_DELAY($Q20,$W20,$R20,$S20,$T20,$U20,Z$4,$V20,TRUE)</f>
        <v>15.725051538258061</v>
      </c>
      <c r="AA20" s="279" cm="1">
        <f t="array" ref="AA20">PEDBIKE_DELAY($Q20,$W20,$R20,$S20,$T20,$U20,AA$4,$V20,TRUE)</f>
        <v>14.821798205947683</v>
      </c>
      <c r="AB20" s="279" cm="1">
        <f t="array" ref="AB20">PEDBIKE_DELAY($Q20,$W20,$R20,$S20,$T20,$U20,AB$4,$V20,TRUE)</f>
        <v>13.915594065892197</v>
      </c>
      <c r="AC20" s="279" cm="1">
        <f t="array" ref="AC20">PEDBIKE_DELAY($Q20,$W20,$R20,$S20,$T20,$U20,AC$4,$V20,TRUE)</f>
        <v>13.010533000624122</v>
      </c>
      <c r="AD20" s="279" cm="1">
        <f t="array" ref="AD20">PEDBIKE_DELAY($Q20,$W20,$R20,$S20,$T20,$U20,AD$4,$V20,TRUE)</f>
        <v>12.110939696998472</v>
      </c>
      <c r="AE20" s="279" cm="1">
        <f t="array" ref="AE20">PEDBIKE_DELAY($Q20,$W20,$R20,$S20,$T20,$U20,AE$4,$V20,TRUE)</f>
        <v>10.346385440936192</v>
      </c>
      <c r="AF20" s="279" cm="1">
        <f t="array" ref="AF20">PEDBIKE_DELAY($Q20,$W20,$R20,$S20,$T20,$U20,AF$4,$V20,TRUE)</f>
        <v>8.6595392504545323</v>
      </c>
      <c r="AG20" s="279" cm="1">
        <f t="array" ref="AG20">PEDBIKE_DELAY($Q20,$W20,$R20,$S20,$T20,$U20,AG$4,$V20,TRUE)</f>
        <v>5.023805520654097</v>
      </c>
      <c r="AH20" s="279" cm="1">
        <f t="array" ref="AH20">PEDBIKE_DELAY($Q20,$W20,$R20,$S20,$T20,$U20,AH$4,$V20,TRUE)</f>
        <v>2.5406260297386494</v>
      </c>
    </row>
    <row r="21" spans="2:34" x14ac:dyDescent="0.25">
      <c r="C21" s="276" t="s">
        <v>480</v>
      </c>
      <c r="D21" s="273">
        <f>MAX(8*D22/D7,1)</f>
        <v>1</v>
      </c>
      <c r="F21" s="271"/>
      <c r="G21" s="271"/>
      <c r="H21" s="271"/>
      <c r="I21" s="271"/>
      <c r="J21" s="271"/>
      <c r="K21" s="271"/>
      <c r="L21" s="271"/>
      <c r="M21" s="271"/>
      <c r="N21" s="271"/>
      <c r="O21" s="271"/>
      <c r="Q21">
        <v>20</v>
      </c>
      <c r="R21" s="274">
        <v>52</v>
      </c>
      <c r="S21" s="274">
        <v>10</v>
      </c>
      <c r="T21">
        <v>3.5</v>
      </c>
      <c r="U21">
        <v>3</v>
      </c>
      <c r="V21">
        <v>4</v>
      </c>
      <c r="W21">
        <v>260</v>
      </c>
      <c r="X21" s="279" t="e" cm="1">
        <f t="array" aca="1" ref="X21" ca="1">TWSC_PED_DELAY($Q21,$W21,$R21,$S21,$T21,$U21,X$4,$V21)</f>
        <v>#NAME?</v>
      </c>
      <c r="Y21" s="279" cm="1">
        <f t="array" ref="Y21">PEDBIKE_DELAY($Q21,$W21,$R21,$S21,$T21,$U21,Y$4,$V21,TRUE)</f>
        <v>17.608911236604001</v>
      </c>
      <c r="Z21" s="279" cm="1">
        <f t="array" ref="Z21">PEDBIKE_DELAY($Q21,$W21,$R21,$S21,$T21,$U21,Z$4,$V21,TRUE)</f>
        <v>16.626819266093527</v>
      </c>
      <c r="AA21" s="279" cm="1">
        <f t="array" ref="AA21">PEDBIKE_DELAY($Q21,$W21,$R21,$S21,$T21,$U21,AA$4,$V21,TRUE)</f>
        <v>15.638856151449161</v>
      </c>
      <c r="AB21" s="279" cm="1">
        <f t="array" ref="AB21">PEDBIKE_DELAY($Q21,$W21,$R21,$S21,$T21,$U21,AB$4,$V21,TRUE)</f>
        <v>14.649590096634402</v>
      </c>
      <c r="AC21" s="279" cm="1">
        <f t="array" ref="AC21">PEDBIKE_DELAY($Q21,$W21,$R21,$S21,$T21,$U21,AC$4,$V21,TRUE)</f>
        <v>13.663850495652536</v>
      </c>
      <c r="AD21" s="279" cm="1">
        <f t="array" ref="AD21">PEDBIKE_DELAY($Q21,$W21,$R21,$S21,$T21,$U21,AD$4,$V21,TRUE)</f>
        <v>12.686684502355853</v>
      </c>
      <c r="AE21" s="279" cm="1">
        <f t="array" ref="AE21">PEDBIKE_DELAY($Q21,$W21,$R21,$S21,$T21,$U21,AE$4,$V21,TRUE)</f>
        <v>10.779017107951404</v>
      </c>
      <c r="AF21" s="279" cm="1">
        <f t="array" ref="AF21">PEDBIKE_DELAY($Q21,$W21,$R21,$S21,$T21,$U21,AF$4,$V21,TRUE)</f>
        <v>8.9689909924997426</v>
      </c>
      <c r="AG21" s="279" cm="1">
        <f t="array" ref="AG21">PEDBIKE_DELAY($Q21,$W21,$R21,$S21,$T21,$U21,AG$4,$V21,TRUE)</f>
        <v>5.1287447606121681</v>
      </c>
      <c r="AH21" s="279" cm="1">
        <f t="array" ref="AH21">PEDBIKE_DELAY($Q21,$W21,$R21,$S21,$T21,$U21,AH$4,$V21,TRUE)</f>
        <v>2.5659882134763983</v>
      </c>
    </row>
    <row r="22" spans="2:34" x14ac:dyDescent="0.25">
      <c r="C22" t="s">
        <v>481</v>
      </c>
      <c r="D22" s="273">
        <f>(D20*EXP(D20*D18)+D19*EXP(-D19*D18))/((D20+D19)*EXP((D20-D19)*D18))</f>
        <v>1.0683956206427061</v>
      </c>
      <c r="F22" s="271"/>
      <c r="G22" s="271">
        <f>($D$24*$D$11)^3</f>
        <v>1.3247018060976909E-3</v>
      </c>
      <c r="H22" s="271">
        <f>($D$24*$D$11)^4</f>
        <v>1.4548699416963644E-4</v>
      </c>
      <c r="I22" s="271"/>
      <c r="K22" s="271"/>
      <c r="L22" s="271"/>
      <c r="M22" s="271"/>
      <c r="N22" s="271"/>
      <c r="O22" s="271"/>
      <c r="Q22">
        <v>20</v>
      </c>
      <c r="R22" s="274">
        <v>52</v>
      </c>
      <c r="S22" s="274">
        <v>10</v>
      </c>
      <c r="T22">
        <v>3.5</v>
      </c>
      <c r="U22">
        <v>3</v>
      </c>
      <c r="V22">
        <v>4</v>
      </c>
      <c r="W22">
        <v>270</v>
      </c>
      <c r="X22" s="279" t="e" cm="1">
        <f t="array" aca="1" ref="X22" ca="1">TWSC_PED_DELAY($Q22,$W22,$R22,$S22,$T22,$U22,X$4,$V22)</f>
        <v>#NAME?</v>
      </c>
      <c r="Y22" s="279" cm="1">
        <f t="array" ref="Y22">PEDBIKE_DELAY($Q22,$W22,$R22,$S22,$T22,$U22,Y$4,$V22,TRUE)</f>
        <v>18.628382987785145</v>
      </c>
      <c r="Z22" s="279" cm="1">
        <f t="array" ref="Z22">PEDBIKE_DELAY($Q22,$W22,$R22,$S22,$T22,$U22,Z$4,$V22,TRUE)</f>
        <v>17.553224533310363</v>
      </c>
      <c r="AA22" s="279" cm="1">
        <f t="array" ref="AA22">PEDBIKE_DELAY($Q22,$W22,$R22,$S22,$T22,$U22,AA$4,$V22,TRUE)</f>
        <v>16.473408290599114</v>
      </c>
      <c r="AB22" s="279" cm="1">
        <f t="array" ref="AB22">PEDBIKE_DELAY($Q22,$W22,$R22,$S22,$T22,$U22,AB$4,$V22,TRUE)</f>
        <v>15.394385461229319</v>
      </c>
      <c r="AC22" s="279" cm="1">
        <f t="array" ref="AC22">PEDBIKE_DELAY($Q22,$W22,$R22,$S22,$T22,$U22,AC$4,$V22,TRUE)</f>
        <v>14.321865965687579</v>
      </c>
      <c r="AD22" s="279" cm="1">
        <f t="array" ref="AD22">PEDBIKE_DELAY($Q22,$W22,$R22,$S22,$T22,$U22,AD$4,$V22,TRUE)</f>
        <v>13.26175240653872</v>
      </c>
      <c r="AE22" s="279" cm="1">
        <f t="array" ref="AE22">PEDBIKE_DELAY($Q22,$W22,$R22,$S22,$T22,$U22,AE$4,$V22,TRUE)</f>
        <v>11.202830596411223</v>
      </c>
      <c r="AF22" s="279" cm="1">
        <f t="array" ref="AF22">PEDBIKE_DELAY($Q22,$W22,$R22,$S22,$T22,$U22,AF$4,$V22,TRUE)</f>
        <v>9.2653663966665771</v>
      </c>
      <c r="AG22" s="279" cm="1">
        <f t="array" ref="AG22">PEDBIKE_DELAY($Q22,$W22,$R22,$S22,$T22,$U22,AG$4,$V22,TRUE)</f>
        <v>5.2243389763909693</v>
      </c>
      <c r="AH22" s="279" cm="1">
        <f t="array" ref="AH22">PEDBIKE_DELAY($Q22,$W22,$R22,$S22,$T22,$U22,AH$4,$V22,TRUE)</f>
        <v>2.588170831132917</v>
      </c>
    </row>
    <row r="23" spans="2:34" x14ac:dyDescent="0.25">
      <c r="C23" t="s">
        <v>473</v>
      </c>
      <c r="D23" s="273">
        <f>D18+2*(D21-1)</f>
        <v>17.857142857142858</v>
      </c>
      <c r="F23" s="271"/>
      <c r="G23" s="271">
        <f>3*$D$24^2 * (1-$D$24)*$D$11^2</f>
        <v>2.8237186045674628E-2</v>
      </c>
      <c r="H23" s="271">
        <f>4*$D$24^3 * (1-$D$24)*$D$11^3</f>
        <v>4.1349112710336727E-3</v>
      </c>
      <c r="I23" s="271"/>
      <c r="K23" s="271"/>
      <c r="L23" s="271"/>
      <c r="M23" s="271"/>
      <c r="N23" s="271"/>
      <c r="O23" s="271"/>
      <c r="Q23">
        <v>20</v>
      </c>
      <c r="R23" s="274">
        <v>52</v>
      </c>
      <c r="S23" s="274">
        <v>10</v>
      </c>
      <c r="T23">
        <v>3.5</v>
      </c>
      <c r="U23">
        <v>3</v>
      </c>
      <c r="V23">
        <v>4</v>
      </c>
      <c r="W23">
        <v>280</v>
      </c>
      <c r="X23" s="279" t="e" cm="1">
        <f t="array" aca="1" ref="X23" ca="1">TWSC_PED_DELAY($Q23,$W23,$R23,$S23,$T23,$U23,X$4,$V23)</f>
        <v>#NAME?</v>
      </c>
      <c r="Y23" s="279" cm="1">
        <f t="array" ref="Y23">PEDBIKE_DELAY($Q23,$W23,$R23,$S23,$T23,$U23,Y$4,$V23,TRUE)</f>
        <v>19.687906016249105</v>
      </c>
      <c r="Z23" s="279" cm="1">
        <f t="array" ref="Z23">PEDBIKE_DELAY($Q23,$W23,$R23,$S23,$T23,$U23,Z$4,$V23,TRUE)</f>
        <v>18.517698407450293</v>
      </c>
      <c r="AA23" s="279" cm="1">
        <f t="array" ref="AA23">PEDBIKE_DELAY($Q23,$W23,$R23,$S23,$T23,$U23,AA$4,$V23,TRUE)</f>
        <v>17.343360484536024</v>
      </c>
      <c r="AB23" s="279" cm="1">
        <f t="array" ref="AB23">PEDBIKE_DELAY($Q23,$W23,$R23,$S23,$T23,$U23,AB$4,$V23,TRUE)</f>
        <v>16.171333201527304</v>
      </c>
      <c r="AC23" s="279" cm="1">
        <f t="array" ref="AC23">PEDBIKE_DELAY($Q23,$W23,$R23,$S23,$T23,$U23,AC$4,$V23,TRUE)</f>
        <v>15.008331122726474</v>
      </c>
      <c r="AD23" s="279" cm="1">
        <f t="array" ref="AD23">PEDBIKE_DELAY($Q23,$W23,$R23,$S23,$T23,$U23,AD$4,$V23,TRUE)</f>
        <v>13.861250609314215</v>
      </c>
      <c r="AE23" s="279" cm="1">
        <f t="array" ref="AE23">PEDBIKE_DELAY($Q23,$W23,$R23,$S23,$T23,$U23,AE$4,$V23,TRUE)</f>
        <v>11.642683363701948</v>
      </c>
      <c r="AF23" s="279" cm="1">
        <f t="array" ref="AF23">PEDBIKE_DELAY($Q23,$W23,$R23,$S23,$T23,$U23,AF$4,$V23,TRUE)</f>
        <v>9.5699254467924639</v>
      </c>
      <c r="AG23" s="279" cm="1">
        <f t="array" ref="AG23">PEDBIKE_DELAY($Q23,$W23,$R23,$S23,$T23,$U23,AG$4,$V23,TRUE)</f>
        <v>5.3167642594889593</v>
      </c>
      <c r="AH23" s="279" cm="1">
        <f t="array" ref="AH23">PEDBIKE_DELAY($Q23,$W23,$R23,$S23,$T23,$U23,AH$4,$V23,TRUE)</f>
        <v>2.6073692783105478</v>
      </c>
    </row>
    <row r="24" spans="2:34" x14ac:dyDescent="0.25">
      <c r="C24" t="s">
        <v>471</v>
      </c>
      <c r="D24" s="272">
        <f>1-EXP(-D23*D19/$D$10)</f>
        <v>0.21965244328942568</v>
      </c>
      <c r="F24" s="271"/>
      <c r="G24" s="271">
        <f>3*$D$24 * (1-$D$24)^2 * $D$11</f>
        <v>0.20063349907826772</v>
      </c>
      <c r="H24" s="271">
        <f>6*$D$24^2 * (1-$D$24)^2 * $D$11^2</f>
        <v>4.4069638278248238E-2</v>
      </c>
      <c r="I24" s="271"/>
      <c r="K24" s="271"/>
      <c r="L24" s="271"/>
      <c r="M24" s="271"/>
      <c r="N24" s="271"/>
      <c r="O24" s="271"/>
      <c r="Q24">
        <v>20</v>
      </c>
      <c r="R24" s="274">
        <v>52</v>
      </c>
      <c r="S24" s="274">
        <v>10</v>
      </c>
      <c r="T24">
        <v>3.5</v>
      </c>
      <c r="U24">
        <v>3</v>
      </c>
      <c r="V24">
        <v>4</v>
      </c>
      <c r="W24">
        <v>290</v>
      </c>
      <c r="X24" s="279" t="e" cm="1">
        <f t="array" aca="1" ref="X24" ca="1">TWSC_PED_DELAY($Q24,$W24,$R24,$S24,$T24,$U24,X$4,$V24)</f>
        <v>#NAME?</v>
      </c>
      <c r="Y24" s="279" cm="1">
        <f t="array" ref="Y24">PEDBIKE_DELAY($Q24,$W24,$R24,$S24,$T24,$U24,Y$4,$V24,TRUE)</f>
        <v>20.789310143899211</v>
      </c>
      <c r="Z24" s="279" cm="1">
        <f t="array" ref="Z24">PEDBIKE_DELAY($Q24,$W24,$R24,$S24,$T24,$U24,Z$4,$V24,TRUE)</f>
        <v>19.522205864367749</v>
      </c>
      <c r="AA24" s="279" cm="1">
        <f t="array" ref="AA24">PEDBIKE_DELAY($Q24,$W24,$R24,$S24,$T24,$U24,AA$4,$V24,TRUE)</f>
        <v>18.250769922642913</v>
      </c>
      <c r="AB24" s="279" cm="1">
        <f t="array" ref="AB24">PEDBIKE_DELAY($Q24,$W24,$R24,$S24,$T24,$U24,AB$4,$V24,TRUE)</f>
        <v>16.982533452700981</v>
      </c>
      <c r="AC24" s="279" cm="1">
        <f t="array" ref="AC24">PEDBIKE_DELAY($Q24,$W24,$R24,$S24,$T24,$U24,AC$4,$V24,TRUE)</f>
        <v>15.72533640886464</v>
      </c>
      <c r="AD24" s="279" cm="1">
        <f t="array" ref="AD24">PEDBIKE_DELAY($Q24,$W24,$R24,$S24,$T24,$U24,AD$4,$V24,TRUE)</f>
        <v>14.487207052578412</v>
      </c>
      <c r="AE24" s="279" cm="1">
        <f t="array" ref="AE24">PEDBIKE_DELAY($Q24,$W24,$R24,$S24,$T24,$U24,AE$4,$V24,TRUE)</f>
        <v>12.100335637465669</v>
      </c>
      <c r="AF24" s="279" cm="1">
        <f t="array" ref="AF24">PEDBIKE_DELAY($Q24,$W24,$R24,$S24,$T24,$U24,AF$4,$V24,TRUE)</f>
        <v>9.8840264358444863</v>
      </c>
      <c r="AG24" s="279" cm="1">
        <f t="array" ref="AG24">PEDBIKE_DELAY($Q24,$W24,$R24,$S24,$T24,$U24,AG$4,$V24,TRUE)</f>
        <v>5.4064286709374967</v>
      </c>
      <c r="AH24" s="279" cm="1">
        <f t="array" ref="AH24">PEDBIKE_DELAY($Q24,$W24,$R24,$S24,$T24,$U24,AH$4,$V24,TRUE)</f>
        <v>2.6237683891927408</v>
      </c>
    </row>
    <row r="25" spans="2:34" x14ac:dyDescent="0.25">
      <c r="C25" t="s">
        <v>472</v>
      </c>
      <c r="D25" s="272">
        <f>1-(1-D24)^$D$10</f>
        <v>0.62918926398802844</v>
      </c>
      <c r="F25" s="271"/>
      <c r="G25" s="271"/>
      <c r="H25" s="271">
        <f>4*$D$11*$D$24*(1-$D$24)^3</f>
        <v>0.20875181440002599</v>
      </c>
      <c r="K25" s="271"/>
      <c r="L25" s="271"/>
      <c r="M25" s="271"/>
      <c r="N25" s="271"/>
      <c r="O25" s="271"/>
      <c r="Q25">
        <v>20</v>
      </c>
      <c r="R25" s="274">
        <v>52</v>
      </c>
      <c r="S25" s="274">
        <v>10</v>
      </c>
      <c r="T25">
        <v>3.5</v>
      </c>
      <c r="U25">
        <v>3</v>
      </c>
      <c r="V25">
        <v>4</v>
      </c>
      <c r="W25">
        <v>300</v>
      </c>
      <c r="X25" s="279" t="e" cm="1">
        <f t="array" aca="1" ref="X25" ca="1">TWSC_PED_DELAY($Q25,$W25,$R25,$S25,$T25,$U25,X$4,$V25)</f>
        <v>#NAME?</v>
      </c>
      <c r="Y25" s="279" cm="1">
        <f t="array" ref="Y25">PEDBIKE_DELAY($Q25,$W25,$R25,$S25,$T25,$U25,Y$4,$V25,TRUE)</f>
        <v>21.934481736869994</v>
      </c>
      <c r="Z25" s="279" cm="1">
        <f t="array" ref="Z25">PEDBIKE_DELAY($Q25,$W25,$R25,$S25,$T25,$U25,Z$4,$V25,TRUE)</f>
        <v>20.568759015842236</v>
      </c>
      <c r="AA25" s="279" cm="1">
        <f t="array" ref="AA25">PEDBIKE_DELAY($Q25,$W25,$R25,$S25,$T25,$U25,AA$4,$V25,TRUE)</f>
        <v>19.197734956400083</v>
      </c>
      <c r="AB25" s="279" cm="1">
        <f t="array" ref="AB25">PEDBIKE_DELAY($Q25,$W25,$R25,$S25,$T25,$U25,AB$4,$V25,TRUE)</f>
        <v>17.830124170861509</v>
      </c>
      <c r="AC25" s="279" cm="1">
        <f t="array" ref="AC25">PEDBIKE_DELAY($Q25,$W25,$R25,$S25,$T25,$U25,AC$4,$V25,TRUE)</f>
        <v>16.475008498625073</v>
      </c>
      <c r="AD25" s="279" cm="1">
        <f t="array" ref="AD25">PEDBIKE_DELAY($Q25,$W25,$R25,$S25,$T25,$U25,AD$4,$V25,TRUE)</f>
        <v>15.141685189755174</v>
      </c>
      <c r="AE25" s="279" cm="1">
        <f t="array" ref="AE25">PEDBIKE_DELAY($Q25,$W25,$R25,$S25,$T25,$U25,AE$4,$V25,TRUE)</f>
        <v>12.577581199925199</v>
      </c>
      <c r="AF25" s="279" cm="1">
        <f t="array" ref="AF25">PEDBIKE_DELAY($Q25,$W25,$R25,$S25,$T25,$U25,AF$4,$V25,TRUE)</f>
        <v>10.209055135485347</v>
      </c>
      <c r="AG25" s="279" cm="1">
        <f t="array" ref="AG25">PEDBIKE_DELAY($Q25,$W25,$R25,$S25,$T25,$U25,AG$4,$V25,TRUE)</f>
        <v>5.4937386096183509</v>
      </c>
      <c r="AH25" s="279" cm="1">
        <f t="array" ref="AH25">PEDBIKE_DELAY($Q25,$W25,$R25,$S25,$T25,$U25,AH$4,$V25,TRUE)</f>
        <v>2.6375429819267224</v>
      </c>
    </row>
    <row r="26" spans="2:34" x14ac:dyDescent="0.25">
      <c r="C26" t="s">
        <v>487</v>
      </c>
      <c r="D26" s="273">
        <f>(1/D19)*(EXP(D19*D23)-D19*D23-1)</f>
        <v>12.685140987138492</v>
      </c>
      <c r="F26" s="271"/>
      <c r="G26" s="271">
        <f>SUM(G22:G25)</f>
        <v>0.23019538693004005</v>
      </c>
      <c r="H26" s="271">
        <f>SUM(H22:H25)</f>
        <v>0.25710185094347754</v>
      </c>
      <c r="I26" s="271"/>
      <c r="K26" s="271"/>
      <c r="L26" s="271"/>
      <c r="M26" s="271"/>
      <c r="N26" s="271"/>
      <c r="O26" s="271"/>
      <c r="Q26">
        <v>20</v>
      </c>
      <c r="R26" s="274">
        <v>52</v>
      </c>
      <c r="S26" s="274">
        <v>10</v>
      </c>
      <c r="T26">
        <v>3.5</v>
      </c>
      <c r="U26">
        <v>3</v>
      </c>
      <c r="V26">
        <v>4</v>
      </c>
      <c r="W26">
        <v>310</v>
      </c>
      <c r="X26" s="279" t="e" cm="1">
        <f t="array" aca="1" ref="X26" ca="1">TWSC_PED_DELAY($Q26,$W26,$R26,$S26,$T26,$U26,X$4,$V26)</f>
        <v>#NAME?</v>
      </c>
      <c r="Y26" s="279" cm="1">
        <f t="array" ref="Y26">PEDBIKE_DELAY($Q26,$W26,$R26,$S26,$T26,$U26,Y$4,$V26,TRUE)</f>
        <v>23.105980775050583</v>
      </c>
      <c r="Z26" s="279" cm="1">
        <f t="array" ref="Z26">PEDBIKE_DELAY($Q26,$W26,$R26,$S26,$T26,$U26,Z$4,$V26,TRUE)</f>
        <v>21.6237636142173</v>
      </c>
      <c r="AA26" s="279" cm="1">
        <f t="array" ref="AA26">PEDBIKE_DELAY($Q26,$W26,$R26,$S26,$T26,$U26,AA$4,$V26,TRUE)</f>
        <v>20.137818425563133</v>
      </c>
      <c r="AB26" s="279" cm="1">
        <f t="array" ref="AB26">PEDBIKE_DELAY($Q26,$W26,$R26,$S26,$T26,$U26,AB$4,$V26,TRUE)</f>
        <v>18.658267237508344</v>
      </c>
      <c r="AC26" s="279" cm="1">
        <f t="array" ref="AC26">PEDBIKE_DELAY($Q26,$W26,$R26,$S26,$T26,$U26,AC$4,$V26,TRUE)</f>
        <v>17.195573658495498</v>
      </c>
      <c r="AD26" s="279" cm="1">
        <f t="array" ref="AD26">PEDBIKE_DELAY($Q26,$W26,$R26,$S26,$T26,$U26,AD$4,$V26,TRUE)</f>
        <v>15.760343983667521</v>
      </c>
      <c r="AE26" s="279" cm="1">
        <f t="array" ref="AE26">PEDBIKE_DELAY($Q26,$W26,$R26,$S26,$T26,$U26,AE$4,$V26,TRUE)</f>
        <v>13.014014370835511</v>
      </c>
      <c r="AF26" s="279" cm="1">
        <f t="array" ref="AF26">PEDBIKE_DELAY($Q26,$W26,$R26,$S26,$T26,$U26,AF$4,$V26,TRUE)</f>
        <v>10.497647672603559</v>
      </c>
      <c r="AG26" s="279" cm="1">
        <f t="array" ref="AG26">PEDBIKE_DELAY($Q26,$W26,$R26,$S26,$T26,$U26,AG$4,$V26,TRUE)</f>
        <v>5.5703332947171704</v>
      </c>
      <c r="AH26" s="279" cm="1">
        <f t="array" ref="AH26">PEDBIKE_DELAY($Q26,$W26,$R26,$S26,$T26,$U26,AH$4,$V26,TRUE)</f>
        <v>2.6488583757771313</v>
      </c>
    </row>
    <row r="27" spans="2:34" x14ac:dyDescent="0.25">
      <c r="B27" s="278"/>
      <c r="C27" t="s">
        <v>478</v>
      </c>
      <c r="D27" s="273">
        <f>D26/D25</f>
        <v>20.161089378314397</v>
      </c>
      <c r="F27" s="271"/>
      <c r="G27" s="271"/>
      <c r="H27" s="271"/>
      <c r="I27" s="271"/>
      <c r="J27" s="271"/>
      <c r="K27" s="271"/>
      <c r="L27" s="271"/>
      <c r="M27" s="271"/>
      <c r="N27" s="271"/>
      <c r="O27" s="271"/>
      <c r="Q27">
        <v>20</v>
      </c>
      <c r="R27" s="274">
        <v>52</v>
      </c>
      <c r="S27" s="274">
        <v>10</v>
      </c>
      <c r="T27">
        <v>3.5</v>
      </c>
      <c r="U27">
        <v>3</v>
      </c>
      <c r="V27">
        <v>4</v>
      </c>
      <c r="W27">
        <v>320</v>
      </c>
      <c r="X27" s="279" t="e" cm="1">
        <f t="array" aca="1" ref="X27" ca="1">TWSC_PED_DELAY($Q27,$W27,$R27,$S27,$T27,$U27,X$4,$V27)</f>
        <v>#NAME?</v>
      </c>
      <c r="Y27" s="279" cm="1">
        <f t="array" ref="Y27">PEDBIKE_DELAY($Q27,$W27,$R27,$S27,$T27,$U27,Y$4,$V27,TRUE)</f>
        <v>24.315611488764915</v>
      </c>
      <c r="Z27" s="279" cm="1">
        <f t="array" ref="Z27">PEDBIKE_DELAY($Q27,$W27,$R27,$S27,$T27,$U27,Z$4,$V27,TRUE)</f>
        <v>22.707006766927584</v>
      </c>
      <c r="AA27" s="279" cm="1">
        <f t="array" ref="AA27">PEDBIKE_DELAY($Q27,$W27,$R27,$S27,$T27,$U27,AA$4,$V27,TRUE)</f>
        <v>21.096813566378295</v>
      </c>
      <c r="AB27" s="279" cm="1">
        <f t="array" ref="AB27">PEDBIKE_DELAY($Q27,$W27,$R27,$S27,$T27,$U27,AB$4,$V27,TRUE)</f>
        <v>19.496806911579139</v>
      </c>
      <c r="AC27" s="279" cm="1">
        <f t="array" ref="AC27">PEDBIKE_DELAY($Q27,$W27,$R27,$S27,$T27,$U27,AC$4,$V27,TRUE)</f>
        <v>17.919054329096625</v>
      </c>
      <c r="AD27" s="279" cm="1">
        <f t="array" ref="AD27">PEDBIKE_DELAY($Q27,$W27,$R27,$S27,$T27,$U27,AD$4,$V27,TRUE)</f>
        <v>16.375655100355345</v>
      </c>
      <c r="AE27" s="279" cm="1">
        <f t="array" ref="AE27">PEDBIKE_DELAY($Q27,$W27,$R27,$S27,$T27,$U27,AE$4,$V27,TRUE)</f>
        <v>13.43868570203103</v>
      </c>
      <c r="AF27" s="279" cm="1">
        <f t="array" ref="AF27">PEDBIKE_DELAY($Q27,$W27,$R27,$S27,$T27,$U27,AF$4,$V27,TRUE)</f>
        <v>10.771594159420825</v>
      </c>
      <c r="AG27" s="279" cm="1">
        <f t="array" ref="AG27">PEDBIKE_DELAY($Q27,$W27,$R27,$S27,$T27,$U27,AG$4,$V27,TRUE)</f>
        <v>5.6398442435107556</v>
      </c>
      <c r="AH27" s="279" cm="1">
        <f t="array" ref="AH27">PEDBIKE_DELAY($Q27,$W27,$R27,$S27,$T27,$U27,AH$4,$V27,TRUE)</f>
        <v>2.6578708821965709</v>
      </c>
    </row>
    <row r="28" spans="2:34" x14ac:dyDescent="0.25">
      <c r="C28" t="s">
        <v>294</v>
      </c>
      <c r="D28" s="273">
        <f>((1/D19)-(D23+(1/D19))*EXP(-D19*D23))/(1-EXP(-D19*D23))</f>
        <v>7.4759483911758977</v>
      </c>
      <c r="E28" s="271"/>
      <c r="F28" s="271"/>
      <c r="G28" s="271"/>
      <c r="H28" s="271"/>
      <c r="I28" s="271"/>
      <c r="J28" s="271"/>
      <c r="K28" s="271"/>
      <c r="L28" s="271"/>
      <c r="M28" s="271"/>
      <c r="N28" s="271"/>
      <c r="O28" s="271"/>
      <c r="Q28">
        <v>20</v>
      </c>
      <c r="R28" s="274">
        <v>52</v>
      </c>
      <c r="S28" s="274">
        <v>10</v>
      </c>
      <c r="T28">
        <v>3.5</v>
      </c>
      <c r="U28">
        <v>3</v>
      </c>
      <c r="V28">
        <v>4</v>
      </c>
      <c r="W28">
        <v>330</v>
      </c>
      <c r="X28" s="279" t="e" cm="1">
        <f t="array" aca="1" ref="X28" ca="1">TWSC_PED_DELAY($Q28,$W28,$R28,$S28,$T28,$U28,X$4,$V28)</f>
        <v>#NAME?</v>
      </c>
      <c r="Y28" s="279" cm="1">
        <f t="array" ref="Y28">PEDBIKE_DELAY($Q28,$W28,$R28,$S28,$T28,$U28,Y$4,$V28,TRUE)</f>
        <v>25.574654747588923</v>
      </c>
      <c r="Z28" s="279" cm="1">
        <f t="array" ref="Z28">PEDBIKE_DELAY($Q28,$W28,$R28,$S28,$T28,$U28,Z$4,$V28,TRUE)</f>
        <v>23.837519294546802</v>
      </c>
      <c r="AA28" s="279" cm="1">
        <f t="array" ref="AA28">PEDBIKE_DELAY($Q28,$W28,$R28,$S28,$T28,$U28,AA$4,$V28,TRUE)</f>
        <v>22.099822288609772</v>
      </c>
      <c r="AB28" s="279" cm="1">
        <f t="array" ref="AB28">PEDBIKE_DELAY($Q28,$W28,$R28,$S28,$T28,$U28,AB$4,$V28,TRUE)</f>
        <v>20.375180110484962</v>
      </c>
      <c r="AC28" s="279" cm="1">
        <f t="array" ref="AC28">PEDBIKE_DELAY($Q28,$W28,$R28,$S28,$T28,$U28,AC$4,$V28,TRUE)</f>
        <v>18.677487020115652</v>
      </c>
      <c r="AD28" s="279" cm="1">
        <f t="array" ref="AD28">PEDBIKE_DELAY($Q28,$W28,$R28,$S28,$T28,$U28,AD$4,$V28,TRUE)</f>
        <v>17.020583323458492</v>
      </c>
      <c r="AE28" s="279" cm="1">
        <f t="array" ref="AE28">PEDBIKE_DELAY($Q28,$W28,$R28,$S28,$T28,$U28,AE$4,$V28,TRUE)</f>
        <v>13.881989017354778</v>
      </c>
      <c r="AF28" s="279" cm="1">
        <f t="array" ref="AF28">PEDBIKE_DELAY($Q28,$W28,$R28,$S28,$T28,$U28,AF$4,$V28,TRUE)</f>
        <v>11.054407317129169</v>
      </c>
      <c r="AG28" s="279" cm="1">
        <f t="array" ref="AG28">PEDBIKE_DELAY($Q28,$W28,$R28,$S28,$T28,$U28,AG$4,$V28,TRUE)</f>
        <v>5.7064881975177784</v>
      </c>
      <c r="AH28" s="279" cm="1">
        <f t="array" ref="AH28">PEDBIKE_DELAY($Q28,$W28,$R28,$S28,$T28,$U28,AH$4,$V28,TRUE)</f>
        <v>2.6647282710752527</v>
      </c>
    </row>
    <row r="29" spans="2:34" x14ac:dyDescent="0.25">
      <c r="C29" t="s">
        <v>293</v>
      </c>
      <c r="D29" s="273">
        <f>ROUND(1/EXP(-D19*D23),0)</f>
        <v>3</v>
      </c>
      <c r="E29" s="273"/>
      <c r="F29" s="271"/>
      <c r="G29" s="271"/>
      <c r="H29" s="277"/>
      <c r="I29" s="271"/>
      <c r="J29" s="271"/>
      <c r="K29" s="271"/>
      <c r="L29" s="271"/>
      <c r="M29" s="271"/>
      <c r="N29" s="271"/>
      <c r="O29" s="271"/>
      <c r="Q29">
        <v>20</v>
      </c>
      <c r="R29" s="274">
        <v>52</v>
      </c>
      <c r="S29" s="274">
        <v>10</v>
      </c>
      <c r="T29">
        <v>3.5</v>
      </c>
      <c r="U29">
        <v>3</v>
      </c>
      <c r="V29">
        <v>4</v>
      </c>
      <c r="W29">
        <v>340</v>
      </c>
      <c r="X29" s="279" t="e" cm="1">
        <f t="array" aca="1" ref="X29" ca="1">TWSC_PED_DELAY($Q29,$W29,$R29,$S29,$T29,$U29,X$4,$V29)</f>
        <v>#NAME?</v>
      </c>
      <c r="Y29" s="279" cm="1">
        <f t="array" ref="Y29">PEDBIKE_DELAY($Q29,$W29,$R29,$S29,$T29,$U29,Y$4,$V29,TRUE)</f>
        <v>26.885323121309995</v>
      </c>
      <c r="Z29" s="279" cm="1">
        <f t="array" ref="Z29">PEDBIKE_DELAY($Q29,$W29,$R29,$S29,$T29,$U29,Z$4,$V29,TRUE)</f>
        <v>25.017651127871808</v>
      </c>
      <c r="AA29" s="279" cm="1">
        <f t="array" ref="AA29">PEDBIKE_DELAY($Q29,$W29,$R29,$S29,$T29,$U29,AA$4,$V29,TRUE)</f>
        <v>23.149282043897244</v>
      </c>
      <c r="AB29" s="279" cm="1">
        <f t="array" ref="AB29">PEDBIKE_DELAY($Q29,$W29,$R29,$S29,$T29,$U29,AB$4,$V29,TRUE)</f>
        <v>21.295849483928599</v>
      </c>
      <c r="AC29" s="279" cm="1">
        <f t="array" ref="AC29">PEDBIKE_DELAY($Q29,$W29,$R29,$S29,$T29,$U29,AC$4,$V29,TRUE)</f>
        <v>19.473290501517834</v>
      </c>
      <c r="AD29" s="279" cm="1">
        <f t="array" ref="AD29">PEDBIKE_DELAY($Q29,$W29,$R29,$S29,$T29,$U29,AD$4,$V29,TRUE)</f>
        <v>17.697433937589249</v>
      </c>
      <c r="AE29" s="279" cm="1">
        <f t="array" ref="AE29">PEDBIKE_DELAY($Q29,$W29,$R29,$S29,$T29,$U29,AE$4,$V29,TRUE)</f>
        <v>14.345822535056106</v>
      </c>
      <c r="AF29" s="279" cm="1">
        <f t="array" ref="AF29">PEDBIKE_DELAY($Q29,$W29,$R29,$S29,$T29,$U29,AF$4,$V29,TRUE)</f>
        <v>11.347436781277684</v>
      </c>
      <c r="AG29" s="279" cm="1">
        <f t="array" ref="AG29">PEDBIKE_DELAY($Q29,$W29,$R29,$S29,$T29,$U29,AG$4,$V29,TRUE)</f>
        <v>5.7705651766286792</v>
      </c>
      <c r="AH29" s="279" cm="1">
        <f t="array" ref="AH29">PEDBIKE_DELAY($Q29,$W29,$R29,$S29,$T29,$U29,AH$4,$V29,TRUE)</f>
        <v>2.6695702134303527</v>
      </c>
    </row>
    <row r="30" spans="2:34" x14ac:dyDescent="0.25">
      <c r="C30">
        <v>2</v>
      </c>
      <c r="F30" s="271"/>
      <c r="G30" s="271"/>
      <c r="H30" s="274">
        <v>4</v>
      </c>
      <c r="I30" s="271"/>
      <c r="J30" s="271"/>
      <c r="K30" s="271"/>
      <c r="L30" s="271"/>
      <c r="M30" s="271"/>
      <c r="N30" s="271"/>
      <c r="O30" s="271"/>
      <c r="Q30">
        <v>20</v>
      </c>
      <c r="R30" s="274">
        <v>52</v>
      </c>
      <c r="S30" s="274">
        <v>10</v>
      </c>
      <c r="T30">
        <v>3.5</v>
      </c>
      <c r="U30">
        <v>3</v>
      </c>
      <c r="V30">
        <v>4</v>
      </c>
      <c r="W30">
        <v>350</v>
      </c>
      <c r="X30" s="279" t="e" cm="1">
        <f t="array" aca="1" ref="X30" ca="1">TWSC_PED_DELAY($Q30,$W30,$R30,$S30,$T30,$U30,X$4,$V30)</f>
        <v>#NAME?</v>
      </c>
      <c r="Y30" s="279" cm="1">
        <f t="array" ref="Y30">PEDBIKE_DELAY($Q30,$W30,$R30,$S30,$T30,$U30,Y$4,$V30,TRUE)</f>
        <v>28.229906828657004</v>
      </c>
      <c r="Z30" s="279" cm="1">
        <f t="array" ref="Z30">PEDBIKE_DELAY($Q30,$W30,$R30,$S30,$T30,$U30,Z$4,$V30,TRUE)</f>
        <v>26.213474672827697</v>
      </c>
      <c r="AA30" s="279" cm="1">
        <f t="array" ref="AA30">PEDBIKE_DELAY($Q30,$W30,$R30,$S30,$T30,$U30,AA$4,$V30,TRUE)</f>
        <v>24.198910524090739</v>
      </c>
      <c r="AB30" s="279" cm="1">
        <f t="array" ref="AB30">PEDBIKE_DELAY($Q30,$W30,$R30,$S30,$T30,$U30,AB$4,$V30,TRUE)</f>
        <v>22.204139642434264</v>
      </c>
      <c r="AC30" s="279" cm="1">
        <f t="array" ref="AC30">PEDBIKE_DELAY($Q30,$W30,$R30,$S30,$T30,$U30,AC$4,$V30,TRUE)</f>
        <v>20.247293130076848</v>
      </c>
      <c r="AD30" s="279" cm="1">
        <f t="array" ref="AD30">PEDBIKE_DELAY($Q30,$W30,$R30,$S30,$T30,$U30,AD$4,$V30,TRUE)</f>
        <v>18.346195962284046</v>
      </c>
      <c r="AE30" s="279" cm="1">
        <f t="array" ref="AE30">PEDBIKE_DELAY($Q30,$W30,$R30,$S30,$T30,$U30,AE$4,$V30,TRUE)</f>
        <v>14.777644446442714</v>
      </c>
      <c r="AF30" s="279" cm="1">
        <f t="array" ref="AF30">PEDBIKE_DELAY($Q30,$W30,$R30,$S30,$T30,$U30,AF$4,$V30,TRUE)</f>
        <v>11.61335142534984</v>
      </c>
      <c r="AG30" s="279" cm="1">
        <f t="array" ref="AG30">PEDBIKE_DELAY($Q30,$W30,$R30,$S30,$T30,$U30,AG$4,$V30,TRUE)</f>
        <v>5.8280867981789752</v>
      </c>
      <c r="AH30" s="279" cm="1">
        <f t="array" ref="AH30">PEDBIKE_DELAY($Q30,$W30,$R30,$S30,$T30,$U30,AH$4,$V30,TRUE)</f>
        <v>2.6725287017120216</v>
      </c>
    </row>
    <row r="31" spans="2:34" x14ac:dyDescent="0.25">
      <c r="C31" t="s">
        <v>474</v>
      </c>
      <c r="D31" t="s">
        <v>488</v>
      </c>
      <c r="E31" t="s">
        <v>335</v>
      </c>
      <c r="F31" s="271" t="s">
        <v>334</v>
      </c>
      <c r="G31" t="s">
        <v>469</v>
      </c>
      <c r="H31" t="s">
        <v>474</v>
      </c>
      <c r="I31" t="s">
        <v>488</v>
      </c>
      <c r="J31" t="s">
        <v>335</v>
      </c>
      <c r="K31" s="271" t="s">
        <v>334</v>
      </c>
      <c r="L31" t="s">
        <v>469</v>
      </c>
      <c r="Q31">
        <v>20</v>
      </c>
      <c r="R31" s="274">
        <v>52</v>
      </c>
      <c r="S31" s="274">
        <v>10</v>
      </c>
      <c r="T31">
        <v>3.5</v>
      </c>
      <c r="U31">
        <v>3</v>
      </c>
      <c r="V31">
        <v>4</v>
      </c>
      <c r="W31">
        <v>360</v>
      </c>
      <c r="X31" s="279" t="e" cm="1">
        <f t="array" aca="1" ref="X31" ca="1">TWSC_PED_DELAY($Q31,$W31,$R31,$S31,$T31,$U31,X$4,$V31)</f>
        <v>#NAME?</v>
      </c>
      <c r="Y31" s="279" cm="1">
        <f t="array" ref="Y31">PEDBIKE_DELAY($Q31,$W31,$R31,$S31,$T31,$U31,Y$4,$V31,TRUE)</f>
        <v>29.618889990029629</v>
      </c>
      <c r="Z31" s="279" cm="1">
        <f t="array" ref="Z31">PEDBIKE_DELAY($Q31,$W31,$R31,$S31,$T31,$U31,Z$4,$V31,TRUE)</f>
        <v>27.441820852388886</v>
      </c>
      <c r="AA31" s="279" cm="1">
        <f t="array" ref="AA31">PEDBIKE_DELAY($Q31,$W31,$R31,$S31,$T31,$U31,AA$4,$V31,TRUE)</f>
        <v>25.269969452189706</v>
      </c>
      <c r="AB31" s="279" cm="1">
        <f t="array" ref="AB31">PEDBIKE_DELAY($Q31,$W31,$R31,$S31,$T31,$U31,AB$4,$V31,TRUE)</f>
        <v>23.12390226489093</v>
      </c>
      <c r="AC31" s="279" cm="1">
        <f t="array" ref="AC31">PEDBIKE_DELAY($Q31,$W31,$R31,$S31,$T31,$U31,AC$4,$V31,TRUE)</f>
        <v>21.024244481230934</v>
      </c>
      <c r="AD31" s="279" cm="1">
        <f t="array" ref="AD31">PEDBIKE_DELAY($Q31,$W31,$R31,$S31,$T31,$U31,AD$4,$V31,TRUE)</f>
        <v>18.991042132259089</v>
      </c>
      <c r="AE31" s="279" cm="1">
        <f t="array" ref="AE31">PEDBIKE_DELAY($Q31,$W31,$R31,$S31,$T31,$U31,AE$4,$V31,TRUE)</f>
        <v>15.19719305003496</v>
      </c>
      <c r="AF31" s="279" cm="1">
        <f t="array" ref="AF31">PEDBIKE_DELAY($Q31,$W31,$R31,$S31,$T31,$U31,AF$4,$V31,TRUE)</f>
        <v>11.865278369958562</v>
      </c>
      <c r="AG31" s="279" cm="1">
        <f t="array" ref="AG31">PEDBIKE_DELAY($Q31,$W31,$R31,$S31,$T31,$U31,AG$4,$V31,TRUE)</f>
        <v>5.8803961791650385</v>
      </c>
      <c r="AH31" s="279" cm="1">
        <f t="array" ref="AH31">PEDBIKE_DELAY($Q31,$W31,$R31,$S31,$T31,$U31,AH$4,$V31,TRUE)</f>
        <v>2.6737284488356585</v>
      </c>
    </row>
    <row r="32" spans="2:34" x14ac:dyDescent="0.25">
      <c r="B32" t="s">
        <v>470</v>
      </c>
      <c r="C32">
        <v>0</v>
      </c>
      <c r="D32">
        <v>0</v>
      </c>
      <c r="E32">
        <v>0</v>
      </c>
      <c r="F32">
        <v>0</v>
      </c>
      <c r="G32">
        <v>0</v>
      </c>
      <c r="H32">
        <v>0</v>
      </c>
      <c r="I32">
        <v>0</v>
      </c>
      <c r="J32">
        <v>0</v>
      </c>
      <c r="K32">
        <v>0</v>
      </c>
      <c r="L32">
        <v>0</v>
      </c>
      <c r="Q32">
        <v>20</v>
      </c>
      <c r="R32" s="274">
        <v>52</v>
      </c>
      <c r="S32" s="274">
        <v>10</v>
      </c>
      <c r="T32">
        <v>3.5</v>
      </c>
      <c r="U32">
        <v>3</v>
      </c>
      <c r="V32">
        <v>4</v>
      </c>
      <c r="W32">
        <v>370</v>
      </c>
      <c r="X32" s="279" t="e" cm="1">
        <f t="array" aca="1" ref="X32" ca="1">TWSC_PED_DELAY($Q32,$W32,$R32,$S32,$T32,$U32,X$4,$V32)</f>
        <v>#NAME?</v>
      </c>
      <c r="Y32" s="279" cm="1">
        <f t="array" ref="Y32">PEDBIKE_DELAY($Q32,$W32,$R32,$S32,$T32,$U32,Y$4,$V32,TRUE)</f>
        <v>31.066338065103942</v>
      </c>
      <c r="Z32" s="279" cm="1">
        <f t="array" ref="Z32">PEDBIKE_DELAY($Q32,$W32,$R32,$S32,$T32,$U32,Z$4,$V32,TRUE)</f>
        <v>28.726269319218503</v>
      </c>
      <c r="AA32" s="279" cm="1">
        <f t="array" ref="AA32">PEDBIKE_DELAY($Q32,$W32,$R32,$S32,$T32,$U32,AA$4,$V32,TRUE)</f>
        <v>26.393166960116574</v>
      </c>
      <c r="AB32" s="279" cm="1">
        <f t="array" ref="AB32">PEDBIKE_DELAY($Q32,$W32,$R32,$S32,$T32,$U32,AB$4,$V32,TRUE)</f>
        <v>24.090535143269587</v>
      </c>
      <c r="AC32" s="279" cm="1">
        <f t="array" ref="AC32">PEDBIKE_DELAY($Q32,$W32,$R32,$S32,$T32,$U32,AC$4,$V32,TRUE)</f>
        <v>21.841847177260242</v>
      </c>
      <c r="AD32" s="279" cm="1">
        <f t="array" ref="AD32">PEDBIKE_DELAY($Q32,$W32,$R32,$S32,$T32,$U32,AD$4,$V32,TRUE)</f>
        <v>19.669761473270807</v>
      </c>
      <c r="AE32" s="279" cm="1">
        <f t="array" ref="AE32">PEDBIKE_DELAY($Q32,$W32,$R32,$S32,$T32,$U32,AE$4,$V32,TRUE)</f>
        <v>15.636977833307995</v>
      </c>
      <c r="AF32" s="279" cm="1">
        <f t="array" ref="AF32">PEDBIKE_DELAY($Q32,$W32,$R32,$S32,$T32,$U32,AF$4,$V32,TRUE)</f>
        <v>12.126019491312224</v>
      </c>
      <c r="AG32" s="279" cm="1">
        <f t="array" ref="AG32">PEDBIKE_DELAY($Q32,$W32,$R32,$S32,$T32,$U32,AG$4,$V32,TRUE)</f>
        <v>5.9300553523444002</v>
      </c>
      <c r="AH32" s="279" cm="1">
        <f t="array" ref="AH32">PEDBIKE_DELAY($Q32,$W32,$R32,$S32,$T32,$U32,AH$4,$V32,TRUE)</f>
        <v>2.6732872670045871</v>
      </c>
    </row>
    <row r="33" spans="2:34" x14ac:dyDescent="0.25">
      <c r="B33">
        <v>0</v>
      </c>
      <c r="C33" s="272">
        <v>0</v>
      </c>
      <c r="D33" s="272">
        <v>0</v>
      </c>
      <c r="E33" s="272">
        <f t="shared" ref="E33:E96" si="0">$D$28*(B33-0.5)*C33+E32</f>
        <v>0</v>
      </c>
      <c r="F33" s="271">
        <f t="shared" ref="F33:F96" si="1">($D$25-D33)*$D$27</f>
        <v>12.685140987138494</v>
      </c>
      <c r="G33" s="271">
        <f>F33+E33</f>
        <v>12.685140987138494</v>
      </c>
      <c r="H33" s="272">
        <v>0</v>
      </c>
      <c r="I33" s="272">
        <v>0</v>
      </c>
      <c r="J33" s="272">
        <f t="shared" ref="J33:J96" si="2">$D$28*(G33-0.5)*H33+J32</f>
        <v>0</v>
      </c>
      <c r="K33" s="271">
        <f t="shared" ref="K33:K96" si="3">($D$25-I33)*$D$27</f>
        <v>12.685140987138494</v>
      </c>
      <c r="L33" s="271">
        <f>K33+J33</f>
        <v>12.685140987138494</v>
      </c>
      <c r="M33" s="271"/>
      <c r="N33" s="271"/>
      <c r="O33" s="271"/>
      <c r="Q33">
        <v>20</v>
      </c>
      <c r="R33" s="274">
        <v>52</v>
      </c>
      <c r="S33" s="274">
        <v>10</v>
      </c>
      <c r="T33">
        <v>3.5</v>
      </c>
      <c r="U33">
        <v>3</v>
      </c>
      <c r="V33">
        <v>4</v>
      </c>
      <c r="W33">
        <v>380</v>
      </c>
      <c r="X33" s="279" t="e" cm="1">
        <f t="array" aca="1" ref="X33" ca="1">TWSC_PED_DELAY($Q33,$W33,$R33,$S33,$T33,$U33,X$4,$V33)</f>
        <v>#NAME?</v>
      </c>
      <c r="Y33" s="279" cm="1">
        <f t="array" ref="Y33">PEDBIKE_DELAY($Q33,$W33,$R33,$S33,$T33,$U33,Y$4,$V33,TRUE)</f>
        <v>32.565847200396448</v>
      </c>
      <c r="Z33" s="279" cm="1">
        <f t="array" ref="Z33">PEDBIKE_DELAY($Q33,$W33,$R33,$S33,$T33,$U33,Z$4,$V33,TRUE)</f>
        <v>30.05341460577716</v>
      </c>
      <c r="AA33" s="279" cm="1">
        <f t="array" ref="AA33">PEDBIKE_DELAY($Q33,$W33,$R33,$S33,$T33,$U33,AA$4,$V33,TRUE)</f>
        <v>27.549995327401987</v>
      </c>
      <c r="AB33" s="279" cm="1">
        <f t="array" ref="AB33">PEDBIKE_DELAY($Q33,$W33,$R33,$S33,$T33,$U33,AB$4,$V33,TRUE)</f>
        <v>25.08232764030187</v>
      </c>
      <c r="AC33" s="279" cm="1">
        <f t="array" ref="AC33">PEDBIKE_DELAY($Q33,$W33,$R33,$S33,$T33,$U33,AC$4,$V33,TRUE)</f>
        <v>22.676995044440957</v>
      </c>
      <c r="AD33" s="279" cm="1">
        <f t="array" ref="AD33">PEDBIKE_DELAY($Q33,$W33,$R33,$S33,$T33,$U33,AD$4,$V33,TRUE)</f>
        <v>20.359474824065302</v>
      </c>
      <c r="AE33" s="279" cm="1">
        <f t="array" ref="AE33">PEDBIKE_DELAY($Q33,$W33,$R33,$S33,$T33,$U33,AE$4,$V33,TRUE)</f>
        <v>16.078291537121199</v>
      </c>
      <c r="AF33" s="279" cm="1">
        <f t="array" ref="AF33">PEDBIKE_DELAY($Q33,$W33,$R33,$S33,$T33,$U33,AF$4,$V33,TRUE)</f>
        <v>12.383558598297126</v>
      </c>
      <c r="AG33" s="279" cm="1">
        <f t="array" ref="AG33">PEDBIKE_DELAY($Q33,$W33,$R33,$S33,$T33,$U33,AG$4,$V33,TRUE)</f>
        <v>5.9763831181073206</v>
      </c>
      <c r="AH33" s="279" cm="1">
        <f t="array" ref="AH33">PEDBIKE_DELAY($Q33,$W33,$R33,$S33,$T33,$U33,AH$4,$V33,TRUE)</f>
        <v>2.6713164273328518</v>
      </c>
    </row>
    <row r="34" spans="2:34" x14ac:dyDescent="0.25">
      <c r="B34">
        <v>1</v>
      </c>
      <c r="C34" s="272">
        <f t="shared" ref="C34:C97" si="4">($D$25-D33)*(((2*$D$24*(1-$D$24)*$D$11)+($D$24^2 * $D$11^2))/$D$25)</f>
        <v>0.18346704640716491</v>
      </c>
      <c r="D34" s="272">
        <f t="shared" ref="D34:D65" si="5">C34+D33</f>
        <v>0.18346704640716491</v>
      </c>
      <c r="E34" s="272">
        <f t="shared" si="0"/>
        <v>0.68579508521071908</v>
      </c>
      <c r="F34" s="271">
        <f t="shared" si="1"/>
        <v>8.9862454665482865</v>
      </c>
      <c r="G34" s="271">
        <f t="shared" ref="G34:G97" si="6">F34+E34</f>
        <v>9.6720405517590056</v>
      </c>
      <c r="H34" s="272">
        <f>($D$25-I33)*((($D$24*$D$11)^4 + 4*$D$24^3 * (1-$D$24)*$D$11^3 + 6*$D$24^2 * (1-$D$24)^2 * $D$11^2 + 4*$D$24*(1-$D$24^3)*$D$11)/$D$25)</f>
        <v>0.48299933930887456</v>
      </c>
      <c r="I34" s="272">
        <f t="shared" ref="I34:I65" si="7">H34+I33</f>
        <v>0.48299933930887456</v>
      </c>
      <c r="J34" s="272">
        <f t="shared" si="2"/>
        <v>33.119120669253668</v>
      </c>
      <c r="K34" s="271">
        <f t="shared" si="3"/>
        <v>2.9473481376654709</v>
      </c>
      <c r="L34" s="271">
        <f t="shared" ref="L34:L97" si="8">K34+J34</f>
        <v>36.06646880691914</v>
      </c>
      <c r="M34" s="271"/>
      <c r="N34" s="271"/>
      <c r="O34" s="271"/>
      <c r="Q34">
        <v>20</v>
      </c>
      <c r="R34" s="274">
        <v>52</v>
      </c>
      <c r="S34" s="274">
        <v>10</v>
      </c>
      <c r="T34">
        <v>3.5</v>
      </c>
      <c r="U34">
        <v>3</v>
      </c>
      <c r="V34">
        <v>4</v>
      </c>
      <c r="W34">
        <v>390</v>
      </c>
      <c r="X34" s="279" t="e" cm="1">
        <f t="array" aca="1" ref="X34" ca="1">TWSC_PED_DELAY($Q34,$W34,$R34,$S34,$T34,$U34,X$4,$V34)</f>
        <v>#NAME?</v>
      </c>
      <c r="Y34" s="279" cm="1">
        <f t="array" ref="Y34">PEDBIKE_DELAY($Q34,$W34,$R34,$S34,$T34,$U34,Y$4,$V34,TRUE)</f>
        <v>34.103958723426601</v>
      </c>
      <c r="Z34" s="279" cm="1">
        <f t="array" ref="Z34">PEDBIKE_DELAY($Q34,$W34,$R34,$S34,$T34,$U34,Z$4,$V34,TRUE)</f>
        <v>31.396735909540823</v>
      </c>
      <c r="AA34" s="279" cm="1">
        <f t="array" ref="AA34">PEDBIKE_DELAY($Q34,$W34,$R34,$S34,$T34,$U34,AA$4,$V34,TRUE)</f>
        <v>28.704085376307702</v>
      </c>
      <c r="AB34" s="279" cm="1">
        <f t="array" ref="AB34">PEDBIKE_DELAY($Q34,$W34,$R34,$S34,$T34,$U34,AB$4,$V34,TRUE)</f>
        <v>26.056426700906414</v>
      </c>
      <c r="AC34" s="279" cm="1">
        <f t="array" ref="AC34">PEDBIKE_DELAY($Q34,$W34,$R34,$S34,$T34,$U34,AC$4,$V34,TRUE)</f>
        <v>23.483688593660386</v>
      </c>
      <c r="AD34" s="279" cm="1">
        <f t="array" ref="AD34">PEDBIKE_DELAY($Q34,$W34,$R34,$S34,$T34,$U34,AD$4,$V34,TRUE)</f>
        <v>21.014153866092158</v>
      </c>
      <c r="AE34" s="279" cm="1">
        <f t="array" ref="AE34">PEDBIKE_DELAY($Q34,$W34,$R34,$S34,$T34,$U34,AE$4,$V34,TRUE)</f>
        <v>16.482589025463032</v>
      </c>
      <c r="AF34" s="279" cm="1">
        <f t="array" ref="AF34">PEDBIKE_DELAY($Q34,$W34,$R34,$S34,$T34,$U34,AF$4,$V34,TRUE)</f>
        <v>12.612469498927151</v>
      </c>
      <c r="AG34" s="279" cm="1">
        <f t="array" ref="AG34">PEDBIKE_DELAY($Q34,$W34,$R34,$S34,$T34,$U34,AG$4,$V34,TRUE)</f>
        <v>6.0176701478147381</v>
      </c>
      <c r="AH34" s="279" cm="1">
        <f t="array" ref="AH34">PEDBIKE_DELAY($Q34,$W34,$R34,$S34,$T34,$U34,AH$4,$V34,TRUE)</f>
        <v>2.6679210012273575</v>
      </c>
    </row>
    <row r="35" spans="2:34" x14ac:dyDescent="0.25">
      <c r="B35">
        <v>2</v>
      </c>
      <c r="C35" s="272">
        <f t="shared" si="4"/>
        <v>0.12996938037259434</v>
      </c>
      <c r="D35" s="272">
        <f t="shared" si="5"/>
        <v>0.31343642677975925</v>
      </c>
      <c r="E35" s="272">
        <f t="shared" si="0"/>
        <v>2.1432616553586565</v>
      </c>
      <c r="F35" s="271">
        <f t="shared" si="1"/>
        <v>6.3659211724122713</v>
      </c>
      <c r="G35" s="271">
        <f t="shared" si="6"/>
        <v>8.5091828277709283</v>
      </c>
      <c r="H35" s="272">
        <f t="shared" ref="H35:H98" si="9">($D$25-I34)*(((2*$D$24*(1-$D$24)*$D$11)+($D$24^2 * $D$11^2))/$D$25)</f>
        <v>4.2627926492847135E-2</v>
      </c>
      <c r="I35" s="272">
        <f t="shared" si="7"/>
        <v>0.5256272658017217</v>
      </c>
      <c r="J35" s="272">
        <f t="shared" si="2"/>
        <v>35.671520519044918</v>
      </c>
      <c r="K35" s="271">
        <f t="shared" si="3"/>
        <v>2.0879227016309634</v>
      </c>
      <c r="L35" s="271">
        <f t="shared" si="8"/>
        <v>37.759443220675884</v>
      </c>
      <c r="M35" s="271"/>
      <c r="N35" s="271"/>
      <c r="O35" s="271"/>
      <c r="Q35">
        <v>20</v>
      </c>
      <c r="R35" s="274">
        <v>52</v>
      </c>
      <c r="S35" s="274">
        <v>10</v>
      </c>
      <c r="T35">
        <v>3.5</v>
      </c>
      <c r="U35">
        <v>3</v>
      </c>
      <c r="V35">
        <v>4</v>
      </c>
      <c r="W35">
        <v>400</v>
      </c>
      <c r="X35" s="279" t="e" cm="1">
        <f t="array" aca="1" ref="X35" ca="1">TWSC_PED_DELAY($Q35,$W35,$R35,$S35,$T35,$U35,X$4,$V35)</f>
        <v>#NAME?</v>
      </c>
      <c r="Y35" s="279" cm="1">
        <f t="array" ref="Y35">PEDBIKE_DELAY($Q35,$W35,$R35,$S35,$T35,$U35,Y$4,$V35,TRUE)</f>
        <v>35.708388044551668</v>
      </c>
      <c r="Z35" s="279" cm="1">
        <f t="array" ref="Z35">PEDBIKE_DELAY($Q35,$W35,$R35,$S35,$T35,$U35,Z$4,$V35,TRUE)</f>
        <v>32.803685621199961</v>
      </c>
      <c r="AA35" s="279" cm="1">
        <f t="array" ref="AA35">PEDBIKE_DELAY($Q35,$W35,$R35,$S35,$T35,$U35,AA$4,$V35,TRUE)</f>
        <v>29.916994493488662</v>
      </c>
      <c r="AB35" s="279" cm="1">
        <f t="array" ref="AB35">PEDBIKE_DELAY($Q35,$W35,$R35,$S35,$T35,$U35,AB$4,$V35,TRUE)</f>
        <v>27.082857974140168</v>
      </c>
      <c r="AC35" s="279" cm="1">
        <f t="array" ref="AC35">PEDBIKE_DELAY($Q35,$W35,$R35,$S35,$T35,$U35,AC$4,$V35,TRUE)</f>
        <v>24.335073340300951</v>
      </c>
      <c r="AD35" s="279" cm="1">
        <f t="array" ref="AD35">PEDBIKE_DELAY($Q35,$W35,$R35,$S35,$T35,$U35,AD$4,$V35,TRUE)</f>
        <v>21.705295200296419</v>
      </c>
      <c r="AE35" s="279" cm="1">
        <f t="array" ref="AE35">PEDBIKE_DELAY($Q35,$W35,$R35,$S35,$T35,$U35,AE$4,$V35,TRUE)</f>
        <v>16.907333381537967</v>
      </c>
      <c r="AF35" s="279" cm="1">
        <f t="array" ref="AF35">PEDBIKE_DELAY($Q35,$W35,$R35,$S35,$T35,$U35,AF$4,$V35,TRUE)</f>
        <v>12.849314486983484</v>
      </c>
      <c r="AG35" s="279" cm="1">
        <f t="array" ref="AG35">PEDBIKE_DELAY($Q35,$W35,$R35,$S35,$T35,$U35,AG$4,$V35,TRUE)</f>
        <v>6.0564480953647202</v>
      </c>
      <c r="AH35" s="279" cm="1">
        <f t="array" ref="AH35">PEDBIKE_DELAY($Q35,$W35,$R35,$S35,$T35,$U35,AH$4,$V35,TRUE)</f>
        <v>2.6632001844414286</v>
      </c>
    </row>
    <row r="36" spans="2:34" x14ac:dyDescent="0.25">
      <c r="B36">
        <v>3</v>
      </c>
      <c r="C36" s="272">
        <f t="shared" si="4"/>
        <v>9.2071247481402899E-2</v>
      </c>
      <c r="D36" s="272">
        <f t="shared" si="5"/>
        <v>0.40550767426116213</v>
      </c>
      <c r="E36" s="272">
        <f t="shared" si="0"/>
        <v>3.8640613915640363</v>
      </c>
      <c r="F36" s="271">
        <f t="shared" si="1"/>
        <v>4.5096645227668031</v>
      </c>
      <c r="G36" s="271">
        <f t="shared" si="6"/>
        <v>8.3737259143308389</v>
      </c>
      <c r="H36" s="272">
        <f t="shared" si="9"/>
        <v>3.0197930916423556E-2</v>
      </c>
      <c r="I36" s="272">
        <f t="shared" si="7"/>
        <v>0.55582519671814523</v>
      </c>
      <c r="J36" s="272">
        <f t="shared" si="2"/>
        <v>37.449078496572326</v>
      </c>
      <c r="K36" s="271">
        <f t="shared" si="3"/>
        <v>1.4790995173847852</v>
      </c>
      <c r="L36" s="271">
        <f t="shared" si="8"/>
        <v>38.928178013957108</v>
      </c>
      <c r="M36" s="271"/>
      <c r="N36" s="271"/>
      <c r="O36" s="271"/>
      <c r="Q36">
        <v>20</v>
      </c>
      <c r="R36" s="274">
        <v>52</v>
      </c>
      <c r="S36" s="274">
        <v>10</v>
      </c>
      <c r="T36">
        <v>3.5</v>
      </c>
      <c r="U36">
        <v>3</v>
      </c>
      <c r="V36">
        <v>4</v>
      </c>
      <c r="W36">
        <v>410</v>
      </c>
      <c r="X36" s="279" t="e" cm="1">
        <f t="array" aca="1" ref="X36" ca="1">TWSC_PED_DELAY($Q36,$W36,$R36,$S36,$T36,$U36,X$4,$V36)</f>
        <v>#NAME?</v>
      </c>
      <c r="Y36" s="279" cm="1">
        <f t="array" ref="Y36">PEDBIKE_DELAY($Q36,$W36,$R36,$S36,$T36,$U36,Y$4,$V36,TRUE)</f>
        <v>37.368397599682375</v>
      </c>
      <c r="Z36" s="279" cm="1">
        <f t="array" ref="Z36">PEDBIKE_DELAY($Q36,$W36,$R36,$S36,$T36,$U36,Z$4,$V36,TRUE)</f>
        <v>34.25306148275115</v>
      </c>
      <c r="AA36" s="279" cm="1">
        <f t="array" ref="AA36">PEDBIKE_DELAY($Q36,$W36,$R36,$S36,$T36,$U36,AA$4,$V36,TRUE)</f>
        <v>31.160199638480002</v>
      </c>
      <c r="AB36" s="279" cm="1">
        <f t="array" ref="AB36">PEDBIKE_DELAY($Q36,$W36,$R36,$S36,$T36,$U36,AB$4,$V36,TRUE)</f>
        <v>28.128888765399644</v>
      </c>
      <c r="AC36" s="279" cm="1">
        <f t="array" ref="AC36">PEDBIKE_DELAY($Q36,$W36,$R36,$S36,$T36,$U36,AC$4,$V36,TRUE)</f>
        <v>25.197105863325625</v>
      </c>
      <c r="AD36" s="279" cm="1">
        <f t="array" ref="AD36">PEDBIKE_DELAY($Q36,$W36,$R36,$S36,$T36,$U36,AD$4,$V36,TRUE)</f>
        <v>22.400057966067003</v>
      </c>
      <c r="AE36" s="279" cm="1">
        <f t="array" ref="AE36">PEDBIKE_DELAY($Q36,$W36,$R36,$S36,$T36,$U36,AE$4,$V36,TRUE)</f>
        <v>17.327392811348307</v>
      </c>
      <c r="AF36" s="279" cm="1">
        <f t="array" ref="AF36">PEDBIKE_DELAY($Q36,$W36,$R36,$S36,$T36,$U36,AF$4,$V36,TRUE)</f>
        <v>13.079383275023094</v>
      </c>
      <c r="AG36" s="279" cm="1">
        <f t="array" ref="AG36">PEDBIKE_DELAY($Q36,$W36,$R36,$S36,$T36,$U36,AG$4,$V36,TRUE)</f>
        <v>6.0922155313017434</v>
      </c>
      <c r="AH36" s="279" cm="1">
        <f t="array" ref="AH36">PEDBIKE_DELAY($Q36,$W36,$R36,$S36,$T36,$U36,AH$4,$V36,TRUE)</f>
        <v>2.6572476046663693</v>
      </c>
    </row>
    <row r="37" spans="2:34" x14ac:dyDescent="0.25">
      <c r="B37">
        <v>4</v>
      </c>
      <c r="C37" s="272">
        <f t="shared" si="4"/>
        <v>6.5223936503195384E-2</v>
      </c>
      <c r="D37" s="272">
        <f t="shared" si="5"/>
        <v>0.47073161076435754</v>
      </c>
      <c r="E37" s="272">
        <f t="shared" si="0"/>
        <v>5.5706991326493149</v>
      </c>
      <c r="F37" s="271">
        <f t="shared" si="1"/>
        <v>3.1946789093203773</v>
      </c>
      <c r="G37" s="271">
        <f t="shared" si="6"/>
        <v>8.7653780419696918</v>
      </c>
      <c r="H37" s="272">
        <f t="shared" si="9"/>
        <v>2.1392432301066935E-2</v>
      </c>
      <c r="I37" s="272">
        <f t="shared" si="7"/>
        <v>0.57721762901921214</v>
      </c>
      <c r="J37" s="272">
        <f t="shared" si="2"/>
        <v>38.770949825855382</v>
      </c>
      <c r="K37" s="271">
        <f t="shared" si="3"/>
        <v>1.0478047777434352</v>
      </c>
      <c r="L37" s="271">
        <f t="shared" si="8"/>
        <v>39.818754603598819</v>
      </c>
      <c r="M37" s="271"/>
      <c r="N37" s="271"/>
      <c r="O37" s="271"/>
      <c r="Q37">
        <v>20</v>
      </c>
      <c r="R37" s="274">
        <v>52</v>
      </c>
      <c r="S37" s="274">
        <v>10</v>
      </c>
      <c r="T37">
        <v>3.5</v>
      </c>
      <c r="U37">
        <v>3</v>
      </c>
      <c r="V37">
        <v>4</v>
      </c>
      <c r="W37">
        <v>420</v>
      </c>
      <c r="X37" s="279" t="e" cm="1">
        <f t="array" aca="1" ref="X37" ca="1">TWSC_PED_DELAY($Q37,$W37,$R37,$S37,$T37,$U37,X$4,$V37)</f>
        <v>#NAME?</v>
      </c>
      <c r="Y37" s="279" cm="1">
        <f t="array" ref="Y37">PEDBIKE_DELAY($Q37,$W37,$R37,$S37,$T37,$U37,Y$4,$V37,TRUE)</f>
        <v>39.078264554653558</v>
      </c>
      <c r="Z37" s="279" cm="1">
        <f t="array" ref="Z37">PEDBIKE_DELAY($Q37,$W37,$R37,$S37,$T37,$U37,Z$4,$V37,TRUE)</f>
        <v>35.732025473272309</v>
      </c>
      <c r="AA37" s="279" cm="1">
        <f t="array" ref="AA37">PEDBIKE_DELAY($Q37,$W37,$R37,$S37,$T37,$U37,AA$4,$V37,TRUE)</f>
        <v>32.415451180957973</v>
      </c>
      <c r="AB37" s="279" cm="1">
        <f t="array" ref="AB37">PEDBIKE_DELAY($Q37,$W37,$R37,$S37,$T37,$U37,AB$4,$V37,TRUE)</f>
        <v>29.172709483457425</v>
      </c>
      <c r="AC37" s="279" cm="1">
        <f t="array" ref="AC37">PEDBIKE_DELAY($Q37,$W37,$R37,$S37,$T37,$U37,AC$4,$V37,TRUE)</f>
        <v>26.046295753116887</v>
      </c>
      <c r="AD37" s="279" cm="1">
        <f t="array" ref="AD37">PEDBIKE_DELAY($Q37,$W37,$R37,$S37,$T37,$U37,AD$4,$V37,TRUE)</f>
        <v>23.075041936869237</v>
      </c>
      <c r="AE37" s="279" cm="1">
        <f t="array" ref="AE37">PEDBIKE_DELAY($Q37,$W37,$R37,$S37,$T37,$U37,AE$4,$V37,TRUE)</f>
        <v>17.723765459760816</v>
      </c>
      <c r="AF37" s="279" cm="1">
        <f t="array" ref="AF37">PEDBIKE_DELAY($Q37,$W37,$R37,$S37,$T37,$U37,AF$4,$V37,TRUE)</f>
        <v>13.290925689724313</v>
      </c>
      <c r="AG37" s="279" cm="1">
        <f t="array" ref="AG37">PEDBIKE_DELAY($Q37,$W37,$R37,$S37,$T37,$U37,AG$4,$V37,TRUE)</f>
        <v>6.1245235251287262</v>
      </c>
      <c r="AH37" s="279" cm="1">
        <f t="array" ref="AH37">PEDBIKE_DELAY($Q37,$W37,$R37,$S37,$T37,$U37,AH$4,$V37,TRUE)</f>
        <v>2.6501516134848639</v>
      </c>
    </row>
    <row r="38" spans="2:34" x14ac:dyDescent="0.25">
      <c r="B38">
        <v>5</v>
      </c>
      <c r="C38" s="272">
        <f t="shared" si="4"/>
        <v>4.6205107559036195E-2</v>
      </c>
      <c r="D38" s="272">
        <f t="shared" si="5"/>
        <v>0.51693671832339372</v>
      </c>
      <c r="E38" s="272">
        <f t="shared" si="0"/>
        <v>7.1251206304897021</v>
      </c>
      <c r="F38" s="271">
        <f t="shared" si="1"/>
        <v>2.2631336060880187</v>
      </c>
      <c r="G38" s="271">
        <f t="shared" si="6"/>
        <v>9.3882542365777208</v>
      </c>
      <c r="H38" s="272">
        <f t="shared" si="9"/>
        <v>1.5154553503095814E-2</v>
      </c>
      <c r="I38" s="272">
        <f t="shared" si="7"/>
        <v>0.59237218252230794</v>
      </c>
      <c r="J38" s="272">
        <f t="shared" si="2"/>
        <v>39.777941566519495</v>
      </c>
      <c r="K38" s="271">
        <f t="shared" si="3"/>
        <v>0.74227247007907327</v>
      </c>
      <c r="L38" s="271">
        <f t="shared" si="8"/>
        <v>40.520214036598567</v>
      </c>
      <c r="M38" s="271"/>
      <c r="N38" s="271"/>
      <c r="O38" s="271"/>
      <c r="Q38">
        <v>20</v>
      </c>
      <c r="R38" s="274">
        <v>52</v>
      </c>
      <c r="S38" s="274">
        <v>10</v>
      </c>
      <c r="T38">
        <v>3.5</v>
      </c>
      <c r="U38">
        <v>3</v>
      </c>
      <c r="V38">
        <v>4</v>
      </c>
      <c r="W38">
        <v>430</v>
      </c>
      <c r="X38" s="279" t="e" cm="1">
        <f t="array" aca="1" ref="X38" ca="1">TWSC_PED_DELAY($Q38,$W38,$R38,$S38,$T38,$U38,X$4,$V38)</f>
        <v>#NAME?</v>
      </c>
      <c r="Y38" s="279" cm="1">
        <f t="array" ref="Y38">PEDBIKE_DELAY($Q38,$W38,$R38,$S38,$T38,$U38,Y$4,$V38,TRUE)</f>
        <v>40.863406582253738</v>
      </c>
      <c r="Z38" s="279" cm="1">
        <f t="array" ref="Z38">PEDBIKE_DELAY($Q38,$W38,$R38,$S38,$T38,$U38,Z$4,$V38,TRUE)</f>
        <v>37.283264068589538</v>
      </c>
      <c r="AA38" s="279" cm="1">
        <f t="array" ref="AA38">PEDBIKE_DELAY($Q38,$W38,$R38,$S38,$T38,$U38,AA$4,$V38,TRUE)</f>
        <v>33.737261636809272</v>
      </c>
      <c r="AB38" s="279" cm="1">
        <f t="array" ref="AB38">PEDBIKE_DELAY($Q38,$W38,$R38,$S38,$T38,$U38,AB$4,$V38,TRUE)</f>
        <v>30.275264219202686</v>
      </c>
      <c r="AC38" s="279" cm="1">
        <f t="array" ref="AC38">PEDBIKE_DELAY($Q38,$W38,$R38,$S38,$T38,$U38,AC$4,$V38,TRUE)</f>
        <v>26.945006303290977</v>
      </c>
      <c r="AD38" s="279" cm="1">
        <f t="array" ref="AD38">PEDBIKE_DELAY($Q38,$W38,$R38,$S38,$T38,$U38,AD$4,$V38,TRUE)</f>
        <v>23.78971711217417</v>
      </c>
      <c r="AE38" s="279" cm="1">
        <f t="array" ref="AE38">PEDBIKE_DELAY($Q38,$W38,$R38,$S38,$T38,$U38,AE$4,$V38,TRUE)</f>
        <v>18.141230027409947</v>
      </c>
      <c r="AF38" s="279" cm="1">
        <f t="array" ref="AF38">PEDBIKE_DELAY($Q38,$W38,$R38,$S38,$T38,$U38,AF$4,$V38,TRUE)</f>
        <v>13.509897595083</v>
      </c>
      <c r="AG38" s="279" cm="1">
        <f t="array" ref="AG38">PEDBIKE_DELAY($Q38,$W38,$R38,$S38,$T38,$U38,AG$4,$V38,TRUE)</f>
        <v>6.1545475985577784</v>
      </c>
      <c r="AH38" s="279" cm="1">
        <f t="array" ref="AH38">PEDBIKE_DELAY($Q38,$W38,$R38,$S38,$T38,$U38,AH$4,$V38,TRUE)</f>
        <v>2.6419955634690235</v>
      </c>
    </row>
    <row r="39" spans="2:34" x14ac:dyDescent="0.25">
      <c r="B39">
        <v>6</v>
      </c>
      <c r="C39" s="272">
        <f t="shared" si="4"/>
        <v>3.2732031812239867E-2</v>
      </c>
      <c r="D39" s="272">
        <f t="shared" si="5"/>
        <v>0.54966875013563354</v>
      </c>
      <c r="E39" s="272">
        <f t="shared" si="0"/>
        <v>8.4709870236061828</v>
      </c>
      <c r="F39" s="271">
        <f t="shared" si="1"/>
        <v>1.6032201871876215</v>
      </c>
      <c r="G39" s="271">
        <f t="shared" si="6"/>
        <v>10.074207210793805</v>
      </c>
      <c r="H39" s="272">
        <f t="shared" si="9"/>
        <v>1.0735595122894905E-2</v>
      </c>
      <c r="I39" s="272">
        <f t="shared" si="7"/>
        <v>0.60310777764520285</v>
      </c>
      <c r="J39" s="272">
        <f t="shared" si="2"/>
        <v>40.546355518205864</v>
      </c>
      <c r="K39" s="271">
        <f t="shared" si="3"/>
        <v>0.52583117727699302</v>
      </c>
      <c r="L39" s="271">
        <f t="shared" si="8"/>
        <v>41.072186695482856</v>
      </c>
      <c r="M39" s="271"/>
      <c r="N39" s="271"/>
      <c r="O39" s="271"/>
      <c r="Q39">
        <v>20</v>
      </c>
      <c r="R39" s="274">
        <v>52</v>
      </c>
      <c r="S39" s="274">
        <v>10</v>
      </c>
      <c r="T39">
        <v>3.5</v>
      </c>
      <c r="U39">
        <v>3</v>
      </c>
      <c r="V39">
        <v>4</v>
      </c>
      <c r="W39">
        <v>440</v>
      </c>
      <c r="X39" s="279" t="e" cm="1">
        <f t="array" aca="1" ref="X39" ca="1">TWSC_PED_DELAY($Q39,$W39,$R39,$S39,$T39,$U39,X$4,$V39)</f>
        <v>#NAME?</v>
      </c>
      <c r="Y39" s="279" cm="1">
        <f t="array" ref="Y39">PEDBIKE_DELAY($Q39,$W39,$R39,$S39,$T39,$U39,Y$4,$V39,TRUE)</f>
        <v>42.714853774858966</v>
      </c>
      <c r="Z39" s="279" cm="1">
        <f t="array" ref="Z39">PEDBIKE_DELAY($Q39,$W39,$R39,$S39,$T39,$U39,Z$4,$V39,TRUE)</f>
        <v>38.870812898815785</v>
      </c>
      <c r="AA39" s="279" cm="1">
        <f t="array" ref="AA39">PEDBIKE_DELAY($Q39,$W39,$R39,$S39,$T39,$U39,AA$4,$V39,TRUE)</f>
        <v>35.070688793816316</v>
      </c>
      <c r="AB39" s="279" cm="1">
        <f t="array" ref="AB39">PEDBIKE_DELAY($Q39,$W39,$R39,$S39,$T39,$U39,AB$4,$V39,TRUE)</f>
        <v>31.370612779171758</v>
      </c>
      <c r="AC39" s="279" cm="1">
        <f t="array" ref="AC39">PEDBIKE_DELAY($Q39,$W39,$R39,$S39,$T39,$U39,AC$4,$V39,TRUE)</f>
        <v>27.82369837914332</v>
      </c>
      <c r="AD39" s="279" cm="1">
        <f t="array" ref="AD39">PEDBIKE_DELAY($Q39,$W39,$R39,$S39,$T39,$U39,AD$4,$V39,TRUE)</f>
        <v>24.477248887807438</v>
      </c>
      <c r="AE39" s="279" cm="1">
        <f t="array" ref="AE39">PEDBIKE_DELAY($Q39,$W39,$R39,$S39,$T39,$U39,AE$4,$V39,TRUE)</f>
        <v>18.530970645883436</v>
      </c>
      <c r="AF39" s="279" cm="1">
        <f t="array" ref="AF39">PEDBIKE_DELAY($Q39,$W39,$R39,$S39,$T39,$U39,AF$4,$V39,TRUE)</f>
        <v>13.710578328764733</v>
      </c>
      <c r="AG39" s="279" cm="1">
        <f t="array" ref="AG39">PEDBIKE_DELAY($Q39,$W39,$R39,$S39,$T39,$U39,AG$4,$V39,TRUE)</f>
        <v>6.1827776816906388</v>
      </c>
      <c r="AH39" s="279" cm="1">
        <f t="array" ref="AH39">PEDBIKE_DELAY($Q39,$W39,$R39,$S39,$T39,$U39,AH$4,$V39,TRUE)</f>
        <v>2.6332113309970895</v>
      </c>
    </row>
    <row r="40" spans="2:34" x14ac:dyDescent="0.25">
      <c r="B40">
        <v>7</v>
      </c>
      <c r="C40" s="272">
        <f t="shared" si="4"/>
        <v>2.3187607672778925E-2</v>
      </c>
      <c r="D40" s="272">
        <f t="shared" si="5"/>
        <v>0.57285635780841249</v>
      </c>
      <c r="E40" s="272">
        <f t="shared" si="0"/>
        <v>9.5977578524036247</v>
      </c>
      <c r="F40" s="271">
        <f t="shared" si="1"/>
        <v>1.1357327564274367</v>
      </c>
      <c r="G40" s="271">
        <f t="shared" si="6"/>
        <v>10.733490608831062</v>
      </c>
      <c r="H40" s="272">
        <f t="shared" si="9"/>
        <v>7.6051730998990246E-3</v>
      </c>
      <c r="I40" s="272">
        <f t="shared" si="7"/>
        <v>0.6107129507451019</v>
      </c>
      <c r="J40" s="272">
        <f t="shared" si="2"/>
        <v>41.128189648624506</v>
      </c>
      <c r="K40" s="271">
        <f t="shared" si="3"/>
        <v>0.37250260267237578</v>
      </c>
      <c r="L40" s="271">
        <f t="shared" si="8"/>
        <v>41.500692251296883</v>
      </c>
      <c r="M40" s="271"/>
      <c r="N40" s="271"/>
      <c r="O40" s="271"/>
      <c r="Q40">
        <v>20</v>
      </c>
      <c r="R40" s="274">
        <v>52</v>
      </c>
      <c r="S40" s="274">
        <v>10</v>
      </c>
      <c r="T40">
        <v>3.5</v>
      </c>
      <c r="U40">
        <v>3</v>
      </c>
      <c r="V40">
        <v>4</v>
      </c>
      <c r="W40">
        <v>450</v>
      </c>
      <c r="X40" s="279" t="e" cm="1">
        <f t="array" aca="1" ref="X40" ca="1">TWSC_PED_DELAY($Q40,$W40,$R40,$S40,$T40,$U40,X$4,$V40)</f>
        <v>#NAME?</v>
      </c>
      <c r="Y40" s="279" cm="1">
        <f t="array" ref="Y40">PEDBIKE_DELAY($Q40,$W40,$R40,$S40,$T40,$U40,Y$4,$V40,TRUE)</f>
        <v>44.764550064906054</v>
      </c>
      <c r="Z40" s="279" cm="1">
        <f t="array" ref="Z40">PEDBIKE_DELAY($Q40,$W40,$R40,$S40,$T40,$U40,Z$4,$V40,TRUE)</f>
        <v>40.634160992462554</v>
      </c>
      <c r="AA40" s="279" cm="1">
        <f t="array" ref="AA40">PEDBIKE_DELAY($Q40,$W40,$R40,$S40,$T40,$U40,AA$4,$V40,TRUE)</f>
        <v>36.555790677679511</v>
      </c>
      <c r="AB40" s="279" cm="1">
        <f t="array" ref="AB40">PEDBIKE_DELAY($Q40,$W40,$R40,$S40,$T40,$U40,AB$4,$V40,TRUE)</f>
        <v>32.593010642910627</v>
      </c>
      <c r="AC40" s="279" cm="1">
        <f t="array" ref="AC40">PEDBIKE_DELAY($Q40,$W40,$R40,$S40,$T40,$U40,AC$4,$V40,TRUE)</f>
        <v>28.805496805990806</v>
      </c>
      <c r="AD40" s="279" cm="1">
        <f t="array" ref="AD40">PEDBIKE_DELAY($Q40,$W40,$R40,$S40,$T40,$U40,AD$4,$V40,TRUE)</f>
        <v>25.245702657958329</v>
      </c>
      <c r="AE40" s="279" cm="1">
        <f t="array" ref="AE40">PEDBIKE_DELAY($Q40,$W40,$R40,$S40,$T40,$U40,AE$4,$V40,TRUE)</f>
        <v>18.965671157012508</v>
      </c>
      <c r="AF40" s="279" cm="1">
        <f t="array" ref="AF40">PEDBIKE_DELAY($Q40,$W40,$R40,$S40,$T40,$U40,AF$4,$V40,TRUE)</f>
        <v>13.933438926900777</v>
      </c>
      <c r="AG40" s="279" cm="1">
        <f t="array" ref="AG40">PEDBIKE_DELAY($Q40,$W40,$R40,$S40,$T40,$U40,AG$4,$V40,TRUE)</f>
        <v>6.2152509290234681</v>
      </c>
      <c r="AH40" s="279" cm="1">
        <f t="array" ref="AH40">PEDBIKE_DELAY($Q40,$W40,$R40,$S40,$T40,$U40,AH$4,$V40,TRUE)</f>
        <v>2.625434792003519</v>
      </c>
    </row>
    <row r="41" spans="2:34" x14ac:dyDescent="0.25">
      <c r="B41">
        <v>8</v>
      </c>
      <c r="C41" s="272">
        <f t="shared" si="4"/>
        <v>1.6426268698225457E-2</v>
      </c>
      <c r="D41" s="272">
        <f t="shared" si="5"/>
        <v>0.58928262650663799</v>
      </c>
      <c r="E41" s="272">
        <f t="shared" si="0"/>
        <v>10.518772380260037</v>
      </c>
      <c r="F41" s="271">
        <f t="shared" si="1"/>
        <v>0.80456128505030422</v>
      </c>
      <c r="G41" s="271">
        <f t="shared" si="6"/>
        <v>11.323333665310342</v>
      </c>
      <c r="H41" s="272">
        <f t="shared" si="9"/>
        <v>5.3875595360409955E-3</v>
      </c>
      <c r="I41" s="272">
        <f t="shared" si="7"/>
        <v>0.61610051028114288</v>
      </c>
      <c r="J41" s="272">
        <f t="shared" si="2"/>
        <v>41.564122325488285</v>
      </c>
      <c r="K41" s="271">
        <f t="shared" si="3"/>
        <v>0.26388353333526365</v>
      </c>
      <c r="L41" s="271">
        <f t="shared" si="8"/>
        <v>41.828005858823545</v>
      </c>
      <c r="M41" s="271"/>
      <c r="N41" s="271"/>
      <c r="O41" s="271"/>
      <c r="Q41">
        <v>20</v>
      </c>
      <c r="R41" s="274">
        <v>52</v>
      </c>
      <c r="S41" s="274">
        <v>10</v>
      </c>
      <c r="T41">
        <v>3.5</v>
      </c>
      <c r="U41">
        <v>3</v>
      </c>
      <c r="V41">
        <v>4</v>
      </c>
      <c r="W41">
        <v>460</v>
      </c>
      <c r="X41" s="279" t="e" cm="1">
        <f t="array" aca="1" ref="X41" ca="1">TWSC_PED_DELAY($Q41,$W41,$R41,$S41,$T41,$U41,X$4,$V41)</f>
        <v>#NAME?</v>
      </c>
      <c r="Y41" s="279" cm="1">
        <f t="array" ref="Y41">PEDBIKE_DELAY($Q41,$W41,$R41,$S41,$T41,$U41,Y$4,$V41,TRUE)</f>
        <v>46.894780825602602</v>
      </c>
      <c r="Z41" s="279" cm="1">
        <f t="array" ref="Z41">PEDBIKE_DELAY($Q41,$W41,$R41,$S41,$T41,$U41,Z$4,$V41,TRUE)</f>
        <v>42.451436675914707</v>
      </c>
      <c r="AA41" s="279" cm="1">
        <f t="array" ref="AA41">PEDBIKE_DELAY($Q41,$W41,$R41,$S41,$T41,$U41,AA$4,$V41,TRUE)</f>
        <v>38.071977984740535</v>
      </c>
      <c r="AB41" s="279" cm="1">
        <f t="array" ref="AB41">PEDBIKE_DELAY($Q41,$W41,$R41,$S41,$T41,$U41,AB$4,$V41,TRUE)</f>
        <v>33.828159586974387</v>
      </c>
      <c r="AC41" s="279" cm="1">
        <f t="array" ref="AC41">PEDBIKE_DELAY($Q41,$W41,$R41,$S41,$T41,$U41,AC$4,$V41,TRUE)</f>
        <v>29.786571519813375</v>
      </c>
      <c r="AD41" s="279" cm="1">
        <f t="array" ref="AD41">PEDBIKE_DELAY($Q41,$W41,$R41,$S41,$T41,$U41,AD$4,$V41,TRUE)</f>
        <v>26.004727478249706</v>
      </c>
      <c r="AE41" s="279" cm="1">
        <f t="array" ref="AE41">PEDBIKE_DELAY($Q41,$W41,$R41,$S41,$T41,$U41,AE$4,$V41,TRUE)</f>
        <v>19.385423871766456</v>
      </c>
      <c r="AF41" s="279" cm="1">
        <f t="array" ref="AF41">PEDBIKE_DELAY($Q41,$W41,$R41,$S41,$T41,$U41,AF$4,$V41,TRUE)</f>
        <v>14.145114678307106</v>
      </c>
      <c r="AG41" s="279" cm="1">
        <f t="array" ref="AG41">PEDBIKE_DELAY($Q41,$W41,$R41,$S41,$T41,$U41,AG$4,$V41,TRUE)</f>
        <v>6.2455331814830037</v>
      </c>
      <c r="AH41" s="279" cm="1">
        <f t="array" ref="AH41">PEDBIKE_DELAY($Q41,$W41,$R41,$S41,$T41,$U41,AH$4,$V41,TRUE)</f>
        <v>2.6167808127632841</v>
      </c>
    </row>
    <row r="42" spans="2:34" x14ac:dyDescent="0.25">
      <c r="B42">
        <v>9</v>
      </c>
      <c r="C42" s="272">
        <f t="shared" si="4"/>
        <v>1.1636487349363728E-2</v>
      </c>
      <c r="D42" s="272">
        <f t="shared" si="5"/>
        <v>0.60091911385600172</v>
      </c>
      <c r="E42" s="272">
        <f t="shared" si="0"/>
        <v>11.258219500726559</v>
      </c>
      <c r="F42" s="271">
        <f t="shared" si="1"/>
        <v>0.5699570235501572</v>
      </c>
      <c r="G42" s="271">
        <f t="shared" si="6"/>
        <v>11.828176524276717</v>
      </c>
      <c r="H42" s="272">
        <f t="shared" si="9"/>
        <v>3.8165860754401158E-3</v>
      </c>
      <c r="I42" s="272">
        <f t="shared" si="7"/>
        <v>0.61991709635658299</v>
      </c>
      <c r="J42" s="272">
        <f t="shared" si="2"/>
        <v>41.887344660994131</v>
      </c>
      <c r="K42" s="271">
        <f t="shared" si="3"/>
        <v>0.18693700034828542</v>
      </c>
      <c r="L42" s="271">
        <f t="shared" si="8"/>
        <v>42.074281661342418</v>
      </c>
      <c r="M42" s="271"/>
      <c r="N42" s="271"/>
      <c r="O42" s="271"/>
      <c r="Q42">
        <v>20</v>
      </c>
      <c r="R42" s="274">
        <v>52</v>
      </c>
      <c r="S42" s="274">
        <v>10</v>
      </c>
      <c r="T42">
        <v>3.5</v>
      </c>
      <c r="U42">
        <v>3</v>
      </c>
      <c r="V42">
        <v>4</v>
      </c>
      <c r="W42">
        <v>470</v>
      </c>
      <c r="X42" s="279" t="e" cm="1">
        <f t="array" aca="1" ref="X42" ca="1">TWSC_PED_DELAY($Q42,$W42,$R42,$S42,$T42,$U42,X$4,$V42)</f>
        <v>#NAME?</v>
      </c>
      <c r="Y42" s="279" cm="1">
        <f t="array" ref="Y42">PEDBIKE_DELAY($Q42,$W42,$R42,$S42,$T42,$U42,Y$4,$V42,TRUE)</f>
        <v>49.127093110521088</v>
      </c>
      <c r="Z42" s="279" cm="1">
        <f t="array" ref="Z42">PEDBIKE_DELAY($Q42,$W42,$R42,$S42,$T42,$U42,Z$4,$V42,TRUE)</f>
        <v>44.354677772083996</v>
      </c>
      <c r="AA42" s="279" cm="1">
        <f t="array" ref="AA42">PEDBIKE_DELAY($Q42,$W42,$R42,$S42,$T42,$U42,AA$4,$V42,TRUE)</f>
        <v>39.657216385689182</v>
      </c>
      <c r="AB42" s="279" cm="1">
        <f t="array" ref="AB42">PEDBIKE_DELAY($Q42,$W42,$R42,$S42,$T42,$U42,AB$4,$V42,TRUE)</f>
        <v>35.115763260860078</v>
      </c>
      <c r="AC42" s="279" cm="1">
        <f t="array" ref="AC42">PEDBIKE_DELAY($Q42,$W42,$R42,$S42,$T42,$U42,AC$4,$V42,TRUE)</f>
        <v>30.804853882087073</v>
      </c>
      <c r="AD42" s="279" cm="1">
        <f t="array" ref="AD42">PEDBIKE_DELAY($Q42,$W42,$R42,$S42,$T42,$U42,AD$4,$V42,TRUE)</f>
        <v>26.787882708090279</v>
      </c>
      <c r="AE42" s="279" cm="1">
        <f t="array" ref="AE42">PEDBIKE_DELAY($Q42,$W42,$R42,$S42,$T42,$U42,AE$4,$V42,TRUE)</f>
        <v>19.811347763975718</v>
      </c>
      <c r="AF42" s="279" cm="1">
        <f t="array" ref="AF42">PEDBIKE_DELAY($Q42,$W42,$R42,$S42,$T42,$U42,AF$4,$V42,TRUE)</f>
        <v>14.355293017126083</v>
      </c>
      <c r="AG42" s="279" cm="1">
        <f t="array" ref="AG42">PEDBIKE_DELAY($Q42,$W42,$R42,$S42,$T42,$U42,AG$4,$V42,TRUE)</f>
        <v>6.273854721528533</v>
      </c>
      <c r="AH42" s="279" cm="1">
        <f t="array" ref="AH42">PEDBIKE_DELAY($Q42,$W42,$R42,$S42,$T42,$U42,AH$4,$V42,TRUE)</f>
        <v>2.6073131114246104</v>
      </c>
    </row>
    <row r="43" spans="2:34" x14ac:dyDescent="0.25">
      <c r="B43">
        <v>10</v>
      </c>
      <c r="C43" s="272">
        <f t="shared" si="4"/>
        <v>8.2433716578939453E-3</v>
      </c>
      <c r="D43" s="272">
        <f t="shared" si="5"/>
        <v>0.60916248551389562</v>
      </c>
      <c r="E43" s="272">
        <f t="shared" si="0"/>
        <v>11.843676201021683</v>
      </c>
      <c r="F43" s="271">
        <f t="shared" si="1"/>
        <v>0.40376167077669445</v>
      </c>
      <c r="G43" s="271">
        <f t="shared" si="6"/>
        <v>12.247437871798377</v>
      </c>
      <c r="H43" s="272">
        <f t="shared" si="9"/>
        <v>2.7036971329596339E-3</v>
      </c>
      <c r="I43" s="272">
        <f t="shared" si="7"/>
        <v>0.62262079348954258</v>
      </c>
      <c r="J43" s="272">
        <f t="shared" si="2"/>
        <v>42.124792101183509</v>
      </c>
      <c r="K43" s="271">
        <f t="shared" si="3"/>
        <v>0.13242752079879469</v>
      </c>
      <c r="L43" s="271">
        <f t="shared" si="8"/>
        <v>42.257219621982301</v>
      </c>
      <c r="M43" s="271"/>
      <c r="N43" s="271"/>
      <c r="O43" s="271"/>
      <c r="Q43">
        <v>20</v>
      </c>
      <c r="R43" s="274">
        <v>52</v>
      </c>
      <c r="S43" s="274">
        <v>10</v>
      </c>
      <c r="T43">
        <v>3.5</v>
      </c>
      <c r="U43">
        <v>3</v>
      </c>
      <c r="V43">
        <v>4</v>
      </c>
      <c r="W43">
        <v>480</v>
      </c>
      <c r="X43" s="279" t="e" cm="1">
        <f t="array" aca="1" ref="X43" ca="1">TWSC_PED_DELAY($Q43,$W43,$R43,$S43,$T43,$U43,X$4,$V43)</f>
        <v>#NAME?</v>
      </c>
      <c r="Y43" s="279" cm="1">
        <f t="array" ref="Y43">PEDBIKE_DELAY($Q43,$W43,$R43,$S43,$T43,$U43,Y$4,$V43,TRUE)</f>
        <v>51.448345565058041</v>
      </c>
      <c r="Z43" s="279" cm="1">
        <f t="array" ref="Z43">PEDBIKE_DELAY($Q43,$W43,$R43,$S43,$T43,$U43,Z$4,$V43,TRUE)</f>
        <v>46.315959730919019</v>
      </c>
      <c r="AA43" s="279" cm="1">
        <f t="array" ref="AA43">PEDBIKE_DELAY($Q43,$W43,$R43,$S43,$T43,$U43,AA$4,$V43,TRUE)</f>
        <v>41.274329136480873</v>
      </c>
      <c r="AB43" s="279" cm="1">
        <f t="array" ref="AB43">PEDBIKE_DELAY($Q43,$W43,$R43,$S43,$T43,$U43,AB$4,$V43,TRUE)</f>
        <v>36.414701338383182</v>
      </c>
      <c r="AC43" s="279" cm="1">
        <f t="array" ref="AC43">PEDBIKE_DELAY($Q43,$W43,$R43,$S43,$T43,$U43,AC$4,$V43,TRUE)</f>
        <v>31.819905354221529</v>
      </c>
      <c r="AD43" s="279" cm="1">
        <f t="array" ref="AD43">PEDBIKE_DELAY($Q43,$W43,$R43,$S43,$T43,$U43,AD$4,$V43,TRUE)</f>
        <v>27.558966969680995</v>
      </c>
      <c r="AE43" s="279" cm="1">
        <f t="array" ref="AE43">PEDBIKE_DELAY($Q43,$W43,$R43,$S43,$T43,$U43,AE$4,$V43,TRUE)</f>
        <v>20.221090751796879</v>
      </c>
      <c r="AF43" s="279" cm="1">
        <f t="array" ref="AF43">PEDBIKE_DELAY($Q43,$W43,$R43,$S43,$T43,$U43,AF$4,$V43,TRUE)</f>
        <v>14.554592347782311</v>
      </c>
      <c r="AG43" s="279" cm="1">
        <f t="array" ref="AG43">PEDBIKE_DELAY($Q43,$W43,$R43,$S43,$T43,$U43,AG$4,$V43,TRUE)</f>
        <v>6.3002604407810132</v>
      </c>
      <c r="AH43" s="279" cm="1">
        <f t="array" ref="AH43">PEDBIKE_DELAY($Q43,$W43,$R43,$S43,$T43,$U43,AH$4,$V43,TRUE)</f>
        <v>2.5970918285953428</v>
      </c>
    </row>
    <row r="44" spans="2:34" x14ac:dyDescent="0.25">
      <c r="B44">
        <v>11</v>
      </c>
      <c r="C44" s="272">
        <f t="shared" si="4"/>
        <v>5.8396640025466899E-3</v>
      </c>
      <c r="D44" s="272">
        <f t="shared" si="5"/>
        <v>0.61500214951644228</v>
      </c>
      <c r="E44" s="272">
        <f t="shared" si="0"/>
        <v>12.302074981422574</v>
      </c>
      <c r="F44" s="271">
        <f t="shared" si="1"/>
        <v>0.28602768288202618</v>
      </c>
      <c r="G44" s="271">
        <f t="shared" si="6"/>
        <v>12.5881026643046</v>
      </c>
      <c r="H44" s="272">
        <f t="shared" si="9"/>
        <v>1.9153185706498764E-3</v>
      </c>
      <c r="I44" s="272">
        <f t="shared" si="7"/>
        <v>0.62453611206019244</v>
      </c>
      <c r="J44" s="272">
        <f t="shared" si="2"/>
        <v>42.297879501062809</v>
      </c>
      <c r="K44" s="271">
        <f t="shared" si="3"/>
        <v>9.3812611907977475E-2</v>
      </c>
      <c r="L44" s="271">
        <f t="shared" si="8"/>
        <v>42.391692112970787</v>
      </c>
      <c r="M44" s="271"/>
      <c r="N44" s="271"/>
      <c r="O44" s="271"/>
      <c r="Q44">
        <v>20</v>
      </c>
      <c r="R44" s="274">
        <v>52</v>
      </c>
      <c r="S44" s="274">
        <v>10</v>
      </c>
      <c r="T44">
        <v>3.5</v>
      </c>
      <c r="U44">
        <v>3</v>
      </c>
      <c r="V44">
        <v>4</v>
      </c>
      <c r="W44">
        <v>490</v>
      </c>
      <c r="X44" s="279" t="e" cm="1">
        <f t="array" aca="1" ref="X44" ca="1">TWSC_PED_DELAY($Q44,$W44,$R44,$S44,$T44,$U44,X$4,$V44)</f>
        <v>#NAME?</v>
      </c>
      <c r="Y44" s="279" cm="1">
        <f t="array" ref="Y44">PEDBIKE_DELAY($Q44,$W44,$R44,$S44,$T44,$U44,Y$4,$V44,TRUE)</f>
        <v>53.887101438440752</v>
      </c>
      <c r="Z44" s="279" cm="1">
        <f t="array" ref="Z44">PEDBIKE_DELAY($Q44,$W44,$R44,$S44,$T44,$U44,Z$4,$V44,TRUE)</f>
        <v>48.37847798430532</v>
      </c>
      <c r="AA44" s="279" cm="1">
        <f t="array" ref="AA44">PEDBIKE_DELAY($Q44,$W44,$R44,$S44,$T44,$U44,AA$4,$V44,TRUE)</f>
        <v>42.974652466841341</v>
      </c>
      <c r="AB44" s="279" cm="1">
        <f t="array" ref="AB44">PEDBIKE_DELAY($Q44,$W44,$R44,$S44,$T44,$U44,AB$4,$V44,TRUE)</f>
        <v>37.778480671019089</v>
      </c>
      <c r="AC44" s="279" cm="1">
        <f t="array" ref="AC44">PEDBIKE_DELAY($Q44,$W44,$R44,$S44,$T44,$U44,AC$4,$V44,TRUE)</f>
        <v>32.88243759005239</v>
      </c>
      <c r="AD44" s="279" cm="1">
        <f t="array" ref="AD44">PEDBIKE_DELAY($Q44,$W44,$R44,$S44,$T44,$U44,AD$4,$V44,TRUE)</f>
        <v>28.362294078885277</v>
      </c>
      <c r="AE44" s="279" cm="1">
        <f t="array" ref="AE44">PEDBIKE_DELAY($Q44,$W44,$R44,$S44,$T44,$U44,AE$4,$V44,TRUE)</f>
        <v>20.641459783162684</v>
      </c>
      <c r="AF44" s="279" cm="1">
        <f t="array" ref="AF44">PEDBIKE_DELAY($Q44,$W44,$R44,$S44,$T44,$U44,AF$4,$V44,TRUE)</f>
        <v>14.754539136827658</v>
      </c>
      <c r="AG44" s="279" cm="1">
        <f t="array" ref="AG44">PEDBIKE_DELAY($Q44,$W44,$R44,$S44,$T44,$U44,AG$4,$V44,TRUE)</f>
        <v>6.3249496357747814</v>
      </c>
      <c r="AH44" s="279" cm="1">
        <f t="array" ref="AH44">PEDBIKE_DELAY($Q44,$W44,$R44,$S44,$T44,$U44,AH$4,$V44,TRUE)</f>
        <v>2.5861737095783996</v>
      </c>
    </row>
    <row r="45" spans="2:34" x14ac:dyDescent="0.25">
      <c r="B45">
        <v>12</v>
      </c>
      <c r="C45" s="272">
        <f t="shared" si="4"/>
        <v>4.1368601438688622E-3</v>
      </c>
      <c r="D45" s="272">
        <f t="shared" si="5"/>
        <v>0.6191390096603111</v>
      </c>
      <c r="E45" s="272">
        <f t="shared" si="0"/>
        <v>12.657734940198949</v>
      </c>
      <c r="F45" s="271">
        <f t="shared" si="1"/>
        <v>0.20262407577590025</v>
      </c>
      <c r="G45" s="271">
        <f t="shared" si="6"/>
        <v>12.860359015974849</v>
      </c>
      <c r="H45" s="272">
        <f t="shared" si="9"/>
        <v>1.3568255047341669E-3</v>
      </c>
      <c r="I45" s="272">
        <f t="shared" si="7"/>
        <v>0.62589293756492659</v>
      </c>
      <c r="J45" s="272">
        <f t="shared" si="2"/>
        <v>42.423257512834383</v>
      </c>
      <c r="K45" s="271">
        <f t="shared" si="3"/>
        <v>6.6457531636255743E-2</v>
      </c>
      <c r="L45" s="271">
        <f t="shared" si="8"/>
        <v>42.489715044470636</v>
      </c>
      <c r="M45" s="271"/>
      <c r="N45" s="271"/>
      <c r="O45" s="271"/>
      <c r="Q45">
        <v>20</v>
      </c>
      <c r="R45" s="274">
        <v>52</v>
      </c>
      <c r="S45" s="274">
        <v>10</v>
      </c>
      <c r="T45">
        <v>3.5</v>
      </c>
      <c r="U45">
        <v>3</v>
      </c>
      <c r="V45">
        <v>4</v>
      </c>
      <c r="W45">
        <v>500</v>
      </c>
      <c r="X45" s="279" t="e" cm="1">
        <f t="array" aca="1" ref="X45" ca="1">TWSC_PED_DELAY($Q45,$W45,$R45,$S45,$T45,$U45,X$4,$V45)</f>
        <v>#NAME?</v>
      </c>
      <c r="Y45" s="279" cm="1">
        <f t="array" ref="Y45">PEDBIKE_DELAY($Q45,$W45,$R45,$S45,$T45,$U45,Y$4,$V45,TRUE)</f>
        <v>56.420957046456735</v>
      </c>
      <c r="Z45" s="279" cm="1">
        <f t="array" ref="Z45">PEDBIKE_DELAY($Q45,$W45,$R45,$S45,$T45,$U45,Z$4,$V45,TRUE)</f>
        <v>50.497618540546448</v>
      </c>
      <c r="AA45" s="279" cm="1">
        <f t="array" ref="AA45">PEDBIKE_DELAY($Q45,$W45,$R45,$S45,$T45,$U45,AA$4,$V45,TRUE)</f>
        <v>44.69998972231253</v>
      </c>
      <c r="AB45" s="279" cm="1">
        <f t="array" ref="AB45">PEDBIKE_DELAY($Q45,$W45,$R45,$S45,$T45,$U45,AB$4,$V45,TRUE)</f>
        <v>39.143590263317535</v>
      </c>
      <c r="AC45" s="279" cm="1">
        <f t="array" ref="AC45">PEDBIKE_DELAY($Q45,$W45,$R45,$S45,$T45,$U45,AC$4,$V45,TRUE)</f>
        <v>33.930761115548918</v>
      </c>
      <c r="AD45" s="279" cm="1">
        <f t="array" ref="AD45">PEDBIKE_DELAY($Q45,$W45,$R45,$S45,$T45,$U45,AD$4,$V45,TRUE)</f>
        <v>29.143365014802917</v>
      </c>
      <c r="AE45" s="279" cm="1">
        <f t="array" ref="AE45">PEDBIKE_DELAY($Q45,$W45,$R45,$S45,$T45,$U45,AE$4,$V45,TRUE)</f>
        <v>21.039867117730772</v>
      </c>
      <c r="AF45" s="279" cm="1">
        <f t="array" ref="AF45">PEDBIKE_DELAY($Q45,$W45,$R45,$S45,$T45,$U45,AF$4,$V45,TRUE)</f>
        <v>14.941994517668654</v>
      </c>
      <c r="AG45" s="279" cm="1">
        <f t="array" ref="AG45">PEDBIKE_DELAY($Q45,$W45,$R45,$S45,$T45,$U45,AG$4,$V45,TRUE)</f>
        <v>6.3479376590359591</v>
      </c>
      <c r="AH45" s="279" cm="1">
        <f t="array" ref="AH45">PEDBIKE_DELAY($Q45,$W45,$R45,$S45,$T45,$U45,AH$4,$V45,TRUE)</f>
        <v>2.5746122775540661</v>
      </c>
    </row>
    <row r="46" spans="2:34" x14ac:dyDescent="0.25">
      <c r="B46">
        <v>13</v>
      </c>
      <c r="C46" s="272">
        <f t="shared" si="4"/>
        <v>2.9305815955280026E-3</v>
      </c>
      <c r="D46" s="272">
        <f t="shared" si="5"/>
        <v>0.62206959125583905</v>
      </c>
      <c r="E46" s="272">
        <f t="shared" si="0"/>
        <v>12.931595899752665</v>
      </c>
      <c r="F46" s="271">
        <f t="shared" si="1"/>
        <v>0.14354035829801806</v>
      </c>
      <c r="G46" s="271">
        <f t="shared" si="6"/>
        <v>13.075136258050684</v>
      </c>
      <c r="H46" s="272">
        <f t="shared" si="9"/>
        <v>9.6118498431959493E-4</v>
      </c>
      <c r="I46" s="272">
        <f t="shared" si="7"/>
        <v>0.62685412254924622</v>
      </c>
      <c r="J46" s="272">
        <f t="shared" si="2"/>
        <v>42.513619541367923</v>
      </c>
      <c r="K46" s="271">
        <f t="shared" si="3"/>
        <v>4.7078995258293968E-2</v>
      </c>
      <c r="L46" s="271">
        <f t="shared" si="8"/>
        <v>42.560698536626219</v>
      </c>
      <c r="M46" s="271"/>
      <c r="N46" s="271"/>
      <c r="O46" s="271"/>
      <c r="Q46">
        <v>20</v>
      </c>
      <c r="R46" s="274">
        <v>52</v>
      </c>
      <c r="S46" s="274">
        <v>10</v>
      </c>
      <c r="T46">
        <v>3.5</v>
      </c>
      <c r="U46">
        <v>3</v>
      </c>
      <c r="V46">
        <v>4</v>
      </c>
      <c r="W46">
        <v>510</v>
      </c>
      <c r="X46" s="279" t="e" cm="1">
        <f t="array" aca="1" ref="X46" ca="1">TWSC_PED_DELAY($Q46,$W46,$R46,$S46,$T46,$U46,X$4,$V46)</f>
        <v>#NAME?</v>
      </c>
      <c r="Y46" s="279" cm="1">
        <f t="array" ref="Y46">PEDBIKE_DELAY($Q46,$W46,$R46,$S46,$T46,$U46,Y$4,$V46,TRUE)</f>
        <v>59.078772692158957</v>
      </c>
      <c r="Z46" s="279" cm="1">
        <f t="array" ref="Z46">PEDBIKE_DELAY($Q46,$W46,$R46,$S46,$T46,$U46,Z$4,$V46,TRUE)</f>
        <v>52.716242003834139</v>
      </c>
      <c r="AA46" s="279" cm="1">
        <f t="array" ref="AA46">PEDBIKE_DELAY($Q46,$W46,$R46,$S46,$T46,$U46,AA$4,$V46,TRUE)</f>
        <v>46.500926667333324</v>
      </c>
      <c r="AB46" s="279" cm="1">
        <f t="array" ref="AB46">PEDBIKE_DELAY($Q46,$W46,$R46,$S46,$T46,$U46,AB$4,$V46,TRUE)</f>
        <v>40.562549542863927</v>
      </c>
      <c r="AC46" s="279" cm="1">
        <f t="array" ref="AC46">PEDBIKE_DELAY($Q46,$W46,$R46,$S46,$T46,$U46,AC$4,$V46,TRUE)</f>
        <v>35.014503286549925</v>
      </c>
      <c r="AD46" s="279" cm="1">
        <f t="array" ref="AD46">PEDBIKE_DELAY($Q46,$W46,$R46,$S46,$T46,$U46,AD$4,$V46,TRUE)</f>
        <v>29.945415441910683</v>
      </c>
      <c r="AE46" s="279" cm="1">
        <f t="array" ref="AE46">PEDBIKE_DELAY($Q46,$W46,$R46,$S46,$T46,$U46,AE$4,$V46,TRUE)</f>
        <v>21.442239039280697</v>
      </c>
      <c r="AF46" s="279" cm="1">
        <f t="array" ref="AF46">PEDBIKE_DELAY($Q46,$W46,$R46,$S46,$T46,$U46,AF$4,$V46,TRUE)</f>
        <v>15.127909545483538</v>
      </c>
      <c r="AG46" s="279" cm="1">
        <f t="array" ref="AG46">PEDBIKE_DELAY($Q46,$W46,$R46,$S46,$T46,$U46,AG$4,$V46,TRUE)</f>
        <v>6.3693932797704447</v>
      </c>
      <c r="AH46" s="279" cm="1">
        <f t="array" ref="AH46">PEDBIKE_DELAY($Q46,$W46,$R46,$S46,$T46,$U46,AH$4,$V46,TRUE)</f>
        <v>2.5624579981537003</v>
      </c>
    </row>
    <row r="47" spans="2:34" x14ac:dyDescent="0.25">
      <c r="B47">
        <v>14</v>
      </c>
      <c r="C47" s="272">
        <f t="shared" si="4"/>
        <v>2.0760451621203604E-3</v>
      </c>
      <c r="D47" s="272">
        <f t="shared" si="5"/>
        <v>0.62414563641795939</v>
      </c>
      <c r="E47" s="272">
        <f t="shared" si="0"/>
        <v>13.141121387364455</v>
      </c>
      <c r="F47" s="271">
        <f t="shared" si="1"/>
        <v>0.10168502623109263</v>
      </c>
      <c r="G47" s="271">
        <f t="shared" si="6"/>
        <v>13.242806413595547</v>
      </c>
      <c r="H47" s="272">
        <f t="shared" si="9"/>
        <v>6.8091038299169474E-4</v>
      </c>
      <c r="I47" s="272">
        <f t="shared" si="7"/>
        <v>0.62753503293223789</v>
      </c>
      <c r="J47" s="272">
        <f t="shared" si="2"/>
        <v>42.578486171518499</v>
      </c>
      <c r="K47" s="271">
        <f t="shared" si="3"/>
        <v>3.3351100168176565E-2</v>
      </c>
      <c r="L47" s="271">
        <f t="shared" si="8"/>
        <v>42.611837271686674</v>
      </c>
      <c r="M47" s="271"/>
      <c r="N47" s="271"/>
      <c r="O47" s="271"/>
      <c r="Q47">
        <v>20</v>
      </c>
      <c r="R47" s="274">
        <v>52</v>
      </c>
      <c r="S47" s="274">
        <v>10</v>
      </c>
      <c r="T47">
        <v>3.5</v>
      </c>
      <c r="U47">
        <v>3</v>
      </c>
      <c r="V47">
        <v>4</v>
      </c>
      <c r="W47">
        <v>520</v>
      </c>
      <c r="X47" s="279" t="e" cm="1">
        <f t="array" aca="1" ref="X47" ca="1">TWSC_PED_DELAY($Q47,$W47,$R47,$S47,$T47,$U47,X$4,$V47)</f>
        <v>#NAME?</v>
      </c>
      <c r="Y47" s="279" cm="1">
        <f t="array" ref="Y47">PEDBIKE_DELAY($Q47,$W47,$R47,$S47,$T47,$U47,Y$4,$V47,TRUE)</f>
        <v>61.865843652337183</v>
      </c>
      <c r="Z47" s="279" cm="1">
        <f t="array" ref="Z47">PEDBIKE_DELAY($Q47,$W47,$R47,$S47,$T47,$U47,Z$4,$V47,TRUE)</f>
        <v>55.035900600900924</v>
      </c>
      <c r="AA47" s="279" cm="1">
        <f t="array" ref="AA47">PEDBIKE_DELAY($Q47,$W47,$R47,$S47,$T47,$U47,AA$4,$V47,TRUE)</f>
        <v>48.375843904851251</v>
      </c>
      <c r="AB47" s="279" cm="1">
        <f t="array" ref="AB47">PEDBIKE_DELAY($Q47,$W47,$R47,$S47,$T47,$U47,AB$4,$V47,TRUE)</f>
        <v>42.03139433500553</v>
      </c>
      <c r="AC47" s="279" cm="1">
        <f t="array" ref="AC47">PEDBIKE_DELAY($Q47,$W47,$R47,$S47,$T47,$U47,AC$4,$V47,TRUE)</f>
        <v>36.128329124870746</v>
      </c>
      <c r="AD47" s="279" cm="1">
        <f t="array" ref="AD47">PEDBIKE_DELAY($Q47,$W47,$R47,$S47,$T47,$U47,AD$4,$V47,TRUE)</f>
        <v>30.762713768979815</v>
      </c>
      <c r="AE47" s="279" cm="1">
        <f t="array" ref="AE47">PEDBIKE_DELAY($Q47,$W47,$R47,$S47,$T47,$U47,AE$4,$V47,TRUE)</f>
        <v>21.844248549640326</v>
      </c>
      <c r="AF47" s="279" cm="1">
        <f t="array" ref="AF47">PEDBIKE_DELAY($Q47,$W47,$R47,$S47,$T47,$U47,AF$4,$V47,TRUE)</f>
        <v>15.310331059564191</v>
      </c>
      <c r="AG47" s="279" cm="1">
        <f t="array" ref="AG47">PEDBIKE_DELAY($Q47,$W47,$R47,$S47,$T47,$U47,AG$4,$V47,TRUE)</f>
        <v>6.3893850777244907</v>
      </c>
      <c r="AH47" s="279" cm="1">
        <f t="array" ref="AH47">PEDBIKE_DELAY($Q47,$W47,$R47,$S47,$T47,$U47,AH$4,$V47,TRUE)</f>
        <v>2.5497584358482932</v>
      </c>
    </row>
    <row r="48" spans="2:34" x14ac:dyDescent="0.25">
      <c r="B48">
        <v>15</v>
      </c>
      <c r="C48" s="272">
        <f t="shared" si="4"/>
        <v>1.4706853826353906E-3</v>
      </c>
      <c r="D48" s="272">
        <f t="shared" si="5"/>
        <v>0.62561632180059479</v>
      </c>
      <c r="E48" s="272">
        <f t="shared" si="0"/>
        <v>13.30054552365792</v>
      </c>
      <c r="F48" s="271">
        <f t="shared" si="1"/>
        <v>7.2034406784399915E-2</v>
      </c>
      <c r="G48" s="271">
        <f t="shared" si="6"/>
        <v>13.372579930442321</v>
      </c>
      <c r="H48" s="272">
        <f t="shared" si="9"/>
        <v>4.8236183172806321E-4</v>
      </c>
      <c r="I48" s="272">
        <f t="shared" si="7"/>
        <v>0.62801739476396601</v>
      </c>
      <c r="J48" s="272">
        <f t="shared" si="2"/>
        <v>42.624906138534591</v>
      </c>
      <c r="K48" s="271">
        <f t="shared" si="3"/>
        <v>2.3626160166018539E-2</v>
      </c>
      <c r="L48" s="271">
        <f t="shared" si="8"/>
        <v>42.648532298700609</v>
      </c>
      <c r="M48" s="271"/>
      <c r="N48" s="271"/>
      <c r="O48" s="271"/>
      <c r="Q48">
        <v>20</v>
      </c>
      <c r="R48" s="274">
        <v>52</v>
      </c>
      <c r="S48" s="274">
        <v>10</v>
      </c>
      <c r="T48">
        <v>3.5</v>
      </c>
      <c r="U48">
        <v>3</v>
      </c>
      <c r="V48">
        <v>4</v>
      </c>
      <c r="W48">
        <v>530</v>
      </c>
      <c r="X48" s="279" t="e" cm="1">
        <f t="array" aca="1" ref="X48" ca="1">TWSC_PED_DELAY($Q48,$W48,$R48,$S48,$T48,$U48,X$4,$V48)</f>
        <v>#NAME?</v>
      </c>
      <c r="Y48" s="279" cm="1">
        <f t="array" ref="Y48">PEDBIKE_DELAY($Q48,$W48,$R48,$S48,$T48,$U48,Y$4,$V48,TRUE)</f>
        <v>64.772708729702288</v>
      </c>
      <c r="Z48" s="279" cm="1">
        <f t="array" ref="Z48">PEDBIKE_DELAY($Q48,$W48,$R48,$S48,$T48,$U48,Z$4,$V48,TRUE)</f>
        <v>57.433127281880971</v>
      </c>
      <c r="AA48" s="279" cm="1">
        <f t="array" ref="AA48">PEDBIKE_DELAY($Q48,$W48,$R48,$S48,$T48,$U48,AA$4,$V48,TRUE)</f>
        <v>50.293088327007595</v>
      </c>
      <c r="AB48" s="279" cm="1">
        <f t="array" ref="AB48">PEDBIKE_DELAY($Q48,$W48,$R48,$S48,$T48,$U48,AB$4,$V48,TRUE)</f>
        <v>43.515786660814989</v>
      </c>
      <c r="AC48" s="279" cm="1">
        <f t="array" ref="AC48">PEDBIKE_DELAY($Q48,$W48,$R48,$S48,$T48,$U48,AC$4,$V48,TRUE)</f>
        <v>37.239777993220422</v>
      </c>
      <c r="AD48" s="279" cm="1">
        <f t="array" ref="AD48">PEDBIKE_DELAY($Q48,$W48,$R48,$S48,$T48,$U48,AD$4,$V48,TRUE)</f>
        <v>31.567834990362918</v>
      </c>
      <c r="AE48" s="279" cm="1">
        <f t="array" ref="AE48">PEDBIKE_DELAY($Q48,$W48,$R48,$S48,$T48,$U48,AE$4,$V48,TRUE)</f>
        <v>22.231727520213461</v>
      </c>
      <c r="AF48" s="279" cm="1">
        <f t="array" ref="AF48">PEDBIKE_DELAY($Q48,$W48,$R48,$S48,$T48,$U48,AF$4,$V48,TRUE)</f>
        <v>15.484832618601558</v>
      </c>
      <c r="AG48" s="279" cm="1">
        <f t="array" ref="AG48">PEDBIKE_DELAY($Q48,$W48,$R48,$S48,$T48,$U48,AG$4,$V48,TRUE)</f>
        <v>6.4079893888196882</v>
      </c>
      <c r="AH48" s="279" cm="1">
        <f t="array" ref="AH48">PEDBIKE_DELAY($Q48,$W48,$R48,$S48,$T48,$U48,AH$4,$V48,TRUE)</f>
        <v>2.5365584025558419</v>
      </c>
    </row>
    <row r="49" spans="2:34" x14ac:dyDescent="0.25">
      <c r="B49">
        <v>16</v>
      </c>
      <c r="C49" s="272">
        <f t="shared" si="4"/>
        <v>1.0418441439338972E-3</v>
      </c>
      <c r="D49" s="272">
        <f t="shared" si="5"/>
        <v>0.62665816594452872</v>
      </c>
      <c r="E49" s="272">
        <f t="shared" si="0"/>
        <v>13.421271505959249</v>
      </c>
      <c r="F49" s="271">
        <f t="shared" si="1"/>
        <v>5.1029693880274424E-2</v>
      </c>
      <c r="G49" s="271">
        <f t="shared" si="6"/>
        <v>13.472301199839523</v>
      </c>
      <c r="H49" s="272">
        <f t="shared" si="9"/>
        <v>3.4170860442126117E-4</v>
      </c>
      <c r="I49" s="272">
        <f t="shared" si="7"/>
        <v>0.6283591033683873</v>
      </c>
      <c r="J49" s="272">
        <f t="shared" si="2"/>
        <v>42.658045125882666</v>
      </c>
      <c r="K49" s="271">
        <f t="shared" si="3"/>
        <v>1.6736942450941893E-2</v>
      </c>
      <c r="L49" s="271">
        <f t="shared" si="8"/>
        <v>42.674782068333606</v>
      </c>
      <c r="M49" s="271"/>
      <c r="N49" s="271"/>
      <c r="O49" s="271"/>
      <c r="Q49">
        <v>20</v>
      </c>
      <c r="R49" s="274">
        <v>52</v>
      </c>
      <c r="S49" s="274">
        <v>10</v>
      </c>
      <c r="T49">
        <v>3.5</v>
      </c>
      <c r="U49">
        <v>3</v>
      </c>
      <c r="V49">
        <v>4</v>
      </c>
      <c r="W49">
        <v>540</v>
      </c>
      <c r="X49" s="279" t="e" cm="1">
        <f t="array" aca="1" ref="X49" ca="1">TWSC_PED_DELAY($Q49,$W49,$R49,$S49,$T49,$U49,X$4,$V49)</f>
        <v>#NAME?</v>
      </c>
      <c r="Y49" s="279" cm="1">
        <f t="array" ref="Y49">PEDBIKE_DELAY($Q49,$W49,$R49,$S49,$T49,$U49,Y$4,$V49,TRUE)</f>
        <v>67.820598754557011</v>
      </c>
      <c r="Z49" s="279" cm="1">
        <f t="array" ref="Z49">PEDBIKE_DELAY($Q49,$W49,$R49,$S49,$T49,$U49,Z$4,$V49,TRUE)</f>
        <v>59.935662052151258</v>
      </c>
      <c r="AA49" s="279" cm="1">
        <f t="array" ref="AA49">PEDBIKE_DELAY($Q49,$W49,$R49,$S49,$T49,$U49,AA$4,$V49,TRUE)</f>
        <v>52.283195726987842</v>
      </c>
      <c r="AB49" s="279" cm="1">
        <f t="array" ref="AB49">PEDBIKE_DELAY($Q49,$W49,$R49,$S49,$T49,$U49,AB$4,$V49,TRUE)</f>
        <v>45.045833263350616</v>
      </c>
      <c r="AC49" s="279" cm="1">
        <f t="array" ref="AC49">PEDBIKE_DELAY($Q49,$W49,$R49,$S49,$T49,$U49,AC$4,$V49,TRUE)</f>
        <v>38.376046558647118</v>
      </c>
      <c r="AD49" s="279" cm="1">
        <f t="array" ref="AD49">PEDBIKE_DELAY($Q49,$W49,$R49,$S49,$T49,$U49,AD$4,$V49,TRUE)</f>
        <v>32.383473897064292</v>
      </c>
      <c r="AE49" s="279" cm="1">
        <f t="array" ref="AE49">PEDBIKE_DELAY($Q49,$W49,$R49,$S49,$T49,$U49,AE$4,$V49,TRUE)</f>
        <v>22.617106775371919</v>
      </c>
      <c r="AF49" s="279" cm="1">
        <f t="array" ref="AF49">PEDBIKE_DELAY($Q49,$W49,$R49,$S49,$T49,$U49,AF$4,$V49,TRUE)</f>
        <v>15.656119487641934</v>
      </c>
      <c r="AG49" s="279" cm="1">
        <f t="array" ref="AG49">PEDBIKE_DELAY($Q49,$W49,$R49,$S49,$T49,$U49,AG$4,$V49,TRUE)</f>
        <v>6.4252992097265356</v>
      </c>
      <c r="AH49" s="279" cm="1">
        <f t="array" ref="AH49">PEDBIKE_DELAY($Q49,$W49,$R49,$S49,$T49,$U49,AH$4,$V49,TRUE)</f>
        <v>2.5229000988524732</v>
      </c>
    </row>
    <row r="50" spans="2:34" x14ac:dyDescent="0.25">
      <c r="B50">
        <v>17</v>
      </c>
      <c r="C50" s="272">
        <f t="shared" si="4"/>
        <v>7.3804991405047534E-4</v>
      </c>
      <c r="D50" s="272">
        <f t="shared" si="5"/>
        <v>0.62739621585857919</v>
      </c>
      <c r="E50" s="272">
        <f t="shared" si="0"/>
        <v>13.512312286573875</v>
      </c>
      <c r="F50" s="271">
        <f t="shared" si="1"/>
        <v>3.614980359744574E-2</v>
      </c>
      <c r="G50" s="271">
        <f t="shared" si="6"/>
        <v>13.548462090171322</v>
      </c>
      <c r="H50" s="272">
        <f t="shared" si="9"/>
        <v>2.4206884263047412E-4</v>
      </c>
      <c r="I50" s="272">
        <f t="shared" si="7"/>
        <v>0.62860117221101774</v>
      </c>
      <c r="J50" s="272">
        <f t="shared" si="2"/>
        <v>42.681658851714964</v>
      </c>
      <c r="K50" s="271">
        <f t="shared" si="3"/>
        <v>1.1856570878964278E-2</v>
      </c>
      <c r="L50" s="271">
        <f t="shared" si="8"/>
        <v>42.693515422593926</v>
      </c>
      <c r="M50" s="271"/>
      <c r="N50" s="271"/>
      <c r="O50" s="271"/>
      <c r="Q50">
        <v>20</v>
      </c>
      <c r="R50" s="274">
        <v>52</v>
      </c>
      <c r="S50" s="274">
        <v>10</v>
      </c>
      <c r="T50">
        <v>3.5</v>
      </c>
      <c r="U50">
        <v>3</v>
      </c>
      <c r="V50">
        <v>4</v>
      </c>
      <c r="W50">
        <v>550</v>
      </c>
      <c r="X50" s="279" t="e" cm="1">
        <f t="array" aca="1" ref="X50" ca="1">TWSC_PED_DELAY($Q50,$W50,$R50,$S50,$T50,$U50,X$4,$V50)</f>
        <v>#NAME?</v>
      </c>
      <c r="Y50" s="279" cm="1">
        <f t="array" ref="Y50">PEDBIKE_DELAY($Q50,$W50,$R50,$S50,$T50,$U50,Y$4,$V50,TRUE)</f>
        <v>71.017753314114771</v>
      </c>
      <c r="Z50" s="279" cm="1">
        <f t="array" ref="Z50">PEDBIKE_DELAY($Q50,$W50,$R50,$S50,$T50,$U50,Z$4,$V50,TRUE)</f>
        <v>62.548428377829794</v>
      </c>
      <c r="AA50" s="279" cm="1">
        <f t="array" ref="AA50">PEDBIKE_DELAY($Q50,$W50,$R50,$S50,$T50,$U50,AA$4,$V50,TRUE)</f>
        <v>54.348292247589626</v>
      </c>
      <c r="AB50" s="279" cm="1">
        <f t="array" ref="AB50">PEDBIKE_DELAY($Q50,$W50,$R50,$S50,$T50,$U50,AB$4,$V50,TRUE)</f>
        <v>46.621624826399895</v>
      </c>
      <c r="AC50" s="279" cm="1">
        <f t="array" ref="AC50">PEDBIKE_DELAY($Q50,$W50,$R50,$S50,$T50,$U50,AC$4,$V50,TRUE)</f>
        <v>39.536038835908371</v>
      </c>
      <c r="AD50" s="279" cm="1">
        <f t="array" ref="AD50">PEDBIKE_DELAY($Q50,$W50,$R50,$S50,$T50,$U50,AD$4,$V50,TRUE)</f>
        <v>33.208113335840387</v>
      </c>
      <c r="AE50" s="279" cm="1">
        <f t="array" ref="AE50">PEDBIKE_DELAY($Q50,$W50,$R50,$S50,$T50,$U50,AE$4,$V50,TRUE)</f>
        <v>22.999405723927595</v>
      </c>
      <c r="AF50" s="279" cm="1">
        <f t="array" ref="AF50">PEDBIKE_DELAY($Q50,$W50,$R50,$S50,$T50,$U50,AF$4,$V50,TRUE)</f>
        <v>15.824001454827727</v>
      </c>
      <c r="AG50" s="279" cm="1">
        <f t="array" ref="AG50">PEDBIKE_DELAY($Q50,$W50,$R50,$S50,$T50,$U50,AG$4,$V50,TRUE)</f>
        <v>6.4413873897686518</v>
      </c>
      <c r="AH50" s="279" cm="1">
        <f t="array" ref="AH50">PEDBIKE_DELAY($Q50,$W50,$R50,$S50,$T50,$U50,AH$4,$V50,TRUE)</f>
        <v>2.5088232481547599</v>
      </c>
    </row>
    <row r="51" spans="2:34" x14ac:dyDescent="0.25">
      <c r="B51">
        <v>18</v>
      </c>
      <c r="C51" s="272">
        <f t="shared" si="4"/>
        <v>5.2283988809797091E-4</v>
      </c>
      <c r="D51" s="272">
        <f t="shared" si="5"/>
        <v>0.62791905574667717</v>
      </c>
      <c r="E51" s="272">
        <f t="shared" si="0"/>
        <v>13.580714956928576</v>
      </c>
      <c r="F51" s="271">
        <f t="shared" si="1"/>
        <v>2.5608781882954443E-2</v>
      </c>
      <c r="G51" s="271">
        <f t="shared" si="6"/>
        <v>13.606323738811531</v>
      </c>
      <c r="H51" s="272">
        <f t="shared" si="9"/>
        <v>1.7148331594314269E-4</v>
      </c>
      <c r="I51" s="272">
        <f t="shared" si="7"/>
        <v>0.62877265552696093</v>
      </c>
      <c r="J51" s="272">
        <f t="shared" si="2"/>
        <v>42.698461164251974</v>
      </c>
      <c r="K51" s="271">
        <f t="shared" si="3"/>
        <v>8.3992804193439314E-3</v>
      </c>
      <c r="L51" s="271">
        <f t="shared" si="8"/>
        <v>42.706860444671321</v>
      </c>
      <c r="M51" s="271"/>
      <c r="N51" s="271"/>
      <c r="O51" s="271"/>
      <c r="Q51">
        <v>20</v>
      </c>
      <c r="R51" s="274">
        <v>52</v>
      </c>
      <c r="S51" s="274">
        <v>10</v>
      </c>
      <c r="T51">
        <v>3.5</v>
      </c>
      <c r="U51">
        <v>3</v>
      </c>
      <c r="V51">
        <v>4</v>
      </c>
      <c r="W51">
        <v>560</v>
      </c>
      <c r="X51" s="279" t="e" cm="1">
        <f t="array" aca="1" ref="X51" ca="1">TWSC_PED_DELAY($Q51,$W51,$R51,$S51,$T51,$U51,X$4,$V51)</f>
        <v>#NAME?</v>
      </c>
      <c r="Y51" s="279" cm="1">
        <f t="array" ref="Y51">PEDBIKE_DELAY($Q51,$W51,$R51,$S51,$T51,$U51,Y$4,$V51,TRUE)</f>
        <v>74.371705606223856</v>
      </c>
      <c r="Z51" s="279" cm="1">
        <f t="array" ref="Z51">PEDBIKE_DELAY($Q51,$W51,$R51,$S51,$T51,$U51,Z$4,$V51,TRUE)</f>
        <v>65.274527254725541</v>
      </c>
      <c r="AA51" s="279" cm="1">
        <f t="array" ref="AA51">PEDBIKE_DELAY($Q51,$W51,$R51,$S51,$T51,$U51,AA$4,$V51,TRUE)</f>
        <v>56.488153938035417</v>
      </c>
      <c r="AB51" s="279" cm="1">
        <f t="array" ref="AB51">PEDBIKE_DELAY($Q51,$W51,$R51,$S51,$T51,$U51,AB$4,$V51,TRUE)</f>
        <v>48.240900425281332</v>
      </c>
      <c r="AC51" s="279" cm="1">
        <f t="array" ref="AC51">PEDBIKE_DELAY($Q51,$W51,$R51,$S51,$T51,$U51,AC$4,$V51,TRUE)</f>
        <v>40.716690184204943</v>
      </c>
      <c r="AD51" s="279" cm="1">
        <f t="array" ref="AD51">PEDBIKE_DELAY($Q51,$W51,$R51,$S51,$T51,$U51,AD$4,$V51,TRUE)</f>
        <v>34.038846533392942</v>
      </c>
      <c r="AE51" s="279" cm="1">
        <f t="array" ref="AE51">PEDBIKE_DELAY($Q51,$W51,$R51,$S51,$T51,$U51,AE$4,$V51,TRUE)</f>
        <v>23.377306585362753</v>
      </c>
      <c r="AF51" s="279" cm="1">
        <f t="array" ref="AF51">PEDBIKE_DELAY($Q51,$W51,$R51,$S51,$T51,$U51,AF$4,$V51,TRUE)</f>
        <v>15.988348291073866</v>
      </c>
      <c r="AG51" s="279" cm="1">
        <f t="array" ref="AG51">PEDBIKE_DELAY($Q51,$W51,$R51,$S51,$T51,$U51,AG$4,$V51,TRUE)</f>
        <v>6.4563250070019365</v>
      </c>
      <c r="AH51" s="279" cm="1">
        <f t="array" ref="AH51">PEDBIKE_DELAY($Q51,$W51,$R51,$S51,$T51,$U51,AH$4,$V51,TRUE)</f>
        <v>2.494365224223547</v>
      </c>
    </row>
    <row r="52" spans="2:34" x14ac:dyDescent="0.25">
      <c r="B52">
        <v>19</v>
      </c>
      <c r="C52" s="272">
        <f t="shared" si="4"/>
        <v>3.7038355181977537E-4</v>
      </c>
      <c r="D52" s="272">
        <f t="shared" si="5"/>
        <v>0.6282894392984969</v>
      </c>
      <c r="E52" s="272">
        <f t="shared" si="0"/>
        <v>13.63194087081796</v>
      </c>
      <c r="F52" s="271">
        <f t="shared" si="1"/>
        <v>1.8141445990459311E-2</v>
      </c>
      <c r="G52" s="271">
        <f t="shared" si="6"/>
        <v>13.650082316808419</v>
      </c>
      <c r="H52" s="272">
        <f t="shared" si="9"/>
        <v>1.214800191850434E-4</v>
      </c>
      <c r="I52" s="272">
        <f t="shared" si="7"/>
        <v>0.62889413554614593</v>
      </c>
      <c r="J52" s="272">
        <f t="shared" si="2"/>
        <v>42.710403784365241</v>
      </c>
      <c r="K52" s="271">
        <f t="shared" si="3"/>
        <v>5.9501108948759179E-3</v>
      </c>
      <c r="L52" s="271">
        <f t="shared" si="8"/>
        <v>42.71635389526012</v>
      </c>
      <c r="M52" s="271"/>
      <c r="N52" s="271"/>
      <c r="O52" s="271"/>
      <c r="Q52">
        <v>20</v>
      </c>
      <c r="R52" s="274">
        <v>52</v>
      </c>
      <c r="S52" s="274">
        <v>10</v>
      </c>
      <c r="T52">
        <v>3.5</v>
      </c>
      <c r="U52">
        <v>3</v>
      </c>
      <c r="V52">
        <v>4</v>
      </c>
      <c r="W52">
        <v>570</v>
      </c>
      <c r="X52" s="279" t="e" cm="1">
        <f t="array" aca="1" ref="X52" ca="1">TWSC_PED_DELAY($Q52,$W52,$R52,$S52,$T52,$U52,X$4,$V52)</f>
        <v>#NAME?</v>
      </c>
      <c r="Y52" s="279" cm="1">
        <f t="array" ref="Y52">PEDBIKE_DELAY($Q52,$W52,$R52,$S52,$T52,$U52,Y$4,$V52,TRUE)</f>
        <v>77.89128135754251</v>
      </c>
      <c r="Z52" s="279" cm="1">
        <f t="array" ref="Z52">PEDBIKE_DELAY($Q52,$W52,$R52,$S52,$T52,$U52,Z$4,$V52,TRUE)</f>
        <v>68.11848350972241</v>
      </c>
      <c r="AA52" s="279" cm="1">
        <f t="array" ref="AA52">PEDBIKE_DELAY($Q52,$W52,$R52,$S52,$T52,$U52,AA$4,$V52,TRUE)</f>
        <v>58.70405003508229</v>
      </c>
      <c r="AB52" s="279" cm="1">
        <f t="array" ref="AB52">PEDBIKE_DELAY($Q52,$W52,$R52,$S52,$T52,$U52,AB$4,$V52,TRUE)</f>
        <v>49.902910302999388</v>
      </c>
      <c r="AC52" s="279" cm="1">
        <f t="array" ref="AC52">PEDBIKE_DELAY($Q52,$W52,$R52,$S52,$T52,$U52,AC$4,$V52,TRUE)</f>
        <v>41.916404593372405</v>
      </c>
      <c r="AD52" s="279" cm="1">
        <f t="array" ref="AD52">PEDBIKE_DELAY($Q52,$W52,$R52,$S52,$T52,$U52,AD$4,$V52,TRUE)</f>
        <v>34.874115076279061</v>
      </c>
      <c r="AE52" s="279" cm="1">
        <f t="array" ref="AE52">PEDBIKE_DELAY($Q52,$W52,$R52,$S52,$T52,$U52,AE$4,$V52,TRUE)</f>
        <v>23.750367521793674</v>
      </c>
      <c r="AF52" s="279" cm="1">
        <f t="array" ref="AF52">PEDBIKE_DELAY($Q52,$W52,$R52,$S52,$T52,$U52,AF$4,$V52,TRUE)</f>
        <v>16.149366908465225</v>
      </c>
      <c r="AG52" s="279" cm="1">
        <f t="array" ref="AG52">PEDBIKE_DELAY($Q52,$W52,$R52,$S52,$T52,$U52,AG$4,$V52,TRUE)</f>
        <v>6.4701803874221016</v>
      </c>
      <c r="AH52" s="279" cm="1">
        <f t="array" ref="AH52">PEDBIKE_DELAY($Q52,$W52,$R52,$S52,$T52,$U52,AH$4,$V52,TRUE)</f>
        <v>2.479561172323828</v>
      </c>
    </row>
    <row r="53" spans="2:34" x14ac:dyDescent="0.25">
      <c r="B53">
        <v>20</v>
      </c>
      <c r="C53" s="272">
        <f t="shared" si="4"/>
        <v>2.6238238241098832E-4</v>
      </c>
      <c r="D53" s="272">
        <f t="shared" si="5"/>
        <v>0.62855182168090784</v>
      </c>
      <c r="E53" s="272">
        <f t="shared" si="0"/>
        <v>13.670191235236297</v>
      </c>
      <c r="F53" s="271">
        <f t="shared" si="1"/>
        <v>1.2851531327377248E-2</v>
      </c>
      <c r="G53" s="271">
        <f t="shared" si="6"/>
        <v>13.683042766563675</v>
      </c>
      <c r="H53" s="272">
        <f t="shared" si="9"/>
        <v>8.6057322719929128E-5</v>
      </c>
      <c r="I53" s="272">
        <f t="shared" si="7"/>
        <v>0.62898019286886586</v>
      </c>
      <c r="J53" s="272">
        <f t="shared" si="2"/>
        <v>42.718885228121835</v>
      </c>
      <c r="K53" s="271">
        <f t="shared" si="3"/>
        <v>4.2151015198608702E-3</v>
      </c>
      <c r="L53" s="271">
        <f t="shared" si="8"/>
        <v>42.723100329641696</v>
      </c>
      <c r="M53" s="271"/>
      <c r="N53" s="271"/>
      <c r="O53" s="271"/>
      <c r="Q53">
        <v>20</v>
      </c>
      <c r="R53" s="274">
        <v>52</v>
      </c>
      <c r="S53" s="274">
        <v>10</v>
      </c>
      <c r="T53">
        <v>3.5</v>
      </c>
      <c r="U53">
        <v>3</v>
      </c>
      <c r="V53">
        <v>4</v>
      </c>
      <c r="W53">
        <v>580</v>
      </c>
      <c r="X53" s="279" t="e" cm="1">
        <f t="array" aca="1" ref="X53" ca="1">TWSC_PED_DELAY($Q53,$W53,$R53,$S53,$T53,$U53,X$4,$V53)</f>
        <v>#NAME?</v>
      </c>
      <c r="Y53" s="279" cm="1">
        <f t="array" ref="Y53">PEDBIKE_DELAY($Q53,$W53,$R53,$S53,$T53,$U53,Y$4,$V53,TRUE)</f>
        <v>81.586672551236887</v>
      </c>
      <c r="Z53" s="279" cm="1">
        <f t="array" ref="Z53">PEDBIKE_DELAY($Q53,$W53,$R53,$S53,$T53,$U53,Z$4,$V53,TRUE)</f>
        <v>71.086245634890531</v>
      </c>
      <c r="AA53" s="279" cm="1">
        <f t="array" ref="AA53">PEDBIKE_DELAY($Q53,$W53,$R53,$S53,$T53,$U53,AA$4,$V53,TRUE)</f>
        <v>60.99864552921315</v>
      </c>
      <c r="AB53" s="279" cm="1">
        <f t="array" ref="AB53">PEDBIKE_DELAY($Q53,$W53,$R53,$S53,$T53,$U53,AB$4,$V53,TRUE)</f>
        <v>51.608217584753334</v>
      </c>
      <c r="AC53" s="279" cm="1">
        <f t="array" ref="AC53">PEDBIKE_DELAY($Q53,$W53,$R53,$S53,$T53,$U53,AC$4,$V53,TRUE)</f>
        <v>43.134771583829249</v>
      </c>
      <c r="AD53" s="279" cm="1">
        <f t="array" ref="AD53">PEDBIKE_DELAY($Q53,$W53,$R53,$S53,$T53,$U53,AD$4,$V53,TRUE)</f>
        <v>35.713372943278429</v>
      </c>
      <c r="AE53" s="279" cm="1">
        <f t="array" ref="AE53">PEDBIKE_DELAY($Q53,$W53,$R53,$S53,$T53,$U53,AE$4,$V53,TRUE)</f>
        <v>24.118705959954429</v>
      </c>
      <c r="AF53" s="279" cm="1">
        <f t="array" ref="AF53">PEDBIKE_DELAY($Q53,$W53,$R53,$S53,$T53,$U53,AF$4,$V53,TRUE)</f>
        <v>16.307427508991871</v>
      </c>
      <c r="AG53" s="279" cm="1">
        <f t="array" ref="AG53">PEDBIKE_DELAY($Q53,$W53,$R53,$S53,$T53,$U53,AG$4,$V53,TRUE)</f>
        <v>6.4830187313241199</v>
      </c>
      <c r="AH53" s="279" cm="1">
        <f t="array" ref="AH53">PEDBIKE_DELAY($Q53,$W53,$R53,$S53,$T53,$U53,AH$4,$V53,TRUE)</f>
        <v>2.4644441243600226</v>
      </c>
    </row>
    <row r="54" spans="2:34" x14ac:dyDescent="0.25">
      <c r="B54">
        <v>21</v>
      </c>
      <c r="C54" s="272">
        <f t="shared" si="4"/>
        <v>1.8587357419469516E-4</v>
      </c>
      <c r="D54" s="272">
        <f t="shared" si="5"/>
        <v>0.62873769525510259</v>
      </c>
      <c r="E54" s="272">
        <f t="shared" si="0"/>
        <v>13.698677650819537</v>
      </c>
      <c r="F54" s="271">
        <f t="shared" si="1"/>
        <v>9.1041175849701332E-3</v>
      </c>
      <c r="G54" s="271">
        <f t="shared" si="6"/>
        <v>13.707781768404507</v>
      </c>
      <c r="H54" s="272">
        <f t="shared" si="9"/>
        <v>6.0963628779475907E-5</v>
      </c>
      <c r="I54" s="272">
        <f t="shared" si="7"/>
        <v>0.62904115649764536</v>
      </c>
      <c r="J54" s="272">
        <f t="shared" si="2"/>
        <v>42.724904819188858</v>
      </c>
      <c r="K54" s="271">
        <f t="shared" si="3"/>
        <v>2.9860083512110334E-3</v>
      </c>
      <c r="L54" s="271">
        <f t="shared" si="8"/>
        <v>42.727890827540065</v>
      </c>
      <c r="M54" s="271"/>
      <c r="N54" s="271"/>
      <c r="O54" s="271"/>
      <c r="Q54">
        <v>20</v>
      </c>
      <c r="R54" s="274">
        <v>52</v>
      </c>
      <c r="S54" s="274">
        <v>10</v>
      </c>
      <c r="T54">
        <v>3.5</v>
      </c>
      <c r="U54">
        <v>3</v>
      </c>
      <c r="V54">
        <v>4</v>
      </c>
      <c r="W54">
        <v>590</v>
      </c>
      <c r="X54" s="279" t="e" cm="1">
        <f t="array" aca="1" ref="X54" ca="1">TWSC_PED_DELAY($Q54,$W54,$R54,$S54,$T54,$U54,X$4,$V54)</f>
        <v>#NAME?</v>
      </c>
      <c r="Y54" s="279" cm="1">
        <f t="array" ref="Y54">PEDBIKE_DELAY($Q54,$W54,$R54,$S54,$T54,$U54,Y$4,$V54,TRUE)</f>
        <v>85.469525611217307</v>
      </c>
      <c r="Z54" s="279" cm="1">
        <f t="array" ref="Z54">PEDBIKE_DELAY($Q54,$W54,$R54,$S54,$T54,$U54,Z$4,$V54,TRUE)</f>
        <v>74.185207477969612</v>
      </c>
      <c r="AA54" s="279" cm="1">
        <f t="array" ref="AA54">PEDBIKE_DELAY($Q54,$W54,$R54,$S54,$T54,$U54,AA$4,$V54,TRUE)</f>
        <v>63.375938199715733</v>
      </c>
      <c r="AB54" s="279" cm="1">
        <f t="array" ref="AB54">PEDBIKE_DELAY($Q54,$W54,$R54,$S54,$T54,$U54,AB$4,$V54,TRUE)</f>
        <v>53.358551616346901</v>
      </c>
      <c r="AC54" s="279" cm="1">
        <f t="array" ref="AC54">PEDBIKE_DELAY($Q54,$W54,$R54,$S54,$T54,$U54,AC$4,$V54,TRUE)</f>
        <v>44.37235454786709</v>
      </c>
      <c r="AD54" s="279" cm="1">
        <f t="array" ref="AD54">PEDBIKE_DELAY($Q54,$W54,$R54,$S54,$T54,$U54,AD$4,$V54,TRUE)</f>
        <v>36.55684084712864</v>
      </c>
      <c r="AE54" s="279" cm="1">
        <f t="array" ref="AE54">PEDBIKE_DELAY($Q54,$W54,$R54,$S54,$T54,$U54,AE$4,$V54,TRUE)</f>
        <v>24.482788000528128</v>
      </c>
      <c r="AF54" s="279" cm="1">
        <f t="array" ref="AF54">PEDBIKE_DELAY($Q54,$W54,$R54,$S54,$T54,$U54,AF$4,$V54,TRUE)</f>
        <v>16.462965510157765</v>
      </c>
      <c r="AG54" s="279" cm="1">
        <f t="array" ref="AG54">PEDBIKE_DELAY($Q54,$W54,$R54,$S54,$T54,$U54,AG$4,$V54,TRUE)</f>
        <v>6.4949022986405414</v>
      </c>
      <c r="AH54" s="279" cm="1">
        <f t="array" ref="AH54">PEDBIKE_DELAY($Q54,$W54,$R54,$S54,$T54,$U54,AH$4,$V54,TRUE)</f>
        <v>2.4490451082916382</v>
      </c>
    </row>
    <row r="55" spans="2:34" x14ac:dyDescent="0.25">
      <c r="B55">
        <v>22</v>
      </c>
      <c r="C55" s="272">
        <f t="shared" si="4"/>
        <v>1.3167418203325685E-4</v>
      </c>
      <c r="D55" s="272">
        <f t="shared" si="5"/>
        <v>0.62886936943713589</v>
      </c>
      <c r="E55" s="272">
        <f t="shared" si="0"/>
        <v>13.719842022690152</v>
      </c>
      <c r="F55" s="271">
        <f t="shared" si="1"/>
        <v>6.4494226321802637E-3</v>
      </c>
      <c r="G55" s="271">
        <f t="shared" si="6"/>
        <v>13.726291445322332</v>
      </c>
      <c r="H55" s="272">
        <f t="shared" si="9"/>
        <v>4.3187074806599905E-5</v>
      </c>
      <c r="I55" s="272">
        <f t="shared" si="7"/>
        <v>0.62908434357245191</v>
      </c>
      <c r="J55" s="272">
        <f t="shared" si="2"/>
        <v>42.729175117079009</v>
      </c>
      <c r="K55" s="271">
        <f t="shared" si="3"/>
        <v>2.1153098760482306E-3</v>
      </c>
      <c r="L55" s="271">
        <f t="shared" si="8"/>
        <v>42.731290426955056</v>
      </c>
      <c r="M55" s="271"/>
      <c r="N55" s="271"/>
      <c r="O55" s="271"/>
      <c r="Q55">
        <v>20</v>
      </c>
      <c r="R55" s="274">
        <v>52</v>
      </c>
      <c r="S55" s="274">
        <v>10</v>
      </c>
      <c r="T55">
        <v>3.5</v>
      </c>
      <c r="U55">
        <v>3</v>
      </c>
      <c r="V55">
        <v>4</v>
      </c>
      <c r="W55">
        <v>600</v>
      </c>
      <c r="X55" s="279" t="e" cm="1">
        <f t="array" aca="1" ref="X55" ca="1">TWSC_PED_DELAY($Q55,$W55,$R55,$S55,$T55,$U55,X$4,$V55)</f>
        <v>#NAME?</v>
      </c>
      <c r="Y55" s="279" cm="1">
        <f t="array" ref="Y55">PEDBIKE_DELAY($Q55,$W55,$R55,$S55,$T55,$U55,Y$4,$V55,TRUE)</f>
        <v>89.553045511796981</v>
      </c>
      <c r="Z55" s="279" cm="1">
        <f t="array" ref="Z55">PEDBIKE_DELAY($Q55,$W55,$R55,$S55,$T55,$U55,Z$4,$V55,TRUE)</f>
        <v>77.424251760766793</v>
      </c>
      <c r="AA55" s="279" cm="1">
        <f t="array" ref="AA55">PEDBIKE_DELAY($Q55,$W55,$R55,$S55,$T55,$U55,AA$4,$V55,TRUE)</f>
        <v>65.841226830452285</v>
      </c>
      <c r="AB55" s="279" cm="1">
        <f t="array" ref="AB55">PEDBIKE_DELAY($Q55,$W55,$R55,$S55,$T55,$U55,AB$4,$V55,TRUE)</f>
        <v>55.156704462340244</v>
      </c>
      <c r="AC55" s="279" cm="1">
        <f t="array" ref="AC55">PEDBIKE_DELAY($Q55,$W55,$R55,$S55,$T55,$U55,AC$4,$V55,TRUE)</f>
        <v>45.630535280377003</v>
      </c>
      <c r="AD55" s="279" cm="1">
        <f t="array" ref="AD55">PEDBIKE_DELAY($Q55,$W55,$R55,$S55,$T55,$U55,AD$4,$V55,TRUE)</f>
        <v>37.40532806809707</v>
      </c>
      <c r="AE55" s="279" cm="1">
        <f t="array" ref="AE55">PEDBIKE_DELAY($Q55,$W55,$R55,$S55,$T55,$U55,AE$4,$V55,TRUE)</f>
        <v>24.843289504040808</v>
      </c>
      <c r="AF55" s="279" cm="1">
        <f t="array" ref="AF55">PEDBIKE_DELAY($Q55,$W55,$R55,$S55,$T55,$U55,AF$4,$V55,TRUE)</f>
        <v>16.616428176999683</v>
      </c>
      <c r="AG55" s="279" cm="1">
        <f t="array" ref="AG55">PEDBIKE_DELAY($Q55,$W55,$R55,$S55,$T55,$U55,AG$4,$V55,TRUE)</f>
        <v>6.50589067719896</v>
      </c>
      <c r="AH55" s="279" cm="1">
        <f t="array" ref="AH55">PEDBIKE_DELAY($Q55,$W55,$R55,$S55,$T55,$U55,AH$4,$V55,TRUE)</f>
        <v>2.433393252120867</v>
      </c>
    </row>
    <row r="56" spans="2:34" x14ac:dyDescent="0.25">
      <c r="B56">
        <v>23</v>
      </c>
      <c r="C56" s="272">
        <f t="shared" si="4"/>
        <v>9.3278941287080992E-5</v>
      </c>
      <c r="D56" s="272">
        <f t="shared" si="5"/>
        <v>0.62896264837842297</v>
      </c>
      <c r="E56" s="272">
        <f t="shared" si="0"/>
        <v>13.73553236508868</v>
      </c>
      <c r="F56" s="271">
        <f t="shared" si="1"/>
        <v>4.5688175597769377E-3</v>
      </c>
      <c r="G56" s="271">
        <f t="shared" si="6"/>
        <v>13.740101182648457</v>
      </c>
      <c r="H56" s="272">
        <f t="shared" si="9"/>
        <v>3.0594035619151602E-5</v>
      </c>
      <c r="I56" s="272">
        <f t="shared" si="7"/>
        <v>0.62911493760807102</v>
      </c>
      <c r="J56" s="272">
        <f t="shared" si="2"/>
        <v>42.732203385492738</v>
      </c>
      <c r="K56" s="271">
        <f t="shared" si="3"/>
        <v>1.4985007894879456E-3</v>
      </c>
      <c r="L56" s="271">
        <f t="shared" si="8"/>
        <v>42.733701886282226</v>
      </c>
      <c r="M56" s="271"/>
      <c r="N56" s="271"/>
      <c r="O56" s="271"/>
      <c r="Q56">
        <v>20</v>
      </c>
      <c r="R56" s="274">
        <v>52</v>
      </c>
      <c r="S56" s="274">
        <v>10</v>
      </c>
      <c r="T56">
        <v>3.5</v>
      </c>
      <c r="U56">
        <v>3</v>
      </c>
      <c r="V56">
        <v>4</v>
      </c>
      <c r="W56">
        <v>610</v>
      </c>
      <c r="X56" s="279" t="e" cm="1">
        <f t="array" aca="1" ref="X56" ca="1">TWSC_PED_DELAY($Q56,$W56,$R56,$S56,$T56,$U56,X$4,$V56)</f>
        <v>#NAME?</v>
      </c>
      <c r="Y56" s="279" cm="1">
        <f t="array" ref="Y56">PEDBIKE_DELAY($Q56,$W56,$R56,$S56,$T56,$U56,Y$4,$V56,TRUE)</f>
        <v>93.852117533204094</v>
      </c>
      <c r="Z56" s="279" cm="1">
        <f t="array" ref="Z56">PEDBIKE_DELAY($Q56,$W56,$R56,$S56,$T56,$U56,Z$4,$V56,TRUE)</f>
        <v>80.813815826576246</v>
      </c>
      <c r="AA56" s="279" cm="1">
        <f t="array" ref="AA56">PEDBIKE_DELAY($Q56,$W56,$R56,$S56,$T56,$U56,AA$4,$V56,TRUE)</f>
        <v>68.401108283528899</v>
      </c>
      <c r="AB56" s="279" cm="1">
        <f t="array" ref="AB56">PEDBIKE_DELAY($Q56,$W56,$R56,$S56,$T56,$U56,AB$4,$V56,TRUE)</f>
        <v>57.006464131064476</v>
      </c>
      <c r="AC56" s="279" cm="1">
        <f t="array" ref="AC56">PEDBIKE_DELAY($Q56,$W56,$R56,$S56,$T56,$U56,AC$4,$V56,TRUE)</f>
        <v>46.911403189341492</v>
      </c>
      <c r="AD56" s="279" cm="1">
        <f t="array" ref="AD56">PEDBIKE_DELAY($Q56,$W56,$R56,$S56,$T56,$U56,AD$4,$V56,TRUE)</f>
        <v>38.260105027377563</v>
      </c>
      <c r="AE56" s="279" cm="1">
        <f t="array" ref="AE56">PEDBIKE_DELAY($Q56,$W56,$R56,$S56,$T56,$U56,AE$4,$V56,TRUE)</f>
        <v>25.201005605490604</v>
      </c>
      <c r="AF56" s="279" cm="1">
        <f t="array" ref="AF56">PEDBIKE_DELAY($Q56,$W56,$R56,$S56,$T56,$U56,AF$4,$V56,TRUE)</f>
        <v>16.768247345080503</v>
      </c>
      <c r="AG56" s="279" cm="1">
        <f t="array" ref="AG56">PEDBIKE_DELAY($Q56,$W56,$R56,$S56,$T56,$U56,AG$4,$V56,TRUE)</f>
        <v>6.5160410152295736</v>
      </c>
      <c r="AH56" s="279" cm="1">
        <f t="array" ref="AH56">PEDBIKE_DELAY($Q56,$W56,$R56,$S56,$T56,$U56,AH$4,$V56,TRUE)</f>
        <v>2.4175158827307506</v>
      </c>
    </row>
    <row r="57" spans="2:34" x14ac:dyDescent="0.25">
      <c r="B57">
        <v>24</v>
      </c>
      <c r="C57" s="272">
        <f t="shared" si="4"/>
        <v>6.6079475515120175E-5</v>
      </c>
      <c r="D57" s="272">
        <f t="shared" si="5"/>
        <v>0.62902872785393804</v>
      </c>
      <c r="E57" s="272">
        <f t="shared" si="0"/>
        <v>13.747141523682355</v>
      </c>
      <c r="F57" s="271">
        <f t="shared" si="1"/>
        <v>3.2365833478455053E-3</v>
      </c>
      <c r="G57" s="271">
        <f t="shared" si="6"/>
        <v>13.750378107030201</v>
      </c>
      <c r="H57" s="272">
        <f t="shared" si="9"/>
        <v>2.1673035732508299E-5</v>
      </c>
      <c r="I57" s="272">
        <f t="shared" si="7"/>
        <v>0.62913661064380355</v>
      </c>
      <c r="J57" s="272">
        <f t="shared" si="2"/>
        <v>42.734350297836265</v>
      </c>
      <c r="K57" s="271">
        <f t="shared" si="3"/>
        <v>1.0615487789850493E-3</v>
      </c>
      <c r="L57" s="271">
        <f t="shared" si="8"/>
        <v>42.73541184661525</v>
      </c>
      <c r="M57" s="271"/>
      <c r="N57" s="271"/>
      <c r="O57" s="271"/>
      <c r="Q57">
        <v>20</v>
      </c>
      <c r="R57" s="274">
        <v>52</v>
      </c>
      <c r="S57" s="274">
        <v>10</v>
      </c>
      <c r="T57">
        <v>3.5</v>
      </c>
      <c r="U57">
        <v>3</v>
      </c>
      <c r="V57">
        <v>4</v>
      </c>
      <c r="W57">
        <v>620</v>
      </c>
      <c r="X57" s="279" t="e" cm="1">
        <f t="array" aca="1" ref="X57" ca="1">TWSC_PED_DELAY($Q57,$W57,$R57,$S57,$T57,$U57,X$4,$V57)</f>
        <v>#NAME?</v>
      </c>
      <c r="Y57" s="279" cm="1">
        <f t="array" ref="Y57">PEDBIKE_DELAY($Q57,$W57,$R57,$S57,$T57,$U57,Y$4,$V57,TRUE)</f>
        <v>98.381255616138176</v>
      </c>
      <c r="Z57" s="279" cm="1">
        <f t="array" ref="Z57">PEDBIKE_DELAY($Q57,$W57,$R57,$S57,$T57,$U57,Z$4,$V57,TRUE)</f>
        <v>84.362514791762223</v>
      </c>
      <c r="AA57" s="279" cm="1">
        <f t="array" ref="AA57">PEDBIKE_DELAY($Q57,$W57,$R57,$S57,$T57,$U57,AA$4,$V57,TRUE)</f>
        <v>71.059648079036606</v>
      </c>
      <c r="AB57" s="279" cm="1">
        <f t="array" ref="AB57">PEDBIKE_DELAY($Q57,$W57,$R57,$S57,$T57,$U57,AB$4,$V57,TRUE)</f>
        <v>58.909040244496829</v>
      </c>
      <c r="AC57" s="279" cm="1">
        <f t="array" ref="AC57">PEDBIKE_DELAY($Q57,$W57,$R57,$S57,$T57,$U57,AC$4,$V57,TRUE)</f>
        <v>48.214880913849214</v>
      </c>
      <c r="AD57" s="279" cm="1">
        <f t="array" ref="AD57">PEDBIKE_DELAY($Q57,$W57,$R57,$S57,$T57,$U57,AD$4,$V57,TRUE)</f>
        <v>39.120887516227505</v>
      </c>
      <c r="AE57" s="279" cm="1">
        <f t="array" ref="AE57">PEDBIKE_DELAY($Q57,$W57,$R57,$S57,$T57,$U57,AE$4,$V57,TRUE)</f>
        <v>25.556205280533455</v>
      </c>
      <c r="AF57" s="279" cm="1">
        <f t="array" ref="AF57">PEDBIKE_DELAY($Q57,$W57,$R57,$S57,$T57,$U57,AF$4,$V57,TRUE)</f>
        <v>16.918738734883934</v>
      </c>
      <c r="AG57" s="279" cm="1">
        <f t="array" ref="AG57">PEDBIKE_DELAY($Q57,$W57,$R57,$S57,$T57,$U57,AG$4,$V57,TRUE)</f>
        <v>6.525408201460059</v>
      </c>
      <c r="AH57" s="279" cm="1">
        <f t="array" ref="AH57">PEDBIKE_DELAY($Q57,$W57,$R57,$S57,$T57,$U57,AH$4,$V57,TRUE)</f>
        <v>2.4014386198405848</v>
      </c>
    </row>
    <row r="58" spans="2:34" x14ac:dyDescent="0.25">
      <c r="B58">
        <v>25</v>
      </c>
      <c r="C58" s="272">
        <f t="shared" si="4"/>
        <v>4.6811177572396772E-5</v>
      </c>
      <c r="D58" s="272">
        <f t="shared" si="5"/>
        <v>0.62907553903151048</v>
      </c>
      <c r="E58" s="272">
        <f t="shared" si="0"/>
        <v>13.755715493400059</v>
      </c>
      <c r="F58" s="271">
        <f t="shared" si="1"/>
        <v>2.2928190129034628E-3</v>
      </c>
      <c r="G58" s="271">
        <f t="shared" si="6"/>
        <v>13.758008312412963</v>
      </c>
      <c r="H58" s="272">
        <f t="shared" si="9"/>
        <v>1.5353334999980396E-5</v>
      </c>
      <c r="I58" s="272">
        <f t="shared" si="7"/>
        <v>0.62915196397880357</v>
      </c>
      <c r="J58" s="272">
        <f t="shared" si="2"/>
        <v>42.735872061842514</v>
      </c>
      <c r="K58" s="271">
        <f t="shared" si="3"/>
        <v>7.5200881979437385E-4</v>
      </c>
      <c r="L58" s="271">
        <f t="shared" si="8"/>
        <v>42.736624070662309</v>
      </c>
      <c r="M58" s="271"/>
      <c r="N58" s="271"/>
      <c r="O58" s="271"/>
      <c r="Q58">
        <v>20</v>
      </c>
      <c r="R58" s="274">
        <v>52</v>
      </c>
      <c r="S58" s="274">
        <v>10</v>
      </c>
      <c r="T58">
        <v>3.5</v>
      </c>
      <c r="U58">
        <v>3</v>
      </c>
      <c r="V58">
        <v>4</v>
      </c>
      <c r="W58">
        <v>630</v>
      </c>
      <c r="X58" s="279" t="e" cm="1">
        <f t="array" aca="1" ref="X58" ca="1">TWSC_PED_DELAY($Q58,$W58,$R58,$S58,$T58,$U58,X$4,$V58)</f>
        <v>#NAME?</v>
      </c>
      <c r="Y58" s="279" cm="1">
        <f t="array" ref="Y58">PEDBIKE_DELAY($Q58,$W58,$R58,$S58,$T58,$U58,Y$4,$V58,TRUE)</f>
        <v>103.14737488971522</v>
      </c>
      <c r="Z58" s="279" cm="1">
        <f t="array" ref="Z58">PEDBIKE_DELAY($Q58,$W58,$R58,$S58,$T58,$U58,Z$4,$V58,TRUE)</f>
        <v>88.065647459184589</v>
      </c>
      <c r="AA58" s="279" cm="1">
        <f t="array" ref="AA58">PEDBIKE_DELAY($Q58,$W58,$R58,$S58,$T58,$U58,AA$4,$V58,TRUE)</f>
        <v>73.80567944613226</v>
      </c>
      <c r="AB58" s="279" cm="1">
        <f t="array" ref="AB58">PEDBIKE_DELAY($Q58,$W58,$R58,$S58,$T58,$U58,AB$4,$V58,TRUE)</f>
        <v>60.851569958527008</v>
      </c>
      <c r="AC58" s="279" cm="1">
        <f t="array" ref="AC58">PEDBIKE_DELAY($Q58,$W58,$R58,$S58,$T58,$U58,AC$4,$V58,TRUE)</f>
        <v>49.529845128499836</v>
      </c>
      <c r="AD58" s="279" cm="1">
        <f t="array" ref="AD58">PEDBIKE_DELAY($Q58,$W58,$R58,$S58,$T58,$U58,AD$4,$V58,TRUE)</f>
        <v>39.979930717287999</v>
      </c>
      <c r="AE58" s="279" cm="1">
        <f t="array" ref="AE58">PEDBIKE_DELAY($Q58,$W58,$R58,$S58,$T58,$U58,AE$4,$V58,TRUE)</f>
        <v>25.907020187387761</v>
      </c>
      <c r="AF58" s="279" cm="1">
        <f t="array" ref="AF58">PEDBIKE_DELAY($Q58,$W58,$R58,$S58,$T58,$U58,AF$4,$V58,TRUE)</f>
        <v>17.067908343370387</v>
      </c>
      <c r="AG58" s="279" cm="1">
        <f t="array" ref="AG58">PEDBIKE_DELAY($Q58,$W58,$R58,$S58,$T58,$U58,AG$4,$V58,TRUE)</f>
        <v>6.5340450098131067</v>
      </c>
      <c r="AH58" s="279" cm="1">
        <f t="array" ref="AH58">PEDBIKE_DELAY($Q58,$W58,$R58,$S58,$T58,$U58,AH$4,$V58,TRUE)</f>
        <v>2.3851854653336209</v>
      </c>
    </row>
    <row r="59" spans="2:34" x14ac:dyDescent="0.25">
      <c r="B59">
        <v>26</v>
      </c>
      <c r="C59" s="272">
        <f t="shared" si="4"/>
        <v>3.3161376185735337E-5</v>
      </c>
      <c r="D59" s="272">
        <f t="shared" si="5"/>
        <v>0.62910870040769618</v>
      </c>
      <c r="E59" s="272">
        <f t="shared" si="0"/>
        <v>13.762037268192154</v>
      </c>
      <c r="F59" s="271">
        <f t="shared" si="1"/>
        <v>1.6242495437157095E-3</v>
      </c>
      <c r="G59" s="271">
        <f t="shared" si="6"/>
        <v>13.763661517735869</v>
      </c>
      <c r="H59" s="272">
        <f t="shared" si="9"/>
        <v>1.0876413370548958E-5</v>
      </c>
      <c r="I59" s="272">
        <f t="shared" si="7"/>
        <v>0.62916284039217407</v>
      </c>
      <c r="J59" s="272">
        <f t="shared" si="2"/>
        <v>42.736950550122856</v>
      </c>
      <c r="K59" s="271">
        <f t="shared" si="3"/>
        <v>5.3272847771628016E-4</v>
      </c>
      <c r="L59" s="271">
        <f t="shared" si="8"/>
        <v>42.737483278600571</v>
      </c>
      <c r="M59" s="271"/>
      <c r="N59" s="271"/>
      <c r="O59" s="271"/>
      <c r="Q59">
        <v>20</v>
      </c>
      <c r="R59" s="274">
        <v>52</v>
      </c>
      <c r="S59" s="274">
        <v>10</v>
      </c>
      <c r="T59">
        <v>3.5</v>
      </c>
      <c r="U59">
        <v>3</v>
      </c>
      <c r="V59">
        <v>4</v>
      </c>
      <c r="W59">
        <v>640</v>
      </c>
      <c r="X59" s="279" t="e" cm="1">
        <f t="array" aca="1" ref="X59" ca="1">TWSC_PED_DELAY($Q59,$W59,$R59,$S59,$T59,$U59,X$4,$V59)</f>
        <v>#NAME?</v>
      </c>
      <c r="Y59" s="279" cm="1">
        <f t="array" ref="Y59">PEDBIKE_DELAY($Q59,$W59,$R59,$S59,$T59,$U59,Y$4,$V59,TRUE)</f>
        <v>108.18286076564299</v>
      </c>
      <c r="Z59" s="279" cm="1">
        <f t="array" ref="Z59">PEDBIKE_DELAY($Q59,$W59,$R59,$S59,$T59,$U59,Z$4,$V59,TRUE)</f>
        <v>91.957187799181341</v>
      </c>
      <c r="AA59" s="279" cm="1">
        <f t="array" ref="AA59">PEDBIKE_DELAY($Q59,$W59,$R59,$S59,$T59,$U59,AA$4,$V59,TRUE)</f>
        <v>76.670342959524447</v>
      </c>
      <c r="AB59" s="279" cm="1">
        <f t="array" ref="AB59">PEDBIKE_DELAY($Q59,$W59,$R59,$S59,$T59,$U59,AB$4,$V59,TRUE)</f>
        <v>62.859642293578212</v>
      </c>
      <c r="AC59" s="279" cm="1">
        <f t="array" ref="AC59">PEDBIKE_DELAY($Q59,$W59,$R59,$S59,$T59,$U59,AC$4,$V59,TRUE)</f>
        <v>50.87533681580792</v>
      </c>
      <c r="AD59" s="279" cm="1">
        <f t="array" ref="AD59">PEDBIKE_DELAY($Q59,$W59,$R59,$S59,$T59,$U59,AD$4,$V59,TRUE)</f>
        <v>40.850088800517554</v>
      </c>
      <c r="AE59" s="279" cm="1">
        <f t="array" ref="AE59">PEDBIKE_DELAY($Q59,$W59,$R59,$S59,$T59,$U59,AE$4,$V59,TRUE)</f>
        <v>26.257728194815154</v>
      </c>
      <c r="AF59" s="279" cm="1">
        <f t="array" ref="AF59">PEDBIKE_DELAY($Q59,$W59,$R59,$S59,$T59,$U59,AF$4,$V59,TRUE)</f>
        <v>17.216633139985799</v>
      </c>
      <c r="AG59" s="279" cm="1">
        <f t="array" ref="AG59">PEDBIKE_DELAY($Q59,$W59,$R59,$S59,$T59,$U59,AG$4,$V59,TRUE)</f>
        <v>6.5420022392437955</v>
      </c>
      <c r="AH59" s="279" cm="1">
        <f t="array" ref="AH59">PEDBIKE_DELAY($Q59,$W59,$R59,$S59,$T59,$U59,AH$4,$V59,TRUE)</f>
        <v>2.3687788882015193</v>
      </c>
    </row>
    <row r="60" spans="2:34" x14ac:dyDescent="0.25">
      <c r="B60">
        <v>27</v>
      </c>
      <c r="C60" s="272">
        <f t="shared" si="4"/>
        <v>2.3491758326994229E-5</v>
      </c>
      <c r="D60" s="272">
        <f t="shared" si="5"/>
        <v>0.62913219216602312</v>
      </c>
      <c r="E60" s="272">
        <f t="shared" si="0"/>
        <v>13.766691282273225</v>
      </c>
      <c r="F60" s="271">
        <f t="shared" si="1"/>
        <v>1.1506301044324424E-3</v>
      </c>
      <c r="G60" s="271">
        <f t="shared" si="6"/>
        <v>13.767841912377657</v>
      </c>
      <c r="H60" s="272">
        <f t="shared" si="9"/>
        <v>7.7049297633103243E-6</v>
      </c>
      <c r="I60" s="272">
        <f t="shared" si="7"/>
        <v>0.62917054532193739</v>
      </c>
      <c r="J60" s="272">
        <f t="shared" si="2"/>
        <v>42.737714799805381</v>
      </c>
      <c r="K60" s="271">
        <f t="shared" si="3"/>
        <v>3.773887001043678E-4</v>
      </c>
      <c r="L60" s="271">
        <f t="shared" si="8"/>
        <v>42.738092188505483</v>
      </c>
      <c r="M60" s="271"/>
      <c r="N60" s="271"/>
      <c r="O60" s="271"/>
      <c r="Q60">
        <v>20</v>
      </c>
      <c r="R60" s="274">
        <v>52</v>
      </c>
      <c r="S60" s="274">
        <v>10</v>
      </c>
      <c r="T60">
        <v>3.5</v>
      </c>
      <c r="U60">
        <v>3</v>
      </c>
      <c r="V60">
        <v>4</v>
      </c>
      <c r="W60">
        <v>650</v>
      </c>
      <c r="X60" s="279" t="e" cm="1">
        <f t="array" aca="1" ref="X60" ca="1">TWSC_PED_DELAY($Q60,$W60,$R60,$S60,$T60,$U60,X$4,$V60)</f>
        <v>#NAME?</v>
      </c>
      <c r="Y60" s="279" cm="1">
        <f t="array" ref="Y60">PEDBIKE_DELAY($Q60,$W60,$R60,$S60,$T60,$U60,Y$4,$V60,TRUE)</f>
        <v>113.49093743892469</v>
      </c>
      <c r="Z60" s="279" cm="1">
        <f t="array" ref="Z60">PEDBIKE_DELAY($Q60,$W60,$R60,$S60,$T60,$U60,Z$4,$V60,TRUE)</f>
        <v>96.023824880865703</v>
      </c>
      <c r="AA60" s="279" cm="1">
        <f t="array" ref="AA60">PEDBIKE_DELAY($Q60,$W60,$R60,$S60,$T60,$U60,AA$4,$V60,TRUE)</f>
        <v>79.63228915533638</v>
      </c>
      <c r="AB60" s="279" cm="1">
        <f t="array" ref="AB60">PEDBIKE_DELAY($Q60,$W60,$R60,$S60,$T60,$U60,AB$4,$V60,TRUE)</f>
        <v>64.911251871303307</v>
      </c>
      <c r="AC60" s="279" cm="1">
        <f t="array" ref="AC60">PEDBIKE_DELAY($Q60,$W60,$R60,$S60,$T60,$U60,AC$4,$V60,TRUE)</f>
        <v>52.233538909011301</v>
      </c>
      <c r="AD60" s="279" cm="1">
        <f t="array" ref="AD60">PEDBIKE_DELAY($Q60,$W60,$R60,$S60,$T60,$U60,AD$4,$V60,TRUE)</f>
        <v>41.719564826929776</v>
      </c>
      <c r="AE60" s="279" cm="1">
        <f t="array" ref="AE60">PEDBIKE_DELAY($Q60,$W60,$R60,$S60,$T60,$U60,AE$4,$V60,TRUE)</f>
        <v>26.605632868505715</v>
      </c>
      <c r="AF60" s="279" cm="1">
        <f t="array" ref="AF60">PEDBIKE_DELAY($Q60,$W60,$R60,$S60,$T60,$U60,AF$4,$V60,TRUE)</f>
        <v>17.364818878294631</v>
      </c>
      <c r="AG60" s="279" cm="1">
        <f t="array" ref="AG60">PEDBIKE_DELAY($Q60,$W60,$R60,$S60,$T60,$U60,AG$4,$V60,TRUE)</f>
        <v>6.549328768976169</v>
      </c>
      <c r="AH60" s="279" cm="1">
        <f t="array" ref="AH60">PEDBIKE_DELAY($Q60,$W60,$R60,$S60,$T60,$U60,AH$4,$V60,TRUE)</f>
        <v>2.352239905339649</v>
      </c>
    </row>
    <row r="61" spans="2:34" x14ac:dyDescent="0.25">
      <c r="B61">
        <v>28</v>
      </c>
      <c r="C61" s="272">
        <f t="shared" si="4"/>
        <v>1.6641731217763021E-5</v>
      </c>
      <c r="D61" s="272">
        <f t="shared" si="5"/>
        <v>0.62914883389724086</v>
      </c>
      <c r="E61" s="272">
        <f t="shared" si="0"/>
        <v>13.77011263217563</v>
      </c>
      <c r="F61" s="271">
        <f t="shared" si="1"/>
        <v>8.1511467394176321E-4</v>
      </c>
      <c r="G61" s="271">
        <f t="shared" si="6"/>
        <v>13.770927746849573</v>
      </c>
      <c r="H61" s="272">
        <f t="shared" si="9"/>
        <v>5.4582278766778174E-6</v>
      </c>
      <c r="I61" s="272">
        <f t="shared" si="7"/>
        <v>0.62917600354981407</v>
      </c>
      <c r="J61" s="272">
        <f t="shared" si="2"/>
        <v>42.738256325717437</v>
      </c>
      <c r="K61" s="271">
        <f t="shared" si="3"/>
        <v>2.6734488003550148E-4</v>
      </c>
      <c r="L61" s="271">
        <f t="shared" si="8"/>
        <v>42.738523670597473</v>
      </c>
      <c r="M61" s="271"/>
      <c r="N61" s="271"/>
      <c r="O61" s="271"/>
      <c r="Q61">
        <v>20</v>
      </c>
      <c r="R61" s="274">
        <v>52</v>
      </c>
      <c r="S61" s="274">
        <v>10</v>
      </c>
      <c r="T61">
        <v>3.5</v>
      </c>
      <c r="U61">
        <v>3</v>
      </c>
      <c r="V61">
        <v>4</v>
      </c>
      <c r="W61">
        <v>660</v>
      </c>
      <c r="X61" s="279" t="e" cm="1">
        <f t="array" aca="1" ref="X61" ca="1">TWSC_PED_DELAY($Q61,$W61,$R61,$S61,$T61,$U61,X$4,$V61)</f>
        <v>#NAME?</v>
      </c>
      <c r="Y61" s="279" cm="1">
        <f t="array" ref="Y61">PEDBIKE_DELAY($Q61,$W61,$R61,$S61,$T61,$U61,Y$4,$V61,TRUE)</f>
        <v>119.10436652894515</v>
      </c>
      <c r="Z61" s="279" cm="1">
        <f t="array" ref="Z61">PEDBIKE_DELAY($Q61,$W61,$R61,$S61,$T61,$U61,Z$4,$V61,TRUE)</f>
        <v>100.2964163473093</v>
      </c>
      <c r="AA61" s="279" cm="1">
        <f t="array" ref="AA61">PEDBIKE_DELAY($Q61,$W61,$R61,$S61,$T61,$U61,AA$4,$V61,TRUE)</f>
        <v>82.7175887906848</v>
      </c>
      <c r="AB61" s="279" cm="1">
        <f t="array" ref="AB61">PEDBIKE_DELAY($Q61,$W61,$R61,$S61,$T61,$U61,AB$4,$V61,TRUE)</f>
        <v>67.02646701560468</v>
      </c>
      <c r="AC61" s="279" cm="1">
        <f t="array" ref="AC61">PEDBIKE_DELAY($Q61,$W61,$R61,$S61,$T61,$U61,AC$4,$V61,TRUE)</f>
        <v>53.618639790710091</v>
      </c>
      <c r="AD61" s="279" cm="1">
        <f t="array" ref="AD61">PEDBIKE_DELAY($Q61,$W61,$R61,$S61,$T61,$U61,AD$4,$V61,TRUE)</f>
        <v>42.597582823427032</v>
      </c>
      <c r="AE61" s="279" cm="1">
        <f t="array" ref="AE61">PEDBIKE_DELAY($Q61,$W61,$R61,$S61,$T61,$U61,AE$4,$V61,TRUE)</f>
        <v>26.953655514403593</v>
      </c>
      <c r="AF61" s="279" cm="1">
        <f t="array" ref="AF61">PEDBIKE_DELAY($Q61,$W61,$R61,$S61,$T61,$U61,AF$4,$V61,TRUE)</f>
        <v>17.513043527947968</v>
      </c>
      <c r="AG61" s="279" cm="1">
        <f t="array" ref="AG61">PEDBIKE_DELAY($Q61,$W61,$R61,$S61,$T61,$U61,AG$4,$V61,TRUE)</f>
        <v>6.5560716772336027</v>
      </c>
      <c r="AH61" s="279" cm="1">
        <f t="array" ref="AH61">PEDBIKE_DELAY($Q61,$W61,$R61,$S61,$T61,$U61,AH$4,$V61,TRUE)</f>
        <v>2.335588158417838</v>
      </c>
    </row>
    <row r="62" spans="2:34" x14ac:dyDescent="0.25">
      <c r="B62">
        <v>29</v>
      </c>
      <c r="C62" s="272">
        <f t="shared" si="4"/>
        <v>1.1789122553928287E-5</v>
      </c>
      <c r="D62" s="272">
        <f t="shared" si="5"/>
        <v>0.62916062301979481</v>
      </c>
      <c r="E62" s="272">
        <f t="shared" si="0"/>
        <v>13.772624476021656</v>
      </c>
      <c r="F62" s="271">
        <f t="shared" si="1"/>
        <v>5.7743312043964971E-4</v>
      </c>
      <c r="G62" s="271">
        <f t="shared" si="6"/>
        <v>13.773201909142095</v>
      </c>
      <c r="H62" s="272">
        <f t="shared" si="9"/>
        <v>3.8666480381985669E-6</v>
      </c>
      <c r="I62" s="272">
        <f t="shared" si="7"/>
        <v>0.62917987019785226</v>
      </c>
      <c r="J62" s="272">
        <f t="shared" si="2"/>
        <v>42.738640012322442</v>
      </c>
      <c r="K62" s="271">
        <f t="shared" si="3"/>
        <v>1.8938904334291374E-4</v>
      </c>
      <c r="L62" s="271">
        <f t="shared" si="8"/>
        <v>42.738829401365784</v>
      </c>
      <c r="M62" s="271"/>
      <c r="N62" s="271"/>
      <c r="O62" s="271"/>
      <c r="Q62">
        <v>20</v>
      </c>
      <c r="R62" s="274">
        <v>52</v>
      </c>
      <c r="S62" s="274">
        <v>10</v>
      </c>
      <c r="T62">
        <v>3.5</v>
      </c>
      <c r="U62">
        <v>3</v>
      </c>
      <c r="V62">
        <v>4</v>
      </c>
      <c r="W62">
        <v>670</v>
      </c>
      <c r="X62" s="279" t="e" cm="1">
        <f t="array" aca="1" ref="X62" ca="1">TWSC_PED_DELAY($Q62,$W62,$R62,$S62,$T62,$U62,X$4,$V62)</f>
        <v>#NAME?</v>
      </c>
      <c r="Y62" s="279" cm="1">
        <f t="array" ref="Y62">PEDBIKE_DELAY($Q62,$W62,$R62,$S62,$T62,$U62,Y$4,$V62,TRUE)</f>
        <v>125.04129744400505</v>
      </c>
      <c r="Z62" s="279" cm="1">
        <f t="array" ref="Z62">PEDBIKE_DELAY($Q62,$W62,$R62,$S62,$T62,$U62,Z$4,$V62,TRUE)</f>
        <v>104.7811125244977</v>
      </c>
      <c r="AA62" s="279" cm="1">
        <f t="array" ref="AA62">PEDBIKE_DELAY($Q62,$W62,$R62,$S62,$T62,$U62,AA$4,$V62,TRUE)</f>
        <v>85.924788950248669</v>
      </c>
      <c r="AB62" s="279" cm="1">
        <f t="array" ref="AB62">PEDBIKE_DELAY($Q62,$W62,$R62,$S62,$T62,$U62,AB$4,$V62,TRUE)</f>
        <v>69.200660745971959</v>
      </c>
      <c r="AC62" s="279" cm="1">
        <f t="array" ref="AC62">PEDBIKE_DELAY($Q62,$W62,$R62,$S62,$T62,$U62,AC$4,$V62,TRUE)</f>
        <v>55.026099324245465</v>
      </c>
      <c r="AD62" s="279" cm="1">
        <f t="array" ref="AD62">PEDBIKE_DELAY($Q62,$W62,$R62,$S62,$T62,$U62,AD$4,$V62,TRUE)</f>
        <v>43.48121760168786</v>
      </c>
      <c r="AE62" s="279" cm="1">
        <f t="array" ref="AE62">PEDBIKE_DELAY($Q62,$W62,$R62,$S62,$T62,$U62,AE$4,$V62,TRUE)</f>
        <v>27.301569488875529</v>
      </c>
      <c r="AF62" s="279" cm="1">
        <f t="array" ref="AF62">PEDBIKE_DELAY($Q62,$W62,$R62,$S62,$T62,$U62,AF$4,$V62,TRUE)</f>
        <v>17.661495590781321</v>
      </c>
      <c r="AG62" s="279" cm="1">
        <f t="array" ref="AG62">PEDBIKE_DELAY($Q62,$W62,$R62,$S62,$T62,$U62,AG$4,$V62,TRUE)</f>
        <v>6.5622763079641988</v>
      </c>
      <c r="AH62" s="279" cm="1">
        <f t="array" ref="AH62">PEDBIKE_DELAY($Q62,$W62,$R62,$S62,$T62,$U62,AH$4,$V62,TRUE)</f>
        <v>2.3188419870419184</v>
      </c>
    </row>
    <row r="63" spans="2:34" x14ac:dyDescent="0.25">
      <c r="B63">
        <v>30</v>
      </c>
      <c r="C63" s="272">
        <f t="shared" si="4"/>
        <v>8.351499538881604E-6</v>
      </c>
      <c r="D63" s="272">
        <f t="shared" si="5"/>
        <v>0.62916897451933373</v>
      </c>
      <c r="E63" s="272">
        <f t="shared" si="0"/>
        <v>13.774466319718133</v>
      </c>
      <c r="F63" s="271">
        <f t="shared" si="1"/>
        <v>4.0905779179237537E-4</v>
      </c>
      <c r="G63" s="271">
        <f t="shared" si="6"/>
        <v>13.774875377509925</v>
      </c>
      <c r="H63" s="272">
        <f t="shared" si="9"/>
        <v>2.7391613888432667E-6</v>
      </c>
      <c r="I63" s="272">
        <f t="shared" si="7"/>
        <v>0.62918260935924109</v>
      </c>
      <c r="J63" s="272">
        <f t="shared" si="2"/>
        <v>42.738911852952782</v>
      </c>
      <c r="K63" s="271">
        <f t="shared" si="3"/>
        <v>1.3416456576127429E-4</v>
      </c>
      <c r="L63" s="271">
        <f t="shared" si="8"/>
        <v>42.739046017518547</v>
      </c>
      <c r="M63" s="271"/>
      <c r="N63" s="271"/>
      <c r="O63" s="271"/>
      <c r="Q63">
        <v>20</v>
      </c>
      <c r="R63" s="274">
        <v>52</v>
      </c>
      <c r="S63" s="274">
        <v>10</v>
      </c>
      <c r="T63">
        <v>3.5</v>
      </c>
      <c r="U63">
        <v>3</v>
      </c>
      <c r="V63">
        <v>4</v>
      </c>
      <c r="W63">
        <v>680</v>
      </c>
      <c r="X63" s="279" t="e" cm="1">
        <f t="array" aca="1" ref="X63" ca="1">TWSC_PED_DELAY($Q63,$W63,$R63,$S63,$T63,$U63,X$4,$V63)</f>
        <v>#NAME?</v>
      </c>
      <c r="Y63" s="279" cm="1">
        <f t="array" ref="Y63">PEDBIKE_DELAY($Q63,$W63,$R63,$S63,$T63,$U63,Y$4,$V63,TRUE)</f>
        <v>131.32380619333091</v>
      </c>
      <c r="Z63" s="279" cm="1">
        <f t="array" ref="Z63">PEDBIKE_DELAY($Q63,$W63,$R63,$S63,$T63,$U63,Z$4,$V63,TRUE)</f>
        <v>109.48812161558428</v>
      </c>
      <c r="AA63" s="279" cm="1">
        <f t="array" ref="AA63">PEDBIKE_DELAY($Q63,$W63,$R63,$S63,$T63,$U63,AA$4,$V63,TRUE)</f>
        <v>89.256339415712006</v>
      </c>
      <c r="AB63" s="279" cm="1">
        <f t="array" ref="AB63">PEDBIKE_DELAY($Q63,$W63,$R63,$S63,$T63,$U63,AB$4,$V63,TRUE)</f>
        <v>71.43273091467546</v>
      </c>
      <c r="AC63" s="279" cm="1">
        <f t="array" ref="AC63">PEDBIKE_DELAY($Q63,$W63,$R63,$S63,$T63,$U63,AC$4,$V63,TRUE)</f>
        <v>56.454305306870907</v>
      </c>
      <c r="AD63" s="279" cm="1">
        <f t="array" ref="AD63">PEDBIKE_DELAY($Q63,$W63,$R63,$S63,$T63,$U63,AD$4,$V63,TRUE)</f>
        <v>44.369700104548933</v>
      </c>
      <c r="AE63" s="279" cm="1">
        <f t="array" ref="AE63">PEDBIKE_DELAY($Q63,$W63,$R63,$S63,$T63,$U63,AE$4,$V63,TRUE)</f>
        <v>27.649834773779293</v>
      </c>
      <c r="AF63" s="279" cm="1">
        <f t="array" ref="AF63">PEDBIKE_DELAY($Q63,$W63,$R63,$S63,$T63,$U63,AF$4,$V63,TRUE)</f>
        <v>17.810438906712651</v>
      </c>
      <c r="AG63" s="279" cm="1">
        <f t="array" ref="AG63">PEDBIKE_DELAY($Q63,$W63,$R63,$S63,$T63,$U63,AG$4,$V63,TRUE)</f>
        <v>6.5679863457322663</v>
      </c>
      <c r="AH63" s="279" cm="1">
        <f t="array" ref="AH63">PEDBIKE_DELAY($Q63,$W63,$R63,$S63,$T63,$U63,AH$4,$V63,TRUE)</f>
        <v>2.3020184984130032</v>
      </c>
    </row>
    <row r="64" spans="2:34" x14ac:dyDescent="0.25">
      <c r="B64">
        <v>31</v>
      </c>
      <c r="C64" s="272">
        <f t="shared" si="4"/>
        <v>5.9162625741468844E-6</v>
      </c>
      <c r="D64" s="272">
        <f t="shared" si="5"/>
        <v>0.62917489078190791</v>
      </c>
      <c r="E64" s="272">
        <f t="shared" si="0"/>
        <v>13.775815324765158</v>
      </c>
      <c r="F64" s="271">
        <f t="shared" si="1"/>
        <v>2.8977949324876967E-4</v>
      </c>
      <c r="G64" s="271">
        <f t="shared" si="6"/>
        <v>13.776105104258408</v>
      </c>
      <c r="H64" s="272">
        <f t="shared" si="9"/>
        <v>1.9404417055890704E-6</v>
      </c>
      <c r="I64" s="272">
        <f t="shared" si="7"/>
        <v>0.62918454980094662</v>
      </c>
      <c r="J64" s="272">
        <f t="shared" si="2"/>
        <v>42.739104444657308</v>
      </c>
      <c r="K64" s="271">
        <f t="shared" si="3"/>
        <v>9.5043147102491949E-5</v>
      </c>
      <c r="L64" s="271">
        <f t="shared" si="8"/>
        <v>42.739199487804413</v>
      </c>
      <c r="M64" s="271"/>
      <c r="N64" s="271"/>
      <c r="O64" s="271"/>
      <c r="Q64">
        <v>20</v>
      </c>
      <c r="R64" s="274">
        <v>52</v>
      </c>
      <c r="S64" s="274">
        <v>10</v>
      </c>
      <c r="T64">
        <v>3.5</v>
      </c>
      <c r="U64">
        <v>3</v>
      </c>
      <c r="V64">
        <v>4</v>
      </c>
      <c r="W64">
        <v>690</v>
      </c>
      <c r="X64" s="279" t="e" cm="1">
        <f t="array" aca="1" ref="X64" ca="1">TWSC_PED_DELAY($Q64,$W64,$R64,$S64,$T64,$U64,X$4,$V64)</f>
        <v>#NAME?</v>
      </c>
      <c r="Y64" s="279" cm="1">
        <f t="array" ref="Y64">PEDBIKE_DELAY($Q64,$W64,$R64,$S64,$T64,$U64,Y$4,$V64,TRUE)</f>
        <v>137.9781409840578</v>
      </c>
      <c r="Z64" s="279" cm="1">
        <f t="array" ref="Z64">PEDBIKE_DELAY($Q64,$W64,$R64,$S64,$T64,$U64,Z$4,$V64,TRUE)</f>
        <v>114.4316491898922</v>
      </c>
      <c r="AA64" s="279" cm="1">
        <f t="array" ref="AA64">PEDBIKE_DELAY($Q64,$W64,$R64,$S64,$T64,$U64,AA$4,$V64,TRUE)</f>
        <v>92.71818281587997</v>
      </c>
      <c r="AB64" s="279" cm="1">
        <f t="array" ref="AB64">PEDBIKE_DELAY($Q64,$W64,$R64,$S64,$T64,$U64,AB$4,$V64,TRUE)</f>
        <v>73.724413252764492</v>
      </c>
      <c r="AC64" s="279" cm="1">
        <f t="array" ref="AC64">PEDBIKE_DELAY($Q64,$W64,$R64,$S64,$T64,$U64,AC$4,$V64,TRUE)</f>
        <v>57.903761221089397</v>
      </c>
      <c r="AD64" s="279" cm="1">
        <f t="array" ref="AD64">PEDBIKE_DELAY($Q64,$W64,$R64,$S64,$T64,$U64,AD$4,$V64,TRUE)</f>
        <v>45.263650973667197</v>
      </c>
      <c r="AE64" s="279" cm="1">
        <f t="array" ref="AE64">PEDBIKE_DELAY($Q64,$W64,$R64,$S64,$T64,$U64,AE$4,$V64,TRUE)</f>
        <v>27.999228124809733</v>
      </c>
      <c r="AF64" s="279" cm="1">
        <f t="array" ref="AF64">PEDBIKE_DELAY($Q64,$W64,$R64,$S64,$T64,$U64,AF$4,$V64,TRUE)</f>
        <v>17.96014602702267</v>
      </c>
      <c r="AG64" s="279" cm="1">
        <f t="array" ref="AG64">PEDBIKE_DELAY($Q64,$W64,$R64,$S64,$T64,$U64,AG$4,$V64,TRUE)</f>
        <v>6.5732438798779738</v>
      </c>
      <c r="AH64" s="279" cm="1">
        <f t="array" ref="AH64">PEDBIKE_DELAY($Q64,$W64,$R64,$S64,$T64,$U64,AH$4,$V64,TRUE)</f>
        <v>2.2851336336830772</v>
      </c>
    </row>
    <row r="65" spans="2:34" x14ac:dyDescent="0.25">
      <c r="B65">
        <v>32</v>
      </c>
      <c r="C65" s="272">
        <f t="shared" si="4"/>
        <v>4.1911231250500812E-6</v>
      </c>
      <c r="D65" s="272">
        <f t="shared" si="5"/>
        <v>0.62917908190503291</v>
      </c>
      <c r="E65" s="272">
        <f t="shared" si="0"/>
        <v>13.776802302300952</v>
      </c>
      <c r="F65" s="271">
        <f t="shared" si="1"/>
        <v>2.0528188533018642E-4</v>
      </c>
      <c r="G65" s="271">
        <f t="shared" si="6"/>
        <v>13.777007584186283</v>
      </c>
      <c r="H65" s="272">
        <f t="shared" si="9"/>
        <v>1.3746229149376907E-6</v>
      </c>
      <c r="I65" s="272">
        <f t="shared" si="7"/>
        <v>0.62918592442386156</v>
      </c>
      <c r="J65" s="272">
        <f t="shared" si="2"/>
        <v>42.73924088728581</v>
      </c>
      <c r="K65" s="271">
        <f t="shared" si="3"/>
        <v>6.7329251652901851E-5</v>
      </c>
      <c r="L65" s="271">
        <f t="shared" si="8"/>
        <v>42.739308216537459</v>
      </c>
      <c r="M65" s="271"/>
      <c r="N65" s="271"/>
      <c r="O65" s="271"/>
      <c r="Q65">
        <v>20</v>
      </c>
      <c r="R65" s="274">
        <v>52</v>
      </c>
      <c r="S65" s="274">
        <v>10</v>
      </c>
      <c r="T65">
        <v>3.5</v>
      </c>
      <c r="U65">
        <v>3</v>
      </c>
      <c r="V65">
        <v>4</v>
      </c>
      <c r="W65">
        <v>700</v>
      </c>
      <c r="X65" s="279" t="e" cm="1">
        <f t="array" aca="1" ref="X65" ca="1">TWSC_PED_DELAY($Q65,$W65,$R65,$S65,$T65,$U65,X$4,$V65)</f>
        <v>#NAME?</v>
      </c>
      <c r="Y65" s="279" cm="1">
        <f t="array" ref="Y65">PEDBIKE_DELAY($Q65,$W65,$R65,$S65,$T65,$U65,Y$4,$V65,TRUE)</f>
        <v>145.03503551609674</v>
      </c>
      <c r="Z65" s="279" cm="1">
        <f t="array" ref="Z65">PEDBIKE_DELAY($Q65,$W65,$R65,$S65,$T65,$U65,Z$4,$V65,TRUE)</f>
        <v>119.62994035503908</v>
      </c>
      <c r="AA65" s="279" cm="1">
        <f t="array" ref="AA65">PEDBIKE_DELAY($Q65,$W65,$R65,$S65,$T65,$U65,AA$4,$V65,TRUE)</f>
        <v>96.319498563126857</v>
      </c>
      <c r="AB65" s="279" cm="1">
        <f t="array" ref="AB65">PEDBIKE_DELAY($Q65,$W65,$R65,$S65,$T65,$U65,AB$4,$V65,TRUE)</f>
        <v>76.079805708731854</v>
      </c>
      <c r="AC65" s="279" cm="1">
        <f t="array" ref="AC65">PEDBIKE_DELAY($Q65,$W65,$R65,$S65,$T65,$U65,AC$4,$V65,TRUE)</f>
        <v>59.376531128633346</v>
      </c>
      <c r="AD65" s="279" cm="1">
        <f t="array" ref="AD65">PEDBIKE_DELAY($Q65,$W65,$R65,$S65,$T65,$U65,AD$4,$V65,TRUE)</f>
        <v>46.164584161463054</v>
      </c>
      <c r="AE65" s="279" cm="1">
        <f t="array" ref="AE65">PEDBIKE_DELAY($Q65,$W65,$R65,$S65,$T65,$U65,AE$4,$V65,TRUE)</f>
        <v>28.350646793432489</v>
      </c>
      <c r="AF65" s="279" cm="1">
        <f t="array" ref="AF65">PEDBIKE_DELAY($Q65,$W65,$R65,$S65,$T65,$U65,AF$4,$V65,TRUE)</f>
        <v>18.110875240054728</v>
      </c>
      <c r="AG65" s="279" cm="1">
        <f t="array" ref="AG65">PEDBIKE_DELAY($Q65,$W65,$R65,$S65,$T65,$U65,AG$4,$V65,TRUE)</f>
        <v>6.5780894640979275</v>
      </c>
      <c r="AH65" s="279" cm="1">
        <f t="array" ref="AH65">PEDBIKE_DELAY($Q65,$W65,$R65,$S65,$T65,$U65,AH$4,$V65,TRUE)</f>
        <v>2.268202231197848</v>
      </c>
    </row>
    <row r="66" spans="2:34" x14ac:dyDescent="0.25">
      <c r="B66">
        <v>33</v>
      </c>
      <c r="C66" s="272">
        <f t="shared" si="4"/>
        <v>2.9690218832104201E-6</v>
      </c>
      <c r="D66" s="272">
        <f t="shared" ref="D66:D97" si="10">C66+D65</f>
        <v>0.62918205092691615</v>
      </c>
      <c r="E66" s="272">
        <f t="shared" si="0"/>
        <v>13.777523680568015</v>
      </c>
      <c r="F66" s="271">
        <f t="shared" si="1"/>
        <v>1.4542316977607842E-4</v>
      </c>
      <c r="G66" s="271">
        <f t="shared" si="6"/>
        <v>13.777669103737791</v>
      </c>
      <c r="H66" s="272">
        <f t="shared" si="9"/>
        <v>9.737927982106838E-7</v>
      </c>
      <c r="I66" s="272">
        <f t="shared" ref="I66:I97" si="11">H66+I65</f>
        <v>0.62918689821665974</v>
      </c>
      <c r="J66" s="272">
        <f t="shared" si="2"/>
        <v>42.739337549044883</v>
      </c>
      <c r="K66" s="271">
        <f t="shared" si="3"/>
        <v>4.7696528012923388E-5</v>
      </c>
      <c r="L66" s="271">
        <f t="shared" si="8"/>
        <v>42.739385245572898</v>
      </c>
      <c r="M66" s="271"/>
      <c r="N66" s="271"/>
      <c r="O66" s="271"/>
      <c r="Q66">
        <v>20</v>
      </c>
      <c r="R66" s="274">
        <v>52</v>
      </c>
      <c r="S66" s="274">
        <v>10</v>
      </c>
      <c r="T66">
        <v>3.5</v>
      </c>
      <c r="U66">
        <v>3</v>
      </c>
      <c r="V66">
        <v>4</v>
      </c>
      <c r="W66">
        <v>710</v>
      </c>
      <c r="X66" s="279" t="e" cm="1">
        <f t="array" aca="1" ref="X66" ca="1">TWSC_PED_DELAY($Q66,$W66,$R66,$S66,$T66,$U66,X$4,$V66)</f>
        <v>#NAME?</v>
      </c>
      <c r="Y66" s="279" cm="1">
        <f t="array" ref="Y66">PEDBIKE_DELAY($Q66,$W66,$R66,$S66,$T66,$U66,Y$4,$V66,TRUE)</f>
        <v>152.53009621752389</v>
      </c>
      <c r="Z66" s="279" cm="1">
        <f t="array" ref="Z66">PEDBIKE_DELAY($Q66,$W66,$R66,$S66,$T66,$U66,Z$4,$V66,TRUE)</f>
        <v>125.10542098283088</v>
      </c>
      <c r="AA66" s="279" cm="1">
        <f t="array" ref="AA66">PEDBIKE_DELAY($Q66,$W66,$R66,$S66,$T66,$U66,AA$4,$V66,TRUE)</f>
        <v>100.07257801145185</v>
      </c>
      <c r="AB66" s="279" cm="1">
        <f t="array" ref="AB66">PEDBIKE_DELAY($Q66,$W66,$R66,$S66,$T66,$U66,AB$4,$V66,TRUE)</f>
        <v>78.505056018684442</v>
      </c>
      <c r="AC66" s="279" cm="1">
        <f t="array" ref="AC66">PEDBIKE_DELAY($Q66,$W66,$R66,$S66,$T66,$U66,AC$4,$V66,TRUE)</f>
        <v>60.87586800875296</v>
      </c>
      <c r="AD66" s="279" cm="1">
        <f t="array" ref="AD66">PEDBIKE_DELAY($Q66,$W66,$R66,$S66,$T66,$U66,AD$4,$V66,TRUE)</f>
        <v>47.074589671008319</v>
      </c>
      <c r="AE66" s="279" cm="1">
        <f t="array" ref="AE66">PEDBIKE_DELAY($Q66,$W66,$R66,$S66,$T66,$U66,AE$4,$V66,TRUE)</f>
        <v>28.70500900512825</v>
      </c>
      <c r="AF66" s="279" cm="1">
        <f t="array" ref="AF66">PEDBIKE_DELAY($Q66,$W66,$R66,$S66,$T66,$U66,AF$4,$V66,TRUE)</f>
        <v>18.26286569887305</v>
      </c>
      <c r="AG66" s="279" cm="1">
        <f t="array" ref="AG66">PEDBIKE_DELAY($Q66,$W66,$R66,$S66,$T66,$U66,AG$4,$V66,TRUE)</f>
        <v>6.5825621710002702</v>
      </c>
      <c r="AH66" s="279" cm="1">
        <f t="array" ref="AH66">PEDBIKE_DELAY($Q66,$W66,$R66,$S66,$T66,$U66,AH$4,$V66,TRUE)</f>
        <v>2.2512380868104156</v>
      </c>
    </row>
    <row r="67" spans="2:34" x14ac:dyDescent="0.25">
      <c r="B67">
        <v>34</v>
      </c>
      <c r="C67" s="272">
        <f t="shared" si="4"/>
        <v>2.1032765394595225E-6</v>
      </c>
      <c r="D67" s="272">
        <f t="shared" si="10"/>
        <v>0.62918415420345564</v>
      </c>
      <c r="E67" s="272">
        <f t="shared" si="0"/>
        <v>13.77805043412787</v>
      </c>
      <c r="F67" s="271">
        <f t="shared" si="1"/>
        <v>1.0301882347612783E-4</v>
      </c>
      <c r="G67" s="271">
        <f t="shared" si="6"/>
        <v>13.778153452951345</v>
      </c>
      <c r="H67" s="272">
        <f t="shared" si="9"/>
        <v>6.8984184939529347E-7</v>
      </c>
      <c r="I67" s="272">
        <f t="shared" si="11"/>
        <v>0.62918758805850916</v>
      </c>
      <c r="J67" s="272">
        <f t="shared" si="2"/>
        <v>42.739406027430839</v>
      </c>
      <c r="K67" s="271">
        <f t="shared" si="3"/>
        <v>3.3788564829831428E-5</v>
      </c>
      <c r="L67" s="271">
        <f t="shared" si="8"/>
        <v>42.739439815995667</v>
      </c>
      <c r="M67" s="271"/>
      <c r="N67" s="271"/>
      <c r="O67" s="271"/>
      <c r="Q67">
        <v>20</v>
      </c>
      <c r="R67" s="274">
        <v>52</v>
      </c>
      <c r="S67" s="274">
        <v>10</v>
      </c>
      <c r="T67">
        <v>3.5</v>
      </c>
      <c r="U67">
        <v>3</v>
      </c>
      <c r="V67">
        <v>4</v>
      </c>
      <c r="W67">
        <v>720</v>
      </c>
      <c r="X67" s="279" t="e" cm="1">
        <f t="array" aca="1" ref="X67" ca="1">TWSC_PED_DELAY($Q67,$W67,$R67,$S67,$T67,$U67,X$4,$V67)</f>
        <v>#NAME?</v>
      </c>
      <c r="Y67" s="279" cm="1">
        <f t="array" ref="Y67">PEDBIKE_DELAY($Q67,$W67,$R67,$S67,$T67,$U67,Y$4,$V67,TRUE)</f>
        <v>160.49146147651103</v>
      </c>
      <c r="Z67" s="279" cm="1">
        <f t="array" ref="Z67">PEDBIKE_DELAY($Q67,$W67,$R67,$S67,$T67,$U67,Z$4,$V67,TRUE)</f>
        <v>130.8664683267225</v>
      </c>
      <c r="AA67" s="279" cm="1">
        <f t="array" ref="AA67">PEDBIKE_DELAY($Q67,$W67,$R67,$S67,$T67,$U67,AA$4,$V67,TRUE)</f>
        <v>103.9748800473576</v>
      </c>
      <c r="AB67" s="279" cm="1">
        <f t="array" ref="AB67">PEDBIKE_DELAY($Q67,$W67,$R67,$S67,$T67,$U67,AB$4,$V67,TRUE)</f>
        <v>80.994531020176282</v>
      </c>
      <c r="AC67" s="279" cm="1">
        <f t="array" ref="AC67">PEDBIKE_DELAY($Q67,$W67,$R67,$S67,$T67,$U67,AC$4,$V67,TRUE)</f>
        <v>62.397575612120129</v>
      </c>
      <c r="AD67" s="279" cm="1">
        <f t="array" ref="AD67">PEDBIKE_DELAY($Q67,$W67,$R67,$S67,$T67,$U67,AD$4,$V67,TRUE)</f>
        <v>47.991961866709097</v>
      </c>
      <c r="AE67" s="279" cm="1">
        <f t="array" ref="AE67">PEDBIKE_DELAY($Q67,$W67,$R67,$S67,$T67,$U67,AE$4,$V67,TRUE)</f>
        <v>29.06270792715177</v>
      </c>
      <c r="AF67" s="279" cm="1">
        <f t="array" ref="AF67">PEDBIKE_DELAY($Q67,$W67,$R67,$S67,$T67,$U67,AF$4,$V67,TRUE)</f>
        <v>18.416321674628165</v>
      </c>
      <c r="AG67" s="279" cm="1">
        <f t="array" ref="AG67">PEDBIKE_DELAY($Q67,$W67,$R67,$S67,$T67,$U67,AG$4,$V67,TRUE)</f>
        <v>6.5866996418319372</v>
      </c>
      <c r="AH67" s="279" cm="1">
        <f t="array" ref="AH67">PEDBIKE_DELAY($Q67,$W67,$R67,$S67,$T67,$U67,AH$4,$V67,TRUE)</f>
        <v>2.234254011442264</v>
      </c>
    </row>
    <row r="68" spans="2:34" x14ac:dyDescent="0.25">
      <c r="B68">
        <v>35</v>
      </c>
      <c r="C68" s="272">
        <f t="shared" si="4"/>
        <v>1.4899762869541312E-6</v>
      </c>
      <c r="D68" s="272">
        <f t="shared" si="10"/>
        <v>0.62918564417974254</v>
      </c>
      <c r="E68" s="272">
        <f t="shared" si="0"/>
        <v>13.778434729138844</v>
      </c>
      <c r="F68" s="271">
        <f t="shared" si="1"/>
        <v>7.2979278384250243E-5</v>
      </c>
      <c r="G68" s="271">
        <f t="shared" si="6"/>
        <v>13.778507708417228</v>
      </c>
      <c r="H68" s="272">
        <f t="shared" si="9"/>
        <v>4.886889470090604E-7</v>
      </c>
      <c r="I68" s="272">
        <f t="shared" si="11"/>
        <v>0.62918807674745614</v>
      </c>
      <c r="J68" s="272">
        <f t="shared" si="2"/>
        <v>42.739454539308134</v>
      </c>
      <c r="K68" s="271">
        <f t="shared" si="3"/>
        <v>2.393606329165929E-5</v>
      </c>
      <c r="L68" s="271">
        <f t="shared" si="8"/>
        <v>42.739478475371428</v>
      </c>
      <c r="M68" s="271"/>
      <c r="N68" s="271"/>
      <c r="O68" s="271"/>
      <c r="Q68">
        <v>20</v>
      </c>
      <c r="R68" s="274">
        <v>52</v>
      </c>
      <c r="S68" s="274">
        <v>10</v>
      </c>
      <c r="T68">
        <v>3.5</v>
      </c>
      <c r="U68">
        <v>3</v>
      </c>
      <c r="V68">
        <v>4</v>
      </c>
      <c r="W68">
        <v>730</v>
      </c>
      <c r="X68" s="279" t="e" cm="1">
        <f t="array" aca="1" ref="X68" ca="1">TWSC_PED_DELAY($Q68,$W68,$R68,$S68,$T68,$U68,X$4,$V68)</f>
        <v>#NAME?</v>
      </c>
      <c r="Y68" s="279" cm="1">
        <f t="array" ref="Y68">PEDBIKE_DELAY($Q68,$W68,$R68,$S68,$T68,$U68,Y$4,$V68,TRUE)</f>
        <v>168.96343248943481</v>
      </c>
      <c r="Z68" s="279" cm="1">
        <f t="array" ref="Z68">PEDBIKE_DELAY($Q68,$W68,$R68,$S68,$T68,$U68,Z$4,$V68,TRUE)</f>
        <v>136.94135561630134</v>
      </c>
      <c r="AA68" s="279" cm="1">
        <f t="array" ref="AA68">PEDBIKE_DELAY($Q68,$W68,$R68,$S68,$T68,$U68,AA$4,$V68,TRUE)</f>
        <v>108.04234780593168</v>
      </c>
      <c r="AB68" s="279" cm="1">
        <f t="array" ref="AB68">PEDBIKE_DELAY($Q68,$W68,$R68,$S68,$T68,$U68,AB$4,$V68,TRUE)</f>
        <v>83.556695873101773</v>
      </c>
      <c r="AC68" s="279" cm="1">
        <f t="array" ref="AC68">PEDBIKE_DELAY($Q68,$W68,$R68,$S68,$T68,$U68,AC$4,$V68,TRUE)</f>
        <v>63.946426750918022</v>
      </c>
      <c r="AD68" s="279" cm="1">
        <f t="array" ref="AD68">PEDBIKE_DELAY($Q68,$W68,$R68,$S68,$T68,$U68,AD$4,$V68,TRUE)</f>
        <v>48.919695868094507</v>
      </c>
      <c r="AE68" s="279" cm="1">
        <f t="array" ref="AE68">PEDBIKE_DELAY($Q68,$W68,$R68,$S68,$T68,$U68,AE$4,$V68,TRUE)</f>
        <v>29.424756181177585</v>
      </c>
      <c r="AF68" s="279" cm="1">
        <f t="array" ref="AF68">PEDBIKE_DELAY($Q68,$W68,$R68,$S68,$T68,$U68,AF$4,$V68,TRUE)</f>
        <v>18.571464058208537</v>
      </c>
      <c r="AG68" s="279" cm="1">
        <f t="array" ref="AG68">PEDBIKE_DELAY($Q68,$W68,$R68,$S68,$T68,$U68,AG$4,$V68,TRUE)</f>
        <v>6.5905381315130214</v>
      </c>
      <c r="AH68" s="279" cm="1">
        <f t="array" ref="AH68">PEDBIKE_DELAY($Q68,$W68,$R68,$S68,$T68,$U68,AH$4,$V68,TRUE)</f>
        <v>2.2172618860612441</v>
      </c>
    </row>
    <row r="69" spans="2:34" x14ac:dyDescent="0.25">
      <c r="B69">
        <v>36</v>
      </c>
      <c r="C69" s="272">
        <f t="shared" si="4"/>
        <v>1.0555099598546121E-6</v>
      </c>
      <c r="D69" s="272">
        <f t="shared" si="10"/>
        <v>0.62918669968970242</v>
      </c>
      <c r="E69" s="272">
        <f t="shared" si="0"/>
        <v>13.778714857437356</v>
      </c>
      <c r="F69" s="271">
        <f t="shared" si="1"/>
        <v>5.1699047743414861E-5</v>
      </c>
      <c r="G69" s="271">
        <f t="shared" si="6"/>
        <v>13.778766556485099</v>
      </c>
      <c r="H69" s="272">
        <f t="shared" si="9"/>
        <v>3.4619077858009043E-7</v>
      </c>
      <c r="I69" s="272">
        <f t="shared" si="11"/>
        <v>0.62918842293823474</v>
      </c>
      <c r="J69" s="272">
        <f t="shared" si="2"/>
        <v>42.739488906142206</v>
      </c>
      <c r="K69" s="271">
        <f t="shared" si="3"/>
        <v>1.6956480062365672E-5</v>
      </c>
      <c r="L69" s="271">
        <f t="shared" si="8"/>
        <v>42.739505862622266</v>
      </c>
      <c r="M69" s="271"/>
      <c r="N69" s="271"/>
      <c r="O69" s="271"/>
      <c r="Q69">
        <v>20</v>
      </c>
      <c r="R69" s="274">
        <v>52</v>
      </c>
      <c r="S69" s="274">
        <v>10</v>
      </c>
      <c r="T69">
        <v>3.5</v>
      </c>
      <c r="U69">
        <v>3</v>
      </c>
      <c r="V69">
        <v>4</v>
      </c>
      <c r="W69">
        <v>740</v>
      </c>
      <c r="X69" s="279" t="e" cm="1">
        <f t="array" aca="1" ref="X69" ca="1">TWSC_PED_DELAY($Q69,$W69,$R69,$S69,$T69,$U69,X$4,$V69)</f>
        <v>#NAME?</v>
      </c>
      <c r="Y69" s="279" cm="1">
        <f t="array" ref="Y69">PEDBIKE_DELAY($Q69,$W69,$R69,$S69,$T69,$U69,Y$4,$V69,TRUE)</f>
        <v>177.98572875184757</v>
      </c>
      <c r="Z69" s="279" cm="1">
        <f t="array" ref="Z69">PEDBIKE_DELAY($Q69,$W69,$R69,$S69,$T69,$U69,Z$4,$V69,TRUE)</f>
        <v>143.34775477004899</v>
      </c>
      <c r="AA69" s="279" cm="1">
        <f t="array" ref="AA69">PEDBIKE_DELAY($Q69,$W69,$R69,$S69,$T69,$U69,AA$4,$V69,TRUE)</f>
        <v>112.27942439806203</v>
      </c>
      <c r="AB69" s="279" cm="1">
        <f t="array" ref="AB69">PEDBIKE_DELAY($Q69,$W69,$R69,$S69,$T69,$U69,AB$4,$V69,TRUE)</f>
        <v>86.19097638122399</v>
      </c>
      <c r="AC69" s="279" cm="1">
        <f t="array" ref="AC69">PEDBIKE_DELAY($Q69,$W69,$R69,$S69,$T69,$U69,AC$4,$V69,TRUE)</f>
        <v>65.521644227111125</v>
      </c>
      <c r="AD69" s="279" cm="1">
        <f t="array" ref="AD69">PEDBIKE_DELAY($Q69,$W69,$R69,$S69,$T69,$U69,AD$4,$V69,TRUE)</f>
        <v>49.858062679857994</v>
      </c>
      <c r="AE69" s="279" cm="1">
        <f t="array" ref="AE69">PEDBIKE_DELAY($Q69,$W69,$R69,$S69,$T69,$U69,AE$4,$V69,TRUE)</f>
        <v>29.791805328113437</v>
      </c>
      <c r="AF69" s="279" cm="1">
        <f t="array" ref="AF69">PEDBIKE_DELAY($Q69,$W69,$R69,$S69,$T69,$U69,AF$4,$V69,TRUE)</f>
        <v>18.728491588656233</v>
      </c>
      <c r="AG69" s="279" cm="1">
        <f t="array" ref="AG69">PEDBIKE_DELAY($Q69,$W69,$R69,$S69,$T69,$U69,AG$4,$V69,TRUE)</f>
        <v>6.5941125490431789</v>
      </c>
      <c r="AH69" s="279" cm="1">
        <f t="array" ref="AH69">PEDBIKE_DELAY($Q69,$W69,$R69,$S69,$T69,$U69,AH$4,$V69,TRUE)</f>
        <v>2.2002727142396741</v>
      </c>
    </row>
    <row r="70" spans="2:34" x14ac:dyDescent="0.25">
      <c r="B70">
        <v>37</v>
      </c>
      <c r="C70" s="272">
        <f t="shared" si="4"/>
        <v>7.4773087671349284E-7</v>
      </c>
      <c r="D70" s="272">
        <f t="shared" si="10"/>
        <v>0.62918744742057908</v>
      </c>
      <c r="E70" s="272">
        <f t="shared" si="0"/>
        <v>13.778918892344091</v>
      </c>
      <c r="F70" s="271">
        <f t="shared" si="1"/>
        <v>3.6623978708144488E-5</v>
      </c>
      <c r="G70" s="271">
        <f t="shared" si="6"/>
        <v>13.778955516322799</v>
      </c>
      <c r="H70" s="272">
        <f t="shared" si="9"/>
        <v>2.4524404716182634E-7</v>
      </c>
      <c r="I70" s="272">
        <f t="shared" si="11"/>
        <v>0.62918866818228192</v>
      </c>
      <c r="J70" s="272">
        <f t="shared" si="2"/>
        <v>42.739513252202052</v>
      </c>
      <c r="K70" s="271">
        <f t="shared" si="3"/>
        <v>1.2012092907646323E-5</v>
      </c>
      <c r="L70" s="271">
        <f t="shared" si="8"/>
        <v>42.739525264294961</v>
      </c>
      <c r="M70" s="271"/>
      <c r="N70" s="271"/>
      <c r="O70" s="271"/>
      <c r="Q70">
        <v>20</v>
      </c>
      <c r="R70" s="274">
        <v>52</v>
      </c>
      <c r="S70" s="274">
        <v>10</v>
      </c>
      <c r="T70">
        <v>3.5</v>
      </c>
      <c r="U70">
        <v>3</v>
      </c>
      <c r="V70">
        <v>4</v>
      </c>
      <c r="W70">
        <v>750</v>
      </c>
      <c r="X70" s="279" t="e" cm="1">
        <f t="array" aca="1" ref="X70" ca="1">TWSC_PED_DELAY($Q70,$W70,$R70,$S70,$T70,$U70,X$4,$V70)</f>
        <v>#NAME?</v>
      </c>
      <c r="Y70" s="279" cm="1">
        <f t="array" ref="Y70">PEDBIKE_DELAY($Q70,$W70,$R70,$S70,$T70,$U70,Y$4,$V70,TRUE)</f>
        <v>187.6063136527174</v>
      </c>
      <c r="Z70" s="279" cm="1">
        <f t="array" ref="Z70">PEDBIKE_DELAY($Q70,$W70,$R70,$S70,$T70,$U70,Z$4,$V70,TRUE)</f>
        <v>150.11069941768477</v>
      </c>
      <c r="AA70" s="279" cm="1">
        <f t="array" ref="AA70">PEDBIKE_DELAY($Q70,$W70,$R70,$S70,$T70,$U70,AA$4,$V70,TRUE)</f>
        <v>116.69638047990847</v>
      </c>
      <c r="AB70" s="279" cm="1">
        <f t="array" ref="AB70">PEDBIKE_DELAY($Q70,$W70,$R70,$S70,$T70,$U70,AB$4,$V70,TRUE)</f>
        <v>88.900967690595536</v>
      </c>
      <c r="AC70" s="279" cm="1">
        <f t="array" ref="AC70">PEDBIKE_DELAY($Q70,$W70,$R70,$S70,$T70,$U70,AC$4,$V70,TRUE)</f>
        <v>67.125078855399991</v>
      </c>
      <c r="AD70" s="279" cm="1">
        <f t="array" ref="AD70">PEDBIKE_DELAY($Q70,$W70,$R70,$S70,$T70,$U70,AD$4,$V70,TRUE)</f>
        <v>50.808701706345389</v>
      </c>
      <c r="AE70" s="279" cm="1">
        <f t="array" ref="AE70">PEDBIKE_DELAY($Q70,$W70,$R70,$S70,$T70,$U70,AE$4,$V70,TRUE)</f>
        <v>30.164645720166629</v>
      </c>
      <c r="AF70" s="279" cm="1">
        <f t="array" ref="AF70">PEDBIKE_DELAY($Q70,$W70,$R70,$S70,$T70,$U70,AF$4,$V70,TRUE)</f>
        <v>18.887601789658738</v>
      </c>
      <c r="AG70" s="279" cm="1">
        <f t="array" ref="AG70">PEDBIKE_DELAY($Q70,$W70,$R70,$S70,$T70,$U70,AG$4,$V70,TRUE)</f>
        <v>6.5974564933056357</v>
      </c>
      <c r="AH70" s="279" cm="1">
        <f t="array" ref="AH70">PEDBIKE_DELAY($Q70,$W70,$R70,$S70,$T70,$U70,AH$4,$V70,TRUE)</f>
        <v>2.1832966724493033</v>
      </c>
    </row>
    <row r="71" spans="2:34" x14ac:dyDescent="0.25">
      <c r="B71">
        <v>38</v>
      </c>
      <c r="C71" s="272">
        <f t="shared" si="4"/>
        <v>5.2969795196402457E-7</v>
      </c>
      <c r="D71" s="272">
        <f t="shared" si="10"/>
        <v>0.62918797711853103</v>
      </c>
      <c r="E71" s="272">
        <f t="shared" si="0"/>
        <v>13.779067392139783</v>
      </c>
      <c r="F71" s="271">
        <f t="shared" si="1"/>
        <v>2.5944690955464174E-5</v>
      </c>
      <c r="G71" s="271">
        <f t="shared" si="6"/>
        <v>13.779093336830739</v>
      </c>
      <c r="H71" s="272">
        <f t="shared" si="9"/>
        <v>1.7373265375361522E-7</v>
      </c>
      <c r="I71" s="272">
        <f t="shared" si="11"/>
        <v>0.62918884191493563</v>
      </c>
      <c r="J71" s="272">
        <f t="shared" si="2"/>
        <v>42.739530499305637</v>
      </c>
      <c r="K71" s="271">
        <f t="shared" si="3"/>
        <v>8.5094533483140207E-6</v>
      </c>
      <c r="L71" s="271">
        <f t="shared" si="8"/>
        <v>42.739539008758989</v>
      </c>
      <c r="M71" s="271"/>
      <c r="N71" s="271"/>
      <c r="O71" s="271"/>
      <c r="Q71">
        <v>20</v>
      </c>
      <c r="R71" s="274">
        <v>52</v>
      </c>
      <c r="S71" s="274">
        <v>10</v>
      </c>
      <c r="T71">
        <v>3.5</v>
      </c>
      <c r="U71">
        <v>3</v>
      </c>
      <c r="V71">
        <v>4</v>
      </c>
      <c r="W71">
        <v>760</v>
      </c>
      <c r="X71" s="279" t="e" cm="1">
        <f t="array" aca="1" ref="X71" ca="1">TWSC_PED_DELAY($Q71,$W71,$R71,$S71,$T71,$U71,X$4,$V71)</f>
        <v>#NAME?</v>
      </c>
      <c r="Y71" s="279" cm="1">
        <f t="array" ref="Y71">PEDBIKE_DELAY($Q71,$W71,$R71,$S71,$T71,$U71,Y$4,$V71,TRUE)</f>
        <v>197.87638791447628</v>
      </c>
      <c r="Z71" s="279" cm="1">
        <f t="array" ref="Z71">PEDBIKE_DELAY($Q71,$W71,$R71,$S71,$T71,$U71,Z$4,$V71,TRUE)</f>
        <v>157.25488365240471</v>
      </c>
      <c r="AA71" s="279" cm="1">
        <f t="array" ref="AA71">PEDBIKE_DELAY($Q71,$W71,$R71,$S71,$T71,$U71,AA$4,$V71,TRUE)</f>
        <v>121.30183428074825</v>
      </c>
      <c r="AB71" s="279" cm="1">
        <f t="array" ref="AB71">PEDBIKE_DELAY($Q71,$W71,$R71,$S71,$T71,$U71,AB$4,$V71,TRUE)</f>
        <v>91.688866601037276</v>
      </c>
      <c r="AC71" s="279" cm="1">
        <f t="array" ref="AC71">PEDBIKE_DELAY($Q71,$W71,$R71,$S71,$T71,$U71,AC$4,$V71,TRUE)</f>
        <v>68.757885333042594</v>
      </c>
      <c r="AD71" s="279" cm="1">
        <f t="array" ref="AD71">PEDBIKE_DELAY($Q71,$W71,$R71,$S71,$T71,$U71,AD$4,$V71,TRUE)</f>
        <v>51.773012369228127</v>
      </c>
      <c r="AE71" s="279" cm="1">
        <f t="array" ref="AE71">PEDBIKE_DELAY($Q71,$W71,$R71,$S71,$T71,$U71,AE$4,$V71,TRUE)</f>
        <v>30.544021234773254</v>
      </c>
      <c r="AF71" s="279" cm="1">
        <f t="array" ref="AF71">PEDBIKE_DELAY($Q71,$W71,$R71,$S71,$T71,$U71,AF$4,$V71,TRUE)</f>
        <v>19.048986732798745</v>
      </c>
      <c r="AG71" s="279" cm="1">
        <f t="array" ref="AG71">PEDBIKE_DELAY($Q71,$W71,$R71,$S71,$T71,$U71,AG$4,$V71,TRUE)</f>
        <v>6.600602284268632</v>
      </c>
      <c r="AH71" s="279" cm="1">
        <f t="array" ref="AH71">PEDBIKE_DELAY($Q71,$W71,$R71,$S71,$T71,$U71,AH$4,$V71,TRUE)</f>
        <v>2.1663431582434751</v>
      </c>
    </row>
    <row r="72" spans="2:34" x14ac:dyDescent="0.25">
      <c r="B72">
        <v>39</v>
      </c>
      <c r="C72" s="272">
        <f t="shared" si="4"/>
        <v>3.7524185378561206E-7</v>
      </c>
      <c r="D72" s="272">
        <f t="shared" si="10"/>
        <v>0.62918835236038484</v>
      </c>
      <c r="E72" s="272">
        <f t="shared" si="0"/>
        <v>13.779175395756008</v>
      </c>
      <c r="F72" s="271">
        <f t="shared" si="1"/>
        <v>1.8379406402282939E-5</v>
      </c>
      <c r="G72" s="271">
        <f t="shared" si="6"/>
        <v>13.77919377516241</v>
      </c>
      <c r="H72" s="272">
        <f t="shared" si="9"/>
        <v>1.2307346634441379E-7</v>
      </c>
      <c r="I72" s="272">
        <f t="shared" si="11"/>
        <v>0.62918896498840193</v>
      </c>
      <c r="J72" s="272">
        <f t="shared" si="2"/>
        <v>42.73954271737076</v>
      </c>
      <c r="K72" s="271">
        <f t="shared" si="3"/>
        <v>6.0281581939969438E-6</v>
      </c>
      <c r="L72" s="271">
        <f t="shared" si="8"/>
        <v>42.739548745528957</v>
      </c>
      <c r="M72" s="271"/>
      <c r="N72" s="271"/>
      <c r="O72" s="271"/>
      <c r="Q72">
        <v>20</v>
      </c>
      <c r="R72" s="274">
        <v>52</v>
      </c>
      <c r="S72" s="274">
        <v>10</v>
      </c>
      <c r="T72">
        <v>3.5</v>
      </c>
      <c r="U72">
        <v>3</v>
      </c>
      <c r="V72">
        <v>4</v>
      </c>
      <c r="W72">
        <v>770</v>
      </c>
      <c r="X72" s="279" t="e" cm="1">
        <f t="array" aca="1" ref="X72" ca="1">TWSC_PED_DELAY($Q72,$W72,$R72,$S72,$T72,$U72,X$4,$V72)</f>
        <v>#NAME?</v>
      </c>
      <c r="Y72" s="279" cm="1">
        <f t="array" ref="Y72">PEDBIKE_DELAY($Q72,$W72,$R72,$S72,$T72,$U72,Y$4,$V72,TRUE)</f>
        <v>208.85385694400443</v>
      </c>
      <c r="Z72" s="279" cm="1">
        <f t="array" ref="Z72">PEDBIKE_DELAY($Q72,$W72,$R72,$S72,$T72,$U72,Z$4,$V72,TRUE)</f>
        <v>164.80879263331735</v>
      </c>
      <c r="AA72" s="279" cm="1">
        <f t="array" ref="AA72">PEDBIKE_DELAY($Q72,$W72,$R72,$S72,$T72,$U72,AA$4,$V72,TRUE)</f>
        <v>126.10637060939781</v>
      </c>
      <c r="AB72" s="279" cm="1">
        <f t="array" ref="AB72">PEDBIKE_DELAY($Q72,$W72,$R72,$S72,$T72,$U72,AB$4,$V72,TRUE)</f>
        <v>94.558003531308302</v>
      </c>
      <c r="AC72" s="279" cm="1">
        <f t="array" ref="AC72">PEDBIKE_DELAY($Q72,$W72,$R72,$S72,$T72,$U72,AC$4,$V72,TRUE)</f>
        <v>70.421937256663611</v>
      </c>
      <c r="AD72" s="279" cm="1">
        <f t="array" ref="AD72">PEDBIKE_DELAY($Q72,$W72,$R72,$S72,$T72,$U72,AD$4,$V72,TRUE)</f>
        <v>52.752766667421668</v>
      </c>
      <c r="AE72" s="279" cm="1">
        <f t="array" ref="AE72">PEDBIKE_DELAY($Q72,$W72,$R72,$S72,$T72,$U72,AE$4,$V72,TRUE)</f>
        <v>30.93067972285742</v>
      </c>
      <c r="AF72" s="279" cm="1">
        <f t="array" ref="AF72">PEDBIKE_DELAY($Q72,$W72,$R72,$S72,$T72,$U72,AF$4,$V72,TRUE)</f>
        <v>19.212836061485916</v>
      </c>
      <c r="AG72" s="279" cm="1">
        <f t="array" ref="AG72">PEDBIKE_DELAY($Q72,$W72,$R72,$S72,$T72,$U72,AG$4,$V72,TRUE)</f>
        <v>6.603580989570986</v>
      </c>
      <c r="AH72" s="279" cm="1">
        <f t="array" ref="AH72">PEDBIKE_DELAY($Q72,$W72,$R72,$S72,$T72,$U72,AH$4,$V72,TRUE)</f>
        <v>2.1494208364705178</v>
      </c>
    </row>
    <row r="73" spans="2:34" x14ac:dyDescent="0.25">
      <c r="B73">
        <v>40</v>
      </c>
      <c r="C73" s="272">
        <f t="shared" si="4"/>
        <v>2.6582403859465855E-7</v>
      </c>
      <c r="D73" s="272">
        <f t="shared" si="10"/>
        <v>0.6291886181844234</v>
      </c>
      <c r="E73" s="272">
        <f t="shared" si="0"/>
        <v>13.779253893584357</v>
      </c>
      <c r="F73" s="271">
        <f t="shared" si="1"/>
        <v>1.3020104201992384E-5</v>
      </c>
      <c r="G73" s="271">
        <f t="shared" si="6"/>
        <v>13.779266913688559</v>
      </c>
      <c r="H73" s="272">
        <f t="shared" si="9"/>
        <v>8.7186132203742459E-8</v>
      </c>
      <c r="I73" s="272">
        <f t="shared" si="11"/>
        <v>0.62918905217453414</v>
      </c>
      <c r="J73" s="272">
        <f t="shared" si="2"/>
        <v>42.739551372783986</v>
      </c>
      <c r="K73" s="271">
        <f t="shared" si="3"/>
        <v>4.2703907901085706E-6</v>
      </c>
      <c r="L73" s="271">
        <f t="shared" si="8"/>
        <v>42.739555643174775</v>
      </c>
      <c r="M73" s="271"/>
      <c r="N73" s="271"/>
      <c r="O73" s="271"/>
      <c r="Q73">
        <v>20</v>
      </c>
      <c r="R73" s="274">
        <v>52</v>
      </c>
      <c r="S73" s="274">
        <v>10</v>
      </c>
      <c r="T73">
        <v>3.5</v>
      </c>
      <c r="U73">
        <v>3</v>
      </c>
      <c r="V73">
        <v>4</v>
      </c>
      <c r="W73">
        <v>780</v>
      </c>
      <c r="X73" s="279" t="e" cm="1">
        <f t="array" aca="1" ref="X73" ca="1">TWSC_PED_DELAY($Q73,$W73,$R73,$S73,$T73,$U73,X$4,$V73)</f>
        <v>#NAME?</v>
      </c>
      <c r="Y73" s="279" cm="1">
        <f t="array" ref="Y73">PEDBIKE_DELAY($Q73,$W73,$R73,$S73,$T73,$U73,Y$4,$V73,TRUE)</f>
        <v>220.60007144220623</v>
      </c>
      <c r="Z73" s="279" cm="1">
        <f t="array" ref="Z73">PEDBIKE_DELAY($Q73,$W73,$R73,$S73,$T73,$U73,Z$4,$V73,TRUE)</f>
        <v>172.79965593028567</v>
      </c>
      <c r="AA73" s="279" cm="1">
        <f t="array" ref="AA73">PEDBIKE_DELAY($Q73,$W73,$R73,$S73,$T73,$U73,AA$4,$V73,TRUE)</f>
        <v>131.11803075860573</v>
      </c>
      <c r="AB73" s="279" cm="1">
        <f t="array" ref="AB73">PEDBIKE_DELAY($Q73,$W73,$R73,$S73,$T73,$U73,AB$4,$V73,TRUE)</f>
        <v>97.509926470343999</v>
      </c>
      <c r="AC73" s="279" cm="1">
        <f t="array" ref="AC73">PEDBIKE_DELAY($Q73,$W73,$R73,$S73,$T73,$U73,AC$4,$V73,TRUE)</f>
        <v>72.118393001536163</v>
      </c>
      <c r="AD73" s="279" cm="1">
        <f t="array" ref="AD73">PEDBIKE_DELAY($Q73,$W73,$R73,$S73,$T73,$U73,AD$4,$V73,TRUE)</f>
        <v>53.749561870402104</v>
      </c>
      <c r="AE73" s="279" cm="1">
        <f t="array" ref="AE73">PEDBIKE_DELAY($Q73,$W73,$R73,$S73,$T73,$U73,AE$4,$V73,TRUE)</f>
        <v>31.325341163895981</v>
      </c>
      <c r="AF73" s="279" cm="1">
        <f t="array" ref="AF73">PEDBIKE_DELAY($Q73,$W73,$R73,$S73,$T73,$U73,AF$4,$V73,TRUE)</f>
        <v>19.379338127419679</v>
      </c>
      <c r="AG73" s="279" cm="1">
        <f t="array" ref="AG73">PEDBIKE_DELAY($Q73,$W73,$R73,$S73,$T73,$U73,AG$4,$V73,TRUE)</f>
        <v>6.6064224464564605</v>
      </c>
      <c r="AH73" s="279" cm="1">
        <f t="array" ref="AH73">PEDBIKE_DELAY($Q73,$W73,$R73,$S73,$T73,$U73,AH$4,$V73,TRUE)</f>
        <v>2.1325376836561007</v>
      </c>
    </row>
    <row r="74" spans="2:34" x14ac:dyDescent="0.25">
      <c r="B74">
        <v>41</v>
      </c>
      <c r="C74" s="272">
        <f t="shared" si="4"/>
        <v>1.8831166829560911E-7</v>
      </c>
      <c r="D74" s="272">
        <f t="shared" si="10"/>
        <v>0.62918880649609166</v>
      </c>
      <c r="E74" s="272">
        <f t="shared" si="0"/>
        <v>13.77931090982106</v>
      </c>
      <c r="F74" s="271">
        <f t="shared" si="1"/>
        <v>9.2235358272465471E-6</v>
      </c>
      <c r="G74" s="271">
        <f t="shared" si="6"/>
        <v>13.779320133356887</v>
      </c>
      <c r="H74" s="272">
        <f t="shared" si="9"/>
        <v>6.1763285568520491E-8</v>
      </c>
      <c r="I74" s="272">
        <f t="shared" si="11"/>
        <v>0.62918911393781973</v>
      </c>
      <c r="J74" s="272">
        <f t="shared" si="2"/>
        <v>42.739557504365784</v>
      </c>
      <c r="K74" s="271">
        <f t="shared" si="3"/>
        <v>3.0251756688883196E-6</v>
      </c>
      <c r="L74" s="271">
        <f t="shared" si="8"/>
        <v>42.73956052954145</v>
      </c>
      <c r="M74" s="271"/>
      <c r="N74" s="271"/>
      <c r="O74" s="271"/>
      <c r="Q74">
        <v>20</v>
      </c>
      <c r="R74" s="274">
        <v>52</v>
      </c>
      <c r="S74" s="274">
        <v>10</v>
      </c>
      <c r="T74">
        <v>3.5</v>
      </c>
      <c r="U74">
        <v>3</v>
      </c>
      <c r="V74">
        <v>4</v>
      </c>
      <c r="W74">
        <v>790</v>
      </c>
      <c r="X74" s="279" t="e" cm="1">
        <f t="array" aca="1" ref="X74" ca="1">TWSC_PED_DELAY($Q74,$W74,$R74,$S74,$T74,$U74,X$4,$V74)</f>
        <v>#NAME?</v>
      </c>
      <c r="Y74" s="279" cm="1">
        <f t="array" ref="Y74">PEDBIKE_DELAY($Q74,$W74,$R74,$S74,$T74,$U74,Y$4,$V74,TRUE)</f>
        <v>233.18977096780239</v>
      </c>
      <c r="Z74" s="279" cm="1">
        <f t="array" ref="Z74">PEDBIKE_DELAY($Q74,$W74,$R74,$S74,$T74,$U74,Z$4,$V74,TRUE)</f>
        <v>181.26583320261182</v>
      </c>
      <c r="AA74" s="279" cm="1">
        <f t="array" ref="AA74">PEDBIKE_DELAY($Q74,$W74,$R74,$S74,$T74,$U74,AA$4,$V74,TRUE)</f>
        <v>136.35276973918064</v>
      </c>
      <c r="AB74" s="279" cm="1">
        <f t="array" ref="AB74">PEDBIKE_DELAY($Q74,$W74,$R74,$S74,$T74,$U74,AB$4,$V74,TRUE)</f>
        <v>100.55108360011609</v>
      </c>
      <c r="AC74" s="279" cm="1">
        <f t="array" ref="AC74">PEDBIKE_DELAY($Q74,$W74,$R74,$S74,$T74,$U74,AC$4,$V74,TRUE)</f>
        <v>73.850949628589461</v>
      </c>
      <c r="AD74" s="279" cm="1">
        <f t="array" ref="AD74">PEDBIKE_DELAY($Q74,$W74,$R74,$S74,$T74,$U74,AD$4,$V74,TRUE)</f>
        <v>54.765992020622697</v>
      </c>
      <c r="AE74" s="279" cm="1">
        <f t="array" ref="AE74">PEDBIKE_DELAY($Q74,$W74,$R74,$S74,$T74,$U74,AE$4,$V74,TRUE)</f>
        <v>31.728752567710117</v>
      </c>
      <c r="AF74" s="279" cm="1">
        <f t="array" ref="AF74">PEDBIKE_DELAY($Q74,$W74,$R74,$S74,$T74,$U74,AF$4,$V74,TRUE)</f>
        <v>19.548681651676763</v>
      </c>
      <c r="AG74" s="279" cm="1">
        <f t="array" ref="AG74">PEDBIKE_DELAY($Q74,$W74,$R74,$S74,$T74,$U74,AG$4,$V74,TRUE)</f>
        <v>6.6091552790156483</v>
      </c>
      <c r="AH74" s="279" cm="1">
        <f t="array" ref="AH74">PEDBIKE_DELAY($Q74,$W74,$R74,$S74,$T74,$U74,AH$4,$V74,TRUE)</f>
        <v>2.1157010306856647</v>
      </c>
    </row>
    <row r="75" spans="2:34" x14ac:dyDescent="0.25">
      <c r="B75">
        <v>42</v>
      </c>
      <c r="C75" s="272">
        <f t="shared" si="4"/>
        <v>1.3340134550899615E-7</v>
      </c>
      <c r="D75" s="272">
        <f t="shared" si="10"/>
        <v>0.62918893989743718</v>
      </c>
      <c r="E75" s="272">
        <f t="shared" si="0"/>
        <v>13.779352297836395</v>
      </c>
      <c r="F75" s="271">
        <f t="shared" si="1"/>
        <v>6.5340193769166959E-6</v>
      </c>
      <c r="G75" s="271">
        <f t="shared" si="6"/>
        <v>13.779358831855772</v>
      </c>
      <c r="H75" s="272">
        <f t="shared" si="9"/>
        <v>4.375355744145817E-8</v>
      </c>
      <c r="I75" s="272">
        <f t="shared" si="11"/>
        <v>0.62918915769137718</v>
      </c>
      <c r="J75" s="272">
        <f t="shared" si="2"/>
        <v>42.739561848035258</v>
      </c>
      <c r="K75" s="271">
        <f t="shared" si="3"/>
        <v>2.1430562866447944E-6</v>
      </c>
      <c r="L75" s="271">
        <f t="shared" si="8"/>
        <v>42.739563991091543</v>
      </c>
      <c r="M75" s="271"/>
      <c r="N75" s="271"/>
      <c r="O75" s="271"/>
      <c r="Q75">
        <v>20</v>
      </c>
      <c r="R75" s="274">
        <v>52</v>
      </c>
      <c r="S75" s="274">
        <v>10</v>
      </c>
      <c r="T75">
        <v>3.5</v>
      </c>
      <c r="U75">
        <v>3</v>
      </c>
      <c r="V75">
        <v>4</v>
      </c>
      <c r="W75">
        <v>800</v>
      </c>
      <c r="X75" s="279" t="e" cm="1">
        <f t="array" aca="1" ref="X75" ca="1">TWSC_PED_DELAY($Q75,$W75,$R75,$S75,$T75,$U75,X$4,$V75)</f>
        <v>#NAME?</v>
      </c>
      <c r="Y75" s="279" cm="1">
        <f t="array" ref="Y75">PEDBIKE_DELAY($Q75,$W75,$R75,$S75,$T75,$U75,Y$4,$V75,TRUE)</f>
        <v>246.69671731587374</v>
      </c>
      <c r="Z75" s="279" cm="1">
        <f t="array" ref="Z75">PEDBIKE_DELAY($Q75,$W75,$R75,$S75,$T75,$U75,Z$4,$V75,TRUE)</f>
        <v>190.23689631749554</v>
      </c>
      <c r="AA75" s="279" cm="1">
        <f t="array" ref="AA75">PEDBIKE_DELAY($Q75,$W75,$R75,$S75,$T75,$U75,AA$4,$V75,TRUE)</f>
        <v>141.81731978096667</v>
      </c>
      <c r="AB75" s="279" cm="1">
        <f t="array" ref="AB75">PEDBIKE_DELAY($Q75,$W75,$R75,$S75,$T75,$U75,AB$4,$V75,TRUE)</f>
        <v>103.68200314644196</v>
      </c>
      <c r="AC75" s="279" cm="1">
        <f t="array" ref="AC75">PEDBIKE_DELAY($Q75,$W75,$R75,$S75,$T75,$U75,AC$4,$V75,TRUE)</f>
        <v>75.620669574979544</v>
      </c>
      <c r="AD75" s="279" cm="1">
        <f t="array" ref="AD75">PEDBIKE_DELAY($Q75,$W75,$R75,$S75,$T75,$U75,AD$4,$V75,TRUE)</f>
        <v>55.803782758812638</v>
      </c>
      <c r="AE75" s="279" cm="1">
        <f t="array" ref="AE75">PEDBIKE_DELAY($Q75,$W75,$R75,$S75,$T75,$U75,AE$4,$V75,TRUE)</f>
        <v>32.141602101903359</v>
      </c>
      <c r="AF75" s="279" cm="1">
        <f t="array" ref="AF75">PEDBIKE_DELAY($Q75,$W75,$R75,$S75,$T75,$U75,AF$4,$V75,TRUE)</f>
        <v>19.721056008821481</v>
      </c>
      <c r="AG75" s="279" cm="1">
        <f t="array" ref="AG75">PEDBIKE_DELAY($Q75,$W75,$R75,$S75,$T75,$U75,AG$4,$V75,TRUE)</f>
        <v>6.6118069106718238</v>
      </c>
      <c r="AH75" s="279" cm="1">
        <f t="array" ref="AH75">PEDBIKE_DELAY($Q75,$W75,$R75,$S75,$T75,$U75,AH$4,$V75,TRUE)</f>
        <v>2.0989176039113278</v>
      </c>
    </row>
    <row r="76" spans="2:34" x14ac:dyDescent="0.25">
      <c r="B76">
        <v>43</v>
      </c>
      <c r="C76" s="272">
        <f t="shared" si="4"/>
        <v>9.4502476359193362E-8</v>
      </c>
      <c r="D76" s="272">
        <f t="shared" si="10"/>
        <v>0.62918903439991358</v>
      </c>
      <c r="E76" s="272">
        <f t="shared" si="0"/>
        <v>13.779382323900929</v>
      </c>
      <c r="F76" s="271">
        <f t="shared" si="1"/>
        <v>4.6287465037470653E-6</v>
      </c>
      <c r="G76" s="271">
        <f t="shared" si="6"/>
        <v>13.779386952647434</v>
      </c>
      <c r="H76" s="272">
        <f t="shared" si="9"/>
        <v>3.0995336007197221E-8</v>
      </c>
      <c r="I76" s="272">
        <f t="shared" si="11"/>
        <v>0.62918918868671314</v>
      </c>
      <c r="J76" s="272">
        <f t="shared" si="2"/>
        <v>42.73956492512859</v>
      </c>
      <c r="K76" s="271">
        <f t="shared" si="3"/>
        <v>1.5181565479533836E-6</v>
      </c>
      <c r="L76" s="271">
        <f t="shared" si="8"/>
        <v>42.739566443285135</v>
      </c>
      <c r="M76" s="271"/>
      <c r="N76" s="271"/>
      <c r="O76" s="271"/>
      <c r="Q76">
        <v>20</v>
      </c>
      <c r="R76" s="274">
        <v>52</v>
      </c>
      <c r="S76" s="274">
        <v>10</v>
      </c>
      <c r="T76">
        <v>3.5</v>
      </c>
      <c r="U76">
        <v>3</v>
      </c>
      <c r="V76">
        <v>4</v>
      </c>
      <c r="W76">
        <v>810</v>
      </c>
      <c r="X76" s="279" t="e" cm="1">
        <f t="array" aca="1" ref="X76" ca="1">TWSC_PED_DELAY($Q76,$W76,$R76,$S76,$T76,$U76,X$4,$V76)</f>
        <v>#NAME?</v>
      </c>
      <c r="Y76" s="279" cm="1">
        <f t="array" ref="Y76">PEDBIKE_DELAY($Q76,$W76,$R76,$S76,$T76,$U76,Y$4,$V76,TRUE)</f>
        <v>261.20844322497817</v>
      </c>
      <c r="Z76" s="279" cm="1">
        <f t="array" ref="Z76">PEDBIKE_DELAY($Q76,$W76,$R76,$S76,$T76,$U76,Z$4,$V76,TRUE)</f>
        <v>199.75209276912881</v>
      </c>
      <c r="AA76" s="279" cm="1">
        <f t="array" ref="AA76">PEDBIKE_DELAY($Q76,$W76,$R76,$S76,$T76,$U76,AA$4,$V76,TRUE)</f>
        <v>147.52477358855782</v>
      </c>
      <c r="AB76" s="279" cm="1">
        <f t="array" ref="AB76">PEDBIKE_DELAY($Q76,$W76,$R76,$S76,$T76,$U76,AB$4,$V76,TRUE)</f>
        <v>106.90719597587369</v>
      </c>
      <c r="AC76" s="279" cm="1">
        <f t="array" ref="AC76">PEDBIKE_DELAY($Q76,$W76,$R76,$S76,$T76,$U76,AC$4,$V76,TRUE)</f>
        <v>77.430743890919814</v>
      </c>
      <c r="AD76" s="279" cm="1">
        <f t="array" ref="AD76">PEDBIKE_DELAY($Q76,$W76,$R76,$S76,$T76,$U76,AD$4,$V76,TRUE)</f>
        <v>56.865479589135504</v>
      </c>
      <c r="AE76" s="279" cm="1">
        <f t="array" ref="AE76">PEDBIKE_DELAY($Q76,$W76,$R76,$S76,$T76,$U76,AE$4,$V76,TRUE)</f>
        <v>32.564597696189502</v>
      </c>
      <c r="AF76" s="279" cm="1">
        <f t="array" ref="AF76">PEDBIKE_DELAY($Q76,$W76,$R76,$S76,$T76,$U76,AF$4,$V76,TRUE)</f>
        <v>19.896652540629564</v>
      </c>
      <c r="AG76" s="279" cm="1">
        <f t="array" ref="AG76">PEDBIKE_DELAY($Q76,$W76,$R76,$S76,$T76,$U76,AG$4,$V76,TRUE)</f>
        <v>6.6144035718383423</v>
      </c>
      <c r="AH76" s="279" cm="1">
        <f t="array" ref="AH76">PEDBIKE_DELAY($Q76,$W76,$R76,$S76,$T76,$U76,AH$4,$V76,TRUE)</f>
        <v>2.0821935648006007</v>
      </c>
    </row>
    <row r="77" spans="2:34" x14ac:dyDescent="0.25">
      <c r="B77">
        <v>44</v>
      </c>
      <c r="C77" s="272">
        <f t="shared" si="4"/>
        <v>6.6946236582706858E-8</v>
      </c>
      <c r="D77" s="272">
        <f t="shared" si="10"/>
        <v>0.62918910134615014</v>
      </c>
      <c r="E77" s="272">
        <f t="shared" si="0"/>
        <v>13.77940409506845</v>
      </c>
      <c r="F77" s="271">
        <f t="shared" si="1"/>
        <v>3.2790374450331606E-6</v>
      </c>
      <c r="G77" s="271">
        <f t="shared" si="6"/>
        <v>13.779407374105896</v>
      </c>
      <c r="H77" s="272">
        <f t="shared" si="9"/>
        <v>2.1957319837367903E-8</v>
      </c>
      <c r="I77" s="272">
        <f t="shared" si="11"/>
        <v>0.62918921064403299</v>
      </c>
      <c r="J77" s="272">
        <f t="shared" si="2"/>
        <v>42.73956710496708</v>
      </c>
      <c r="K77" s="271">
        <f t="shared" si="3"/>
        <v>1.0754730599247414E-6</v>
      </c>
      <c r="L77" s="271">
        <f t="shared" si="8"/>
        <v>42.739568180440138</v>
      </c>
      <c r="M77" s="271"/>
      <c r="N77" s="271"/>
      <c r="O77" s="271"/>
      <c r="Q77">
        <v>20</v>
      </c>
      <c r="R77" s="274">
        <v>52</v>
      </c>
      <c r="S77" s="274">
        <v>10</v>
      </c>
      <c r="T77">
        <v>3.5</v>
      </c>
      <c r="U77">
        <v>3</v>
      </c>
      <c r="V77">
        <v>4</v>
      </c>
      <c r="W77">
        <v>820</v>
      </c>
      <c r="X77" s="279" t="e" cm="1">
        <f t="array" aca="1" ref="X77" ca="1">TWSC_PED_DELAY($Q77,$W77,$R77,$S77,$T77,$U77,X$4,$V77)</f>
        <v>#NAME?</v>
      </c>
      <c r="Y77" s="279" cm="1">
        <f t="array" ref="Y77">PEDBIKE_DELAY($Q77,$W77,$R77,$S77,$T77,$U77,Y$4,$V77,TRUE)</f>
        <v>276.82516253317527</v>
      </c>
      <c r="Z77" s="279" cm="1">
        <f t="array" ref="Z77">PEDBIKE_DELAY($Q77,$W77,$R77,$S77,$T77,$U77,Z$4,$V77,TRUE)</f>
        <v>209.85732343998296</v>
      </c>
      <c r="AA77" s="279" cm="1">
        <f t="array" ref="AA77">PEDBIKE_DELAY($Q77,$W77,$R77,$S77,$T77,$U77,AA$4,$V77,TRUE)</f>
        <v>153.49138263641322</v>
      </c>
      <c r="AB77" s="279" cm="1">
        <f t="array" ref="AB77">PEDBIKE_DELAY($Q77,$W77,$R77,$S77,$T77,$U77,AB$4,$V77,TRUE)</f>
        <v>110.23280802275386</v>
      </c>
      <c r="AC77" s="279" cm="1">
        <f t="array" ref="AC77">PEDBIKE_DELAY($Q77,$W77,$R77,$S77,$T77,$U77,AC$4,$V77,TRUE)</f>
        <v>79.285175380520485</v>
      </c>
      <c r="AD77" s="279" cm="1">
        <f t="array" ref="AD77">PEDBIKE_DELAY($Q77,$W77,$R77,$S77,$T77,$U77,AD$4,$V77,TRUE)</f>
        <v>57.953883126224348</v>
      </c>
      <c r="AE77" s="279" cm="1">
        <f t="array" ref="AE77">PEDBIKE_DELAY($Q77,$W77,$R77,$S77,$T77,$U77,AE$4,$V77,TRUE)</f>
        <v>32.99843799934127</v>
      </c>
      <c r="AF77" s="279" cm="1">
        <f t="array" ref="AF77">PEDBIKE_DELAY($Q77,$W77,$R77,$S77,$T77,$U77,AF$4,$V77,TRUE)</f>
        <v>20.075664776187118</v>
      </c>
      <c r="AG77" s="279" cm="1">
        <f t="array" ref="AG77">PEDBIKE_DELAY($Q77,$W77,$R77,$S77,$T77,$U77,AG$4,$V77,TRUE)</f>
        <v>6.6169703026587641</v>
      </c>
      <c r="AH77" s="279" cm="1">
        <f t="array" ref="AH77">PEDBIKE_DELAY($Q77,$W77,$R77,$S77,$T77,$U77,AH$4,$V77,TRUE)</f>
        <v>2.0655345482367564</v>
      </c>
    </row>
    <row r="78" spans="2:34" x14ac:dyDescent="0.25">
      <c r="B78">
        <v>45</v>
      </c>
      <c r="C78" s="272">
        <f t="shared" si="4"/>
        <v>4.7425197379255762E-8</v>
      </c>
      <c r="D78" s="272">
        <f t="shared" si="10"/>
        <v>0.62918914877134746</v>
      </c>
      <c r="E78" s="272">
        <f t="shared" si="0"/>
        <v>13.779419872469049</v>
      </c>
      <c r="F78" s="271">
        <f t="shared" si="1"/>
        <v>2.3228938029834091E-6</v>
      </c>
      <c r="G78" s="271">
        <f t="shared" si="6"/>
        <v>13.779422195362852</v>
      </c>
      <c r="H78" s="272">
        <f t="shared" si="9"/>
        <v>1.5554723908463086E-8</v>
      </c>
      <c r="I78" s="272">
        <f t="shared" si="11"/>
        <v>0.62918922619875695</v>
      </c>
      <c r="J78" s="272">
        <f t="shared" si="2"/>
        <v>42.739568649182125</v>
      </c>
      <c r="K78" s="271">
        <f t="shared" si="3"/>
        <v>7.618728800469513E-7</v>
      </c>
      <c r="L78" s="271">
        <f t="shared" si="8"/>
        <v>42.739569411055008</v>
      </c>
      <c r="M78" s="271"/>
      <c r="N78" s="271"/>
      <c r="O78" s="271"/>
      <c r="Q78">
        <v>20</v>
      </c>
      <c r="R78" s="274">
        <v>52</v>
      </c>
      <c r="S78" s="274">
        <v>10</v>
      </c>
      <c r="T78">
        <v>3.5</v>
      </c>
      <c r="U78">
        <v>3</v>
      </c>
      <c r="V78">
        <v>4</v>
      </c>
      <c r="W78">
        <v>830</v>
      </c>
      <c r="X78" s="279" t="e" cm="1">
        <f t="array" aca="1" ref="X78" ca="1">TWSC_PED_DELAY($Q78,$W78,$R78,$S78,$T78,$U78,X$4,$V78)</f>
        <v>#NAME?</v>
      </c>
      <c r="Y78" s="279" cm="1">
        <f t="array" ref="Y78">PEDBIKE_DELAY($Q78,$W78,$R78,$S78,$T78,$U78,Y$4,$V78,TRUE)</f>
        <v>293.65434414829872</v>
      </c>
      <c r="Z78" s="279" cm="1">
        <f t="array" ref="Z78">PEDBIKE_DELAY($Q78,$W78,$R78,$S78,$T78,$U78,Z$4,$V78,TRUE)</f>
        <v>220.59699284736274</v>
      </c>
      <c r="AA78" s="279" cm="1">
        <f t="array" ref="AA78">PEDBIKE_DELAY($Q78,$W78,$R78,$S78,$T78,$U78,AA$4,$V78,TRUE)</f>
        <v>159.72998713320396</v>
      </c>
      <c r="AB78" s="279" cm="1">
        <f t="array" ref="AB78">PEDBIKE_DELAY($Q78,$W78,$R78,$S78,$T78,$U78,AB$4,$V78,TRUE)</f>
        <v>113.66300594053885</v>
      </c>
      <c r="AC78" s="279" cm="1">
        <f t="array" ref="AC78">PEDBIKE_DELAY($Q78,$W78,$R78,$S78,$T78,$U78,AC$4,$V78,TRUE)</f>
        <v>81.187351716956186</v>
      </c>
      <c r="AD78" s="279" cm="1">
        <f t="array" ref="AD78">PEDBIKE_DELAY($Q78,$W78,$R78,$S78,$T78,$U78,AD$4,$V78,TRUE)</f>
        <v>59.071644553668676</v>
      </c>
      <c r="AE78" s="279" cm="1">
        <f t="array" ref="AE78">PEDBIKE_DELAY($Q78,$W78,$R78,$S78,$T78,$U78,AE$4,$V78,TRUE)</f>
        <v>33.443809805487206</v>
      </c>
      <c r="AF78" s="279" cm="1">
        <f t="array" ref="AF78">PEDBIKE_DELAY($Q78,$W78,$R78,$S78,$T78,$U78,AF$4,$V78,TRUE)</f>
        <v>20.258288733455316</v>
      </c>
      <c r="AG78" s="279" cm="1">
        <f t="array" ref="AG78">PEDBIKE_DELAY($Q78,$W78,$R78,$S78,$T78,$U78,AG$4,$V78,TRUE)</f>
        <v>6.6195309507267091</v>
      </c>
      <c r="AH78" s="279" cm="1">
        <f t="array" ref="AH78">PEDBIKE_DELAY($Q78,$W78,$R78,$S78,$T78,$U78,AH$4,$V78,TRUE)</f>
        <v>2.0489456995725921</v>
      </c>
    </row>
    <row r="79" spans="2:34" x14ac:dyDescent="0.25">
      <c r="B79">
        <v>46</v>
      </c>
      <c r="C79" s="272">
        <f t="shared" si="4"/>
        <v>3.3596352266243841E-8</v>
      </c>
      <c r="D79" s="272">
        <f t="shared" si="10"/>
        <v>0.62918918236769972</v>
      </c>
      <c r="E79" s="272">
        <f t="shared" si="0"/>
        <v>13.779431300458151</v>
      </c>
      <c r="F79" s="271">
        <f t="shared" si="1"/>
        <v>1.6455547423699151E-6</v>
      </c>
      <c r="G79" s="271">
        <f t="shared" si="6"/>
        <v>13.779432946012895</v>
      </c>
      <c r="H79" s="272">
        <f t="shared" si="9"/>
        <v>1.1019078714352199E-8</v>
      </c>
      <c r="I79" s="272">
        <f t="shared" si="11"/>
        <v>0.62918923721783571</v>
      </c>
      <c r="J79" s="272">
        <f t="shared" si="2"/>
        <v>42.7395697431161</v>
      </c>
      <c r="K79" s="271">
        <f t="shared" si="3"/>
        <v>5.3971624828872353E-7</v>
      </c>
      <c r="L79" s="271">
        <f t="shared" si="8"/>
        <v>42.739570282832346</v>
      </c>
      <c r="M79" s="271"/>
      <c r="N79" s="271"/>
      <c r="O79" s="271"/>
      <c r="Q79">
        <v>20</v>
      </c>
      <c r="R79" s="274">
        <v>52</v>
      </c>
      <c r="S79" s="274">
        <v>10</v>
      </c>
      <c r="T79">
        <v>3.5</v>
      </c>
      <c r="U79">
        <v>3</v>
      </c>
      <c r="V79">
        <v>4</v>
      </c>
      <c r="W79">
        <v>840</v>
      </c>
      <c r="X79" s="279" t="e" cm="1">
        <f t="array" aca="1" ref="X79" ca="1">TWSC_PED_DELAY($Q79,$W79,$R79,$S79,$T79,$U79,X$4,$V79)</f>
        <v>#NAME?</v>
      </c>
      <c r="Y79" s="279" cm="1">
        <f t="array" ref="Y79">PEDBIKE_DELAY($Q79,$W79,$R79,$S79,$T79,$U79,Y$4,$V79,TRUE)</f>
        <v>311.81645411043434</v>
      </c>
      <c r="Z79" s="279" cm="1">
        <f t="array" ref="Z79">PEDBIKE_DELAY($Q79,$W79,$R79,$S79,$T79,$U79,Z$4,$V79,TRUE)</f>
        <v>232.01983353785954</v>
      </c>
      <c r="AA79" s="279" cm="1">
        <f t="array" ref="AA79">PEDBIKE_DELAY($Q79,$W79,$R79,$S79,$T79,$U79,AA$4,$V79,TRUE)</f>
        <v>166.25460302023492</v>
      </c>
      <c r="AB79" s="279" cm="1">
        <f t="array" ref="AB79">PEDBIKE_DELAY($Q79,$W79,$R79,$S79,$T79,$U79,AB$4,$V79,TRUE)</f>
        <v>117.20277609908187</v>
      </c>
      <c r="AC79" s="279" cm="1">
        <f t="array" ref="AC79">PEDBIKE_DELAY($Q79,$W79,$R79,$S79,$T79,$U79,AC$4,$V79,TRUE)</f>
        <v>83.141279844006334</v>
      </c>
      <c r="AD79" s="279" cm="1">
        <f t="array" ref="AD79">PEDBIKE_DELAY($Q79,$W79,$R79,$S79,$T79,$U79,AD$4,$V79,TRUE)</f>
        <v>60.221635356469015</v>
      </c>
      <c r="AE79" s="279" cm="1">
        <f t="array" ref="AE79">PEDBIKE_DELAY($Q79,$W79,$R79,$S79,$T79,$U79,AE$4,$V79,TRUE)</f>
        <v>33.901403149052285</v>
      </c>
      <c r="AF79" s="279" cm="1">
        <f t="array" ref="AF79">PEDBIKE_DELAY($Q79,$W79,$R79,$S79,$T79,$U79,AF$4,$V79,TRUE)</f>
        <v>20.44472305649537</v>
      </c>
      <c r="AG79" s="279" cm="1">
        <f t="array" ref="AG79">PEDBIKE_DELAY($Q79,$W79,$R79,$S79,$T79,$U79,AG$4,$V79,TRUE)</f>
        <v>6.622108163671637</v>
      </c>
      <c r="AH79" s="279" cm="1">
        <f t="array" ref="AH79">PEDBIKE_DELAY($Q79,$W79,$R79,$S79,$T79,$U79,AH$4,$V79,TRUE)</f>
        <v>2.0324317105308074</v>
      </c>
    </row>
    <row r="80" spans="2:34" x14ac:dyDescent="0.25">
      <c r="B80">
        <v>47</v>
      </c>
      <c r="C80" s="272">
        <f t="shared" si="4"/>
        <v>2.3799898526158605E-8</v>
      </c>
      <c r="D80" s="272">
        <f t="shared" si="10"/>
        <v>0.62918920616759821</v>
      </c>
      <c r="E80" s="272">
        <f t="shared" si="0"/>
        <v>13.77943957405496</v>
      </c>
      <c r="F80" s="271">
        <f t="shared" si="1"/>
        <v>1.1657228615884799E-6</v>
      </c>
      <c r="G80" s="271">
        <f t="shared" si="6"/>
        <v>13.779440739777822</v>
      </c>
      <c r="H80" s="272">
        <f t="shared" si="9"/>
        <v>7.8059949094680968E-9</v>
      </c>
      <c r="I80" s="272">
        <f t="shared" si="11"/>
        <v>0.62918924502383067</v>
      </c>
      <c r="J80" s="272">
        <f t="shared" si="2"/>
        <v>42.739570518067282</v>
      </c>
      <c r="K80" s="271">
        <f t="shared" si="3"/>
        <v>3.8233888618265641E-7</v>
      </c>
      <c r="L80" s="271">
        <f t="shared" si="8"/>
        <v>42.739570900406171</v>
      </c>
      <c r="M80" s="271"/>
      <c r="N80" s="271"/>
      <c r="O80" s="271"/>
      <c r="Q80">
        <v>20</v>
      </c>
      <c r="R80" s="274">
        <v>52</v>
      </c>
      <c r="S80" s="274">
        <v>10</v>
      </c>
      <c r="T80">
        <v>3.5</v>
      </c>
      <c r="U80">
        <v>3</v>
      </c>
      <c r="V80">
        <v>4</v>
      </c>
      <c r="W80">
        <v>850</v>
      </c>
      <c r="X80" s="279" t="e" cm="1">
        <f t="array" aca="1" ref="X80" ca="1">TWSC_PED_DELAY($Q80,$W80,$R80,$S80,$T80,$U80,X$4,$V80)</f>
        <v>#NAME?</v>
      </c>
      <c r="Y80" s="279" cm="1">
        <f t="array" ref="Y80">PEDBIKE_DELAY($Q80,$W80,$R80,$S80,$T80,$U80,Y$4,$V80,TRUE)</f>
        <v>331.44635055465608</v>
      </c>
      <c r="Z80" s="279" cm="1">
        <f t="array" ref="Z80">PEDBIKE_DELAY($Q80,$W80,$R80,$S80,$T80,$U80,Z$4,$V80,TRUE)</f>
        <v>244.1788330271591</v>
      </c>
      <c r="AA80" s="279" cm="1">
        <f t="array" ref="AA80">PEDBIKE_DELAY($Q80,$W80,$R80,$S80,$T80,$U80,AA$4,$V80,TRUE)</f>
        <v>173.0801366289266</v>
      </c>
      <c r="AB80" s="279" cm="1">
        <f t="array" ref="AB80">PEDBIKE_DELAY($Q80,$W80,$R80,$S80,$T80,$U80,AB$4,$V80,TRUE)</f>
        <v>120.85779932493752</v>
      </c>
      <c r="AC80" s="279" cm="1">
        <f t="array" ref="AC80">PEDBIKE_DELAY($Q80,$W80,$R80,$S80,$T80,$U80,AC$4,$V80,TRUE)</f>
        <v>85.15150904736069</v>
      </c>
      <c r="AD80" s="279" cm="1">
        <f t="array" ref="AD80">PEDBIKE_DELAY($Q80,$W80,$R80,$S80,$T80,$U80,AD$4,$V80,TRUE)</f>
        <v>61.406893578396506</v>
      </c>
      <c r="AE80" s="279" cm="1">
        <f t="array" ref="AE80">PEDBIKE_DELAY($Q80,$W80,$R80,$S80,$T80,$U80,AE$4,$V80,TRUE)</f>
        <v>34.371913327671315</v>
      </c>
      <c r="AF80" s="279" cm="1">
        <f t="array" ref="AF80">PEDBIKE_DELAY($Q80,$W80,$R80,$S80,$T80,$U80,AF$4,$V80,TRUE)</f>
        <v>20.63516895839135</v>
      </c>
      <c r="AG80" s="279" cm="1">
        <f t="array" ref="AG80">PEDBIKE_DELAY($Q80,$W80,$R80,$S80,$T80,$U80,AG$4,$V80,TRUE)</f>
        <v>6.6247233764791007</v>
      </c>
      <c r="AH80" s="279" cm="1">
        <f t="array" ref="AH80">PEDBIKE_DELAY($Q80,$W80,$R80,$S80,$T80,$U80,AH$4,$V80,TRUE)</f>
        <v>2.0159968540346269</v>
      </c>
    </row>
    <row r="81" spans="2:34" x14ac:dyDescent="0.25">
      <c r="B81">
        <v>48</v>
      </c>
      <c r="C81" s="272">
        <f t="shared" si="4"/>
        <v>1.6860019968386004E-8</v>
      </c>
      <c r="D81" s="272">
        <f t="shared" si="10"/>
        <v>0.62918922302761815</v>
      </c>
      <c r="E81" s="272">
        <f t="shared" si="0"/>
        <v>13.77944556117532</v>
      </c>
      <c r="F81" s="271">
        <f t="shared" si="1"/>
        <v>8.2580649274412198E-7</v>
      </c>
      <c r="G81" s="271">
        <f t="shared" si="6"/>
        <v>13.779446386981814</v>
      </c>
      <c r="H81" s="272">
        <f t="shared" si="9"/>
        <v>5.5298231407643816E-9</v>
      </c>
      <c r="I81" s="272">
        <f t="shared" si="11"/>
        <v>0.62918925055365382</v>
      </c>
      <c r="J81" s="272">
        <f t="shared" si="2"/>
        <v>42.739571067048523</v>
      </c>
      <c r="K81" s="271">
        <f t="shared" si="3"/>
        <v>2.7085162730969467E-7</v>
      </c>
      <c r="L81" s="271">
        <f t="shared" si="8"/>
        <v>42.739571337900152</v>
      </c>
      <c r="M81" s="271"/>
      <c r="N81" s="271"/>
      <c r="O81" s="271"/>
      <c r="Q81">
        <v>20</v>
      </c>
      <c r="R81" s="274">
        <v>52</v>
      </c>
      <c r="S81" s="274">
        <v>10</v>
      </c>
      <c r="T81">
        <v>3.5</v>
      </c>
      <c r="U81">
        <v>3</v>
      </c>
      <c r="V81">
        <v>4</v>
      </c>
      <c r="W81">
        <v>860</v>
      </c>
      <c r="X81" s="279" t="e" cm="1">
        <f t="array" aca="1" ref="X81" ca="1">TWSC_PED_DELAY($Q81,$W81,$R81,$S81,$T81,$U81,X$4,$V81)</f>
        <v>#NAME?</v>
      </c>
      <c r="Y81" s="279" cm="1">
        <f t="array" ref="Y81">PEDBIKE_DELAY($Q81,$W81,$R81,$S81,$T81,$U81,Y$4,$V81,TRUE)</f>
        <v>352.6976899272272</v>
      </c>
      <c r="Z81" s="279" cm="1">
        <f t="array" ref="Z81">PEDBIKE_DELAY($Q81,$W81,$R81,$S81,$T81,$U81,Z$4,$V81,TRUE)</f>
        <v>257.13439617028797</v>
      </c>
      <c r="AA81" s="279" cm="1">
        <f t="array" ref="AA81">PEDBIKE_DELAY($Q81,$W81,$R81,$S81,$T81,$U81,AA$4,$V81,TRUE)</f>
        <v>180.22434311379916</v>
      </c>
      <c r="AB81" s="279" cm="1">
        <f t="array" ref="AB81">PEDBIKE_DELAY($Q81,$W81,$R81,$S81,$T81,$U81,AB$4,$V81,TRUE)</f>
        <v>124.6353912896232</v>
      </c>
      <c r="AC81" s="279" cm="1">
        <f t="array" ref="AC81">PEDBIKE_DELAY($Q81,$W81,$R81,$S81,$T81,$U81,AC$4,$V81,TRUE)</f>
        <v>87.22339306393495</v>
      </c>
      <c r="AD81" s="279" cm="1">
        <f t="array" ref="AD81">PEDBIKE_DELAY($Q81,$W81,$R81,$S81,$T81,$U81,AD$4,$V81,TRUE)</f>
        <v>62.630647822412939</v>
      </c>
      <c r="AE81" s="279" cm="1">
        <f t="array" ref="AE81">PEDBIKE_DELAY($Q81,$W81,$R81,$S81,$T81,$U81,AE$4,$V81,TRUE)</f>
        <v>34.8560447993761</v>
      </c>
      <c r="AF81" s="279" cm="1">
        <f t="array" ref="AF81">PEDBIKE_DELAY($Q81,$W81,$R81,$S81,$T81,$U81,AF$4,$V81,TRUE)</f>
        <v>20.829830050303755</v>
      </c>
      <c r="AG81" s="279" cm="1">
        <f t="array" ref="AG81">PEDBIKE_DELAY($Q81,$W81,$R81,$S81,$T81,$U81,AG$4,$V81,TRUE)</f>
        <v>6.6273967934063354</v>
      </c>
      <c r="AH81" s="279" cm="1">
        <f t="array" ref="AH81">PEDBIKE_DELAY($Q81,$W81,$R81,$S81,$T81,$U81,AH$4,$V81,TRUE)</f>
        <v>1.9996450180422165</v>
      </c>
    </row>
    <row r="82" spans="2:34" x14ac:dyDescent="0.25">
      <c r="B82">
        <v>49</v>
      </c>
      <c r="C82" s="272">
        <f t="shared" si="4"/>
        <v>1.194375989050801E-8</v>
      </c>
      <c r="D82" s="272">
        <f t="shared" si="10"/>
        <v>0.62918923497137802</v>
      </c>
      <c r="E82" s="272">
        <f t="shared" si="0"/>
        <v>13.779449891785548</v>
      </c>
      <c r="F82" s="271">
        <f t="shared" si="1"/>
        <v>5.8500728249163493E-7</v>
      </c>
      <c r="G82" s="271">
        <f t="shared" si="6"/>
        <v>13.77945047679283</v>
      </c>
      <c r="H82" s="272">
        <f t="shared" si="9"/>
        <v>3.9173666360876177E-9</v>
      </c>
      <c r="I82" s="272">
        <f t="shared" si="11"/>
        <v>0.62918925447102048</v>
      </c>
      <c r="J82" s="272">
        <f t="shared" si="2"/>
        <v>42.739571455950916</v>
      </c>
      <c r="K82" s="271">
        <f t="shared" si="3"/>
        <v>1.9187324808522294E-7</v>
      </c>
      <c r="L82" s="271">
        <f t="shared" si="8"/>
        <v>42.739571647824164</v>
      </c>
      <c r="M82" s="271"/>
      <c r="N82" s="271"/>
      <c r="O82" s="271"/>
      <c r="Q82">
        <v>20</v>
      </c>
      <c r="R82" s="274">
        <v>52</v>
      </c>
      <c r="S82" s="274">
        <v>10</v>
      </c>
      <c r="T82">
        <v>3.5</v>
      </c>
      <c r="U82">
        <v>3</v>
      </c>
      <c r="V82">
        <v>4</v>
      </c>
      <c r="W82">
        <v>870</v>
      </c>
      <c r="X82" s="279" t="e" cm="1">
        <f t="array" aca="1" ref="X82" ca="1">TWSC_PED_DELAY($Q82,$W82,$R82,$S82,$T82,$U82,X$4,$V82)</f>
        <v>#NAME?</v>
      </c>
      <c r="Y82" s="279" cm="1">
        <f t="array" ref="Y82">PEDBIKE_DELAY($Q82,$W82,$R82,$S82,$T82,$U82,Y$4,$V82,TRUE)</f>
        <v>375.74385055567546</v>
      </c>
      <c r="Z82" s="279" cm="1">
        <f t="array" ref="Z82">PEDBIKE_DELAY($Q82,$W82,$R82,$S82,$T82,$U82,Z$4,$V82,TRUE)</f>
        <v>270.95291995359707</v>
      </c>
      <c r="AA82" s="279" cm="1">
        <f t="array" ref="AA82">PEDBIKE_DELAY($Q82,$W82,$R82,$S82,$T82,$U82,AA$4,$V82,TRUE)</f>
        <v>187.7063843052849</v>
      </c>
      <c r="AB82" s="279" cm="1">
        <f t="array" ref="AB82">PEDBIKE_DELAY($Q82,$W82,$R82,$S82,$T82,$U82,AB$4,$V82,TRUE)</f>
        <v>128.54373574533358</v>
      </c>
      <c r="AC82" s="279" cm="1">
        <f t="array" ref="AC82">PEDBIKE_DELAY($Q82,$W82,$R82,$S82,$T82,$U82,AC$4,$V82,TRUE)</f>
        <v>89.362767170322755</v>
      </c>
      <c r="AD82" s="279" cm="1">
        <f t="array" ref="AD82">PEDBIKE_DELAY($Q82,$W82,$R82,$S82,$T82,$U82,AD$4,$V82,TRUE)</f>
        <v>63.89621904937519</v>
      </c>
      <c r="AE82" s="279" cm="1">
        <f t="array" ref="AE82">PEDBIKE_DELAY($Q82,$W82,$R82,$S82,$T82,$U82,AE$4,$V82,TRUE)</f>
        <v>35.354514065129109</v>
      </c>
      <c r="AF82" s="279" cm="1">
        <f t="array" ref="AF82">PEDBIKE_DELAY($Q82,$W82,$R82,$S82,$T82,$U82,AF$4,$V82,TRUE)</f>
        <v>21.028912061615991</v>
      </c>
      <c r="AG82" s="279" cm="1">
        <f t="array" ref="AG82">PEDBIKE_DELAY($Q82,$W82,$R82,$S82,$T82,$U82,AG$4,$V82,TRUE)</f>
        <v>6.6301473643378968</v>
      </c>
      <c r="AH82" s="279" cm="1">
        <f t="array" ref="AH82">PEDBIKE_DELAY($Q82,$W82,$R82,$S82,$T82,$U82,AH$4,$V82,TRUE)</f>
        <v>1.9833797384472096</v>
      </c>
    </row>
    <row r="83" spans="2:34" x14ac:dyDescent="0.25">
      <c r="B83">
        <v>50</v>
      </c>
      <c r="C83" s="272">
        <f t="shared" si="4"/>
        <v>8.4610457506340697E-9</v>
      </c>
      <c r="D83" s="272">
        <f t="shared" si="10"/>
        <v>0.62918924343242377</v>
      </c>
      <c r="E83" s="272">
        <f t="shared" si="0"/>
        <v>13.779453022875446</v>
      </c>
      <c r="F83" s="271">
        <f t="shared" si="1"/>
        <v>4.144233828330755E-7</v>
      </c>
      <c r="G83" s="271">
        <f t="shared" si="6"/>
        <v>13.779453437298828</v>
      </c>
      <c r="H83" s="272">
        <f t="shared" si="9"/>
        <v>2.7750908047799319E-9</v>
      </c>
      <c r="I83" s="272">
        <f t="shared" si="11"/>
        <v>0.6291892572461113</v>
      </c>
      <c r="J83" s="272">
        <f t="shared" si="2"/>
        <v>42.739571731452244</v>
      </c>
      <c r="K83" s="271">
        <f t="shared" si="3"/>
        <v>1.359243939535837E-7</v>
      </c>
      <c r="L83" s="271">
        <f t="shared" si="8"/>
        <v>42.73957186737664</v>
      </c>
      <c r="M83" s="271"/>
      <c r="N83" s="271"/>
      <c r="O83" s="271"/>
      <c r="Q83">
        <v>20</v>
      </c>
      <c r="R83" s="274">
        <v>52</v>
      </c>
      <c r="S83" s="274">
        <v>10</v>
      </c>
      <c r="T83">
        <v>3.5</v>
      </c>
      <c r="U83">
        <v>3</v>
      </c>
      <c r="V83">
        <v>4</v>
      </c>
      <c r="W83">
        <v>880</v>
      </c>
      <c r="X83" s="279" t="e" cm="1">
        <f t="array" aca="1" ref="X83" ca="1">TWSC_PED_DELAY($Q83,$W83,$R83,$S83,$T83,$U83,X$4,$V83)</f>
        <v>#NAME?</v>
      </c>
      <c r="Y83" s="279" cm="1">
        <f t="array" ref="Y83">PEDBIKE_DELAY($Q83,$W83,$R83,$S83,$T83,$U83,Y$4,$V83,TRUE)</f>
        <v>400.77426823695032</v>
      </c>
      <c r="Z83" s="279" cm="1">
        <f t="array" ref="Z83">PEDBIKE_DELAY($Q83,$W83,$R83,$S83,$T83,$U83,Z$4,$V83,TRUE)</f>
        <v>285.70038446700937</v>
      </c>
      <c r="AA83" s="279" cm="1">
        <f t="array" ref="AA83">PEDBIKE_DELAY($Q83,$W83,$R83,$S83,$T83,$U83,AA$4,$V83,TRUE)</f>
        <v>195.54271161227521</v>
      </c>
      <c r="AB83" s="279" cm="1">
        <f t="array" ref="AB83">PEDBIKE_DELAY($Q83,$W83,$R83,$S83,$T83,$U83,AB$4,$V83,TRUE)</f>
        <v>132.59037752495311</v>
      </c>
      <c r="AC83" s="279" cm="1">
        <f t="array" ref="AC83">PEDBIKE_DELAY($Q83,$W83,$R83,$S83,$T83,$U83,AC$4,$V83,TRUE)</f>
        <v>91.575584651853688</v>
      </c>
      <c r="AD83" s="279" cm="1">
        <f t="array" ref="AD83">PEDBIKE_DELAY($Q83,$W83,$R83,$S83,$T83,$U83,AD$4,$V83,TRUE)</f>
        <v>65.206965032613311</v>
      </c>
      <c r="AE83" s="279" cm="1">
        <f t="array" ref="AE83">PEDBIKE_DELAY($Q83,$W83,$R83,$S83,$T83,$U83,AE$4,$V83,TRUE)</f>
        <v>35.868053233983161</v>
      </c>
      <c r="AF83" s="279" cm="1">
        <f t="array" ref="AF83">PEDBIKE_DELAY($Q83,$W83,$R83,$S83,$T83,$U83,AF$4,$V83,TRUE)</f>
        <v>21.232622457892443</v>
      </c>
      <c r="AG83" s="279" cm="1">
        <f t="array" ref="AG83">PEDBIKE_DELAY($Q83,$W83,$R83,$S83,$T83,$U83,AG$4,$V83,TRUE)</f>
        <v>6.6329927554185284</v>
      </c>
      <c r="AH83" s="279" cm="1">
        <f t="array" ref="AH83">PEDBIKE_DELAY($Q83,$W83,$R83,$S83,$T83,$U83,AH$4,$V83,TRUE)</f>
        <v>1.9672042310953415</v>
      </c>
    </row>
    <row r="84" spans="2:34" x14ac:dyDescent="0.25">
      <c r="B84">
        <v>51</v>
      </c>
      <c r="C84" s="272">
        <f t="shared" si="4"/>
        <v>5.9938659008630869E-9</v>
      </c>
      <c r="D84" s="272">
        <f t="shared" si="10"/>
        <v>0.62918924942628962</v>
      </c>
      <c r="E84" s="272">
        <f t="shared" si="0"/>
        <v>13.779455285771968</v>
      </c>
      <c r="F84" s="271">
        <f t="shared" si="1"/>
        <v>2.9358051774795845E-7</v>
      </c>
      <c r="G84" s="271">
        <f t="shared" si="6"/>
        <v>13.779455579352486</v>
      </c>
      <c r="H84" s="272">
        <f t="shared" si="9"/>
        <v>1.9658943577081461E-9</v>
      </c>
      <c r="I84" s="272">
        <f t="shared" si="11"/>
        <v>0.62918925921200564</v>
      </c>
      <c r="J84" s="272">
        <f t="shared" si="2"/>
        <v>42.739571926619405</v>
      </c>
      <c r="K84" s="271">
        <f t="shared" si="3"/>
        <v>9.6289822532954772E-8</v>
      </c>
      <c r="L84" s="271">
        <f t="shared" si="8"/>
        <v>42.739572022909229</v>
      </c>
      <c r="M84" s="271"/>
      <c r="N84" s="271"/>
      <c r="O84" s="271"/>
      <c r="Q84">
        <v>20</v>
      </c>
      <c r="R84" s="274">
        <v>52</v>
      </c>
      <c r="S84" s="274">
        <v>10</v>
      </c>
      <c r="T84">
        <v>3.5</v>
      </c>
      <c r="U84">
        <v>3</v>
      </c>
      <c r="V84">
        <v>4</v>
      </c>
      <c r="W84">
        <v>890</v>
      </c>
      <c r="X84" s="279" t="e" cm="1">
        <f t="array" aca="1" ref="X84" ca="1">TWSC_PED_DELAY($Q84,$W84,$R84,$S84,$T84,$U84,X$4,$V84)</f>
        <v>#NAME?</v>
      </c>
      <c r="Y84" s="279" cm="1">
        <f t="array" ref="Y84">PEDBIKE_DELAY($Q84,$W84,$R84,$S84,$T84,$U84,Y$4,$V84,TRUE)</f>
        <v>428.00967980394449</v>
      </c>
      <c r="Z84" s="279" cm="1">
        <f t="array" ref="Z84">PEDBIKE_DELAY($Q84,$W84,$R84,$S84,$T84,$U84,Z$4,$V84,TRUE)</f>
        <v>301.45626578103156</v>
      </c>
      <c r="AA84" s="279" cm="1">
        <f t="array" ref="AA84">PEDBIKE_DELAY($Q84,$W84,$R84,$S84,$T84,$U84,AA$4,$V84,TRUE)</f>
        <v>203.75576839410667</v>
      </c>
      <c r="AB84" s="279" cm="1">
        <f t="array" ref="AB84">PEDBIKE_DELAY($Q84,$W84,$R84,$S84,$T84,$U84,AB$4,$V84,TRUE)</f>
        <v>136.78589692804618</v>
      </c>
      <c r="AC84" s="279" cm="1">
        <f t="array" ref="AC84">PEDBIKE_DELAY($Q84,$W84,$R84,$S84,$T84,$U84,AC$4,$V84,TRUE)</f>
        <v>93.868854577562104</v>
      </c>
      <c r="AD84" s="279" cm="1">
        <f t="array" ref="AD84">PEDBIKE_DELAY($Q84,$W84,$R84,$S84,$T84,$U84,AD$4,$V84,TRUE)</f>
        <v>66.566418927738169</v>
      </c>
      <c r="AE84" s="279" cm="1">
        <f t="array" ref="AE84">PEDBIKE_DELAY($Q84,$W84,$R84,$S84,$T84,$U84,AE$4,$V84,TRUE)</f>
        <v>36.397413159704485</v>
      </c>
      <c r="AF84" s="279" cm="1">
        <f t="array" ref="AF84">PEDBIKE_DELAY($Q84,$W84,$R84,$S84,$T84,$U84,AF$4,$V84,TRUE)</f>
        <v>21.441169955556713</v>
      </c>
      <c r="AG84" s="279" cm="1">
        <f t="array" ref="AG84">PEDBIKE_DELAY($Q84,$W84,$R84,$S84,$T84,$U84,AG$4,$V84,TRUE)</f>
        <v>6.6359493137892009</v>
      </c>
      <c r="AH84" s="279" cm="1">
        <f t="array" ref="AH84">PEDBIKE_DELAY($Q84,$W84,$R84,$S84,$T84,$U84,AH$4,$V84,TRUE)</f>
        <v>1.9511214229540226</v>
      </c>
    </row>
    <row r="85" spans="2:34" x14ac:dyDescent="0.25">
      <c r="B85">
        <v>52</v>
      </c>
      <c r="C85" s="272">
        <f t="shared" si="4"/>
        <v>4.2460978974152056E-9</v>
      </c>
      <c r="D85" s="272">
        <f t="shared" si="10"/>
        <v>0.62918925367238754</v>
      </c>
      <c r="E85" s="272">
        <f t="shared" si="0"/>
        <v>13.779456920567819</v>
      </c>
      <c r="F85" s="271">
        <f t="shared" si="1"/>
        <v>2.0797455811983131E-7</v>
      </c>
      <c r="G85" s="271">
        <f t="shared" si="6"/>
        <v>13.779457128542377</v>
      </c>
      <c r="H85" s="272">
        <f t="shared" si="9"/>
        <v>1.3926537637305657E-9</v>
      </c>
      <c r="I85" s="272">
        <f t="shared" si="11"/>
        <v>0.62918926060465941</v>
      </c>
      <c r="J85" s="272">
        <f t="shared" si="2"/>
        <v>42.739572064877244</v>
      </c>
      <c r="K85" s="271">
        <f t="shared" si="3"/>
        <v>6.821240540127347E-8</v>
      </c>
      <c r="L85" s="271">
        <f t="shared" si="8"/>
        <v>42.739572133089652</v>
      </c>
      <c r="M85" s="271"/>
      <c r="N85" s="271"/>
      <c r="O85" s="271"/>
      <c r="Q85">
        <v>20</v>
      </c>
      <c r="R85" s="274">
        <v>52</v>
      </c>
      <c r="S85" s="274">
        <v>10</v>
      </c>
      <c r="T85">
        <v>3.5</v>
      </c>
      <c r="U85">
        <v>3</v>
      </c>
      <c r="V85">
        <v>4</v>
      </c>
      <c r="W85">
        <v>900</v>
      </c>
      <c r="X85" s="279" t="e" cm="1">
        <f t="array" aca="1" ref="X85" ca="1">TWSC_PED_DELAY($Q85,$W85,$R85,$S85,$T85,$U85,X$4,$V85)</f>
        <v>#NAME?</v>
      </c>
      <c r="Y85" s="279" cm="1">
        <f t="array" ref="Y85">PEDBIKE_DELAY($Q85,$W85,$R85,$S85,$T85,$U85,Y$4,$V85,TRUE)</f>
        <v>457.69512066796676</v>
      </c>
      <c r="Z85" s="279" cm="1">
        <f t="array" ref="Z85">PEDBIKE_DELAY($Q85,$W85,$R85,$S85,$T85,$U85,Z$4,$V85,TRUE)</f>
        <v>318.30243252908599</v>
      </c>
      <c r="AA85" s="279" cm="1">
        <f t="array" ref="AA85">PEDBIKE_DELAY($Q85,$W85,$R85,$S85,$T85,$U85,AA$4,$V85,TRUE)</f>
        <v>212.36679547379833</v>
      </c>
      <c r="AB85" s="279" cm="1">
        <f t="array" ref="AB85">PEDBIKE_DELAY($Q85,$W85,$R85,$S85,$T85,$U85,AB$4,$V85,TRUE)</f>
        <v>141.14104825569643</v>
      </c>
      <c r="AC85" s="279" cm="1">
        <f t="array" ref="AC85">PEDBIKE_DELAY($Q85,$W85,$R85,$S85,$T85,$U85,AC$4,$V85,TRUE)</f>
        <v>96.249853506508956</v>
      </c>
      <c r="AD85" s="279" cm="1">
        <f t="array" ref="AD85">PEDBIKE_DELAY($Q85,$W85,$R85,$S85,$T85,$U85,AD$4,$V85,TRUE)</f>
        <v>67.978157912945804</v>
      </c>
      <c r="AE85" s="279" cm="1">
        <f t="array" ref="AE85">PEDBIKE_DELAY($Q85,$W85,$R85,$S85,$T85,$U85,AE$4,$V85,TRUE)</f>
        <v>36.943364696249262</v>
      </c>
      <c r="AF85" s="279" cm="1">
        <f t="array" ref="AF85">PEDBIKE_DELAY($Q85,$W85,$R85,$S85,$T85,$U85,AF$4,$V85,TRUE)</f>
        <v>21.654763928553159</v>
      </c>
      <c r="AG85" s="279" cm="1">
        <f t="array" ref="AG85">PEDBIKE_DELAY($Q85,$W85,$R85,$S85,$T85,$U85,AG$4,$V85,TRUE)</f>
        <v>6.6390320262453235</v>
      </c>
      <c r="AH85" s="279" cm="1">
        <f t="array" ref="AH85">PEDBIKE_DELAY($Q85,$W85,$R85,$S85,$T85,$U85,AH$4,$V85,TRUE)</f>
        <v>1.9351339824570515</v>
      </c>
    </row>
    <row r="86" spans="2:34" x14ac:dyDescent="0.25">
      <c r="B86">
        <v>53</v>
      </c>
      <c r="C86" s="272">
        <f t="shared" si="4"/>
        <v>3.0079664029566314E-9</v>
      </c>
      <c r="D86" s="272">
        <f t="shared" si="10"/>
        <v>0.62918925668035397</v>
      </c>
      <c r="E86" s="272">
        <f t="shared" si="0"/>
        <v>13.779458101156402</v>
      </c>
      <c r="F86" s="271">
        <f t="shared" si="1"/>
        <v>1.4733067804759794E-7</v>
      </c>
      <c r="G86" s="271">
        <f t="shared" si="6"/>
        <v>13.77945824848708</v>
      </c>
      <c r="H86" s="272">
        <f t="shared" si="9"/>
        <v>9.8656597983329552E-10</v>
      </c>
      <c r="I86" s="272">
        <f t="shared" si="11"/>
        <v>0.62918926159122535</v>
      </c>
      <c r="J86" s="272">
        <f t="shared" si="2"/>
        <v>42.739572162820103</v>
      </c>
      <c r="K86" s="271">
        <f t="shared" si="3"/>
        <v>4.832216130626021E-8</v>
      </c>
      <c r="L86" s="271">
        <f t="shared" si="8"/>
        <v>42.739572211142267</v>
      </c>
      <c r="M86" s="271"/>
      <c r="N86" s="271"/>
      <c r="O86" s="271"/>
      <c r="Q86">
        <v>20</v>
      </c>
      <c r="R86" s="274">
        <v>52</v>
      </c>
      <c r="S86" s="274">
        <v>10</v>
      </c>
      <c r="T86">
        <v>3.5</v>
      </c>
      <c r="U86">
        <v>3</v>
      </c>
      <c r="V86">
        <v>4</v>
      </c>
      <c r="W86">
        <v>910</v>
      </c>
      <c r="X86" s="279" t="e" cm="1">
        <f t="array" aca="1" ref="X86" ca="1">TWSC_PED_DELAY($Q86,$W86,$R86,$S86,$T86,$U86,X$4,$V86)</f>
        <v>#NAME?</v>
      </c>
      <c r="Y86" s="279" cm="1">
        <f t="array" ref="Y86">PEDBIKE_DELAY($Q86,$W86,$R86,$S86,$T86,$U86,Y$4,$V86,TRUE)</f>
        <v>490.10943189108445</v>
      </c>
      <c r="Z86" s="279" cm="1">
        <f t="array" ref="Z86">PEDBIKE_DELAY($Q86,$W86,$R86,$S86,$T86,$U86,Z$4,$V86,TRUE)</f>
        <v>336.32955443356161</v>
      </c>
      <c r="AA86" s="279" cm="1">
        <f t="array" ref="AA86">PEDBIKE_DELAY($Q86,$W86,$R86,$S86,$T86,$U86,AA$4,$V86,TRUE)</f>
        <v>221.39969781688208</v>
      </c>
      <c r="AB86" s="279" cm="1">
        <f t="array" ref="AB86">PEDBIKE_DELAY($Q86,$W86,$R86,$S86,$T86,$U86,AB$4,$V86,TRUE)</f>
        <v>145.66837915669709</v>
      </c>
      <c r="AC86" s="279" cm="1">
        <f t="array" ref="AC86">PEDBIKE_DELAY($Q86,$W86,$R86,$S86,$T86,$U86,AC$4,$V86,TRUE)</f>
        <v>98.726483791921481</v>
      </c>
      <c r="AD86" s="279" cm="1">
        <f t="array" ref="AD86">PEDBIKE_DELAY($Q86,$W86,$R86,$S86,$T86,$U86,AD$4,$V86,TRUE)</f>
        <v>69.445856093799335</v>
      </c>
      <c r="AE86" s="279" cm="1">
        <f t="array" ref="AE86">PEDBIKE_DELAY($Q86,$W86,$R86,$S86,$T86,$U86,AE$4,$V86,TRUE)</f>
        <v>37.506699836018598</v>
      </c>
      <c r="AF86" s="279" cm="1">
        <f t="array" ref="AF86">PEDBIKE_DELAY($Q86,$W86,$R86,$S86,$T86,$U86,AF$4,$V86,TRUE)</f>
        <v>21.873613698252697</v>
      </c>
      <c r="AG86" s="279" cm="1">
        <f t="array" ref="AG86">PEDBIKE_DELAY($Q86,$W86,$R86,$S86,$T86,$U86,AG$4,$V86,TRUE)</f>
        <v>6.6422544716310776</v>
      </c>
      <c r="AH86" s="279" cm="1">
        <f t="array" ref="AH86">PEDBIKE_DELAY($Q86,$W86,$R86,$S86,$T86,$U86,AH$4,$V86,TRUE)</f>
        <v>1.9192443490310536</v>
      </c>
    </row>
    <row r="87" spans="2:34" x14ac:dyDescent="0.25">
      <c r="B87">
        <v>54</v>
      </c>
      <c r="C87" s="272">
        <f t="shared" si="4"/>
        <v>2.130865110128761E-9</v>
      </c>
      <c r="D87" s="272">
        <f t="shared" si="10"/>
        <v>0.62918925881121912</v>
      </c>
      <c r="E87" s="272">
        <f t="shared" si="0"/>
        <v>13.779458953424113</v>
      </c>
      <c r="F87" s="271">
        <f t="shared" si="1"/>
        <v>1.0437011528524275E-7</v>
      </c>
      <c r="G87" s="271">
        <f t="shared" si="6"/>
        <v>13.779459057794229</v>
      </c>
      <c r="H87" s="272">
        <f t="shared" si="9"/>
        <v>6.9889047507307438E-10</v>
      </c>
      <c r="I87" s="272">
        <f t="shared" si="11"/>
        <v>0.62918926229011585</v>
      </c>
      <c r="J87" s="272">
        <f t="shared" si="2"/>
        <v>42.739572232203535</v>
      </c>
      <c r="K87" s="271">
        <f t="shared" si="3"/>
        <v>3.4231767449390869E-8</v>
      </c>
      <c r="L87" s="271">
        <f t="shared" si="8"/>
        <v>42.739572266435303</v>
      </c>
      <c r="M87" s="271"/>
      <c r="N87" s="271"/>
      <c r="O87" s="271"/>
      <c r="Q87">
        <v>20</v>
      </c>
      <c r="R87" s="274">
        <v>52</v>
      </c>
      <c r="S87" s="274">
        <v>10</v>
      </c>
      <c r="T87">
        <v>3.5</v>
      </c>
      <c r="U87">
        <v>3</v>
      </c>
      <c r="V87">
        <v>4</v>
      </c>
      <c r="W87">
        <v>920</v>
      </c>
      <c r="X87" s="279" t="e" cm="1">
        <f t="array" aca="1" ref="X87" ca="1">TWSC_PED_DELAY($Q87,$W87,$R87,$S87,$T87,$U87,X$4,$V87)</f>
        <v>#NAME?</v>
      </c>
      <c r="Y87" s="279" cm="1">
        <f t="array" ref="Y87">PEDBIKE_DELAY($Q87,$W87,$R87,$S87,$T87,$U87,Y$4,$V87,TRUE)</f>
        <v>525.56869202656799</v>
      </c>
      <c r="Z87" s="279" cm="1">
        <f t="array" ref="Z87">PEDBIKE_DELAY($Q87,$W87,$R87,$S87,$T87,$U87,Z$4,$V87,TRUE)</f>
        <v>355.63620152039903</v>
      </c>
      <c r="AA87" s="279" cm="1">
        <f t="array" ref="AA87">PEDBIKE_DELAY($Q87,$W87,$R87,$S87,$T87,$U87,AA$4,$V87,TRUE)</f>
        <v>230.88037711331765</v>
      </c>
      <c r="AB87" s="279" cm="1">
        <f t="array" ref="AB87">PEDBIKE_DELAY($Q87,$W87,$R87,$S87,$T87,$U87,AB$4,$V87,TRUE)</f>
        <v>150.38202226939083</v>
      </c>
      <c r="AC87" s="279" cm="1">
        <f t="array" ref="AC87">PEDBIKE_DELAY($Q87,$W87,$R87,$S87,$T87,$U87,AC$4,$V87,TRUE)</f>
        <v>101.30716312550591</v>
      </c>
      <c r="AD87" s="279" cm="1">
        <f t="array" ref="AD87">PEDBIKE_DELAY($Q87,$W87,$R87,$S87,$T87,$U87,AD$4,$V87,TRUE)</f>
        <v>70.97327268525919</v>
      </c>
      <c r="AE87" s="279" cm="1">
        <f t="array" ref="AE87">PEDBIKE_DELAY($Q87,$W87,$R87,$S87,$T87,$U87,AE$4,$V87,TRUE)</f>
        <v>38.08823180710678</v>
      </c>
      <c r="AF87" s="279" cm="1">
        <f t="array" ref="AF87">PEDBIKE_DELAY($Q87,$W87,$R87,$S87,$T87,$U87,AF$4,$V87,TRUE)</f>
        <v>22.097927694913714</v>
      </c>
      <c r="AG87" s="279" cm="1">
        <f t="array" ref="AG87">PEDBIKE_DELAY($Q87,$W87,$R87,$S87,$T87,$U87,AG$4,$V87,TRUE)</f>
        <v>6.6456287667824316</v>
      </c>
      <c r="AH87" s="279" cm="1">
        <f t="array" ref="AH87">PEDBIKE_DELAY($Q87,$W87,$R87,$S87,$T87,$U87,AH$4,$V87,TRUE)</f>
        <v>1.9034547617933604</v>
      </c>
    </row>
    <row r="88" spans="2:34" x14ac:dyDescent="0.25">
      <c r="B88">
        <v>55</v>
      </c>
      <c r="C88" s="272">
        <f t="shared" si="4"/>
        <v>1.5095202177077486E-9</v>
      </c>
      <c r="D88" s="272">
        <f t="shared" si="10"/>
        <v>0.6291892603207393</v>
      </c>
      <c r="E88" s="272">
        <f t="shared" si="0"/>
        <v>13.779459568461803</v>
      </c>
      <c r="F88" s="271">
        <f t="shared" si="1"/>
        <v>7.3936544108126187E-8</v>
      </c>
      <c r="G88" s="271">
        <f t="shared" si="6"/>
        <v>13.779459642398347</v>
      </c>
      <c r="H88" s="272">
        <f t="shared" si="9"/>
        <v>4.9509905121309975E-10</v>
      </c>
      <c r="I88" s="272">
        <f t="shared" si="11"/>
        <v>0.62918926278521492</v>
      </c>
      <c r="J88" s="272">
        <f t="shared" si="2"/>
        <v>42.739572281355265</v>
      </c>
      <c r="K88" s="271">
        <f t="shared" si="3"/>
        <v>2.4250030790535782E-8</v>
      </c>
      <c r="L88" s="271">
        <f t="shared" si="8"/>
        <v>42.739572305605293</v>
      </c>
      <c r="M88" s="271"/>
      <c r="N88" s="271"/>
      <c r="O88" s="271"/>
      <c r="Q88">
        <v>20</v>
      </c>
      <c r="R88" s="274">
        <v>52</v>
      </c>
      <c r="S88" s="274">
        <v>10</v>
      </c>
      <c r="T88">
        <v>3.5</v>
      </c>
      <c r="U88">
        <v>3</v>
      </c>
      <c r="V88">
        <v>4</v>
      </c>
      <c r="W88">
        <v>930</v>
      </c>
      <c r="X88" s="279" t="e" cm="1">
        <f t="array" aca="1" ref="X88" ca="1">TWSC_PED_DELAY($Q88,$W88,$R88,$S88,$T88,$U88,X$4,$V88)</f>
        <v>#NAME?</v>
      </c>
      <c r="Y88" s="279" cm="1">
        <f t="array" ref="Y88">PEDBIKE_DELAY($Q88,$W88,$R88,$S88,$T88,$U88,Y$4,$V88,TRUE)</f>
        <v>564.43141032415281</v>
      </c>
      <c r="Z88" s="279" cm="1">
        <f t="array" ref="Z88">PEDBIKE_DELAY($Q88,$W88,$R88,$S88,$T88,$U88,Z$4,$V88,TRUE)</f>
        <v>376.32914067935394</v>
      </c>
      <c r="AA88" s="279" cm="1">
        <f t="array" ref="AA88">PEDBIKE_DELAY($Q88,$W88,$R88,$S88,$T88,$U88,AA$4,$V88,TRUE)</f>
        <v>240.83692156646052</v>
      </c>
      <c r="AB88" s="279" cm="1">
        <f t="array" ref="AB88">PEDBIKE_DELAY($Q88,$W88,$R88,$S88,$T88,$U88,AB$4,$V88,TRUE)</f>
        <v>155.2978312158215</v>
      </c>
      <c r="AC88" s="279" cm="1">
        <f t="array" ref="AC88">PEDBIKE_DELAY($Q88,$W88,$R88,$S88,$T88,$U88,AC$4,$V88,TRUE)</f>
        <v>104.00080076094893</v>
      </c>
      <c r="AD88" s="279" cm="1">
        <f t="array" ref="AD88">PEDBIKE_DELAY($Q88,$W88,$R88,$S88,$T88,$U88,AD$4,$V88,TRUE)</f>
        <v>72.56425914316327</v>
      </c>
      <c r="AE88" s="279" cm="1">
        <f t="array" ref="AE88">PEDBIKE_DELAY($Q88,$W88,$R88,$S88,$T88,$U88,AE$4,$V88,TRUE)</f>
        <v>38.688794460648211</v>
      </c>
      <c r="AF88" s="279" cm="1">
        <f t="array" ref="AF88">PEDBIKE_DELAY($Q88,$W88,$R88,$S88,$T88,$U88,AF$4,$V88,TRUE)</f>
        <v>22.327912477390054</v>
      </c>
      <c r="AG88" s="279" cm="1">
        <f t="array" ref="AG88">PEDBIKE_DELAY($Q88,$W88,$R88,$S88,$T88,$U88,AG$4,$V88,TRUE)</f>
        <v>6.6491655058325447</v>
      </c>
      <c r="AH88" s="279" cm="1">
        <f t="array" ref="AH88">PEDBIKE_DELAY($Q88,$W88,$R88,$S88,$T88,$U88,AH$4,$V88,TRUE)</f>
        <v>1.8877672873929978</v>
      </c>
    </row>
    <row r="89" spans="2:34" x14ac:dyDescent="0.25">
      <c r="B89">
        <v>56</v>
      </c>
      <c r="C89" s="272">
        <f t="shared" si="4"/>
        <v>1.069355033800925E-9</v>
      </c>
      <c r="D89" s="272">
        <f t="shared" si="10"/>
        <v>0.62918926139009435</v>
      </c>
      <c r="E89" s="272">
        <f t="shared" si="0"/>
        <v>13.779460012153391</v>
      </c>
      <c r="F89" s="271">
        <f t="shared" si="1"/>
        <v>5.2377181388994886E-8</v>
      </c>
      <c r="G89" s="271">
        <f t="shared" si="6"/>
        <v>13.779460064530573</v>
      </c>
      <c r="H89" s="272">
        <f t="shared" si="9"/>
        <v>3.5073173636251615E-10</v>
      </c>
      <c r="I89" s="272">
        <f t="shared" si="11"/>
        <v>0.6291892631359467</v>
      </c>
      <c r="J89" s="272">
        <f t="shared" si="2"/>
        <v>42.739572316174701</v>
      </c>
      <c r="K89" s="271">
        <f t="shared" si="3"/>
        <v>1.7178896087537845E-8</v>
      </c>
      <c r="L89" s="271">
        <f t="shared" si="8"/>
        <v>42.7395723333536</v>
      </c>
      <c r="M89" s="271"/>
      <c r="N89" s="271"/>
      <c r="O89" s="271"/>
      <c r="Q89">
        <v>20</v>
      </c>
      <c r="R89" s="274">
        <v>52</v>
      </c>
      <c r="S89" s="274">
        <v>10</v>
      </c>
      <c r="T89">
        <v>3.5</v>
      </c>
      <c r="U89">
        <v>3</v>
      </c>
      <c r="V89">
        <v>4</v>
      </c>
      <c r="W89">
        <v>940</v>
      </c>
      <c r="X89" s="279" t="e" cm="1">
        <f t="array" aca="1" ref="X89" ca="1">TWSC_PED_DELAY($Q89,$W89,$R89,$S89,$T89,$U89,X$4,$V89)</f>
        <v>#NAME?</v>
      </c>
      <c r="Y89" s="279" cm="1">
        <f t="array" ref="Y89">PEDBIKE_DELAY($Q89,$W89,$R89,$S89,$T89,$U89,Y$4,$V89,TRUE)</f>
        <v>607.10529858814527</v>
      </c>
      <c r="Z89" s="279" cm="1">
        <f t="array" ref="Z89">PEDBIKE_DELAY($Q89,$W89,$R89,$S89,$T89,$U89,Z$4,$V89,TRUE)</f>
        <v>398.5243598396238</v>
      </c>
      <c r="AA89" s="279" cm="1">
        <f t="array" ref="AA89">PEDBIKE_DELAY($Q89,$W89,$R89,$S89,$T89,$U89,AA$4,$V89,TRUE)</f>
        <v>251.30023826224263</v>
      </c>
      <c r="AB89" s="279" cm="1">
        <f t="array" ref="AB89">PEDBIKE_DELAY($Q89,$W89,$R89,$S89,$T89,$U89,AB$4,$V89,TRUE)</f>
        <v>160.43361473736587</v>
      </c>
      <c r="AC89" s="279" cm="1">
        <f t="array" ref="AC89">PEDBIKE_DELAY($Q89,$W89,$R89,$S89,$T89,$U89,AC$4,$V89,TRUE)</f>
        <v>106.81678526325877</v>
      </c>
      <c r="AD89" s="279" cm="1">
        <f t="array" ref="AD89">PEDBIKE_DELAY($Q89,$W89,$R89,$S89,$T89,$U89,AD$4,$V89,TRUE)</f>
        <v>74.22277118299192</v>
      </c>
      <c r="AE89" s="279" cm="1">
        <f t="array" ref="AE89">PEDBIKE_DELAY($Q89,$W89,$R89,$S89,$T89,$U89,AE$4,$V89,TRUE)</f>
        <v>39.309240947483509</v>
      </c>
      <c r="AF89" s="279" cm="1">
        <f t="array" ref="AF89">PEDBIKE_DELAY($Q89,$W89,$R89,$S89,$T89,$U89,AF$4,$V89,TRUE)</f>
        <v>22.563771596471838</v>
      </c>
      <c r="AG89" s="279" cm="1">
        <f t="array" ref="AG89">PEDBIKE_DELAY($Q89,$W89,$R89,$S89,$T89,$U89,AG$4,$V89,TRUE)</f>
        <v>6.6528736927022205</v>
      </c>
      <c r="AH89" s="279" cm="1">
        <f t="array" ref="AH89">PEDBIKE_DELAY($Q89,$W89,$R89,$S89,$T89,$U89,AH$4,$V89,TRUE)</f>
        <v>1.8721838469475398</v>
      </c>
    </row>
    <row r="90" spans="2:34" x14ac:dyDescent="0.25">
      <c r="B90">
        <v>57</v>
      </c>
      <c r="C90" s="272">
        <f t="shared" si="4"/>
        <v>7.5753882265197606E-10</v>
      </c>
      <c r="D90" s="272">
        <f t="shared" si="10"/>
        <v>0.62918926214763315</v>
      </c>
      <c r="E90" s="272">
        <f t="shared" si="0"/>
        <v>13.779460332131036</v>
      </c>
      <c r="F90" s="271">
        <f t="shared" si="1"/>
        <v>3.7104373743942237E-8</v>
      </c>
      <c r="G90" s="271">
        <f t="shared" si="6"/>
        <v>13.779460369235409</v>
      </c>
      <c r="H90" s="272">
        <f t="shared" si="9"/>
        <v>2.4846088261153351E-10</v>
      </c>
      <c r="I90" s="272">
        <f t="shared" si="11"/>
        <v>0.62918926338440762</v>
      </c>
      <c r="J90" s="272">
        <f t="shared" si="2"/>
        <v>42.739572340841043</v>
      </c>
      <c r="K90" s="271">
        <f t="shared" si="3"/>
        <v>1.2169653302519183E-8</v>
      </c>
      <c r="L90" s="271">
        <f t="shared" si="8"/>
        <v>42.739572353010693</v>
      </c>
      <c r="M90" s="271"/>
      <c r="N90" s="271"/>
      <c r="O90" s="271"/>
      <c r="Q90">
        <v>20</v>
      </c>
      <c r="R90" s="274">
        <v>52</v>
      </c>
      <c r="S90" s="274">
        <v>10</v>
      </c>
      <c r="T90">
        <v>3.5</v>
      </c>
      <c r="U90">
        <v>3</v>
      </c>
      <c r="V90">
        <v>4</v>
      </c>
      <c r="W90">
        <v>950</v>
      </c>
      <c r="X90" s="279" t="e" cm="1">
        <f t="array" aca="1" ref="X90" ca="1">TWSC_PED_DELAY($Q90,$W90,$R90,$S90,$T90,$U90,X$4,$V90)</f>
        <v>#NAME?</v>
      </c>
      <c r="Y90" s="279" cm="1">
        <f t="array" ref="Y90">PEDBIKE_DELAY($Q90,$W90,$R90,$S90,$T90,$U90,Y$4,$V90,TRUE)</f>
        <v>654.05753365156693</v>
      </c>
      <c r="Z90" s="279" cm="1">
        <f t="array" ref="Z90">PEDBIKE_DELAY($Q90,$W90,$R90,$S90,$T90,$U90,Z$4,$V90,TRUE)</f>
        <v>422.35007865001143</v>
      </c>
      <c r="AA90" s="279" cm="1">
        <f t="array" ref="AA90">PEDBIKE_DELAY($Q90,$W90,$R90,$S90,$T90,$U90,AA$4,$V90,TRUE)</f>
        <v>262.30545659828306</v>
      </c>
      <c r="AB90" s="279" cm="1">
        <f t="array" ref="AB90">PEDBIKE_DELAY($Q90,$W90,$R90,$S90,$T90,$U90,AB$4,$V90,TRUE)</f>
        <v>165.80944688855675</v>
      </c>
      <c r="AC90" s="279" cm="1">
        <f t="array" ref="AC90">PEDBIKE_DELAY($Q90,$W90,$R90,$S90,$T90,$U90,AC$4,$V90,TRUE)</f>
        <v>109.76497088270318</v>
      </c>
      <c r="AD90" s="279" cm="1">
        <f t="array" ref="AD90">PEDBIKE_DELAY($Q90,$W90,$R90,$S90,$T90,$U90,AD$4,$V90,TRUE)</f>
        <v>75.95288290146928</v>
      </c>
      <c r="AE90" s="279" cm="1">
        <f t="array" ref="AE90">PEDBIKE_DELAY($Q90,$W90,$R90,$S90,$T90,$U90,AE$4,$V90,TRUE)</f>
        <v>39.950441713535476</v>
      </c>
      <c r="AF90" s="279" cm="1">
        <f t="array" ref="AF90">PEDBIKE_DELAY($Q90,$W90,$R90,$S90,$T90,$U90,AF$4,$V90,TRUE)</f>
        <v>22.80570428625423</v>
      </c>
      <c r="AG90" s="279" cm="1">
        <f t="array" ref="AG90">PEDBIKE_DELAY($Q90,$W90,$R90,$S90,$T90,$U90,AG$4,$V90,TRUE)</f>
        <v>6.6567606666102108</v>
      </c>
      <c r="AH90" s="279" cm="1">
        <f t="array" ref="AH90">PEDBIKE_DELAY($Q90,$W90,$R90,$S90,$T90,$U90,AH$4,$V90,TRUE)</f>
        <v>1.8567062420085487</v>
      </c>
    </row>
    <row r="91" spans="2:34" x14ac:dyDescent="0.25">
      <c r="B91">
        <v>58</v>
      </c>
      <c r="C91" s="272">
        <f t="shared" si="4"/>
        <v>5.3664597551503115E-10</v>
      </c>
      <c r="D91" s="272">
        <f t="shared" si="10"/>
        <v>0.6291892626842791</v>
      </c>
      <c r="E91" s="272">
        <f t="shared" si="0"/>
        <v>13.779460562817448</v>
      </c>
      <c r="F91" s="271">
        <f t="shared" si="1"/>
        <v>2.6285006783495784E-8</v>
      </c>
      <c r="G91" s="271">
        <f t="shared" si="6"/>
        <v>13.779460589102454</v>
      </c>
      <c r="H91" s="272">
        <f t="shared" si="9"/>
        <v>1.7601147275195186E-10</v>
      </c>
      <c r="I91" s="272">
        <f t="shared" si="11"/>
        <v>0.62918926356041904</v>
      </c>
      <c r="J91" s="272">
        <f t="shared" si="2"/>
        <v>42.739572358314859</v>
      </c>
      <c r="K91" s="271">
        <f t="shared" si="3"/>
        <v>8.6210711779620401E-9</v>
      </c>
      <c r="L91" s="271">
        <f t="shared" si="8"/>
        <v>42.739572366935931</v>
      </c>
      <c r="M91" s="271"/>
      <c r="N91" s="271"/>
      <c r="O91" s="271"/>
      <c r="Q91">
        <v>20</v>
      </c>
      <c r="R91" s="274">
        <v>52</v>
      </c>
      <c r="S91" s="274">
        <v>10</v>
      </c>
      <c r="T91">
        <v>3.5</v>
      </c>
      <c r="U91">
        <v>3</v>
      </c>
      <c r="V91">
        <v>4</v>
      </c>
      <c r="W91">
        <v>960</v>
      </c>
      <c r="X91" s="279" t="e" cm="1">
        <f t="array" aca="1" ref="X91" ca="1">TWSC_PED_DELAY($Q91,$W91,$R91,$S91,$T91,$U91,X$4,$V91)</f>
        <v>#NAME?</v>
      </c>
      <c r="Y91" s="279" cm="1">
        <f t="array" ref="Y91">PEDBIKE_DELAY($Q91,$W91,$R91,$S91,$T91,$U91,Y$4,$V91,TRUE)</f>
        <v>705.81853471243983</v>
      </c>
      <c r="Z91" s="279" cm="1">
        <f t="array" ref="Z91">PEDBIKE_DELAY($Q91,$W91,$R91,$S91,$T91,$U91,Z$4,$V91,TRUE)</f>
        <v>447.94316114490596</v>
      </c>
      <c r="AA91" s="279" cm="1">
        <f t="array" ref="AA91">PEDBIKE_DELAY($Q91,$W91,$R91,$S91,$T91,$U91,AA$4,$V91,TRUE)</f>
        <v>273.89065923624355</v>
      </c>
      <c r="AB91" s="279" cm="1">
        <f t="array" ref="AB91">PEDBIKE_DELAY($Q91,$W91,$R91,$S91,$T91,$U91,AB$4,$V91,TRUE)</f>
        <v>171.44736558839531</v>
      </c>
      <c r="AC91" s="279" cm="1">
        <f t="array" ref="AC91">PEDBIKE_DELAY($Q91,$W91,$R91,$S91,$T91,$U91,AC$4,$V91,TRUE)</f>
        <v>112.85561231633082</v>
      </c>
      <c r="AD91" s="279" cm="1">
        <f t="array" ref="AD91">PEDBIKE_DELAY($Q91,$W91,$R91,$S91,$T91,$U91,AD$4,$V91,TRUE)</f>
        <v>77.758800727369135</v>
      </c>
      <c r="AE91" s="279" cm="1">
        <f t="array" ref="AE91">PEDBIKE_DELAY($Q91,$W91,$R91,$S91,$T91,$U91,AE$4,$V91,TRUE)</f>
        <v>40.613281813094694</v>
      </c>
      <c r="AF91" s="279" cm="1">
        <f t="array" ref="AF91">PEDBIKE_DELAY($Q91,$W91,$R91,$S91,$T91,$U91,AF$4,$V91,TRUE)</f>
        <v>23.053903967149292</v>
      </c>
      <c r="AG91" s="279" cm="1">
        <f t="array" ref="AG91">PEDBIKE_DELAY($Q91,$W91,$R91,$S91,$T91,$U91,AG$4,$V91,TRUE)</f>
        <v>6.660832020463249</v>
      </c>
      <c r="AH91" s="279" cm="1">
        <f t="array" ref="AH91">PEDBIKE_DELAY($Q91,$W91,$R91,$S91,$T91,$U91,AH$4,$V91,TRUE)</f>
        <v>1.8413361794680041</v>
      </c>
    </row>
    <row r="92" spans="2:34" x14ac:dyDescent="0.25">
      <c r="B92">
        <v>59</v>
      </c>
      <c r="C92" s="272">
        <f t="shared" si="4"/>
        <v>3.8016389130004515E-10</v>
      </c>
      <c r="D92" s="272">
        <f t="shared" si="10"/>
        <v>0.62918926306444301</v>
      </c>
      <c r="E92" s="272">
        <f t="shared" si="0"/>
        <v>13.779460729079457</v>
      </c>
      <c r="F92" s="271">
        <f t="shared" si="1"/>
        <v>1.8620488409933739E-8</v>
      </c>
      <c r="G92" s="271">
        <f t="shared" si="6"/>
        <v>13.779460747699945</v>
      </c>
      <c r="H92" s="272">
        <f t="shared" si="9"/>
        <v>1.2468781131327643E-10</v>
      </c>
      <c r="I92" s="272">
        <f t="shared" si="11"/>
        <v>0.62918926368510686</v>
      </c>
      <c r="J92" s="272">
        <f t="shared" si="2"/>
        <v>42.739572370693438</v>
      </c>
      <c r="K92" s="271">
        <f t="shared" si="3"/>
        <v>6.1072289826987068E-9</v>
      </c>
      <c r="L92" s="271">
        <f t="shared" si="8"/>
        <v>42.739572376800666</v>
      </c>
      <c r="M92" s="271"/>
      <c r="N92" s="271"/>
      <c r="O92" s="271"/>
      <c r="Q92">
        <v>20</v>
      </c>
      <c r="R92" s="274">
        <v>52</v>
      </c>
      <c r="S92" s="274">
        <v>10</v>
      </c>
      <c r="T92">
        <v>3.5</v>
      </c>
      <c r="U92">
        <v>3</v>
      </c>
      <c r="V92">
        <v>4</v>
      </c>
      <c r="W92">
        <v>970</v>
      </c>
      <c r="X92" s="279" t="e" cm="1">
        <f t="array" aca="1" ref="X92" ca="1">TWSC_PED_DELAY($Q92,$W92,$R92,$S92,$T92,$U92,X$4,$V92)</f>
        <v>#NAME?</v>
      </c>
      <c r="Y92" s="279" cm="1">
        <f t="array" ref="Y92">PEDBIKE_DELAY($Q92,$W92,$R92,$S92,$T92,$U92,Y$4,$V92,TRUE)</f>
        <v>762.99591919354077</v>
      </c>
      <c r="Z92" s="279" cm="1">
        <f t="array" ref="Z92">PEDBIKE_DELAY($Q92,$W92,$R92,$S92,$T92,$U92,Z$4,$V92,TRUE)</f>
        <v>475.45326292613498</v>
      </c>
      <c r="AA92" s="279" cm="1">
        <f t="array" ref="AA92">PEDBIKE_DELAY($Q92,$W92,$R92,$S92,$T92,$U92,AA$4,$V92,TRUE)</f>
        <v>286.09903222113508</v>
      </c>
      <c r="AB92" s="279" cm="1">
        <f t="array" ref="AB92">PEDBIKE_DELAY($Q92,$W92,$R92,$S92,$T92,$U92,AB$4,$V92,TRUE)</f>
        <v>177.37178444747943</v>
      </c>
      <c r="AC92" s="279" cm="1">
        <f t="array" ref="AC92">PEDBIKE_DELAY($Q92,$W92,$R92,$S92,$T92,$U92,AC$4,$V92,TRUE)</f>
        <v>116.0993895259145</v>
      </c>
      <c r="AD92" s="279" cm="1">
        <f t="array" ref="AD92">PEDBIKE_DELAY($Q92,$W92,$R92,$S92,$T92,$U92,AD$4,$V92,TRUE)</f>
        <v>79.644880870923188</v>
      </c>
      <c r="AE92" s="279" cm="1">
        <f t="array" ref="AE92">PEDBIKE_DELAY($Q92,$W92,$R92,$S92,$T92,$U92,AE$4,$V92,TRUE)</f>
        <v>41.298657505767572</v>
      </c>
      <c r="AF92" s="279" cm="1">
        <f t="array" ref="AF92">PEDBIKE_DELAY($Q92,$W92,$R92,$S92,$T92,$U92,AF$4,$V92,TRUE)</f>
        <v>23.308556543575762</v>
      </c>
      <c r="AG92" s="279" cm="1">
        <f t="array" ref="AG92">PEDBIKE_DELAY($Q92,$W92,$R92,$S92,$T92,$U92,AG$4,$V92,TRUE)</f>
        <v>6.6650915120146461</v>
      </c>
      <c r="AH92" s="279" cm="1">
        <f t="array" ref="AH92">PEDBIKE_DELAY($Q92,$W92,$R92,$S92,$T92,$U92,AH$4,$V92,TRUE)</f>
        <v>1.8260752952972965</v>
      </c>
    </row>
    <row r="93" spans="2:34" x14ac:dyDescent="0.25">
      <c r="B93">
        <v>60</v>
      </c>
      <c r="C93" s="272">
        <f t="shared" si="4"/>
        <v>2.6931084287459893E-10</v>
      </c>
      <c r="D93" s="272">
        <f t="shared" si="10"/>
        <v>0.6291892633337538</v>
      </c>
      <c r="E93" s="272">
        <f t="shared" si="0"/>
        <v>13.779460848874017</v>
      </c>
      <c r="F93" s="271">
        <f t="shared" si="1"/>
        <v>1.3190889383526816E-8</v>
      </c>
      <c r="G93" s="271">
        <f t="shared" si="6"/>
        <v>13.779460862064907</v>
      </c>
      <c r="H93" s="272">
        <f t="shared" si="9"/>
        <v>8.8329744566814013E-11</v>
      </c>
      <c r="I93" s="272">
        <f t="shared" si="11"/>
        <v>0.62918926377343665</v>
      </c>
      <c r="J93" s="272">
        <f t="shared" si="2"/>
        <v>42.739572379462508</v>
      </c>
      <c r="K93" s="271">
        <f t="shared" si="3"/>
        <v>4.3264042335069334E-9</v>
      </c>
      <c r="L93" s="271">
        <f t="shared" si="8"/>
        <v>42.739572383788911</v>
      </c>
      <c r="M93" s="271"/>
      <c r="N93" s="271"/>
      <c r="O93" s="271"/>
      <c r="Q93">
        <v>20</v>
      </c>
      <c r="R93" s="274">
        <v>52</v>
      </c>
      <c r="S93" s="274">
        <v>10</v>
      </c>
      <c r="T93">
        <v>3.5</v>
      </c>
      <c r="U93">
        <v>3</v>
      </c>
      <c r="V93">
        <v>4</v>
      </c>
      <c r="W93">
        <v>980</v>
      </c>
      <c r="X93" s="279" t="e" cm="1">
        <f t="array" aca="1" ref="X93" ca="1">TWSC_PED_DELAY($Q93,$W93,$R93,$S93,$T93,$U93,X$4,$V93)</f>
        <v>#NAME?</v>
      </c>
      <c r="Y93" s="279" cm="1">
        <f t="array" ref="Y93">PEDBIKE_DELAY($Q93,$W93,$R93,$S93,$T93,$U93,Y$4,$V93,TRUE)</f>
        <v>826.28588776871482</v>
      </c>
      <c r="Z93" s="279" cm="1">
        <f t="array" ref="Z93">PEDBIKE_DELAY($Q93,$W93,$R93,$S93,$T93,$U93,Z$4,$V93,TRUE)</f>
        <v>505.04322873801709</v>
      </c>
      <c r="AA93" s="279" cm="1">
        <f t="array" ref="AA93">PEDBIKE_DELAY($Q93,$W93,$R93,$S93,$T93,$U93,AA$4,$V93,TRUE)</f>
        <v>298.97940421029637</v>
      </c>
      <c r="AB93" s="279" cm="1">
        <f t="array" ref="AB93">PEDBIKE_DELAY($Q93,$W93,$R93,$S93,$T93,$U93,AB$4,$V93,TRUE)</f>
        <v>183.6094551367049</v>
      </c>
      <c r="AC93" s="279" cm="1">
        <f t="array" ref="AC93">PEDBIKE_DELAY($Q93,$W93,$R93,$S93,$T93,$U93,AC$4,$V93,TRUE)</f>
        <v>119.50739688774416</v>
      </c>
      <c r="AD93" s="279" cm="1">
        <f t="array" ref="AD93">PEDBIKE_DELAY($Q93,$W93,$R93,$S93,$T93,$U93,AD$4,$V93,TRUE)</f>
        <v>81.6156422287754</v>
      </c>
      <c r="AE93" s="279" cm="1">
        <f t="array" ref="AE93">PEDBIKE_DELAY($Q93,$W93,$R93,$S93,$T93,$U93,AE$4,$V93,TRUE)</f>
        <v>42.007472074476922</v>
      </c>
      <c r="AF93" s="279" cm="1">
        <f t="array" ref="AF93">PEDBIKE_DELAY($Q93,$W93,$R93,$S93,$T93,$U93,AF$4,$V93,TRUE)</f>
        <v>23.569838479026572</v>
      </c>
      <c r="AG93" s="279" cm="1">
        <f t="array" ref="AG93">PEDBIKE_DELAY($Q93,$W93,$R93,$S93,$T93,$U93,AG$4,$V93,TRUE)</f>
        <v>6.6695409677274666</v>
      </c>
      <c r="AH93" s="279" cm="1">
        <f t="array" ref="AH93">PEDBIKE_DELAY($Q93,$W93,$R93,$S93,$T93,$U93,AH$4,$V93,TRUE)</f>
        <v>1.8109251769897183</v>
      </c>
    </row>
    <row r="94" spans="2:34" x14ac:dyDescent="0.25">
      <c r="B94">
        <v>61</v>
      </c>
      <c r="C94" s="272">
        <f t="shared" si="4"/>
        <v>1.9078175931454243E-10</v>
      </c>
      <c r="D94" s="272">
        <f t="shared" si="10"/>
        <v>0.62918926352453552</v>
      </c>
      <c r="E94" s="272">
        <f t="shared" si="0"/>
        <v>13.779460935163629</v>
      </c>
      <c r="F94" s="271">
        <f t="shared" si="1"/>
        <v>9.3445219992076256E-9</v>
      </c>
      <c r="G94" s="271">
        <f t="shared" si="6"/>
        <v>13.77946094450815</v>
      </c>
      <c r="H94" s="272">
        <f t="shared" si="9"/>
        <v>6.2573416179588373E-11</v>
      </c>
      <c r="I94" s="272">
        <f t="shared" si="11"/>
        <v>0.62918926383601004</v>
      </c>
      <c r="J94" s="272">
        <f t="shared" si="2"/>
        <v>42.739572385674585</v>
      </c>
      <c r="K94" s="271">
        <f t="shared" si="3"/>
        <v>3.0648565066016844E-9</v>
      </c>
      <c r="L94" s="271">
        <f t="shared" si="8"/>
        <v>42.73957238873944</v>
      </c>
      <c r="M94" s="271"/>
      <c r="N94" s="271"/>
      <c r="O94" s="271"/>
      <c r="Q94">
        <v>20</v>
      </c>
      <c r="R94" s="274">
        <v>52</v>
      </c>
      <c r="S94" s="274">
        <v>10</v>
      </c>
      <c r="T94">
        <v>3.5</v>
      </c>
      <c r="U94">
        <v>3</v>
      </c>
      <c r="V94">
        <v>4</v>
      </c>
      <c r="W94">
        <v>990</v>
      </c>
      <c r="X94" s="279" t="e" cm="1">
        <f t="array" aca="1" ref="X94" ca="1">TWSC_PED_DELAY($Q94,$W94,$R94,$S94,$T94,$U94,X$4,$V94)</f>
        <v>#NAME?</v>
      </c>
      <c r="Y94" s="279" cm="1">
        <f t="array" ref="Y94">PEDBIKE_DELAY($Q94,$W94,$R94,$S94,$T94,$U94,Y$4,$V94,TRUE)</f>
        <v>896.48732547328939</v>
      </c>
      <c r="Z94" s="279" cm="1">
        <f t="array" ref="Z94">PEDBIKE_DELAY($Q94,$W94,$R94,$S94,$T94,$U94,Z$4,$V94,TRUE)</f>
        <v>536.89027126919439</v>
      </c>
      <c r="AA94" s="279" cm="1">
        <f t="array" ref="AA94">PEDBIKE_DELAY($Q94,$W94,$R94,$S94,$T94,$U94,AA$4,$V94,TRUE)</f>
        <v>312.58719828545679</v>
      </c>
      <c r="AB94" s="279" cm="1">
        <f t="array" ref="AB94">PEDBIKE_DELAY($Q94,$W94,$R94,$S94,$T94,$U94,AB$4,$V94,TRUE)</f>
        <v>190.18946595431478</v>
      </c>
      <c r="AC94" s="279" cm="1">
        <f t="array" ref="AC94">PEDBIKE_DELAY($Q94,$W94,$R94,$S94,$T94,$U94,AC$4,$V94,TRUE)</f>
        <v>123.0911565043955</v>
      </c>
      <c r="AD94" s="279" cm="1">
        <f t="array" ref="AD94">PEDBIKE_DELAY($Q94,$W94,$R94,$S94,$T94,$U94,AD$4,$V94,TRUE)</f>
        <v>83.675776002208934</v>
      </c>
      <c r="AE94" s="279" cm="1">
        <f t="array" ref="AE94">PEDBIKE_DELAY($Q94,$W94,$R94,$S94,$T94,$U94,AE$4,$V94,TRUE)</f>
        <v>42.740630780867534</v>
      </c>
      <c r="AF94" s="279" cm="1">
        <f t="array" ref="AF94">PEDBIKE_DELAY($Q94,$W94,$R94,$S94,$T94,$U94,AF$4,$V94,TRUE)</f>
        <v>23.837914631190657</v>
      </c>
      <c r="AG94" s="279" cm="1">
        <f t="array" ref="AG94">PEDBIKE_DELAY($Q94,$W94,$R94,$S94,$T94,$U94,AG$4,$V94,TRUE)</f>
        <v>6.6741801793396567</v>
      </c>
      <c r="AH94" s="279" cm="1">
        <f t="array" ref="AH94">PEDBIKE_DELAY($Q94,$W94,$R94,$S94,$T94,$U94,AH$4,$V94,TRUE)</f>
        <v>1.7958873845576149</v>
      </c>
    </row>
    <row r="95" spans="2:34" x14ac:dyDescent="0.25">
      <c r="B95">
        <v>62</v>
      </c>
      <c r="C95" s="272">
        <f t="shared" si="4"/>
        <v>1.3515118618071701E-10</v>
      </c>
      <c r="D95" s="272">
        <f t="shared" si="10"/>
        <v>0.62918926365968675</v>
      </c>
      <c r="E95" s="272">
        <f t="shared" si="0"/>
        <v>13.779460997302202</v>
      </c>
      <c r="F95" s="271">
        <f t="shared" si="1"/>
        <v>6.6197261017101052E-9</v>
      </c>
      <c r="G95" s="271">
        <f t="shared" si="6"/>
        <v>13.779461003921929</v>
      </c>
      <c r="H95" s="272">
        <f t="shared" si="9"/>
        <v>4.4327467191583491E-11</v>
      </c>
      <c r="I95" s="272">
        <f t="shared" si="11"/>
        <v>0.62918926388033747</v>
      </c>
      <c r="J95" s="272">
        <f t="shared" si="2"/>
        <v>42.73957239007526</v>
      </c>
      <c r="K95" s="271">
        <f t="shared" si="3"/>
        <v>2.1711672160616641E-9</v>
      </c>
      <c r="L95" s="271">
        <f t="shared" si="8"/>
        <v>42.73957239224643</v>
      </c>
      <c r="M95" s="271"/>
      <c r="N95" s="271"/>
      <c r="O95" s="271"/>
      <c r="Q95">
        <v>20</v>
      </c>
      <c r="R95" s="274">
        <v>52</v>
      </c>
      <c r="S95" s="274">
        <v>10</v>
      </c>
      <c r="T95">
        <v>3.5</v>
      </c>
      <c r="U95">
        <v>3</v>
      </c>
      <c r="V95">
        <v>4</v>
      </c>
      <c r="W95">
        <v>1000</v>
      </c>
      <c r="X95" s="279" t="e" cm="1">
        <f t="array" aca="1" ref="X95" ca="1">TWSC_PED_DELAY($Q95,$W95,$R95,$S95,$T95,$U95,X$4,$V95)</f>
        <v>#NAME?</v>
      </c>
      <c r="Y95" s="279" cm="1">
        <f t="array" ref="Y95">PEDBIKE_DELAY($Q95,$W95,$R95,$S95,$T95,$U95,Y$4,$V95,TRUE)</f>
        <v>974.51661243736908</v>
      </c>
      <c r="Z95" s="279" cm="1">
        <f t="array" ref="Z95">PEDBIKE_DELAY($Q95,$W95,$R95,$S95,$T95,$U95,Z$4,$V95,TRUE)</f>
        <v>571.18635014543952</v>
      </c>
      <c r="AA95" s="279" cm="1">
        <f t="array" ref="AA95">PEDBIKE_DELAY($Q95,$W95,$R95,$S95,$T95,$U95,AA$4,$V95,TRUE)</f>
        <v>326.98527301615206</v>
      </c>
      <c r="AB95" s="279" cm="1">
        <f t="array" ref="AB95">PEDBIKE_DELAY($Q95,$W95,$R95,$S95,$T95,$U95,AB$4,$V95,TRUE)</f>
        <v>197.14318994754797</v>
      </c>
      <c r="AC95" s="279" cm="1">
        <f t="array" ref="AC95">PEDBIKE_DELAY($Q95,$W95,$R95,$S95,$T95,$U95,AC$4,$V95,TRUE)</f>
        <v>126.86264502464272</v>
      </c>
      <c r="AD95" s="279" cm="1">
        <f t="array" ref="AD95">PEDBIKE_DELAY($Q95,$W95,$R95,$S95,$T95,$U95,AD$4,$V95,TRUE)</f>
        <v>85.830150143038807</v>
      </c>
      <c r="AE95" s="279" cm="1">
        <f t="array" ref="AE95">PEDBIKE_DELAY($Q95,$W95,$R95,$S95,$T95,$U95,AE$4,$V95,TRUE)</f>
        <v>43.499034858925874</v>
      </c>
      <c r="AF95" s="279" cm="1">
        <f t="array" ref="AF95">PEDBIKE_DELAY($Q95,$W95,$R95,$S95,$T95,$U95,AF$4,$V95,TRUE)</f>
        <v>24.112935830173065</v>
      </c>
      <c r="AG95" s="279" cm="1">
        <f t="array" ref="AG95">PEDBIKE_DELAY($Q95,$W95,$R95,$S95,$T95,$U95,AG$4,$V95,TRUE)</f>
        <v>6.6790067932012755</v>
      </c>
      <c r="AH95" s="279" cm="1">
        <f t="array" ref="AH95">PEDBIKE_DELAY($Q95,$W95,$R95,$S95,$T95,$U95,AH$4,$V95,TRUE)</f>
        <v>1.7809634699166739</v>
      </c>
    </row>
    <row r="96" spans="2:34" x14ac:dyDescent="0.25">
      <c r="B96">
        <v>63</v>
      </c>
      <c r="C96" s="272">
        <f t="shared" si="4"/>
        <v>9.5742065234951341E-11</v>
      </c>
      <c r="D96" s="272">
        <f t="shared" si="10"/>
        <v>0.62918926375542883</v>
      </c>
      <c r="E96" s="272">
        <f t="shared" si="0"/>
        <v>13.779461042037374</v>
      </c>
      <c r="F96" s="271">
        <f t="shared" si="1"/>
        <v>4.6894614508146717E-9</v>
      </c>
      <c r="G96" s="271">
        <f t="shared" si="6"/>
        <v>13.779461046726835</v>
      </c>
      <c r="H96" s="272">
        <f t="shared" si="9"/>
        <v>3.1401908484168703E-11</v>
      </c>
      <c r="I96" s="272">
        <f t="shared" si="11"/>
        <v>0.62918926391173935</v>
      </c>
      <c r="J96" s="272">
        <f t="shared" si="2"/>
        <v>42.739572393192731</v>
      </c>
      <c r="K96" s="271">
        <f t="shared" si="3"/>
        <v>1.5380710846499963E-9</v>
      </c>
      <c r="L96" s="271">
        <f t="shared" si="8"/>
        <v>42.7395723947308</v>
      </c>
      <c r="M96" s="271"/>
      <c r="N96" s="271"/>
      <c r="O96" s="271"/>
      <c r="Q96">
        <v>20</v>
      </c>
      <c r="R96" s="274">
        <v>52</v>
      </c>
      <c r="S96" s="274">
        <v>10</v>
      </c>
      <c r="T96">
        <v>3.5</v>
      </c>
      <c r="U96">
        <v>3</v>
      </c>
      <c r="V96">
        <v>4</v>
      </c>
      <c r="W96">
        <v>1010</v>
      </c>
      <c r="X96" s="279" t="e" cm="1">
        <f t="array" aca="1" ref="X96" ca="1">TWSC_PED_DELAY($Q96,$W96,$R96,$S96,$T96,$U96,X$4,$V96)</f>
        <v>#NAME?</v>
      </c>
      <c r="Y96" s="279" cm="1">
        <f t="array" ref="Y96">PEDBIKE_DELAY($Q96,$W96,$R96,$S96,$T96,$U96,Y$4,$V96,TRUE)</f>
        <v>1061.429501017305</v>
      </c>
      <c r="Z96" s="279" cm="1">
        <f t="array" ref="Z96">PEDBIKE_DELAY($Q96,$W96,$R96,$S96,$T96,$U96,Z$4,$V96,TRUE)</f>
        <v>608.14171335310652</v>
      </c>
      <c r="AA96" s="279" cm="1">
        <f t="array" ref="AA96">PEDBIKE_DELAY($Q96,$W96,$R96,$S96,$T96,$U96,AA$4,$V96,TRUE)</f>
        <v>342.24559732732945</v>
      </c>
      <c r="AB96" s="279" cm="1">
        <f t="array" ref="AB96">PEDBIKE_DELAY($Q96,$W96,$R96,$S96,$T96,$U96,AB$4,$V96,TRUE)</f>
        <v>204.50427865974589</v>
      </c>
      <c r="AC96" s="279" cm="1">
        <f t="array" ref="AC96">PEDBIKE_DELAY($Q96,$W96,$R96,$S96,$T96,$U96,AC$4,$V96,TRUE)</f>
        <v>130.83433249814419</v>
      </c>
      <c r="AD96" s="279" cm="1">
        <f t="array" ref="AD96">PEDBIKE_DELAY($Q96,$W96,$R96,$S96,$T96,$U96,AD$4,$V96,TRUE)</f>
        <v>88.083807806338953</v>
      </c>
      <c r="AE96" s="279" cm="1">
        <f t="array" ref="AE96">PEDBIKE_DELAY($Q96,$W96,$R96,$S96,$T96,$U96,AE$4,$V96,TRUE)</f>
        <v>44.28357443763808</v>
      </c>
      <c r="AF96" s="279" cm="1">
        <f t="array" ref="AF96">PEDBIKE_DELAY($Q96,$W96,$R96,$S96,$T96,$U96,AF$4,$V96,TRUE)</f>
        <v>24.395036183755675</v>
      </c>
      <c r="AG96" s="279" cm="1">
        <f t="array" ref="AG96">PEDBIKE_DELAY($Q96,$W96,$R96,$S96,$T96,$U96,AG$4,$V96,TRUE)</f>
        <v>6.684016192563802</v>
      </c>
      <c r="AH96" s="279" cm="1">
        <f t="array" ref="AH96">PEDBIKE_DELAY($Q96,$W96,$R96,$S96,$T96,$U96,AH$4,$V96,TRUE)</f>
        <v>1.7661549944734001</v>
      </c>
    </row>
    <row r="97" spans="2:34" x14ac:dyDescent="0.25">
      <c r="B97">
        <v>64</v>
      </c>
      <c r="C97" s="272">
        <f t="shared" si="4"/>
        <v>6.7824365727866152E-11</v>
      </c>
      <c r="D97" s="272">
        <f t="shared" si="10"/>
        <v>0.62918926382325324</v>
      </c>
      <c r="E97" s="272">
        <f t="shared" ref="E97:E160" si="12">$D$28*(B97-0.5)*C97+E96</f>
        <v>13.779461074235142</v>
      </c>
      <c r="F97" s="271">
        <f t="shared" ref="F97:F160" si="13">($D$25-D97)*$D$27</f>
        <v>3.3220474032743784E-9</v>
      </c>
      <c r="G97" s="271">
        <f t="shared" si="6"/>
        <v>13.779461077557189</v>
      </c>
      <c r="H97" s="272">
        <f t="shared" si="9"/>
        <v>2.2245346689572312E-11</v>
      </c>
      <c r="I97" s="272">
        <f t="shared" si="11"/>
        <v>0.62918926393398467</v>
      </c>
      <c r="J97" s="272">
        <f t="shared" ref="J97:J160" si="14">$D$28*(G97-0.5)*H97+J96</f>
        <v>42.739572395401176</v>
      </c>
      <c r="K97" s="271">
        <f t="shared" ref="K97:K160" si="15">($D$25-I97)*$D$27</f>
        <v>1.0895812664162304E-9</v>
      </c>
      <c r="L97" s="271">
        <f t="shared" si="8"/>
        <v>42.739572396490757</v>
      </c>
      <c r="M97" s="271"/>
      <c r="N97" s="271"/>
      <c r="O97" s="271"/>
      <c r="Q97">
        <v>20</v>
      </c>
      <c r="R97" s="274">
        <v>52</v>
      </c>
      <c r="S97" s="274">
        <v>10</v>
      </c>
      <c r="T97">
        <v>3.5</v>
      </c>
      <c r="U97">
        <v>3</v>
      </c>
      <c r="V97">
        <v>4</v>
      </c>
      <c r="W97">
        <v>1020</v>
      </c>
      <c r="X97" s="279" t="e" cm="1">
        <f t="array" aca="1" ref="X97" ca="1">TWSC_PED_DELAY($Q97,$W97,$R97,$S97,$T97,$U97,X$4,$V97)</f>
        <v>#NAME?</v>
      </c>
      <c r="Y97" s="279" cm="1">
        <f t="array" ref="Y97">PEDBIKE_DELAY($Q97,$W97,$R97,$S97,$T97,$U97,Y$4,$V97,TRUE)</f>
        <v>1158.4398600160011</v>
      </c>
      <c r="Z97" s="279" cm="1">
        <f t="array" ref="Z97">PEDBIKE_DELAY($Q97,$W97,$R97,$S97,$T97,$U97,Z$4,$V97,TRUE)</f>
        <v>647.98484755562004</v>
      </c>
      <c r="AA97" s="279" cm="1">
        <f t="array" ref="AA97">PEDBIKE_DELAY($Q97,$W97,$R97,$S97,$T97,$U97,AA$4,$V97,TRUE)</f>
        <v>358.44998039329676</v>
      </c>
      <c r="AB97" s="279" cm="1">
        <f t="array" ref="AB97">PEDBIKE_DELAY($Q97,$W97,$R97,$S97,$T97,$U97,AB$4,$V97,TRUE)</f>
        <v>212.30854551848401</v>
      </c>
      <c r="AC97" s="279" cm="1">
        <f t="array" ref="AC97">PEDBIKE_DELAY($Q97,$W97,$R97,$S97,$T97,$U97,AC$4,$V97,TRUE)</f>
        <v>135.01922205870966</v>
      </c>
      <c r="AD97" s="279" cm="1">
        <f t="array" ref="AD97">PEDBIKE_DELAY($Q97,$W97,$R97,$S97,$T97,$U97,AD$4,$V97,TRUE)</f>
        <v>90.441959364673679</v>
      </c>
      <c r="AE97" s="279" cm="1">
        <f t="array" ref="AE97">PEDBIKE_DELAY($Q97,$W97,$R97,$S97,$T97,$U97,AE$4,$V97,TRUE)</f>
        <v>45.095120277224112</v>
      </c>
      <c r="AF97" s="279" cm="1">
        <f t="array" ref="AF97">PEDBIKE_DELAY($Q97,$W97,$R97,$S97,$T97,$U97,AF$4,$V97,TRUE)</f>
        <v>24.684330095128434</v>
      </c>
      <c r="AG97" s="279" cm="1">
        <f t="array" ref="AG97">PEDBIKE_DELAY($Q97,$W97,$R97,$S97,$T97,$U97,AG$4,$V97,TRUE)</f>
        <v>6.6892013731159832</v>
      </c>
      <c r="AH97" s="279" cm="1">
        <f t="array" ref="AH97">PEDBIKE_DELAY($Q97,$W97,$R97,$S97,$T97,$U97,AH$4,$V97,TRUE)</f>
        <v>1.7514635447182829</v>
      </c>
    </row>
    <row r="98" spans="2:34" x14ac:dyDescent="0.25">
      <c r="B98">
        <v>65</v>
      </c>
      <c r="C98" s="272">
        <f t="shared" ref="C98:C161" si="16">($D$25-D97)*(((2*$D$24*(1-$D$24)*$D$11)+($D$24^2 * $D$11^2))/$D$25)</f>
        <v>4.8047256685700394E-11</v>
      </c>
      <c r="D98" s="272">
        <f t="shared" ref="D98:D129" si="17">C98+D97</f>
        <v>0.62918926387130047</v>
      </c>
      <c r="E98" s="272">
        <f t="shared" si="12"/>
        <v>13.779461097403466</v>
      </c>
      <c r="F98" s="271">
        <f t="shared" si="13"/>
        <v>2.3533628472232869E-9</v>
      </c>
      <c r="G98" s="271">
        <f t="shared" ref="G98:G161" si="18">F98+E98</f>
        <v>13.77946109975683</v>
      </c>
      <c r="H98" s="272">
        <f t="shared" si="9"/>
        <v>1.5758772959058604E-11</v>
      </c>
      <c r="I98" s="272">
        <f t="shared" ref="I98:I129" si="19">H98+I97</f>
        <v>0.62918926394974339</v>
      </c>
      <c r="J98" s="272">
        <f t="shared" si="14"/>
        <v>42.739572396965656</v>
      </c>
      <c r="K98" s="271">
        <f t="shared" si="15"/>
        <v>7.7186814965238993E-10</v>
      </c>
      <c r="L98" s="271">
        <f t="shared" ref="L98:L161" si="20">K98+J98</f>
        <v>42.739572397737525</v>
      </c>
      <c r="M98" s="271"/>
      <c r="N98" s="271"/>
      <c r="O98" s="271"/>
      <c r="Q98">
        <v>20</v>
      </c>
      <c r="R98" s="274">
        <v>52</v>
      </c>
      <c r="S98" s="274">
        <v>10</v>
      </c>
      <c r="T98">
        <v>3.5</v>
      </c>
      <c r="U98">
        <v>3</v>
      </c>
      <c r="V98">
        <v>4</v>
      </c>
      <c r="W98">
        <v>1030</v>
      </c>
      <c r="X98" s="279" t="e" cm="1">
        <f t="array" aca="1" ref="X98" ca="1">TWSC_PED_DELAY($Q98,$W98,$R98,$S98,$T98,$U98,X$4,$V98)</f>
        <v>#NAME?</v>
      </c>
      <c r="Y98" s="279" cm="1">
        <f t="array" ref="Y98">PEDBIKE_DELAY($Q98,$W98,$R98,$S98,$T98,$U98,Y$4,$V98,TRUE)</f>
        <v>1266.9486783261248</v>
      </c>
      <c r="Z98" s="279" cm="1">
        <f t="array" ref="Z98">PEDBIKE_DELAY($Q98,$W98,$R98,$S98,$T98,$U98,Z$4,$V98,TRUE)</f>
        <v>690.96704679028915</v>
      </c>
      <c r="AA98" s="279" cm="1">
        <f t="array" ref="AA98">PEDBIKE_DELAY($Q98,$W98,$R98,$S98,$T98,$U98,AA$4,$V98,TRUE)</f>
        <v>375.69171967212577</v>
      </c>
      <c r="AB98" s="279" cm="1">
        <f t="array" ref="AB98">PEDBIKE_DELAY($Q98,$W98,$R98,$S98,$T98,$U98,AB$4,$V98,TRUE)</f>
        <v>220.59393622261703</v>
      </c>
      <c r="AC98" s="279" cm="1">
        <f t="array" ref="AC98">PEDBIKE_DELAY($Q98,$W98,$R98,$S98,$T98,$U98,AC$4,$V98,TRUE)</f>
        <v>139.43088879749135</v>
      </c>
      <c r="AD98" s="279" cm="1">
        <f t="array" ref="AD98">PEDBIKE_DELAY($Q98,$W98,$R98,$S98,$T98,$U98,AD$4,$V98,TRUE)</f>
        <v>92.909967823906641</v>
      </c>
      <c r="AE98" s="279" cm="1">
        <f t="array" ref="AE98">PEDBIKE_DELAY($Q98,$W98,$R98,$S98,$T98,$U98,AE$4,$V98,TRUE)</f>
        <v>45.934514200057556</v>
      </c>
      <c r="AF98" s="279" cm="1">
        <f t="array" ref="AF98">PEDBIKE_DELAY($Q98,$W98,$R98,$S98,$T98,$U98,AF$4,$V98,TRUE)</f>
        <v>24.980908980789941</v>
      </c>
      <c r="AG98" s="279" cm="1">
        <f t="array" ref="AG98">PEDBIKE_DELAY($Q98,$W98,$R98,$S98,$T98,$U98,AG$4,$V98,TRUE)</f>
        <v>6.6945528122290954</v>
      </c>
      <c r="AH98" s="279" cm="1">
        <f t="array" ref="AH98">PEDBIKE_DELAY($Q98,$W98,$R98,$S98,$T98,$U98,AH$4,$V98,TRUE)</f>
        <v>1.7368907456176979</v>
      </c>
    </row>
    <row r="99" spans="2:34" x14ac:dyDescent="0.25">
      <c r="B99">
        <v>66</v>
      </c>
      <c r="C99" s="272">
        <f t="shared" si="16"/>
        <v>3.4037030502237227E-11</v>
      </c>
      <c r="D99" s="272">
        <f t="shared" si="17"/>
        <v>0.62918926390533747</v>
      </c>
      <c r="E99" s="272">
        <f t="shared" si="12"/>
        <v>13.779461114070536</v>
      </c>
      <c r="F99" s="271">
        <f t="shared" si="13"/>
        <v>1.6671399399004038E-9</v>
      </c>
      <c r="G99" s="271">
        <f t="shared" si="18"/>
        <v>13.779461115737675</v>
      </c>
      <c r="H99" s="272">
        <f t="shared" ref="H99:H162" si="21">($D$25-I98)*(((2*$D$24*(1-$D$24)*$D$11)+($D$24^2 * $D$11^2))/$D$25)</f>
        <v>1.1163641758185327E-11</v>
      </c>
      <c r="I99" s="272">
        <f t="shared" si="19"/>
        <v>0.62918926396090702</v>
      </c>
      <c r="J99" s="272">
        <f t="shared" si="14"/>
        <v>42.739572398073946</v>
      </c>
      <c r="K99" s="271">
        <f t="shared" si="15"/>
        <v>5.4679729655778464E-10</v>
      </c>
      <c r="L99" s="271">
        <f t="shared" si="20"/>
        <v>42.739572398620744</v>
      </c>
      <c r="M99" s="271"/>
      <c r="N99" s="271"/>
      <c r="O99" s="271"/>
      <c r="Q99">
        <v>20</v>
      </c>
      <c r="R99" s="274">
        <v>52</v>
      </c>
      <c r="S99" s="274">
        <v>10</v>
      </c>
      <c r="T99">
        <v>3.5</v>
      </c>
      <c r="U99">
        <v>3</v>
      </c>
      <c r="V99">
        <v>4</v>
      </c>
      <c r="W99">
        <v>1040</v>
      </c>
      <c r="X99" s="279" t="e" cm="1">
        <f t="array" aca="1" ref="X99" ca="1">TWSC_PED_DELAY($Q99,$W99,$R99,$S99,$T99,$U99,X$4,$V99)</f>
        <v>#NAME?</v>
      </c>
      <c r="Y99" s="279" cm="1">
        <f t="array" ref="Y99">PEDBIKE_DELAY($Q99,$W99,$R99,$S99,$T99,$U99,Y$4,$V99,TRUE)</f>
        <v>1388.5715267074283</v>
      </c>
      <c r="Z99" s="279" cm="1">
        <f t="array" ref="Z99">PEDBIKE_DELAY($Q99,$W99,$R99,$S99,$T99,$U99,Z$4,$V99,TRUE)</f>
        <v>737.36443878454236</v>
      </c>
      <c r="AA99" s="279" cm="1">
        <f t="array" ref="AA99">PEDBIKE_DELAY($Q99,$W99,$R99,$S99,$T99,$U99,AA$4,$V99,TRUE)</f>
        <v>394.07647103457828</v>
      </c>
      <c r="AB99" s="279" cm="1">
        <f t="array" ref="AB99">PEDBIKE_DELAY($Q99,$W99,$R99,$S99,$T99,$U99,AB$4,$V99,TRUE)</f>
        <v>229.4004768782678</v>
      </c>
      <c r="AC99" s="279" cm="1">
        <f t="array" ref="AC99">PEDBIKE_DELAY($Q99,$W99,$R99,$S99,$T99,$U99,AC$4,$V99,TRUE)</f>
        <v>144.08350675225216</v>
      </c>
      <c r="AD99" s="279" cm="1">
        <f t="array" ref="AD99">PEDBIKE_DELAY($Q99,$W99,$R99,$S99,$T99,$U99,AD$4,$V99,TRUE)</f>
        <v>95.493327373669615</v>
      </c>
      <c r="AE99" s="279" cm="1">
        <f t="array" ref="AE99">PEDBIKE_DELAY($Q99,$W99,$R99,$S99,$T99,$U99,AE$4,$V99,TRUE)</f>
        <v>46.802558097186392</v>
      </c>
      <c r="AF99" s="279" cm="1">
        <f t="array" ref="AF99">PEDBIKE_DELAY($Q99,$W99,$R99,$S99,$T99,$U99,AF$4,$V99,TRUE)</f>
        <v>25.284837679480322</v>
      </c>
      <c r="AG99" s="279" cm="1">
        <f t="array" ref="AG99">PEDBIKE_DELAY($Q99,$W99,$R99,$S99,$T99,$U99,AG$4,$V99,TRUE)</f>
        <v>6.700058332554832</v>
      </c>
      <c r="AH99" s="279" cm="1">
        <f t="array" ref="AH99">PEDBIKE_DELAY($Q99,$W99,$R99,$S99,$T99,$U99,AH$4,$V99,TRUE)</f>
        <v>1.7224382715927118</v>
      </c>
    </row>
    <row r="100" spans="2:34" x14ac:dyDescent="0.25">
      <c r="B100">
        <v>67</v>
      </c>
      <c r="C100" s="272">
        <f t="shared" si="16"/>
        <v>2.4112088389956665E-11</v>
      </c>
      <c r="D100" s="272">
        <f t="shared" si="17"/>
        <v>0.62918926392944952</v>
      </c>
      <c r="E100" s="272">
        <f t="shared" si="12"/>
        <v>13.779461126057875</v>
      </c>
      <c r="F100" s="271">
        <f t="shared" si="13"/>
        <v>1.1810148315814819E-9</v>
      </c>
      <c r="G100" s="271">
        <f t="shared" si="18"/>
        <v>13.779461127238889</v>
      </c>
      <c r="H100" s="272">
        <f t="shared" si="21"/>
        <v>7.9084091445726508E-12</v>
      </c>
      <c r="I100" s="272">
        <f t="shared" si="19"/>
        <v>0.62918926396881547</v>
      </c>
      <c r="J100" s="272">
        <f t="shared" si="14"/>
        <v>42.739572398859067</v>
      </c>
      <c r="K100" s="271">
        <f t="shared" si="15"/>
        <v>3.8735429556837598E-10</v>
      </c>
      <c r="L100" s="271">
        <f t="shared" si="20"/>
        <v>42.73957239924642</v>
      </c>
      <c r="M100" s="271"/>
      <c r="N100" s="271"/>
      <c r="O100" s="271"/>
      <c r="Q100">
        <v>20</v>
      </c>
      <c r="R100" s="274">
        <v>52</v>
      </c>
      <c r="S100" s="274">
        <v>10</v>
      </c>
      <c r="T100">
        <v>3.5</v>
      </c>
      <c r="U100">
        <v>3</v>
      </c>
      <c r="V100">
        <v>4</v>
      </c>
      <c r="W100">
        <v>1050</v>
      </c>
      <c r="X100" s="279" t="e" cm="1">
        <f t="array" aca="1" ref="X100" ca="1">TWSC_PED_DELAY($Q100,$W100,$R100,$S100,$T100,$U100,X$4,$V100)</f>
        <v>#NAME?</v>
      </c>
      <c r="Y100" s="279" cm="1">
        <f t="array" ref="Y100">PEDBIKE_DELAY($Q100,$W100,$R100,$S100,$T100,$U100,Y$4,$V100,TRUE)</f>
        <v>1525.1737007933084</v>
      </c>
      <c r="Z100" s="279" cm="1">
        <f t="array" ref="Z100">PEDBIKE_DELAY($Q100,$W100,$R100,$S100,$T100,$U100,Z$4,$V100,TRUE)</f>
        <v>787.4827945090251</v>
      </c>
      <c r="AA100" s="279" cm="1">
        <f t="array" ref="AA100">PEDBIKE_DELAY($Q100,$W100,$R100,$S100,$T100,$U100,AA$4,$V100,TRUE)</f>
        <v>413.72331928255352</v>
      </c>
      <c r="AB100" s="279" cm="1">
        <f t="array" ref="AB100">PEDBIKE_DELAY($Q100,$W100,$R100,$S100,$T100,$U100,AB$4,$V100,TRUE)</f>
        <v>238.77029431981629</v>
      </c>
      <c r="AC100" s="279" cm="1">
        <f t="array" ref="AC100">PEDBIKE_DELAY($Q100,$W100,$R100,$S100,$T100,$U100,AC$4,$V100,TRUE)</f>
        <v>148.99185906540521</v>
      </c>
      <c r="AD100" s="279" cm="1">
        <f t="array" ref="AD100">PEDBIKE_DELAY($Q100,$W100,$R100,$S100,$T100,$U100,AD$4,$V100,TRUE)</f>
        <v>98.197634647492094</v>
      </c>
      <c r="AE100" s="279" cm="1">
        <f t="array" ref="AE100">PEDBIKE_DELAY($Q100,$W100,$R100,$S100,$T100,$U100,AE$4,$V100,TRUE)</f>
        <v>47.700001394458866</v>
      </c>
      <c r="AF100" s="279" cm="1">
        <f t="array" ref="AF100">PEDBIKE_DELAY($Q100,$W100,$R100,$S100,$T100,$U100,AF$4,$V100,TRUE)</f>
        <v>25.596150547226763</v>
      </c>
      <c r="AG100" s="279" cm="1">
        <f t="array" ref="AG100">PEDBIKE_DELAY($Q100,$W100,$R100,$S100,$T100,$U100,AG$4,$V100,TRUE)</f>
        <v>6.7057029608585026</v>
      </c>
      <c r="AH100" s="279" cm="1">
        <f t="array" ref="AH100">PEDBIKE_DELAY($Q100,$W100,$R100,$S100,$T100,$U100,AH$4,$V100,TRUE)</f>
        <v>1.7081078548747801</v>
      </c>
    </row>
    <row r="101" spans="2:34" x14ac:dyDescent="0.25">
      <c r="B101">
        <v>68</v>
      </c>
      <c r="C101" s="272">
        <f t="shared" si="16"/>
        <v>1.7081189963359462E-11</v>
      </c>
      <c r="D101" s="272">
        <f t="shared" si="17"/>
        <v>0.62918926394653074</v>
      </c>
      <c r="E101" s="272">
        <f t="shared" si="12"/>
        <v>13.779461134677495</v>
      </c>
      <c r="F101" s="271">
        <f t="shared" si="13"/>
        <v>8.3663872115198311E-10</v>
      </c>
      <c r="G101" s="271">
        <f t="shared" si="18"/>
        <v>13.779461135514135</v>
      </c>
      <c r="H101" s="272">
        <f t="shared" si="21"/>
        <v>5.6023617390703593E-12</v>
      </c>
      <c r="I101" s="272">
        <f t="shared" si="19"/>
        <v>0.62918926397441788</v>
      </c>
      <c r="J101" s="272">
        <f t="shared" si="14"/>
        <v>42.739572399415252</v>
      </c>
      <c r="K101" s="271">
        <f t="shared" si="15"/>
        <v>2.7440365870164927E-10</v>
      </c>
      <c r="L101" s="271">
        <f t="shared" si="20"/>
        <v>42.739572399689656</v>
      </c>
      <c r="M101" s="271"/>
      <c r="N101" s="271"/>
      <c r="O101" s="271"/>
      <c r="Q101">
        <v>20</v>
      </c>
      <c r="R101" s="274">
        <v>52</v>
      </c>
      <c r="S101" s="274">
        <v>10</v>
      </c>
      <c r="T101">
        <v>3.5</v>
      </c>
      <c r="U101">
        <v>3</v>
      </c>
      <c r="V101">
        <v>4</v>
      </c>
      <c r="W101">
        <v>1060</v>
      </c>
      <c r="X101" s="279" t="e" cm="1">
        <f t="array" aca="1" ref="X101" ca="1">TWSC_PED_DELAY($Q101,$W101,$R101,$S101,$T101,$U101,X$4,$V101)</f>
        <v>#NAME?</v>
      </c>
      <c r="Y101" s="279" cm="1">
        <f t="array" ref="Y101">PEDBIKE_DELAY($Q101,$W101,$R101,$S101,$T101,$U101,Y$4,$V101,TRUE)</f>
        <v>1678.909169472493</v>
      </c>
      <c r="Z101" s="279" cm="1">
        <f t="array" ref="Z101">PEDBIKE_DELAY($Q101,$W101,$R101,$S101,$T101,$U101,Z$4,$V101,TRUE)</f>
        <v>841.66295883408691</v>
      </c>
      <c r="AA101" s="279" cm="1">
        <f t="array" ref="AA101">PEDBIKE_DELAY($Q101,$W101,$R101,$S101,$T101,$U101,AA$4,$V101,TRUE)</f>
        <v>434.76548100819593</v>
      </c>
      <c r="AB101" s="279" cm="1">
        <f t="array" ref="AB101">PEDBIKE_DELAY($Q101,$W101,$R101,$S101,$T101,$U101,AB$4,$V101,TRUE)</f>
        <v>248.74768221178354</v>
      </c>
      <c r="AC101" s="279" cm="1">
        <f t="array" ref="AC101">PEDBIKE_DELAY($Q101,$W101,$R101,$S101,$T101,$U101,AC$4,$V101,TRUE)</f>
        <v>154.17132586673071</v>
      </c>
      <c r="AD101" s="279" cm="1">
        <f t="array" ref="AD101">PEDBIKE_DELAY($Q101,$W101,$R101,$S101,$T101,$U101,AD$4,$V101,TRUE)</f>
        <v>101.028551994913</v>
      </c>
      <c r="AE101" s="279" cm="1">
        <f t="array" ref="AE101">PEDBIKE_DELAY($Q101,$W101,$R101,$S101,$T101,$U101,AE$4,$V101,TRUE)</f>
        <v>48.627526870190358</v>
      </c>
      <c r="AF101" s="279" cm="1">
        <f t="array" ref="AF101">PEDBIKE_DELAY($Q101,$W101,$R101,$S101,$T101,$U101,AF$4,$V101,TRUE)</f>
        <v>25.914847238963723</v>
      </c>
      <c r="AG101" s="279" cm="1">
        <f t="array" ref="AG101">PEDBIKE_DELAY($Q101,$W101,$R101,$S101,$T101,$U101,AG$4,$V101,TRUE)</f>
        <v>6.7114687832393765</v>
      </c>
      <c r="AH101" s="279" cm="1">
        <f t="array" ref="AH101">PEDBIKE_DELAY($Q101,$W101,$R101,$S101,$T101,$U101,AH$4,$V101,TRUE)</f>
        <v>1.6939012910366895</v>
      </c>
    </row>
    <row r="102" spans="2:34" x14ac:dyDescent="0.25">
      <c r="B102">
        <v>69</v>
      </c>
      <c r="C102" s="272">
        <f t="shared" si="16"/>
        <v>1.2100427991715009E-11</v>
      </c>
      <c r="D102" s="272">
        <f t="shared" si="17"/>
        <v>0.62918926395863117</v>
      </c>
      <c r="E102" s="272">
        <f t="shared" si="12"/>
        <v>13.779461140874155</v>
      </c>
      <c r="F102" s="271">
        <f t="shared" si="13"/>
        <v>5.926808347673489E-10</v>
      </c>
      <c r="G102" s="271">
        <f t="shared" si="18"/>
        <v>13.779461141466836</v>
      </c>
      <c r="H102" s="272">
        <f t="shared" si="21"/>
        <v>3.9687401847843317E-12</v>
      </c>
      <c r="I102" s="272">
        <f t="shared" si="19"/>
        <v>0.62918926397838659</v>
      </c>
      <c r="J102" s="272">
        <f t="shared" si="14"/>
        <v>42.739572399809255</v>
      </c>
      <c r="K102" s="271">
        <f t="shared" si="15"/>
        <v>1.9439005606848215E-10</v>
      </c>
      <c r="L102" s="271">
        <f t="shared" si="20"/>
        <v>42.739572400003645</v>
      </c>
      <c r="M102" s="271"/>
      <c r="N102" s="271"/>
      <c r="O102" s="271"/>
      <c r="Q102">
        <v>20</v>
      </c>
      <c r="R102" s="274">
        <v>52</v>
      </c>
      <c r="S102" s="274">
        <v>10</v>
      </c>
      <c r="T102">
        <v>3.5</v>
      </c>
      <c r="U102">
        <v>3</v>
      </c>
      <c r="V102">
        <v>4</v>
      </c>
      <c r="W102">
        <v>1070</v>
      </c>
      <c r="X102" s="279" t="e" cm="1">
        <f t="array" aca="1" ref="X102" ca="1">TWSC_PED_DELAY($Q102,$W102,$R102,$S102,$T102,$U102,X$4,$V102)</f>
        <v>#NAME?</v>
      </c>
      <c r="Y102" s="279" cm="1">
        <f t="array" ref="Y102">PEDBIKE_DELAY($Q102,$W102,$R102,$S102,$T102,$U102,Y$4,$V102,TRUE)</f>
        <v>1852.2666057623828</v>
      </c>
      <c r="Z102" s="279" cm="1">
        <f t="array" ref="Z102">PEDBIKE_DELAY($Q102,$W102,$R102,$S102,$T102,$U102,Z$4,$V102,TRUE)</f>
        <v>900.2884383026427</v>
      </c>
      <c r="AA102" s="279" cm="1">
        <f t="array" ref="AA102">PEDBIKE_DELAY($Q102,$W102,$R102,$S102,$T102,$U102,AA$4,$V102,TRUE)</f>
        <v>457.35075018593352</v>
      </c>
      <c r="AB102" s="279" cm="1">
        <f t="array" ref="AB102">PEDBIKE_DELAY($Q102,$W102,$R102,$S102,$T102,$U102,AB$4,$V102,TRUE)</f>
        <v>259.37921328598884</v>
      </c>
      <c r="AC102" s="279" cm="1">
        <f t="array" ref="AC102">PEDBIKE_DELAY($Q102,$W102,$R102,$S102,$T102,$U102,AC$4,$V102,TRUE)</f>
        <v>159.63784705507007</v>
      </c>
      <c r="AD102" s="279" cm="1">
        <f t="array" ref="AD102">PEDBIKE_DELAY($Q102,$W102,$R102,$S102,$T102,$U102,AD$4,$V102,TRUE)</f>
        <v>103.99176183456407</v>
      </c>
      <c r="AE102" s="279" cm="1">
        <f t="array" ref="AE102">PEDBIKE_DELAY($Q102,$W102,$R102,$S102,$T102,$U102,AE$4,$V102,TRUE)</f>
        <v>49.585734729450991</v>
      </c>
      <c r="AF102" s="279" cm="1">
        <f t="array" ref="AF102">PEDBIKE_DELAY($Q102,$W102,$R102,$S102,$T102,$U102,AF$4,$V102,TRUE)</f>
        <v>26.240888184242053</v>
      </c>
      <c r="AG102" s="279" cm="1">
        <f t="array" ref="AG102">PEDBIKE_DELAY($Q102,$W102,$R102,$S102,$T102,$U102,AG$4,$V102,TRUE)</f>
        <v>6.7173347982190252</v>
      </c>
      <c r="AH102" s="279" cm="1">
        <f t="array" ref="AH102">PEDBIKE_DELAY($Q102,$W102,$R102,$S102,$T102,$U102,AH$4,$V102,TRUE)</f>
        <v>1.679820441514311</v>
      </c>
    </row>
    <row r="103" spans="2:34" x14ac:dyDescent="0.25">
      <c r="B103">
        <v>70</v>
      </c>
      <c r="C103" s="272">
        <f t="shared" si="16"/>
        <v>8.572029457705489E-12</v>
      </c>
      <c r="D103" s="272">
        <f t="shared" si="17"/>
        <v>0.62918926396720321</v>
      </c>
      <c r="E103" s="272">
        <f t="shared" si="12"/>
        <v>13.779461145327996</v>
      </c>
      <c r="F103" s="271">
        <f t="shared" si="13"/>
        <v>4.1985933200328948E-10</v>
      </c>
      <c r="G103" s="271">
        <f t="shared" si="18"/>
        <v>13.779461145747856</v>
      </c>
      <c r="H103" s="272">
        <f t="shared" si="21"/>
        <v>2.8114917661512495E-12</v>
      </c>
      <c r="I103" s="272">
        <f t="shared" si="19"/>
        <v>0.62918926398119812</v>
      </c>
      <c r="J103" s="272">
        <f t="shared" si="14"/>
        <v>42.73957240008837</v>
      </c>
      <c r="K103" s="271">
        <f t="shared" si="15"/>
        <v>1.3770657289276603E-10</v>
      </c>
      <c r="L103" s="271">
        <f t="shared" si="20"/>
        <v>42.739572400226074</v>
      </c>
      <c r="M103" s="271"/>
      <c r="N103" s="271"/>
      <c r="O103" s="271"/>
      <c r="Q103">
        <v>20</v>
      </c>
      <c r="R103" s="274">
        <v>52</v>
      </c>
      <c r="S103" s="274">
        <v>10</v>
      </c>
      <c r="T103">
        <v>3.5</v>
      </c>
      <c r="U103">
        <v>3</v>
      </c>
      <c r="V103">
        <v>4</v>
      </c>
      <c r="W103">
        <v>1080</v>
      </c>
      <c r="X103" s="279" t="e" cm="1">
        <f t="array" aca="1" ref="X103" ca="1">TWSC_PED_DELAY($Q103,$W103,$R103,$S103,$T103,$U103,X$4,$V103)</f>
        <v>#NAME?</v>
      </c>
      <c r="Y103" s="279" cm="1">
        <f t="array" ref="Y103">PEDBIKE_DELAY($Q103,$W103,$R103,$S103,$T103,$U103,Y$4,$V103,TRUE)</f>
        <v>2048.1193264454587</v>
      </c>
      <c r="Z103" s="279" cm="1">
        <f t="array" ref="Z103">PEDBIKE_DELAY($Q103,$W103,$R103,$S103,$T103,$U103,Z$4,$V103,TRUE)</f>
        <v>963.79415915889933</v>
      </c>
      <c r="AA103" s="279" cm="1">
        <f t="array" ref="AA103">PEDBIKE_DELAY($Q103,$W103,$R103,$S103,$T103,$U103,AA$4,$V103,TRUE)</f>
        <v>481.64155928349373</v>
      </c>
      <c r="AB103" s="279" cm="1">
        <f t="array" ref="AB103">PEDBIKE_DELAY($Q103,$W103,$R103,$S103,$T103,$U103,AB$4,$V103,TRUE)</f>
        <v>270.71387035183665</v>
      </c>
      <c r="AC103" s="279" cm="1">
        <f t="array" ref="AC103">PEDBIKE_DELAY($Q103,$W103,$R103,$S103,$T103,$U103,AC$4,$V103,TRUE)</f>
        <v>165.4078580843252</v>
      </c>
      <c r="AD103" s="279" cm="1">
        <f t="array" ref="AD103">PEDBIKE_DELAY($Q103,$W103,$R103,$S103,$T103,$U103,AD$4,$V103,TRUE)</f>
        <v>107.09291099110791</v>
      </c>
      <c r="AE103" s="279" cm="1">
        <f t="array" ref="AE103">PEDBIKE_DELAY($Q103,$W103,$R103,$S103,$T103,$U103,AE$4,$V103,TRUE)</f>
        <v>50.57512486020817</v>
      </c>
      <c r="AF103" s="279" cm="1">
        <f t="array" ref="AF103">PEDBIKE_DELAY($Q103,$W103,$R103,$S103,$T103,$U103,AF$4,$V103,TRUE)</f>
        <v>26.574189772523695</v>
      </c>
      <c r="AG103" s="279" cm="1">
        <f t="array" ref="AG103">PEDBIKE_DELAY($Q103,$W103,$R103,$S103,$T103,$U103,AG$4,$V103,TRUE)</f>
        <v>6.7232767695523963</v>
      </c>
      <c r="AH103" s="279" cm="1">
        <f t="array" ref="AH103">PEDBIKE_DELAY($Q103,$W103,$R103,$S103,$T103,$U103,AH$4,$V103,TRUE)</f>
        <v>1.6658672329610116</v>
      </c>
    </row>
    <row r="104" spans="2:34" x14ac:dyDescent="0.25">
      <c r="B104">
        <v>71</v>
      </c>
      <c r="C104" s="272">
        <f t="shared" si="16"/>
        <v>6.0724868274802856E-12</v>
      </c>
      <c r="D104" s="272">
        <f t="shared" si="17"/>
        <v>0.62918926397327568</v>
      </c>
      <c r="E104" s="272">
        <f t="shared" si="12"/>
        <v>13.779461148528528</v>
      </c>
      <c r="F104" s="271">
        <f t="shared" si="13"/>
        <v>2.9743160353310431E-10</v>
      </c>
      <c r="G104" s="271">
        <f t="shared" si="18"/>
        <v>13.779461148825959</v>
      </c>
      <c r="H104" s="272">
        <f t="shared" si="21"/>
        <v>1.9916702719429467E-12</v>
      </c>
      <c r="I104" s="272">
        <f t="shared" si="19"/>
        <v>0.62918926398318975</v>
      </c>
      <c r="J104" s="272">
        <f t="shared" si="14"/>
        <v>42.739572400286093</v>
      </c>
      <c r="K104" s="271">
        <f t="shared" si="15"/>
        <v>9.7553160924310361E-11</v>
      </c>
      <c r="L104" s="271">
        <f t="shared" si="20"/>
        <v>42.739572400383643</v>
      </c>
      <c r="M104" s="271"/>
      <c r="N104" s="271"/>
      <c r="O104" s="271"/>
      <c r="Q104">
        <v>20</v>
      </c>
      <c r="R104" s="274">
        <v>52</v>
      </c>
      <c r="S104" s="274">
        <v>10</v>
      </c>
      <c r="T104">
        <v>3.5</v>
      </c>
      <c r="U104">
        <v>3</v>
      </c>
      <c r="V104">
        <v>4</v>
      </c>
      <c r="W104">
        <v>1090</v>
      </c>
      <c r="X104" s="279" t="e" cm="1">
        <f t="array" aca="1" ref="X104" ca="1">TWSC_PED_DELAY($Q104,$W104,$R104,$S104,$T104,$U104,X$4,$V104)</f>
        <v>#NAME?</v>
      </c>
      <c r="Y104" s="279" cm="1">
        <f t="array" ref="Y104">PEDBIKE_DELAY($Q104,$W104,$R104,$S104,$T104,$U104,Y$4,$V104,TRUE)</f>
        <v>2269.7844341849636</v>
      </c>
      <c r="Z104" s="279" cm="1">
        <f t="array" ref="Z104">PEDBIKE_DELAY($Q104,$W104,$R104,$S104,$T104,$U104,Z$4,$V104,TRUE)</f>
        <v>1032.6783428335536</v>
      </c>
      <c r="AA104" s="279" cm="1">
        <f t="array" ref="AA104">PEDBIKE_DELAY($Q104,$W104,$R104,$S104,$T104,$U104,AA$4,$V104,TRUE)</f>
        <v>507.81483968124041</v>
      </c>
      <c r="AB104" s="279" cm="1">
        <f t="array" ref="AB104">PEDBIKE_DELAY($Q104,$W104,$R104,$S104,$T104,$U104,AB$4,$V104,TRUE)</f>
        <v>282.80316022638664</v>
      </c>
      <c r="AC104" s="279" cm="1">
        <f t="array" ref="AC104">PEDBIKE_DELAY($Q104,$W104,$R104,$S104,$T104,$U104,AC$4,$V104,TRUE)</f>
        <v>171.49819695501307</v>
      </c>
      <c r="AD104" s="279" cm="1">
        <f t="array" ref="AD104">PEDBIKE_DELAY($Q104,$W104,$R104,$S104,$T104,$U104,AD$4,$V104,TRUE)</f>
        <v>110.33754383140804</v>
      </c>
      <c r="AE104" s="279" cm="1">
        <f t="array" ref="AE104">PEDBIKE_DELAY($Q104,$W104,$R104,$S104,$T104,$U104,AE$4,$V104,TRUE)</f>
        <v>51.596077224673394</v>
      </c>
      <c r="AF104" s="279" cm="1">
        <f t="array" ref="AF104">PEDBIKE_DELAY($Q104,$W104,$R104,$S104,$T104,$U104,AF$4,$V104,TRUE)</f>
        <v>26.914619274033907</v>
      </c>
      <c r="AG104" s="279" cm="1">
        <f t="array" ref="AG104">PEDBIKE_DELAY($Q104,$W104,$R104,$S104,$T104,$U104,AG$4,$V104,TRUE)</f>
        <v>6.7292670810489499</v>
      </c>
      <c r="AH104" s="279" cm="1">
        <f t="array" ref="AH104">PEDBIKE_DELAY($Q104,$W104,$R104,$S104,$T104,$U104,AH$4,$V104,TRUE)</f>
        <v>1.6520436533128808</v>
      </c>
    </row>
    <row r="105" spans="2:34" x14ac:dyDescent="0.25">
      <c r="B105">
        <v>72</v>
      </c>
      <c r="C105" s="272">
        <f t="shared" si="16"/>
        <v>4.3017967134691772E-12</v>
      </c>
      <c r="D105" s="272">
        <f t="shared" si="17"/>
        <v>0.62918926397757746</v>
      </c>
      <c r="E105" s="272">
        <f t="shared" si="12"/>
        <v>13.779461150827968</v>
      </c>
      <c r="F105" s="271">
        <f t="shared" si="13"/>
        <v>2.1070300921113809E-10</v>
      </c>
      <c r="G105" s="271">
        <f t="shared" si="18"/>
        <v>13.779461151038671</v>
      </c>
      <c r="H105" s="272">
        <f t="shared" si="21"/>
        <v>1.4109256113599925E-12</v>
      </c>
      <c r="I105" s="272">
        <f t="shared" si="19"/>
        <v>0.62918926398460062</v>
      </c>
      <c r="J105" s="272">
        <f t="shared" si="14"/>
        <v>42.739572400426162</v>
      </c>
      <c r="K105" s="271">
        <f t="shared" si="15"/>
        <v>6.9108456130557388E-11</v>
      </c>
      <c r="L105" s="271">
        <f t="shared" si="20"/>
        <v>42.73957240049527</v>
      </c>
      <c r="M105" s="271"/>
      <c r="N105" s="271"/>
      <c r="O105" s="271"/>
      <c r="Q105">
        <v>20</v>
      </c>
      <c r="R105" s="274">
        <v>52</v>
      </c>
      <c r="S105" s="274">
        <v>10</v>
      </c>
      <c r="T105">
        <v>3.5</v>
      </c>
      <c r="U105">
        <v>3</v>
      </c>
      <c r="V105">
        <v>4</v>
      </c>
      <c r="W105">
        <v>1100</v>
      </c>
      <c r="X105" s="279" t="e" cm="1">
        <f t="array" aca="1" ref="X105" ca="1">TWSC_PED_DELAY($Q105,$W105,$R105,$S105,$T105,$U105,X$4,$V105)</f>
        <v>#NAME?</v>
      </c>
      <c r="Y105" s="279" cm="1">
        <f t="array" ref="Y105">PEDBIKE_DELAY($Q105,$W105,$R105,$S105,$T105,$U105,Y$4,$V105,TRUE)</f>
        <v>2521.0865606917432</v>
      </c>
      <c r="Z105" s="279" cm="1">
        <f t="array" ref="Z105">PEDBIKE_DELAY($Q105,$W105,$R105,$S105,$T105,$U105,Z$4,$V105,TRUE)</f>
        <v>1107.5160845168743</v>
      </c>
      <c r="AA105" s="279" cm="1">
        <f t="array" ref="AA105">PEDBIKE_DELAY($Q105,$W105,$R105,$S105,$T105,$U105,AA$4,$V105,TRUE)</f>
        <v>536.06169930830765</v>
      </c>
      <c r="AB105" s="279" cm="1">
        <f t="array" ref="AB105">PEDBIKE_DELAY($Q105,$W105,$R105,$S105,$T105,$U105,AB$4,$V105,TRUE)</f>
        <v>295.7011670329702</v>
      </c>
      <c r="AC105" s="279" cm="1">
        <f t="array" ref="AC105">PEDBIKE_DELAY($Q105,$W105,$R105,$S105,$T105,$U105,AC$4,$V105,TRUE)</f>
        <v>177.92597988420601</v>
      </c>
      <c r="AD105" s="279" cm="1">
        <f t="array" ref="AD105">PEDBIKE_DELAY($Q105,$W105,$R105,$S105,$T105,$U105,AD$4,$V105,TRUE)</f>
        <v>113.73102299587453</v>
      </c>
      <c r="AE105" s="279" cm="1">
        <f t="array" ref="AE105">PEDBIKE_DELAY($Q105,$W105,$R105,$S105,$T105,$U105,AE$4,$V105,TRUE)</f>
        <v>52.648830376604451</v>
      </c>
      <c r="AF105" s="279" cm="1">
        <f t="array" ref="AF105">PEDBIKE_DELAY($Q105,$W105,$R105,$S105,$T105,$U105,AF$4,$V105,TRUE)</f>
        <v>27.26198953374929</v>
      </c>
      <c r="AG105" s="279" cm="1">
        <f t="array" ref="AG105">PEDBIKE_DELAY($Q105,$W105,$R105,$S105,$T105,$U105,AG$4,$V105,TRUE)</f>
        <v>6.7352745961866649</v>
      </c>
      <c r="AH105" s="279" cm="1">
        <f t="array" ref="AH105">PEDBIKE_DELAY($Q105,$W105,$R105,$S105,$T105,$U105,AH$4,$V105,TRUE)</f>
        <v>1.6383517444902906</v>
      </c>
    </row>
    <row r="106" spans="2:34" x14ac:dyDescent="0.25">
      <c r="B106">
        <v>73</v>
      </c>
      <c r="C106" s="272">
        <f t="shared" si="16"/>
        <v>3.0474283895041996E-12</v>
      </c>
      <c r="D106" s="272">
        <f t="shared" si="17"/>
        <v>0.62918926398062491</v>
      </c>
      <c r="E106" s="272">
        <f t="shared" si="12"/>
        <v>13.779461152479694</v>
      </c>
      <c r="F106" s="271">
        <f t="shared" si="13"/>
        <v>1.4926307358918929E-10</v>
      </c>
      <c r="G106" s="271">
        <f t="shared" si="18"/>
        <v>13.779461152628958</v>
      </c>
      <c r="H106" s="272">
        <f t="shared" si="21"/>
        <v>9.9952569237408544E-13</v>
      </c>
      <c r="I106" s="272">
        <f t="shared" si="19"/>
        <v>0.62918926398560016</v>
      </c>
      <c r="J106" s="272">
        <f t="shared" si="14"/>
        <v>42.73957240052539</v>
      </c>
      <c r="K106" s="271">
        <f t="shared" si="15"/>
        <v>4.8956766072471289E-11</v>
      </c>
      <c r="L106" s="271">
        <f t="shared" si="20"/>
        <v>42.739572400574346</v>
      </c>
      <c r="M106" s="271"/>
      <c r="N106" s="271"/>
      <c r="O106" s="271"/>
      <c r="Q106">
        <v>20</v>
      </c>
      <c r="R106" s="274">
        <v>52</v>
      </c>
      <c r="S106" s="274">
        <v>10</v>
      </c>
      <c r="T106">
        <v>3.5</v>
      </c>
      <c r="U106">
        <v>3</v>
      </c>
      <c r="V106">
        <v>4</v>
      </c>
      <c r="W106">
        <v>1110</v>
      </c>
      <c r="X106" s="279" t="e" cm="1">
        <f t="array" aca="1" ref="X106" ca="1">TWSC_PED_DELAY($Q106,$W106,$R106,$S106,$T106,$U106,X$4,$V106)</f>
        <v>#NAME?</v>
      </c>
      <c r="Y106" s="279" cm="1">
        <f t="array" ref="Y106">PEDBIKE_DELAY($Q106,$W106,$R106,$S106,$T106,$U106,Y$4,$V106,TRUE)</f>
        <v>2806.4303116029714</v>
      </c>
      <c r="Z106" s="279" cm="1">
        <f t="array" ref="Z106">PEDBIKE_DELAY($Q106,$W106,$R106,$S106,$T106,$U106,Z$4,$V106,TRUE)</f>
        <v>1188.9756459736345</v>
      </c>
      <c r="AA106" s="279" cm="1">
        <f t="array" ref="AA106">PEDBIKE_DELAY($Q106,$W106,$R106,$S106,$T106,$U106,AA$4,$V106,TRUE)</f>
        <v>566.58715948461042</v>
      </c>
      <c r="AB106" s="279" cm="1">
        <f t="array" ref="AB106">PEDBIKE_DELAY($Q106,$W106,$R106,$S106,$T106,$U106,AB$4,$V106,TRUE)</f>
        <v>309.46450838161894</v>
      </c>
      <c r="AC106" s="279" cm="1">
        <f t="array" ref="AC106">PEDBIKE_DELAY($Q106,$W106,$R106,$S106,$T106,$U106,AC$4,$V106,TRUE)</f>
        <v>184.70844213142107</v>
      </c>
      <c r="AD106" s="279" cm="1">
        <f t="array" ref="AD106">PEDBIKE_DELAY($Q106,$W106,$R106,$S106,$T106,$U106,AD$4,$V106,TRUE)</f>
        <v>117.27843656444161</v>
      </c>
      <c r="AE106" s="279" cm="1">
        <f t="array" ref="AE106">PEDBIKE_DELAY($Q106,$W106,$R106,$S106,$T106,$U106,AE$4,$V106,TRUE)</f>
        <v>53.733458143864802</v>
      </c>
      <c r="AF106" s="279" cm="1">
        <f t="array" ref="AF106">PEDBIKE_DELAY($Q106,$W106,$R106,$S106,$T106,$U106,AF$4,$V106,TRUE)</f>
        <v>27.616053489978178</v>
      </c>
      <c r="AG106" s="279" cm="1">
        <f t="array" ref="AG106">PEDBIKE_DELAY($Q106,$W106,$R106,$S106,$T106,$U106,AG$4,$V106,TRUE)</f>
        <v>6.7412645258382264</v>
      </c>
      <c r="AH106" s="279" cm="1">
        <f t="array" ref="AH106">PEDBIKE_DELAY($Q106,$W106,$R106,$S106,$T106,$U106,AH$4,$V106,TRUE)</f>
        <v>1.6247935917192979</v>
      </c>
    </row>
    <row r="107" spans="2:34" x14ac:dyDescent="0.25">
      <c r="B107">
        <v>74</v>
      </c>
      <c r="C107" s="272">
        <f t="shared" si="16"/>
        <v>2.158813629019138E-12</v>
      </c>
      <c r="D107" s="272">
        <f t="shared" si="17"/>
        <v>0.62918926398278374</v>
      </c>
      <c r="E107" s="272">
        <f t="shared" si="12"/>
        <v>13.779461153665924</v>
      </c>
      <c r="F107" s="271">
        <f t="shared" si="13"/>
        <v>1.0573873579295647E-10</v>
      </c>
      <c r="G107" s="271">
        <f t="shared" si="18"/>
        <v>13.779461153771663</v>
      </c>
      <c r="H107" s="272">
        <f t="shared" si="21"/>
        <v>7.0806885647306874E-13</v>
      </c>
      <c r="I107" s="272">
        <f t="shared" si="19"/>
        <v>0.62918926398630826</v>
      </c>
      <c r="J107" s="272">
        <f t="shared" si="14"/>
        <v>42.739572400595684</v>
      </c>
      <c r="K107" s="271">
        <f t="shared" si="15"/>
        <v>3.468069374208441E-11</v>
      </c>
      <c r="L107" s="271">
        <f t="shared" si="20"/>
        <v>42.739572400630365</v>
      </c>
      <c r="M107" s="271"/>
      <c r="N107" s="271"/>
      <c r="O107" s="271"/>
      <c r="Q107">
        <v>20</v>
      </c>
      <c r="R107" s="274">
        <v>52</v>
      </c>
      <c r="S107" s="274">
        <v>10</v>
      </c>
      <c r="T107">
        <v>3.5</v>
      </c>
      <c r="U107">
        <v>3</v>
      </c>
      <c r="V107">
        <v>4</v>
      </c>
      <c r="W107">
        <v>1120</v>
      </c>
      <c r="X107" s="279" t="e" cm="1">
        <f t="array" aca="1" ref="X107" ca="1">TWSC_PED_DELAY($Q107,$W107,$R107,$S107,$T107,$U107,X$4,$V107)</f>
        <v>#NAME?</v>
      </c>
      <c r="Y107" s="279" cm="1">
        <f t="array" ref="Y107">PEDBIKE_DELAY($Q107,$W107,$R107,$S107,$T107,$U107,Y$4,$V107,TRUE)</f>
        <v>3130.8793468488821</v>
      </c>
      <c r="Z107" s="279" cm="1">
        <f t="array" ref="Z107">PEDBIKE_DELAY($Q107,$W107,$R107,$S107,$T107,$U107,Z$4,$V107,TRUE)</f>
        <v>1277.8362929525044</v>
      </c>
      <c r="AA107" s="279" cm="1">
        <f t="array" ref="AA107">PEDBIKE_DELAY($Q107,$W107,$R107,$S107,$T107,$U107,AA$4,$V107,TRUE)</f>
        <v>599.61008997838189</v>
      </c>
      <c r="AB107" s="279" cm="1">
        <f t="array" ref="AB107">PEDBIKE_DELAY($Q107,$W107,$R107,$S107,$T107,$U107,AB$4,$V107,TRUE)</f>
        <v>324.15216753526153</v>
      </c>
      <c r="AC107" s="279" cm="1">
        <f t="array" ref="AC107">PEDBIKE_DELAY($Q107,$W107,$R107,$S107,$T107,$U107,AC$4,$V107,TRUE)</f>
        <v>191.86273964243986</v>
      </c>
      <c r="AD107" s="279" cm="1">
        <f t="array" ref="AD107">PEDBIKE_DELAY($Q107,$W107,$R107,$S107,$T107,$U107,AD$4,$V107,TRUE)</f>
        <v>120.98449060803748</v>
      </c>
      <c r="AE107" s="279" cm="1">
        <f t="array" ref="AE107">PEDBIKE_DELAY($Q107,$W107,$R107,$S107,$T107,$U107,AE$4,$V107,TRUE)</f>
        <v>54.849844575149596</v>
      </c>
      <c r="AF107" s="279" cm="1">
        <f t="array" ref="AF107">PEDBIKE_DELAY($Q107,$W107,$R107,$S107,$T107,$U107,AF$4,$V107,TRUE)</f>
        <v>27.976498584578032</v>
      </c>
      <c r="AG107" s="279" cm="1">
        <f t="array" ref="AG107">PEDBIKE_DELAY($Q107,$W107,$R107,$S107,$T107,$U107,AG$4,$V107,TRUE)</f>
        <v>6.7471983080332079</v>
      </c>
      <c r="AH107" s="279" cm="1">
        <f t="array" ref="AH107">PEDBIKE_DELAY($Q107,$W107,$R107,$S107,$T107,$U107,AH$4,$V107,TRUE)</f>
        <v>1.6113713095252595</v>
      </c>
    </row>
    <row r="108" spans="2:34" x14ac:dyDescent="0.25">
      <c r="B108">
        <v>75</v>
      </c>
      <c r="C108" s="272">
        <f t="shared" si="16"/>
        <v>1.5293147759595723E-12</v>
      </c>
      <c r="D108" s="272">
        <f t="shared" si="17"/>
        <v>0.62918926398431307</v>
      </c>
      <c r="E108" s="272">
        <f t="shared" si="12"/>
        <v>13.779461154517689</v>
      </c>
      <c r="F108" s="271">
        <f t="shared" si="13"/>
        <v>7.4905732288553938E-11</v>
      </c>
      <c r="G108" s="271">
        <f t="shared" si="18"/>
        <v>13.779461154592594</v>
      </c>
      <c r="H108" s="272">
        <f t="shared" si="21"/>
        <v>5.015919377374601E-13</v>
      </c>
      <c r="I108" s="272">
        <f t="shared" si="19"/>
        <v>0.62918926398680985</v>
      </c>
      <c r="J108" s="272">
        <f t="shared" si="14"/>
        <v>42.739572400645478</v>
      </c>
      <c r="K108" s="271">
        <f t="shared" si="15"/>
        <v>2.4567916258752966E-11</v>
      </c>
      <c r="L108" s="271">
        <f t="shared" si="20"/>
        <v>42.739572400670049</v>
      </c>
      <c r="M108" s="271"/>
      <c r="N108" s="271"/>
      <c r="O108" s="271"/>
      <c r="Q108">
        <v>20</v>
      </c>
      <c r="R108" s="274">
        <v>52</v>
      </c>
      <c r="S108" s="274">
        <v>10</v>
      </c>
      <c r="T108">
        <v>3.5</v>
      </c>
      <c r="U108">
        <v>3</v>
      </c>
      <c r="V108">
        <v>4</v>
      </c>
      <c r="W108">
        <v>1130</v>
      </c>
      <c r="X108" s="279" t="e" cm="1">
        <f t="array" aca="1" ref="X108" ca="1">TWSC_PED_DELAY($Q108,$W108,$R108,$S108,$T108,$U108,X$4,$V108)</f>
        <v>#NAME?</v>
      </c>
      <c r="Y108" s="279" cm="1">
        <f t="array" ref="Y108">PEDBIKE_DELAY($Q108,$W108,$R108,$S108,$T108,$U108,Y$4,$V108,TRUE)</f>
        <v>3500.2431126788651</v>
      </c>
      <c r="Z108" s="279" cm="1">
        <f t="array" ref="Z108">PEDBIKE_DELAY($Q108,$W108,$R108,$S108,$T108,$U108,Z$4,$V108,TRUE)</f>
        <v>1375.0068041328718</v>
      </c>
      <c r="AA108" s="279" cm="1">
        <f t="array" ref="AA108">PEDBIKE_DELAY($Q108,$W108,$R108,$S108,$T108,$U108,AA$4,$V108,TRUE)</f>
        <v>635.36344361027079</v>
      </c>
      <c r="AB108" s="279" cm="1">
        <f t="array" ref="AB108">PEDBIKE_DELAY($Q108,$W108,$R108,$S108,$T108,$U108,AB$4,$V108,TRUE)</f>
        <v>339.82518472302081</v>
      </c>
      <c r="AC108" s="279" cm="1">
        <f t="array" ref="AC108">PEDBIKE_DELAY($Q108,$W108,$R108,$S108,$T108,$U108,AC$4,$V108,TRUE)</f>
        <v>199.40570675666169</v>
      </c>
      <c r="AD108" s="279" cm="1">
        <f t="array" ref="AD108">PEDBIKE_DELAY($Q108,$W108,$R108,$S108,$T108,$U108,AD$4,$V108,TRUE)</f>
        <v>124.85338626844722</v>
      </c>
      <c r="AE108" s="279" cm="1">
        <f t="array" ref="AE108">PEDBIKE_DELAY($Q108,$W108,$R108,$S108,$T108,$U108,AE$4,$V108,TRUE)</f>
        <v>55.997657323388957</v>
      </c>
      <c r="AF108" s="279" cm="1">
        <f t="array" ref="AF108">PEDBIKE_DELAY($Q108,$W108,$R108,$S108,$T108,$U108,AF$4,$V108,TRUE)</f>
        <v>28.342941149346299</v>
      </c>
      <c r="AG108" s="279" cm="1">
        <f t="array" ref="AG108">PEDBIKE_DELAY($Q108,$W108,$R108,$S108,$T108,$U108,AG$4,$V108,TRUE)</f>
        <v>6.7530335043147343</v>
      </c>
      <c r="AH108" s="279" cm="1">
        <f t="array" ref="AH108">PEDBIKE_DELAY($Q108,$W108,$R108,$S108,$T108,$U108,AH$4,$V108,TRUE)</f>
        <v>1.5980870245297576</v>
      </c>
    </row>
    <row r="109" spans="2:34" x14ac:dyDescent="0.25">
      <c r="B109">
        <v>76</v>
      </c>
      <c r="C109" s="272">
        <f t="shared" si="16"/>
        <v>1.083372543977288E-12</v>
      </c>
      <c r="D109" s="272">
        <f t="shared" si="17"/>
        <v>0.62918926398539643</v>
      </c>
      <c r="E109" s="272">
        <f t="shared" si="12"/>
        <v>13.779461155129182</v>
      </c>
      <c r="F109" s="271">
        <f t="shared" si="13"/>
        <v>5.3064102655453405E-11</v>
      </c>
      <c r="G109" s="271">
        <f t="shared" si="18"/>
        <v>13.779461155182245</v>
      </c>
      <c r="H109" s="272">
        <f t="shared" si="21"/>
        <v>3.5532936030762629E-13</v>
      </c>
      <c r="I109" s="272">
        <f t="shared" si="19"/>
        <v>0.62918926398716524</v>
      </c>
      <c r="J109" s="272">
        <f t="shared" si="14"/>
        <v>42.739572400680757</v>
      </c>
      <c r="K109" s="271">
        <f t="shared" si="15"/>
        <v>1.740302012680433E-11</v>
      </c>
      <c r="L109" s="271">
        <f t="shared" si="20"/>
        <v>42.739572400698158</v>
      </c>
      <c r="M109" s="271"/>
      <c r="N109" s="271"/>
      <c r="O109" s="271"/>
      <c r="Q109">
        <v>20</v>
      </c>
      <c r="R109" s="274">
        <v>52</v>
      </c>
      <c r="S109" s="274">
        <v>10</v>
      </c>
      <c r="T109">
        <v>3.5</v>
      </c>
      <c r="U109">
        <v>3</v>
      </c>
      <c r="V109">
        <v>4</v>
      </c>
      <c r="W109">
        <v>1140</v>
      </c>
      <c r="X109" s="279" t="e" cm="1">
        <f t="array" aca="1" ref="X109" ca="1">TWSC_PED_DELAY($Q109,$W109,$R109,$S109,$T109,$U109,X$4,$V109)</f>
        <v>#NAME?</v>
      </c>
      <c r="Y109" s="279" cm="1">
        <f t="array" ref="Y109">PEDBIKE_DELAY($Q109,$W109,$R109,$S109,$T109,$U109,Y$4,$V109,TRUE)</f>
        <v>3921.1714118852096</v>
      </c>
      <c r="Z109" s="279" cm="1">
        <f t="array" ref="Z109">PEDBIKE_DELAY($Q109,$W109,$R109,$S109,$T109,$U109,Z$4,$V109,TRUE)</f>
        <v>1481.5429408971424</v>
      </c>
      <c r="AA109" s="279" cm="1">
        <f t="array" ref="AA109">PEDBIKE_DELAY($Q109,$W109,$R109,$S109,$T109,$U109,AA$4,$V109,TRUE)</f>
        <v>674.09472792159795</v>
      </c>
      <c r="AB109" s="279" cm="1">
        <f t="array" ref="AB109">PEDBIKE_DELAY($Q109,$W109,$R109,$S109,$T109,$U109,AB$4,$V109,TRUE)</f>
        <v>356.54619475085389</v>
      </c>
      <c r="AC109" s="279" cm="1">
        <f t="array" ref="AC109">PEDBIKE_DELAY($Q109,$W109,$R109,$S109,$T109,$U109,AC$4,$V109,TRUE)</f>
        <v>207.35356521561121</v>
      </c>
      <c r="AD109" s="279" cm="1">
        <f t="array" ref="AD109">PEDBIKE_DELAY($Q109,$W109,$R109,$S109,$T109,$U109,AD$4,$V109,TRUE)</f>
        <v>128.88868079969808</v>
      </c>
      <c r="AE109" s="279" cm="1">
        <f t="array" ref="AE109">PEDBIKE_DELAY($Q109,$W109,$R109,$S109,$T109,$U109,AE$4,$V109,TRUE)</f>
        <v>57.176319724096871</v>
      </c>
      <c r="AF109" s="279" cm="1">
        <f t="array" ref="AF109">PEDBIKE_DELAY($Q109,$W109,$R109,$S109,$T109,$U109,AF$4,$V109,TRUE)</f>
        <v>28.714920872214279</v>
      </c>
      <c r="AG109" s="279" cm="1">
        <f t="array" ref="AG109">PEDBIKE_DELAY($Q109,$W109,$R109,$S109,$T109,$U109,AG$4,$V109,TRUE)</f>
        <v>6.7587237179237842</v>
      </c>
      <c r="AH109" s="279" cm="1">
        <f t="array" ref="AH109">PEDBIKE_DELAY($Q109,$W109,$R109,$S109,$T109,$U109,AH$4,$V109,TRUE)</f>
        <v>1.5849428552692273</v>
      </c>
    </row>
    <row r="110" spans="2:34" x14ac:dyDescent="0.25">
      <c r="B110">
        <v>77</v>
      </c>
      <c r="C110" s="272">
        <f t="shared" si="16"/>
        <v>7.6747386523441108E-13</v>
      </c>
      <c r="D110" s="272">
        <f t="shared" si="17"/>
        <v>0.62918926398616393</v>
      </c>
      <c r="E110" s="272">
        <f t="shared" si="12"/>
        <v>13.779461155568107</v>
      </c>
      <c r="F110" s="271">
        <f t="shared" si="13"/>
        <v>3.7590523473897351E-11</v>
      </c>
      <c r="G110" s="271">
        <f t="shared" si="18"/>
        <v>13.779461155605699</v>
      </c>
      <c r="H110" s="272">
        <f t="shared" si="21"/>
        <v>2.5170242131849436E-13</v>
      </c>
      <c r="I110" s="272">
        <f t="shared" si="19"/>
        <v>0.62918926398741692</v>
      </c>
      <c r="J110" s="272">
        <f t="shared" si="14"/>
        <v>42.739572400705747</v>
      </c>
      <c r="K110" s="271">
        <f t="shared" si="15"/>
        <v>1.2328724740635144E-11</v>
      </c>
      <c r="L110" s="271">
        <f t="shared" si="20"/>
        <v>42.739572400718075</v>
      </c>
      <c r="M110" s="271"/>
      <c r="N110" s="271"/>
      <c r="O110" s="271"/>
      <c r="Q110">
        <v>20</v>
      </c>
      <c r="R110" s="274">
        <v>52</v>
      </c>
      <c r="S110" s="274">
        <v>10</v>
      </c>
      <c r="T110">
        <v>3.5</v>
      </c>
      <c r="U110">
        <v>3</v>
      </c>
      <c r="V110">
        <v>4</v>
      </c>
      <c r="W110">
        <v>1150</v>
      </c>
      <c r="X110" s="279" t="e" cm="1">
        <f t="array" aca="1" ref="X110" ca="1">TWSC_PED_DELAY($Q110,$W110,$R110,$S110,$T110,$U110,X$4,$V110)</f>
        <v>#NAME?</v>
      </c>
      <c r="Y110" s="279" cm="1">
        <f t="array" ref="Y110">PEDBIKE_DELAY($Q110,$W110,$R110,$S110,$T110,$U110,Y$4,$V110,TRUE)</f>
        <v>4401.2582820833686</v>
      </c>
      <c r="Z110" s="279" cm="1">
        <f t="array" ref="Z110">PEDBIKE_DELAY($Q110,$W110,$R110,$S110,$T110,$U110,Z$4,$V110,TRUE)</f>
        <v>1598.6618782296146</v>
      </c>
      <c r="AA110" s="279" cm="1">
        <f t="array" ref="AA110">PEDBIKE_DELAY($Q110,$W110,$R110,$S110,$T110,$U110,AA$4,$V110,TRUE)</f>
        <v>716.06648132447162</v>
      </c>
      <c r="AB110" s="279" cm="1">
        <f t="array" ref="AB110">PEDBIKE_DELAY($Q110,$W110,$R110,$S110,$T110,$U110,AB$4,$V110,TRUE)</f>
        <v>374.37879606217541</v>
      </c>
      <c r="AC110" s="279" cm="1">
        <f t="array" ref="AC110">PEDBIKE_DELAY($Q110,$W110,$R110,$S110,$T110,$U110,AC$4,$V110,TRUE)</f>
        <v>215.72158008620602</v>
      </c>
      <c r="AD110" s="279" cm="1">
        <f t="array" ref="AD110">PEDBIKE_DELAY($Q110,$W110,$R110,$S110,$T110,$U110,AD$4,$V110,TRUE)</f>
        <v>133.093132408483</v>
      </c>
      <c r="AE110" s="279" cm="1">
        <f t="array" ref="AE110">PEDBIKE_DELAY($Q110,$W110,$R110,$S110,$T110,$U110,AE$4,$V110,TRUE)</f>
        <v>58.384981928254469</v>
      </c>
      <c r="AF110" s="279" cm="1">
        <f t="array" ref="AF110">PEDBIKE_DELAY($Q110,$W110,$R110,$S110,$T110,$U110,AF$4,$V110,TRUE)</f>
        <v>29.091895467305015</v>
      </c>
      <c r="AG110" s="279" cm="1">
        <f t="array" ref="AG110">PEDBIKE_DELAY($Q110,$W110,$R110,$S110,$T110,$U110,AG$4,$V110,TRUE)</f>
        <v>6.7642185397189118</v>
      </c>
      <c r="AH110" s="279" cm="1">
        <f t="array" ref="AH110">PEDBIKE_DELAY($Q110,$W110,$R110,$S110,$T110,$U110,AH$4,$V110,TRUE)</f>
        <v>1.5719408893472369</v>
      </c>
    </row>
    <row r="111" spans="2:34" x14ac:dyDescent="0.25">
      <c r="B111">
        <v>78</v>
      </c>
      <c r="C111" s="272">
        <f t="shared" si="16"/>
        <v>5.4367723004794792E-13</v>
      </c>
      <c r="D111" s="272">
        <f t="shared" si="17"/>
        <v>0.6291892639867076</v>
      </c>
      <c r="E111" s="272">
        <f t="shared" si="12"/>
        <v>13.779461155883107</v>
      </c>
      <c r="F111" s="271">
        <f t="shared" si="13"/>
        <v>2.6629418707214291E-11</v>
      </c>
      <c r="G111" s="271">
        <f t="shared" si="18"/>
        <v>13.779461155909736</v>
      </c>
      <c r="H111" s="272">
        <f t="shared" si="21"/>
        <v>1.7831214618935911E-13</v>
      </c>
      <c r="I111" s="272">
        <f t="shared" si="19"/>
        <v>0.62918926398759523</v>
      </c>
      <c r="J111" s="272">
        <f t="shared" si="14"/>
        <v>42.739572400723446</v>
      </c>
      <c r="K111" s="271">
        <f t="shared" si="15"/>
        <v>8.733965856564693E-12</v>
      </c>
      <c r="L111" s="271">
        <f t="shared" si="20"/>
        <v>42.739572400732179</v>
      </c>
      <c r="M111" s="271"/>
      <c r="N111" s="271"/>
      <c r="O111" s="271"/>
      <c r="Q111">
        <v>20</v>
      </c>
      <c r="R111" s="274">
        <v>52</v>
      </c>
      <c r="S111" s="274">
        <v>10</v>
      </c>
      <c r="T111">
        <v>3.5</v>
      </c>
      <c r="U111">
        <v>3</v>
      </c>
      <c r="V111">
        <v>4</v>
      </c>
      <c r="W111">
        <v>1160</v>
      </c>
      <c r="X111" s="279" t="e" cm="1">
        <f t="array" aca="1" ref="X111" ca="1">TWSC_PED_DELAY($Q111,$W111,$R111,$S111,$T111,$U111,X$4,$V111)</f>
        <v>#NAME?</v>
      </c>
      <c r="Y111" s="279" cm="1">
        <f t="array" ref="Y111">PEDBIKE_DELAY($Q111,$W111,$R111,$S111,$T111,$U111,Y$4,$V111,TRUE)</f>
        <v>4949.1587938485109</v>
      </c>
      <c r="Z111" s="279" cm="1">
        <f t="array" ref="Z111">PEDBIKE_DELAY($Q111,$W111,$R111,$S111,$T111,$U111,Z$4,$V111,TRUE)</f>
        <v>1727.7517039715322</v>
      </c>
      <c r="AA111" s="279" cm="1">
        <f t="array" ref="AA111">PEDBIKE_DELAY($Q111,$W111,$R111,$S111,$T111,$U111,AA$4,$V111,TRUE)</f>
        <v>761.55640282591878</v>
      </c>
      <c r="AB111" s="279" cm="1">
        <f t="array" ref="AB111">PEDBIKE_DELAY($Q111,$W111,$R111,$S111,$T111,$U111,AB$4,$V111,TRUE)</f>
        <v>393.38673167062393</v>
      </c>
      <c r="AC111" s="279" cm="1">
        <f t="array" ref="AC111">PEDBIKE_DELAY($Q111,$W111,$R111,$S111,$T111,$U111,AC$4,$V111,TRUE)</f>
        <v>224.52365898079634</v>
      </c>
      <c r="AD111" s="279" cm="1">
        <f t="array" ref="AD111">PEDBIKE_DELAY($Q111,$W111,$R111,$S111,$T111,$U111,AD$4,$V111,TRUE)</f>
        <v>137.4685292688813</v>
      </c>
      <c r="AE111" s="279" cm="1">
        <f t="array" ref="AE111">PEDBIKE_DELAY($Q111,$W111,$R111,$S111,$T111,$U111,AE$4,$V111,TRUE)</f>
        <v>59.622491560421359</v>
      </c>
      <c r="AF111" s="279" cm="1">
        <f t="array" ref="AF111">PEDBIKE_DELAY($Q111,$W111,$R111,$S111,$T111,$U111,AF$4,$V111,TRUE)</f>
        <v>29.473235694524753</v>
      </c>
      <c r="AG111" s="279" cm="1">
        <f t="array" ref="AG111">PEDBIKE_DELAY($Q111,$W111,$R111,$S111,$T111,$U111,AG$4,$V111,TRUE)</f>
        <v>6.769463528412877</v>
      </c>
      <c r="AH111" s="279" cm="1">
        <f t="array" ref="AH111">PEDBIKE_DELAY($Q111,$W111,$R111,$S111,$T111,$U111,AH$4,$V111,TRUE)</f>
        <v>1.5590831583293627</v>
      </c>
    </row>
    <row r="112" spans="2:34" x14ac:dyDescent="0.25">
      <c r="B112">
        <v>79</v>
      </c>
      <c r="C112" s="272">
        <f t="shared" si="16"/>
        <v>3.8514517124451805E-13</v>
      </c>
      <c r="D112" s="272">
        <f t="shared" si="17"/>
        <v>0.62918926398709274</v>
      </c>
      <c r="E112" s="272">
        <f t="shared" si="12"/>
        <v>13.779461156109134</v>
      </c>
      <c r="F112" s="271">
        <f t="shared" si="13"/>
        <v>1.8864649984399599E-11</v>
      </c>
      <c r="G112" s="271">
        <f t="shared" si="18"/>
        <v>13.779461156127999</v>
      </c>
      <c r="H112" s="272">
        <f t="shared" si="21"/>
        <v>1.2632062353501802E-13</v>
      </c>
      <c r="I112" s="272">
        <f t="shared" si="19"/>
        <v>0.62918926398772157</v>
      </c>
      <c r="J112" s="272">
        <f t="shared" si="14"/>
        <v>42.739572400735987</v>
      </c>
      <c r="K112" s="271">
        <f t="shared" si="15"/>
        <v>6.1867456759469025E-12</v>
      </c>
      <c r="L112" s="271">
        <f t="shared" si="20"/>
        <v>42.739572400742176</v>
      </c>
      <c r="M112" s="271"/>
      <c r="N112" s="271"/>
      <c r="O112" s="271"/>
      <c r="Q112">
        <v>20</v>
      </c>
      <c r="R112" s="274">
        <v>52</v>
      </c>
      <c r="S112" s="274">
        <v>10</v>
      </c>
      <c r="T112">
        <v>3.5</v>
      </c>
      <c r="U112">
        <v>3</v>
      </c>
      <c r="V112">
        <v>4</v>
      </c>
      <c r="W112">
        <v>1170</v>
      </c>
      <c r="X112" s="279" t="e" cm="1">
        <f t="array" aca="1" ref="X112" ca="1">TWSC_PED_DELAY($Q112,$W112,$R112,$S112,$T112,$U112,X$4,$V112)</f>
        <v>#NAME?</v>
      </c>
      <c r="Y112" s="279" cm="1">
        <f t="array" ref="Y112">PEDBIKE_DELAY($Q112,$W112,$R112,$S112,$T112,$U112,Y$4,$V112,TRUE)</f>
        <v>5574.7260040278134</v>
      </c>
      <c r="Z112" s="279" cm="1">
        <f t="array" ref="Z112">PEDBIKE_DELAY($Q112,$W112,$R112,$S112,$T112,$U112,Z$4,$V112,TRUE)</f>
        <v>1870.3749537952162</v>
      </c>
      <c r="AA112" s="279" cm="1">
        <f t="array" ref="AA112">PEDBIKE_DELAY($Q112,$W112,$R112,$S112,$T112,$U112,AA$4,$V112,TRUE)</f>
        <v>810.85677512264806</v>
      </c>
      <c r="AB112" s="279" cm="1">
        <f t="array" ref="AB112">PEDBIKE_DELAY($Q112,$W112,$R112,$S112,$T112,$U112,AB$4,$V112,TRUE)</f>
        <v>413.63285873392033</v>
      </c>
      <c r="AC112" s="279" cm="1">
        <f t="array" ref="AC112">PEDBIKE_DELAY($Q112,$W112,$R112,$S112,$T112,$U112,AC$4,$V112,TRUE)</f>
        <v>233.7718921820202</v>
      </c>
      <c r="AD112" s="279" cm="1">
        <f t="array" ref="AD112">PEDBIKE_DELAY($Q112,$W112,$R112,$S112,$T112,$U112,AD$4,$V112,TRUE)</f>
        <v>142.01550376934298</v>
      </c>
      <c r="AE112" s="279" cm="1">
        <f t="array" ref="AE112">PEDBIKE_DELAY($Q112,$W112,$R112,$S112,$T112,$U112,AE$4,$V112,TRUE)</f>
        <v>60.887364498945693</v>
      </c>
      <c r="AF112" s="279" cm="1">
        <f t="array" ref="AF112">PEDBIKE_DELAY($Q112,$W112,$R112,$S112,$T112,$U112,AF$4,$V112,TRUE)</f>
        <v>29.858220893978171</v>
      </c>
      <c r="AG112" s="279" cm="1">
        <f t="array" ref="AG112">PEDBIKE_DELAY($Q112,$W112,$R112,$S112,$T112,$U112,AG$4,$V112,TRUE)</f>
        <v>6.7744002323195724</v>
      </c>
      <c r="AH112" s="279" cm="1">
        <f t="array" ref="AH112">PEDBIKE_DELAY($Q112,$W112,$R112,$S112,$T112,$U112,AH$4,$V112,TRUE)</f>
        <v>1.5463716108865462</v>
      </c>
    </row>
    <row r="113" spans="2:34" x14ac:dyDescent="0.25">
      <c r="B113">
        <v>80</v>
      </c>
      <c r="C113" s="272">
        <f t="shared" si="16"/>
        <v>2.728421873790702E-13</v>
      </c>
      <c r="D113" s="272">
        <f t="shared" si="17"/>
        <v>0.62918926398736563</v>
      </c>
      <c r="E113" s="272">
        <f t="shared" si="12"/>
        <v>13.779461156271294</v>
      </c>
      <c r="F113" s="271">
        <f t="shared" si="13"/>
        <v>1.3362833460710206E-11</v>
      </c>
      <c r="G113" s="271">
        <f t="shared" si="18"/>
        <v>13.779461156284658</v>
      </c>
      <c r="H113" s="272">
        <f t="shared" si="21"/>
        <v>8.9479806112452537E-14</v>
      </c>
      <c r="I113" s="272">
        <f t="shared" si="19"/>
        <v>0.62918926398781105</v>
      </c>
      <c r="J113" s="272">
        <f t="shared" si="14"/>
        <v>42.739572400744869</v>
      </c>
      <c r="K113" s="271">
        <f t="shared" si="15"/>
        <v>4.3826512422228778E-12</v>
      </c>
      <c r="L113" s="271">
        <f t="shared" si="20"/>
        <v>42.739572400749253</v>
      </c>
      <c r="M113" s="271"/>
      <c r="N113" s="271"/>
      <c r="O113" s="271"/>
      <c r="Q113">
        <v>20</v>
      </c>
      <c r="R113" s="274">
        <v>52</v>
      </c>
      <c r="S113" s="274">
        <v>10</v>
      </c>
      <c r="T113">
        <v>3.5</v>
      </c>
      <c r="U113">
        <v>3</v>
      </c>
      <c r="V113">
        <v>4</v>
      </c>
      <c r="W113">
        <v>1180</v>
      </c>
      <c r="X113" s="279" t="e" cm="1">
        <f t="array" aca="1" ref="X113" ca="1">TWSC_PED_DELAY($Q113,$W113,$R113,$S113,$T113,$U113,X$4,$V113)</f>
        <v>#NAME?</v>
      </c>
      <c r="Y113" s="279" cm="1">
        <f t="array" ref="Y113">PEDBIKE_DELAY($Q113,$W113,$R113,$S113,$T113,$U113,Y$4,$V113,TRUE)</f>
        <v>6289.1815561389085</v>
      </c>
      <c r="Z113" s="279" cm="1">
        <f t="array" ref="Z113">PEDBIKE_DELAY($Q113,$W113,$R113,$S113,$T113,$U113,Z$4,$V113,TRUE)</f>
        <v>2028.2668068286223</v>
      </c>
      <c r="AA113" s="279" cm="1">
        <f t="array" ref="AA113">PEDBIKE_DELAY($Q113,$W113,$R113,$S113,$T113,$U113,AA$4,$V113,TRUE)</f>
        <v>864.27290595337479</v>
      </c>
      <c r="AB113" s="279" cm="1">
        <f t="array" ref="AB113">PEDBIKE_DELAY($Q113,$W113,$R113,$S113,$T113,$U113,AB$4,$V113,TRUE)</f>
        <v>435.17788283063339</v>
      </c>
      <c r="AC113" s="279" cm="1">
        <f t="array" ref="AC113">PEDBIKE_DELAY($Q113,$W113,$R113,$S113,$T113,$U113,AC$4,$V113,TRUE)</f>
        <v>243.47603304371466</v>
      </c>
      <c r="AD113" s="279" cm="1">
        <f t="array" ref="AD113">PEDBIKE_DELAY($Q113,$W113,$R113,$S113,$T113,$U113,AD$4,$V113,TRUE)</f>
        <v>146.73333388744422</v>
      </c>
      <c r="AE113" s="279" cm="1">
        <f t="array" ref="AE113">PEDBIKE_DELAY($Q113,$W113,$R113,$S113,$T113,$U113,AE$4,$V113,TRUE)</f>
        <v>62.17775650555761</v>
      </c>
      <c r="AF113" s="279" cm="1">
        <f t="array" ref="AF113">PEDBIKE_DELAY($Q113,$W113,$R113,$S113,$T113,$U113,AF$4,$V113,TRUE)</f>
        <v>30.246035226863579</v>
      </c>
      <c r="AG113" s="279" cm="1">
        <f t="array" ref="AG113">PEDBIKE_DELAY($Q113,$W113,$R113,$S113,$T113,$U113,AG$4,$V113,TRUE)</f>
        <v>6.7789662603417815</v>
      </c>
      <c r="AH113" s="279" cm="1">
        <f t="array" ref="AH113">PEDBIKE_DELAY($Q113,$W113,$R113,$S113,$T113,$U113,AH$4,$V113,TRUE)</f>
        <v>1.5338080847847928</v>
      </c>
    </row>
    <row r="114" spans="2:34" x14ac:dyDescent="0.25">
      <c r="B114">
        <v>81</v>
      </c>
      <c r="C114" s="272">
        <f t="shared" si="16"/>
        <v>1.9326861161047093E-13</v>
      </c>
      <c r="D114" s="272">
        <f t="shared" si="17"/>
        <v>0.62918926398755892</v>
      </c>
      <c r="E114" s="272">
        <f t="shared" si="12"/>
        <v>13.779461156387606</v>
      </c>
      <c r="F114" s="271">
        <f t="shared" si="13"/>
        <v>9.465899950643796E-12</v>
      </c>
      <c r="G114" s="271">
        <f t="shared" si="18"/>
        <v>13.779461156397073</v>
      </c>
      <c r="H114" s="272">
        <f t="shared" si="21"/>
        <v>6.33869248799501E-14</v>
      </c>
      <c r="I114" s="272">
        <f t="shared" si="19"/>
        <v>0.62918926398787445</v>
      </c>
      <c r="J114" s="272">
        <f t="shared" si="14"/>
        <v>42.739572400751165</v>
      </c>
      <c r="K114" s="271">
        <f t="shared" si="15"/>
        <v>3.1045644907881165E-12</v>
      </c>
      <c r="L114" s="271">
        <f t="shared" si="20"/>
        <v>42.73957240075427</v>
      </c>
      <c r="M114" s="271"/>
      <c r="N114" s="271"/>
      <c r="O114" s="271"/>
      <c r="Q114">
        <v>20</v>
      </c>
      <c r="R114" s="274">
        <v>52</v>
      </c>
      <c r="S114" s="274">
        <v>10</v>
      </c>
      <c r="T114">
        <v>3.5</v>
      </c>
      <c r="U114">
        <v>3</v>
      </c>
      <c r="V114">
        <v>4</v>
      </c>
      <c r="W114">
        <v>1190</v>
      </c>
      <c r="X114" s="279" t="e" cm="1">
        <f t="array" aca="1" ref="X114" ca="1">TWSC_PED_DELAY($Q114,$W114,$R114,$S114,$T114,$U114,X$4,$V114)</f>
        <v>#NAME?</v>
      </c>
      <c r="Y114" s="279" cm="1">
        <f t="array" ref="Y114">PEDBIKE_DELAY($Q114,$W114,$R114,$S114,$T114,$U114,Y$4,$V114,TRUE)</f>
        <v>7105.3435294518131</v>
      </c>
      <c r="Z114" s="279" cm="1">
        <f t="array" ref="Z114">PEDBIKE_DELAY($Q114,$W114,$R114,$S114,$T114,$U114,Z$4,$V114,TRUE)</f>
        <v>2203.3304531895651</v>
      </c>
      <c r="AA114" s="279" cm="1">
        <f t="array" ref="AA114">PEDBIKE_DELAY($Q114,$W114,$R114,$S114,$T114,$U114,AA$4,$V114,TRUE)</f>
        <v>922.12041581864946</v>
      </c>
      <c r="AB114" s="279" cm="1">
        <f t="array" ref="AB114">PEDBIKE_DELAY($Q114,$W114,$R114,$S114,$T114,$U114,AB$4,$V114,TRUE)</f>
        <v>458.07883545664509</v>
      </c>
      <c r="AC114" s="279" cm="1">
        <f t="array" ref="AC114">PEDBIKE_DELAY($Q114,$W114,$R114,$S114,$T114,$U114,AC$4,$V114,TRUE)</f>
        <v>253.64292041404224</v>
      </c>
      <c r="AD114" s="279" cm="1">
        <f t="array" ref="AD114">PEDBIKE_DELAY($Q114,$W114,$R114,$S114,$T114,$U114,AD$4,$V114,TRUE)</f>
        <v>151.61973458207214</v>
      </c>
      <c r="AE114" s="279" cm="1">
        <f t="array" ref="AE114">PEDBIKE_DELAY($Q114,$W114,$R114,$S114,$T114,$U114,AE$4,$V114,TRUE)</f>
        <v>63.491436573146508</v>
      </c>
      <c r="AF114" s="279" cm="1">
        <f t="array" ref="AF114">PEDBIKE_DELAY($Q114,$W114,$R114,$S114,$T114,$U114,AF$4,$V114,TRUE)</f>
        <v>30.635764825199196</v>
      </c>
      <c r="AG114" s="279" cm="1">
        <f t="array" ref="AG114">PEDBIKE_DELAY($Q114,$W114,$R114,$S114,$T114,$U114,AG$4,$V114,TRUE)</f>
        <v>6.7830954103280732</v>
      </c>
      <c r="AH114" s="279" cm="1">
        <f t="array" ref="AH114">PEDBIKE_DELAY($Q114,$W114,$R114,$S114,$T114,$U114,AH$4,$V114,TRUE)</f>
        <v>1.5213942784018859</v>
      </c>
    </row>
    <row r="115" spans="2:34" x14ac:dyDescent="0.25">
      <c r="B115">
        <v>82</v>
      </c>
      <c r="C115" s="272">
        <f t="shared" si="16"/>
        <v>1.3690669321619457E-13</v>
      </c>
      <c r="D115" s="272">
        <f t="shared" si="17"/>
        <v>0.62918926398769581</v>
      </c>
      <c r="E115" s="272">
        <f t="shared" si="12"/>
        <v>13.779461156471022</v>
      </c>
      <c r="F115" s="271">
        <f t="shared" si="13"/>
        <v>6.7060383665473663E-12</v>
      </c>
      <c r="G115" s="271">
        <f t="shared" si="18"/>
        <v>13.779461156477728</v>
      </c>
      <c r="H115" s="272">
        <f t="shared" si="21"/>
        <v>4.4901769565112759E-14</v>
      </c>
      <c r="I115" s="272">
        <f t="shared" si="19"/>
        <v>0.6291892639879193</v>
      </c>
      <c r="J115" s="272">
        <f t="shared" si="14"/>
        <v>42.73957240075562</v>
      </c>
      <c r="K115" s="271">
        <f t="shared" si="15"/>
        <v>2.2002789433631711E-12</v>
      </c>
      <c r="L115" s="271">
        <f t="shared" si="20"/>
        <v>42.739572400757822</v>
      </c>
      <c r="M115" s="271"/>
      <c r="N115" s="271"/>
      <c r="O115" s="271"/>
      <c r="Q115">
        <v>20</v>
      </c>
      <c r="R115" s="274">
        <v>52</v>
      </c>
      <c r="S115" s="274">
        <v>10</v>
      </c>
      <c r="T115">
        <v>3.5</v>
      </c>
      <c r="U115">
        <v>3</v>
      </c>
      <c r="V115">
        <v>4</v>
      </c>
      <c r="W115">
        <v>1200</v>
      </c>
      <c r="X115" s="279" t="e" cm="1">
        <f t="array" aca="1" ref="X115" ca="1">TWSC_PED_DELAY($Q115,$W115,$R115,$S115,$T115,$U115,X$4,$V115)</f>
        <v>#NAME?</v>
      </c>
      <c r="Y115" s="279" cm="1">
        <f t="array" ref="Y115">PEDBIKE_DELAY($Q115,$W115,$R115,$S115,$T115,$U115,Y$4,$V115,TRUE)</f>
        <v>8037.9474715528459</v>
      </c>
      <c r="Z115" s="279" cm="1">
        <f t="array" ref="Z115">PEDBIKE_DELAY($Q115,$W115,$R115,$S115,$T115,$U115,Z$4,$V115,TRUE)</f>
        <v>2397.6330949122148</v>
      </c>
      <c r="AA115" s="279" cm="1">
        <f t="array" ref="AA115">PEDBIKE_DELAY($Q115,$W115,$R115,$S115,$T115,$U115,AA$4,$V115,TRUE)</f>
        <v>984.72124962829889</v>
      </c>
      <c r="AB115" s="279" cm="1">
        <f t="array" ref="AB115">PEDBIKE_DELAY($Q115,$W115,$R115,$S115,$T115,$U115,AB$4,$V115,TRUE)</f>
        <v>482.3872787257622</v>
      </c>
      <c r="AC115" s="279" cm="1">
        <f t="array" ref="AC115">PEDBIKE_DELAY($Q115,$W115,$R115,$S115,$T115,$U115,AC$4,$V115,TRUE)</f>
        <v>264.27584787598153</v>
      </c>
      <c r="AD115" s="279" cm="1">
        <f t="array" ref="AD115">PEDBIKE_DELAY($Q115,$W115,$R115,$S115,$T115,$U115,AD$4,$V115,TRUE)</f>
        <v>156.67064323144251</v>
      </c>
      <c r="AE115" s="279" cm="1">
        <f t="array" ref="AE115">PEDBIKE_DELAY($Q115,$W115,$R115,$S115,$T115,$U115,AE$4,$V115,TRUE)</f>
        <v>64.825762991071741</v>
      </c>
      <c r="AF115" s="279" cm="1">
        <f t="array" ref="AF115">PEDBIKE_DELAY($Q115,$W115,$R115,$S115,$T115,$U115,AF$4,$V115,TRUE)</f>
        <v>31.026396077306611</v>
      </c>
      <c r="AG115" s="279" cm="1">
        <f t="array" ref="AG115">PEDBIKE_DELAY($Q115,$W115,$R115,$S115,$T115,$U115,AG$4,$V115,TRUE)</f>
        <v>6.7867178631153156</v>
      </c>
      <c r="AH115" s="279" cm="1">
        <f t="array" ref="AH115">PEDBIKE_DELAY($Q115,$W115,$R115,$S115,$T115,$U115,AH$4,$V115,TRUE)</f>
        <v>1.50913172251926</v>
      </c>
    </row>
    <row r="116" spans="2:34" x14ac:dyDescent="0.25">
      <c r="B116">
        <v>83</v>
      </c>
      <c r="C116" s="272">
        <f t="shared" si="16"/>
        <v>9.6990412124785742E-14</v>
      </c>
      <c r="D116" s="272">
        <f t="shared" si="17"/>
        <v>0.62918926398779285</v>
      </c>
      <c r="E116" s="272">
        <f t="shared" si="12"/>
        <v>13.779461156530843</v>
      </c>
      <c r="F116" s="271">
        <f t="shared" si="13"/>
        <v>4.7497374545438954E-12</v>
      </c>
      <c r="G116" s="271">
        <f t="shared" si="18"/>
        <v>13.779461156535593</v>
      </c>
      <c r="H116" s="272">
        <f t="shared" si="21"/>
        <v>3.1822955647084244E-14</v>
      </c>
      <c r="I116" s="272">
        <f t="shared" si="19"/>
        <v>0.62918926398795116</v>
      </c>
      <c r="J116" s="272">
        <f t="shared" si="14"/>
        <v>42.739572400758782</v>
      </c>
      <c r="K116" s="271">
        <f t="shared" si="15"/>
        <v>1.5578780718013908E-12</v>
      </c>
      <c r="L116" s="271">
        <f t="shared" si="20"/>
        <v>42.739572400760338</v>
      </c>
      <c r="M116" s="271"/>
      <c r="N116" s="271"/>
      <c r="O116" s="271"/>
    </row>
    <row r="117" spans="2:34" x14ac:dyDescent="0.25">
      <c r="B117">
        <v>84</v>
      </c>
      <c r="C117" s="272">
        <f t="shared" si="16"/>
        <v>6.8696146371427016E-14</v>
      </c>
      <c r="D117" s="272">
        <f t="shared" si="17"/>
        <v>0.62918926398786157</v>
      </c>
      <c r="E117" s="272">
        <f t="shared" si="12"/>
        <v>13.779461156573726</v>
      </c>
      <c r="F117" s="271">
        <f t="shared" si="13"/>
        <v>3.364210836088348E-12</v>
      </c>
      <c r="G117" s="271">
        <f t="shared" si="18"/>
        <v>13.77946115657709</v>
      </c>
      <c r="H117" s="272">
        <f t="shared" si="21"/>
        <v>2.2531818036999625E-14</v>
      </c>
      <c r="I117" s="272">
        <f t="shared" si="19"/>
        <v>0.6291892639879737</v>
      </c>
      <c r="J117" s="272">
        <f t="shared" si="14"/>
        <v>42.73957240076102</v>
      </c>
      <c r="K117" s="271">
        <f t="shared" si="15"/>
        <v>1.1034969675259851E-12</v>
      </c>
      <c r="L117" s="271">
        <f t="shared" si="20"/>
        <v>42.739572400762121</v>
      </c>
      <c r="M117" s="271"/>
      <c r="N117" s="271"/>
      <c r="O117" s="271"/>
    </row>
    <row r="118" spans="2:34" x14ac:dyDescent="0.25">
      <c r="B118">
        <v>85</v>
      </c>
      <c r="C118" s="272">
        <f t="shared" si="16"/>
        <v>4.8657072571279368E-14</v>
      </c>
      <c r="D118" s="272">
        <f t="shared" si="17"/>
        <v>0.6291892639879102</v>
      </c>
      <c r="E118" s="272">
        <f t="shared" si="12"/>
        <v>13.779461156604464</v>
      </c>
      <c r="F118" s="271">
        <f t="shared" si="13"/>
        <v>2.3838220495236799E-12</v>
      </c>
      <c r="G118" s="271">
        <f t="shared" si="18"/>
        <v>13.779461156606848</v>
      </c>
      <c r="H118" s="272">
        <f t="shared" si="21"/>
        <v>1.5960037776208067E-14</v>
      </c>
      <c r="I118" s="272">
        <f t="shared" si="19"/>
        <v>0.62918926398798969</v>
      </c>
      <c r="J118" s="272">
        <f t="shared" si="14"/>
        <v>42.739572400762604</v>
      </c>
      <c r="K118" s="271">
        <f t="shared" si="15"/>
        <v>7.8117736646362836E-13</v>
      </c>
      <c r="L118" s="271">
        <f t="shared" si="20"/>
        <v>42.739572400763386</v>
      </c>
      <c r="M118" s="271"/>
      <c r="N118" s="271"/>
      <c r="O118" s="271"/>
    </row>
    <row r="119" spans="2:34" x14ac:dyDescent="0.25">
      <c r="B119">
        <v>86</v>
      </c>
      <c r="C119" s="272">
        <f t="shared" si="16"/>
        <v>3.4477566392822702E-14</v>
      </c>
      <c r="D119" s="272">
        <f t="shared" si="17"/>
        <v>0.62918926398794472</v>
      </c>
      <c r="E119" s="272">
        <f t="shared" si="12"/>
        <v>13.779461156626502</v>
      </c>
      <c r="F119" s="271">
        <f t="shared" si="13"/>
        <v>1.6877012444515066E-12</v>
      </c>
      <c r="G119" s="271">
        <f t="shared" si="18"/>
        <v>13.779461156628189</v>
      </c>
      <c r="H119" s="272">
        <f t="shared" si="21"/>
        <v>1.1298282320277111E-14</v>
      </c>
      <c r="I119" s="272">
        <f t="shared" si="19"/>
        <v>0.62918926398800101</v>
      </c>
      <c r="J119" s="272">
        <f t="shared" si="14"/>
        <v>42.739572400763727</v>
      </c>
      <c r="K119" s="271">
        <f t="shared" si="15"/>
        <v>5.5286764904445907E-13</v>
      </c>
      <c r="L119" s="271">
        <f t="shared" si="20"/>
        <v>42.739572400764281</v>
      </c>
      <c r="M119" s="271"/>
      <c r="N119" s="271"/>
      <c r="O119" s="271"/>
    </row>
    <row r="120" spans="2:34" x14ac:dyDescent="0.25">
      <c r="B120">
        <v>87</v>
      </c>
      <c r="C120" s="272">
        <f t="shared" si="16"/>
        <v>2.4409469540082929E-14</v>
      </c>
      <c r="D120" s="272">
        <f t="shared" si="17"/>
        <v>0.62918926398796915</v>
      </c>
      <c r="E120" s="272">
        <f t="shared" si="12"/>
        <v>13.779461156642286</v>
      </c>
      <c r="F120" s="271">
        <f t="shared" si="13"/>
        <v>1.1952685206062395E-12</v>
      </c>
      <c r="G120" s="271">
        <f t="shared" si="18"/>
        <v>13.779461156643482</v>
      </c>
      <c r="H120" s="272">
        <f t="shared" si="21"/>
        <v>7.9962055389926836E-15</v>
      </c>
      <c r="I120" s="272">
        <f t="shared" si="19"/>
        <v>0.62918926398800901</v>
      </c>
      <c r="J120" s="272">
        <f t="shared" si="14"/>
        <v>42.739572400764523</v>
      </c>
      <c r="K120" s="271">
        <f t="shared" si="15"/>
        <v>3.917078485132807E-13</v>
      </c>
      <c r="L120" s="271">
        <f t="shared" si="20"/>
        <v>42.739572400764914</v>
      </c>
      <c r="M120" s="271"/>
      <c r="N120" s="271"/>
      <c r="O120" s="271"/>
    </row>
    <row r="121" spans="2:34" x14ac:dyDescent="0.25">
      <c r="B121">
        <v>88</v>
      </c>
      <c r="C121" s="272">
        <f t="shared" si="16"/>
        <v>1.7287343149077299E-14</v>
      </c>
      <c r="D121" s="272">
        <f t="shared" si="17"/>
        <v>0.62918926398798647</v>
      </c>
      <c r="E121" s="272">
        <f t="shared" si="12"/>
        <v>13.779461156653595</v>
      </c>
      <c r="F121" s="271">
        <f t="shared" si="13"/>
        <v>8.4608895278868634E-13</v>
      </c>
      <c r="G121" s="271">
        <f t="shared" si="18"/>
        <v>13.77946115665444</v>
      </c>
      <c r="H121" s="272">
        <f t="shared" si="21"/>
        <v>5.6653278110272047E-15</v>
      </c>
      <c r="I121" s="272">
        <f t="shared" si="19"/>
        <v>0.62918926398801467</v>
      </c>
      <c r="J121" s="272">
        <f t="shared" si="14"/>
        <v>42.739572400765084</v>
      </c>
      <c r="K121" s="271">
        <f t="shared" si="15"/>
        <v>2.7755298980369606E-13</v>
      </c>
      <c r="L121" s="271">
        <f t="shared" si="20"/>
        <v>42.739572400765361</v>
      </c>
      <c r="M121" s="271"/>
      <c r="N121" s="271"/>
      <c r="O121" s="271"/>
    </row>
    <row r="122" spans="2:34" x14ac:dyDescent="0.25">
      <c r="B122">
        <v>89</v>
      </c>
      <c r="C122" s="272">
        <f t="shared" si="16"/>
        <v>1.2237108071818763E-14</v>
      </c>
      <c r="D122" s="272">
        <f t="shared" si="17"/>
        <v>0.62918926398799868</v>
      </c>
      <c r="E122" s="272">
        <f t="shared" si="12"/>
        <v>13.779461156661691</v>
      </c>
      <c r="F122" s="271">
        <f t="shared" si="13"/>
        <v>5.998725908660528E-13</v>
      </c>
      <c r="G122" s="271">
        <f t="shared" si="18"/>
        <v>13.779461156662292</v>
      </c>
      <c r="H122" s="272">
        <f t="shared" si="21"/>
        <v>4.014289420384991E-15</v>
      </c>
      <c r="I122" s="272">
        <f t="shared" si="19"/>
        <v>0.62918926398801867</v>
      </c>
      <c r="J122" s="272">
        <f t="shared" si="14"/>
        <v>42.739572400765482</v>
      </c>
      <c r="K122" s="271">
        <f t="shared" si="15"/>
        <v>1.9697308953810687E-13</v>
      </c>
      <c r="L122" s="271">
        <f t="shared" si="20"/>
        <v>42.739572400765681</v>
      </c>
      <c r="M122" s="271"/>
      <c r="N122" s="271"/>
      <c r="O122" s="271"/>
    </row>
    <row r="123" spans="2:34" x14ac:dyDescent="0.25">
      <c r="B123">
        <v>90</v>
      </c>
      <c r="C123" s="272">
        <f t="shared" si="16"/>
        <v>8.6760448763159482E-15</v>
      </c>
      <c r="D123" s="272">
        <f t="shared" si="17"/>
        <v>0.62918926398800734</v>
      </c>
      <c r="E123" s="272">
        <f t="shared" si="12"/>
        <v>13.779461156667496</v>
      </c>
      <c r="F123" s="271">
        <f t="shared" si="13"/>
        <v>4.2528280695727621E-13</v>
      </c>
      <c r="G123" s="271">
        <f t="shared" si="18"/>
        <v>13.779461156667921</v>
      </c>
      <c r="H123" s="272">
        <f t="shared" si="21"/>
        <v>2.8488505564022516E-15</v>
      </c>
      <c r="I123" s="272">
        <f t="shared" si="19"/>
        <v>0.62918926398802155</v>
      </c>
      <c r="J123" s="272">
        <f t="shared" si="14"/>
        <v>42.739572400765766</v>
      </c>
      <c r="K123" s="271">
        <f t="shared" si="15"/>
        <v>1.3877649490184803E-13</v>
      </c>
      <c r="L123" s="271">
        <f t="shared" si="20"/>
        <v>42.739572400765908</v>
      </c>
      <c r="M123" s="271"/>
      <c r="N123" s="271"/>
      <c r="O123" s="271"/>
    </row>
    <row r="124" spans="2:34" x14ac:dyDescent="0.25">
      <c r="B124">
        <v>91</v>
      </c>
      <c r="C124" s="272">
        <f t="shared" si="16"/>
        <v>6.1509273376866792E-15</v>
      </c>
      <c r="D124" s="272">
        <f t="shared" si="17"/>
        <v>0.62918926398801345</v>
      </c>
      <c r="E124" s="272">
        <f t="shared" si="12"/>
        <v>13.779461156671658</v>
      </c>
      <c r="F124" s="271">
        <f t="shared" si="13"/>
        <v>3.0217462599595939E-13</v>
      </c>
      <c r="G124" s="271">
        <f t="shared" si="18"/>
        <v>13.77946115667196</v>
      </c>
      <c r="H124" s="272">
        <f t="shared" si="21"/>
        <v>2.0071447101924955E-15</v>
      </c>
      <c r="I124" s="272">
        <f t="shared" si="19"/>
        <v>0.62918926398802355</v>
      </c>
      <c r="J124" s="272">
        <f t="shared" si="14"/>
        <v>42.739572400765965</v>
      </c>
      <c r="K124" s="271">
        <f t="shared" si="15"/>
        <v>9.8486544769053437E-14</v>
      </c>
      <c r="L124" s="271">
        <f t="shared" si="20"/>
        <v>42.739572400766065</v>
      </c>
      <c r="M124" s="271"/>
      <c r="N124" s="271"/>
      <c r="O124" s="271"/>
    </row>
    <row r="125" spans="2:34" x14ac:dyDescent="0.25">
      <c r="B125">
        <v>92</v>
      </c>
      <c r="C125" s="272">
        <f t="shared" si="16"/>
        <v>4.3703957399352725E-15</v>
      </c>
      <c r="D125" s="272">
        <f t="shared" si="17"/>
        <v>0.62918926398801778</v>
      </c>
      <c r="E125" s="272">
        <f t="shared" si="12"/>
        <v>13.779461156674648</v>
      </c>
      <c r="F125" s="271">
        <f t="shared" si="13"/>
        <v>2.1487973404157113E-13</v>
      </c>
      <c r="G125" s="271">
        <f t="shared" si="18"/>
        <v>13.779461156674863</v>
      </c>
      <c r="H125" s="272">
        <f t="shared" si="21"/>
        <v>1.4244252782011258E-15</v>
      </c>
      <c r="I125" s="272">
        <f t="shared" si="19"/>
        <v>0.62918926398802499</v>
      </c>
      <c r="J125" s="272">
        <f t="shared" si="14"/>
        <v>42.739572400766107</v>
      </c>
      <c r="K125" s="271">
        <f t="shared" si="15"/>
        <v>6.9388247450924015E-14</v>
      </c>
      <c r="L125" s="271">
        <f t="shared" si="20"/>
        <v>42.739572400766178</v>
      </c>
      <c r="M125" s="271"/>
      <c r="N125" s="271"/>
      <c r="O125" s="271"/>
    </row>
    <row r="126" spans="2:34" x14ac:dyDescent="0.25">
      <c r="B126">
        <v>93</v>
      </c>
      <c r="C126" s="272">
        <f t="shared" si="16"/>
        <v>3.1078369706206381E-15</v>
      </c>
      <c r="D126" s="272">
        <f t="shared" si="17"/>
        <v>0.62918926398802089</v>
      </c>
      <c r="E126" s="272">
        <f t="shared" si="12"/>
        <v>13.779461156676797</v>
      </c>
      <c r="F126" s="271">
        <f t="shared" si="13"/>
        <v>1.5220647827944622E-13</v>
      </c>
      <c r="G126" s="271">
        <f t="shared" si="18"/>
        <v>13.77946115667695</v>
      </c>
      <c r="H126" s="272">
        <f t="shared" si="21"/>
        <v>1.0035723550962478E-15</v>
      </c>
      <c r="I126" s="272">
        <f t="shared" si="19"/>
        <v>0.62918926398802599</v>
      </c>
      <c r="J126" s="272">
        <f t="shared" si="14"/>
        <v>42.739572400766207</v>
      </c>
      <c r="K126" s="271">
        <f t="shared" si="15"/>
        <v>4.9243272384526718E-14</v>
      </c>
      <c r="L126" s="271">
        <f t="shared" si="20"/>
        <v>42.739572400766257</v>
      </c>
      <c r="M126" s="271"/>
      <c r="N126" s="271"/>
      <c r="O126" s="271"/>
    </row>
    <row r="127" spans="2:34" x14ac:dyDescent="0.25">
      <c r="B127">
        <v>94</v>
      </c>
      <c r="C127" s="272">
        <f t="shared" si="16"/>
        <v>2.2013845208562851E-15</v>
      </c>
      <c r="D127" s="272">
        <f t="shared" si="17"/>
        <v>0.62918926398802311</v>
      </c>
      <c r="E127" s="272">
        <f t="shared" si="12"/>
        <v>13.779461156678336</v>
      </c>
      <c r="F127" s="271">
        <f t="shared" si="13"/>
        <v>1.0743986702078556E-13</v>
      </c>
      <c r="G127" s="271">
        <f t="shared" si="18"/>
        <v>13.779461156678442</v>
      </c>
      <c r="H127" s="272">
        <f t="shared" si="21"/>
        <v>7.1221263910056289E-16</v>
      </c>
      <c r="I127" s="272">
        <f t="shared" si="19"/>
        <v>0.62918926398802666</v>
      </c>
      <c r="J127" s="272">
        <f t="shared" si="14"/>
        <v>42.739572400766278</v>
      </c>
      <c r="K127" s="271">
        <f t="shared" si="15"/>
        <v>3.5813289006928523E-14</v>
      </c>
      <c r="L127" s="271">
        <f t="shared" si="20"/>
        <v>42.739572400766313</v>
      </c>
      <c r="M127" s="271"/>
      <c r="N127" s="271"/>
      <c r="O127" s="271"/>
    </row>
    <row r="128" spans="2:34" x14ac:dyDescent="0.25">
      <c r="B128">
        <v>95</v>
      </c>
      <c r="C128" s="272">
        <f t="shared" si="16"/>
        <v>1.553918485310319E-15</v>
      </c>
      <c r="D128" s="272">
        <f t="shared" si="17"/>
        <v>0.62918926398802466</v>
      </c>
      <c r="E128" s="272">
        <f t="shared" si="12"/>
        <v>13.779461156679433</v>
      </c>
      <c r="F128" s="271">
        <f t="shared" si="13"/>
        <v>7.6103239139723109E-14</v>
      </c>
      <c r="G128" s="271">
        <f t="shared" si="18"/>
        <v>13.77946115667951</v>
      </c>
      <c r="H128" s="272">
        <f t="shared" si="21"/>
        <v>5.1797282843677301E-16</v>
      </c>
      <c r="I128" s="272">
        <f t="shared" si="19"/>
        <v>0.62918926398802721</v>
      </c>
      <c r="J128" s="272">
        <f t="shared" si="14"/>
        <v>42.739572400766328</v>
      </c>
      <c r="K128" s="271">
        <f t="shared" si="15"/>
        <v>2.4621636192263359E-14</v>
      </c>
      <c r="L128" s="271">
        <f t="shared" si="20"/>
        <v>42.739572400766349</v>
      </c>
      <c r="M128" s="271"/>
      <c r="N128" s="271"/>
      <c r="O128" s="271"/>
    </row>
    <row r="129" spans="2:15" x14ac:dyDescent="0.25">
      <c r="B129">
        <v>96</v>
      </c>
      <c r="C129" s="272">
        <f t="shared" si="16"/>
        <v>1.1006922604281426E-15</v>
      </c>
      <c r="D129" s="272">
        <f t="shared" si="17"/>
        <v>0.62918926398802577</v>
      </c>
      <c r="E129" s="272">
        <f t="shared" si="12"/>
        <v>13.779461156680219</v>
      </c>
      <c r="F129" s="271">
        <f t="shared" si="13"/>
        <v>5.3719933510392782E-14</v>
      </c>
      <c r="G129" s="271">
        <f t="shared" si="18"/>
        <v>13.779461156680272</v>
      </c>
      <c r="H129" s="272">
        <f t="shared" si="21"/>
        <v>3.5610631955028145E-16</v>
      </c>
      <c r="I129" s="272">
        <f t="shared" si="19"/>
        <v>0.62918926398802755</v>
      </c>
      <c r="J129" s="272">
        <f t="shared" si="14"/>
        <v>42.739572400766363</v>
      </c>
      <c r="K129" s="271">
        <f t="shared" si="15"/>
        <v>1.7906644503464262E-14</v>
      </c>
      <c r="L129" s="271">
        <f t="shared" si="20"/>
        <v>42.739572400766384</v>
      </c>
      <c r="M129" s="271"/>
      <c r="N129" s="271"/>
      <c r="O129" s="271"/>
    </row>
    <row r="130" spans="2:15" x14ac:dyDescent="0.25">
      <c r="B130">
        <v>97</v>
      </c>
      <c r="C130" s="272">
        <f t="shared" si="16"/>
        <v>7.7695924265515952E-16</v>
      </c>
      <c r="D130" s="272">
        <f t="shared" ref="D130:D161" si="22">C130+D129</f>
        <v>0.62918926398802655</v>
      </c>
      <c r="E130" s="272">
        <f t="shared" si="12"/>
        <v>13.77946115668078</v>
      </c>
      <c r="F130" s="271">
        <f t="shared" si="13"/>
        <v>3.8051619569861555E-14</v>
      </c>
      <c r="G130" s="271">
        <f t="shared" si="18"/>
        <v>13.779461156680817</v>
      </c>
      <c r="H130" s="272">
        <f t="shared" si="21"/>
        <v>2.5898641421838651E-16</v>
      </c>
      <c r="I130" s="272">
        <f t="shared" ref="I130:I161" si="23">H130+I129</f>
        <v>0.62918926398802777</v>
      </c>
      <c r="J130" s="272">
        <f t="shared" si="14"/>
        <v>42.739572400766392</v>
      </c>
      <c r="K130" s="271">
        <f t="shared" si="15"/>
        <v>1.3429983377598195E-14</v>
      </c>
      <c r="L130" s="271">
        <f t="shared" si="20"/>
        <v>42.739572400766406</v>
      </c>
      <c r="M130" s="271"/>
      <c r="N130" s="271"/>
      <c r="O130" s="271"/>
    </row>
    <row r="131" spans="2:15" x14ac:dyDescent="0.25">
      <c r="B131">
        <v>98</v>
      </c>
      <c r="C131" s="272">
        <f t="shared" si="16"/>
        <v>5.5034613021407128E-16</v>
      </c>
      <c r="D131" s="272">
        <f t="shared" si="22"/>
        <v>0.6291892639880271</v>
      </c>
      <c r="E131" s="272">
        <f t="shared" si="12"/>
        <v>13.779461156681181</v>
      </c>
      <c r="F131" s="271">
        <f t="shared" si="13"/>
        <v>2.6859966755196391E-14</v>
      </c>
      <c r="G131" s="271">
        <f t="shared" si="18"/>
        <v>13.779461156681208</v>
      </c>
      <c r="H131" s="272">
        <f t="shared" si="21"/>
        <v>1.9423981066378988E-16</v>
      </c>
      <c r="I131" s="272">
        <f t="shared" si="23"/>
        <v>0.62918926398802799</v>
      </c>
      <c r="J131" s="272">
        <f t="shared" si="14"/>
        <v>42.739572400766413</v>
      </c>
      <c r="K131" s="271">
        <f t="shared" si="15"/>
        <v>8.9533222517321308E-15</v>
      </c>
      <c r="L131" s="271">
        <f t="shared" si="20"/>
        <v>42.73957240076642</v>
      </c>
      <c r="M131" s="271"/>
      <c r="N131" s="271"/>
      <c r="O131" s="271"/>
    </row>
    <row r="132" spans="2:15" x14ac:dyDescent="0.25">
      <c r="B132">
        <v>99</v>
      </c>
      <c r="C132" s="272">
        <f t="shared" si="16"/>
        <v>3.8847962132757976E-16</v>
      </c>
      <c r="D132" s="272">
        <f t="shared" si="22"/>
        <v>0.62918926398802744</v>
      </c>
      <c r="E132" s="272">
        <f t="shared" si="12"/>
        <v>13.779461156681467</v>
      </c>
      <c r="F132" s="271">
        <f t="shared" si="13"/>
        <v>2.0144975066397293E-14</v>
      </c>
      <c r="G132" s="271">
        <f t="shared" si="18"/>
        <v>13.779461156681487</v>
      </c>
      <c r="H132" s="272">
        <f t="shared" si="21"/>
        <v>1.2949320710919325E-16</v>
      </c>
      <c r="I132" s="272">
        <f t="shared" si="23"/>
        <v>0.6291892639880281</v>
      </c>
      <c r="J132" s="272">
        <f t="shared" si="14"/>
        <v>42.739572400766427</v>
      </c>
      <c r="K132" s="271">
        <f t="shared" si="15"/>
        <v>6.7149916887990977E-15</v>
      </c>
      <c r="L132" s="271">
        <f t="shared" si="20"/>
        <v>42.739572400766434</v>
      </c>
      <c r="M132" s="271"/>
      <c r="N132" s="271"/>
      <c r="O132" s="271"/>
    </row>
    <row r="133" spans="2:15" x14ac:dyDescent="0.25">
      <c r="B133">
        <v>100</v>
      </c>
      <c r="C133" s="272">
        <f t="shared" si="16"/>
        <v>2.9135971599568482E-16</v>
      </c>
      <c r="D133" s="272">
        <f t="shared" si="22"/>
        <v>0.62918926398802777</v>
      </c>
      <c r="E133" s="272">
        <f t="shared" si="12"/>
        <v>13.779461156681684</v>
      </c>
      <c r="F133" s="271">
        <f t="shared" si="13"/>
        <v>1.3429983377598195E-14</v>
      </c>
      <c r="G133" s="271">
        <f t="shared" si="18"/>
        <v>13.779461156681698</v>
      </c>
      <c r="H133" s="272">
        <f t="shared" si="21"/>
        <v>9.711990533189494E-17</v>
      </c>
      <c r="I133" s="272">
        <f t="shared" si="23"/>
        <v>0.62918926398802821</v>
      </c>
      <c r="J133" s="272">
        <f t="shared" si="14"/>
        <v>42.739572400766434</v>
      </c>
      <c r="K133" s="271">
        <f t="shared" si="15"/>
        <v>4.4766611258660654E-15</v>
      </c>
      <c r="L133" s="271">
        <f t="shared" si="20"/>
        <v>42.739572400766441</v>
      </c>
      <c r="M133" s="271"/>
      <c r="N133" s="271"/>
      <c r="O133" s="271"/>
    </row>
    <row r="134" spans="2:15" x14ac:dyDescent="0.25">
      <c r="B134">
        <v>101</v>
      </c>
      <c r="C134" s="272">
        <f t="shared" si="16"/>
        <v>1.9423981066378988E-16</v>
      </c>
      <c r="D134" s="272">
        <f t="shared" si="22"/>
        <v>0.62918926398802799</v>
      </c>
      <c r="E134" s="272">
        <f t="shared" si="12"/>
        <v>13.77946115668183</v>
      </c>
      <c r="F134" s="271">
        <f t="shared" si="13"/>
        <v>8.9533222517321308E-15</v>
      </c>
      <c r="G134" s="271">
        <f t="shared" si="18"/>
        <v>13.779461156681839</v>
      </c>
      <c r="H134" s="272">
        <f t="shared" si="21"/>
        <v>6.4746603554596627E-17</v>
      </c>
      <c r="I134" s="272">
        <f t="shared" si="23"/>
        <v>0.62918926398802832</v>
      </c>
      <c r="J134" s="272">
        <f t="shared" si="14"/>
        <v>42.739572400766441</v>
      </c>
      <c r="K134" s="271">
        <f t="shared" si="15"/>
        <v>2.2383305629330327E-15</v>
      </c>
      <c r="L134" s="271">
        <f t="shared" si="20"/>
        <v>42.739572400766441</v>
      </c>
      <c r="M134" s="271"/>
      <c r="N134" s="271"/>
      <c r="O134" s="271"/>
    </row>
    <row r="135" spans="2:15" x14ac:dyDescent="0.25">
      <c r="B135">
        <v>102</v>
      </c>
      <c r="C135" s="272">
        <f t="shared" si="16"/>
        <v>1.2949320710919325E-16</v>
      </c>
      <c r="D135" s="272">
        <f t="shared" si="22"/>
        <v>0.6291892639880281</v>
      </c>
      <c r="E135" s="272">
        <f t="shared" si="12"/>
        <v>13.779461156681927</v>
      </c>
      <c r="F135" s="271">
        <f t="shared" si="13"/>
        <v>6.7149916887990977E-15</v>
      </c>
      <c r="G135" s="271">
        <f t="shared" si="18"/>
        <v>13.779461156681934</v>
      </c>
      <c r="H135" s="272">
        <f t="shared" si="21"/>
        <v>3.2373301777298313E-17</v>
      </c>
      <c r="I135" s="272">
        <f t="shared" si="23"/>
        <v>0.62918926398802832</v>
      </c>
      <c r="J135" s="272">
        <f t="shared" si="14"/>
        <v>42.739572400766441</v>
      </c>
      <c r="K135" s="271">
        <f t="shared" si="15"/>
        <v>2.2383305629330327E-15</v>
      </c>
      <c r="L135" s="271">
        <f t="shared" si="20"/>
        <v>42.739572400766441</v>
      </c>
      <c r="M135" s="271"/>
      <c r="N135" s="271"/>
      <c r="O135" s="271"/>
    </row>
    <row r="136" spans="2:15" x14ac:dyDescent="0.25">
      <c r="B136">
        <v>103</v>
      </c>
      <c r="C136" s="272">
        <f t="shared" si="16"/>
        <v>9.711990533189494E-17</v>
      </c>
      <c r="D136" s="272">
        <f t="shared" si="22"/>
        <v>0.62918926398802821</v>
      </c>
      <c r="E136" s="272">
        <f t="shared" si="12"/>
        <v>13.779461156682002</v>
      </c>
      <c r="F136" s="271">
        <f t="shared" si="13"/>
        <v>4.4766611258660654E-15</v>
      </c>
      <c r="G136" s="271">
        <f t="shared" si="18"/>
        <v>13.779461156682007</v>
      </c>
      <c r="H136" s="272">
        <f t="shared" si="21"/>
        <v>3.2373301777298313E-17</v>
      </c>
      <c r="I136" s="272">
        <f t="shared" si="23"/>
        <v>0.62918926398802832</v>
      </c>
      <c r="J136" s="272">
        <f t="shared" si="14"/>
        <v>42.739572400766441</v>
      </c>
      <c r="K136" s="271">
        <f t="shared" si="15"/>
        <v>2.2383305629330327E-15</v>
      </c>
      <c r="L136" s="271">
        <f t="shared" si="20"/>
        <v>42.739572400766441</v>
      </c>
      <c r="M136" s="271"/>
      <c r="N136" s="271"/>
      <c r="O136" s="271"/>
    </row>
    <row r="137" spans="2:15" x14ac:dyDescent="0.25">
      <c r="B137">
        <v>104</v>
      </c>
      <c r="C137" s="272">
        <f t="shared" si="16"/>
        <v>6.4746603554596627E-17</v>
      </c>
      <c r="D137" s="272">
        <f t="shared" si="22"/>
        <v>0.62918926398802832</v>
      </c>
      <c r="E137" s="272">
        <f t="shared" si="12"/>
        <v>13.779461156682052</v>
      </c>
      <c r="F137" s="271">
        <f t="shared" si="13"/>
        <v>2.2383305629330327E-15</v>
      </c>
      <c r="G137" s="271">
        <f t="shared" si="18"/>
        <v>13.779461156682054</v>
      </c>
      <c r="H137" s="272">
        <f t="shared" si="21"/>
        <v>3.2373301777298313E-17</v>
      </c>
      <c r="I137" s="272">
        <f t="shared" si="23"/>
        <v>0.62918926398802832</v>
      </c>
      <c r="J137" s="272">
        <f t="shared" si="14"/>
        <v>42.739572400766441</v>
      </c>
      <c r="K137" s="271">
        <f t="shared" si="15"/>
        <v>2.2383305629330327E-15</v>
      </c>
      <c r="L137" s="271">
        <f t="shared" si="20"/>
        <v>42.739572400766441</v>
      </c>
      <c r="M137" s="271"/>
      <c r="N137" s="271"/>
      <c r="O137" s="271"/>
    </row>
    <row r="138" spans="2:15" x14ac:dyDescent="0.25">
      <c r="B138">
        <v>105</v>
      </c>
      <c r="C138" s="272">
        <f t="shared" si="16"/>
        <v>3.2373301777298313E-17</v>
      </c>
      <c r="D138" s="272">
        <f t="shared" si="22"/>
        <v>0.62918926398802832</v>
      </c>
      <c r="E138" s="272">
        <f t="shared" si="12"/>
        <v>13.779461156682077</v>
      </c>
      <c r="F138" s="271">
        <f t="shared" si="13"/>
        <v>2.2383305629330327E-15</v>
      </c>
      <c r="G138" s="271">
        <f t="shared" si="18"/>
        <v>13.779461156682078</v>
      </c>
      <c r="H138" s="272">
        <f t="shared" si="21"/>
        <v>3.2373301777298313E-17</v>
      </c>
      <c r="I138" s="272">
        <f t="shared" si="23"/>
        <v>0.62918926398802832</v>
      </c>
      <c r="J138" s="272">
        <f t="shared" si="14"/>
        <v>42.739572400766441</v>
      </c>
      <c r="K138" s="271">
        <f t="shared" si="15"/>
        <v>2.2383305629330327E-15</v>
      </c>
      <c r="L138" s="271">
        <f t="shared" si="20"/>
        <v>42.739572400766441</v>
      </c>
      <c r="M138" s="271"/>
      <c r="N138" s="271"/>
      <c r="O138" s="271"/>
    </row>
    <row r="139" spans="2:15" x14ac:dyDescent="0.25">
      <c r="B139">
        <v>106</v>
      </c>
      <c r="C139" s="272">
        <f t="shared" si="16"/>
        <v>3.2373301777298313E-17</v>
      </c>
      <c r="D139" s="272">
        <f t="shared" si="22"/>
        <v>0.62918926398802832</v>
      </c>
      <c r="E139" s="272">
        <f t="shared" si="12"/>
        <v>13.779461156682101</v>
      </c>
      <c r="F139" s="271">
        <f t="shared" si="13"/>
        <v>2.2383305629330327E-15</v>
      </c>
      <c r="G139" s="271">
        <f t="shared" si="18"/>
        <v>13.779461156682103</v>
      </c>
      <c r="H139" s="272">
        <f t="shared" si="21"/>
        <v>3.2373301777298313E-17</v>
      </c>
      <c r="I139" s="272">
        <f t="shared" si="23"/>
        <v>0.62918926398802832</v>
      </c>
      <c r="J139" s="272">
        <f t="shared" si="14"/>
        <v>42.739572400766441</v>
      </c>
      <c r="K139" s="271">
        <f t="shared" si="15"/>
        <v>2.2383305629330327E-15</v>
      </c>
      <c r="L139" s="271">
        <f t="shared" si="20"/>
        <v>42.739572400766441</v>
      </c>
      <c r="M139" s="271"/>
      <c r="N139" s="271"/>
      <c r="O139" s="271"/>
    </row>
    <row r="140" spans="2:15" x14ac:dyDescent="0.25">
      <c r="B140">
        <v>107</v>
      </c>
      <c r="C140" s="272">
        <f t="shared" si="16"/>
        <v>3.2373301777298313E-17</v>
      </c>
      <c r="D140" s="272">
        <f t="shared" si="22"/>
        <v>0.62918926398802832</v>
      </c>
      <c r="E140" s="272">
        <f t="shared" si="12"/>
        <v>13.779461156682128</v>
      </c>
      <c r="F140" s="271">
        <f t="shared" si="13"/>
        <v>2.2383305629330327E-15</v>
      </c>
      <c r="G140" s="271">
        <f t="shared" si="18"/>
        <v>13.77946115668213</v>
      </c>
      <c r="H140" s="272">
        <f t="shared" si="21"/>
        <v>3.2373301777298313E-17</v>
      </c>
      <c r="I140" s="272">
        <f t="shared" si="23"/>
        <v>0.62918926398802832</v>
      </c>
      <c r="J140" s="272">
        <f t="shared" si="14"/>
        <v>42.739572400766441</v>
      </c>
      <c r="K140" s="271">
        <f t="shared" si="15"/>
        <v>2.2383305629330327E-15</v>
      </c>
      <c r="L140" s="271">
        <f t="shared" si="20"/>
        <v>42.739572400766441</v>
      </c>
      <c r="M140" s="271"/>
      <c r="N140" s="271"/>
      <c r="O140" s="271"/>
    </row>
    <row r="141" spans="2:15" x14ac:dyDescent="0.25">
      <c r="B141">
        <v>108</v>
      </c>
      <c r="C141" s="272">
        <f t="shared" si="16"/>
        <v>3.2373301777298313E-17</v>
      </c>
      <c r="D141" s="272">
        <f t="shared" si="22"/>
        <v>0.62918926398802832</v>
      </c>
      <c r="E141" s="272">
        <f t="shared" si="12"/>
        <v>13.779461156682155</v>
      </c>
      <c r="F141" s="271">
        <f t="shared" si="13"/>
        <v>2.2383305629330327E-15</v>
      </c>
      <c r="G141" s="271">
        <f t="shared" si="18"/>
        <v>13.779461156682157</v>
      </c>
      <c r="H141" s="272">
        <f t="shared" si="21"/>
        <v>3.2373301777298313E-17</v>
      </c>
      <c r="I141" s="272">
        <f t="shared" si="23"/>
        <v>0.62918926398802832</v>
      </c>
      <c r="J141" s="272">
        <f t="shared" si="14"/>
        <v>42.739572400766441</v>
      </c>
      <c r="K141" s="271">
        <f t="shared" si="15"/>
        <v>2.2383305629330327E-15</v>
      </c>
      <c r="L141" s="271">
        <f t="shared" si="20"/>
        <v>42.739572400766441</v>
      </c>
      <c r="M141" s="271"/>
      <c r="N141" s="271"/>
      <c r="O141" s="271"/>
    </row>
    <row r="142" spans="2:15" x14ac:dyDescent="0.25">
      <c r="B142">
        <v>109</v>
      </c>
      <c r="C142" s="272">
        <f t="shared" si="16"/>
        <v>3.2373301777298313E-17</v>
      </c>
      <c r="D142" s="272">
        <f t="shared" si="22"/>
        <v>0.62918926398802832</v>
      </c>
      <c r="E142" s="272">
        <f t="shared" si="12"/>
        <v>13.779461156682181</v>
      </c>
      <c r="F142" s="271">
        <f t="shared" si="13"/>
        <v>2.2383305629330327E-15</v>
      </c>
      <c r="G142" s="271">
        <f t="shared" si="18"/>
        <v>13.779461156682183</v>
      </c>
      <c r="H142" s="272">
        <f t="shared" si="21"/>
        <v>3.2373301777298313E-17</v>
      </c>
      <c r="I142" s="272">
        <f t="shared" si="23"/>
        <v>0.62918926398802832</v>
      </c>
      <c r="J142" s="272">
        <f t="shared" si="14"/>
        <v>42.739572400766441</v>
      </c>
      <c r="K142" s="271">
        <f t="shared" si="15"/>
        <v>2.2383305629330327E-15</v>
      </c>
      <c r="L142" s="271">
        <f t="shared" si="20"/>
        <v>42.739572400766441</v>
      </c>
      <c r="M142" s="271"/>
      <c r="N142" s="271"/>
      <c r="O142" s="271"/>
    </row>
    <row r="143" spans="2:15" x14ac:dyDescent="0.25">
      <c r="B143">
        <v>110</v>
      </c>
      <c r="C143" s="272">
        <f t="shared" si="16"/>
        <v>3.2373301777298313E-17</v>
      </c>
      <c r="D143" s="272">
        <f t="shared" si="22"/>
        <v>0.62918926398802832</v>
      </c>
      <c r="E143" s="272">
        <f t="shared" si="12"/>
        <v>13.779461156682208</v>
      </c>
      <c r="F143" s="271">
        <f t="shared" si="13"/>
        <v>2.2383305629330327E-15</v>
      </c>
      <c r="G143" s="271">
        <f t="shared" si="18"/>
        <v>13.77946115668221</v>
      </c>
      <c r="H143" s="272">
        <f t="shared" si="21"/>
        <v>3.2373301777298313E-17</v>
      </c>
      <c r="I143" s="272">
        <f t="shared" si="23"/>
        <v>0.62918926398802832</v>
      </c>
      <c r="J143" s="272">
        <f t="shared" si="14"/>
        <v>42.739572400766441</v>
      </c>
      <c r="K143" s="271">
        <f t="shared" si="15"/>
        <v>2.2383305629330327E-15</v>
      </c>
      <c r="L143" s="271">
        <f t="shared" si="20"/>
        <v>42.739572400766441</v>
      </c>
      <c r="M143" s="271"/>
      <c r="N143" s="271"/>
      <c r="O143" s="271"/>
    </row>
    <row r="144" spans="2:15" x14ac:dyDescent="0.25">
      <c r="B144">
        <v>111</v>
      </c>
      <c r="C144" s="272">
        <f t="shared" si="16"/>
        <v>3.2373301777298313E-17</v>
      </c>
      <c r="D144" s="272">
        <f t="shared" si="22"/>
        <v>0.62918926398802832</v>
      </c>
      <c r="E144" s="272">
        <f t="shared" si="12"/>
        <v>13.779461156682235</v>
      </c>
      <c r="F144" s="271">
        <f t="shared" si="13"/>
        <v>2.2383305629330327E-15</v>
      </c>
      <c r="G144" s="271">
        <f t="shared" si="18"/>
        <v>13.779461156682236</v>
      </c>
      <c r="H144" s="272">
        <f t="shared" si="21"/>
        <v>3.2373301777298313E-17</v>
      </c>
      <c r="I144" s="272">
        <f t="shared" si="23"/>
        <v>0.62918926398802832</v>
      </c>
      <c r="J144" s="272">
        <f t="shared" si="14"/>
        <v>42.739572400766441</v>
      </c>
      <c r="K144" s="271">
        <f t="shared" si="15"/>
        <v>2.2383305629330327E-15</v>
      </c>
      <c r="L144" s="271">
        <f t="shared" si="20"/>
        <v>42.739572400766441</v>
      </c>
      <c r="M144" s="271"/>
      <c r="N144" s="271"/>
      <c r="O144" s="271"/>
    </row>
    <row r="145" spans="2:15" x14ac:dyDescent="0.25">
      <c r="B145">
        <v>112</v>
      </c>
      <c r="C145" s="272">
        <f t="shared" si="16"/>
        <v>3.2373301777298313E-17</v>
      </c>
      <c r="D145" s="272">
        <f t="shared" si="22"/>
        <v>0.62918926398802832</v>
      </c>
      <c r="E145" s="272">
        <f t="shared" si="12"/>
        <v>13.779461156682261</v>
      </c>
      <c r="F145" s="271">
        <f t="shared" si="13"/>
        <v>2.2383305629330327E-15</v>
      </c>
      <c r="G145" s="271">
        <f t="shared" si="18"/>
        <v>13.779461156682263</v>
      </c>
      <c r="H145" s="272">
        <f t="shared" si="21"/>
        <v>3.2373301777298313E-17</v>
      </c>
      <c r="I145" s="272">
        <f t="shared" si="23"/>
        <v>0.62918926398802832</v>
      </c>
      <c r="J145" s="272">
        <f t="shared" si="14"/>
        <v>42.739572400766441</v>
      </c>
      <c r="K145" s="271">
        <f t="shared" si="15"/>
        <v>2.2383305629330327E-15</v>
      </c>
      <c r="L145" s="271">
        <f t="shared" si="20"/>
        <v>42.739572400766441</v>
      </c>
      <c r="M145" s="271"/>
      <c r="N145" s="271"/>
      <c r="O145" s="271"/>
    </row>
    <row r="146" spans="2:15" x14ac:dyDescent="0.25">
      <c r="B146">
        <v>113</v>
      </c>
      <c r="C146" s="272">
        <f t="shared" si="16"/>
        <v>3.2373301777298313E-17</v>
      </c>
      <c r="D146" s="272">
        <f t="shared" si="22"/>
        <v>0.62918926398802832</v>
      </c>
      <c r="E146" s="272">
        <f t="shared" si="12"/>
        <v>13.779461156682288</v>
      </c>
      <c r="F146" s="271">
        <f t="shared" si="13"/>
        <v>2.2383305629330327E-15</v>
      </c>
      <c r="G146" s="271">
        <f t="shared" si="18"/>
        <v>13.77946115668229</v>
      </c>
      <c r="H146" s="272">
        <f t="shared" si="21"/>
        <v>3.2373301777298313E-17</v>
      </c>
      <c r="I146" s="272">
        <f t="shared" si="23"/>
        <v>0.62918926398802832</v>
      </c>
      <c r="J146" s="272">
        <f t="shared" si="14"/>
        <v>42.739572400766441</v>
      </c>
      <c r="K146" s="271">
        <f t="shared" si="15"/>
        <v>2.2383305629330327E-15</v>
      </c>
      <c r="L146" s="271">
        <f t="shared" si="20"/>
        <v>42.739572400766441</v>
      </c>
      <c r="M146" s="271"/>
      <c r="N146" s="271"/>
      <c r="O146" s="271"/>
    </row>
    <row r="147" spans="2:15" x14ac:dyDescent="0.25">
      <c r="B147">
        <v>114</v>
      </c>
      <c r="C147" s="272">
        <f t="shared" si="16"/>
        <v>3.2373301777298313E-17</v>
      </c>
      <c r="D147" s="272">
        <f t="shared" si="22"/>
        <v>0.62918926398802832</v>
      </c>
      <c r="E147" s="272">
        <f t="shared" si="12"/>
        <v>13.779461156682315</v>
      </c>
      <c r="F147" s="271">
        <f t="shared" si="13"/>
        <v>2.2383305629330327E-15</v>
      </c>
      <c r="G147" s="271">
        <f t="shared" si="18"/>
        <v>13.779461156682316</v>
      </c>
      <c r="H147" s="272">
        <f t="shared" si="21"/>
        <v>3.2373301777298313E-17</v>
      </c>
      <c r="I147" s="272">
        <f t="shared" si="23"/>
        <v>0.62918926398802832</v>
      </c>
      <c r="J147" s="272">
        <f t="shared" si="14"/>
        <v>42.739572400766441</v>
      </c>
      <c r="K147" s="271">
        <f t="shared" si="15"/>
        <v>2.2383305629330327E-15</v>
      </c>
      <c r="L147" s="271">
        <f t="shared" si="20"/>
        <v>42.739572400766441</v>
      </c>
      <c r="M147" s="271"/>
      <c r="N147" s="271"/>
      <c r="O147" s="271"/>
    </row>
    <row r="148" spans="2:15" x14ac:dyDescent="0.25">
      <c r="B148">
        <v>115</v>
      </c>
      <c r="C148" s="272">
        <f t="shared" si="16"/>
        <v>3.2373301777298313E-17</v>
      </c>
      <c r="D148" s="272">
        <f t="shared" si="22"/>
        <v>0.62918926398802832</v>
      </c>
      <c r="E148" s="272">
        <f t="shared" si="12"/>
        <v>13.779461156682343</v>
      </c>
      <c r="F148" s="271">
        <f t="shared" si="13"/>
        <v>2.2383305629330327E-15</v>
      </c>
      <c r="G148" s="271">
        <f t="shared" si="18"/>
        <v>13.779461156682345</v>
      </c>
      <c r="H148" s="272">
        <f t="shared" si="21"/>
        <v>3.2373301777298313E-17</v>
      </c>
      <c r="I148" s="272">
        <f t="shared" si="23"/>
        <v>0.62918926398802832</v>
      </c>
      <c r="J148" s="272">
        <f t="shared" si="14"/>
        <v>42.739572400766441</v>
      </c>
      <c r="K148" s="271">
        <f t="shared" si="15"/>
        <v>2.2383305629330327E-15</v>
      </c>
      <c r="L148" s="271">
        <f t="shared" si="20"/>
        <v>42.739572400766441</v>
      </c>
      <c r="M148" s="271"/>
      <c r="N148" s="271"/>
      <c r="O148" s="271"/>
    </row>
    <row r="149" spans="2:15" x14ac:dyDescent="0.25">
      <c r="B149">
        <v>116</v>
      </c>
      <c r="C149" s="272">
        <f t="shared" si="16"/>
        <v>3.2373301777298313E-17</v>
      </c>
      <c r="D149" s="272">
        <f t="shared" si="22"/>
        <v>0.62918926398802832</v>
      </c>
      <c r="E149" s="272">
        <f t="shared" si="12"/>
        <v>13.779461156682371</v>
      </c>
      <c r="F149" s="271">
        <f t="shared" si="13"/>
        <v>2.2383305629330327E-15</v>
      </c>
      <c r="G149" s="271">
        <f t="shared" si="18"/>
        <v>13.779461156682373</v>
      </c>
      <c r="H149" s="272">
        <f t="shared" si="21"/>
        <v>3.2373301777298313E-17</v>
      </c>
      <c r="I149" s="272">
        <f t="shared" si="23"/>
        <v>0.62918926398802832</v>
      </c>
      <c r="J149" s="272">
        <f t="shared" si="14"/>
        <v>42.739572400766441</v>
      </c>
      <c r="K149" s="271">
        <f t="shared" si="15"/>
        <v>2.2383305629330327E-15</v>
      </c>
      <c r="L149" s="271">
        <f t="shared" si="20"/>
        <v>42.739572400766441</v>
      </c>
      <c r="M149" s="271"/>
      <c r="N149" s="271"/>
      <c r="O149" s="271"/>
    </row>
    <row r="150" spans="2:15" x14ac:dyDescent="0.25">
      <c r="B150">
        <v>117</v>
      </c>
      <c r="C150" s="272">
        <f t="shared" si="16"/>
        <v>3.2373301777298313E-17</v>
      </c>
      <c r="D150" s="272">
        <f t="shared" si="22"/>
        <v>0.62918926398802832</v>
      </c>
      <c r="E150" s="272">
        <f t="shared" si="12"/>
        <v>13.7794611566824</v>
      </c>
      <c r="F150" s="271">
        <f t="shared" si="13"/>
        <v>2.2383305629330327E-15</v>
      </c>
      <c r="G150" s="271">
        <f t="shared" si="18"/>
        <v>13.779461156682402</v>
      </c>
      <c r="H150" s="272">
        <f t="shared" si="21"/>
        <v>3.2373301777298313E-17</v>
      </c>
      <c r="I150" s="272">
        <f t="shared" si="23"/>
        <v>0.62918926398802832</v>
      </c>
      <c r="J150" s="272">
        <f t="shared" si="14"/>
        <v>42.739572400766441</v>
      </c>
      <c r="K150" s="271">
        <f t="shared" si="15"/>
        <v>2.2383305629330327E-15</v>
      </c>
      <c r="L150" s="271">
        <f t="shared" si="20"/>
        <v>42.739572400766441</v>
      </c>
      <c r="M150" s="271"/>
      <c r="N150" s="271"/>
      <c r="O150" s="271"/>
    </row>
    <row r="151" spans="2:15" x14ac:dyDescent="0.25">
      <c r="B151">
        <v>118</v>
      </c>
      <c r="C151" s="272">
        <f t="shared" si="16"/>
        <v>3.2373301777298313E-17</v>
      </c>
      <c r="D151" s="272">
        <f t="shared" si="22"/>
        <v>0.62918926398802832</v>
      </c>
      <c r="E151" s="272">
        <f t="shared" si="12"/>
        <v>13.779461156682428</v>
      </c>
      <c r="F151" s="271">
        <f t="shared" si="13"/>
        <v>2.2383305629330327E-15</v>
      </c>
      <c r="G151" s="271">
        <f t="shared" si="18"/>
        <v>13.77946115668243</v>
      </c>
      <c r="H151" s="272">
        <f t="shared" si="21"/>
        <v>3.2373301777298313E-17</v>
      </c>
      <c r="I151" s="272">
        <f t="shared" si="23"/>
        <v>0.62918926398802832</v>
      </c>
      <c r="J151" s="272">
        <f t="shared" si="14"/>
        <v>42.739572400766441</v>
      </c>
      <c r="K151" s="271">
        <f t="shared" si="15"/>
        <v>2.2383305629330327E-15</v>
      </c>
      <c r="L151" s="271">
        <f t="shared" si="20"/>
        <v>42.739572400766441</v>
      </c>
      <c r="M151" s="271"/>
      <c r="N151" s="271"/>
      <c r="O151" s="271"/>
    </row>
    <row r="152" spans="2:15" x14ac:dyDescent="0.25">
      <c r="B152">
        <v>119</v>
      </c>
      <c r="C152" s="272">
        <f t="shared" si="16"/>
        <v>3.2373301777298313E-17</v>
      </c>
      <c r="D152" s="272">
        <f t="shared" si="22"/>
        <v>0.62918926398802832</v>
      </c>
      <c r="E152" s="272">
        <f t="shared" si="12"/>
        <v>13.779461156682457</v>
      </c>
      <c r="F152" s="271">
        <f t="shared" si="13"/>
        <v>2.2383305629330327E-15</v>
      </c>
      <c r="G152" s="271">
        <f t="shared" si="18"/>
        <v>13.779461156682459</v>
      </c>
      <c r="H152" s="272">
        <f t="shared" si="21"/>
        <v>3.2373301777298313E-17</v>
      </c>
      <c r="I152" s="272">
        <f t="shared" si="23"/>
        <v>0.62918926398802832</v>
      </c>
      <c r="J152" s="272">
        <f t="shared" si="14"/>
        <v>42.739572400766441</v>
      </c>
      <c r="K152" s="271">
        <f t="shared" si="15"/>
        <v>2.2383305629330327E-15</v>
      </c>
      <c r="L152" s="271">
        <f t="shared" si="20"/>
        <v>42.739572400766441</v>
      </c>
      <c r="M152" s="271"/>
      <c r="N152" s="271"/>
      <c r="O152" s="271"/>
    </row>
    <row r="153" spans="2:15" x14ac:dyDescent="0.25">
      <c r="B153">
        <v>120</v>
      </c>
      <c r="C153" s="272">
        <f t="shared" si="16"/>
        <v>3.2373301777298313E-17</v>
      </c>
      <c r="D153" s="272">
        <f t="shared" si="22"/>
        <v>0.62918926398802832</v>
      </c>
      <c r="E153" s="272">
        <f t="shared" si="12"/>
        <v>13.779461156682485</v>
      </c>
      <c r="F153" s="271">
        <f t="shared" si="13"/>
        <v>2.2383305629330327E-15</v>
      </c>
      <c r="G153" s="271">
        <f t="shared" si="18"/>
        <v>13.779461156682487</v>
      </c>
      <c r="H153" s="272">
        <f t="shared" si="21"/>
        <v>3.2373301777298313E-17</v>
      </c>
      <c r="I153" s="272">
        <f t="shared" si="23"/>
        <v>0.62918926398802832</v>
      </c>
      <c r="J153" s="272">
        <f t="shared" si="14"/>
        <v>42.739572400766441</v>
      </c>
      <c r="K153" s="271">
        <f t="shared" si="15"/>
        <v>2.2383305629330327E-15</v>
      </c>
      <c r="L153" s="271">
        <f t="shared" si="20"/>
        <v>42.739572400766441</v>
      </c>
      <c r="M153" s="271"/>
      <c r="N153" s="271"/>
      <c r="O153" s="271"/>
    </row>
    <row r="154" spans="2:15" x14ac:dyDescent="0.25">
      <c r="B154">
        <v>121</v>
      </c>
      <c r="C154" s="272">
        <f t="shared" si="16"/>
        <v>3.2373301777298313E-17</v>
      </c>
      <c r="D154" s="272">
        <f t="shared" si="22"/>
        <v>0.62918926398802832</v>
      </c>
      <c r="E154" s="272">
        <f t="shared" si="12"/>
        <v>13.779461156682514</v>
      </c>
      <c r="F154" s="271">
        <f t="shared" si="13"/>
        <v>2.2383305629330327E-15</v>
      </c>
      <c r="G154" s="271">
        <f t="shared" si="18"/>
        <v>13.779461156682515</v>
      </c>
      <c r="H154" s="272">
        <f t="shared" si="21"/>
        <v>3.2373301777298313E-17</v>
      </c>
      <c r="I154" s="272">
        <f t="shared" si="23"/>
        <v>0.62918926398802832</v>
      </c>
      <c r="J154" s="272">
        <f t="shared" si="14"/>
        <v>42.739572400766441</v>
      </c>
      <c r="K154" s="271">
        <f t="shared" si="15"/>
        <v>2.2383305629330327E-15</v>
      </c>
      <c r="L154" s="271">
        <f t="shared" si="20"/>
        <v>42.739572400766441</v>
      </c>
      <c r="M154" s="271"/>
      <c r="N154" s="271"/>
      <c r="O154" s="271"/>
    </row>
    <row r="155" spans="2:15" x14ac:dyDescent="0.25">
      <c r="B155">
        <v>122</v>
      </c>
      <c r="C155" s="272">
        <f t="shared" si="16"/>
        <v>3.2373301777298313E-17</v>
      </c>
      <c r="D155" s="272">
        <f t="shared" si="22"/>
        <v>0.62918926398802832</v>
      </c>
      <c r="E155" s="272">
        <f t="shared" si="12"/>
        <v>13.779461156682544</v>
      </c>
      <c r="F155" s="271">
        <f t="shared" si="13"/>
        <v>2.2383305629330327E-15</v>
      </c>
      <c r="G155" s="271">
        <f t="shared" si="18"/>
        <v>13.779461156682546</v>
      </c>
      <c r="H155" s="272">
        <f t="shared" si="21"/>
        <v>3.2373301777298313E-17</v>
      </c>
      <c r="I155" s="272">
        <f t="shared" si="23"/>
        <v>0.62918926398802832</v>
      </c>
      <c r="J155" s="272">
        <f t="shared" si="14"/>
        <v>42.739572400766441</v>
      </c>
      <c r="K155" s="271">
        <f t="shared" si="15"/>
        <v>2.2383305629330327E-15</v>
      </c>
      <c r="L155" s="271">
        <f t="shared" si="20"/>
        <v>42.739572400766441</v>
      </c>
      <c r="M155" s="271"/>
      <c r="N155" s="271"/>
      <c r="O155" s="271"/>
    </row>
    <row r="156" spans="2:15" x14ac:dyDescent="0.25">
      <c r="B156">
        <v>123</v>
      </c>
      <c r="C156" s="272">
        <f t="shared" si="16"/>
        <v>3.2373301777298313E-17</v>
      </c>
      <c r="D156" s="272">
        <f t="shared" si="22"/>
        <v>0.62918926398802832</v>
      </c>
      <c r="E156" s="272">
        <f t="shared" si="12"/>
        <v>13.779461156682574</v>
      </c>
      <c r="F156" s="271">
        <f t="shared" si="13"/>
        <v>2.2383305629330327E-15</v>
      </c>
      <c r="G156" s="271">
        <f t="shared" si="18"/>
        <v>13.779461156682576</v>
      </c>
      <c r="H156" s="272">
        <f t="shared" si="21"/>
        <v>3.2373301777298313E-17</v>
      </c>
      <c r="I156" s="272">
        <f t="shared" si="23"/>
        <v>0.62918926398802832</v>
      </c>
      <c r="J156" s="272">
        <f t="shared" si="14"/>
        <v>42.739572400766441</v>
      </c>
      <c r="K156" s="271">
        <f t="shared" si="15"/>
        <v>2.2383305629330327E-15</v>
      </c>
      <c r="L156" s="271">
        <f t="shared" si="20"/>
        <v>42.739572400766441</v>
      </c>
      <c r="M156" s="271"/>
      <c r="N156" s="271"/>
      <c r="O156" s="271"/>
    </row>
    <row r="157" spans="2:15" x14ac:dyDescent="0.25">
      <c r="B157">
        <v>124</v>
      </c>
      <c r="C157" s="272">
        <f t="shared" si="16"/>
        <v>3.2373301777298313E-17</v>
      </c>
      <c r="D157" s="272">
        <f t="shared" si="22"/>
        <v>0.62918926398802832</v>
      </c>
      <c r="E157" s="272">
        <f t="shared" si="12"/>
        <v>13.779461156682604</v>
      </c>
      <c r="F157" s="271">
        <f t="shared" si="13"/>
        <v>2.2383305629330327E-15</v>
      </c>
      <c r="G157" s="271">
        <f t="shared" si="18"/>
        <v>13.779461156682606</v>
      </c>
      <c r="H157" s="272">
        <f t="shared" si="21"/>
        <v>3.2373301777298313E-17</v>
      </c>
      <c r="I157" s="272">
        <f t="shared" si="23"/>
        <v>0.62918926398802832</v>
      </c>
      <c r="J157" s="272">
        <f t="shared" si="14"/>
        <v>42.739572400766441</v>
      </c>
      <c r="K157" s="271">
        <f t="shared" si="15"/>
        <v>2.2383305629330327E-15</v>
      </c>
      <c r="L157" s="271">
        <f t="shared" si="20"/>
        <v>42.739572400766441</v>
      </c>
      <c r="M157" s="271"/>
      <c r="N157" s="271"/>
      <c r="O157" s="271"/>
    </row>
    <row r="158" spans="2:15" x14ac:dyDescent="0.25">
      <c r="B158">
        <v>125</v>
      </c>
      <c r="C158" s="272">
        <f t="shared" si="16"/>
        <v>3.2373301777298313E-17</v>
      </c>
      <c r="D158" s="272">
        <f t="shared" si="22"/>
        <v>0.62918926398802832</v>
      </c>
      <c r="E158" s="272">
        <f t="shared" si="12"/>
        <v>13.779461156682634</v>
      </c>
      <c r="F158" s="271">
        <f t="shared" si="13"/>
        <v>2.2383305629330327E-15</v>
      </c>
      <c r="G158" s="271">
        <f t="shared" si="18"/>
        <v>13.779461156682636</v>
      </c>
      <c r="H158" s="272">
        <f t="shared" si="21"/>
        <v>3.2373301777298313E-17</v>
      </c>
      <c r="I158" s="272">
        <f t="shared" si="23"/>
        <v>0.62918926398802832</v>
      </c>
      <c r="J158" s="272">
        <f t="shared" si="14"/>
        <v>42.739572400766441</v>
      </c>
      <c r="K158" s="271">
        <f t="shared" si="15"/>
        <v>2.2383305629330327E-15</v>
      </c>
      <c r="L158" s="271">
        <f t="shared" si="20"/>
        <v>42.739572400766441</v>
      </c>
      <c r="M158" s="271"/>
      <c r="N158" s="271"/>
      <c r="O158" s="271"/>
    </row>
    <row r="159" spans="2:15" x14ac:dyDescent="0.25">
      <c r="B159">
        <v>126</v>
      </c>
      <c r="C159" s="272">
        <f t="shared" si="16"/>
        <v>3.2373301777298313E-17</v>
      </c>
      <c r="D159" s="272">
        <f t="shared" si="22"/>
        <v>0.62918926398802832</v>
      </c>
      <c r="E159" s="272">
        <f t="shared" si="12"/>
        <v>13.779461156682665</v>
      </c>
      <c r="F159" s="271">
        <f t="shared" si="13"/>
        <v>2.2383305629330327E-15</v>
      </c>
      <c r="G159" s="271">
        <f t="shared" si="18"/>
        <v>13.779461156682666</v>
      </c>
      <c r="H159" s="272">
        <f t="shared" si="21"/>
        <v>3.2373301777298313E-17</v>
      </c>
      <c r="I159" s="272">
        <f t="shared" si="23"/>
        <v>0.62918926398802832</v>
      </c>
      <c r="J159" s="272">
        <f t="shared" si="14"/>
        <v>42.739572400766441</v>
      </c>
      <c r="K159" s="271">
        <f t="shared" si="15"/>
        <v>2.2383305629330327E-15</v>
      </c>
      <c r="L159" s="271">
        <f t="shared" si="20"/>
        <v>42.739572400766441</v>
      </c>
      <c r="M159" s="271"/>
      <c r="N159" s="271"/>
      <c r="O159" s="271"/>
    </row>
    <row r="160" spans="2:15" x14ac:dyDescent="0.25">
      <c r="B160">
        <v>127</v>
      </c>
      <c r="C160" s="272">
        <f t="shared" si="16"/>
        <v>3.2373301777298313E-17</v>
      </c>
      <c r="D160" s="272">
        <f t="shared" si="22"/>
        <v>0.62918926398802832</v>
      </c>
      <c r="E160" s="272">
        <f t="shared" si="12"/>
        <v>13.779461156682695</v>
      </c>
      <c r="F160" s="271">
        <f t="shared" si="13"/>
        <v>2.2383305629330327E-15</v>
      </c>
      <c r="G160" s="271">
        <f t="shared" si="18"/>
        <v>13.779461156682697</v>
      </c>
      <c r="H160" s="272">
        <f t="shared" si="21"/>
        <v>3.2373301777298313E-17</v>
      </c>
      <c r="I160" s="272">
        <f t="shared" si="23"/>
        <v>0.62918926398802832</v>
      </c>
      <c r="J160" s="272">
        <f t="shared" si="14"/>
        <v>42.739572400766441</v>
      </c>
      <c r="K160" s="271">
        <f t="shared" si="15"/>
        <v>2.2383305629330327E-15</v>
      </c>
      <c r="L160" s="271">
        <f t="shared" si="20"/>
        <v>42.739572400766441</v>
      </c>
      <c r="M160" s="271"/>
      <c r="N160" s="271"/>
      <c r="O160" s="271"/>
    </row>
    <row r="161" spans="2:15" x14ac:dyDescent="0.25">
      <c r="B161">
        <v>128</v>
      </c>
      <c r="C161" s="272">
        <f t="shared" si="16"/>
        <v>3.2373301777298313E-17</v>
      </c>
      <c r="D161" s="272">
        <f t="shared" si="22"/>
        <v>0.62918926398802832</v>
      </c>
      <c r="E161" s="272">
        <f t="shared" ref="E161:E224" si="24">$D$28*(B161-0.5)*C161+E160</f>
        <v>13.779461156682725</v>
      </c>
      <c r="F161" s="271">
        <f t="shared" ref="F161:F224" si="25">($D$25-D161)*$D$27</f>
        <v>2.2383305629330327E-15</v>
      </c>
      <c r="G161" s="271">
        <f t="shared" si="18"/>
        <v>13.779461156682727</v>
      </c>
      <c r="H161" s="272">
        <f t="shared" si="21"/>
        <v>3.2373301777298313E-17</v>
      </c>
      <c r="I161" s="272">
        <f t="shared" si="23"/>
        <v>0.62918926398802832</v>
      </c>
      <c r="J161" s="272">
        <f t="shared" ref="J161:J224" si="26">$D$28*(G161-0.5)*H161+J160</f>
        <v>42.739572400766441</v>
      </c>
      <c r="K161" s="271">
        <f t="shared" ref="K161:K224" si="27">($D$25-I161)*$D$27</f>
        <v>2.2383305629330327E-15</v>
      </c>
      <c r="L161" s="271">
        <f t="shared" si="20"/>
        <v>42.739572400766441</v>
      </c>
      <c r="M161" s="271"/>
      <c r="N161" s="271"/>
      <c r="O161" s="271"/>
    </row>
    <row r="162" spans="2:15" x14ac:dyDescent="0.25">
      <c r="B162">
        <v>129</v>
      </c>
      <c r="C162" s="272">
        <f t="shared" ref="C162:C225" si="28">($D$25-D161)*(((2*$D$24*(1-$D$24)*$D$11)+($D$24^2 * $D$11^2))/$D$25)</f>
        <v>3.2373301777298313E-17</v>
      </c>
      <c r="D162" s="272">
        <f t="shared" ref="D162:D193" si="29">C162+D161</f>
        <v>0.62918926398802832</v>
      </c>
      <c r="E162" s="272">
        <f t="shared" si="24"/>
        <v>13.779461156682757</v>
      </c>
      <c r="F162" s="271">
        <f t="shared" si="25"/>
        <v>2.2383305629330327E-15</v>
      </c>
      <c r="G162" s="271">
        <f t="shared" ref="G162:G225" si="30">F162+E162</f>
        <v>13.779461156682759</v>
      </c>
      <c r="H162" s="272">
        <f t="shared" si="21"/>
        <v>3.2373301777298313E-17</v>
      </c>
      <c r="I162" s="272">
        <f t="shared" ref="I162:I193" si="31">H162+I161</f>
        <v>0.62918926398802832</v>
      </c>
      <c r="J162" s="272">
        <f t="shared" si="26"/>
        <v>42.739572400766441</v>
      </c>
      <c r="K162" s="271">
        <f t="shared" si="27"/>
        <v>2.2383305629330327E-15</v>
      </c>
      <c r="L162" s="271">
        <f t="shared" ref="L162:L225" si="32">K162+J162</f>
        <v>42.739572400766441</v>
      </c>
      <c r="M162" s="271"/>
      <c r="N162" s="271"/>
      <c r="O162" s="271"/>
    </row>
    <row r="163" spans="2:15" x14ac:dyDescent="0.25">
      <c r="B163">
        <v>130</v>
      </c>
      <c r="C163" s="272">
        <f t="shared" si="28"/>
        <v>3.2373301777298313E-17</v>
      </c>
      <c r="D163" s="272">
        <f t="shared" si="29"/>
        <v>0.62918926398802832</v>
      </c>
      <c r="E163" s="272">
        <f t="shared" si="24"/>
        <v>13.779461156682789</v>
      </c>
      <c r="F163" s="271">
        <f t="shared" si="25"/>
        <v>2.2383305629330327E-15</v>
      </c>
      <c r="G163" s="271">
        <f t="shared" si="30"/>
        <v>13.779461156682791</v>
      </c>
      <c r="H163" s="272">
        <f t="shared" ref="H163:H226" si="33">($D$25-I162)*(((2*$D$24*(1-$D$24)*$D$11)+($D$24^2 * $D$11^2))/$D$25)</f>
        <v>3.2373301777298313E-17</v>
      </c>
      <c r="I163" s="272">
        <f t="shared" si="31"/>
        <v>0.62918926398802832</v>
      </c>
      <c r="J163" s="272">
        <f t="shared" si="26"/>
        <v>42.739572400766441</v>
      </c>
      <c r="K163" s="271">
        <f t="shared" si="27"/>
        <v>2.2383305629330327E-15</v>
      </c>
      <c r="L163" s="271">
        <f t="shared" si="32"/>
        <v>42.739572400766441</v>
      </c>
      <c r="M163" s="271"/>
      <c r="N163" s="271"/>
      <c r="O163" s="271"/>
    </row>
    <row r="164" spans="2:15" x14ac:dyDescent="0.25">
      <c r="B164">
        <v>131</v>
      </c>
      <c r="C164" s="272">
        <f t="shared" si="28"/>
        <v>3.2373301777298313E-17</v>
      </c>
      <c r="D164" s="272">
        <f t="shared" si="29"/>
        <v>0.62918926398802832</v>
      </c>
      <c r="E164" s="272">
        <f t="shared" si="24"/>
        <v>13.779461156682821</v>
      </c>
      <c r="F164" s="271">
        <f t="shared" si="25"/>
        <v>2.2383305629330327E-15</v>
      </c>
      <c r="G164" s="271">
        <f t="shared" si="30"/>
        <v>13.779461156682823</v>
      </c>
      <c r="H164" s="272">
        <f t="shared" si="33"/>
        <v>3.2373301777298313E-17</v>
      </c>
      <c r="I164" s="272">
        <f t="shared" si="31"/>
        <v>0.62918926398802832</v>
      </c>
      <c r="J164" s="272">
        <f t="shared" si="26"/>
        <v>42.739572400766441</v>
      </c>
      <c r="K164" s="271">
        <f t="shared" si="27"/>
        <v>2.2383305629330327E-15</v>
      </c>
      <c r="L164" s="271">
        <f t="shared" si="32"/>
        <v>42.739572400766441</v>
      </c>
      <c r="M164" s="271"/>
      <c r="N164" s="271"/>
      <c r="O164" s="271"/>
    </row>
    <row r="165" spans="2:15" x14ac:dyDescent="0.25">
      <c r="B165">
        <v>132</v>
      </c>
      <c r="C165" s="272">
        <f t="shared" si="28"/>
        <v>3.2373301777298313E-17</v>
      </c>
      <c r="D165" s="272">
        <f t="shared" si="29"/>
        <v>0.62918926398802832</v>
      </c>
      <c r="E165" s="272">
        <f t="shared" si="24"/>
        <v>13.779461156682853</v>
      </c>
      <c r="F165" s="271">
        <f t="shared" si="25"/>
        <v>2.2383305629330327E-15</v>
      </c>
      <c r="G165" s="271">
        <f t="shared" si="30"/>
        <v>13.779461156682855</v>
      </c>
      <c r="H165" s="272">
        <f t="shared" si="33"/>
        <v>3.2373301777298313E-17</v>
      </c>
      <c r="I165" s="272">
        <f t="shared" si="31"/>
        <v>0.62918926398802832</v>
      </c>
      <c r="J165" s="272">
        <f t="shared" si="26"/>
        <v>42.739572400766441</v>
      </c>
      <c r="K165" s="271">
        <f t="shared" si="27"/>
        <v>2.2383305629330327E-15</v>
      </c>
      <c r="L165" s="271">
        <f t="shared" si="32"/>
        <v>42.739572400766441</v>
      </c>
      <c r="M165" s="271"/>
      <c r="N165" s="271"/>
      <c r="O165" s="271"/>
    </row>
    <row r="166" spans="2:15" x14ac:dyDescent="0.25">
      <c r="B166">
        <v>133</v>
      </c>
      <c r="C166" s="272">
        <f t="shared" si="28"/>
        <v>3.2373301777298313E-17</v>
      </c>
      <c r="D166" s="272">
        <f t="shared" si="29"/>
        <v>0.62918926398802832</v>
      </c>
      <c r="E166" s="272">
        <f t="shared" si="24"/>
        <v>13.779461156682885</v>
      </c>
      <c r="F166" s="271">
        <f t="shared" si="25"/>
        <v>2.2383305629330327E-15</v>
      </c>
      <c r="G166" s="271">
        <f t="shared" si="30"/>
        <v>13.779461156682887</v>
      </c>
      <c r="H166" s="272">
        <f t="shared" si="33"/>
        <v>3.2373301777298313E-17</v>
      </c>
      <c r="I166" s="272">
        <f t="shared" si="31"/>
        <v>0.62918926398802832</v>
      </c>
      <c r="J166" s="272">
        <f t="shared" si="26"/>
        <v>42.739572400766441</v>
      </c>
      <c r="K166" s="271">
        <f t="shared" si="27"/>
        <v>2.2383305629330327E-15</v>
      </c>
      <c r="L166" s="271">
        <f t="shared" si="32"/>
        <v>42.739572400766441</v>
      </c>
      <c r="M166" s="271"/>
      <c r="N166" s="271"/>
      <c r="O166" s="271"/>
    </row>
    <row r="167" spans="2:15" x14ac:dyDescent="0.25">
      <c r="B167">
        <v>134</v>
      </c>
      <c r="C167" s="272">
        <f t="shared" si="28"/>
        <v>3.2373301777298313E-17</v>
      </c>
      <c r="D167" s="272">
        <f t="shared" si="29"/>
        <v>0.62918926398802832</v>
      </c>
      <c r="E167" s="272">
        <f t="shared" si="24"/>
        <v>13.779461156682917</v>
      </c>
      <c r="F167" s="271">
        <f t="shared" si="25"/>
        <v>2.2383305629330327E-15</v>
      </c>
      <c r="G167" s="271">
        <f t="shared" si="30"/>
        <v>13.779461156682919</v>
      </c>
      <c r="H167" s="272">
        <f t="shared" si="33"/>
        <v>3.2373301777298313E-17</v>
      </c>
      <c r="I167" s="272">
        <f t="shared" si="31"/>
        <v>0.62918926398802832</v>
      </c>
      <c r="J167" s="272">
        <f t="shared" si="26"/>
        <v>42.739572400766441</v>
      </c>
      <c r="K167" s="271">
        <f t="shared" si="27"/>
        <v>2.2383305629330327E-15</v>
      </c>
      <c r="L167" s="271">
        <f t="shared" si="32"/>
        <v>42.739572400766441</v>
      </c>
      <c r="M167" s="271"/>
      <c r="N167" s="271"/>
      <c r="O167" s="271"/>
    </row>
    <row r="168" spans="2:15" x14ac:dyDescent="0.25">
      <c r="B168">
        <v>135</v>
      </c>
      <c r="C168" s="272">
        <f t="shared" si="28"/>
        <v>3.2373301777298313E-17</v>
      </c>
      <c r="D168" s="272">
        <f t="shared" si="29"/>
        <v>0.62918926398802832</v>
      </c>
      <c r="E168" s="272">
        <f t="shared" si="24"/>
        <v>13.779461156682949</v>
      </c>
      <c r="F168" s="271">
        <f t="shared" si="25"/>
        <v>2.2383305629330327E-15</v>
      </c>
      <c r="G168" s="271">
        <f t="shared" si="30"/>
        <v>13.779461156682951</v>
      </c>
      <c r="H168" s="272">
        <f t="shared" si="33"/>
        <v>3.2373301777298313E-17</v>
      </c>
      <c r="I168" s="272">
        <f t="shared" si="31"/>
        <v>0.62918926398802832</v>
      </c>
      <c r="J168" s="272">
        <f t="shared" si="26"/>
        <v>42.739572400766441</v>
      </c>
      <c r="K168" s="271">
        <f t="shared" si="27"/>
        <v>2.2383305629330327E-15</v>
      </c>
      <c r="L168" s="271">
        <f t="shared" si="32"/>
        <v>42.739572400766441</v>
      </c>
      <c r="M168" s="271"/>
      <c r="N168" s="271"/>
      <c r="O168" s="271"/>
    </row>
    <row r="169" spans="2:15" x14ac:dyDescent="0.25">
      <c r="B169">
        <v>136</v>
      </c>
      <c r="C169" s="272">
        <f t="shared" si="28"/>
        <v>3.2373301777298313E-17</v>
      </c>
      <c r="D169" s="272">
        <f t="shared" si="29"/>
        <v>0.62918926398802832</v>
      </c>
      <c r="E169" s="272">
        <f t="shared" si="24"/>
        <v>13.779461156682981</v>
      </c>
      <c r="F169" s="271">
        <f t="shared" si="25"/>
        <v>2.2383305629330327E-15</v>
      </c>
      <c r="G169" s="271">
        <f t="shared" si="30"/>
        <v>13.779461156682983</v>
      </c>
      <c r="H169" s="272">
        <f t="shared" si="33"/>
        <v>3.2373301777298313E-17</v>
      </c>
      <c r="I169" s="272">
        <f t="shared" si="31"/>
        <v>0.62918926398802832</v>
      </c>
      <c r="J169" s="272">
        <f t="shared" si="26"/>
        <v>42.739572400766441</v>
      </c>
      <c r="K169" s="271">
        <f t="shared" si="27"/>
        <v>2.2383305629330327E-15</v>
      </c>
      <c r="L169" s="271">
        <f t="shared" si="32"/>
        <v>42.739572400766441</v>
      </c>
      <c r="M169" s="271"/>
      <c r="N169" s="271"/>
      <c r="O169" s="271"/>
    </row>
    <row r="170" spans="2:15" x14ac:dyDescent="0.25">
      <c r="B170">
        <v>137</v>
      </c>
      <c r="C170" s="272">
        <f t="shared" si="28"/>
        <v>3.2373301777298313E-17</v>
      </c>
      <c r="D170" s="272">
        <f t="shared" si="29"/>
        <v>0.62918926398802832</v>
      </c>
      <c r="E170" s="272">
        <f t="shared" si="24"/>
        <v>13.779461156683015</v>
      </c>
      <c r="F170" s="271">
        <f t="shared" si="25"/>
        <v>2.2383305629330327E-15</v>
      </c>
      <c r="G170" s="271">
        <f t="shared" si="30"/>
        <v>13.779461156683016</v>
      </c>
      <c r="H170" s="272">
        <f t="shared" si="33"/>
        <v>3.2373301777298313E-17</v>
      </c>
      <c r="I170" s="272">
        <f t="shared" si="31"/>
        <v>0.62918926398802832</v>
      </c>
      <c r="J170" s="272">
        <f t="shared" si="26"/>
        <v>42.739572400766441</v>
      </c>
      <c r="K170" s="271">
        <f t="shared" si="27"/>
        <v>2.2383305629330327E-15</v>
      </c>
      <c r="L170" s="271">
        <f t="shared" si="32"/>
        <v>42.739572400766441</v>
      </c>
      <c r="M170" s="271"/>
      <c r="N170" s="271"/>
      <c r="O170" s="271"/>
    </row>
    <row r="171" spans="2:15" x14ac:dyDescent="0.25">
      <c r="B171">
        <v>138</v>
      </c>
      <c r="C171" s="272">
        <f t="shared" si="28"/>
        <v>3.2373301777298313E-17</v>
      </c>
      <c r="D171" s="272">
        <f t="shared" si="29"/>
        <v>0.62918926398802832</v>
      </c>
      <c r="E171" s="272">
        <f t="shared" si="24"/>
        <v>13.779461156683048</v>
      </c>
      <c r="F171" s="271">
        <f t="shared" si="25"/>
        <v>2.2383305629330327E-15</v>
      </c>
      <c r="G171" s="271">
        <f t="shared" si="30"/>
        <v>13.77946115668305</v>
      </c>
      <c r="H171" s="272">
        <f t="shared" si="33"/>
        <v>3.2373301777298313E-17</v>
      </c>
      <c r="I171" s="272">
        <f t="shared" si="31"/>
        <v>0.62918926398802832</v>
      </c>
      <c r="J171" s="272">
        <f t="shared" si="26"/>
        <v>42.739572400766441</v>
      </c>
      <c r="K171" s="271">
        <f t="shared" si="27"/>
        <v>2.2383305629330327E-15</v>
      </c>
      <c r="L171" s="271">
        <f t="shared" si="32"/>
        <v>42.739572400766441</v>
      </c>
      <c r="M171" s="271"/>
      <c r="N171" s="271"/>
      <c r="O171" s="271"/>
    </row>
    <row r="172" spans="2:15" x14ac:dyDescent="0.25">
      <c r="B172">
        <v>139</v>
      </c>
      <c r="C172" s="272">
        <f t="shared" si="28"/>
        <v>3.2373301777298313E-17</v>
      </c>
      <c r="D172" s="272">
        <f t="shared" si="29"/>
        <v>0.62918926398802832</v>
      </c>
      <c r="E172" s="272">
        <f t="shared" si="24"/>
        <v>13.779461156683082</v>
      </c>
      <c r="F172" s="271">
        <f t="shared" si="25"/>
        <v>2.2383305629330327E-15</v>
      </c>
      <c r="G172" s="271">
        <f t="shared" si="30"/>
        <v>13.779461156683084</v>
      </c>
      <c r="H172" s="272">
        <f t="shared" si="33"/>
        <v>3.2373301777298313E-17</v>
      </c>
      <c r="I172" s="272">
        <f t="shared" si="31"/>
        <v>0.62918926398802832</v>
      </c>
      <c r="J172" s="272">
        <f t="shared" si="26"/>
        <v>42.739572400766441</v>
      </c>
      <c r="K172" s="271">
        <f t="shared" si="27"/>
        <v>2.2383305629330327E-15</v>
      </c>
      <c r="L172" s="271">
        <f t="shared" si="32"/>
        <v>42.739572400766441</v>
      </c>
      <c r="M172" s="271"/>
      <c r="N172" s="271"/>
      <c r="O172" s="271"/>
    </row>
    <row r="173" spans="2:15" x14ac:dyDescent="0.25">
      <c r="B173">
        <v>140</v>
      </c>
      <c r="C173" s="272">
        <f t="shared" si="28"/>
        <v>3.2373301777298313E-17</v>
      </c>
      <c r="D173" s="272">
        <f t="shared" si="29"/>
        <v>0.62918926398802832</v>
      </c>
      <c r="E173" s="272">
        <f t="shared" si="24"/>
        <v>13.779461156683116</v>
      </c>
      <c r="F173" s="271">
        <f t="shared" si="25"/>
        <v>2.2383305629330327E-15</v>
      </c>
      <c r="G173" s="271">
        <f t="shared" si="30"/>
        <v>13.779461156683118</v>
      </c>
      <c r="H173" s="272">
        <f t="shared" si="33"/>
        <v>3.2373301777298313E-17</v>
      </c>
      <c r="I173" s="272">
        <f t="shared" si="31"/>
        <v>0.62918926398802832</v>
      </c>
      <c r="J173" s="272">
        <f t="shared" si="26"/>
        <v>42.739572400766441</v>
      </c>
      <c r="K173" s="271">
        <f t="shared" si="27"/>
        <v>2.2383305629330327E-15</v>
      </c>
      <c r="L173" s="271">
        <f t="shared" si="32"/>
        <v>42.739572400766441</v>
      </c>
      <c r="M173" s="271"/>
      <c r="N173" s="271"/>
      <c r="O173" s="271"/>
    </row>
    <row r="174" spans="2:15" x14ac:dyDescent="0.25">
      <c r="B174">
        <v>141</v>
      </c>
      <c r="C174" s="272">
        <f t="shared" si="28"/>
        <v>3.2373301777298313E-17</v>
      </c>
      <c r="D174" s="272">
        <f t="shared" si="29"/>
        <v>0.62918926398802832</v>
      </c>
      <c r="E174" s="272">
        <f t="shared" si="24"/>
        <v>13.77946115668315</v>
      </c>
      <c r="F174" s="271">
        <f t="shared" si="25"/>
        <v>2.2383305629330327E-15</v>
      </c>
      <c r="G174" s="271">
        <f t="shared" si="30"/>
        <v>13.779461156683151</v>
      </c>
      <c r="H174" s="272">
        <f t="shared" si="33"/>
        <v>3.2373301777298313E-17</v>
      </c>
      <c r="I174" s="272">
        <f t="shared" si="31"/>
        <v>0.62918926398802832</v>
      </c>
      <c r="J174" s="272">
        <f t="shared" si="26"/>
        <v>42.739572400766441</v>
      </c>
      <c r="K174" s="271">
        <f t="shared" si="27"/>
        <v>2.2383305629330327E-15</v>
      </c>
      <c r="L174" s="271">
        <f t="shared" si="32"/>
        <v>42.739572400766441</v>
      </c>
      <c r="M174" s="271"/>
      <c r="N174" s="271"/>
      <c r="O174" s="271"/>
    </row>
    <row r="175" spans="2:15" x14ac:dyDescent="0.25">
      <c r="B175">
        <v>142</v>
      </c>
      <c r="C175" s="272">
        <f t="shared" si="28"/>
        <v>3.2373301777298313E-17</v>
      </c>
      <c r="D175" s="272">
        <f t="shared" si="29"/>
        <v>0.62918926398802832</v>
      </c>
      <c r="E175" s="272">
        <f t="shared" si="24"/>
        <v>13.779461156683183</v>
      </c>
      <c r="F175" s="271">
        <f t="shared" si="25"/>
        <v>2.2383305629330327E-15</v>
      </c>
      <c r="G175" s="271">
        <f t="shared" si="30"/>
        <v>13.779461156683185</v>
      </c>
      <c r="H175" s="272">
        <f t="shared" si="33"/>
        <v>3.2373301777298313E-17</v>
      </c>
      <c r="I175" s="272">
        <f t="shared" si="31"/>
        <v>0.62918926398802832</v>
      </c>
      <c r="J175" s="272">
        <f t="shared" si="26"/>
        <v>42.739572400766441</v>
      </c>
      <c r="K175" s="271">
        <f t="shared" si="27"/>
        <v>2.2383305629330327E-15</v>
      </c>
      <c r="L175" s="271">
        <f t="shared" si="32"/>
        <v>42.739572400766441</v>
      </c>
      <c r="M175" s="271"/>
      <c r="N175" s="271"/>
      <c r="O175" s="271"/>
    </row>
    <row r="176" spans="2:15" x14ac:dyDescent="0.25">
      <c r="B176">
        <v>143</v>
      </c>
      <c r="C176" s="272">
        <f t="shared" si="28"/>
        <v>3.2373301777298313E-17</v>
      </c>
      <c r="D176" s="272">
        <f t="shared" si="29"/>
        <v>0.62918926398802832</v>
      </c>
      <c r="E176" s="272">
        <f t="shared" si="24"/>
        <v>13.779461156683217</v>
      </c>
      <c r="F176" s="271">
        <f t="shared" si="25"/>
        <v>2.2383305629330327E-15</v>
      </c>
      <c r="G176" s="271">
        <f t="shared" si="30"/>
        <v>13.779461156683219</v>
      </c>
      <c r="H176" s="272">
        <f t="shared" si="33"/>
        <v>3.2373301777298313E-17</v>
      </c>
      <c r="I176" s="272">
        <f t="shared" si="31"/>
        <v>0.62918926398802832</v>
      </c>
      <c r="J176" s="272">
        <f t="shared" si="26"/>
        <v>42.739572400766441</v>
      </c>
      <c r="K176" s="271">
        <f t="shared" si="27"/>
        <v>2.2383305629330327E-15</v>
      </c>
      <c r="L176" s="271">
        <f t="shared" si="32"/>
        <v>42.739572400766441</v>
      </c>
      <c r="M176" s="271"/>
      <c r="N176" s="271"/>
      <c r="O176" s="271"/>
    </row>
    <row r="177" spans="2:15" x14ac:dyDescent="0.25">
      <c r="B177">
        <v>144</v>
      </c>
      <c r="C177" s="272">
        <f t="shared" si="28"/>
        <v>3.2373301777298313E-17</v>
      </c>
      <c r="D177" s="272">
        <f t="shared" si="29"/>
        <v>0.62918926398802832</v>
      </c>
      <c r="E177" s="272">
        <f t="shared" si="24"/>
        <v>13.779461156683253</v>
      </c>
      <c r="F177" s="271">
        <f t="shared" si="25"/>
        <v>2.2383305629330327E-15</v>
      </c>
      <c r="G177" s="271">
        <f t="shared" si="30"/>
        <v>13.779461156683254</v>
      </c>
      <c r="H177" s="272">
        <f t="shared" si="33"/>
        <v>3.2373301777298313E-17</v>
      </c>
      <c r="I177" s="272">
        <f t="shared" si="31"/>
        <v>0.62918926398802832</v>
      </c>
      <c r="J177" s="272">
        <f t="shared" si="26"/>
        <v>42.739572400766441</v>
      </c>
      <c r="K177" s="271">
        <f t="shared" si="27"/>
        <v>2.2383305629330327E-15</v>
      </c>
      <c r="L177" s="271">
        <f t="shared" si="32"/>
        <v>42.739572400766441</v>
      </c>
      <c r="M177" s="271"/>
      <c r="N177" s="271"/>
      <c r="O177" s="271"/>
    </row>
    <row r="178" spans="2:15" x14ac:dyDescent="0.25">
      <c r="B178">
        <v>145</v>
      </c>
      <c r="C178" s="272">
        <f t="shared" si="28"/>
        <v>3.2373301777298313E-17</v>
      </c>
      <c r="D178" s="272">
        <f t="shared" si="29"/>
        <v>0.62918926398802832</v>
      </c>
      <c r="E178" s="272">
        <f t="shared" si="24"/>
        <v>13.779461156683288</v>
      </c>
      <c r="F178" s="271">
        <f t="shared" si="25"/>
        <v>2.2383305629330327E-15</v>
      </c>
      <c r="G178" s="271">
        <f t="shared" si="30"/>
        <v>13.77946115668329</v>
      </c>
      <c r="H178" s="272">
        <f t="shared" si="33"/>
        <v>3.2373301777298313E-17</v>
      </c>
      <c r="I178" s="272">
        <f t="shared" si="31"/>
        <v>0.62918926398802832</v>
      </c>
      <c r="J178" s="272">
        <f t="shared" si="26"/>
        <v>42.739572400766441</v>
      </c>
      <c r="K178" s="271">
        <f t="shared" si="27"/>
        <v>2.2383305629330327E-15</v>
      </c>
      <c r="L178" s="271">
        <f t="shared" si="32"/>
        <v>42.739572400766441</v>
      </c>
      <c r="M178" s="271"/>
      <c r="N178" s="271"/>
      <c r="O178" s="271"/>
    </row>
    <row r="179" spans="2:15" x14ac:dyDescent="0.25">
      <c r="B179">
        <v>146</v>
      </c>
      <c r="C179" s="272">
        <f t="shared" si="28"/>
        <v>3.2373301777298313E-17</v>
      </c>
      <c r="D179" s="272">
        <f t="shared" si="29"/>
        <v>0.62918926398802832</v>
      </c>
      <c r="E179" s="272">
        <f t="shared" si="24"/>
        <v>13.779461156683324</v>
      </c>
      <c r="F179" s="271">
        <f t="shared" si="25"/>
        <v>2.2383305629330327E-15</v>
      </c>
      <c r="G179" s="271">
        <f t="shared" si="30"/>
        <v>13.779461156683325</v>
      </c>
      <c r="H179" s="272">
        <f t="shared" si="33"/>
        <v>3.2373301777298313E-17</v>
      </c>
      <c r="I179" s="272">
        <f t="shared" si="31"/>
        <v>0.62918926398802832</v>
      </c>
      <c r="J179" s="272">
        <f t="shared" si="26"/>
        <v>42.739572400766441</v>
      </c>
      <c r="K179" s="271">
        <f t="shared" si="27"/>
        <v>2.2383305629330327E-15</v>
      </c>
      <c r="L179" s="271">
        <f t="shared" si="32"/>
        <v>42.739572400766441</v>
      </c>
      <c r="M179" s="271"/>
      <c r="N179" s="271"/>
      <c r="O179" s="271"/>
    </row>
    <row r="180" spans="2:15" x14ac:dyDescent="0.25">
      <c r="B180">
        <v>147</v>
      </c>
      <c r="C180" s="272">
        <f t="shared" si="28"/>
        <v>3.2373301777298313E-17</v>
      </c>
      <c r="D180" s="272">
        <f t="shared" si="29"/>
        <v>0.62918926398802832</v>
      </c>
      <c r="E180" s="272">
        <f t="shared" si="24"/>
        <v>13.779461156683359</v>
      </c>
      <c r="F180" s="271">
        <f t="shared" si="25"/>
        <v>2.2383305629330327E-15</v>
      </c>
      <c r="G180" s="271">
        <f t="shared" si="30"/>
        <v>13.779461156683361</v>
      </c>
      <c r="H180" s="272">
        <f t="shared" si="33"/>
        <v>3.2373301777298313E-17</v>
      </c>
      <c r="I180" s="272">
        <f t="shared" si="31"/>
        <v>0.62918926398802832</v>
      </c>
      <c r="J180" s="272">
        <f t="shared" si="26"/>
        <v>42.739572400766441</v>
      </c>
      <c r="K180" s="271">
        <f t="shared" si="27"/>
        <v>2.2383305629330327E-15</v>
      </c>
      <c r="L180" s="271">
        <f t="shared" si="32"/>
        <v>42.739572400766441</v>
      </c>
      <c r="M180" s="271"/>
      <c r="N180" s="271"/>
      <c r="O180" s="271"/>
    </row>
    <row r="181" spans="2:15" x14ac:dyDescent="0.25">
      <c r="B181">
        <v>148</v>
      </c>
      <c r="C181" s="272">
        <f t="shared" si="28"/>
        <v>3.2373301777298313E-17</v>
      </c>
      <c r="D181" s="272">
        <f t="shared" si="29"/>
        <v>0.62918926398802832</v>
      </c>
      <c r="E181" s="272">
        <f t="shared" si="24"/>
        <v>13.779461156683395</v>
      </c>
      <c r="F181" s="271">
        <f t="shared" si="25"/>
        <v>2.2383305629330327E-15</v>
      </c>
      <c r="G181" s="271">
        <f t="shared" si="30"/>
        <v>13.779461156683396</v>
      </c>
      <c r="H181" s="272">
        <f t="shared" si="33"/>
        <v>3.2373301777298313E-17</v>
      </c>
      <c r="I181" s="272">
        <f t="shared" si="31"/>
        <v>0.62918926398802832</v>
      </c>
      <c r="J181" s="272">
        <f t="shared" si="26"/>
        <v>42.739572400766441</v>
      </c>
      <c r="K181" s="271">
        <f t="shared" si="27"/>
        <v>2.2383305629330327E-15</v>
      </c>
      <c r="L181" s="271">
        <f t="shared" si="32"/>
        <v>42.739572400766441</v>
      </c>
      <c r="M181" s="271"/>
      <c r="N181" s="271"/>
      <c r="O181" s="271"/>
    </row>
    <row r="182" spans="2:15" x14ac:dyDescent="0.25">
      <c r="B182">
        <v>149</v>
      </c>
      <c r="C182" s="272">
        <f t="shared" si="28"/>
        <v>3.2373301777298313E-17</v>
      </c>
      <c r="D182" s="272">
        <f t="shared" si="29"/>
        <v>0.62918926398802832</v>
      </c>
      <c r="E182" s="272">
        <f t="shared" si="24"/>
        <v>13.77946115668343</v>
      </c>
      <c r="F182" s="271">
        <f t="shared" si="25"/>
        <v>2.2383305629330327E-15</v>
      </c>
      <c r="G182" s="271">
        <f t="shared" si="30"/>
        <v>13.779461156683432</v>
      </c>
      <c r="H182" s="272">
        <f t="shared" si="33"/>
        <v>3.2373301777298313E-17</v>
      </c>
      <c r="I182" s="272">
        <f t="shared" si="31"/>
        <v>0.62918926398802832</v>
      </c>
      <c r="J182" s="272">
        <f t="shared" si="26"/>
        <v>42.739572400766441</v>
      </c>
      <c r="K182" s="271">
        <f t="shared" si="27"/>
        <v>2.2383305629330327E-15</v>
      </c>
      <c r="L182" s="271">
        <f t="shared" si="32"/>
        <v>42.739572400766441</v>
      </c>
      <c r="M182" s="271"/>
      <c r="N182" s="271"/>
      <c r="O182" s="271"/>
    </row>
    <row r="183" spans="2:15" x14ac:dyDescent="0.25">
      <c r="B183">
        <v>150</v>
      </c>
      <c r="C183" s="272">
        <f t="shared" si="28"/>
        <v>3.2373301777298313E-17</v>
      </c>
      <c r="D183" s="272">
        <f t="shared" si="29"/>
        <v>0.62918926398802832</v>
      </c>
      <c r="E183" s="272">
        <f t="shared" si="24"/>
        <v>13.779461156683466</v>
      </c>
      <c r="F183" s="271">
        <f t="shared" si="25"/>
        <v>2.2383305629330327E-15</v>
      </c>
      <c r="G183" s="271">
        <f t="shared" si="30"/>
        <v>13.779461156683467</v>
      </c>
      <c r="H183" s="272">
        <f t="shared" si="33"/>
        <v>3.2373301777298313E-17</v>
      </c>
      <c r="I183" s="272">
        <f t="shared" si="31"/>
        <v>0.62918926398802832</v>
      </c>
      <c r="J183" s="272">
        <f t="shared" si="26"/>
        <v>42.739572400766441</v>
      </c>
      <c r="K183" s="271">
        <f t="shared" si="27"/>
        <v>2.2383305629330327E-15</v>
      </c>
      <c r="L183" s="271">
        <f t="shared" si="32"/>
        <v>42.739572400766441</v>
      </c>
      <c r="M183" s="271"/>
      <c r="N183" s="271"/>
      <c r="O183" s="271"/>
    </row>
    <row r="184" spans="2:15" x14ac:dyDescent="0.25">
      <c r="B184">
        <v>151</v>
      </c>
      <c r="C184" s="272">
        <f t="shared" si="28"/>
        <v>3.2373301777298313E-17</v>
      </c>
      <c r="D184" s="272">
        <f t="shared" si="29"/>
        <v>0.62918926398802832</v>
      </c>
      <c r="E184" s="272">
        <f t="shared" si="24"/>
        <v>13.779461156683503</v>
      </c>
      <c r="F184" s="271">
        <f t="shared" si="25"/>
        <v>2.2383305629330327E-15</v>
      </c>
      <c r="G184" s="271">
        <f t="shared" si="30"/>
        <v>13.779461156683505</v>
      </c>
      <c r="H184" s="272">
        <f t="shared" si="33"/>
        <v>3.2373301777298313E-17</v>
      </c>
      <c r="I184" s="272">
        <f t="shared" si="31"/>
        <v>0.62918926398802832</v>
      </c>
      <c r="J184" s="272">
        <f t="shared" si="26"/>
        <v>42.739572400766441</v>
      </c>
      <c r="K184" s="271">
        <f t="shared" si="27"/>
        <v>2.2383305629330327E-15</v>
      </c>
      <c r="L184" s="271">
        <f t="shared" si="32"/>
        <v>42.739572400766441</v>
      </c>
      <c r="M184" s="271"/>
      <c r="N184" s="271"/>
      <c r="O184" s="271"/>
    </row>
    <row r="185" spans="2:15" x14ac:dyDescent="0.25">
      <c r="B185">
        <v>152</v>
      </c>
      <c r="C185" s="272">
        <f t="shared" si="28"/>
        <v>3.2373301777298313E-17</v>
      </c>
      <c r="D185" s="272">
        <f t="shared" si="29"/>
        <v>0.62918926398802832</v>
      </c>
      <c r="E185" s="272">
        <f t="shared" si="24"/>
        <v>13.77946115668354</v>
      </c>
      <c r="F185" s="271">
        <f t="shared" si="25"/>
        <v>2.2383305629330327E-15</v>
      </c>
      <c r="G185" s="271">
        <f t="shared" si="30"/>
        <v>13.779461156683542</v>
      </c>
      <c r="H185" s="272">
        <f t="shared" si="33"/>
        <v>3.2373301777298313E-17</v>
      </c>
      <c r="I185" s="272">
        <f t="shared" si="31"/>
        <v>0.62918926398802832</v>
      </c>
      <c r="J185" s="272">
        <f t="shared" si="26"/>
        <v>42.739572400766441</v>
      </c>
      <c r="K185" s="271">
        <f t="shared" si="27"/>
        <v>2.2383305629330327E-15</v>
      </c>
      <c r="L185" s="271">
        <f t="shared" si="32"/>
        <v>42.739572400766441</v>
      </c>
      <c r="M185" s="271"/>
      <c r="N185" s="271"/>
      <c r="O185" s="271"/>
    </row>
    <row r="186" spans="2:15" x14ac:dyDescent="0.25">
      <c r="B186">
        <v>153</v>
      </c>
      <c r="C186" s="272">
        <f t="shared" si="28"/>
        <v>3.2373301777298313E-17</v>
      </c>
      <c r="D186" s="272">
        <f t="shared" si="29"/>
        <v>0.62918926398802832</v>
      </c>
      <c r="E186" s="272">
        <f t="shared" si="24"/>
        <v>13.779461156683578</v>
      </c>
      <c r="F186" s="271">
        <f t="shared" si="25"/>
        <v>2.2383305629330327E-15</v>
      </c>
      <c r="G186" s="271">
        <f t="shared" si="30"/>
        <v>13.779461156683579</v>
      </c>
      <c r="H186" s="272">
        <f t="shared" si="33"/>
        <v>3.2373301777298313E-17</v>
      </c>
      <c r="I186" s="272">
        <f t="shared" si="31"/>
        <v>0.62918926398802832</v>
      </c>
      <c r="J186" s="272">
        <f t="shared" si="26"/>
        <v>42.739572400766441</v>
      </c>
      <c r="K186" s="271">
        <f t="shared" si="27"/>
        <v>2.2383305629330327E-15</v>
      </c>
      <c r="L186" s="271">
        <f t="shared" si="32"/>
        <v>42.739572400766441</v>
      </c>
      <c r="M186" s="271"/>
      <c r="N186" s="271"/>
      <c r="O186" s="271"/>
    </row>
    <row r="187" spans="2:15" x14ac:dyDescent="0.25">
      <c r="B187">
        <v>154</v>
      </c>
      <c r="C187" s="272">
        <f t="shared" si="28"/>
        <v>3.2373301777298313E-17</v>
      </c>
      <c r="D187" s="272">
        <f t="shared" si="29"/>
        <v>0.62918926398802832</v>
      </c>
      <c r="E187" s="272">
        <f t="shared" si="24"/>
        <v>13.779461156683615</v>
      </c>
      <c r="F187" s="271">
        <f t="shared" si="25"/>
        <v>2.2383305629330327E-15</v>
      </c>
      <c r="G187" s="271">
        <f t="shared" si="30"/>
        <v>13.779461156683617</v>
      </c>
      <c r="H187" s="272">
        <f t="shared" si="33"/>
        <v>3.2373301777298313E-17</v>
      </c>
      <c r="I187" s="272">
        <f t="shared" si="31"/>
        <v>0.62918926398802832</v>
      </c>
      <c r="J187" s="272">
        <f t="shared" si="26"/>
        <v>42.739572400766441</v>
      </c>
      <c r="K187" s="271">
        <f t="shared" si="27"/>
        <v>2.2383305629330327E-15</v>
      </c>
      <c r="L187" s="271">
        <f t="shared" si="32"/>
        <v>42.739572400766441</v>
      </c>
      <c r="M187" s="271"/>
      <c r="N187" s="271"/>
      <c r="O187" s="271"/>
    </row>
    <row r="188" spans="2:15" x14ac:dyDescent="0.25">
      <c r="B188">
        <v>155</v>
      </c>
      <c r="C188" s="272">
        <f t="shared" si="28"/>
        <v>3.2373301777298313E-17</v>
      </c>
      <c r="D188" s="272">
        <f t="shared" si="29"/>
        <v>0.62918926398802832</v>
      </c>
      <c r="E188" s="272">
        <f t="shared" si="24"/>
        <v>13.779461156683652</v>
      </c>
      <c r="F188" s="271">
        <f t="shared" si="25"/>
        <v>2.2383305629330327E-15</v>
      </c>
      <c r="G188" s="271">
        <f t="shared" si="30"/>
        <v>13.779461156683654</v>
      </c>
      <c r="H188" s="272">
        <f t="shared" si="33"/>
        <v>3.2373301777298313E-17</v>
      </c>
      <c r="I188" s="272">
        <f t="shared" si="31"/>
        <v>0.62918926398802832</v>
      </c>
      <c r="J188" s="272">
        <f t="shared" si="26"/>
        <v>42.739572400766441</v>
      </c>
      <c r="K188" s="271">
        <f t="shared" si="27"/>
        <v>2.2383305629330327E-15</v>
      </c>
      <c r="L188" s="271">
        <f t="shared" si="32"/>
        <v>42.739572400766441</v>
      </c>
      <c r="M188" s="271"/>
      <c r="N188" s="271"/>
      <c r="O188" s="271"/>
    </row>
    <row r="189" spans="2:15" x14ac:dyDescent="0.25">
      <c r="B189">
        <v>156</v>
      </c>
      <c r="C189" s="272">
        <f t="shared" si="28"/>
        <v>3.2373301777298313E-17</v>
      </c>
      <c r="D189" s="272">
        <f t="shared" si="29"/>
        <v>0.62918926398802832</v>
      </c>
      <c r="E189" s="272">
        <f t="shared" si="24"/>
        <v>13.77946115668369</v>
      </c>
      <c r="F189" s="271">
        <f t="shared" si="25"/>
        <v>2.2383305629330327E-15</v>
      </c>
      <c r="G189" s="271">
        <f t="shared" si="30"/>
        <v>13.779461156683691</v>
      </c>
      <c r="H189" s="272">
        <f t="shared" si="33"/>
        <v>3.2373301777298313E-17</v>
      </c>
      <c r="I189" s="272">
        <f t="shared" si="31"/>
        <v>0.62918926398802832</v>
      </c>
      <c r="J189" s="272">
        <f t="shared" si="26"/>
        <v>42.739572400766441</v>
      </c>
      <c r="K189" s="271">
        <f t="shared" si="27"/>
        <v>2.2383305629330327E-15</v>
      </c>
      <c r="L189" s="271">
        <f t="shared" si="32"/>
        <v>42.739572400766441</v>
      </c>
      <c r="M189" s="271"/>
      <c r="N189" s="271"/>
      <c r="O189" s="271"/>
    </row>
    <row r="190" spans="2:15" x14ac:dyDescent="0.25">
      <c r="B190">
        <v>157</v>
      </c>
      <c r="C190" s="272">
        <f t="shared" si="28"/>
        <v>3.2373301777298313E-17</v>
      </c>
      <c r="D190" s="272">
        <f t="shared" si="29"/>
        <v>0.62918926398802832</v>
      </c>
      <c r="E190" s="272">
        <f t="shared" si="24"/>
        <v>13.779461156683727</v>
      </c>
      <c r="F190" s="271">
        <f t="shared" si="25"/>
        <v>2.2383305629330327E-15</v>
      </c>
      <c r="G190" s="271">
        <f t="shared" si="30"/>
        <v>13.779461156683729</v>
      </c>
      <c r="H190" s="272">
        <f t="shared" si="33"/>
        <v>3.2373301777298313E-17</v>
      </c>
      <c r="I190" s="272">
        <f t="shared" si="31"/>
        <v>0.62918926398802832</v>
      </c>
      <c r="J190" s="272">
        <f t="shared" si="26"/>
        <v>42.739572400766441</v>
      </c>
      <c r="K190" s="271">
        <f t="shared" si="27"/>
        <v>2.2383305629330327E-15</v>
      </c>
      <c r="L190" s="271">
        <f t="shared" si="32"/>
        <v>42.739572400766441</v>
      </c>
      <c r="M190" s="271"/>
      <c r="N190" s="271"/>
      <c r="O190" s="271"/>
    </row>
    <row r="191" spans="2:15" x14ac:dyDescent="0.25">
      <c r="B191">
        <v>158</v>
      </c>
      <c r="C191" s="272">
        <f t="shared" si="28"/>
        <v>3.2373301777298313E-17</v>
      </c>
      <c r="D191" s="272">
        <f t="shared" si="29"/>
        <v>0.62918926398802832</v>
      </c>
      <c r="E191" s="272">
        <f t="shared" si="24"/>
        <v>13.779461156683764</v>
      </c>
      <c r="F191" s="271">
        <f t="shared" si="25"/>
        <v>2.2383305629330327E-15</v>
      </c>
      <c r="G191" s="271">
        <f t="shared" si="30"/>
        <v>13.779461156683766</v>
      </c>
      <c r="H191" s="272">
        <f t="shared" si="33"/>
        <v>3.2373301777298313E-17</v>
      </c>
      <c r="I191" s="272">
        <f t="shared" si="31"/>
        <v>0.62918926398802832</v>
      </c>
      <c r="J191" s="272">
        <f t="shared" si="26"/>
        <v>42.739572400766441</v>
      </c>
      <c r="K191" s="271">
        <f t="shared" si="27"/>
        <v>2.2383305629330327E-15</v>
      </c>
      <c r="L191" s="271">
        <f t="shared" si="32"/>
        <v>42.739572400766441</v>
      </c>
      <c r="M191" s="271"/>
      <c r="N191" s="271"/>
      <c r="O191" s="271"/>
    </row>
    <row r="192" spans="2:15" x14ac:dyDescent="0.25">
      <c r="B192">
        <v>159</v>
      </c>
      <c r="C192" s="272">
        <f t="shared" si="28"/>
        <v>3.2373301777298313E-17</v>
      </c>
      <c r="D192" s="272">
        <f t="shared" si="29"/>
        <v>0.62918926398802832</v>
      </c>
      <c r="E192" s="272">
        <f t="shared" si="24"/>
        <v>13.779461156683803</v>
      </c>
      <c r="F192" s="271">
        <f t="shared" si="25"/>
        <v>2.2383305629330327E-15</v>
      </c>
      <c r="G192" s="271">
        <f t="shared" si="30"/>
        <v>13.779461156683805</v>
      </c>
      <c r="H192" s="272">
        <f t="shared" si="33"/>
        <v>3.2373301777298313E-17</v>
      </c>
      <c r="I192" s="272">
        <f t="shared" si="31"/>
        <v>0.62918926398802832</v>
      </c>
      <c r="J192" s="272">
        <f t="shared" si="26"/>
        <v>42.739572400766441</v>
      </c>
      <c r="K192" s="271">
        <f t="shared" si="27"/>
        <v>2.2383305629330327E-15</v>
      </c>
      <c r="L192" s="271">
        <f t="shared" si="32"/>
        <v>42.739572400766441</v>
      </c>
      <c r="M192" s="271"/>
      <c r="N192" s="271"/>
      <c r="O192" s="271"/>
    </row>
    <row r="193" spans="2:15" x14ac:dyDescent="0.25">
      <c r="B193">
        <v>160</v>
      </c>
      <c r="C193" s="272">
        <f t="shared" si="28"/>
        <v>3.2373301777298313E-17</v>
      </c>
      <c r="D193" s="272">
        <f t="shared" si="29"/>
        <v>0.62918926398802832</v>
      </c>
      <c r="E193" s="272">
        <f t="shared" si="24"/>
        <v>13.779461156683842</v>
      </c>
      <c r="F193" s="271">
        <f t="shared" si="25"/>
        <v>2.2383305629330327E-15</v>
      </c>
      <c r="G193" s="271">
        <f t="shared" si="30"/>
        <v>13.779461156683844</v>
      </c>
      <c r="H193" s="272">
        <f t="shared" si="33"/>
        <v>3.2373301777298313E-17</v>
      </c>
      <c r="I193" s="272">
        <f t="shared" si="31"/>
        <v>0.62918926398802832</v>
      </c>
      <c r="J193" s="272">
        <f t="shared" si="26"/>
        <v>42.739572400766441</v>
      </c>
      <c r="K193" s="271">
        <f t="shared" si="27"/>
        <v>2.2383305629330327E-15</v>
      </c>
      <c r="L193" s="271">
        <f t="shared" si="32"/>
        <v>42.739572400766441</v>
      </c>
      <c r="M193" s="271"/>
      <c r="N193" s="271"/>
      <c r="O193" s="271"/>
    </row>
    <row r="194" spans="2:15" x14ac:dyDescent="0.25">
      <c r="B194">
        <v>161</v>
      </c>
      <c r="C194" s="272">
        <f t="shared" si="28"/>
        <v>3.2373301777298313E-17</v>
      </c>
      <c r="D194" s="272">
        <f t="shared" ref="D194:D225" si="34">C194+D193</f>
        <v>0.62918926398802832</v>
      </c>
      <c r="E194" s="272">
        <f t="shared" si="24"/>
        <v>13.779461156683881</v>
      </c>
      <c r="F194" s="271">
        <f t="shared" si="25"/>
        <v>2.2383305629330327E-15</v>
      </c>
      <c r="G194" s="271">
        <f t="shared" si="30"/>
        <v>13.779461156683883</v>
      </c>
      <c r="H194" s="272">
        <f t="shared" si="33"/>
        <v>3.2373301777298313E-17</v>
      </c>
      <c r="I194" s="272">
        <f t="shared" ref="I194:I225" si="35">H194+I193</f>
        <v>0.62918926398802832</v>
      </c>
      <c r="J194" s="272">
        <f t="shared" si="26"/>
        <v>42.739572400766441</v>
      </c>
      <c r="K194" s="271">
        <f t="shared" si="27"/>
        <v>2.2383305629330327E-15</v>
      </c>
      <c r="L194" s="271">
        <f t="shared" si="32"/>
        <v>42.739572400766441</v>
      </c>
      <c r="M194" s="271"/>
      <c r="N194" s="271"/>
      <c r="O194" s="271"/>
    </row>
    <row r="195" spans="2:15" x14ac:dyDescent="0.25">
      <c r="B195">
        <v>162</v>
      </c>
      <c r="C195" s="272">
        <f t="shared" si="28"/>
        <v>3.2373301777298313E-17</v>
      </c>
      <c r="D195" s="272">
        <f t="shared" si="34"/>
        <v>0.62918926398802832</v>
      </c>
      <c r="E195" s="272">
        <f t="shared" si="24"/>
        <v>13.77946115668392</v>
      </c>
      <c r="F195" s="271">
        <f t="shared" si="25"/>
        <v>2.2383305629330327E-15</v>
      </c>
      <c r="G195" s="271">
        <f t="shared" si="30"/>
        <v>13.779461156683922</v>
      </c>
      <c r="H195" s="272">
        <f t="shared" si="33"/>
        <v>3.2373301777298313E-17</v>
      </c>
      <c r="I195" s="272">
        <f t="shared" si="35"/>
        <v>0.62918926398802832</v>
      </c>
      <c r="J195" s="272">
        <f t="shared" si="26"/>
        <v>42.739572400766441</v>
      </c>
      <c r="K195" s="271">
        <f t="shared" si="27"/>
        <v>2.2383305629330327E-15</v>
      </c>
      <c r="L195" s="271">
        <f t="shared" si="32"/>
        <v>42.739572400766441</v>
      </c>
      <c r="M195" s="271"/>
      <c r="N195" s="271"/>
      <c r="O195" s="271"/>
    </row>
    <row r="196" spans="2:15" x14ac:dyDescent="0.25">
      <c r="B196">
        <v>163</v>
      </c>
      <c r="C196" s="272">
        <f t="shared" si="28"/>
        <v>3.2373301777298313E-17</v>
      </c>
      <c r="D196" s="272">
        <f t="shared" si="34"/>
        <v>0.62918926398802832</v>
      </c>
      <c r="E196" s="272">
        <f t="shared" si="24"/>
        <v>13.77946115668396</v>
      </c>
      <c r="F196" s="271">
        <f t="shared" si="25"/>
        <v>2.2383305629330327E-15</v>
      </c>
      <c r="G196" s="271">
        <f t="shared" si="30"/>
        <v>13.779461156683961</v>
      </c>
      <c r="H196" s="272">
        <f t="shared" si="33"/>
        <v>3.2373301777298313E-17</v>
      </c>
      <c r="I196" s="272">
        <f t="shared" si="35"/>
        <v>0.62918926398802832</v>
      </c>
      <c r="J196" s="272">
        <f t="shared" si="26"/>
        <v>42.739572400766441</v>
      </c>
      <c r="K196" s="271">
        <f t="shared" si="27"/>
        <v>2.2383305629330327E-15</v>
      </c>
      <c r="L196" s="271">
        <f t="shared" si="32"/>
        <v>42.739572400766441</v>
      </c>
      <c r="M196" s="271"/>
      <c r="N196" s="271"/>
      <c r="O196" s="271"/>
    </row>
    <row r="197" spans="2:15" x14ac:dyDescent="0.25">
      <c r="B197">
        <v>164</v>
      </c>
      <c r="C197" s="272">
        <f t="shared" si="28"/>
        <v>3.2373301777298313E-17</v>
      </c>
      <c r="D197" s="272">
        <f t="shared" si="34"/>
        <v>0.62918926398802832</v>
      </c>
      <c r="E197" s="272">
        <f t="shared" si="24"/>
        <v>13.779461156683999</v>
      </c>
      <c r="F197" s="271">
        <f t="shared" si="25"/>
        <v>2.2383305629330327E-15</v>
      </c>
      <c r="G197" s="271">
        <f t="shared" si="30"/>
        <v>13.779461156684</v>
      </c>
      <c r="H197" s="272">
        <f t="shared" si="33"/>
        <v>3.2373301777298313E-17</v>
      </c>
      <c r="I197" s="272">
        <f t="shared" si="35"/>
        <v>0.62918926398802832</v>
      </c>
      <c r="J197" s="272">
        <f t="shared" si="26"/>
        <v>42.739572400766441</v>
      </c>
      <c r="K197" s="271">
        <f t="shared" si="27"/>
        <v>2.2383305629330327E-15</v>
      </c>
      <c r="L197" s="271">
        <f t="shared" si="32"/>
        <v>42.739572400766441</v>
      </c>
      <c r="M197" s="271"/>
      <c r="N197" s="271"/>
      <c r="O197" s="271"/>
    </row>
    <row r="198" spans="2:15" x14ac:dyDescent="0.25">
      <c r="B198">
        <v>165</v>
      </c>
      <c r="C198" s="272">
        <f t="shared" si="28"/>
        <v>3.2373301777298313E-17</v>
      </c>
      <c r="D198" s="272">
        <f t="shared" si="34"/>
        <v>0.62918926398802832</v>
      </c>
      <c r="E198" s="272">
        <f t="shared" si="24"/>
        <v>13.779461156684038</v>
      </c>
      <c r="F198" s="271">
        <f t="shared" si="25"/>
        <v>2.2383305629330327E-15</v>
      </c>
      <c r="G198" s="271">
        <f t="shared" si="30"/>
        <v>13.779461156684039</v>
      </c>
      <c r="H198" s="272">
        <f t="shared" si="33"/>
        <v>3.2373301777298313E-17</v>
      </c>
      <c r="I198" s="272">
        <f t="shared" si="35"/>
        <v>0.62918926398802832</v>
      </c>
      <c r="J198" s="272">
        <f t="shared" si="26"/>
        <v>42.739572400766441</v>
      </c>
      <c r="K198" s="271">
        <f t="shared" si="27"/>
        <v>2.2383305629330327E-15</v>
      </c>
      <c r="L198" s="271">
        <f t="shared" si="32"/>
        <v>42.739572400766441</v>
      </c>
      <c r="M198" s="271"/>
      <c r="N198" s="271"/>
      <c r="O198" s="271"/>
    </row>
    <row r="199" spans="2:15" x14ac:dyDescent="0.25">
      <c r="B199">
        <v>166</v>
      </c>
      <c r="C199" s="272">
        <f t="shared" si="28"/>
        <v>3.2373301777298313E-17</v>
      </c>
      <c r="D199" s="272">
        <f t="shared" si="34"/>
        <v>0.62918926398802832</v>
      </c>
      <c r="E199" s="272">
        <f t="shared" si="24"/>
        <v>13.779461156684079</v>
      </c>
      <c r="F199" s="271">
        <f t="shared" si="25"/>
        <v>2.2383305629330327E-15</v>
      </c>
      <c r="G199" s="271">
        <f t="shared" si="30"/>
        <v>13.77946115668408</v>
      </c>
      <c r="H199" s="272">
        <f t="shared" si="33"/>
        <v>3.2373301777298313E-17</v>
      </c>
      <c r="I199" s="272">
        <f t="shared" si="35"/>
        <v>0.62918926398802832</v>
      </c>
      <c r="J199" s="272">
        <f t="shared" si="26"/>
        <v>42.739572400766441</v>
      </c>
      <c r="K199" s="271">
        <f t="shared" si="27"/>
        <v>2.2383305629330327E-15</v>
      </c>
      <c r="L199" s="271">
        <f t="shared" si="32"/>
        <v>42.739572400766441</v>
      </c>
      <c r="M199" s="271"/>
      <c r="N199" s="271"/>
      <c r="O199" s="271"/>
    </row>
    <row r="200" spans="2:15" x14ac:dyDescent="0.25">
      <c r="B200">
        <v>167</v>
      </c>
      <c r="C200" s="272">
        <f t="shared" si="28"/>
        <v>3.2373301777298313E-17</v>
      </c>
      <c r="D200" s="272">
        <f t="shared" si="34"/>
        <v>0.62918926398802832</v>
      </c>
      <c r="E200" s="272">
        <f t="shared" si="24"/>
        <v>13.779461156684119</v>
      </c>
      <c r="F200" s="271">
        <f t="shared" si="25"/>
        <v>2.2383305629330327E-15</v>
      </c>
      <c r="G200" s="271">
        <f t="shared" si="30"/>
        <v>13.779461156684121</v>
      </c>
      <c r="H200" s="272">
        <f t="shared" si="33"/>
        <v>3.2373301777298313E-17</v>
      </c>
      <c r="I200" s="272">
        <f t="shared" si="35"/>
        <v>0.62918926398802832</v>
      </c>
      <c r="J200" s="272">
        <f t="shared" si="26"/>
        <v>42.739572400766441</v>
      </c>
      <c r="K200" s="271">
        <f t="shared" si="27"/>
        <v>2.2383305629330327E-15</v>
      </c>
      <c r="L200" s="271">
        <f t="shared" si="32"/>
        <v>42.739572400766441</v>
      </c>
      <c r="M200" s="271"/>
      <c r="N200" s="271"/>
      <c r="O200" s="271"/>
    </row>
    <row r="201" spans="2:15" x14ac:dyDescent="0.25">
      <c r="B201">
        <v>168</v>
      </c>
      <c r="C201" s="272">
        <f t="shared" si="28"/>
        <v>3.2373301777298313E-17</v>
      </c>
      <c r="D201" s="272">
        <f t="shared" si="34"/>
        <v>0.62918926398802832</v>
      </c>
      <c r="E201" s="272">
        <f t="shared" si="24"/>
        <v>13.77946115668416</v>
      </c>
      <c r="F201" s="271">
        <f t="shared" si="25"/>
        <v>2.2383305629330327E-15</v>
      </c>
      <c r="G201" s="271">
        <f t="shared" si="30"/>
        <v>13.779461156684162</v>
      </c>
      <c r="H201" s="272">
        <f t="shared" si="33"/>
        <v>3.2373301777298313E-17</v>
      </c>
      <c r="I201" s="272">
        <f t="shared" si="35"/>
        <v>0.62918926398802832</v>
      </c>
      <c r="J201" s="272">
        <f t="shared" si="26"/>
        <v>42.739572400766441</v>
      </c>
      <c r="K201" s="271">
        <f t="shared" si="27"/>
        <v>2.2383305629330327E-15</v>
      </c>
      <c r="L201" s="271">
        <f t="shared" si="32"/>
        <v>42.739572400766441</v>
      </c>
      <c r="M201" s="271"/>
      <c r="N201" s="271"/>
      <c r="O201" s="271"/>
    </row>
    <row r="202" spans="2:15" x14ac:dyDescent="0.25">
      <c r="B202">
        <v>169</v>
      </c>
      <c r="C202" s="272">
        <f t="shared" si="28"/>
        <v>3.2373301777298313E-17</v>
      </c>
      <c r="D202" s="272">
        <f t="shared" si="34"/>
        <v>0.62918926398802832</v>
      </c>
      <c r="E202" s="272">
        <f t="shared" si="24"/>
        <v>13.779461156684201</v>
      </c>
      <c r="F202" s="271">
        <f t="shared" si="25"/>
        <v>2.2383305629330327E-15</v>
      </c>
      <c r="G202" s="271">
        <f t="shared" si="30"/>
        <v>13.779461156684203</v>
      </c>
      <c r="H202" s="272">
        <f t="shared" si="33"/>
        <v>3.2373301777298313E-17</v>
      </c>
      <c r="I202" s="272">
        <f t="shared" si="35"/>
        <v>0.62918926398802832</v>
      </c>
      <c r="J202" s="272">
        <f t="shared" si="26"/>
        <v>42.739572400766441</v>
      </c>
      <c r="K202" s="271">
        <f t="shared" si="27"/>
        <v>2.2383305629330327E-15</v>
      </c>
      <c r="L202" s="271">
        <f t="shared" si="32"/>
        <v>42.739572400766441</v>
      </c>
      <c r="M202" s="271"/>
      <c r="N202" s="271"/>
      <c r="O202" s="271"/>
    </row>
    <row r="203" spans="2:15" x14ac:dyDescent="0.25">
      <c r="B203">
        <v>170</v>
      </c>
      <c r="C203" s="272">
        <f t="shared" si="28"/>
        <v>3.2373301777298313E-17</v>
      </c>
      <c r="D203" s="272">
        <f t="shared" si="34"/>
        <v>0.62918926398802832</v>
      </c>
      <c r="E203" s="272">
        <f t="shared" si="24"/>
        <v>13.779461156684242</v>
      </c>
      <c r="F203" s="271">
        <f t="shared" si="25"/>
        <v>2.2383305629330327E-15</v>
      </c>
      <c r="G203" s="271">
        <f t="shared" si="30"/>
        <v>13.779461156684244</v>
      </c>
      <c r="H203" s="272">
        <f t="shared" si="33"/>
        <v>3.2373301777298313E-17</v>
      </c>
      <c r="I203" s="272">
        <f t="shared" si="35"/>
        <v>0.62918926398802832</v>
      </c>
      <c r="J203" s="272">
        <f t="shared" si="26"/>
        <v>42.739572400766441</v>
      </c>
      <c r="K203" s="271">
        <f t="shared" si="27"/>
        <v>2.2383305629330327E-15</v>
      </c>
      <c r="L203" s="271">
        <f t="shared" si="32"/>
        <v>42.739572400766441</v>
      </c>
      <c r="M203" s="271"/>
      <c r="N203" s="271"/>
      <c r="O203" s="271"/>
    </row>
    <row r="204" spans="2:15" x14ac:dyDescent="0.25">
      <c r="B204">
        <v>171</v>
      </c>
      <c r="C204" s="272">
        <f t="shared" si="28"/>
        <v>3.2373301777298313E-17</v>
      </c>
      <c r="D204" s="272">
        <f t="shared" si="34"/>
        <v>0.62918926398802832</v>
      </c>
      <c r="E204" s="272">
        <f t="shared" si="24"/>
        <v>13.779461156684283</v>
      </c>
      <c r="F204" s="271">
        <f t="shared" si="25"/>
        <v>2.2383305629330327E-15</v>
      </c>
      <c r="G204" s="271">
        <f t="shared" si="30"/>
        <v>13.779461156684285</v>
      </c>
      <c r="H204" s="272">
        <f t="shared" si="33"/>
        <v>3.2373301777298313E-17</v>
      </c>
      <c r="I204" s="272">
        <f t="shared" si="35"/>
        <v>0.62918926398802832</v>
      </c>
      <c r="J204" s="272">
        <f t="shared" si="26"/>
        <v>42.739572400766441</v>
      </c>
      <c r="K204" s="271">
        <f t="shared" si="27"/>
        <v>2.2383305629330327E-15</v>
      </c>
      <c r="L204" s="271">
        <f t="shared" si="32"/>
        <v>42.739572400766441</v>
      </c>
      <c r="M204" s="271"/>
      <c r="N204" s="271"/>
      <c r="O204" s="271"/>
    </row>
    <row r="205" spans="2:15" x14ac:dyDescent="0.25">
      <c r="B205">
        <v>172</v>
      </c>
      <c r="C205" s="272">
        <f t="shared" si="28"/>
        <v>3.2373301777298313E-17</v>
      </c>
      <c r="D205" s="272">
        <f t="shared" si="34"/>
        <v>0.62918926398802832</v>
      </c>
      <c r="E205" s="272">
        <f t="shared" si="24"/>
        <v>13.779461156684324</v>
      </c>
      <c r="F205" s="271">
        <f t="shared" si="25"/>
        <v>2.2383305629330327E-15</v>
      </c>
      <c r="G205" s="271">
        <f t="shared" si="30"/>
        <v>13.779461156684325</v>
      </c>
      <c r="H205" s="272">
        <f t="shared" si="33"/>
        <v>3.2373301777298313E-17</v>
      </c>
      <c r="I205" s="272">
        <f t="shared" si="35"/>
        <v>0.62918926398802832</v>
      </c>
      <c r="J205" s="272">
        <f t="shared" si="26"/>
        <v>42.739572400766441</v>
      </c>
      <c r="K205" s="271">
        <f t="shared" si="27"/>
        <v>2.2383305629330327E-15</v>
      </c>
      <c r="L205" s="271">
        <f t="shared" si="32"/>
        <v>42.739572400766441</v>
      </c>
      <c r="M205" s="271"/>
      <c r="N205" s="271"/>
      <c r="O205" s="271"/>
    </row>
    <row r="206" spans="2:15" x14ac:dyDescent="0.25">
      <c r="B206">
        <v>173</v>
      </c>
      <c r="C206" s="272">
        <f t="shared" si="28"/>
        <v>3.2373301777298313E-17</v>
      </c>
      <c r="D206" s="272">
        <f t="shared" si="34"/>
        <v>0.62918926398802832</v>
      </c>
      <c r="E206" s="272">
        <f t="shared" si="24"/>
        <v>13.779461156684366</v>
      </c>
      <c r="F206" s="271">
        <f t="shared" si="25"/>
        <v>2.2383305629330327E-15</v>
      </c>
      <c r="G206" s="271">
        <f t="shared" si="30"/>
        <v>13.779461156684368</v>
      </c>
      <c r="H206" s="272">
        <f t="shared" si="33"/>
        <v>3.2373301777298313E-17</v>
      </c>
      <c r="I206" s="272">
        <f t="shared" si="35"/>
        <v>0.62918926398802832</v>
      </c>
      <c r="J206" s="272">
        <f t="shared" si="26"/>
        <v>42.739572400766441</v>
      </c>
      <c r="K206" s="271">
        <f t="shared" si="27"/>
        <v>2.2383305629330327E-15</v>
      </c>
      <c r="L206" s="271">
        <f t="shared" si="32"/>
        <v>42.739572400766441</v>
      </c>
      <c r="M206" s="271"/>
      <c r="N206" s="271"/>
      <c r="O206" s="271"/>
    </row>
    <row r="207" spans="2:15" x14ac:dyDescent="0.25">
      <c r="B207">
        <v>174</v>
      </c>
      <c r="C207" s="272">
        <f t="shared" si="28"/>
        <v>3.2373301777298313E-17</v>
      </c>
      <c r="D207" s="272">
        <f t="shared" si="34"/>
        <v>0.62918926398802832</v>
      </c>
      <c r="E207" s="272">
        <f t="shared" si="24"/>
        <v>13.779461156684409</v>
      </c>
      <c r="F207" s="271">
        <f t="shared" si="25"/>
        <v>2.2383305629330327E-15</v>
      </c>
      <c r="G207" s="271">
        <f t="shared" si="30"/>
        <v>13.779461156684411</v>
      </c>
      <c r="H207" s="272">
        <f t="shared" si="33"/>
        <v>3.2373301777298313E-17</v>
      </c>
      <c r="I207" s="272">
        <f t="shared" si="35"/>
        <v>0.62918926398802832</v>
      </c>
      <c r="J207" s="272">
        <f t="shared" si="26"/>
        <v>42.739572400766441</v>
      </c>
      <c r="K207" s="271">
        <f t="shared" si="27"/>
        <v>2.2383305629330327E-15</v>
      </c>
      <c r="L207" s="271">
        <f t="shared" si="32"/>
        <v>42.739572400766441</v>
      </c>
      <c r="M207" s="271"/>
      <c r="N207" s="271"/>
      <c r="O207" s="271"/>
    </row>
    <row r="208" spans="2:15" x14ac:dyDescent="0.25">
      <c r="B208">
        <v>175</v>
      </c>
      <c r="C208" s="272">
        <f t="shared" si="28"/>
        <v>3.2373301777298313E-17</v>
      </c>
      <c r="D208" s="272">
        <f t="shared" si="34"/>
        <v>0.62918926398802832</v>
      </c>
      <c r="E208" s="272">
        <f t="shared" si="24"/>
        <v>13.779461156684452</v>
      </c>
      <c r="F208" s="271">
        <f t="shared" si="25"/>
        <v>2.2383305629330327E-15</v>
      </c>
      <c r="G208" s="271">
        <f t="shared" si="30"/>
        <v>13.779461156684453</v>
      </c>
      <c r="H208" s="272">
        <f t="shared" si="33"/>
        <v>3.2373301777298313E-17</v>
      </c>
      <c r="I208" s="272">
        <f t="shared" si="35"/>
        <v>0.62918926398802832</v>
      </c>
      <c r="J208" s="272">
        <f t="shared" si="26"/>
        <v>42.739572400766441</v>
      </c>
      <c r="K208" s="271">
        <f t="shared" si="27"/>
        <v>2.2383305629330327E-15</v>
      </c>
      <c r="L208" s="271">
        <f t="shared" si="32"/>
        <v>42.739572400766441</v>
      </c>
      <c r="M208" s="271"/>
      <c r="N208" s="271"/>
      <c r="O208" s="271"/>
    </row>
    <row r="209" spans="2:15" x14ac:dyDescent="0.25">
      <c r="B209">
        <v>176</v>
      </c>
      <c r="C209" s="272">
        <f t="shared" si="28"/>
        <v>3.2373301777298313E-17</v>
      </c>
      <c r="D209" s="272">
        <f t="shared" si="34"/>
        <v>0.62918926398802832</v>
      </c>
      <c r="E209" s="272">
        <f t="shared" si="24"/>
        <v>13.779461156684494</v>
      </c>
      <c r="F209" s="271">
        <f t="shared" si="25"/>
        <v>2.2383305629330327E-15</v>
      </c>
      <c r="G209" s="271">
        <f t="shared" si="30"/>
        <v>13.779461156684496</v>
      </c>
      <c r="H209" s="272">
        <f t="shared" si="33"/>
        <v>3.2373301777298313E-17</v>
      </c>
      <c r="I209" s="272">
        <f t="shared" si="35"/>
        <v>0.62918926398802832</v>
      </c>
      <c r="J209" s="272">
        <f t="shared" si="26"/>
        <v>42.739572400766441</v>
      </c>
      <c r="K209" s="271">
        <f t="shared" si="27"/>
        <v>2.2383305629330327E-15</v>
      </c>
      <c r="L209" s="271">
        <f t="shared" si="32"/>
        <v>42.739572400766441</v>
      </c>
      <c r="M209" s="271"/>
      <c r="N209" s="271"/>
      <c r="O209" s="271"/>
    </row>
    <row r="210" spans="2:15" x14ac:dyDescent="0.25">
      <c r="B210">
        <v>177</v>
      </c>
      <c r="C210" s="272">
        <f t="shared" si="28"/>
        <v>3.2373301777298313E-17</v>
      </c>
      <c r="D210" s="272">
        <f t="shared" si="34"/>
        <v>0.62918926398802832</v>
      </c>
      <c r="E210" s="272">
        <f t="shared" si="24"/>
        <v>13.779461156684537</v>
      </c>
      <c r="F210" s="271">
        <f t="shared" si="25"/>
        <v>2.2383305629330327E-15</v>
      </c>
      <c r="G210" s="271">
        <f t="shared" si="30"/>
        <v>13.779461156684539</v>
      </c>
      <c r="H210" s="272">
        <f t="shared" si="33"/>
        <v>3.2373301777298313E-17</v>
      </c>
      <c r="I210" s="272">
        <f t="shared" si="35"/>
        <v>0.62918926398802832</v>
      </c>
      <c r="J210" s="272">
        <f t="shared" si="26"/>
        <v>42.739572400766441</v>
      </c>
      <c r="K210" s="271">
        <f t="shared" si="27"/>
        <v>2.2383305629330327E-15</v>
      </c>
      <c r="L210" s="271">
        <f t="shared" si="32"/>
        <v>42.739572400766441</v>
      </c>
      <c r="M210" s="271"/>
      <c r="N210" s="271"/>
      <c r="O210" s="271"/>
    </row>
    <row r="211" spans="2:15" x14ac:dyDescent="0.25">
      <c r="B211">
        <v>178</v>
      </c>
      <c r="C211" s="272">
        <f t="shared" si="28"/>
        <v>3.2373301777298313E-17</v>
      </c>
      <c r="D211" s="272">
        <f t="shared" si="34"/>
        <v>0.62918926398802832</v>
      </c>
      <c r="E211" s="272">
        <f t="shared" si="24"/>
        <v>13.779461156684579</v>
      </c>
      <c r="F211" s="271">
        <f t="shared" si="25"/>
        <v>2.2383305629330327E-15</v>
      </c>
      <c r="G211" s="271">
        <f t="shared" si="30"/>
        <v>13.779461156684581</v>
      </c>
      <c r="H211" s="272">
        <f t="shared" si="33"/>
        <v>3.2373301777298313E-17</v>
      </c>
      <c r="I211" s="272">
        <f t="shared" si="35"/>
        <v>0.62918926398802832</v>
      </c>
      <c r="J211" s="272">
        <f t="shared" si="26"/>
        <v>42.739572400766441</v>
      </c>
      <c r="K211" s="271">
        <f t="shared" si="27"/>
        <v>2.2383305629330327E-15</v>
      </c>
      <c r="L211" s="271">
        <f t="shared" si="32"/>
        <v>42.739572400766441</v>
      </c>
      <c r="M211" s="271"/>
      <c r="N211" s="271"/>
      <c r="O211" s="271"/>
    </row>
    <row r="212" spans="2:15" x14ac:dyDescent="0.25">
      <c r="B212">
        <v>179</v>
      </c>
      <c r="C212" s="272">
        <f t="shared" si="28"/>
        <v>3.2373301777298313E-17</v>
      </c>
      <c r="D212" s="272">
        <f t="shared" si="34"/>
        <v>0.62918926398802832</v>
      </c>
      <c r="E212" s="272">
        <f t="shared" si="24"/>
        <v>13.779461156684622</v>
      </c>
      <c r="F212" s="271">
        <f t="shared" si="25"/>
        <v>2.2383305629330327E-15</v>
      </c>
      <c r="G212" s="271">
        <f t="shared" si="30"/>
        <v>13.779461156684624</v>
      </c>
      <c r="H212" s="272">
        <f t="shared" si="33"/>
        <v>3.2373301777298313E-17</v>
      </c>
      <c r="I212" s="272">
        <f t="shared" si="35"/>
        <v>0.62918926398802832</v>
      </c>
      <c r="J212" s="272">
        <f t="shared" si="26"/>
        <v>42.739572400766441</v>
      </c>
      <c r="K212" s="271">
        <f t="shared" si="27"/>
        <v>2.2383305629330327E-15</v>
      </c>
      <c r="L212" s="271">
        <f t="shared" si="32"/>
        <v>42.739572400766441</v>
      </c>
      <c r="M212" s="271"/>
      <c r="N212" s="271"/>
      <c r="O212" s="271"/>
    </row>
    <row r="213" spans="2:15" x14ac:dyDescent="0.25">
      <c r="B213">
        <v>180</v>
      </c>
      <c r="C213" s="272">
        <f t="shared" si="28"/>
        <v>3.2373301777298313E-17</v>
      </c>
      <c r="D213" s="272">
        <f t="shared" si="34"/>
        <v>0.62918926398802832</v>
      </c>
      <c r="E213" s="272">
        <f t="shared" si="24"/>
        <v>13.779461156684665</v>
      </c>
      <c r="F213" s="271">
        <f t="shared" si="25"/>
        <v>2.2383305629330327E-15</v>
      </c>
      <c r="G213" s="271">
        <f t="shared" si="30"/>
        <v>13.779461156684667</v>
      </c>
      <c r="H213" s="272">
        <f t="shared" si="33"/>
        <v>3.2373301777298313E-17</v>
      </c>
      <c r="I213" s="272">
        <f t="shared" si="35"/>
        <v>0.62918926398802832</v>
      </c>
      <c r="J213" s="272">
        <f t="shared" si="26"/>
        <v>42.739572400766441</v>
      </c>
      <c r="K213" s="271">
        <f t="shared" si="27"/>
        <v>2.2383305629330327E-15</v>
      </c>
      <c r="L213" s="271">
        <f t="shared" si="32"/>
        <v>42.739572400766441</v>
      </c>
      <c r="M213" s="271"/>
      <c r="N213" s="271"/>
      <c r="O213" s="271"/>
    </row>
    <row r="214" spans="2:15" x14ac:dyDescent="0.25">
      <c r="B214">
        <v>181</v>
      </c>
      <c r="C214" s="272">
        <f t="shared" si="28"/>
        <v>3.2373301777298313E-17</v>
      </c>
      <c r="D214" s="272">
        <f t="shared" si="34"/>
        <v>0.62918926398802832</v>
      </c>
      <c r="E214" s="272">
        <f t="shared" si="24"/>
        <v>13.779461156684709</v>
      </c>
      <c r="F214" s="271">
        <f t="shared" si="25"/>
        <v>2.2383305629330327E-15</v>
      </c>
      <c r="G214" s="271">
        <f t="shared" si="30"/>
        <v>13.779461156684711</v>
      </c>
      <c r="H214" s="272">
        <f t="shared" si="33"/>
        <v>3.2373301777298313E-17</v>
      </c>
      <c r="I214" s="272">
        <f t="shared" si="35"/>
        <v>0.62918926398802832</v>
      </c>
      <c r="J214" s="272">
        <f t="shared" si="26"/>
        <v>42.739572400766441</v>
      </c>
      <c r="K214" s="271">
        <f t="shared" si="27"/>
        <v>2.2383305629330327E-15</v>
      </c>
      <c r="L214" s="271">
        <f t="shared" si="32"/>
        <v>42.739572400766441</v>
      </c>
      <c r="M214" s="271"/>
      <c r="N214" s="271"/>
      <c r="O214" s="271"/>
    </row>
    <row r="215" spans="2:15" x14ac:dyDescent="0.25">
      <c r="B215">
        <v>182</v>
      </c>
      <c r="C215" s="272">
        <f t="shared" si="28"/>
        <v>3.2373301777298313E-17</v>
      </c>
      <c r="D215" s="272">
        <f t="shared" si="34"/>
        <v>0.62918926398802832</v>
      </c>
      <c r="E215" s="272">
        <f t="shared" si="24"/>
        <v>13.779461156684754</v>
      </c>
      <c r="F215" s="271">
        <f t="shared" si="25"/>
        <v>2.2383305629330327E-15</v>
      </c>
      <c r="G215" s="271">
        <f t="shared" si="30"/>
        <v>13.779461156684755</v>
      </c>
      <c r="H215" s="272">
        <f t="shared" si="33"/>
        <v>3.2373301777298313E-17</v>
      </c>
      <c r="I215" s="272">
        <f t="shared" si="35"/>
        <v>0.62918926398802832</v>
      </c>
      <c r="J215" s="272">
        <f t="shared" si="26"/>
        <v>42.739572400766441</v>
      </c>
      <c r="K215" s="271">
        <f t="shared" si="27"/>
        <v>2.2383305629330327E-15</v>
      </c>
      <c r="L215" s="271">
        <f t="shared" si="32"/>
        <v>42.739572400766441</v>
      </c>
      <c r="M215" s="271"/>
      <c r="N215" s="271"/>
      <c r="O215" s="271"/>
    </row>
    <row r="216" spans="2:15" x14ac:dyDescent="0.25">
      <c r="B216">
        <v>183</v>
      </c>
      <c r="C216" s="272">
        <f t="shared" si="28"/>
        <v>3.2373301777298313E-17</v>
      </c>
      <c r="D216" s="272">
        <f t="shared" si="34"/>
        <v>0.62918926398802832</v>
      </c>
      <c r="E216" s="272">
        <f t="shared" si="24"/>
        <v>13.779461156684798</v>
      </c>
      <c r="F216" s="271">
        <f t="shared" si="25"/>
        <v>2.2383305629330327E-15</v>
      </c>
      <c r="G216" s="271">
        <f t="shared" si="30"/>
        <v>13.7794611566848</v>
      </c>
      <c r="H216" s="272">
        <f t="shared" si="33"/>
        <v>3.2373301777298313E-17</v>
      </c>
      <c r="I216" s="272">
        <f t="shared" si="35"/>
        <v>0.62918926398802832</v>
      </c>
      <c r="J216" s="272">
        <f t="shared" si="26"/>
        <v>42.739572400766441</v>
      </c>
      <c r="K216" s="271">
        <f t="shared" si="27"/>
        <v>2.2383305629330327E-15</v>
      </c>
      <c r="L216" s="271">
        <f t="shared" si="32"/>
        <v>42.739572400766441</v>
      </c>
      <c r="M216" s="271"/>
      <c r="N216" s="271"/>
      <c r="O216" s="271"/>
    </row>
    <row r="217" spans="2:15" x14ac:dyDescent="0.25">
      <c r="B217">
        <v>184</v>
      </c>
      <c r="C217" s="272">
        <f t="shared" si="28"/>
        <v>3.2373301777298313E-17</v>
      </c>
      <c r="D217" s="272">
        <f t="shared" si="34"/>
        <v>0.62918926398802832</v>
      </c>
      <c r="E217" s="272">
        <f t="shared" si="24"/>
        <v>13.779461156684842</v>
      </c>
      <c r="F217" s="271">
        <f t="shared" si="25"/>
        <v>2.2383305629330327E-15</v>
      </c>
      <c r="G217" s="271">
        <f t="shared" si="30"/>
        <v>13.779461156684844</v>
      </c>
      <c r="H217" s="272">
        <f t="shared" si="33"/>
        <v>3.2373301777298313E-17</v>
      </c>
      <c r="I217" s="272">
        <f t="shared" si="35"/>
        <v>0.62918926398802832</v>
      </c>
      <c r="J217" s="272">
        <f t="shared" si="26"/>
        <v>42.739572400766441</v>
      </c>
      <c r="K217" s="271">
        <f t="shared" si="27"/>
        <v>2.2383305629330327E-15</v>
      </c>
      <c r="L217" s="271">
        <f t="shared" si="32"/>
        <v>42.739572400766441</v>
      </c>
      <c r="M217" s="271"/>
      <c r="N217" s="271"/>
      <c r="O217" s="271"/>
    </row>
    <row r="218" spans="2:15" x14ac:dyDescent="0.25">
      <c r="B218">
        <v>185</v>
      </c>
      <c r="C218" s="272">
        <f t="shared" si="28"/>
        <v>3.2373301777298313E-17</v>
      </c>
      <c r="D218" s="272">
        <f t="shared" si="34"/>
        <v>0.62918926398802832</v>
      </c>
      <c r="E218" s="272">
        <f t="shared" si="24"/>
        <v>13.779461156684887</v>
      </c>
      <c r="F218" s="271">
        <f t="shared" si="25"/>
        <v>2.2383305629330327E-15</v>
      </c>
      <c r="G218" s="271">
        <f t="shared" si="30"/>
        <v>13.779461156684889</v>
      </c>
      <c r="H218" s="272">
        <f t="shared" si="33"/>
        <v>3.2373301777298313E-17</v>
      </c>
      <c r="I218" s="272">
        <f t="shared" si="35"/>
        <v>0.62918926398802832</v>
      </c>
      <c r="J218" s="272">
        <f t="shared" si="26"/>
        <v>42.739572400766441</v>
      </c>
      <c r="K218" s="271">
        <f t="shared" si="27"/>
        <v>2.2383305629330327E-15</v>
      </c>
      <c r="L218" s="271">
        <f t="shared" si="32"/>
        <v>42.739572400766441</v>
      </c>
      <c r="M218" s="271"/>
      <c r="N218" s="271"/>
      <c r="O218" s="271"/>
    </row>
    <row r="219" spans="2:15" x14ac:dyDescent="0.25">
      <c r="B219">
        <v>186</v>
      </c>
      <c r="C219" s="272">
        <f t="shared" si="28"/>
        <v>3.2373301777298313E-17</v>
      </c>
      <c r="D219" s="272">
        <f t="shared" si="34"/>
        <v>0.62918926398802832</v>
      </c>
      <c r="E219" s="272">
        <f t="shared" si="24"/>
        <v>13.779461156684931</v>
      </c>
      <c r="F219" s="271">
        <f t="shared" si="25"/>
        <v>2.2383305629330327E-15</v>
      </c>
      <c r="G219" s="271">
        <f t="shared" si="30"/>
        <v>13.779461156684933</v>
      </c>
      <c r="H219" s="272">
        <f t="shared" si="33"/>
        <v>3.2373301777298313E-17</v>
      </c>
      <c r="I219" s="272">
        <f t="shared" si="35"/>
        <v>0.62918926398802832</v>
      </c>
      <c r="J219" s="272">
        <f t="shared" si="26"/>
        <v>42.739572400766441</v>
      </c>
      <c r="K219" s="271">
        <f t="shared" si="27"/>
        <v>2.2383305629330327E-15</v>
      </c>
      <c r="L219" s="271">
        <f t="shared" si="32"/>
        <v>42.739572400766441</v>
      </c>
      <c r="M219" s="271"/>
      <c r="N219" s="271"/>
      <c r="O219" s="271"/>
    </row>
    <row r="220" spans="2:15" x14ac:dyDescent="0.25">
      <c r="B220">
        <v>187</v>
      </c>
      <c r="C220" s="272">
        <f t="shared" si="28"/>
        <v>3.2373301777298313E-17</v>
      </c>
      <c r="D220" s="272">
        <f t="shared" si="34"/>
        <v>0.62918926398802832</v>
      </c>
      <c r="E220" s="272">
        <f t="shared" si="24"/>
        <v>13.779461156684976</v>
      </c>
      <c r="F220" s="271">
        <f t="shared" si="25"/>
        <v>2.2383305629330327E-15</v>
      </c>
      <c r="G220" s="271">
        <f t="shared" si="30"/>
        <v>13.779461156684977</v>
      </c>
      <c r="H220" s="272">
        <f t="shared" si="33"/>
        <v>3.2373301777298313E-17</v>
      </c>
      <c r="I220" s="272">
        <f t="shared" si="35"/>
        <v>0.62918926398802832</v>
      </c>
      <c r="J220" s="272">
        <f t="shared" si="26"/>
        <v>42.739572400766441</v>
      </c>
      <c r="K220" s="271">
        <f t="shared" si="27"/>
        <v>2.2383305629330327E-15</v>
      </c>
      <c r="L220" s="271">
        <f t="shared" si="32"/>
        <v>42.739572400766441</v>
      </c>
      <c r="M220" s="271"/>
      <c r="N220" s="271"/>
      <c r="O220" s="271"/>
    </row>
    <row r="221" spans="2:15" x14ac:dyDescent="0.25">
      <c r="B221">
        <v>188</v>
      </c>
      <c r="C221" s="272">
        <f t="shared" si="28"/>
        <v>3.2373301777298313E-17</v>
      </c>
      <c r="D221" s="272">
        <f t="shared" si="34"/>
        <v>0.62918926398802832</v>
      </c>
      <c r="E221" s="272">
        <f t="shared" si="24"/>
        <v>13.779461156685022</v>
      </c>
      <c r="F221" s="271">
        <f t="shared" si="25"/>
        <v>2.2383305629330327E-15</v>
      </c>
      <c r="G221" s="271">
        <f t="shared" si="30"/>
        <v>13.779461156685024</v>
      </c>
      <c r="H221" s="272">
        <f t="shared" si="33"/>
        <v>3.2373301777298313E-17</v>
      </c>
      <c r="I221" s="272">
        <f t="shared" si="35"/>
        <v>0.62918926398802832</v>
      </c>
      <c r="J221" s="272">
        <f t="shared" si="26"/>
        <v>42.739572400766441</v>
      </c>
      <c r="K221" s="271">
        <f t="shared" si="27"/>
        <v>2.2383305629330327E-15</v>
      </c>
      <c r="L221" s="271">
        <f t="shared" si="32"/>
        <v>42.739572400766441</v>
      </c>
      <c r="M221" s="271"/>
      <c r="N221" s="271"/>
      <c r="O221" s="271"/>
    </row>
    <row r="222" spans="2:15" x14ac:dyDescent="0.25">
      <c r="B222">
        <v>189</v>
      </c>
      <c r="C222" s="272">
        <f t="shared" si="28"/>
        <v>3.2373301777298313E-17</v>
      </c>
      <c r="D222" s="272">
        <f t="shared" si="34"/>
        <v>0.62918926398802832</v>
      </c>
      <c r="E222" s="272">
        <f t="shared" si="24"/>
        <v>13.779461156685068</v>
      </c>
      <c r="F222" s="271">
        <f t="shared" si="25"/>
        <v>2.2383305629330327E-15</v>
      </c>
      <c r="G222" s="271">
        <f t="shared" si="30"/>
        <v>13.77946115668507</v>
      </c>
      <c r="H222" s="272">
        <f t="shared" si="33"/>
        <v>3.2373301777298313E-17</v>
      </c>
      <c r="I222" s="272">
        <f t="shared" si="35"/>
        <v>0.62918926398802832</v>
      </c>
      <c r="J222" s="272">
        <f t="shared" si="26"/>
        <v>42.739572400766441</v>
      </c>
      <c r="K222" s="271">
        <f t="shared" si="27"/>
        <v>2.2383305629330327E-15</v>
      </c>
      <c r="L222" s="271">
        <f t="shared" si="32"/>
        <v>42.739572400766441</v>
      </c>
      <c r="M222" s="271"/>
      <c r="N222" s="271"/>
      <c r="O222" s="271"/>
    </row>
    <row r="223" spans="2:15" x14ac:dyDescent="0.25">
      <c r="B223">
        <v>190</v>
      </c>
      <c r="C223" s="272">
        <f t="shared" si="28"/>
        <v>3.2373301777298313E-17</v>
      </c>
      <c r="D223" s="272">
        <f t="shared" si="34"/>
        <v>0.62918926398802832</v>
      </c>
      <c r="E223" s="272">
        <f t="shared" si="24"/>
        <v>13.779461156685114</v>
      </c>
      <c r="F223" s="271">
        <f t="shared" si="25"/>
        <v>2.2383305629330327E-15</v>
      </c>
      <c r="G223" s="271">
        <f t="shared" si="30"/>
        <v>13.779461156685116</v>
      </c>
      <c r="H223" s="272">
        <f t="shared" si="33"/>
        <v>3.2373301777298313E-17</v>
      </c>
      <c r="I223" s="272">
        <f t="shared" si="35"/>
        <v>0.62918926398802832</v>
      </c>
      <c r="J223" s="272">
        <f t="shared" si="26"/>
        <v>42.739572400766441</v>
      </c>
      <c r="K223" s="271">
        <f t="shared" si="27"/>
        <v>2.2383305629330327E-15</v>
      </c>
      <c r="L223" s="271">
        <f t="shared" si="32"/>
        <v>42.739572400766441</v>
      </c>
      <c r="M223" s="271"/>
      <c r="N223" s="271"/>
      <c r="O223" s="271"/>
    </row>
    <row r="224" spans="2:15" x14ac:dyDescent="0.25">
      <c r="B224">
        <v>191</v>
      </c>
      <c r="C224" s="272">
        <f t="shared" si="28"/>
        <v>3.2373301777298313E-17</v>
      </c>
      <c r="D224" s="272">
        <f t="shared" si="34"/>
        <v>0.62918926398802832</v>
      </c>
      <c r="E224" s="272">
        <f t="shared" si="24"/>
        <v>13.77946115668516</v>
      </c>
      <c r="F224" s="271">
        <f t="shared" si="25"/>
        <v>2.2383305629330327E-15</v>
      </c>
      <c r="G224" s="271">
        <f t="shared" si="30"/>
        <v>13.779461156685162</v>
      </c>
      <c r="H224" s="272">
        <f t="shared" si="33"/>
        <v>3.2373301777298313E-17</v>
      </c>
      <c r="I224" s="272">
        <f t="shared" si="35"/>
        <v>0.62918926398802832</v>
      </c>
      <c r="J224" s="272">
        <f t="shared" si="26"/>
        <v>42.739572400766441</v>
      </c>
      <c r="K224" s="271">
        <f t="shared" si="27"/>
        <v>2.2383305629330327E-15</v>
      </c>
      <c r="L224" s="271">
        <f t="shared" si="32"/>
        <v>42.739572400766441</v>
      </c>
      <c r="M224" s="271"/>
      <c r="N224" s="271"/>
      <c r="O224" s="271"/>
    </row>
    <row r="225" spans="2:15" x14ac:dyDescent="0.25">
      <c r="B225">
        <v>192</v>
      </c>
      <c r="C225" s="272">
        <f t="shared" si="28"/>
        <v>3.2373301777298313E-17</v>
      </c>
      <c r="D225" s="272">
        <f t="shared" si="34"/>
        <v>0.62918926398802832</v>
      </c>
      <c r="E225" s="272">
        <f t="shared" ref="E225:E288" si="36">$D$28*(B225-0.5)*C225+E224</f>
        <v>13.779461156685207</v>
      </c>
      <c r="F225" s="271">
        <f t="shared" ref="F225:F288" si="37">($D$25-D225)*$D$27</f>
        <v>2.2383305629330327E-15</v>
      </c>
      <c r="G225" s="271">
        <f t="shared" si="30"/>
        <v>13.779461156685208</v>
      </c>
      <c r="H225" s="272">
        <f t="shared" si="33"/>
        <v>3.2373301777298313E-17</v>
      </c>
      <c r="I225" s="272">
        <f t="shared" si="35"/>
        <v>0.62918926398802832</v>
      </c>
      <c r="J225" s="272">
        <f t="shared" ref="J225:J288" si="38">$D$28*(G225-0.5)*H225+J224</f>
        <v>42.739572400766441</v>
      </c>
      <c r="K225" s="271">
        <f t="shared" ref="K225:K288" si="39">($D$25-I225)*$D$27</f>
        <v>2.2383305629330327E-15</v>
      </c>
      <c r="L225" s="271">
        <f t="shared" si="32"/>
        <v>42.739572400766441</v>
      </c>
      <c r="M225" s="271"/>
      <c r="N225" s="271"/>
      <c r="O225" s="271"/>
    </row>
    <row r="226" spans="2:15" x14ac:dyDescent="0.25">
      <c r="B226">
        <v>193</v>
      </c>
      <c r="C226" s="272">
        <f t="shared" ref="C226:C289" si="40">($D$25-D225)*(((2*$D$24*(1-$D$24)*$D$11)+($D$24^2 * $D$11^2))/$D$25)</f>
        <v>3.2373301777298313E-17</v>
      </c>
      <c r="D226" s="272">
        <f t="shared" ref="D226:D232" si="41">C226+D225</f>
        <v>0.62918926398802832</v>
      </c>
      <c r="E226" s="272">
        <f t="shared" si="36"/>
        <v>13.779461156685253</v>
      </c>
      <c r="F226" s="271">
        <f t="shared" si="37"/>
        <v>2.2383305629330327E-15</v>
      </c>
      <c r="G226" s="271">
        <f t="shared" ref="G226:G289" si="42">F226+E226</f>
        <v>13.779461156685255</v>
      </c>
      <c r="H226" s="272">
        <f t="shared" si="33"/>
        <v>3.2373301777298313E-17</v>
      </c>
      <c r="I226" s="272">
        <f t="shared" ref="I226:I232" si="43">H226+I225</f>
        <v>0.62918926398802832</v>
      </c>
      <c r="J226" s="272">
        <f t="shared" si="38"/>
        <v>42.739572400766441</v>
      </c>
      <c r="K226" s="271">
        <f t="shared" si="39"/>
        <v>2.2383305629330327E-15</v>
      </c>
      <c r="L226" s="271">
        <f t="shared" ref="L226:L289" si="44">K226+J226</f>
        <v>42.739572400766441</v>
      </c>
      <c r="M226" s="271"/>
      <c r="N226" s="271"/>
      <c r="O226" s="271"/>
    </row>
    <row r="227" spans="2:15" x14ac:dyDescent="0.25">
      <c r="B227">
        <v>194</v>
      </c>
      <c r="C227" s="272">
        <f t="shared" si="40"/>
        <v>3.2373301777298313E-17</v>
      </c>
      <c r="D227" s="272">
        <f t="shared" si="41"/>
        <v>0.62918926398802832</v>
      </c>
      <c r="E227" s="272">
        <f t="shared" si="36"/>
        <v>13.779461156685299</v>
      </c>
      <c r="F227" s="271">
        <f t="shared" si="37"/>
        <v>2.2383305629330327E-15</v>
      </c>
      <c r="G227" s="271">
        <f t="shared" si="42"/>
        <v>13.779461156685301</v>
      </c>
      <c r="H227" s="272">
        <f t="shared" ref="H227:H290" si="45">($D$25-I226)*(((2*$D$24*(1-$D$24)*$D$11)+($D$24^2 * $D$11^2))/$D$25)</f>
        <v>3.2373301777298313E-17</v>
      </c>
      <c r="I227" s="272">
        <f t="shared" si="43"/>
        <v>0.62918926398802832</v>
      </c>
      <c r="J227" s="272">
        <f t="shared" si="38"/>
        <v>42.739572400766441</v>
      </c>
      <c r="K227" s="271">
        <f t="shared" si="39"/>
        <v>2.2383305629330327E-15</v>
      </c>
      <c r="L227" s="271">
        <f t="shared" si="44"/>
        <v>42.739572400766441</v>
      </c>
      <c r="M227" s="271"/>
      <c r="N227" s="271"/>
      <c r="O227" s="271"/>
    </row>
    <row r="228" spans="2:15" x14ac:dyDescent="0.25">
      <c r="B228">
        <v>195</v>
      </c>
      <c r="C228" s="272">
        <f t="shared" si="40"/>
        <v>3.2373301777298313E-17</v>
      </c>
      <c r="D228" s="272">
        <f t="shared" si="41"/>
        <v>0.62918926398802832</v>
      </c>
      <c r="E228" s="272">
        <f t="shared" si="36"/>
        <v>13.779461156685347</v>
      </c>
      <c r="F228" s="271">
        <f t="shared" si="37"/>
        <v>2.2383305629330327E-15</v>
      </c>
      <c r="G228" s="271">
        <f t="shared" si="42"/>
        <v>13.779461156685349</v>
      </c>
      <c r="H228" s="272">
        <f t="shared" si="45"/>
        <v>3.2373301777298313E-17</v>
      </c>
      <c r="I228" s="272">
        <f t="shared" si="43"/>
        <v>0.62918926398802832</v>
      </c>
      <c r="J228" s="272">
        <f t="shared" si="38"/>
        <v>42.739572400766441</v>
      </c>
      <c r="K228" s="271">
        <f t="shared" si="39"/>
        <v>2.2383305629330327E-15</v>
      </c>
      <c r="L228" s="271">
        <f t="shared" si="44"/>
        <v>42.739572400766441</v>
      </c>
      <c r="M228" s="271"/>
      <c r="N228" s="271"/>
      <c r="O228" s="271"/>
    </row>
    <row r="229" spans="2:15" x14ac:dyDescent="0.25">
      <c r="B229">
        <v>196</v>
      </c>
      <c r="C229" s="272">
        <f t="shared" si="40"/>
        <v>3.2373301777298313E-17</v>
      </c>
      <c r="D229" s="272">
        <f t="shared" si="41"/>
        <v>0.62918926398802832</v>
      </c>
      <c r="E229" s="272">
        <f t="shared" si="36"/>
        <v>13.779461156685395</v>
      </c>
      <c r="F229" s="271">
        <f t="shared" si="37"/>
        <v>2.2383305629330327E-15</v>
      </c>
      <c r="G229" s="271">
        <f t="shared" si="42"/>
        <v>13.779461156685397</v>
      </c>
      <c r="H229" s="272">
        <f t="shared" si="45"/>
        <v>3.2373301777298313E-17</v>
      </c>
      <c r="I229" s="272">
        <f t="shared" si="43"/>
        <v>0.62918926398802832</v>
      </c>
      <c r="J229" s="272">
        <f t="shared" si="38"/>
        <v>42.739572400766441</v>
      </c>
      <c r="K229" s="271">
        <f t="shared" si="39"/>
        <v>2.2383305629330327E-15</v>
      </c>
      <c r="L229" s="271">
        <f t="shared" si="44"/>
        <v>42.739572400766441</v>
      </c>
      <c r="M229" s="271"/>
      <c r="N229" s="271"/>
      <c r="O229" s="271"/>
    </row>
    <row r="230" spans="2:15" x14ac:dyDescent="0.25">
      <c r="B230">
        <v>197</v>
      </c>
      <c r="C230" s="272">
        <f t="shared" si="40"/>
        <v>3.2373301777298313E-17</v>
      </c>
      <c r="D230" s="272">
        <f t="shared" si="41"/>
        <v>0.62918926398802832</v>
      </c>
      <c r="E230" s="272">
        <f t="shared" si="36"/>
        <v>13.779461156685443</v>
      </c>
      <c r="F230" s="271">
        <f t="shared" si="37"/>
        <v>2.2383305629330327E-15</v>
      </c>
      <c r="G230" s="271">
        <f t="shared" si="42"/>
        <v>13.779461156685445</v>
      </c>
      <c r="H230" s="272">
        <f t="shared" si="45"/>
        <v>3.2373301777298313E-17</v>
      </c>
      <c r="I230" s="272">
        <f t="shared" si="43"/>
        <v>0.62918926398802832</v>
      </c>
      <c r="J230" s="272">
        <f t="shared" si="38"/>
        <v>42.739572400766441</v>
      </c>
      <c r="K230" s="271">
        <f t="shared" si="39"/>
        <v>2.2383305629330327E-15</v>
      </c>
      <c r="L230" s="271">
        <f t="shared" si="44"/>
        <v>42.739572400766441</v>
      </c>
      <c r="M230" s="271"/>
      <c r="N230" s="271"/>
      <c r="O230" s="271"/>
    </row>
    <row r="231" spans="2:15" x14ac:dyDescent="0.25">
      <c r="B231">
        <v>198</v>
      </c>
      <c r="C231" s="272">
        <f t="shared" si="40"/>
        <v>3.2373301777298313E-17</v>
      </c>
      <c r="D231" s="272">
        <f t="shared" si="41"/>
        <v>0.62918926398802832</v>
      </c>
      <c r="E231" s="272">
        <f t="shared" si="36"/>
        <v>13.779461156685491</v>
      </c>
      <c r="F231" s="271">
        <f t="shared" si="37"/>
        <v>2.2383305629330327E-15</v>
      </c>
      <c r="G231" s="271">
        <f t="shared" si="42"/>
        <v>13.779461156685493</v>
      </c>
      <c r="H231" s="272">
        <f t="shared" si="45"/>
        <v>3.2373301777298313E-17</v>
      </c>
      <c r="I231" s="272">
        <f t="shared" si="43"/>
        <v>0.62918926398802832</v>
      </c>
      <c r="J231" s="272">
        <f t="shared" si="38"/>
        <v>42.739572400766441</v>
      </c>
      <c r="K231" s="271">
        <f t="shared" si="39"/>
        <v>2.2383305629330327E-15</v>
      </c>
      <c r="L231" s="271">
        <f t="shared" si="44"/>
        <v>42.739572400766441</v>
      </c>
      <c r="M231" s="271"/>
      <c r="N231" s="271"/>
      <c r="O231" s="271"/>
    </row>
    <row r="232" spans="2:15" x14ac:dyDescent="0.25">
      <c r="B232">
        <v>199</v>
      </c>
      <c r="C232" s="272">
        <f t="shared" si="40"/>
        <v>3.2373301777298313E-17</v>
      </c>
      <c r="D232" s="272">
        <f t="shared" si="41"/>
        <v>0.62918926398802832</v>
      </c>
      <c r="E232" s="272">
        <f t="shared" si="36"/>
        <v>13.779461156685539</v>
      </c>
      <c r="F232" s="271">
        <f t="shared" si="37"/>
        <v>2.2383305629330327E-15</v>
      </c>
      <c r="G232" s="271">
        <f t="shared" si="42"/>
        <v>13.779461156685541</v>
      </c>
      <c r="H232" s="272">
        <f t="shared" si="45"/>
        <v>3.2373301777298313E-17</v>
      </c>
      <c r="I232" s="272">
        <f t="shared" si="43"/>
        <v>0.62918926398802832</v>
      </c>
      <c r="J232" s="272">
        <f t="shared" si="38"/>
        <v>42.739572400766441</v>
      </c>
      <c r="K232" s="271">
        <f t="shared" si="39"/>
        <v>2.2383305629330327E-15</v>
      </c>
      <c r="L232" s="271">
        <f t="shared" si="44"/>
        <v>42.739572400766441</v>
      </c>
      <c r="M232" s="271"/>
      <c r="N232" s="271"/>
      <c r="O232" s="271"/>
    </row>
    <row r="233" spans="2:15" x14ac:dyDescent="0.25">
      <c r="B233">
        <v>200</v>
      </c>
      <c r="C233" s="272">
        <f t="shared" si="40"/>
        <v>3.2373301777298313E-17</v>
      </c>
      <c r="D233" s="272">
        <f t="shared" ref="D233:D296" si="46">C233+D231</f>
        <v>0.62918926398802832</v>
      </c>
      <c r="E233" s="272">
        <f t="shared" si="36"/>
        <v>13.779461156685587</v>
      </c>
      <c r="F233" s="271">
        <f t="shared" si="37"/>
        <v>2.2383305629330327E-15</v>
      </c>
      <c r="G233" s="271">
        <f t="shared" si="42"/>
        <v>13.779461156685588</v>
      </c>
      <c r="H233" s="272">
        <f t="shared" si="45"/>
        <v>3.2373301777298313E-17</v>
      </c>
      <c r="I233" s="272">
        <f t="shared" ref="I233:I296" si="47">H233+I231</f>
        <v>0.62918926398802832</v>
      </c>
      <c r="J233" s="272">
        <f t="shared" si="38"/>
        <v>42.739572400766441</v>
      </c>
      <c r="K233" s="271">
        <f t="shared" si="39"/>
        <v>2.2383305629330327E-15</v>
      </c>
      <c r="L233" s="271">
        <f t="shared" si="44"/>
        <v>42.739572400766441</v>
      </c>
      <c r="M233" s="271"/>
      <c r="N233" s="271"/>
      <c r="O233" s="271"/>
    </row>
    <row r="234" spans="2:15" x14ac:dyDescent="0.25">
      <c r="B234">
        <v>201</v>
      </c>
      <c r="C234" s="272">
        <f t="shared" si="40"/>
        <v>3.2373301777298313E-17</v>
      </c>
      <c r="D234" s="272">
        <f t="shared" si="46"/>
        <v>0.62918926398802832</v>
      </c>
      <c r="E234" s="272">
        <f t="shared" si="36"/>
        <v>13.779461156685635</v>
      </c>
      <c r="F234" s="271">
        <f t="shared" si="37"/>
        <v>2.2383305629330327E-15</v>
      </c>
      <c r="G234" s="271">
        <f t="shared" si="42"/>
        <v>13.779461156685636</v>
      </c>
      <c r="H234" s="272">
        <f t="shared" si="45"/>
        <v>3.2373301777298313E-17</v>
      </c>
      <c r="I234" s="272">
        <f t="shared" si="47"/>
        <v>0.62918926398802832</v>
      </c>
      <c r="J234" s="272">
        <f t="shared" si="38"/>
        <v>42.739572400766441</v>
      </c>
      <c r="K234" s="271">
        <f t="shared" si="39"/>
        <v>2.2383305629330327E-15</v>
      </c>
      <c r="L234" s="271">
        <f t="shared" si="44"/>
        <v>42.739572400766441</v>
      </c>
      <c r="M234" s="271"/>
      <c r="N234" s="271"/>
      <c r="O234" s="271"/>
    </row>
    <row r="235" spans="2:15" x14ac:dyDescent="0.25">
      <c r="B235">
        <v>202</v>
      </c>
      <c r="C235" s="272">
        <f t="shared" si="40"/>
        <v>3.2373301777298313E-17</v>
      </c>
      <c r="D235" s="272">
        <f t="shared" si="46"/>
        <v>0.62918926398802832</v>
      </c>
      <c r="E235" s="272">
        <f t="shared" si="36"/>
        <v>13.779461156685683</v>
      </c>
      <c r="F235" s="271">
        <f t="shared" si="37"/>
        <v>2.2383305629330327E-15</v>
      </c>
      <c r="G235" s="271">
        <f t="shared" si="42"/>
        <v>13.779461156685684</v>
      </c>
      <c r="H235" s="272">
        <f t="shared" si="45"/>
        <v>3.2373301777298313E-17</v>
      </c>
      <c r="I235" s="272">
        <f t="shared" si="47"/>
        <v>0.62918926398802832</v>
      </c>
      <c r="J235" s="272">
        <f t="shared" si="38"/>
        <v>42.739572400766441</v>
      </c>
      <c r="K235" s="271">
        <f t="shared" si="39"/>
        <v>2.2383305629330327E-15</v>
      </c>
      <c r="L235" s="271">
        <f t="shared" si="44"/>
        <v>42.739572400766441</v>
      </c>
      <c r="M235" s="271"/>
      <c r="N235" s="271"/>
      <c r="O235" s="271"/>
    </row>
    <row r="236" spans="2:15" x14ac:dyDescent="0.25">
      <c r="B236">
        <v>203</v>
      </c>
      <c r="C236" s="272">
        <f t="shared" si="40"/>
        <v>3.2373301777298313E-17</v>
      </c>
      <c r="D236" s="272">
        <f t="shared" si="46"/>
        <v>0.62918926398802832</v>
      </c>
      <c r="E236" s="272">
        <f t="shared" si="36"/>
        <v>13.779461156685732</v>
      </c>
      <c r="F236" s="271">
        <f t="shared" si="37"/>
        <v>2.2383305629330327E-15</v>
      </c>
      <c r="G236" s="271">
        <f t="shared" si="42"/>
        <v>13.779461156685734</v>
      </c>
      <c r="H236" s="272">
        <f t="shared" si="45"/>
        <v>3.2373301777298313E-17</v>
      </c>
      <c r="I236" s="272">
        <f t="shared" si="47"/>
        <v>0.62918926398802832</v>
      </c>
      <c r="J236" s="272">
        <f t="shared" si="38"/>
        <v>42.739572400766441</v>
      </c>
      <c r="K236" s="271">
        <f t="shared" si="39"/>
        <v>2.2383305629330327E-15</v>
      </c>
      <c r="L236" s="271">
        <f t="shared" si="44"/>
        <v>42.739572400766441</v>
      </c>
      <c r="M236" s="271"/>
      <c r="N236" s="271"/>
      <c r="O236" s="271"/>
    </row>
    <row r="237" spans="2:15" x14ac:dyDescent="0.25">
      <c r="B237">
        <v>204</v>
      </c>
      <c r="C237" s="272">
        <f t="shared" si="40"/>
        <v>3.2373301777298313E-17</v>
      </c>
      <c r="D237" s="272">
        <f t="shared" si="46"/>
        <v>0.62918926398802832</v>
      </c>
      <c r="E237" s="272">
        <f t="shared" si="36"/>
        <v>13.779461156685782</v>
      </c>
      <c r="F237" s="271">
        <f t="shared" si="37"/>
        <v>2.2383305629330327E-15</v>
      </c>
      <c r="G237" s="271">
        <f t="shared" si="42"/>
        <v>13.779461156685784</v>
      </c>
      <c r="H237" s="272">
        <f t="shared" si="45"/>
        <v>3.2373301777298313E-17</v>
      </c>
      <c r="I237" s="272">
        <f t="shared" si="47"/>
        <v>0.62918926398802832</v>
      </c>
      <c r="J237" s="272">
        <f t="shared" si="38"/>
        <v>42.739572400766441</v>
      </c>
      <c r="K237" s="271">
        <f t="shared" si="39"/>
        <v>2.2383305629330327E-15</v>
      </c>
      <c r="L237" s="271">
        <f t="shared" si="44"/>
        <v>42.739572400766441</v>
      </c>
      <c r="M237" s="271"/>
      <c r="N237" s="271"/>
      <c r="O237" s="271"/>
    </row>
    <row r="238" spans="2:15" x14ac:dyDescent="0.25">
      <c r="B238">
        <v>205</v>
      </c>
      <c r="C238" s="272">
        <f t="shared" si="40"/>
        <v>3.2373301777298313E-17</v>
      </c>
      <c r="D238" s="272">
        <f t="shared" si="46"/>
        <v>0.62918926398802832</v>
      </c>
      <c r="E238" s="272">
        <f t="shared" si="36"/>
        <v>13.779461156685832</v>
      </c>
      <c r="F238" s="271">
        <f t="shared" si="37"/>
        <v>2.2383305629330327E-15</v>
      </c>
      <c r="G238" s="271">
        <f t="shared" si="42"/>
        <v>13.779461156685834</v>
      </c>
      <c r="H238" s="272">
        <f t="shared" si="45"/>
        <v>3.2373301777298313E-17</v>
      </c>
      <c r="I238" s="272">
        <f t="shared" si="47"/>
        <v>0.62918926398802832</v>
      </c>
      <c r="J238" s="272">
        <f t="shared" si="38"/>
        <v>42.739572400766441</v>
      </c>
      <c r="K238" s="271">
        <f t="shared" si="39"/>
        <v>2.2383305629330327E-15</v>
      </c>
      <c r="L238" s="271">
        <f t="shared" si="44"/>
        <v>42.739572400766441</v>
      </c>
      <c r="M238" s="271"/>
      <c r="N238" s="271"/>
      <c r="O238" s="271"/>
    </row>
    <row r="239" spans="2:15" x14ac:dyDescent="0.25">
      <c r="B239">
        <v>206</v>
      </c>
      <c r="C239" s="272">
        <f t="shared" si="40"/>
        <v>3.2373301777298313E-17</v>
      </c>
      <c r="D239" s="272">
        <f t="shared" si="46"/>
        <v>0.62918926398802832</v>
      </c>
      <c r="E239" s="272">
        <f t="shared" si="36"/>
        <v>13.779461156685882</v>
      </c>
      <c r="F239" s="271">
        <f t="shared" si="37"/>
        <v>2.2383305629330327E-15</v>
      </c>
      <c r="G239" s="271">
        <f t="shared" si="42"/>
        <v>13.779461156685883</v>
      </c>
      <c r="H239" s="272">
        <f t="shared" si="45"/>
        <v>3.2373301777298313E-17</v>
      </c>
      <c r="I239" s="272">
        <f t="shared" si="47"/>
        <v>0.62918926398802832</v>
      </c>
      <c r="J239" s="272">
        <f t="shared" si="38"/>
        <v>42.739572400766441</v>
      </c>
      <c r="K239" s="271">
        <f t="shared" si="39"/>
        <v>2.2383305629330327E-15</v>
      </c>
      <c r="L239" s="271">
        <f t="shared" si="44"/>
        <v>42.739572400766441</v>
      </c>
      <c r="M239" s="271"/>
      <c r="N239" s="271"/>
      <c r="O239" s="271"/>
    </row>
    <row r="240" spans="2:15" x14ac:dyDescent="0.25">
      <c r="B240">
        <v>207</v>
      </c>
      <c r="C240" s="272">
        <f t="shared" si="40"/>
        <v>3.2373301777298313E-17</v>
      </c>
      <c r="D240" s="272">
        <f t="shared" si="46"/>
        <v>0.62918926398802832</v>
      </c>
      <c r="E240" s="272">
        <f t="shared" si="36"/>
        <v>13.779461156685931</v>
      </c>
      <c r="F240" s="271">
        <f t="shared" si="37"/>
        <v>2.2383305629330327E-15</v>
      </c>
      <c r="G240" s="271">
        <f t="shared" si="42"/>
        <v>13.779461156685933</v>
      </c>
      <c r="H240" s="272">
        <f t="shared" si="45"/>
        <v>3.2373301777298313E-17</v>
      </c>
      <c r="I240" s="272">
        <f t="shared" si="47"/>
        <v>0.62918926398802832</v>
      </c>
      <c r="J240" s="272">
        <f t="shared" si="38"/>
        <v>42.739572400766441</v>
      </c>
      <c r="K240" s="271">
        <f t="shared" si="39"/>
        <v>2.2383305629330327E-15</v>
      </c>
      <c r="L240" s="271">
        <f t="shared" si="44"/>
        <v>42.739572400766441</v>
      </c>
      <c r="M240" s="271"/>
      <c r="N240" s="271"/>
      <c r="O240" s="271"/>
    </row>
    <row r="241" spans="2:15" x14ac:dyDescent="0.25">
      <c r="B241">
        <v>208</v>
      </c>
      <c r="C241" s="272">
        <f t="shared" si="40"/>
        <v>3.2373301777298313E-17</v>
      </c>
      <c r="D241" s="272">
        <f t="shared" si="46"/>
        <v>0.62918926398802832</v>
      </c>
      <c r="E241" s="272">
        <f t="shared" si="36"/>
        <v>13.779461156685981</v>
      </c>
      <c r="F241" s="271">
        <f t="shared" si="37"/>
        <v>2.2383305629330327E-15</v>
      </c>
      <c r="G241" s="271">
        <f t="shared" si="42"/>
        <v>13.779461156685983</v>
      </c>
      <c r="H241" s="272">
        <f t="shared" si="45"/>
        <v>3.2373301777298313E-17</v>
      </c>
      <c r="I241" s="272">
        <f t="shared" si="47"/>
        <v>0.62918926398802832</v>
      </c>
      <c r="J241" s="272">
        <f t="shared" si="38"/>
        <v>42.739572400766441</v>
      </c>
      <c r="K241" s="271">
        <f t="shared" si="39"/>
        <v>2.2383305629330327E-15</v>
      </c>
      <c r="L241" s="271">
        <f t="shared" si="44"/>
        <v>42.739572400766441</v>
      </c>
      <c r="M241" s="271"/>
      <c r="N241" s="271"/>
      <c r="O241" s="271"/>
    </row>
    <row r="242" spans="2:15" x14ac:dyDescent="0.25">
      <c r="B242">
        <v>209</v>
      </c>
      <c r="C242" s="272">
        <f t="shared" si="40"/>
        <v>3.2373301777298313E-17</v>
      </c>
      <c r="D242" s="272">
        <f t="shared" si="46"/>
        <v>0.62918926398802832</v>
      </c>
      <c r="E242" s="272">
        <f t="shared" si="36"/>
        <v>13.779461156686031</v>
      </c>
      <c r="F242" s="271">
        <f t="shared" si="37"/>
        <v>2.2383305629330327E-15</v>
      </c>
      <c r="G242" s="271">
        <f t="shared" si="42"/>
        <v>13.779461156686033</v>
      </c>
      <c r="H242" s="272">
        <f t="shared" si="45"/>
        <v>3.2373301777298313E-17</v>
      </c>
      <c r="I242" s="272">
        <f t="shared" si="47"/>
        <v>0.62918926398802832</v>
      </c>
      <c r="J242" s="272">
        <f t="shared" si="38"/>
        <v>42.739572400766441</v>
      </c>
      <c r="K242" s="271">
        <f t="shared" si="39"/>
        <v>2.2383305629330327E-15</v>
      </c>
      <c r="L242" s="271">
        <f t="shared" si="44"/>
        <v>42.739572400766441</v>
      </c>
      <c r="M242" s="271"/>
      <c r="N242" s="271"/>
      <c r="O242" s="271"/>
    </row>
    <row r="243" spans="2:15" x14ac:dyDescent="0.25">
      <c r="B243">
        <v>210</v>
      </c>
      <c r="C243" s="272">
        <f t="shared" si="40"/>
        <v>3.2373301777298313E-17</v>
      </c>
      <c r="D243" s="272">
        <f t="shared" si="46"/>
        <v>0.62918926398802832</v>
      </c>
      <c r="E243" s="272">
        <f t="shared" si="36"/>
        <v>13.779461156686082</v>
      </c>
      <c r="F243" s="271">
        <f t="shared" si="37"/>
        <v>2.2383305629330327E-15</v>
      </c>
      <c r="G243" s="271">
        <f t="shared" si="42"/>
        <v>13.779461156686084</v>
      </c>
      <c r="H243" s="272">
        <f t="shared" si="45"/>
        <v>3.2373301777298313E-17</v>
      </c>
      <c r="I243" s="272">
        <f t="shared" si="47"/>
        <v>0.62918926398802832</v>
      </c>
      <c r="J243" s="272">
        <f t="shared" si="38"/>
        <v>42.739572400766441</v>
      </c>
      <c r="K243" s="271">
        <f t="shared" si="39"/>
        <v>2.2383305629330327E-15</v>
      </c>
      <c r="L243" s="271">
        <f t="shared" si="44"/>
        <v>42.739572400766441</v>
      </c>
      <c r="M243" s="271"/>
      <c r="N243" s="271"/>
      <c r="O243" s="271"/>
    </row>
    <row r="244" spans="2:15" x14ac:dyDescent="0.25">
      <c r="B244">
        <v>211</v>
      </c>
      <c r="C244" s="272">
        <f t="shared" si="40"/>
        <v>3.2373301777298313E-17</v>
      </c>
      <c r="D244" s="272">
        <f t="shared" si="46"/>
        <v>0.62918926398802832</v>
      </c>
      <c r="E244" s="272">
        <f t="shared" si="36"/>
        <v>13.779461156686134</v>
      </c>
      <c r="F244" s="271">
        <f t="shared" si="37"/>
        <v>2.2383305629330327E-15</v>
      </c>
      <c r="G244" s="271">
        <f t="shared" si="42"/>
        <v>13.779461156686136</v>
      </c>
      <c r="H244" s="272">
        <f t="shared" si="45"/>
        <v>3.2373301777298313E-17</v>
      </c>
      <c r="I244" s="272">
        <f t="shared" si="47"/>
        <v>0.62918926398802832</v>
      </c>
      <c r="J244" s="272">
        <f t="shared" si="38"/>
        <v>42.739572400766441</v>
      </c>
      <c r="K244" s="271">
        <f t="shared" si="39"/>
        <v>2.2383305629330327E-15</v>
      </c>
      <c r="L244" s="271">
        <f t="shared" si="44"/>
        <v>42.739572400766441</v>
      </c>
      <c r="M244" s="271"/>
      <c r="N244" s="271"/>
      <c r="O244" s="271"/>
    </row>
    <row r="245" spans="2:15" x14ac:dyDescent="0.25">
      <c r="B245">
        <v>212</v>
      </c>
      <c r="C245" s="272">
        <f t="shared" si="40"/>
        <v>3.2373301777298313E-17</v>
      </c>
      <c r="D245" s="272">
        <f t="shared" si="46"/>
        <v>0.62918926398802832</v>
      </c>
      <c r="E245" s="272">
        <f t="shared" si="36"/>
        <v>13.779461156686185</v>
      </c>
      <c r="F245" s="271">
        <f t="shared" si="37"/>
        <v>2.2383305629330327E-15</v>
      </c>
      <c r="G245" s="271">
        <f t="shared" si="42"/>
        <v>13.779461156686187</v>
      </c>
      <c r="H245" s="272">
        <f t="shared" si="45"/>
        <v>3.2373301777298313E-17</v>
      </c>
      <c r="I245" s="272">
        <f t="shared" si="47"/>
        <v>0.62918926398802832</v>
      </c>
      <c r="J245" s="272">
        <f t="shared" si="38"/>
        <v>42.739572400766441</v>
      </c>
      <c r="K245" s="271">
        <f t="shared" si="39"/>
        <v>2.2383305629330327E-15</v>
      </c>
      <c r="L245" s="271">
        <f t="shared" si="44"/>
        <v>42.739572400766441</v>
      </c>
      <c r="M245" s="271"/>
      <c r="N245" s="271"/>
      <c r="O245" s="271"/>
    </row>
    <row r="246" spans="2:15" x14ac:dyDescent="0.25">
      <c r="B246">
        <v>213</v>
      </c>
      <c r="C246" s="272">
        <f t="shared" si="40"/>
        <v>3.2373301777298313E-17</v>
      </c>
      <c r="D246" s="272">
        <f t="shared" si="46"/>
        <v>0.62918926398802832</v>
      </c>
      <c r="E246" s="272">
        <f t="shared" si="36"/>
        <v>13.779461156686237</v>
      </c>
      <c r="F246" s="271">
        <f t="shared" si="37"/>
        <v>2.2383305629330327E-15</v>
      </c>
      <c r="G246" s="271">
        <f t="shared" si="42"/>
        <v>13.779461156686239</v>
      </c>
      <c r="H246" s="272">
        <f t="shared" si="45"/>
        <v>3.2373301777298313E-17</v>
      </c>
      <c r="I246" s="272">
        <f t="shared" si="47"/>
        <v>0.62918926398802832</v>
      </c>
      <c r="J246" s="272">
        <f t="shared" si="38"/>
        <v>42.739572400766441</v>
      </c>
      <c r="K246" s="271">
        <f t="shared" si="39"/>
        <v>2.2383305629330327E-15</v>
      </c>
      <c r="L246" s="271">
        <f t="shared" si="44"/>
        <v>42.739572400766441</v>
      </c>
      <c r="M246" s="271"/>
      <c r="N246" s="271"/>
      <c r="O246" s="271"/>
    </row>
    <row r="247" spans="2:15" x14ac:dyDescent="0.25">
      <c r="B247">
        <v>214</v>
      </c>
      <c r="C247" s="272">
        <f t="shared" si="40"/>
        <v>3.2373301777298313E-17</v>
      </c>
      <c r="D247" s="272">
        <f t="shared" si="46"/>
        <v>0.62918926398802832</v>
      </c>
      <c r="E247" s="272">
        <f t="shared" si="36"/>
        <v>13.779461156686288</v>
      </c>
      <c r="F247" s="271">
        <f t="shared" si="37"/>
        <v>2.2383305629330327E-15</v>
      </c>
      <c r="G247" s="271">
        <f t="shared" si="42"/>
        <v>13.77946115668629</v>
      </c>
      <c r="H247" s="272">
        <f t="shared" si="45"/>
        <v>3.2373301777298313E-17</v>
      </c>
      <c r="I247" s="272">
        <f t="shared" si="47"/>
        <v>0.62918926398802832</v>
      </c>
      <c r="J247" s="272">
        <f t="shared" si="38"/>
        <v>42.739572400766441</v>
      </c>
      <c r="K247" s="271">
        <f t="shared" si="39"/>
        <v>2.2383305629330327E-15</v>
      </c>
      <c r="L247" s="271">
        <f t="shared" si="44"/>
        <v>42.739572400766441</v>
      </c>
      <c r="M247" s="271"/>
      <c r="N247" s="271"/>
      <c r="O247" s="271"/>
    </row>
    <row r="248" spans="2:15" x14ac:dyDescent="0.25">
      <c r="B248">
        <v>215</v>
      </c>
      <c r="C248" s="272">
        <f t="shared" si="40"/>
        <v>3.2373301777298313E-17</v>
      </c>
      <c r="D248" s="272">
        <f t="shared" si="46"/>
        <v>0.62918926398802832</v>
      </c>
      <c r="E248" s="272">
        <f t="shared" si="36"/>
        <v>13.77946115668634</v>
      </c>
      <c r="F248" s="271">
        <f t="shared" si="37"/>
        <v>2.2383305629330327E-15</v>
      </c>
      <c r="G248" s="271">
        <f t="shared" si="42"/>
        <v>13.779461156686342</v>
      </c>
      <c r="H248" s="272">
        <f t="shared" si="45"/>
        <v>3.2373301777298313E-17</v>
      </c>
      <c r="I248" s="272">
        <f t="shared" si="47"/>
        <v>0.62918926398802832</v>
      </c>
      <c r="J248" s="272">
        <f t="shared" si="38"/>
        <v>42.739572400766441</v>
      </c>
      <c r="K248" s="271">
        <f t="shared" si="39"/>
        <v>2.2383305629330327E-15</v>
      </c>
      <c r="L248" s="271">
        <f t="shared" si="44"/>
        <v>42.739572400766441</v>
      </c>
      <c r="M248" s="271"/>
      <c r="N248" s="271"/>
      <c r="O248" s="271"/>
    </row>
    <row r="249" spans="2:15" x14ac:dyDescent="0.25">
      <c r="B249">
        <v>216</v>
      </c>
      <c r="C249" s="272">
        <f t="shared" si="40"/>
        <v>3.2373301777298313E-17</v>
      </c>
      <c r="D249" s="272">
        <f t="shared" si="46"/>
        <v>0.62918926398802832</v>
      </c>
      <c r="E249" s="272">
        <f t="shared" si="36"/>
        <v>13.779461156686391</v>
      </c>
      <c r="F249" s="271">
        <f t="shared" si="37"/>
        <v>2.2383305629330327E-15</v>
      </c>
      <c r="G249" s="271">
        <f t="shared" si="42"/>
        <v>13.779461156686393</v>
      </c>
      <c r="H249" s="272">
        <f t="shared" si="45"/>
        <v>3.2373301777298313E-17</v>
      </c>
      <c r="I249" s="272">
        <f t="shared" si="47"/>
        <v>0.62918926398802832</v>
      </c>
      <c r="J249" s="272">
        <f t="shared" si="38"/>
        <v>42.739572400766441</v>
      </c>
      <c r="K249" s="271">
        <f t="shared" si="39"/>
        <v>2.2383305629330327E-15</v>
      </c>
      <c r="L249" s="271">
        <f t="shared" si="44"/>
        <v>42.739572400766441</v>
      </c>
      <c r="M249" s="271"/>
      <c r="N249" s="271"/>
      <c r="O249" s="271"/>
    </row>
    <row r="250" spans="2:15" x14ac:dyDescent="0.25">
      <c r="B250">
        <v>217</v>
      </c>
      <c r="C250" s="272">
        <f t="shared" si="40"/>
        <v>3.2373301777298313E-17</v>
      </c>
      <c r="D250" s="272">
        <f t="shared" si="46"/>
        <v>0.62918926398802832</v>
      </c>
      <c r="E250" s="272">
        <f t="shared" si="36"/>
        <v>13.779461156686443</v>
      </c>
      <c r="F250" s="271">
        <f t="shared" si="37"/>
        <v>2.2383305629330327E-15</v>
      </c>
      <c r="G250" s="271">
        <f t="shared" si="42"/>
        <v>13.779461156686445</v>
      </c>
      <c r="H250" s="272">
        <f t="shared" si="45"/>
        <v>3.2373301777298313E-17</v>
      </c>
      <c r="I250" s="272">
        <f t="shared" si="47"/>
        <v>0.62918926398802832</v>
      </c>
      <c r="J250" s="272">
        <f t="shared" si="38"/>
        <v>42.739572400766441</v>
      </c>
      <c r="K250" s="271">
        <f t="shared" si="39"/>
        <v>2.2383305629330327E-15</v>
      </c>
      <c r="L250" s="271">
        <f t="shared" si="44"/>
        <v>42.739572400766441</v>
      </c>
      <c r="M250" s="271"/>
      <c r="N250" s="271"/>
      <c r="O250" s="271"/>
    </row>
    <row r="251" spans="2:15" x14ac:dyDescent="0.25">
      <c r="B251">
        <v>218</v>
      </c>
      <c r="C251" s="272">
        <f t="shared" si="40"/>
        <v>3.2373301777298313E-17</v>
      </c>
      <c r="D251" s="272">
        <f t="shared" si="46"/>
        <v>0.62918926398802832</v>
      </c>
      <c r="E251" s="272">
        <f t="shared" si="36"/>
        <v>13.779461156686496</v>
      </c>
      <c r="F251" s="271">
        <f t="shared" si="37"/>
        <v>2.2383305629330327E-15</v>
      </c>
      <c r="G251" s="271">
        <f t="shared" si="42"/>
        <v>13.779461156686498</v>
      </c>
      <c r="H251" s="272">
        <f t="shared" si="45"/>
        <v>3.2373301777298313E-17</v>
      </c>
      <c r="I251" s="272">
        <f t="shared" si="47"/>
        <v>0.62918926398802832</v>
      </c>
      <c r="J251" s="272">
        <f t="shared" si="38"/>
        <v>42.739572400766441</v>
      </c>
      <c r="K251" s="271">
        <f t="shared" si="39"/>
        <v>2.2383305629330327E-15</v>
      </c>
      <c r="L251" s="271">
        <f t="shared" si="44"/>
        <v>42.739572400766441</v>
      </c>
      <c r="M251" s="271"/>
      <c r="N251" s="271"/>
      <c r="O251" s="271"/>
    </row>
    <row r="252" spans="2:15" x14ac:dyDescent="0.25">
      <c r="B252">
        <v>219</v>
      </c>
      <c r="C252" s="272">
        <f t="shared" si="40"/>
        <v>3.2373301777298313E-17</v>
      </c>
      <c r="D252" s="272">
        <f t="shared" si="46"/>
        <v>0.62918926398802832</v>
      </c>
      <c r="E252" s="272">
        <f t="shared" si="36"/>
        <v>13.779461156686549</v>
      </c>
      <c r="F252" s="271">
        <f t="shared" si="37"/>
        <v>2.2383305629330327E-15</v>
      </c>
      <c r="G252" s="271">
        <f t="shared" si="42"/>
        <v>13.779461156686551</v>
      </c>
      <c r="H252" s="272">
        <f t="shared" si="45"/>
        <v>3.2373301777298313E-17</v>
      </c>
      <c r="I252" s="272">
        <f t="shared" si="47"/>
        <v>0.62918926398802832</v>
      </c>
      <c r="J252" s="272">
        <f t="shared" si="38"/>
        <v>42.739572400766441</v>
      </c>
      <c r="K252" s="271">
        <f t="shared" si="39"/>
        <v>2.2383305629330327E-15</v>
      </c>
      <c r="L252" s="271">
        <f t="shared" si="44"/>
        <v>42.739572400766441</v>
      </c>
      <c r="M252" s="271"/>
      <c r="N252" s="271"/>
      <c r="O252" s="271"/>
    </row>
    <row r="253" spans="2:15" x14ac:dyDescent="0.25">
      <c r="B253">
        <v>220</v>
      </c>
      <c r="C253" s="272">
        <f t="shared" si="40"/>
        <v>3.2373301777298313E-17</v>
      </c>
      <c r="D253" s="272">
        <f t="shared" si="46"/>
        <v>0.62918926398802832</v>
      </c>
      <c r="E253" s="272">
        <f t="shared" si="36"/>
        <v>13.779461156686603</v>
      </c>
      <c r="F253" s="271">
        <f t="shared" si="37"/>
        <v>2.2383305629330327E-15</v>
      </c>
      <c r="G253" s="271">
        <f t="shared" si="42"/>
        <v>13.779461156686605</v>
      </c>
      <c r="H253" s="272">
        <f t="shared" si="45"/>
        <v>3.2373301777298313E-17</v>
      </c>
      <c r="I253" s="272">
        <f t="shared" si="47"/>
        <v>0.62918926398802832</v>
      </c>
      <c r="J253" s="272">
        <f t="shared" si="38"/>
        <v>42.739572400766441</v>
      </c>
      <c r="K253" s="271">
        <f t="shared" si="39"/>
        <v>2.2383305629330327E-15</v>
      </c>
      <c r="L253" s="271">
        <f t="shared" si="44"/>
        <v>42.739572400766441</v>
      </c>
      <c r="M253" s="271"/>
      <c r="N253" s="271"/>
      <c r="O253" s="271"/>
    </row>
    <row r="254" spans="2:15" x14ac:dyDescent="0.25">
      <c r="B254">
        <v>221</v>
      </c>
      <c r="C254" s="272">
        <f t="shared" si="40"/>
        <v>3.2373301777298313E-17</v>
      </c>
      <c r="D254" s="272">
        <f t="shared" si="46"/>
        <v>0.62918926398802832</v>
      </c>
      <c r="E254" s="272">
        <f t="shared" si="36"/>
        <v>13.779461156686656</v>
      </c>
      <c r="F254" s="271">
        <f t="shared" si="37"/>
        <v>2.2383305629330327E-15</v>
      </c>
      <c r="G254" s="271">
        <f t="shared" si="42"/>
        <v>13.779461156686658</v>
      </c>
      <c r="H254" s="272">
        <f t="shared" si="45"/>
        <v>3.2373301777298313E-17</v>
      </c>
      <c r="I254" s="272">
        <f t="shared" si="47"/>
        <v>0.62918926398802832</v>
      </c>
      <c r="J254" s="272">
        <f t="shared" si="38"/>
        <v>42.739572400766441</v>
      </c>
      <c r="K254" s="271">
        <f t="shared" si="39"/>
        <v>2.2383305629330327E-15</v>
      </c>
      <c r="L254" s="271">
        <f t="shared" si="44"/>
        <v>42.739572400766441</v>
      </c>
      <c r="M254" s="271"/>
      <c r="N254" s="271"/>
      <c r="O254" s="271"/>
    </row>
    <row r="255" spans="2:15" x14ac:dyDescent="0.25">
      <c r="B255">
        <v>222</v>
      </c>
      <c r="C255" s="272">
        <f t="shared" si="40"/>
        <v>3.2373301777298313E-17</v>
      </c>
      <c r="D255" s="272">
        <f t="shared" si="46"/>
        <v>0.62918926398802832</v>
      </c>
      <c r="E255" s="272">
        <f t="shared" si="36"/>
        <v>13.779461156686709</v>
      </c>
      <c r="F255" s="271">
        <f t="shared" si="37"/>
        <v>2.2383305629330327E-15</v>
      </c>
      <c r="G255" s="271">
        <f t="shared" si="42"/>
        <v>13.779461156686711</v>
      </c>
      <c r="H255" s="272">
        <f t="shared" si="45"/>
        <v>3.2373301777298313E-17</v>
      </c>
      <c r="I255" s="272">
        <f t="shared" si="47"/>
        <v>0.62918926398802832</v>
      </c>
      <c r="J255" s="272">
        <f t="shared" si="38"/>
        <v>42.739572400766441</v>
      </c>
      <c r="K255" s="271">
        <f t="shared" si="39"/>
        <v>2.2383305629330327E-15</v>
      </c>
      <c r="L255" s="271">
        <f t="shared" si="44"/>
        <v>42.739572400766441</v>
      </c>
      <c r="M255" s="271"/>
      <c r="N255" s="271"/>
      <c r="O255" s="271"/>
    </row>
    <row r="256" spans="2:15" x14ac:dyDescent="0.25">
      <c r="B256">
        <v>223</v>
      </c>
      <c r="C256" s="272">
        <f t="shared" si="40"/>
        <v>3.2373301777298313E-17</v>
      </c>
      <c r="D256" s="272">
        <f t="shared" si="46"/>
        <v>0.62918926398802832</v>
      </c>
      <c r="E256" s="272">
        <f t="shared" si="36"/>
        <v>13.779461156686763</v>
      </c>
      <c r="F256" s="271">
        <f t="shared" si="37"/>
        <v>2.2383305629330327E-15</v>
      </c>
      <c r="G256" s="271">
        <f t="shared" si="42"/>
        <v>13.779461156686764</v>
      </c>
      <c r="H256" s="272">
        <f t="shared" si="45"/>
        <v>3.2373301777298313E-17</v>
      </c>
      <c r="I256" s="272">
        <f t="shared" si="47"/>
        <v>0.62918926398802832</v>
      </c>
      <c r="J256" s="272">
        <f t="shared" si="38"/>
        <v>42.739572400766441</v>
      </c>
      <c r="K256" s="271">
        <f t="shared" si="39"/>
        <v>2.2383305629330327E-15</v>
      </c>
      <c r="L256" s="271">
        <f t="shared" si="44"/>
        <v>42.739572400766441</v>
      </c>
      <c r="M256" s="271"/>
      <c r="N256" s="271"/>
      <c r="O256" s="271"/>
    </row>
    <row r="257" spans="2:15" x14ac:dyDescent="0.25">
      <c r="B257">
        <v>224</v>
      </c>
      <c r="C257" s="272">
        <f t="shared" si="40"/>
        <v>3.2373301777298313E-17</v>
      </c>
      <c r="D257" s="272">
        <f t="shared" si="46"/>
        <v>0.62918926398802832</v>
      </c>
      <c r="E257" s="272">
        <f t="shared" si="36"/>
        <v>13.779461156686816</v>
      </c>
      <c r="F257" s="271">
        <f t="shared" si="37"/>
        <v>2.2383305629330327E-15</v>
      </c>
      <c r="G257" s="271">
        <f t="shared" si="42"/>
        <v>13.779461156686818</v>
      </c>
      <c r="H257" s="272">
        <f t="shared" si="45"/>
        <v>3.2373301777298313E-17</v>
      </c>
      <c r="I257" s="272">
        <f t="shared" si="47"/>
        <v>0.62918926398802832</v>
      </c>
      <c r="J257" s="272">
        <f t="shared" si="38"/>
        <v>42.739572400766441</v>
      </c>
      <c r="K257" s="271">
        <f t="shared" si="39"/>
        <v>2.2383305629330327E-15</v>
      </c>
      <c r="L257" s="271">
        <f t="shared" si="44"/>
        <v>42.739572400766441</v>
      </c>
      <c r="M257" s="271"/>
      <c r="N257" s="271"/>
      <c r="O257" s="271"/>
    </row>
    <row r="258" spans="2:15" x14ac:dyDescent="0.25">
      <c r="B258">
        <v>225</v>
      </c>
      <c r="C258" s="272">
        <f t="shared" si="40"/>
        <v>3.2373301777298313E-17</v>
      </c>
      <c r="D258" s="272">
        <f t="shared" si="46"/>
        <v>0.62918926398802832</v>
      </c>
      <c r="E258" s="272">
        <f t="shared" si="36"/>
        <v>13.779461156686871</v>
      </c>
      <c r="F258" s="271">
        <f t="shared" si="37"/>
        <v>2.2383305629330327E-15</v>
      </c>
      <c r="G258" s="271">
        <f t="shared" si="42"/>
        <v>13.779461156686873</v>
      </c>
      <c r="H258" s="272">
        <f t="shared" si="45"/>
        <v>3.2373301777298313E-17</v>
      </c>
      <c r="I258" s="272">
        <f t="shared" si="47"/>
        <v>0.62918926398802832</v>
      </c>
      <c r="J258" s="272">
        <f t="shared" si="38"/>
        <v>42.739572400766441</v>
      </c>
      <c r="K258" s="271">
        <f t="shared" si="39"/>
        <v>2.2383305629330327E-15</v>
      </c>
      <c r="L258" s="271">
        <f t="shared" si="44"/>
        <v>42.739572400766441</v>
      </c>
      <c r="M258" s="271"/>
      <c r="N258" s="271"/>
      <c r="O258" s="271"/>
    </row>
    <row r="259" spans="2:15" x14ac:dyDescent="0.25">
      <c r="B259">
        <v>226</v>
      </c>
      <c r="C259" s="272">
        <f t="shared" si="40"/>
        <v>3.2373301777298313E-17</v>
      </c>
      <c r="D259" s="272">
        <f t="shared" si="46"/>
        <v>0.62918926398802832</v>
      </c>
      <c r="E259" s="272">
        <f t="shared" si="36"/>
        <v>13.779461156686926</v>
      </c>
      <c r="F259" s="271">
        <f t="shared" si="37"/>
        <v>2.2383305629330327E-15</v>
      </c>
      <c r="G259" s="271">
        <f t="shared" si="42"/>
        <v>13.779461156686928</v>
      </c>
      <c r="H259" s="272">
        <f t="shared" si="45"/>
        <v>3.2373301777298313E-17</v>
      </c>
      <c r="I259" s="272">
        <f t="shared" si="47"/>
        <v>0.62918926398802832</v>
      </c>
      <c r="J259" s="272">
        <f t="shared" si="38"/>
        <v>42.739572400766441</v>
      </c>
      <c r="K259" s="271">
        <f t="shared" si="39"/>
        <v>2.2383305629330327E-15</v>
      </c>
      <c r="L259" s="271">
        <f t="shared" si="44"/>
        <v>42.739572400766441</v>
      </c>
      <c r="M259" s="271"/>
      <c r="N259" s="271"/>
      <c r="O259" s="271"/>
    </row>
    <row r="260" spans="2:15" x14ac:dyDescent="0.25">
      <c r="B260">
        <v>227</v>
      </c>
      <c r="C260" s="272">
        <f t="shared" si="40"/>
        <v>3.2373301777298313E-17</v>
      </c>
      <c r="D260" s="272">
        <f t="shared" si="46"/>
        <v>0.62918926398802832</v>
      </c>
      <c r="E260" s="272">
        <f t="shared" si="36"/>
        <v>13.779461156686981</v>
      </c>
      <c r="F260" s="271">
        <f t="shared" si="37"/>
        <v>2.2383305629330327E-15</v>
      </c>
      <c r="G260" s="271">
        <f t="shared" si="42"/>
        <v>13.779461156686983</v>
      </c>
      <c r="H260" s="272">
        <f t="shared" si="45"/>
        <v>3.2373301777298313E-17</v>
      </c>
      <c r="I260" s="272">
        <f t="shared" si="47"/>
        <v>0.62918926398802832</v>
      </c>
      <c r="J260" s="272">
        <f t="shared" si="38"/>
        <v>42.739572400766441</v>
      </c>
      <c r="K260" s="271">
        <f t="shared" si="39"/>
        <v>2.2383305629330327E-15</v>
      </c>
      <c r="L260" s="271">
        <f t="shared" si="44"/>
        <v>42.739572400766441</v>
      </c>
      <c r="M260" s="271"/>
      <c r="N260" s="271"/>
      <c r="O260" s="271"/>
    </row>
    <row r="261" spans="2:15" x14ac:dyDescent="0.25">
      <c r="B261">
        <v>228</v>
      </c>
      <c r="C261" s="272">
        <f t="shared" si="40"/>
        <v>3.2373301777298313E-17</v>
      </c>
      <c r="D261" s="272">
        <f t="shared" si="46"/>
        <v>0.62918926398802832</v>
      </c>
      <c r="E261" s="272">
        <f t="shared" si="36"/>
        <v>13.779461156687036</v>
      </c>
      <c r="F261" s="271">
        <f t="shared" si="37"/>
        <v>2.2383305629330327E-15</v>
      </c>
      <c r="G261" s="271">
        <f t="shared" si="42"/>
        <v>13.779461156687038</v>
      </c>
      <c r="H261" s="272">
        <f t="shared" si="45"/>
        <v>3.2373301777298313E-17</v>
      </c>
      <c r="I261" s="272">
        <f t="shared" si="47"/>
        <v>0.62918926398802832</v>
      </c>
      <c r="J261" s="272">
        <f t="shared" si="38"/>
        <v>42.739572400766441</v>
      </c>
      <c r="K261" s="271">
        <f t="shared" si="39"/>
        <v>2.2383305629330327E-15</v>
      </c>
      <c r="L261" s="271">
        <f t="shared" si="44"/>
        <v>42.739572400766441</v>
      </c>
      <c r="M261" s="271"/>
      <c r="N261" s="271"/>
      <c r="O261" s="271"/>
    </row>
    <row r="262" spans="2:15" x14ac:dyDescent="0.25">
      <c r="B262">
        <v>229</v>
      </c>
      <c r="C262" s="272">
        <f t="shared" si="40"/>
        <v>3.2373301777298313E-17</v>
      </c>
      <c r="D262" s="272">
        <f t="shared" si="46"/>
        <v>0.62918926398802832</v>
      </c>
      <c r="E262" s="272">
        <f t="shared" si="36"/>
        <v>13.779461156687091</v>
      </c>
      <c r="F262" s="271">
        <f t="shared" si="37"/>
        <v>2.2383305629330327E-15</v>
      </c>
      <c r="G262" s="271">
        <f t="shared" si="42"/>
        <v>13.779461156687093</v>
      </c>
      <c r="H262" s="272">
        <f t="shared" si="45"/>
        <v>3.2373301777298313E-17</v>
      </c>
      <c r="I262" s="272">
        <f t="shared" si="47"/>
        <v>0.62918926398802832</v>
      </c>
      <c r="J262" s="272">
        <f t="shared" si="38"/>
        <v>42.739572400766441</v>
      </c>
      <c r="K262" s="271">
        <f t="shared" si="39"/>
        <v>2.2383305629330327E-15</v>
      </c>
      <c r="L262" s="271">
        <f t="shared" si="44"/>
        <v>42.739572400766441</v>
      </c>
      <c r="M262" s="271"/>
      <c r="N262" s="271"/>
      <c r="O262" s="271"/>
    </row>
    <row r="263" spans="2:15" x14ac:dyDescent="0.25">
      <c r="B263">
        <v>230</v>
      </c>
      <c r="C263" s="272">
        <f t="shared" si="40"/>
        <v>3.2373301777298313E-17</v>
      </c>
      <c r="D263" s="272">
        <f t="shared" si="46"/>
        <v>0.62918926398802832</v>
      </c>
      <c r="E263" s="272">
        <f t="shared" si="36"/>
        <v>13.779461156687146</v>
      </c>
      <c r="F263" s="271">
        <f t="shared" si="37"/>
        <v>2.2383305629330327E-15</v>
      </c>
      <c r="G263" s="271">
        <f t="shared" si="42"/>
        <v>13.779461156687148</v>
      </c>
      <c r="H263" s="272">
        <f t="shared" si="45"/>
        <v>3.2373301777298313E-17</v>
      </c>
      <c r="I263" s="272">
        <f t="shared" si="47"/>
        <v>0.62918926398802832</v>
      </c>
      <c r="J263" s="272">
        <f t="shared" si="38"/>
        <v>42.739572400766441</v>
      </c>
      <c r="K263" s="271">
        <f t="shared" si="39"/>
        <v>2.2383305629330327E-15</v>
      </c>
      <c r="L263" s="271">
        <f t="shared" si="44"/>
        <v>42.739572400766441</v>
      </c>
      <c r="M263" s="271"/>
      <c r="N263" s="271"/>
      <c r="O263" s="271"/>
    </row>
    <row r="264" spans="2:15" x14ac:dyDescent="0.25">
      <c r="B264">
        <v>231</v>
      </c>
      <c r="C264" s="272">
        <f t="shared" si="40"/>
        <v>3.2373301777298313E-17</v>
      </c>
      <c r="D264" s="272">
        <f t="shared" si="46"/>
        <v>0.62918926398802832</v>
      </c>
      <c r="E264" s="272">
        <f t="shared" si="36"/>
        <v>13.779461156687201</v>
      </c>
      <c r="F264" s="271">
        <f t="shared" si="37"/>
        <v>2.2383305629330327E-15</v>
      </c>
      <c r="G264" s="271">
        <f t="shared" si="42"/>
        <v>13.779461156687203</v>
      </c>
      <c r="H264" s="272">
        <f t="shared" si="45"/>
        <v>3.2373301777298313E-17</v>
      </c>
      <c r="I264" s="272">
        <f t="shared" si="47"/>
        <v>0.62918926398802832</v>
      </c>
      <c r="J264" s="272">
        <f t="shared" si="38"/>
        <v>42.739572400766441</v>
      </c>
      <c r="K264" s="271">
        <f t="shared" si="39"/>
        <v>2.2383305629330327E-15</v>
      </c>
      <c r="L264" s="271">
        <f t="shared" si="44"/>
        <v>42.739572400766441</v>
      </c>
      <c r="M264" s="271"/>
      <c r="N264" s="271"/>
      <c r="O264" s="271"/>
    </row>
    <row r="265" spans="2:15" x14ac:dyDescent="0.25">
      <c r="B265">
        <v>232</v>
      </c>
      <c r="C265" s="272">
        <f t="shared" si="40"/>
        <v>3.2373301777298313E-17</v>
      </c>
      <c r="D265" s="272">
        <f t="shared" si="46"/>
        <v>0.62918926398802832</v>
      </c>
      <c r="E265" s="272">
        <f t="shared" si="36"/>
        <v>13.779461156687258</v>
      </c>
      <c r="F265" s="271">
        <f t="shared" si="37"/>
        <v>2.2383305629330327E-15</v>
      </c>
      <c r="G265" s="271">
        <f t="shared" si="42"/>
        <v>13.77946115668726</v>
      </c>
      <c r="H265" s="272">
        <f t="shared" si="45"/>
        <v>3.2373301777298313E-17</v>
      </c>
      <c r="I265" s="272">
        <f t="shared" si="47"/>
        <v>0.62918926398802832</v>
      </c>
      <c r="J265" s="272">
        <f t="shared" si="38"/>
        <v>42.739572400766441</v>
      </c>
      <c r="K265" s="271">
        <f t="shared" si="39"/>
        <v>2.2383305629330327E-15</v>
      </c>
      <c r="L265" s="271">
        <f t="shared" si="44"/>
        <v>42.739572400766441</v>
      </c>
      <c r="M265" s="271"/>
      <c r="N265" s="271"/>
      <c r="O265" s="271"/>
    </row>
    <row r="266" spans="2:15" x14ac:dyDescent="0.25">
      <c r="B266">
        <v>233</v>
      </c>
      <c r="C266" s="272">
        <f t="shared" si="40"/>
        <v>3.2373301777298313E-17</v>
      </c>
      <c r="D266" s="272">
        <f t="shared" si="46"/>
        <v>0.62918926398802832</v>
      </c>
      <c r="E266" s="272">
        <f t="shared" si="36"/>
        <v>13.779461156687315</v>
      </c>
      <c r="F266" s="271">
        <f t="shared" si="37"/>
        <v>2.2383305629330327E-15</v>
      </c>
      <c r="G266" s="271">
        <f t="shared" si="42"/>
        <v>13.779461156687317</v>
      </c>
      <c r="H266" s="272">
        <f t="shared" si="45"/>
        <v>3.2373301777298313E-17</v>
      </c>
      <c r="I266" s="272">
        <f t="shared" si="47"/>
        <v>0.62918926398802832</v>
      </c>
      <c r="J266" s="272">
        <f t="shared" si="38"/>
        <v>42.739572400766441</v>
      </c>
      <c r="K266" s="271">
        <f t="shared" si="39"/>
        <v>2.2383305629330327E-15</v>
      </c>
      <c r="L266" s="271">
        <f t="shared" si="44"/>
        <v>42.739572400766441</v>
      </c>
      <c r="M266" s="271"/>
      <c r="N266" s="271"/>
      <c r="O266" s="271"/>
    </row>
    <row r="267" spans="2:15" x14ac:dyDescent="0.25">
      <c r="B267">
        <v>234</v>
      </c>
      <c r="C267" s="272">
        <f t="shared" si="40"/>
        <v>3.2373301777298313E-17</v>
      </c>
      <c r="D267" s="272">
        <f t="shared" si="46"/>
        <v>0.62918926398802832</v>
      </c>
      <c r="E267" s="272">
        <f t="shared" si="36"/>
        <v>13.779461156687372</v>
      </c>
      <c r="F267" s="271">
        <f t="shared" si="37"/>
        <v>2.2383305629330327E-15</v>
      </c>
      <c r="G267" s="271">
        <f t="shared" si="42"/>
        <v>13.779461156687374</v>
      </c>
      <c r="H267" s="272">
        <f t="shared" si="45"/>
        <v>3.2373301777298313E-17</v>
      </c>
      <c r="I267" s="272">
        <f t="shared" si="47"/>
        <v>0.62918926398802832</v>
      </c>
      <c r="J267" s="272">
        <f t="shared" si="38"/>
        <v>42.739572400766441</v>
      </c>
      <c r="K267" s="271">
        <f t="shared" si="39"/>
        <v>2.2383305629330327E-15</v>
      </c>
      <c r="L267" s="271">
        <f t="shared" si="44"/>
        <v>42.739572400766441</v>
      </c>
      <c r="M267" s="271"/>
      <c r="N267" s="271"/>
      <c r="O267" s="271"/>
    </row>
    <row r="268" spans="2:15" x14ac:dyDescent="0.25">
      <c r="B268">
        <v>235</v>
      </c>
      <c r="C268" s="272">
        <f t="shared" si="40"/>
        <v>3.2373301777298313E-17</v>
      </c>
      <c r="D268" s="272">
        <f t="shared" si="46"/>
        <v>0.62918926398802832</v>
      </c>
      <c r="E268" s="272">
        <f t="shared" si="36"/>
        <v>13.779461156687429</v>
      </c>
      <c r="F268" s="271">
        <f t="shared" si="37"/>
        <v>2.2383305629330327E-15</v>
      </c>
      <c r="G268" s="271">
        <f t="shared" si="42"/>
        <v>13.779461156687431</v>
      </c>
      <c r="H268" s="272">
        <f t="shared" si="45"/>
        <v>3.2373301777298313E-17</v>
      </c>
      <c r="I268" s="272">
        <f t="shared" si="47"/>
        <v>0.62918926398802832</v>
      </c>
      <c r="J268" s="272">
        <f t="shared" si="38"/>
        <v>42.739572400766441</v>
      </c>
      <c r="K268" s="271">
        <f t="shared" si="39"/>
        <v>2.2383305629330327E-15</v>
      </c>
      <c r="L268" s="271">
        <f t="shared" si="44"/>
        <v>42.739572400766441</v>
      </c>
      <c r="M268" s="271"/>
      <c r="N268" s="271"/>
      <c r="O268" s="271"/>
    </row>
    <row r="269" spans="2:15" x14ac:dyDescent="0.25">
      <c r="B269">
        <v>236</v>
      </c>
      <c r="C269" s="272">
        <f t="shared" si="40"/>
        <v>3.2373301777298313E-17</v>
      </c>
      <c r="D269" s="272">
        <f t="shared" si="46"/>
        <v>0.62918926398802832</v>
      </c>
      <c r="E269" s="272">
        <f t="shared" si="36"/>
        <v>13.779461156687486</v>
      </c>
      <c r="F269" s="271">
        <f t="shared" si="37"/>
        <v>2.2383305629330327E-15</v>
      </c>
      <c r="G269" s="271">
        <f t="shared" si="42"/>
        <v>13.779461156687487</v>
      </c>
      <c r="H269" s="272">
        <f t="shared" si="45"/>
        <v>3.2373301777298313E-17</v>
      </c>
      <c r="I269" s="272">
        <f t="shared" si="47"/>
        <v>0.62918926398802832</v>
      </c>
      <c r="J269" s="272">
        <f t="shared" si="38"/>
        <v>42.739572400766441</v>
      </c>
      <c r="K269" s="271">
        <f t="shared" si="39"/>
        <v>2.2383305629330327E-15</v>
      </c>
      <c r="L269" s="271">
        <f t="shared" si="44"/>
        <v>42.739572400766441</v>
      </c>
      <c r="M269" s="271"/>
      <c r="N269" s="271"/>
      <c r="O269" s="271"/>
    </row>
    <row r="270" spans="2:15" x14ac:dyDescent="0.25">
      <c r="B270">
        <v>237</v>
      </c>
      <c r="C270" s="272">
        <f t="shared" si="40"/>
        <v>3.2373301777298313E-17</v>
      </c>
      <c r="D270" s="272">
        <f t="shared" si="46"/>
        <v>0.62918926398802832</v>
      </c>
      <c r="E270" s="272">
        <f t="shared" si="36"/>
        <v>13.779461156687542</v>
      </c>
      <c r="F270" s="271">
        <f t="shared" si="37"/>
        <v>2.2383305629330327E-15</v>
      </c>
      <c r="G270" s="271">
        <f t="shared" si="42"/>
        <v>13.779461156687544</v>
      </c>
      <c r="H270" s="272">
        <f t="shared" si="45"/>
        <v>3.2373301777298313E-17</v>
      </c>
      <c r="I270" s="272">
        <f t="shared" si="47"/>
        <v>0.62918926398802832</v>
      </c>
      <c r="J270" s="272">
        <f t="shared" si="38"/>
        <v>42.739572400766441</v>
      </c>
      <c r="K270" s="271">
        <f t="shared" si="39"/>
        <v>2.2383305629330327E-15</v>
      </c>
      <c r="L270" s="271">
        <f t="shared" si="44"/>
        <v>42.739572400766441</v>
      </c>
      <c r="M270" s="271"/>
      <c r="N270" s="271"/>
      <c r="O270" s="271"/>
    </row>
    <row r="271" spans="2:15" x14ac:dyDescent="0.25">
      <c r="B271">
        <v>238</v>
      </c>
      <c r="C271" s="272">
        <f t="shared" si="40"/>
        <v>3.2373301777298313E-17</v>
      </c>
      <c r="D271" s="272">
        <f t="shared" si="46"/>
        <v>0.62918926398802832</v>
      </c>
      <c r="E271" s="272">
        <f t="shared" si="36"/>
        <v>13.779461156687599</v>
      </c>
      <c r="F271" s="271">
        <f t="shared" si="37"/>
        <v>2.2383305629330327E-15</v>
      </c>
      <c r="G271" s="271">
        <f t="shared" si="42"/>
        <v>13.779461156687601</v>
      </c>
      <c r="H271" s="272">
        <f t="shared" si="45"/>
        <v>3.2373301777298313E-17</v>
      </c>
      <c r="I271" s="272">
        <f t="shared" si="47"/>
        <v>0.62918926398802832</v>
      </c>
      <c r="J271" s="272">
        <f t="shared" si="38"/>
        <v>42.739572400766441</v>
      </c>
      <c r="K271" s="271">
        <f t="shared" si="39"/>
        <v>2.2383305629330327E-15</v>
      </c>
      <c r="L271" s="271">
        <f t="shared" si="44"/>
        <v>42.739572400766441</v>
      </c>
      <c r="M271" s="271"/>
      <c r="N271" s="271"/>
      <c r="O271" s="271"/>
    </row>
    <row r="272" spans="2:15" x14ac:dyDescent="0.25">
      <c r="B272">
        <v>239</v>
      </c>
      <c r="C272" s="272">
        <f t="shared" si="40"/>
        <v>3.2373301777298313E-17</v>
      </c>
      <c r="D272" s="272">
        <f t="shared" si="46"/>
        <v>0.62918926398802832</v>
      </c>
      <c r="E272" s="272">
        <f t="shared" si="36"/>
        <v>13.779461156687656</v>
      </c>
      <c r="F272" s="271">
        <f t="shared" si="37"/>
        <v>2.2383305629330327E-15</v>
      </c>
      <c r="G272" s="271">
        <f t="shared" si="42"/>
        <v>13.779461156687658</v>
      </c>
      <c r="H272" s="272">
        <f t="shared" si="45"/>
        <v>3.2373301777298313E-17</v>
      </c>
      <c r="I272" s="272">
        <f t="shared" si="47"/>
        <v>0.62918926398802832</v>
      </c>
      <c r="J272" s="272">
        <f t="shared" si="38"/>
        <v>42.739572400766441</v>
      </c>
      <c r="K272" s="271">
        <f t="shared" si="39"/>
        <v>2.2383305629330327E-15</v>
      </c>
      <c r="L272" s="271">
        <f t="shared" si="44"/>
        <v>42.739572400766441</v>
      </c>
      <c r="M272" s="271"/>
      <c r="N272" s="271"/>
      <c r="O272" s="271"/>
    </row>
    <row r="273" spans="2:15" x14ac:dyDescent="0.25">
      <c r="B273">
        <v>240</v>
      </c>
      <c r="C273" s="272">
        <f t="shared" si="40"/>
        <v>3.2373301777298313E-17</v>
      </c>
      <c r="D273" s="272">
        <f t="shared" si="46"/>
        <v>0.62918926398802832</v>
      </c>
      <c r="E273" s="272">
        <f t="shared" si="36"/>
        <v>13.779461156687715</v>
      </c>
      <c r="F273" s="271">
        <f t="shared" si="37"/>
        <v>2.2383305629330327E-15</v>
      </c>
      <c r="G273" s="271">
        <f t="shared" si="42"/>
        <v>13.779461156687717</v>
      </c>
      <c r="H273" s="272">
        <f t="shared" si="45"/>
        <v>3.2373301777298313E-17</v>
      </c>
      <c r="I273" s="272">
        <f t="shared" si="47"/>
        <v>0.62918926398802832</v>
      </c>
      <c r="J273" s="272">
        <f t="shared" si="38"/>
        <v>42.739572400766441</v>
      </c>
      <c r="K273" s="271">
        <f t="shared" si="39"/>
        <v>2.2383305629330327E-15</v>
      </c>
      <c r="L273" s="271">
        <f t="shared" si="44"/>
        <v>42.739572400766441</v>
      </c>
      <c r="M273" s="271"/>
      <c r="N273" s="271"/>
      <c r="O273" s="271"/>
    </row>
    <row r="274" spans="2:15" x14ac:dyDescent="0.25">
      <c r="B274">
        <v>241</v>
      </c>
      <c r="C274" s="272">
        <f t="shared" si="40"/>
        <v>3.2373301777298313E-17</v>
      </c>
      <c r="D274" s="272">
        <f t="shared" si="46"/>
        <v>0.62918926398802832</v>
      </c>
      <c r="E274" s="272">
        <f t="shared" si="36"/>
        <v>13.779461156687773</v>
      </c>
      <c r="F274" s="271">
        <f t="shared" si="37"/>
        <v>2.2383305629330327E-15</v>
      </c>
      <c r="G274" s="271">
        <f t="shared" si="42"/>
        <v>13.779461156687775</v>
      </c>
      <c r="H274" s="272">
        <f t="shared" si="45"/>
        <v>3.2373301777298313E-17</v>
      </c>
      <c r="I274" s="272">
        <f t="shared" si="47"/>
        <v>0.62918926398802832</v>
      </c>
      <c r="J274" s="272">
        <f t="shared" si="38"/>
        <v>42.739572400766441</v>
      </c>
      <c r="K274" s="271">
        <f t="shared" si="39"/>
        <v>2.2383305629330327E-15</v>
      </c>
      <c r="L274" s="271">
        <f t="shared" si="44"/>
        <v>42.739572400766441</v>
      </c>
      <c r="M274" s="271"/>
      <c r="N274" s="271"/>
      <c r="O274" s="271"/>
    </row>
    <row r="275" spans="2:15" x14ac:dyDescent="0.25">
      <c r="B275">
        <v>242</v>
      </c>
      <c r="C275" s="272">
        <f t="shared" si="40"/>
        <v>3.2373301777298313E-17</v>
      </c>
      <c r="D275" s="272">
        <f t="shared" si="46"/>
        <v>0.62918926398802832</v>
      </c>
      <c r="E275" s="272">
        <f t="shared" si="36"/>
        <v>13.779461156687832</v>
      </c>
      <c r="F275" s="271">
        <f t="shared" si="37"/>
        <v>2.2383305629330327E-15</v>
      </c>
      <c r="G275" s="271">
        <f t="shared" si="42"/>
        <v>13.779461156687834</v>
      </c>
      <c r="H275" s="272">
        <f t="shared" si="45"/>
        <v>3.2373301777298313E-17</v>
      </c>
      <c r="I275" s="272">
        <f t="shared" si="47"/>
        <v>0.62918926398802832</v>
      </c>
      <c r="J275" s="272">
        <f t="shared" si="38"/>
        <v>42.739572400766441</v>
      </c>
      <c r="K275" s="271">
        <f t="shared" si="39"/>
        <v>2.2383305629330327E-15</v>
      </c>
      <c r="L275" s="271">
        <f t="shared" si="44"/>
        <v>42.739572400766441</v>
      </c>
      <c r="M275" s="271"/>
      <c r="N275" s="271"/>
      <c r="O275" s="271"/>
    </row>
    <row r="276" spans="2:15" x14ac:dyDescent="0.25">
      <c r="B276">
        <v>243</v>
      </c>
      <c r="C276" s="272">
        <f t="shared" si="40"/>
        <v>3.2373301777298313E-17</v>
      </c>
      <c r="D276" s="272">
        <f t="shared" si="46"/>
        <v>0.62918926398802832</v>
      </c>
      <c r="E276" s="272">
        <f t="shared" si="36"/>
        <v>13.779461156687891</v>
      </c>
      <c r="F276" s="271">
        <f t="shared" si="37"/>
        <v>2.2383305629330327E-15</v>
      </c>
      <c r="G276" s="271">
        <f t="shared" si="42"/>
        <v>13.779461156687892</v>
      </c>
      <c r="H276" s="272">
        <f t="shared" si="45"/>
        <v>3.2373301777298313E-17</v>
      </c>
      <c r="I276" s="272">
        <f t="shared" si="47"/>
        <v>0.62918926398802832</v>
      </c>
      <c r="J276" s="272">
        <f t="shared" si="38"/>
        <v>42.739572400766441</v>
      </c>
      <c r="K276" s="271">
        <f t="shared" si="39"/>
        <v>2.2383305629330327E-15</v>
      </c>
      <c r="L276" s="271">
        <f t="shared" si="44"/>
        <v>42.739572400766441</v>
      </c>
      <c r="M276" s="271"/>
      <c r="N276" s="271"/>
      <c r="O276" s="271"/>
    </row>
    <row r="277" spans="2:15" x14ac:dyDescent="0.25">
      <c r="B277">
        <v>244</v>
      </c>
      <c r="C277" s="272">
        <f t="shared" si="40"/>
        <v>3.2373301777298313E-17</v>
      </c>
      <c r="D277" s="272">
        <f t="shared" si="46"/>
        <v>0.62918926398802832</v>
      </c>
      <c r="E277" s="272">
        <f t="shared" si="36"/>
        <v>13.779461156687949</v>
      </c>
      <c r="F277" s="271">
        <f t="shared" si="37"/>
        <v>2.2383305629330327E-15</v>
      </c>
      <c r="G277" s="271">
        <f t="shared" si="42"/>
        <v>13.779461156687951</v>
      </c>
      <c r="H277" s="272">
        <f t="shared" si="45"/>
        <v>3.2373301777298313E-17</v>
      </c>
      <c r="I277" s="272">
        <f t="shared" si="47"/>
        <v>0.62918926398802832</v>
      </c>
      <c r="J277" s="272">
        <f t="shared" si="38"/>
        <v>42.739572400766441</v>
      </c>
      <c r="K277" s="271">
        <f t="shared" si="39"/>
        <v>2.2383305629330327E-15</v>
      </c>
      <c r="L277" s="271">
        <f t="shared" si="44"/>
        <v>42.739572400766441</v>
      </c>
      <c r="M277" s="271"/>
      <c r="N277" s="271"/>
      <c r="O277" s="271"/>
    </row>
    <row r="278" spans="2:15" x14ac:dyDescent="0.25">
      <c r="B278">
        <v>245</v>
      </c>
      <c r="C278" s="272">
        <f t="shared" si="40"/>
        <v>3.2373301777298313E-17</v>
      </c>
      <c r="D278" s="272">
        <f t="shared" si="46"/>
        <v>0.62918926398802832</v>
      </c>
      <c r="E278" s="272">
        <f t="shared" si="36"/>
        <v>13.779461156688008</v>
      </c>
      <c r="F278" s="271">
        <f t="shared" si="37"/>
        <v>2.2383305629330327E-15</v>
      </c>
      <c r="G278" s="271">
        <f t="shared" si="42"/>
        <v>13.77946115668801</v>
      </c>
      <c r="H278" s="272">
        <f t="shared" si="45"/>
        <v>3.2373301777298313E-17</v>
      </c>
      <c r="I278" s="272">
        <f t="shared" si="47"/>
        <v>0.62918926398802832</v>
      </c>
      <c r="J278" s="272">
        <f t="shared" si="38"/>
        <v>42.739572400766441</v>
      </c>
      <c r="K278" s="271">
        <f t="shared" si="39"/>
        <v>2.2383305629330327E-15</v>
      </c>
      <c r="L278" s="271">
        <f t="shared" si="44"/>
        <v>42.739572400766441</v>
      </c>
      <c r="M278" s="271"/>
      <c r="N278" s="271"/>
      <c r="O278" s="271"/>
    </row>
    <row r="279" spans="2:15" x14ac:dyDescent="0.25">
      <c r="B279">
        <v>246</v>
      </c>
      <c r="C279" s="272">
        <f t="shared" si="40"/>
        <v>3.2373301777298313E-17</v>
      </c>
      <c r="D279" s="272">
        <f t="shared" si="46"/>
        <v>0.62918926398802832</v>
      </c>
      <c r="E279" s="272">
        <f t="shared" si="36"/>
        <v>13.779461156688066</v>
      </c>
      <c r="F279" s="271">
        <f t="shared" si="37"/>
        <v>2.2383305629330327E-15</v>
      </c>
      <c r="G279" s="271">
        <f t="shared" si="42"/>
        <v>13.779461156688068</v>
      </c>
      <c r="H279" s="272">
        <f t="shared" si="45"/>
        <v>3.2373301777298313E-17</v>
      </c>
      <c r="I279" s="272">
        <f t="shared" si="47"/>
        <v>0.62918926398802832</v>
      </c>
      <c r="J279" s="272">
        <f t="shared" si="38"/>
        <v>42.739572400766441</v>
      </c>
      <c r="K279" s="271">
        <f t="shared" si="39"/>
        <v>2.2383305629330327E-15</v>
      </c>
      <c r="L279" s="271">
        <f t="shared" si="44"/>
        <v>42.739572400766441</v>
      </c>
      <c r="M279" s="271"/>
      <c r="N279" s="271"/>
      <c r="O279" s="271"/>
    </row>
    <row r="280" spans="2:15" x14ac:dyDescent="0.25">
      <c r="B280">
        <v>247</v>
      </c>
      <c r="C280" s="272">
        <f t="shared" si="40"/>
        <v>3.2373301777298313E-17</v>
      </c>
      <c r="D280" s="272">
        <f t="shared" si="46"/>
        <v>0.62918926398802832</v>
      </c>
      <c r="E280" s="272">
        <f t="shared" si="36"/>
        <v>13.779461156688127</v>
      </c>
      <c r="F280" s="271">
        <f t="shared" si="37"/>
        <v>2.2383305629330327E-15</v>
      </c>
      <c r="G280" s="271">
        <f t="shared" si="42"/>
        <v>13.779461156688129</v>
      </c>
      <c r="H280" s="272">
        <f t="shared" si="45"/>
        <v>3.2373301777298313E-17</v>
      </c>
      <c r="I280" s="272">
        <f t="shared" si="47"/>
        <v>0.62918926398802832</v>
      </c>
      <c r="J280" s="272">
        <f t="shared" si="38"/>
        <v>42.739572400766441</v>
      </c>
      <c r="K280" s="271">
        <f t="shared" si="39"/>
        <v>2.2383305629330327E-15</v>
      </c>
      <c r="L280" s="271">
        <f t="shared" si="44"/>
        <v>42.739572400766441</v>
      </c>
      <c r="M280" s="271"/>
      <c r="N280" s="271"/>
      <c r="O280" s="271"/>
    </row>
    <row r="281" spans="2:15" x14ac:dyDescent="0.25">
      <c r="B281">
        <v>248</v>
      </c>
      <c r="C281" s="272">
        <f t="shared" si="40"/>
        <v>3.2373301777298313E-17</v>
      </c>
      <c r="D281" s="272">
        <f t="shared" si="46"/>
        <v>0.62918926398802832</v>
      </c>
      <c r="E281" s="272">
        <f t="shared" si="36"/>
        <v>13.779461156688187</v>
      </c>
      <c r="F281" s="271">
        <f t="shared" si="37"/>
        <v>2.2383305629330327E-15</v>
      </c>
      <c r="G281" s="271">
        <f t="shared" si="42"/>
        <v>13.779461156688189</v>
      </c>
      <c r="H281" s="272">
        <f t="shared" si="45"/>
        <v>3.2373301777298313E-17</v>
      </c>
      <c r="I281" s="272">
        <f t="shared" si="47"/>
        <v>0.62918926398802832</v>
      </c>
      <c r="J281" s="272">
        <f t="shared" si="38"/>
        <v>42.739572400766441</v>
      </c>
      <c r="K281" s="271">
        <f t="shared" si="39"/>
        <v>2.2383305629330327E-15</v>
      </c>
      <c r="L281" s="271">
        <f t="shared" si="44"/>
        <v>42.739572400766441</v>
      </c>
      <c r="M281" s="271"/>
      <c r="N281" s="271"/>
      <c r="O281" s="271"/>
    </row>
    <row r="282" spans="2:15" x14ac:dyDescent="0.25">
      <c r="B282">
        <v>249</v>
      </c>
      <c r="C282" s="272">
        <f t="shared" si="40"/>
        <v>3.2373301777298313E-17</v>
      </c>
      <c r="D282" s="272">
        <f t="shared" si="46"/>
        <v>0.62918926398802832</v>
      </c>
      <c r="E282" s="272">
        <f t="shared" si="36"/>
        <v>13.779461156688248</v>
      </c>
      <c r="F282" s="271">
        <f t="shared" si="37"/>
        <v>2.2383305629330327E-15</v>
      </c>
      <c r="G282" s="271">
        <f t="shared" si="42"/>
        <v>13.779461156688249</v>
      </c>
      <c r="H282" s="272">
        <f t="shared" si="45"/>
        <v>3.2373301777298313E-17</v>
      </c>
      <c r="I282" s="272">
        <f t="shared" si="47"/>
        <v>0.62918926398802832</v>
      </c>
      <c r="J282" s="272">
        <f t="shared" si="38"/>
        <v>42.739572400766441</v>
      </c>
      <c r="K282" s="271">
        <f t="shared" si="39"/>
        <v>2.2383305629330327E-15</v>
      </c>
      <c r="L282" s="271">
        <f t="shared" si="44"/>
        <v>42.739572400766441</v>
      </c>
      <c r="M282" s="271"/>
      <c r="N282" s="271"/>
      <c r="O282" s="271"/>
    </row>
    <row r="283" spans="2:15" x14ac:dyDescent="0.25">
      <c r="B283">
        <v>250</v>
      </c>
      <c r="C283" s="272">
        <f t="shared" si="40"/>
        <v>3.2373301777298313E-17</v>
      </c>
      <c r="D283" s="272">
        <f t="shared" si="46"/>
        <v>0.62918926398802832</v>
      </c>
      <c r="E283" s="272">
        <f t="shared" si="36"/>
        <v>13.779461156688308</v>
      </c>
      <c r="F283" s="271">
        <f t="shared" si="37"/>
        <v>2.2383305629330327E-15</v>
      </c>
      <c r="G283" s="271">
        <f t="shared" si="42"/>
        <v>13.77946115668831</v>
      </c>
      <c r="H283" s="272">
        <f t="shared" si="45"/>
        <v>3.2373301777298313E-17</v>
      </c>
      <c r="I283" s="272">
        <f t="shared" si="47"/>
        <v>0.62918926398802832</v>
      </c>
      <c r="J283" s="272">
        <f t="shared" si="38"/>
        <v>42.739572400766441</v>
      </c>
      <c r="K283" s="271">
        <f t="shared" si="39"/>
        <v>2.2383305629330327E-15</v>
      </c>
      <c r="L283" s="271">
        <f t="shared" si="44"/>
        <v>42.739572400766441</v>
      </c>
      <c r="M283" s="271"/>
      <c r="N283" s="271"/>
      <c r="O283" s="271"/>
    </row>
    <row r="284" spans="2:15" x14ac:dyDescent="0.25">
      <c r="B284">
        <v>251</v>
      </c>
      <c r="C284" s="272">
        <f t="shared" si="40"/>
        <v>3.2373301777298313E-17</v>
      </c>
      <c r="D284" s="272">
        <f t="shared" si="46"/>
        <v>0.62918926398802832</v>
      </c>
      <c r="E284" s="272">
        <f t="shared" si="36"/>
        <v>13.779461156688368</v>
      </c>
      <c r="F284" s="271">
        <f t="shared" si="37"/>
        <v>2.2383305629330327E-15</v>
      </c>
      <c r="G284" s="271">
        <f t="shared" si="42"/>
        <v>13.77946115668837</v>
      </c>
      <c r="H284" s="272">
        <f t="shared" si="45"/>
        <v>3.2373301777298313E-17</v>
      </c>
      <c r="I284" s="272">
        <f t="shared" si="47"/>
        <v>0.62918926398802832</v>
      </c>
      <c r="J284" s="272">
        <f t="shared" si="38"/>
        <v>42.739572400766441</v>
      </c>
      <c r="K284" s="271">
        <f t="shared" si="39"/>
        <v>2.2383305629330327E-15</v>
      </c>
      <c r="L284" s="271">
        <f t="shared" si="44"/>
        <v>42.739572400766441</v>
      </c>
      <c r="M284" s="271"/>
      <c r="N284" s="271"/>
      <c r="O284" s="271"/>
    </row>
    <row r="285" spans="2:15" x14ac:dyDescent="0.25">
      <c r="B285">
        <v>252</v>
      </c>
      <c r="C285" s="272">
        <f t="shared" si="40"/>
        <v>3.2373301777298313E-17</v>
      </c>
      <c r="D285" s="272">
        <f t="shared" si="46"/>
        <v>0.62918926398802832</v>
      </c>
      <c r="E285" s="272">
        <f t="shared" si="36"/>
        <v>13.779461156688429</v>
      </c>
      <c r="F285" s="271">
        <f t="shared" si="37"/>
        <v>2.2383305629330327E-15</v>
      </c>
      <c r="G285" s="271">
        <f t="shared" si="42"/>
        <v>13.779461156688431</v>
      </c>
      <c r="H285" s="272">
        <f t="shared" si="45"/>
        <v>3.2373301777298313E-17</v>
      </c>
      <c r="I285" s="272">
        <f t="shared" si="47"/>
        <v>0.62918926398802832</v>
      </c>
      <c r="J285" s="272">
        <f t="shared" si="38"/>
        <v>42.739572400766441</v>
      </c>
      <c r="K285" s="271">
        <f t="shared" si="39"/>
        <v>2.2383305629330327E-15</v>
      </c>
      <c r="L285" s="271">
        <f t="shared" si="44"/>
        <v>42.739572400766441</v>
      </c>
      <c r="M285" s="271"/>
      <c r="N285" s="271"/>
      <c r="O285" s="271"/>
    </row>
    <row r="286" spans="2:15" x14ac:dyDescent="0.25">
      <c r="B286">
        <v>253</v>
      </c>
      <c r="C286" s="272">
        <f t="shared" si="40"/>
        <v>3.2373301777298313E-17</v>
      </c>
      <c r="D286" s="272">
        <f t="shared" si="46"/>
        <v>0.62918926398802832</v>
      </c>
      <c r="E286" s="272">
        <f t="shared" si="36"/>
        <v>13.779461156688489</v>
      </c>
      <c r="F286" s="271">
        <f t="shared" si="37"/>
        <v>2.2383305629330327E-15</v>
      </c>
      <c r="G286" s="271">
        <f t="shared" si="42"/>
        <v>13.779461156688491</v>
      </c>
      <c r="H286" s="272">
        <f t="shared" si="45"/>
        <v>3.2373301777298313E-17</v>
      </c>
      <c r="I286" s="272">
        <f t="shared" si="47"/>
        <v>0.62918926398802832</v>
      </c>
      <c r="J286" s="272">
        <f t="shared" si="38"/>
        <v>42.739572400766441</v>
      </c>
      <c r="K286" s="271">
        <f t="shared" si="39"/>
        <v>2.2383305629330327E-15</v>
      </c>
      <c r="L286" s="271">
        <f t="shared" si="44"/>
        <v>42.739572400766441</v>
      </c>
      <c r="M286" s="271"/>
      <c r="N286" s="271"/>
      <c r="O286" s="271"/>
    </row>
    <row r="287" spans="2:15" x14ac:dyDescent="0.25">
      <c r="B287">
        <v>254</v>
      </c>
      <c r="C287" s="272">
        <f t="shared" si="40"/>
        <v>3.2373301777298313E-17</v>
      </c>
      <c r="D287" s="272">
        <f t="shared" si="46"/>
        <v>0.62918926398802832</v>
      </c>
      <c r="E287" s="272">
        <f t="shared" si="36"/>
        <v>13.779461156688551</v>
      </c>
      <c r="F287" s="271">
        <f t="shared" si="37"/>
        <v>2.2383305629330327E-15</v>
      </c>
      <c r="G287" s="271">
        <f t="shared" si="42"/>
        <v>13.779461156688553</v>
      </c>
      <c r="H287" s="272">
        <f t="shared" si="45"/>
        <v>3.2373301777298313E-17</v>
      </c>
      <c r="I287" s="272">
        <f t="shared" si="47"/>
        <v>0.62918926398802832</v>
      </c>
      <c r="J287" s="272">
        <f t="shared" si="38"/>
        <v>42.739572400766441</v>
      </c>
      <c r="K287" s="271">
        <f t="shared" si="39"/>
        <v>2.2383305629330327E-15</v>
      </c>
      <c r="L287" s="271">
        <f t="shared" si="44"/>
        <v>42.739572400766441</v>
      </c>
      <c r="M287" s="271"/>
      <c r="N287" s="271"/>
      <c r="O287" s="271"/>
    </row>
    <row r="288" spans="2:15" x14ac:dyDescent="0.25">
      <c r="B288">
        <v>255</v>
      </c>
      <c r="C288" s="272">
        <f t="shared" si="40"/>
        <v>3.2373301777298313E-17</v>
      </c>
      <c r="D288" s="272">
        <f t="shared" si="46"/>
        <v>0.62918926398802832</v>
      </c>
      <c r="E288" s="272">
        <f t="shared" si="36"/>
        <v>13.779461156688614</v>
      </c>
      <c r="F288" s="271">
        <f t="shared" si="37"/>
        <v>2.2383305629330327E-15</v>
      </c>
      <c r="G288" s="271">
        <f t="shared" si="42"/>
        <v>13.779461156688615</v>
      </c>
      <c r="H288" s="272">
        <f t="shared" si="45"/>
        <v>3.2373301777298313E-17</v>
      </c>
      <c r="I288" s="272">
        <f t="shared" si="47"/>
        <v>0.62918926398802832</v>
      </c>
      <c r="J288" s="272">
        <f t="shared" si="38"/>
        <v>42.739572400766441</v>
      </c>
      <c r="K288" s="271">
        <f t="shared" si="39"/>
        <v>2.2383305629330327E-15</v>
      </c>
      <c r="L288" s="271">
        <f t="shared" si="44"/>
        <v>42.739572400766441</v>
      </c>
      <c r="M288" s="271"/>
      <c r="N288" s="271"/>
      <c r="O288" s="271"/>
    </row>
    <row r="289" spans="2:15" x14ac:dyDescent="0.25">
      <c r="B289">
        <v>256</v>
      </c>
      <c r="C289" s="272">
        <f t="shared" si="40"/>
        <v>3.2373301777298313E-17</v>
      </c>
      <c r="D289" s="272">
        <f t="shared" si="46"/>
        <v>0.62918926398802832</v>
      </c>
      <c r="E289" s="272">
        <f t="shared" ref="E289:E352" si="48">$D$28*(B289-0.5)*C289+E288</f>
        <v>13.779461156688676</v>
      </c>
      <c r="F289" s="271">
        <f t="shared" ref="F289:F352" si="49">($D$25-D289)*$D$27</f>
        <v>2.2383305629330327E-15</v>
      </c>
      <c r="G289" s="271">
        <f t="shared" si="42"/>
        <v>13.779461156688678</v>
      </c>
      <c r="H289" s="272">
        <f t="shared" si="45"/>
        <v>3.2373301777298313E-17</v>
      </c>
      <c r="I289" s="272">
        <f t="shared" si="47"/>
        <v>0.62918926398802832</v>
      </c>
      <c r="J289" s="272">
        <f t="shared" ref="J289:J352" si="50">$D$28*(G289-0.5)*H289+J288</f>
        <v>42.739572400766441</v>
      </c>
      <c r="K289" s="271">
        <f t="shared" ref="K289:K352" si="51">($D$25-I289)*$D$27</f>
        <v>2.2383305629330327E-15</v>
      </c>
      <c r="L289" s="271">
        <f t="shared" si="44"/>
        <v>42.739572400766441</v>
      </c>
      <c r="M289" s="271"/>
      <c r="N289" s="271"/>
      <c r="O289" s="271"/>
    </row>
    <row r="290" spans="2:15" x14ac:dyDescent="0.25">
      <c r="B290">
        <v>257</v>
      </c>
      <c r="C290" s="272">
        <f t="shared" ref="C290:C353" si="52">($D$25-D289)*(((2*$D$24*(1-$D$24)*$D$11)+($D$24^2 * $D$11^2))/$D$25)</f>
        <v>3.2373301777298313E-17</v>
      </c>
      <c r="D290" s="272">
        <f t="shared" si="46"/>
        <v>0.62918926398802832</v>
      </c>
      <c r="E290" s="272">
        <f t="shared" si="48"/>
        <v>13.779461156688738</v>
      </c>
      <c r="F290" s="271">
        <f t="shared" si="49"/>
        <v>2.2383305629330327E-15</v>
      </c>
      <c r="G290" s="271">
        <f t="shared" ref="G290:G353" si="53">F290+E290</f>
        <v>13.77946115668874</v>
      </c>
      <c r="H290" s="272">
        <f t="shared" si="45"/>
        <v>3.2373301777298313E-17</v>
      </c>
      <c r="I290" s="272">
        <f t="shared" si="47"/>
        <v>0.62918926398802832</v>
      </c>
      <c r="J290" s="272">
        <f t="shared" si="50"/>
        <v>42.739572400766441</v>
      </c>
      <c r="K290" s="271">
        <f t="shared" si="51"/>
        <v>2.2383305629330327E-15</v>
      </c>
      <c r="L290" s="271">
        <f t="shared" ref="L290:L353" si="54">K290+J290</f>
        <v>42.739572400766441</v>
      </c>
      <c r="M290" s="271"/>
      <c r="N290" s="271"/>
      <c r="O290" s="271"/>
    </row>
    <row r="291" spans="2:15" x14ac:dyDescent="0.25">
      <c r="B291">
        <v>258</v>
      </c>
      <c r="C291" s="272">
        <f t="shared" si="52"/>
        <v>3.2373301777298313E-17</v>
      </c>
      <c r="D291" s="272">
        <f t="shared" si="46"/>
        <v>0.62918926398802832</v>
      </c>
      <c r="E291" s="272">
        <f t="shared" si="48"/>
        <v>13.7794611566888</v>
      </c>
      <c r="F291" s="271">
        <f t="shared" si="49"/>
        <v>2.2383305629330327E-15</v>
      </c>
      <c r="G291" s="271">
        <f t="shared" si="53"/>
        <v>13.779461156688802</v>
      </c>
      <c r="H291" s="272">
        <f t="shared" ref="H291:H354" si="55">($D$25-I290)*(((2*$D$24*(1-$D$24)*$D$11)+($D$24^2 * $D$11^2))/$D$25)</f>
        <v>3.2373301777298313E-17</v>
      </c>
      <c r="I291" s="272">
        <f t="shared" si="47"/>
        <v>0.62918926398802832</v>
      </c>
      <c r="J291" s="272">
        <f t="shared" si="50"/>
        <v>42.739572400766441</v>
      </c>
      <c r="K291" s="271">
        <f t="shared" si="51"/>
        <v>2.2383305629330327E-15</v>
      </c>
      <c r="L291" s="271">
        <f t="shared" si="54"/>
        <v>42.739572400766441</v>
      </c>
      <c r="M291" s="271"/>
      <c r="N291" s="271"/>
      <c r="O291" s="271"/>
    </row>
    <row r="292" spans="2:15" x14ac:dyDescent="0.25">
      <c r="B292">
        <v>259</v>
      </c>
      <c r="C292" s="272">
        <f t="shared" si="52"/>
        <v>3.2373301777298313E-17</v>
      </c>
      <c r="D292" s="272">
        <f t="shared" si="46"/>
        <v>0.62918926398802832</v>
      </c>
      <c r="E292" s="272">
        <f t="shared" si="48"/>
        <v>13.779461156688862</v>
      </c>
      <c r="F292" s="271">
        <f t="shared" si="49"/>
        <v>2.2383305629330327E-15</v>
      </c>
      <c r="G292" s="271">
        <f t="shared" si="53"/>
        <v>13.779461156688864</v>
      </c>
      <c r="H292" s="272">
        <f t="shared" si="55"/>
        <v>3.2373301777298313E-17</v>
      </c>
      <c r="I292" s="272">
        <f t="shared" si="47"/>
        <v>0.62918926398802832</v>
      </c>
      <c r="J292" s="272">
        <f t="shared" si="50"/>
        <v>42.739572400766441</v>
      </c>
      <c r="K292" s="271">
        <f t="shared" si="51"/>
        <v>2.2383305629330327E-15</v>
      </c>
      <c r="L292" s="271">
        <f t="shared" si="54"/>
        <v>42.739572400766441</v>
      </c>
      <c r="M292" s="271"/>
      <c r="N292" s="271"/>
      <c r="O292" s="271"/>
    </row>
    <row r="293" spans="2:15" x14ac:dyDescent="0.25">
      <c r="B293">
        <v>260</v>
      </c>
      <c r="C293" s="272">
        <f t="shared" si="52"/>
        <v>3.2373301777298313E-17</v>
      </c>
      <c r="D293" s="272">
        <f t="shared" si="46"/>
        <v>0.62918926398802832</v>
      </c>
      <c r="E293" s="272">
        <f t="shared" si="48"/>
        <v>13.779461156688924</v>
      </c>
      <c r="F293" s="271">
        <f t="shared" si="49"/>
        <v>2.2383305629330327E-15</v>
      </c>
      <c r="G293" s="271">
        <f t="shared" si="53"/>
        <v>13.779461156688926</v>
      </c>
      <c r="H293" s="272">
        <f t="shared" si="55"/>
        <v>3.2373301777298313E-17</v>
      </c>
      <c r="I293" s="272">
        <f t="shared" si="47"/>
        <v>0.62918926398802832</v>
      </c>
      <c r="J293" s="272">
        <f t="shared" si="50"/>
        <v>42.739572400766441</v>
      </c>
      <c r="K293" s="271">
        <f t="shared" si="51"/>
        <v>2.2383305629330327E-15</v>
      </c>
      <c r="L293" s="271">
        <f t="shared" si="54"/>
        <v>42.739572400766441</v>
      </c>
      <c r="M293" s="271"/>
      <c r="N293" s="271"/>
      <c r="O293" s="271"/>
    </row>
    <row r="294" spans="2:15" x14ac:dyDescent="0.25">
      <c r="B294">
        <v>261</v>
      </c>
      <c r="C294" s="272">
        <f t="shared" si="52"/>
        <v>3.2373301777298313E-17</v>
      </c>
      <c r="D294" s="272">
        <f t="shared" si="46"/>
        <v>0.62918926398802832</v>
      </c>
      <c r="E294" s="272">
        <f t="shared" si="48"/>
        <v>13.779461156688987</v>
      </c>
      <c r="F294" s="271">
        <f t="shared" si="49"/>
        <v>2.2383305629330327E-15</v>
      </c>
      <c r="G294" s="271">
        <f t="shared" si="53"/>
        <v>13.779461156688988</v>
      </c>
      <c r="H294" s="272">
        <f t="shared" si="55"/>
        <v>3.2373301777298313E-17</v>
      </c>
      <c r="I294" s="272">
        <f t="shared" si="47"/>
        <v>0.62918926398802832</v>
      </c>
      <c r="J294" s="272">
        <f t="shared" si="50"/>
        <v>42.739572400766441</v>
      </c>
      <c r="K294" s="271">
        <f t="shared" si="51"/>
        <v>2.2383305629330327E-15</v>
      </c>
      <c r="L294" s="271">
        <f t="shared" si="54"/>
        <v>42.739572400766441</v>
      </c>
      <c r="M294" s="271"/>
      <c r="N294" s="271"/>
      <c r="O294" s="271"/>
    </row>
    <row r="295" spans="2:15" x14ac:dyDescent="0.25">
      <c r="B295">
        <v>262</v>
      </c>
      <c r="C295" s="272">
        <f t="shared" si="52"/>
        <v>3.2373301777298313E-17</v>
      </c>
      <c r="D295" s="272">
        <f t="shared" si="46"/>
        <v>0.62918926398802832</v>
      </c>
      <c r="E295" s="272">
        <f t="shared" si="48"/>
        <v>13.779461156689051</v>
      </c>
      <c r="F295" s="271">
        <f t="shared" si="49"/>
        <v>2.2383305629330327E-15</v>
      </c>
      <c r="G295" s="271">
        <f t="shared" si="53"/>
        <v>13.779461156689052</v>
      </c>
      <c r="H295" s="272">
        <f t="shared" si="55"/>
        <v>3.2373301777298313E-17</v>
      </c>
      <c r="I295" s="272">
        <f t="shared" si="47"/>
        <v>0.62918926398802832</v>
      </c>
      <c r="J295" s="272">
        <f t="shared" si="50"/>
        <v>42.739572400766441</v>
      </c>
      <c r="K295" s="271">
        <f t="shared" si="51"/>
        <v>2.2383305629330327E-15</v>
      </c>
      <c r="L295" s="271">
        <f t="shared" si="54"/>
        <v>42.739572400766441</v>
      </c>
      <c r="M295" s="271"/>
      <c r="N295" s="271"/>
      <c r="O295" s="271"/>
    </row>
    <row r="296" spans="2:15" x14ac:dyDescent="0.25">
      <c r="B296">
        <v>263</v>
      </c>
      <c r="C296" s="272">
        <f t="shared" si="52"/>
        <v>3.2373301777298313E-17</v>
      </c>
      <c r="D296" s="272">
        <f t="shared" si="46"/>
        <v>0.62918926398802832</v>
      </c>
      <c r="E296" s="272">
        <f t="shared" si="48"/>
        <v>13.779461156689115</v>
      </c>
      <c r="F296" s="271">
        <f t="shared" si="49"/>
        <v>2.2383305629330327E-15</v>
      </c>
      <c r="G296" s="271">
        <f t="shared" si="53"/>
        <v>13.779461156689116</v>
      </c>
      <c r="H296" s="272">
        <f t="shared" si="55"/>
        <v>3.2373301777298313E-17</v>
      </c>
      <c r="I296" s="272">
        <f t="shared" si="47"/>
        <v>0.62918926398802832</v>
      </c>
      <c r="J296" s="272">
        <f t="shared" si="50"/>
        <v>42.739572400766441</v>
      </c>
      <c r="K296" s="271">
        <f t="shared" si="51"/>
        <v>2.2383305629330327E-15</v>
      </c>
      <c r="L296" s="271">
        <f t="shared" si="54"/>
        <v>42.739572400766441</v>
      </c>
      <c r="M296" s="271"/>
      <c r="N296" s="271"/>
      <c r="O296" s="271"/>
    </row>
    <row r="297" spans="2:15" x14ac:dyDescent="0.25">
      <c r="B297">
        <v>264</v>
      </c>
      <c r="C297" s="272">
        <f t="shared" si="52"/>
        <v>3.2373301777298313E-17</v>
      </c>
      <c r="D297" s="272">
        <f t="shared" ref="D297:D360" si="56">C297+D295</f>
        <v>0.62918926398802832</v>
      </c>
      <c r="E297" s="272">
        <f t="shared" si="48"/>
        <v>13.779461156689178</v>
      </c>
      <c r="F297" s="271">
        <f t="shared" si="49"/>
        <v>2.2383305629330327E-15</v>
      </c>
      <c r="G297" s="271">
        <f t="shared" si="53"/>
        <v>13.77946115668918</v>
      </c>
      <c r="H297" s="272">
        <f t="shared" si="55"/>
        <v>3.2373301777298313E-17</v>
      </c>
      <c r="I297" s="272">
        <f t="shared" ref="I297:I360" si="57">H297+I295</f>
        <v>0.62918926398802832</v>
      </c>
      <c r="J297" s="272">
        <f t="shared" si="50"/>
        <v>42.739572400766441</v>
      </c>
      <c r="K297" s="271">
        <f t="shared" si="51"/>
        <v>2.2383305629330327E-15</v>
      </c>
      <c r="L297" s="271">
        <f t="shared" si="54"/>
        <v>42.739572400766441</v>
      </c>
      <c r="M297" s="271"/>
      <c r="N297" s="271"/>
      <c r="O297" s="271"/>
    </row>
    <row r="298" spans="2:15" x14ac:dyDescent="0.25">
      <c r="B298">
        <v>265</v>
      </c>
      <c r="C298" s="272">
        <f t="shared" si="52"/>
        <v>3.2373301777298313E-17</v>
      </c>
      <c r="D298" s="272">
        <f t="shared" si="56"/>
        <v>0.62918926398802832</v>
      </c>
      <c r="E298" s="272">
        <f t="shared" si="48"/>
        <v>13.779461156689242</v>
      </c>
      <c r="F298" s="271">
        <f t="shared" si="49"/>
        <v>2.2383305629330327E-15</v>
      </c>
      <c r="G298" s="271">
        <f t="shared" si="53"/>
        <v>13.779461156689244</v>
      </c>
      <c r="H298" s="272">
        <f t="shared" si="55"/>
        <v>3.2373301777298313E-17</v>
      </c>
      <c r="I298" s="272">
        <f t="shared" si="57"/>
        <v>0.62918926398802832</v>
      </c>
      <c r="J298" s="272">
        <f t="shared" si="50"/>
        <v>42.739572400766441</v>
      </c>
      <c r="K298" s="271">
        <f t="shared" si="51"/>
        <v>2.2383305629330327E-15</v>
      </c>
      <c r="L298" s="271">
        <f t="shared" si="54"/>
        <v>42.739572400766441</v>
      </c>
      <c r="M298" s="271"/>
      <c r="N298" s="271"/>
      <c r="O298" s="271"/>
    </row>
    <row r="299" spans="2:15" x14ac:dyDescent="0.25">
      <c r="B299">
        <v>266</v>
      </c>
      <c r="C299" s="272">
        <f t="shared" si="52"/>
        <v>3.2373301777298313E-17</v>
      </c>
      <c r="D299" s="272">
        <f t="shared" si="56"/>
        <v>0.62918926398802832</v>
      </c>
      <c r="E299" s="272">
        <f t="shared" si="48"/>
        <v>13.779461156689306</v>
      </c>
      <c r="F299" s="271">
        <f t="shared" si="49"/>
        <v>2.2383305629330327E-15</v>
      </c>
      <c r="G299" s="271">
        <f t="shared" si="53"/>
        <v>13.779461156689308</v>
      </c>
      <c r="H299" s="272">
        <f t="shared" si="55"/>
        <v>3.2373301777298313E-17</v>
      </c>
      <c r="I299" s="272">
        <f t="shared" si="57"/>
        <v>0.62918926398802832</v>
      </c>
      <c r="J299" s="272">
        <f t="shared" si="50"/>
        <v>42.739572400766441</v>
      </c>
      <c r="K299" s="271">
        <f t="shared" si="51"/>
        <v>2.2383305629330327E-15</v>
      </c>
      <c r="L299" s="271">
        <f t="shared" si="54"/>
        <v>42.739572400766441</v>
      </c>
      <c r="M299" s="271"/>
      <c r="N299" s="271"/>
      <c r="O299" s="271"/>
    </row>
    <row r="300" spans="2:15" x14ac:dyDescent="0.25">
      <c r="B300">
        <v>267</v>
      </c>
      <c r="C300" s="272">
        <f t="shared" si="52"/>
        <v>3.2373301777298313E-17</v>
      </c>
      <c r="D300" s="272">
        <f t="shared" si="56"/>
        <v>0.62918926398802832</v>
      </c>
      <c r="E300" s="272">
        <f t="shared" si="48"/>
        <v>13.77946115668937</v>
      </c>
      <c r="F300" s="271">
        <f t="shared" si="49"/>
        <v>2.2383305629330327E-15</v>
      </c>
      <c r="G300" s="271">
        <f t="shared" si="53"/>
        <v>13.779461156689372</v>
      </c>
      <c r="H300" s="272">
        <f t="shared" si="55"/>
        <v>3.2373301777298313E-17</v>
      </c>
      <c r="I300" s="272">
        <f t="shared" si="57"/>
        <v>0.62918926398802832</v>
      </c>
      <c r="J300" s="272">
        <f t="shared" si="50"/>
        <v>42.739572400766441</v>
      </c>
      <c r="K300" s="271">
        <f t="shared" si="51"/>
        <v>2.2383305629330327E-15</v>
      </c>
      <c r="L300" s="271">
        <f t="shared" si="54"/>
        <v>42.739572400766441</v>
      </c>
      <c r="M300" s="271"/>
      <c r="N300" s="271"/>
      <c r="O300" s="271"/>
    </row>
    <row r="301" spans="2:15" x14ac:dyDescent="0.25">
      <c r="B301">
        <v>268</v>
      </c>
      <c r="C301" s="272">
        <f t="shared" si="52"/>
        <v>3.2373301777298313E-17</v>
      </c>
      <c r="D301" s="272">
        <f t="shared" si="56"/>
        <v>0.62918926398802832</v>
      </c>
      <c r="E301" s="272">
        <f t="shared" si="48"/>
        <v>13.779461156689434</v>
      </c>
      <c r="F301" s="271">
        <f t="shared" si="49"/>
        <v>2.2383305629330327E-15</v>
      </c>
      <c r="G301" s="271">
        <f t="shared" si="53"/>
        <v>13.779461156689436</v>
      </c>
      <c r="H301" s="272">
        <f t="shared" si="55"/>
        <v>3.2373301777298313E-17</v>
      </c>
      <c r="I301" s="272">
        <f t="shared" si="57"/>
        <v>0.62918926398802832</v>
      </c>
      <c r="J301" s="272">
        <f t="shared" si="50"/>
        <v>42.739572400766441</v>
      </c>
      <c r="K301" s="271">
        <f t="shared" si="51"/>
        <v>2.2383305629330327E-15</v>
      </c>
      <c r="L301" s="271">
        <f t="shared" si="54"/>
        <v>42.739572400766441</v>
      </c>
      <c r="M301" s="271"/>
      <c r="N301" s="271"/>
      <c r="O301" s="271"/>
    </row>
    <row r="302" spans="2:15" x14ac:dyDescent="0.25">
      <c r="B302">
        <v>269</v>
      </c>
      <c r="C302" s="272">
        <f t="shared" si="52"/>
        <v>3.2373301777298313E-17</v>
      </c>
      <c r="D302" s="272">
        <f t="shared" si="56"/>
        <v>0.62918926398802832</v>
      </c>
      <c r="E302" s="272">
        <f t="shared" si="48"/>
        <v>13.7794611566895</v>
      </c>
      <c r="F302" s="271">
        <f t="shared" si="49"/>
        <v>2.2383305629330327E-15</v>
      </c>
      <c r="G302" s="271">
        <f t="shared" si="53"/>
        <v>13.779461156689502</v>
      </c>
      <c r="H302" s="272">
        <f t="shared" si="55"/>
        <v>3.2373301777298313E-17</v>
      </c>
      <c r="I302" s="272">
        <f t="shared" si="57"/>
        <v>0.62918926398802832</v>
      </c>
      <c r="J302" s="272">
        <f t="shared" si="50"/>
        <v>42.739572400766441</v>
      </c>
      <c r="K302" s="271">
        <f t="shared" si="51"/>
        <v>2.2383305629330327E-15</v>
      </c>
      <c r="L302" s="271">
        <f t="shared" si="54"/>
        <v>42.739572400766441</v>
      </c>
      <c r="M302" s="271"/>
      <c r="N302" s="271"/>
      <c r="O302" s="271"/>
    </row>
    <row r="303" spans="2:15" x14ac:dyDescent="0.25">
      <c r="B303">
        <v>270</v>
      </c>
      <c r="C303" s="272">
        <f t="shared" si="52"/>
        <v>3.2373301777298313E-17</v>
      </c>
      <c r="D303" s="272">
        <f t="shared" si="56"/>
        <v>0.62918926398802832</v>
      </c>
      <c r="E303" s="272">
        <f t="shared" si="48"/>
        <v>13.779461156689566</v>
      </c>
      <c r="F303" s="271">
        <f t="shared" si="49"/>
        <v>2.2383305629330327E-15</v>
      </c>
      <c r="G303" s="271">
        <f t="shared" si="53"/>
        <v>13.779461156689568</v>
      </c>
      <c r="H303" s="272">
        <f t="shared" si="55"/>
        <v>3.2373301777298313E-17</v>
      </c>
      <c r="I303" s="272">
        <f t="shared" si="57"/>
        <v>0.62918926398802832</v>
      </c>
      <c r="J303" s="272">
        <f t="shared" si="50"/>
        <v>42.739572400766441</v>
      </c>
      <c r="K303" s="271">
        <f t="shared" si="51"/>
        <v>2.2383305629330327E-15</v>
      </c>
      <c r="L303" s="271">
        <f t="shared" si="54"/>
        <v>42.739572400766441</v>
      </c>
      <c r="M303" s="271"/>
      <c r="N303" s="271"/>
      <c r="O303" s="271"/>
    </row>
    <row r="304" spans="2:15" x14ac:dyDescent="0.25">
      <c r="B304">
        <v>271</v>
      </c>
      <c r="C304" s="272">
        <f t="shared" si="52"/>
        <v>3.2373301777298313E-17</v>
      </c>
      <c r="D304" s="272">
        <f t="shared" si="56"/>
        <v>0.62918926398802832</v>
      </c>
      <c r="E304" s="272">
        <f t="shared" si="48"/>
        <v>13.779461156689631</v>
      </c>
      <c r="F304" s="271">
        <f t="shared" si="49"/>
        <v>2.2383305629330327E-15</v>
      </c>
      <c r="G304" s="271">
        <f t="shared" si="53"/>
        <v>13.779461156689633</v>
      </c>
      <c r="H304" s="272">
        <f t="shared" si="55"/>
        <v>3.2373301777298313E-17</v>
      </c>
      <c r="I304" s="272">
        <f t="shared" si="57"/>
        <v>0.62918926398802832</v>
      </c>
      <c r="J304" s="272">
        <f t="shared" si="50"/>
        <v>42.739572400766441</v>
      </c>
      <c r="K304" s="271">
        <f t="shared" si="51"/>
        <v>2.2383305629330327E-15</v>
      </c>
      <c r="L304" s="271">
        <f t="shared" si="54"/>
        <v>42.739572400766441</v>
      </c>
      <c r="M304" s="271"/>
      <c r="N304" s="271"/>
      <c r="O304" s="271"/>
    </row>
    <row r="305" spans="2:15" x14ac:dyDescent="0.25">
      <c r="B305">
        <v>272</v>
      </c>
      <c r="C305" s="272">
        <f t="shared" si="52"/>
        <v>3.2373301777298313E-17</v>
      </c>
      <c r="D305" s="272">
        <f t="shared" si="56"/>
        <v>0.62918926398802832</v>
      </c>
      <c r="E305" s="272">
        <f t="shared" si="48"/>
        <v>13.779461156689697</v>
      </c>
      <c r="F305" s="271">
        <f t="shared" si="49"/>
        <v>2.2383305629330327E-15</v>
      </c>
      <c r="G305" s="271">
        <f t="shared" si="53"/>
        <v>13.779461156689699</v>
      </c>
      <c r="H305" s="272">
        <f t="shared" si="55"/>
        <v>3.2373301777298313E-17</v>
      </c>
      <c r="I305" s="272">
        <f t="shared" si="57"/>
        <v>0.62918926398802832</v>
      </c>
      <c r="J305" s="272">
        <f t="shared" si="50"/>
        <v>42.739572400766441</v>
      </c>
      <c r="K305" s="271">
        <f t="shared" si="51"/>
        <v>2.2383305629330327E-15</v>
      </c>
      <c r="L305" s="271">
        <f t="shared" si="54"/>
        <v>42.739572400766441</v>
      </c>
      <c r="M305" s="271"/>
      <c r="N305" s="271"/>
      <c r="O305" s="271"/>
    </row>
    <row r="306" spans="2:15" x14ac:dyDescent="0.25">
      <c r="B306">
        <v>273</v>
      </c>
      <c r="C306" s="272">
        <f t="shared" si="52"/>
        <v>3.2373301777298313E-17</v>
      </c>
      <c r="D306" s="272">
        <f t="shared" si="56"/>
        <v>0.62918926398802832</v>
      </c>
      <c r="E306" s="272">
        <f t="shared" si="48"/>
        <v>13.779461156689763</v>
      </c>
      <c r="F306" s="271">
        <f t="shared" si="49"/>
        <v>2.2383305629330327E-15</v>
      </c>
      <c r="G306" s="271">
        <f t="shared" si="53"/>
        <v>13.779461156689765</v>
      </c>
      <c r="H306" s="272">
        <f t="shared" si="55"/>
        <v>3.2373301777298313E-17</v>
      </c>
      <c r="I306" s="272">
        <f t="shared" si="57"/>
        <v>0.62918926398802832</v>
      </c>
      <c r="J306" s="272">
        <f t="shared" si="50"/>
        <v>42.739572400766441</v>
      </c>
      <c r="K306" s="271">
        <f t="shared" si="51"/>
        <v>2.2383305629330327E-15</v>
      </c>
      <c r="L306" s="271">
        <f t="shared" si="54"/>
        <v>42.739572400766441</v>
      </c>
      <c r="M306" s="271"/>
      <c r="N306" s="271"/>
      <c r="O306" s="271"/>
    </row>
    <row r="307" spans="2:15" x14ac:dyDescent="0.25">
      <c r="B307">
        <v>274</v>
      </c>
      <c r="C307" s="272">
        <f t="shared" si="52"/>
        <v>3.2373301777298313E-17</v>
      </c>
      <c r="D307" s="272">
        <f t="shared" si="56"/>
        <v>0.62918926398802832</v>
      </c>
      <c r="E307" s="272">
        <f t="shared" si="48"/>
        <v>13.779461156689829</v>
      </c>
      <c r="F307" s="271">
        <f t="shared" si="49"/>
        <v>2.2383305629330327E-15</v>
      </c>
      <c r="G307" s="271">
        <f t="shared" si="53"/>
        <v>13.77946115668983</v>
      </c>
      <c r="H307" s="272">
        <f t="shared" si="55"/>
        <v>3.2373301777298313E-17</v>
      </c>
      <c r="I307" s="272">
        <f t="shared" si="57"/>
        <v>0.62918926398802832</v>
      </c>
      <c r="J307" s="272">
        <f t="shared" si="50"/>
        <v>42.739572400766441</v>
      </c>
      <c r="K307" s="271">
        <f t="shared" si="51"/>
        <v>2.2383305629330327E-15</v>
      </c>
      <c r="L307" s="271">
        <f t="shared" si="54"/>
        <v>42.739572400766441</v>
      </c>
      <c r="M307" s="271"/>
      <c r="N307" s="271"/>
      <c r="O307" s="271"/>
    </row>
    <row r="308" spans="2:15" x14ac:dyDescent="0.25">
      <c r="B308">
        <v>275</v>
      </c>
      <c r="C308" s="272">
        <f t="shared" si="52"/>
        <v>3.2373301777298313E-17</v>
      </c>
      <c r="D308" s="272">
        <f t="shared" si="56"/>
        <v>0.62918926398802832</v>
      </c>
      <c r="E308" s="272">
        <f t="shared" si="48"/>
        <v>13.779461156689894</v>
      </c>
      <c r="F308" s="271">
        <f t="shared" si="49"/>
        <v>2.2383305629330327E-15</v>
      </c>
      <c r="G308" s="271">
        <f t="shared" si="53"/>
        <v>13.779461156689896</v>
      </c>
      <c r="H308" s="272">
        <f t="shared" si="55"/>
        <v>3.2373301777298313E-17</v>
      </c>
      <c r="I308" s="272">
        <f t="shared" si="57"/>
        <v>0.62918926398802832</v>
      </c>
      <c r="J308" s="272">
        <f t="shared" si="50"/>
        <v>42.739572400766441</v>
      </c>
      <c r="K308" s="271">
        <f t="shared" si="51"/>
        <v>2.2383305629330327E-15</v>
      </c>
      <c r="L308" s="271">
        <f t="shared" si="54"/>
        <v>42.739572400766441</v>
      </c>
      <c r="M308" s="271"/>
      <c r="N308" s="271"/>
      <c r="O308" s="271"/>
    </row>
    <row r="309" spans="2:15" x14ac:dyDescent="0.25">
      <c r="B309">
        <v>276</v>
      </c>
      <c r="C309" s="272">
        <f t="shared" si="52"/>
        <v>3.2373301777298313E-17</v>
      </c>
      <c r="D309" s="272">
        <f t="shared" si="56"/>
        <v>0.62918926398802832</v>
      </c>
      <c r="E309" s="272">
        <f t="shared" si="48"/>
        <v>13.779461156689962</v>
      </c>
      <c r="F309" s="271">
        <f t="shared" si="49"/>
        <v>2.2383305629330327E-15</v>
      </c>
      <c r="G309" s="271">
        <f t="shared" si="53"/>
        <v>13.779461156689964</v>
      </c>
      <c r="H309" s="272">
        <f t="shared" si="55"/>
        <v>3.2373301777298313E-17</v>
      </c>
      <c r="I309" s="272">
        <f t="shared" si="57"/>
        <v>0.62918926398802832</v>
      </c>
      <c r="J309" s="272">
        <f t="shared" si="50"/>
        <v>42.739572400766441</v>
      </c>
      <c r="K309" s="271">
        <f t="shared" si="51"/>
        <v>2.2383305629330327E-15</v>
      </c>
      <c r="L309" s="271">
        <f t="shared" si="54"/>
        <v>42.739572400766441</v>
      </c>
      <c r="M309" s="271"/>
      <c r="N309" s="271"/>
      <c r="O309" s="271"/>
    </row>
    <row r="310" spans="2:15" x14ac:dyDescent="0.25">
      <c r="B310">
        <v>277</v>
      </c>
      <c r="C310" s="272">
        <f t="shared" si="52"/>
        <v>3.2373301777298313E-17</v>
      </c>
      <c r="D310" s="272">
        <f t="shared" si="56"/>
        <v>0.62918926398802832</v>
      </c>
      <c r="E310" s="272">
        <f t="shared" si="48"/>
        <v>13.779461156690029</v>
      </c>
      <c r="F310" s="271">
        <f t="shared" si="49"/>
        <v>2.2383305629330327E-15</v>
      </c>
      <c r="G310" s="271">
        <f t="shared" si="53"/>
        <v>13.779461156690031</v>
      </c>
      <c r="H310" s="272">
        <f t="shared" si="55"/>
        <v>3.2373301777298313E-17</v>
      </c>
      <c r="I310" s="272">
        <f t="shared" si="57"/>
        <v>0.62918926398802832</v>
      </c>
      <c r="J310" s="272">
        <f t="shared" si="50"/>
        <v>42.739572400766441</v>
      </c>
      <c r="K310" s="271">
        <f t="shared" si="51"/>
        <v>2.2383305629330327E-15</v>
      </c>
      <c r="L310" s="271">
        <f t="shared" si="54"/>
        <v>42.739572400766441</v>
      </c>
      <c r="M310" s="271"/>
      <c r="N310" s="271"/>
      <c r="O310" s="271"/>
    </row>
    <row r="311" spans="2:15" x14ac:dyDescent="0.25">
      <c r="B311">
        <v>278</v>
      </c>
      <c r="C311" s="272">
        <f t="shared" si="52"/>
        <v>3.2373301777298313E-17</v>
      </c>
      <c r="D311" s="272">
        <f t="shared" si="56"/>
        <v>0.62918926398802832</v>
      </c>
      <c r="E311" s="272">
        <f t="shared" si="48"/>
        <v>13.779461156690097</v>
      </c>
      <c r="F311" s="271">
        <f t="shared" si="49"/>
        <v>2.2383305629330327E-15</v>
      </c>
      <c r="G311" s="271">
        <f t="shared" si="53"/>
        <v>13.779461156690099</v>
      </c>
      <c r="H311" s="272">
        <f t="shared" si="55"/>
        <v>3.2373301777298313E-17</v>
      </c>
      <c r="I311" s="272">
        <f t="shared" si="57"/>
        <v>0.62918926398802832</v>
      </c>
      <c r="J311" s="272">
        <f t="shared" si="50"/>
        <v>42.739572400766441</v>
      </c>
      <c r="K311" s="271">
        <f t="shared" si="51"/>
        <v>2.2383305629330327E-15</v>
      </c>
      <c r="L311" s="271">
        <f t="shared" si="54"/>
        <v>42.739572400766441</v>
      </c>
      <c r="M311" s="271"/>
      <c r="N311" s="271"/>
      <c r="O311" s="271"/>
    </row>
    <row r="312" spans="2:15" x14ac:dyDescent="0.25">
      <c r="B312">
        <v>279</v>
      </c>
      <c r="C312" s="272">
        <f t="shared" si="52"/>
        <v>3.2373301777298313E-17</v>
      </c>
      <c r="D312" s="272">
        <f t="shared" si="56"/>
        <v>0.62918926398802832</v>
      </c>
      <c r="E312" s="272">
        <f t="shared" si="48"/>
        <v>13.779461156690164</v>
      </c>
      <c r="F312" s="271">
        <f t="shared" si="49"/>
        <v>2.2383305629330327E-15</v>
      </c>
      <c r="G312" s="271">
        <f t="shared" si="53"/>
        <v>13.779461156690166</v>
      </c>
      <c r="H312" s="272">
        <f t="shared" si="55"/>
        <v>3.2373301777298313E-17</v>
      </c>
      <c r="I312" s="272">
        <f t="shared" si="57"/>
        <v>0.62918926398802832</v>
      </c>
      <c r="J312" s="272">
        <f t="shared" si="50"/>
        <v>42.739572400766441</v>
      </c>
      <c r="K312" s="271">
        <f t="shared" si="51"/>
        <v>2.2383305629330327E-15</v>
      </c>
      <c r="L312" s="271">
        <f t="shared" si="54"/>
        <v>42.739572400766441</v>
      </c>
      <c r="M312" s="271"/>
      <c r="N312" s="271"/>
      <c r="O312" s="271"/>
    </row>
    <row r="313" spans="2:15" x14ac:dyDescent="0.25">
      <c r="B313">
        <v>280</v>
      </c>
      <c r="C313" s="272">
        <f t="shared" si="52"/>
        <v>3.2373301777298313E-17</v>
      </c>
      <c r="D313" s="272">
        <f t="shared" si="56"/>
        <v>0.62918926398802832</v>
      </c>
      <c r="E313" s="272">
        <f t="shared" si="48"/>
        <v>13.779461156690232</v>
      </c>
      <c r="F313" s="271">
        <f t="shared" si="49"/>
        <v>2.2383305629330327E-15</v>
      </c>
      <c r="G313" s="271">
        <f t="shared" si="53"/>
        <v>13.779461156690234</v>
      </c>
      <c r="H313" s="272">
        <f t="shared" si="55"/>
        <v>3.2373301777298313E-17</v>
      </c>
      <c r="I313" s="272">
        <f t="shared" si="57"/>
        <v>0.62918926398802832</v>
      </c>
      <c r="J313" s="272">
        <f t="shared" si="50"/>
        <v>42.739572400766441</v>
      </c>
      <c r="K313" s="271">
        <f t="shared" si="51"/>
        <v>2.2383305629330327E-15</v>
      </c>
      <c r="L313" s="271">
        <f t="shared" si="54"/>
        <v>42.739572400766441</v>
      </c>
      <c r="M313" s="271"/>
      <c r="N313" s="271"/>
      <c r="O313" s="271"/>
    </row>
    <row r="314" spans="2:15" x14ac:dyDescent="0.25">
      <c r="B314">
        <v>281</v>
      </c>
      <c r="C314" s="272">
        <f t="shared" si="52"/>
        <v>3.2373301777298313E-17</v>
      </c>
      <c r="D314" s="272">
        <f t="shared" si="56"/>
        <v>0.62918926398802832</v>
      </c>
      <c r="E314" s="272">
        <f t="shared" si="48"/>
        <v>13.779461156690299</v>
      </c>
      <c r="F314" s="271">
        <f t="shared" si="49"/>
        <v>2.2383305629330327E-15</v>
      </c>
      <c r="G314" s="271">
        <f t="shared" si="53"/>
        <v>13.779461156690301</v>
      </c>
      <c r="H314" s="272">
        <f t="shared" si="55"/>
        <v>3.2373301777298313E-17</v>
      </c>
      <c r="I314" s="272">
        <f t="shared" si="57"/>
        <v>0.62918926398802832</v>
      </c>
      <c r="J314" s="272">
        <f t="shared" si="50"/>
        <v>42.739572400766441</v>
      </c>
      <c r="K314" s="271">
        <f t="shared" si="51"/>
        <v>2.2383305629330327E-15</v>
      </c>
      <c r="L314" s="271">
        <f t="shared" si="54"/>
        <v>42.739572400766441</v>
      </c>
      <c r="M314" s="271"/>
      <c r="N314" s="271"/>
      <c r="O314" s="271"/>
    </row>
    <row r="315" spans="2:15" x14ac:dyDescent="0.25">
      <c r="B315">
        <v>282</v>
      </c>
      <c r="C315" s="272">
        <f t="shared" si="52"/>
        <v>3.2373301777298313E-17</v>
      </c>
      <c r="D315" s="272">
        <f t="shared" si="56"/>
        <v>0.62918926398802832</v>
      </c>
      <c r="E315" s="272">
        <f t="shared" si="48"/>
        <v>13.779461156690367</v>
      </c>
      <c r="F315" s="271">
        <f t="shared" si="49"/>
        <v>2.2383305629330327E-15</v>
      </c>
      <c r="G315" s="271">
        <f t="shared" si="53"/>
        <v>13.779461156690369</v>
      </c>
      <c r="H315" s="272">
        <f t="shared" si="55"/>
        <v>3.2373301777298313E-17</v>
      </c>
      <c r="I315" s="272">
        <f t="shared" si="57"/>
        <v>0.62918926398802832</v>
      </c>
      <c r="J315" s="272">
        <f t="shared" si="50"/>
        <v>42.739572400766441</v>
      </c>
      <c r="K315" s="271">
        <f t="shared" si="51"/>
        <v>2.2383305629330327E-15</v>
      </c>
      <c r="L315" s="271">
        <f t="shared" si="54"/>
        <v>42.739572400766441</v>
      </c>
      <c r="M315" s="271"/>
      <c r="N315" s="271"/>
      <c r="O315" s="271"/>
    </row>
    <row r="316" spans="2:15" x14ac:dyDescent="0.25">
      <c r="B316">
        <v>283</v>
      </c>
      <c r="C316" s="272">
        <f t="shared" si="52"/>
        <v>3.2373301777298313E-17</v>
      </c>
      <c r="D316" s="272">
        <f t="shared" si="56"/>
        <v>0.62918926398802832</v>
      </c>
      <c r="E316" s="272">
        <f t="shared" si="48"/>
        <v>13.779461156690434</v>
      </c>
      <c r="F316" s="271">
        <f t="shared" si="49"/>
        <v>2.2383305629330327E-15</v>
      </c>
      <c r="G316" s="271">
        <f t="shared" si="53"/>
        <v>13.779461156690436</v>
      </c>
      <c r="H316" s="272">
        <f t="shared" si="55"/>
        <v>3.2373301777298313E-17</v>
      </c>
      <c r="I316" s="272">
        <f t="shared" si="57"/>
        <v>0.62918926398802832</v>
      </c>
      <c r="J316" s="272">
        <f t="shared" si="50"/>
        <v>42.739572400766441</v>
      </c>
      <c r="K316" s="271">
        <f t="shared" si="51"/>
        <v>2.2383305629330327E-15</v>
      </c>
      <c r="L316" s="271">
        <f t="shared" si="54"/>
        <v>42.739572400766441</v>
      </c>
      <c r="M316" s="271"/>
      <c r="N316" s="271"/>
      <c r="O316" s="271"/>
    </row>
    <row r="317" spans="2:15" x14ac:dyDescent="0.25">
      <c r="B317">
        <v>284</v>
      </c>
      <c r="C317" s="272">
        <f t="shared" si="52"/>
        <v>3.2373301777298313E-17</v>
      </c>
      <c r="D317" s="272">
        <f t="shared" si="56"/>
        <v>0.62918926398802832</v>
      </c>
      <c r="E317" s="272">
        <f t="shared" si="48"/>
        <v>13.779461156690504</v>
      </c>
      <c r="F317" s="271">
        <f t="shared" si="49"/>
        <v>2.2383305629330327E-15</v>
      </c>
      <c r="G317" s="271">
        <f t="shared" si="53"/>
        <v>13.779461156690505</v>
      </c>
      <c r="H317" s="272">
        <f t="shared" si="55"/>
        <v>3.2373301777298313E-17</v>
      </c>
      <c r="I317" s="272">
        <f t="shared" si="57"/>
        <v>0.62918926398802832</v>
      </c>
      <c r="J317" s="272">
        <f t="shared" si="50"/>
        <v>42.739572400766441</v>
      </c>
      <c r="K317" s="271">
        <f t="shared" si="51"/>
        <v>2.2383305629330327E-15</v>
      </c>
      <c r="L317" s="271">
        <f t="shared" si="54"/>
        <v>42.739572400766441</v>
      </c>
      <c r="M317" s="271"/>
      <c r="N317" s="271"/>
      <c r="O317" s="271"/>
    </row>
    <row r="318" spans="2:15" x14ac:dyDescent="0.25">
      <c r="B318">
        <v>285</v>
      </c>
      <c r="C318" s="272">
        <f t="shared" si="52"/>
        <v>3.2373301777298313E-17</v>
      </c>
      <c r="D318" s="272">
        <f t="shared" si="56"/>
        <v>0.62918926398802832</v>
      </c>
      <c r="E318" s="272">
        <f t="shared" si="48"/>
        <v>13.779461156690573</v>
      </c>
      <c r="F318" s="271">
        <f t="shared" si="49"/>
        <v>2.2383305629330327E-15</v>
      </c>
      <c r="G318" s="271">
        <f t="shared" si="53"/>
        <v>13.779461156690575</v>
      </c>
      <c r="H318" s="272">
        <f t="shared" si="55"/>
        <v>3.2373301777298313E-17</v>
      </c>
      <c r="I318" s="272">
        <f t="shared" si="57"/>
        <v>0.62918926398802832</v>
      </c>
      <c r="J318" s="272">
        <f t="shared" si="50"/>
        <v>42.739572400766441</v>
      </c>
      <c r="K318" s="271">
        <f t="shared" si="51"/>
        <v>2.2383305629330327E-15</v>
      </c>
      <c r="L318" s="271">
        <f t="shared" si="54"/>
        <v>42.739572400766441</v>
      </c>
      <c r="M318" s="271"/>
      <c r="N318" s="271"/>
      <c r="O318" s="271"/>
    </row>
    <row r="319" spans="2:15" x14ac:dyDescent="0.25">
      <c r="B319">
        <v>286</v>
      </c>
      <c r="C319" s="272">
        <f t="shared" si="52"/>
        <v>3.2373301777298313E-17</v>
      </c>
      <c r="D319" s="272">
        <f t="shared" si="56"/>
        <v>0.62918926398802832</v>
      </c>
      <c r="E319" s="272">
        <f t="shared" si="48"/>
        <v>13.779461156690642</v>
      </c>
      <c r="F319" s="271">
        <f t="shared" si="49"/>
        <v>2.2383305629330327E-15</v>
      </c>
      <c r="G319" s="271">
        <f t="shared" si="53"/>
        <v>13.779461156690644</v>
      </c>
      <c r="H319" s="272">
        <f t="shared" si="55"/>
        <v>3.2373301777298313E-17</v>
      </c>
      <c r="I319" s="272">
        <f t="shared" si="57"/>
        <v>0.62918926398802832</v>
      </c>
      <c r="J319" s="272">
        <f t="shared" si="50"/>
        <v>42.739572400766441</v>
      </c>
      <c r="K319" s="271">
        <f t="shared" si="51"/>
        <v>2.2383305629330327E-15</v>
      </c>
      <c r="L319" s="271">
        <f t="shared" si="54"/>
        <v>42.739572400766441</v>
      </c>
      <c r="M319" s="271"/>
      <c r="N319" s="271"/>
      <c r="O319" s="271"/>
    </row>
    <row r="320" spans="2:15" x14ac:dyDescent="0.25">
      <c r="B320">
        <v>287</v>
      </c>
      <c r="C320" s="272">
        <f t="shared" si="52"/>
        <v>3.2373301777298313E-17</v>
      </c>
      <c r="D320" s="272">
        <f t="shared" si="56"/>
        <v>0.62918926398802832</v>
      </c>
      <c r="E320" s="272">
        <f t="shared" si="48"/>
        <v>13.779461156690711</v>
      </c>
      <c r="F320" s="271">
        <f t="shared" si="49"/>
        <v>2.2383305629330327E-15</v>
      </c>
      <c r="G320" s="271">
        <f t="shared" si="53"/>
        <v>13.779461156690713</v>
      </c>
      <c r="H320" s="272">
        <f t="shared" si="55"/>
        <v>3.2373301777298313E-17</v>
      </c>
      <c r="I320" s="272">
        <f t="shared" si="57"/>
        <v>0.62918926398802832</v>
      </c>
      <c r="J320" s="272">
        <f t="shared" si="50"/>
        <v>42.739572400766441</v>
      </c>
      <c r="K320" s="271">
        <f t="shared" si="51"/>
        <v>2.2383305629330327E-15</v>
      </c>
      <c r="L320" s="271">
        <f t="shared" si="54"/>
        <v>42.739572400766441</v>
      </c>
      <c r="M320" s="271"/>
      <c r="N320" s="271"/>
      <c r="O320" s="271"/>
    </row>
    <row r="321" spans="2:15" x14ac:dyDescent="0.25">
      <c r="B321">
        <v>288</v>
      </c>
      <c r="C321" s="272">
        <f t="shared" si="52"/>
        <v>3.2373301777298313E-17</v>
      </c>
      <c r="D321" s="272">
        <f t="shared" si="56"/>
        <v>0.62918926398802832</v>
      </c>
      <c r="E321" s="272">
        <f t="shared" si="48"/>
        <v>13.779461156690781</v>
      </c>
      <c r="F321" s="271">
        <f t="shared" si="49"/>
        <v>2.2383305629330327E-15</v>
      </c>
      <c r="G321" s="271">
        <f t="shared" si="53"/>
        <v>13.779461156690783</v>
      </c>
      <c r="H321" s="272">
        <f t="shared" si="55"/>
        <v>3.2373301777298313E-17</v>
      </c>
      <c r="I321" s="272">
        <f t="shared" si="57"/>
        <v>0.62918926398802832</v>
      </c>
      <c r="J321" s="272">
        <f t="shared" si="50"/>
        <v>42.739572400766441</v>
      </c>
      <c r="K321" s="271">
        <f t="shared" si="51"/>
        <v>2.2383305629330327E-15</v>
      </c>
      <c r="L321" s="271">
        <f t="shared" si="54"/>
        <v>42.739572400766441</v>
      </c>
      <c r="M321" s="271"/>
      <c r="N321" s="271"/>
      <c r="O321" s="271"/>
    </row>
    <row r="322" spans="2:15" x14ac:dyDescent="0.25">
      <c r="B322">
        <v>289</v>
      </c>
      <c r="C322" s="272">
        <f t="shared" si="52"/>
        <v>3.2373301777298313E-17</v>
      </c>
      <c r="D322" s="272">
        <f t="shared" si="56"/>
        <v>0.62918926398802832</v>
      </c>
      <c r="E322" s="272">
        <f t="shared" si="48"/>
        <v>13.77946115669085</v>
      </c>
      <c r="F322" s="271">
        <f t="shared" si="49"/>
        <v>2.2383305629330327E-15</v>
      </c>
      <c r="G322" s="271">
        <f t="shared" si="53"/>
        <v>13.779461156690852</v>
      </c>
      <c r="H322" s="272">
        <f t="shared" si="55"/>
        <v>3.2373301777298313E-17</v>
      </c>
      <c r="I322" s="272">
        <f t="shared" si="57"/>
        <v>0.62918926398802832</v>
      </c>
      <c r="J322" s="272">
        <f t="shared" si="50"/>
        <v>42.739572400766441</v>
      </c>
      <c r="K322" s="271">
        <f t="shared" si="51"/>
        <v>2.2383305629330327E-15</v>
      </c>
      <c r="L322" s="271">
        <f t="shared" si="54"/>
        <v>42.739572400766441</v>
      </c>
      <c r="M322" s="271"/>
      <c r="N322" s="271"/>
      <c r="O322" s="271"/>
    </row>
    <row r="323" spans="2:15" x14ac:dyDescent="0.25">
      <c r="B323">
        <v>290</v>
      </c>
      <c r="C323" s="272">
        <f t="shared" si="52"/>
        <v>3.2373301777298313E-17</v>
      </c>
      <c r="D323" s="272">
        <f t="shared" si="56"/>
        <v>0.62918926398802832</v>
      </c>
      <c r="E323" s="272">
        <f t="shared" si="48"/>
        <v>13.779461156690919</v>
      </c>
      <c r="F323" s="271">
        <f t="shared" si="49"/>
        <v>2.2383305629330327E-15</v>
      </c>
      <c r="G323" s="271">
        <f t="shared" si="53"/>
        <v>13.779461156690921</v>
      </c>
      <c r="H323" s="272">
        <f t="shared" si="55"/>
        <v>3.2373301777298313E-17</v>
      </c>
      <c r="I323" s="272">
        <f t="shared" si="57"/>
        <v>0.62918926398802832</v>
      </c>
      <c r="J323" s="272">
        <f t="shared" si="50"/>
        <v>42.739572400766441</v>
      </c>
      <c r="K323" s="271">
        <f t="shared" si="51"/>
        <v>2.2383305629330327E-15</v>
      </c>
      <c r="L323" s="271">
        <f t="shared" si="54"/>
        <v>42.739572400766441</v>
      </c>
      <c r="M323" s="271"/>
      <c r="N323" s="271"/>
      <c r="O323" s="271"/>
    </row>
    <row r="324" spans="2:15" x14ac:dyDescent="0.25">
      <c r="B324">
        <v>291</v>
      </c>
      <c r="C324" s="272">
        <f t="shared" si="52"/>
        <v>3.2373301777298313E-17</v>
      </c>
      <c r="D324" s="272">
        <f t="shared" si="56"/>
        <v>0.62918926398802832</v>
      </c>
      <c r="E324" s="272">
        <f t="shared" si="48"/>
        <v>13.77946115669099</v>
      </c>
      <c r="F324" s="271">
        <f t="shared" si="49"/>
        <v>2.2383305629330327E-15</v>
      </c>
      <c r="G324" s="271">
        <f t="shared" si="53"/>
        <v>13.779461156690992</v>
      </c>
      <c r="H324" s="272">
        <f t="shared" si="55"/>
        <v>3.2373301777298313E-17</v>
      </c>
      <c r="I324" s="272">
        <f t="shared" si="57"/>
        <v>0.62918926398802832</v>
      </c>
      <c r="J324" s="272">
        <f t="shared" si="50"/>
        <v>42.739572400766441</v>
      </c>
      <c r="K324" s="271">
        <f t="shared" si="51"/>
        <v>2.2383305629330327E-15</v>
      </c>
      <c r="L324" s="271">
        <f t="shared" si="54"/>
        <v>42.739572400766441</v>
      </c>
      <c r="M324" s="271"/>
      <c r="N324" s="271"/>
      <c r="O324" s="271"/>
    </row>
    <row r="325" spans="2:15" x14ac:dyDescent="0.25">
      <c r="B325">
        <v>292</v>
      </c>
      <c r="C325" s="272">
        <f t="shared" si="52"/>
        <v>3.2373301777298313E-17</v>
      </c>
      <c r="D325" s="272">
        <f t="shared" si="56"/>
        <v>0.62918926398802832</v>
      </c>
      <c r="E325" s="272">
        <f t="shared" si="48"/>
        <v>13.779461156691061</v>
      </c>
      <c r="F325" s="271">
        <f t="shared" si="49"/>
        <v>2.2383305629330327E-15</v>
      </c>
      <c r="G325" s="271">
        <f t="shared" si="53"/>
        <v>13.779461156691063</v>
      </c>
      <c r="H325" s="272">
        <f t="shared" si="55"/>
        <v>3.2373301777298313E-17</v>
      </c>
      <c r="I325" s="272">
        <f t="shared" si="57"/>
        <v>0.62918926398802832</v>
      </c>
      <c r="J325" s="272">
        <f t="shared" si="50"/>
        <v>42.739572400766441</v>
      </c>
      <c r="K325" s="271">
        <f t="shared" si="51"/>
        <v>2.2383305629330327E-15</v>
      </c>
      <c r="L325" s="271">
        <f t="shared" si="54"/>
        <v>42.739572400766441</v>
      </c>
      <c r="M325" s="271"/>
      <c r="N325" s="271"/>
      <c r="O325" s="271"/>
    </row>
    <row r="326" spans="2:15" x14ac:dyDescent="0.25">
      <c r="B326">
        <v>293</v>
      </c>
      <c r="C326" s="272">
        <f t="shared" si="52"/>
        <v>3.2373301777298313E-17</v>
      </c>
      <c r="D326" s="272">
        <f t="shared" si="56"/>
        <v>0.62918926398802832</v>
      </c>
      <c r="E326" s="272">
        <f t="shared" si="48"/>
        <v>13.779461156691132</v>
      </c>
      <c r="F326" s="271">
        <f t="shared" si="49"/>
        <v>2.2383305629330327E-15</v>
      </c>
      <c r="G326" s="271">
        <f t="shared" si="53"/>
        <v>13.779461156691134</v>
      </c>
      <c r="H326" s="272">
        <f t="shared" si="55"/>
        <v>3.2373301777298313E-17</v>
      </c>
      <c r="I326" s="272">
        <f t="shared" si="57"/>
        <v>0.62918926398802832</v>
      </c>
      <c r="J326" s="272">
        <f t="shared" si="50"/>
        <v>42.739572400766441</v>
      </c>
      <c r="K326" s="271">
        <f t="shared" si="51"/>
        <v>2.2383305629330327E-15</v>
      </c>
      <c r="L326" s="271">
        <f t="shared" si="54"/>
        <v>42.739572400766441</v>
      </c>
      <c r="M326" s="271"/>
      <c r="N326" s="271"/>
      <c r="O326" s="271"/>
    </row>
    <row r="327" spans="2:15" x14ac:dyDescent="0.25">
      <c r="B327">
        <v>294</v>
      </c>
      <c r="C327" s="272">
        <f t="shared" si="52"/>
        <v>3.2373301777298313E-17</v>
      </c>
      <c r="D327" s="272">
        <f t="shared" si="56"/>
        <v>0.62918926398802832</v>
      </c>
      <c r="E327" s="272">
        <f t="shared" si="48"/>
        <v>13.779461156691204</v>
      </c>
      <c r="F327" s="271">
        <f t="shared" si="49"/>
        <v>2.2383305629330327E-15</v>
      </c>
      <c r="G327" s="271">
        <f t="shared" si="53"/>
        <v>13.779461156691205</v>
      </c>
      <c r="H327" s="272">
        <f t="shared" si="55"/>
        <v>3.2373301777298313E-17</v>
      </c>
      <c r="I327" s="272">
        <f t="shared" si="57"/>
        <v>0.62918926398802832</v>
      </c>
      <c r="J327" s="272">
        <f t="shared" si="50"/>
        <v>42.739572400766441</v>
      </c>
      <c r="K327" s="271">
        <f t="shared" si="51"/>
        <v>2.2383305629330327E-15</v>
      </c>
      <c r="L327" s="271">
        <f t="shared" si="54"/>
        <v>42.739572400766441</v>
      </c>
      <c r="M327" s="271"/>
      <c r="N327" s="271"/>
      <c r="O327" s="271"/>
    </row>
    <row r="328" spans="2:15" x14ac:dyDescent="0.25">
      <c r="B328">
        <v>295</v>
      </c>
      <c r="C328" s="272">
        <f t="shared" si="52"/>
        <v>3.2373301777298313E-17</v>
      </c>
      <c r="D328" s="272">
        <f t="shared" si="56"/>
        <v>0.62918926398802832</v>
      </c>
      <c r="E328" s="272">
        <f t="shared" si="48"/>
        <v>13.779461156691275</v>
      </c>
      <c r="F328" s="271">
        <f t="shared" si="49"/>
        <v>2.2383305629330327E-15</v>
      </c>
      <c r="G328" s="271">
        <f t="shared" si="53"/>
        <v>13.779461156691276</v>
      </c>
      <c r="H328" s="272">
        <f t="shared" si="55"/>
        <v>3.2373301777298313E-17</v>
      </c>
      <c r="I328" s="272">
        <f t="shared" si="57"/>
        <v>0.62918926398802832</v>
      </c>
      <c r="J328" s="272">
        <f t="shared" si="50"/>
        <v>42.739572400766441</v>
      </c>
      <c r="K328" s="271">
        <f t="shared" si="51"/>
        <v>2.2383305629330327E-15</v>
      </c>
      <c r="L328" s="271">
        <f t="shared" si="54"/>
        <v>42.739572400766441</v>
      </c>
      <c r="M328" s="271"/>
      <c r="N328" s="271"/>
      <c r="O328" s="271"/>
    </row>
    <row r="329" spans="2:15" x14ac:dyDescent="0.25">
      <c r="B329">
        <v>296</v>
      </c>
      <c r="C329" s="272">
        <f t="shared" si="52"/>
        <v>3.2373301777298313E-17</v>
      </c>
      <c r="D329" s="272">
        <f t="shared" si="56"/>
        <v>0.62918926398802832</v>
      </c>
      <c r="E329" s="272">
        <f t="shared" si="48"/>
        <v>13.779461156691346</v>
      </c>
      <c r="F329" s="271">
        <f t="shared" si="49"/>
        <v>2.2383305629330327E-15</v>
      </c>
      <c r="G329" s="271">
        <f t="shared" si="53"/>
        <v>13.779461156691347</v>
      </c>
      <c r="H329" s="272">
        <f t="shared" si="55"/>
        <v>3.2373301777298313E-17</v>
      </c>
      <c r="I329" s="272">
        <f t="shared" si="57"/>
        <v>0.62918926398802832</v>
      </c>
      <c r="J329" s="272">
        <f t="shared" si="50"/>
        <v>42.739572400766441</v>
      </c>
      <c r="K329" s="271">
        <f t="shared" si="51"/>
        <v>2.2383305629330327E-15</v>
      </c>
      <c r="L329" s="271">
        <f t="shared" si="54"/>
        <v>42.739572400766441</v>
      </c>
      <c r="M329" s="271"/>
      <c r="N329" s="271"/>
      <c r="O329" s="271"/>
    </row>
    <row r="330" spans="2:15" x14ac:dyDescent="0.25">
      <c r="B330">
        <v>297</v>
      </c>
      <c r="C330" s="272">
        <f t="shared" si="52"/>
        <v>3.2373301777298313E-17</v>
      </c>
      <c r="D330" s="272">
        <f t="shared" si="56"/>
        <v>0.62918926398802832</v>
      </c>
      <c r="E330" s="272">
        <f t="shared" si="48"/>
        <v>13.779461156691417</v>
      </c>
      <c r="F330" s="271">
        <f t="shared" si="49"/>
        <v>2.2383305629330327E-15</v>
      </c>
      <c r="G330" s="271">
        <f t="shared" si="53"/>
        <v>13.779461156691418</v>
      </c>
      <c r="H330" s="272">
        <f t="shared" si="55"/>
        <v>3.2373301777298313E-17</v>
      </c>
      <c r="I330" s="272">
        <f t="shared" si="57"/>
        <v>0.62918926398802832</v>
      </c>
      <c r="J330" s="272">
        <f t="shared" si="50"/>
        <v>42.739572400766441</v>
      </c>
      <c r="K330" s="271">
        <f t="shared" si="51"/>
        <v>2.2383305629330327E-15</v>
      </c>
      <c r="L330" s="271">
        <f t="shared" si="54"/>
        <v>42.739572400766441</v>
      </c>
      <c r="M330" s="271"/>
      <c r="N330" s="271"/>
      <c r="O330" s="271"/>
    </row>
    <row r="331" spans="2:15" x14ac:dyDescent="0.25">
      <c r="B331">
        <v>298</v>
      </c>
      <c r="C331" s="272">
        <f t="shared" si="52"/>
        <v>3.2373301777298313E-17</v>
      </c>
      <c r="D331" s="272">
        <f t="shared" si="56"/>
        <v>0.62918926398802832</v>
      </c>
      <c r="E331" s="272">
        <f t="shared" si="48"/>
        <v>13.77946115669149</v>
      </c>
      <c r="F331" s="271">
        <f t="shared" si="49"/>
        <v>2.2383305629330327E-15</v>
      </c>
      <c r="G331" s="271">
        <f t="shared" si="53"/>
        <v>13.779461156691491</v>
      </c>
      <c r="H331" s="272">
        <f t="shared" si="55"/>
        <v>3.2373301777298313E-17</v>
      </c>
      <c r="I331" s="272">
        <f t="shared" si="57"/>
        <v>0.62918926398802832</v>
      </c>
      <c r="J331" s="272">
        <f t="shared" si="50"/>
        <v>42.739572400766441</v>
      </c>
      <c r="K331" s="271">
        <f t="shared" si="51"/>
        <v>2.2383305629330327E-15</v>
      </c>
      <c r="L331" s="271">
        <f t="shared" si="54"/>
        <v>42.739572400766441</v>
      </c>
      <c r="M331" s="271"/>
      <c r="N331" s="271"/>
      <c r="O331" s="271"/>
    </row>
    <row r="332" spans="2:15" x14ac:dyDescent="0.25">
      <c r="B332">
        <v>299</v>
      </c>
      <c r="C332" s="272">
        <f t="shared" si="52"/>
        <v>3.2373301777298313E-17</v>
      </c>
      <c r="D332" s="272">
        <f t="shared" si="56"/>
        <v>0.62918926398802832</v>
      </c>
      <c r="E332" s="272">
        <f t="shared" si="48"/>
        <v>13.779461156691562</v>
      </c>
      <c r="F332" s="271">
        <f t="shared" si="49"/>
        <v>2.2383305629330327E-15</v>
      </c>
      <c r="G332" s="271">
        <f t="shared" si="53"/>
        <v>13.779461156691564</v>
      </c>
      <c r="H332" s="272">
        <f t="shared" si="55"/>
        <v>3.2373301777298313E-17</v>
      </c>
      <c r="I332" s="272">
        <f t="shared" si="57"/>
        <v>0.62918926398802832</v>
      </c>
      <c r="J332" s="272">
        <f t="shared" si="50"/>
        <v>42.739572400766441</v>
      </c>
      <c r="K332" s="271">
        <f t="shared" si="51"/>
        <v>2.2383305629330327E-15</v>
      </c>
      <c r="L332" s="271">
        <f t="shared" si="54"/>
        <v>42.739572400766441</v>
      </c>
      <c r="M332" s="271"/>
      <c r="N332" s="271"/>
      <c r="O332" s="271"/>
    </row>
    <row r="333" spans="2:15" x14ac:dyDescent="0.25">
      <c r="B333">
        <v>300</v>
      </c>
      <c r="C333" s="272">
        <f t="shared" si="52"/>
        <v>3.2373301777298313E-17</v>
      </c>
      <c r="D333" s="272">
        <f t="shared" si="56"/>
        <v>0.62918926398802832</v>
      </c>
      <c r="E333" s="272">
        <f t="shared" si="48"/>
        <v>13.779461156691635</v>
      </c>
      <c r="F333" s="271">
        <f t="shared" si="49"/>
        <v>2.2383305629330327E-15</v>
      </c>
      <c r="G333" s="271">
        <f t="shared" si="53"/>
        <v>13.779461156691637</v>
      </c>
      <c r="H333" s="272">
        <f t="shared" si="55"/>
        <v>3.2373301777298313E-17</v>
      </c>
      <c r="I333" s="272">
        <f t="shared" si="57"/>
        <v>0.62918926398802832</v>
      </c>
      <c r="J333" s="272">
        <f t="shared" si="50"/>
        <v>42.739572400766441</v>
      </c>
      <c r="K333" s="271">
        <f t="shared" si="51"/>
        <v>2.2383305629330327E-15</v>
      </c>
      <c r="L333" s="271">
        <f t="shared" si="54"/>
        <v>42.739572400766441</v>
      </c>
      <c r="M333" s="271"/>
      <c r="N333" s="271"/>
      <c r="O333" s="271"/>
    </row>
    <row r="334" spans="2:15" x14ac:dyDescent="0.25">
      <c r="B334">
        <v>301</v>
      </c>
      <c r="C334" s="272">
        <f t="shared" si="52"/>
        <v>3.2373301777298313E-17</v>
      </c>
      <c r="D334" s="272">
        <f t="shared" si="56"/>
        <v>0.62918926398802832</v>
      </c>
      <c r="E334" s="272">
        <f t="shared" si="48"/>
        <v>13.779461156691708</v>
      </c>
      <c r="F334" s="271">
        <f t="shared" si="49"/>
        <v>2.2383305629330327E-15</v>
      </c>
      <c r="G334" s="271">
        <f t="shared" si="53"/>
        <v>13.77946115669171</v>
      </c>
      <c r="H334" s="272">
        <f t="shared" si="55"/>
        <v>3.2373301777298313E-17</v>
      </c>
      <c r="I334" s="272">
        <f t="shared" si="57"/>
        <v>0.62918926398802832</v>
      </c>
      <c r="J334" s="272">
        <f t="shared" si="50"/>
        <v>42.739572400766441</v>
      </c>
      <c r="K334" s="271">
        <f t="shared" si="51"/>
        <v>2.2383305629330327E-15</v>
      </c>
      <c r="L334" s="271">
        <f t="shared" si="54"/>
        <v>42.739572400766441</v>
      </c>
      <c r="M334" s="271"/>
      <c r="N334" s="271"/>
      <c r="O334" s="271"/>
    </row>
    <row r="335" spans="2:15" x14ac:dyDescent="0.25">
      <c r="B335">
        <v>302</v>
      </c>
      <c r="C335" s="272">
        <f t="shared" si="52"/>
        <v>3.2373301777298313E-17</v>
      </c>
      <c r="D335" s="272">
        <f t="shared" si="56"/>
        <v>0.62918926398802832</v>
      </c>
      <c r="E335" s="272">
        <f t="shared" si="48"/>
        <v>13.779461156691781</v>
      </c>
      <c r="F335" s="271">
        <f t="shared" si="49"/>
        <v>2.2383305629330327E-15</v>
      </c>
      <c r="G335" s="271">
        <f t="shared" si="53"/>
        <v>13.779461156691783</v>
      </c>
      <c r="H335" s="272">
        <f t="shared" si="55"/>
        <v>3.2373301777298313E-17</v>
      </c>
      <c r="I335" s="272">
        <f t="shared" si="57"/>
        <v>0.62918926398802832</v>
      </c>
      <c r="J335" s="272">
        <f t="shared" si="50"/>
        <v>42.739572400766441</v>
      </c>
      <c r="K335" s="271">
        <f t="shared" si="51"/>
        <v>2.2383305629330327E-15</v>
      </c>
      <c r="L335" s="271">
        <f t="shared" si="54"/>
        <v>42.739572400766441</v>
      </c>
      <c r="M335" s="271"/>
      <c r="N335" s="271"/>
      <c r="O335" s="271"/>
    </row>
    <row r="336" spans="2:15" x14ac:dyDescent="0.25">
      <c r="B336">
        <v>303</v>
      </c>
      <c r="C336" s="272">
        <f t="shared" si="52"/>
        <v>3.2373301777298313E-17</v>
      </c>
      <c r="D336" s="272">
        <f t="shared" si="56"/>
        <v>0.62918926398802832</v>
      </c>
      <c r="E336" s="272">
        <f t="shared" si="48"/>
        <v>13.779461156691854</v>
      </c>
      <c r="F336" s="271">
        <f t="shared" si="49"/>
        <v>2.2383305629330327E-15</v>
      </c>
      <c r="G336" s="271">
        <f t="shared" si="53"/>
        <v>13.779461156691855</v>
      </c>
      <c r="H336" s="272">
        <f t="shared" si="55"/>
        <v>3.2373301777298313E-17</v>
      </c>
      <c r="I336" s="272">
        <f t="shared" si="57"/>
        <v>0.62918926398802832</v>
      </c>
      <c r="J336" s="272">
        <f t="shared" si="50"/>
        <v>42.739572400766441</v>
      </c>
      <c r="K336" s="271">
        <f t="shared" si="51"/>
        <v>2.2383305629330327E-15</v>
      </c>
      <c r="L336" s="271">
        <f t="shared" si="54"/>
        <v>42.739572400766441</v>
      </c>
      <c r="M336" s="271"/>
      <c r="N336" s="271"/>
      <c r="O336" s="271"/>
    </row>
    <row r="337" spans="2:15" x14ac:dyDescent="0.25">
      <c r="B337">
        <v>304</v>
      </c>
      <c r="C337" s="272">
        <f t="shared" si="52"/>
        <v>3.2373301777298313E-17</v>
      </c>
      <c r="D337" s="272">
        <f t="shared" si="56"/>
        <v>0.62918926398802832</v>
      </c>
      <c r="E337" s="272">
        <f t="shared" si="48"/>
        <v>13.779461156691927</v>
      </c>
      <c r="F337" s="271">
        <f t="shared" si="49"/>
        <v>2.2383305629330327E-15</v>
      </c>
      <c r="G337" s="271">
        <f t="shared" si="53"/>
        <v>13.779461156691928</v>
      </c>
      <c r="H337" s="272">
        <f t="shared" si="55"/>
        <v>3.2373301777298313E-17</v>
      </c>
      <c r="I337" s="272">
        <f t="shared" si="57"/>
        <v>0.62918926398802832</v>
      </c>
      <c r="J337" s="272">
        <f t="shared" si="50"/>
        <v>42.739572400766441</v>
      </c>
      <c r="K337" s="271">
        <f t="shared" si="51"/>
        <v>2.2383305629330327E-15</v>
      </c>
      <c r="L337" s="271">
        <f t="shared" si="54"/>
        <v>42.739572400766441</v>
      </c>
      <c r="M337" s="271"/>
      <c r="N337" s="271"/>
      <c r="O337" s="271"/>
    </row>
    <row r="338" spans="2:15" x14ac:dyDescent="0.25">
      <c r="B338">
        <v>305</v>
      </c>
      <c r="C338" s="272">
        <f t="shared" si="52"/>
        <v>3.2373301777298313E-17</v>
      </c>
      <c r="D338" s="272">
        <f t="shared" si="56"/>
        <v>0.62918926398802832</v>
      </c>
      <c r="E338" s="272">
        <f t="shared" si="48"/>
        <v>13.779461156691999</v>
      </c>
      <c r="F338" s="271">
        <f t="shared" si="49"/>
        <v>2.2383305629330327E-15</v>
      </c>
      <c r="G338" s="271">
        <f t="shared" si="53"/>
        <v>13.779461156692001</v>
      </c>
      <c r="H338" s="272">
        <f t="shared" si="55"/>
        <v>3.2373301777298313E-17</v>
      </c>
      <c r="I338" s="272">
        <f t="shared" si="57"/>
        <v>0.62918926398802832</v>
      </c>
      <c r="J338" s="272">
        <f t="shared" si="50"/>
        <v>42.739572400766441</v>
      </c>
      <c r="K338" s="271">
        <f t="shared" si="51"/>
        <v>2.2383305629330327E-15</v>
      </c>
      <c r="L338" s="271">
        <f t="shared" si="54"/>
        <v>42.739572400766441</v>
      </c>
      <c r="M338" s="271"/>
      <c r="N338" s="271"/>
      <c r="O338" s="271"/>
    </row>
    <row r="339" spans="2:15" x14ac:dyDescent="0.25">
      <c r="B339">
        <v>306</v>
      </c>
      <c r="C339" s="272">
        <f t="shared" si="52"/>
        <v>3.2373301777298313E-17</v>
      </c>
      <c r="D339" s="272">
        <f t="shared" si="56"/>
        <v>0.62918926398802832</v>
      </c>
      <c r="E339" s="272">
        <f t="shared" si="48"/>
        <v>13.779461156692074</v>
      </c>
      <c r="F339" s="271">
        <f t="shared" si="49"/>
        <v>2.2383305629330327E-15</v>
      </c>
      <c r="G339" s="271">
        <f t="shared" si="53"/>
        <v>13.779461156692076</v>
      </c>
      <c r="H339" s="272">
        <f t="shared" si="55"/>
        <v>3.2373301777298313E-17</v>
      </c>
      <c r="I339" s="272">
        <f t="shared" si="57"/>
        <v>0.62918926398802832</v>
      </c>
      <c r="J339" s="272">
        <f t="shared" si="50"/>
        <v>42.739572400766441</v>
      </c>
      <c r="K339" s="271">
        <f t="shared" si="51"/>
        <v>2.2383305629330327E-15</v>
      </c>
      <c r="L339" s="271">
        <f t="shared" si="54"/>
        <v>42.739572400766441</v>
      </c>
      <c r="M339" s="271"/>
      <c r="N339" s="271"/>
      <c r="O339" s="271"/>
    </row>
    <row r="340" spans="2:15" x14ac:dyDescent="0.25">
      <c r="B340">
        <v>307</v>
      </c>
      <c r="C340" s="272">
        <f t="shared" si="52"/>
        <v>3.2373301777298313E-17</v>
      </c>
      <c r="D340" s="272">
        <f t="shared" si="56"/>
        <v>0.62918926398802832</v>
      </c>
      <c r="E340" s="272">
        <f t="shared" si="48"/>
        <v>13.779461156692149</v>
      </c>
      <c r="F340" s="271">
        <f t="shared" si="49"/>
        <v>2.2383305629330327E-15</v>
      </c>
      <c r="G340" s="271">
        <f t="shared" si="53"/>
        <v>13.77946115669215</v>
      </c>
      <c r="H340" s="272">
        <f t="shared" si="55"/>
        <v>3.2373301777298313E-17</v>
      </c>
      <c r="I340" s="272">
        <f t="shared" si="57"/>
        <v>0.62918926398802832</v>
      </c>
      <c r="J340" s="272">
        <f t="shared" si="50"/>
        <v>42.739572400766441</v>
      </c>
      <c r="K340" s="271">
        <f t="shared" si="51"/>
        <v>2.2383305629330327E-15</v>
      </c>
      <c r="L340" s="271">
        <f t="shared" si="54"/>
        <v>42.739572400766441</v>
      </c>
      <c r="M340" s="271"/>
      <c r="N340" s="271"/>
      <c r="O340" s="271"/>
    </row>
    <row r="341" spans="2:15" x14ac:dyDescent="0.25">
      <c r="B341">
        <v>308</v>
      </c>
      <c r="C341" s="272">
        <f t="shared" si="52"/>
        <v>3.2373301777298313E-17</v>
      </c>
      <c r="D341" s="272">
        <f t="shared" si="56"/>
        <v>0.62918926398802832</v>
      </c>
      <c r="E341" s="272">
        <f t="shared" si="48"/>
        <v>13.779461156692223</v>
      </c>
      <c r="F341" s="271">
        <f t="shared" si="49"/>
        <v>2.2383305629330327E-15</v>
      </c>
      <c r="G341" s="271">
        <f t="shared" si="53"/>
        <v>13.779461156692225</v>
      </c>
      <c r="H341" s="272">
        <f t="shared" si="55"/>
        <v>3.2373301777298313E-17</v>
      </c>
      <c r="I341" s="272">
        <f t="shared" si="57"/>
        <v>0.62918926398802832</v>
      </c>
      <c r="J341" s="272">
        <f t="shared" si="50"/>
        <v>42.739572400766441</v>
      </c>
      <c r="K341" s="271">
        <f t="shared" si="51"/>
        <v>2.2383305629330327E-15</v>
      </c>
      <c r="L341" s="271">
        <f t="shared" si="54"/>
        <v>42.739572400766441</v>
      </c>
      <c r="M341" s="271"/>
      <c r="N341" s="271"/>
      <c r="O341" s="271"/>
    </row>
    <row r="342" spans="2:15" x14ac:dyDescent="0.25">
      <c r="B342">
        <v>309</v>
      </c>
      <c r="C342" s="272">
        <f t="shared" si="52"/>
        <v>3.2373301777298313E-17</v>
      </c>
      <c r="D342" s="272">
        <f t="shared" si="56"/>
        <v>0.62918926398802832</v>
      </c>
      <c r="E342" s="272">
        <f t="shared" si="48"/>
        <v>13.779461156692298</v>
      </c>
      <c r="F342" s="271">
        <f t="shared" si="49"/>
        <v>2.2383305629330327E-15</v>
      </c>
      <c r="G342" s="271">
        <f t="shared" si="53"/>
        <v>13.7794611566923</v>
      </c>
      <c r="H342" s="272">
        <f t="shared" si="55"/>
        <v>3.2373301777298313E-17</v>
      </c>
      <c r="I342" s="272">
        <f t="shared" si="57"/>
        <v>0.62918926398802832</v>
      </c>
      <c r="J342" s="272">
        <f t="shared" si="50"/>
        <v>42.739572400766441</v>
      </c>
      <c r="K342" s="271">
        <f t="shared" si="51"/>
        <v>2.2383305629330327E-15</v>
      </c>
      <c r="L342" s="271">
        <f t="shared" si="54"/>
        <v>42.739572400766441</v>
      </c>
      <c r="M342" s="271"/>
      <c r="N342" s="271"/>
      <c r="O342" s="271"/>
    </row>
    <row r="343" spans="2:15" x14ac:dyDescent="0.25">
      <c r="B343">
        <v>310</v>
      </c>
      <c r="C343" s="272">
        <f t="shared" si="52"/>
        <v>3.2373301777298313E-17</v>
      </c>
      <c r="D343" s="272">
        <f t="shared" si="56"/>
        <v>0.62918926398802832</v>
      </c>
      <c r="E343" s="272">
        <f t="shared" si="48"/>
        <v>13.779461156692372</v>
      </c>
      <c r="F343" s="271">
        <f t="shared" si="49"/>
        <v>2.2383305629330327E-15</v>
      </c>
      <c r="G343" s="271">
        <f t="shared" si="53"/>
        <v>13.779461156692374</v>
      </c>
      <c r="H343" s="272">
        <f t="shared" si="55"/>
        <v>3.2373301777298313E-17</v>
      </c>
      <c r="I343" s="272">
        <f t="shared" si="57"/>
        <v>0.62918926398802832</v>
      </c>
      <c r="J343" s="272">
        <f t="shared" si="50"/>
        <v>42.739572400766441</v>
      </c>
      <c r="K343" s="271">
        <f t="shared" si="51"/>
        <v>2.2383305629330327E-15</v>
      </c>
      <c r="L343" s="271">
        <f t="shared" si="54"/>
        <v>42.739572400766441</v>
      </c>
      <c r="M343" s="271"/>
      <c r="N343" s="271"/>
      <c r="O343" s="271"/>
    </row>
    <row r="344" spans="2:15" x14ac:dyDescent="0.25">
      <c r="B344">
        <v>311</v>
      </c>
      <c r="C344" s="272">
        <f t="shared" si="52"/>
        <v>3.2373301777298313E-17</v>
      </c>
      <c r="D344" s="272">
        <f t="shared" si="56"/>
        <v>0.62918926398802832</v>
      </c>
      <c r="E344" s="272">
        <f t="shared" si="48"/>
        <v>13.779461156692447</v>
      </c>
      <c r="F344" s="271">
        <f t="shared" si="49"/>
        <v>2.2383305629330327E-15</v>
      </c>
      <c r="G344" s="271">
        <f t="shared" si="53"/>
        <v>13.779461156692449</v>
      </c>
      <c r="H344" s="272">
        <f t="shared" si="55"/>
        <v>3.2373301777298313E-17</v>
      </c>
      <c r="I344" s="272">
        <f t="shared" si="57"/>
        <v>0.62918926398802832</v>
      </c>
      <c r="J344" s="272">
        <f t="shared" si="50"/>
        <v>42.739572400766441</v>
      </c>
      <c r="K344" s="271">
        <f t="shared" si="51"/>
        <v>2.2383305629330327E-15</v>
      </c>
      <c r="L344" s="271">
        <f t="shared" si="54"/>
        <v>42.739572400766441</v>
      </c>
      <c r="M344" s="271"/>
      <c r="N344" s="271"/>
      <c r="O344" s="271"/>
    </row>
    <row r="345" spans="2:15" x14ac:dyDescent="0.25">
      <c r="B345">
        <v>312</v>
      </c>
      <c r="C345" s="272">
        <f t="shared" si="52"/>
        <v>3.2373301777298313E-17</v>
      </c>
      <c r="D345" s="272">
        <f t="shared" si="56"/>
        <v>0.62918926398802832</v>
      </c>
      <c r="E345" s="272">
        <f t="shared" si="48"/>
        <v>13.779461156692522</v>
      </c>
      <c r="F345" s="271">
        <f t="shared" si="49"/>
        <v>2.2383305629330327E-15</v>
      </c>
      <c r="G345" s="271">
        <f t="shared" si="53"/>
        <v>13.779461156692523</v>
      </c>
      <c r="H345" s="272">
        <f t="shared" si="55"/>
        <v>3.2373301777298313E-17</v>
      </c>
      <c r="I345" s="272">
        <f t="shared" si="57"/>
        <v>0.62918926398802832</v>
      </c>
      <c r="J345" s="272">
        <f t="shared" si="50"/>
        <v>42.739572400766441</v>
      </c>
      <c r="K345" s="271">
        <f t="shared" si="51"/>
        <v>2.2383305629330327E-15</v>
      </c>
      <c r="L345" s="271">
        <f t="shared" si="54"/>
        <v>42.739572400766441</v>
      </c>
      <c r="M345" s="271"/>
      <c r="N345" s="271"/>
      <c r="O345" s="271"/>
    </row>
    <row r="346" spans="2:15" x14ac:dyDescent="0.25">
      <c r="B346">
        <v>313</v>
      </c>
      <c r="C346" s="272">
        <f t="shared" si="52"/>
        <v>3.2373301777298313E-17</v>
      </c>
      <c r="D346" s="272">
        <f t="shared" si="56"/>
        <v>0.62918926398802832</v>
      </c>
      <c r="E346" s="272">
        <f t="shared" si="48"/>
        <v>13.779461156692598</v>
      </c>
      <c r="F346" s="271">
        <f t="shared" si="49"/>
        <v>2.2383305629330327E-15</v>
      </c>
      <c r="G346" s="271">
        <f t="shared" si="53"/>
        <v>13.7794611566926</v>
      </c>
      <c r="H346" s="272">
        <f t="shared" si="55"/>
        <v>3.2373301777298313E-17</v>
      </c>
      <c r="I346" s="272">
        <f t="shared" si="57"/>
        <v>0.62918926398802832</v>
      </c>
      <c r="J346" s="272">
        <f t="shared" si="50"/>
        <v>42.739572400766441</v>
      </c>
      <c r="K346" s="271">
        <f t="shared" si="51"/>
        <v>2.2383305629330327E-15</v>
      </c>
      <c r="L346" s="271">
        <f t="shared" si="54"/>
        <v>42.739572400766441</v>
      </c>
      <c r="M346" s="271"/>
      <c r="N346" s="271"/>
      <c r="O346" s="271"/>
    </row>
    <row r="347" spans="2:15" x14ac:dyDescent="0.25">
      <c r="B347">
        <v>314</v>
      </c>
      <c r="C347" s="272">
        <f t="shared" si="52"/>
        <v>3.2373301777298313E-17</v>
      </c>
      <c r="D347" s="272">
        <f t="shared" si="56"/>
        <v>0.62918926398802832</v>
      </c>
      <c r="E347" s="272">
        <f t="shared" si="48"/>
        <v>13.779461156692674</v>
      </c>
      <c r="F347" s="271">
        <f t="shared" si="49"/>
        <v>2.2383305629330327E-15</v>
      </c>
      <c r="G347" s="271">
        <f t="shared" si="53"/>
        <v>13.779461156692676</v>
      </c>
      <c r="H347" s="272">
        <f t="shared" si="55"/>
        <v>3.2373301777298313E-17</v>
      </c>
      <c r="I347" s="272">
        <f t="shared" si="57"/>
        <v>0.62918926398802832</v>
      </c>
      <c r="J347" s="272">
        <f t="shared" si="50"/>
        <v>42.739572400766441</v>
      </c>
      <c r="K347" s="271">
        <f t="shared" si="51"/>
        <v>2.2383305629330327E-15</v>
      </c>
      <c r="L347" s="271">
        <f t="shared" si="54"/>
        <v>42.739572400766441</v>
      </c>
      <c r="M347" s="271"/>
      <c r="N347" s="271"/>
      <c r="O347" s="271"/>
    </row>
    <row r="348" spans="2:15" x14ac:dyDescent="0.25">
      <c r="B348">
        <v>315</v>
      </c>
      <c r="C348" s="272">
        <f t="shared" si="52"/>
        <v>3.2373301777298313E-17</v>
      </c>
      <c r="D348" s="272">
        <f t="shared" si="56"/>
        <v>0.62918926398802832</v>
      </c>
      <c r="E348" s="272">
        <f t="shared" si="48"/>
        <v>13.779461156692751</v>
      </c>
      <c r="F348" s="271">
        <f t="shared" si="49"/>
        <v>2.2383305629330327E-15</v>
      </c>
      <c r="G348" s="271">
        <f t="shared" si="53"/>
        <v>13.779461156692753</v>
      </c>
      <c r="H348" s="272">
        <f t="shared" si="55"/>
        <v>3.2373301777298313E-17</v>
      </c>
      <c r="I348" s="272">
        <f t="shared" si="57"/>
        <v>0.62918926398802832</v>
      </c>
      <c r="J348" s="272">
        <f t="shared" si="50"/>
        <v>42.739572400766441</v>
      </c>
      <c r="K348" s="271">
        <f t="shared" si="51"/>
        <v>2.2383305629330327E-15</v>
      </c>
      <c r="L348" s="271">
        <f t="shared" si="54"/>
        <v>42.739572400766441</v>
      </c>
      <c r="M348" s="271"/>
      <c r="N348" s="271"/>
      <c r="O348" s="271"/>
    </row>
    <row r="349" spans="2:15" x14ac:dyDescent="0.25">
      <c r="B349">
        <v>316</v>
      </c>
      <c r="C349" s="272">
        <f t="shared" si="52"/>
        <v>3.2373301777298313E-17</v>
      </c>
      <c r="D349" s="272">
        <f t="shared" si="56"/>
        <v>0.62918926398802832</v>
      </c>
      <c r="E349" s="272">
        <f t="shared" si="48"/>
        <v>13.779461156692827</v>
      </c>
      <c r="F349" s="271">
        <f t="shared" si="49"/>
        <v>2.2383305629330327E-15</v>
      </c>
      <c r="G349" s="271">
        <f t="shared" si="53"/>
        <v>13.779461156692829</v>
      </c>
      <c r="H349" s="272">
        <f t="shared" si="55"/>
        <v>3.2373301777298313E-17</v>
      </c>
      <c r="I349" s="272">
        <f t="shared" si="57"/>
        <v>0.62918926398802832</v>
      </c>
      <c r="J349" s="272">
        <f t="shared" si="50"/>
        <v>42.739572400766441</v>
      </c>
      <c r="K349" s="271">
        <f t="shared" si="51"/>
        <v>2.2383305629330327E-15</v>
      </c>
      <c r="L349" s="271">
        <f t="shared" si="54"/>
        <v>42.739572400766441</v>
      </c>
      <c r="M349" s="271"/>
      <c r="N349" s="271"/>
      <c r="O349" s="271"/>
    </row>
    <row r="350" spans="2:15" x14ac:dyDescent="0.25">
      <c r="B350">
        <v>317</v>
      </c>
      <c r="C350" s="272">
        <f t="shared" si="52"/>
        <v>3.2373301777298313E-17</v>
      </c>
      <c r="D350" s="272">
        <f t="shared" si="56"/>
        <v>0.62918926398802832</v>
      </c>
      <c r="E350" s="272">
        <f t="shared" si="48"/>
        <v>13.779461156692904</v>
      </c>
      <c r="F350" s="271">
        <f t="shared" si="49"/>
        <v>2.2383305629330327E-15</v>
      </c>
      <c r="G350" s="271">
        <f t="shared" si="53"/>
        <v>13.779461156692905</v>
      </c>
      <c r="H350" s="272">
        <f t="shared" si="55"/>
        <v>3.2373301777298313E-17</v>
      </c>
      <c r="I350" s="272">
        <f t="shared" si="57"/>
        <v>0.62918926398802832</v>
      </c>
      <c r="J350" s="272">
        <f t="shared" si="50"/>
        <v>42.739572400766441</v>
      </c>
      <c r="K350" s="271">
        <f t="shared" si="51"/>
        <v>2.2383305629330327E-15</v>
      </c>
      <c r="L350" s="271">
        <f t="shared" si="54"/>
        <v>42.739572400766441</v>
      </c>
      <c r="M350" s="271"/>
      <c r="N350" s="271"/>
      <c r="O350" s="271"/>
    </row>
    <row r="351" spans="2:15" x14ac:dyDescent="0.25">
      <c r="B351">
        <v>318</v>
      </c>
      <c r="C351" s="272">
        <f t="shared" si="52"/>
        <v>3.2373301777298313E-17</v>
      </c>
      <c r="D351" s="272">
        <f t="shared" si="56"/>
        <v>0.62918926398802832</v>
      </c>
      <c r="E351" s="272">
        <f t="shared" si="48"/>
        <v>13.77946115669298</v>
      </c>
      <c r="F351" s="271">
        <f t="shared" si="49"/>
        <v>2.2383305629330327E-15</v>
      </c>
      <c r="G351" s="271">
        <f t="shared" si="53"/>
        <v>13.779461156692982</v>
      </c>
      <c r="H351" s="272">
        <f t="shared" si="55"/>
        <v>3.2373301777298313E-17</v>
      </c>
      <c r="I351" s="272">
        <f t="shared" si="57"/>
        <v>0.62918926398802832</v>
      </c>
      <c r="J351" s="272">
        <f t="shared" si="50"/>
        <v>42.739572400766441</v>
      </c>
      <c r="K351" s="271">
        <f t="shared" si="51"/>
        <v>2.2383305629330327E-15</v>
      </c>
      <c r="L351" s="271">
        <f t="shared" si="54"/>
        <v>42.739572400766441</v>
      </c>
      <c r="M351" s="271"/>
      <c r="N351" s="271"/>
      <c r="O351" s="271"/>
    </row>
    <row r="352" spans="2:15" x14ac:dyDescent="0.25">
      <c r="B352">
        <v>319</v>
      </c>
      <c r="C352" s="272">
        <f t="shared" si="52"/>
        <v>3.2373301777298313E-17</v>
      </c>
      <c r="D352" s="272">
        <f t="shared" si="56"/>
        <v>0.62918926398802832</v>
      </c>
      <c r="E352" s="272">
        <f t="shared" si="48"/>
        <v>13.779461156693056</v>
      </c>
      <c r="F352" s="271">
        <f t="shared" si="49"/>
        <v>2.2383305629330327E-15</v>
      </c>
      <c r="G352" s="271">
        <f t="shared" si="53"/>
        <v>13.779461156693058</v>
      </c>
      <c r="H352" s="272">
        <f t="shared" si="55"/>
        <v>3.2373301777298313E-17</v>
      </c>
      <c r="I352" s="272">
        <f t="shared" si="57"/>
        <v>0.62918926398802832</v>
      </c>
      <c r="J352" s="272">
        <f t="shared" si="50"/>
        <v>42.739572400766441</v>
      </c>
      <c r="K352" s="271">
        <f t="shared" si="51"/>
        <v>2.2383305629330327E-15</v>
      </c>
      <c r="L352" s="271">
        <f t="shared" si="54"/>
        <v>42.739572400766441</v>
      </c>
      <c r="M352" s="271"/>
      <c r="N352" s="271"/>
      <c r="O352" s="271"/>
    </row>
    <row r="353" spans="2:15" x14ac:dyDescent="0.25">
      <c r="B353">
        <v>320</v>
      </c>
      <c r="C353" s="272">
        <f t="shared" si="52"/>
        <v>3.2373301777298313E-17</v>
      </c>
      <c r="D353" s="272">
        <f t="shared" si="56"/>
        <v>0.62918926398802832</v>
      </c>
      <c r="E353" s="272">
        <f t="shared" ref="E353:E416" si="58">$D$28*(B353-0.5)*C353+E352</f>
        <v>13.779461156693134</v>
      </c>
      <c r="F353" s="271">
        <f t="shared" ref="F353:F416" si="59">($D$25-D353)*$D$27</f>
        <v>2.2383305629330327E-15</v>
      </c>
      <c r="G353" s="271">
        <f t="shared" si="53"/>
        <v>13.779461156693136</v>
      </c>
      <c r="H353" s="272">
        <f t="shared" si="55"/>
        <v>3.2373301777298313E-17</v>
      </c>
      <c r="I353" s="272">
        <f t="shared" si="57"/>
        <v>0.62918926398802832</v>
      </c>
      <c r="J353" s="272">
        <f t="shared" ref="J353:J416" si="60">$D$28*(G353-0.5)*H353+J352</f>
        <v>42.739572400766441</v>
      </c>
      <c r="K353" s="271">
        <f t="shared" ref="K353:K416" si="61">($D$25-I353)*$D$27</f>
        <v>2.2383305629330327E-15</v>
      </c>
      <c r="L353" s="271">
        <f t="shared" si="54"/>
        <v>42.739572400766441</v>
      </c>
      <c r="M353" s="271"/>
      <c r="N353" s="271"/>
      <c r="O353" s="271"/>
    </row>
    <row r="354" spans="2:15" x14ac:dyDescent="0.25">
      <c r="B354">
        <v>321</v>
      </c>
      <c r="C354" s="272">
        <f t="shared" ref="C354:C417" si="62">($D$25-D353)*(((2*$D$24*(1-$D$24)*$D$11)+($D$24^2 * $D$11^2))/$D$25)</f>
        <v>3.2373301777298313E-17</v>
      </c>
      <c r="D354" s="272">
        <f t="shared" si="56"/>
        <v>0.62918926398802832</v>
      </c>
      <c r="E354" s="272">
        <f t="shared" si="58"/>
        <v>13.779461156693213</v>
      </c>
      <c r="F354" s="271">
        <f t="shared" si="59"/>
        <v>2.2383305629330327E-15</v>
      </c>
      <c r="G354" s="271">
        <f t="shared" ref="G354:G417" si="63">F354+E354</f>
        <v>13.779461156693214</v>
      </c>
      <c r="H354" s="272">
        <f t="shared" si="55"/>
        <v>3.2373301777298313E-17</v>
      </c>
      <c r="I354" s="272">
        <f t="shared" si="57"/>
        <v>0.62918926398802832</v>
      </c>
      <c r="J354" s="272">
        <f t="shared" si="60"/>
        <v>42.739572400766441</v>
      </c>
      <c r="K354" s="271">
        <f t="shared" si="61"/>
        <v>2.2383305629330327E-15</v>
      </c>
      <c r="L354" s="271">
        <f t="shared" ref="L354:L417" si="64">K354+J354</f>
        <v>42.739572400766441</v>
      </c>
      <c r="M354" s="271"/>
      <c r="N354" s="271"/>
      <c r="O354" s="271"/>
    </row>
    <row r="355" spans="2:15" x14ac:dyDescent="0.25">
      <c r="B355">
        <v>322</v>
      </c>
      <c r="C355" s="272">
        <f t="shared" si="62"/>
        <v>3.2373301777298313E-17</v>
      </c>
      <c r="D355" s="272">
        <f t="shared" si="56"/>
        <v>0.62918926398802832</v>
      </c>
      <c r="E355" s="272">
        <f t="shared" si="58"/>
        <v>13.779461156693291</v>
      </c>
      <c r="F355" s="271">
        <f t="shared" si="59"/>
        <v>2.2383305629330327E-15</v>
      </c>
      <c r="G355" s="271">
        <f t="shared" si="63"/>
        <v>13.779461156693293</v>
      </c>
      <c r="H355" s="272">
        <f t="shared" ref="H355:H418" si="65">($D$25-I354)*(((2*$D$24*(1-$D$24)*$D$11)+($D$24^2 * $D$11^2))/$D$25)</f>
        <v>3.2373301777298313E-17</v>
      </c>
      <c r="I355" s="272">
        <f t="shared" si="57"/>
        <v>0.62918926398802832</v>
      </c>
      <c r="J355" s="272">
        <f t="shared" si="60"/>
        <v>42.739572400766441</v>
      </c>
      <c r="K355" s="271">
        <f t="shared" si="61"/>
        <v>2.2383305629330327E-15</v>
      </c>
      <c r="L355" s="271">
        <f t="shared" si="64"/>
        <v>42.739572400766441</v>
      </c>
      <c r="M355" s="271"/>
      <c r="N355" s="271"/>
      <c r="O355" s="271"/>
    </row>
    <row r="356" spans="2:15" x14ac:dyDescent="0.25">
      <c r="B356">
        <v>323</v>
      </c>
      <c r="C356" s="272">
        <f t="shared" si="62"/>
        <v>3.2373301777298313E-17</v>
      </c>
      <c r="D356" s="272">
        <f t="shared" si="56"/>
        <v>0.62918926398802832</v>
      </c>
      <c r="E356" s="272">
        <f t="shared" si="58"/>
        <v>13.779461156693369</v>
      </c>
      <c r="F356" s="271">
        <f t="shared" si="59"/>
        <v>2.2383305629330327E-15</v>
      </c>
      <c r="G356" s="271">
        <f t="shared" si="63"/>
        <v>13.779461156693371</v>
      </c>
      <c r="H356" s="272">
        <f t="shared" si="65"/>
        <v>3.2373301777298313E-17</v>
      </c>
      <c r="I356" s="272">
        <f t="shared" si="57"/>
        <v>0.62918926398802832</v>
      </c>
      <c r="J356" s="272">
        <f t="shared" si="60"/>
        <v>42.739572400766441</v>
      </c>
      <c r="K356" s="271">
        <f t="shared" si="61"/>
        <v>2.2383305629330327E-15</v>
      </c>
      <c r="L356" s="271">
        <f t="shared" si="64"/>
        <v>42.739572400766441</v>
      </c>
      <c r="M356" s="271"/>
      <c r="N356" s="271"/>
      <c r="O356" s="271"/>
    </row>
    <row r="357" spans="2:15" x14ac:dyDescent="0.25">
      <c r="B357">
        <v>324</v>
      </c>
      <c r="C357" s="272">
        <f t="shared" si="62"/>
        <v>3.2373301777298313E-17</v>
      </c>
      <c r="D357" s="272">
        <f t="shared" si="56"/>
        <v>0.62918926398802832</v>
      </c>
      <c r="E357" s="272">
        <f t="shared" si="58"/>
        <v>13.779461156693447</v>
      </c>
      <c r="F357" s="271">
        <f t="shared" si="59"/>
        <v>2.2383305629330327E-15</v>
      </c>
      <c r="G357" s="271">
        <f t="shared" si="63"/>
        <v>13.779461156693449</v>
      </c>
      <c r="H357" s="272">
        <f t="shared" si="65"/>
        <v>3.2373301777298313E-17</v>
      </c>
      <c r="I357" s="272">
        <f t="shared" si="57"/>
        <v>0.62918926398802832</v>
      </c>
      <c r="J357" s="272">
        <f t="shared" si="60"/>
        <v>42.739572400766441</v>
      </c>
      <c r="K357" s="271">
        <f t="shared" si="61"/>
        <v>2.2383305629330327E-15</v>
      </c>
      <c r="L357" s="271">
        <f t="shared" si="64"/>
        <v>42.739572400766441</v>
      </c>
      <c r="M357" s="271"/>
      <c r="N357" s="271"/>
      <c r="O357" s="271"/>
    </row>
    <row r="358" spans="2:15" x14ac:dyDescent="0.25">
      <c r="B358">
        <v>325</v>
      </c>
      <c r="C358" s="272">
        <f t="shared" si="62"/>
        <v>3.2373301777298313E-17</v>
      </c>
      <c r="D358" s="272">
        <f t="shared" si="56"/>
        <v>0.62918926398802832</v>
      </c>
      <c r="E358" s="272">
        <f t="shared" si="58"/>
        <v>13.779461156693525</v>
      </c>
      <c r="F358" s="271">
        <f t="shared" si="59"/>
        <v>2.2383305629330327E-15</v>
      </c>
      <c r="G358" s="271">
        <f t="shared" si="63"/>
        <v>13.779461156693527</v>
      </c>
      <c r="H358" s="272">
        <f t="shared" si="65"/>
        <v>3.2373301777298313E-17</v>
      </c>
      <c r="I358" s="272">
        <f t="shared" si="57"/>
        <v>0.62918926398802832</v>
      </c>
      <c r="J358" s="272">
        <f t="shared" si="60"/>
        <v>42.739572400766441</v>
      </c>
      <c r="K358" s="271">
        <f t="shared" si="61"/>
        <v>2.2383305629330327E-15</v>
      </c>
      <c r="L358" s="271">
        <f t="shared" si="64"/>
        <v>42.739572400766441</v>
      </c>
      <c r="M358" s="271"/>
      <c r="N358" s="271"/>
      <c r="O358" s="271"/>
    </row>
    <row r="359" spans="2:15" x14ac:dyDescent="0.25">
      <c r="B359">
        <v>326</v>
      </c>
      <c r="C359" s="272">
        <f t="shared" si="62"/>
        <v>3.2373301777298313E-17</v>
      </c>
      <c r="D359" s="272">
        <f t="shared" si="56"/>
        <v>0.62918926398802832</v>
      </c>
      <c r="E359" s="272">
        <f t="shared" si="58"/>
        <v>13.779461156693603</v>
      </c>
      <c r="F359" s="271">
        <f t="shared" si="59"/>
        <v>2.2383305629330327E-15</v>
      </c>
      <c r="G359" s="271">
        <f t="shared" si="63"/>
        <v>13.779461156693605</v>
      </c>
      <c r="H359" s="272">
        <f t="shared" si="65"/>
        <v>3.2373301777298313E-17</v>
      </c>
      <c r="I359" s="272">
        <f t="shared" si="57"/>
        <v>0.62918926398802832</v>
      </c>
      <c r="J359" s="272">
        <f t="shared" si="60"/>
        <v>42.739572400766441</v>
      </c>
      <c r="K359" s="271">
        <f t="shared" si="61"/>
        <v>2.2383305629330327E-15</v>
      </c>
      <c r="L359" s="271">
        <f t="shared" si="64"/>
        <v>42.739572400766441</v>
      </c>
      <c r="M359" s="271"/>
      <c r="N359" s="271"/>
      <c r="O359" s="271"/>
    </row>
    <row r="360" spans="2:15" x14ac:dyDescent="0.25">
      <c r="B360">
        <v>327</v>
      </c>
      <c r="C360" s="272">
        <f t="shared" si="62"/>
        <v>3.2373301777298313E-17</v>
      </c>
      <c r="D360" s="272">
        <f t="shared" si="56"/>
        <v>0.62918926398802832</v>
      </c>
      <c r="E360" s="272">
        <f t="shared" si="58"/>
        <v>13.779461156693682</v>
      </c>
      <c r="F360" s="271">
        <f t="shared" si="59"/>
        <v>2.2383305629330327E-15</v>
      </c>
      <c r="G360" s="271">
        <f t="shared" si="63"/>
        <v>13.779461156693683</v>
      </c>
      <c r="H360" s="272">
        <f t="shared" si="65"/>
        <v>3.2373301777298313E-17</v>
      </c>
      <c r="I360" s="272">
        <f t="shared" si="57"/>
        <v>0.62918926398802832</v>
      </c>
      <c r="J360" s="272">
        <f t="shared" si="60"/>
        <v>42.739572400766441</v>
      </c>
      <c r="K360" s="271">
        <f t="shared" si="61"/>
        <v>2.2383305629330327E-15</v>
      </c>
      <c r="L360" s="271">
        <f t="shared" si="64"/>
        <v>42.739572400766441</v>
      </c>
      <c r="M360" s="271"/>
      <c r="N360" s="271"/>
      <c r="O360" s="271"/>
    </row>
    <row r="361" spans="2:15" x14ac:dyDescent="0.25">
      <c r="B361">
        <v>328</v>
      </c>
      <c r="C361" s="272">
        <f t="shared" si="62"/>
        <v>3.2373301777298313E-17</v>
      </c>
      <c r="D361" s="272">
        <f t="shared" ref="D361:D424" si="66">C361+D359</f>
        <v>0.62918926398802832</v>
      </c>
      <c r="E361" s="272">
        <f t="shared" si="58"/>
        <v>13.779461156693761</v>
      </c>
      <c r="F361" s="271">
        <f t="shared" si="59"/>
        <v>2.2383305629330327E-15</v>
      </c>
      <c r="G361" s="271">
        <f t="shared" si="63"/>
        <v>13.779461156693763</v>
      </c>
      <c r="H361" s="272">
        <f t="shared" si="65"/>
        <v>3.2373301777298313E-17</v>
      </c>
      <c r="I361" s="272">
        <f t="shared" ref="I361:I424" si="67">H361+I359</f>
        <v>0.62918926398802832</v>
      </c>
      <c r="J361" s="272">
        <f t="shared" si="60"/>
        <v>42.739572400766441</v>
      </c>
      <c r="K361" s="271">
        <f t="shared" si="61"/>
        <v>2.2383305629330327E-15</v>
      </c>
      <c r="L361" s="271">
        <f t="shared" si="64"/>
        <v>42.739572400766441</v>
      </c>
      <c r="M361" s="271"/>
      <c r="N361" s="271"/>
      <c r="O361" s="271"/>
    </row>
    <row r="362" spans="2:15" x14ac:dyDescent="0.25">
      <c r="B362">
        <v>329</v>
      </c>
      <c r="C362" s="272">
        <f t="shared" si="62"/>
        <v>3.2373301777298313E-17</v>
      </c>
      <c r="D362" s="272">
        <f t="shared" si="66"/>
        <v>0.62918926398802832</v>
      </c>
      <c r="E362" s="272">
        <f t="shared" si="58"/>
        <v>13.779461156693841</v>
      </c>
      <c r="F362" s="271">
        <f t="shared" si="59"/>
        <v>2.2383305629330327E-15</v>
      </c>
      <c r="G362" s="271">
        <f t="shared" si="63"/>
        <v>13.779461156693843</v>
      </c>
      <c r="H362" s="272">
        <f t="shared" si="65"/>
        <v>3.2373301777298313E-17</v>
      </c>
      <c r="I362" s="272">
        <f t="shared" si="67"/>
        <v>0.62918926398802832</v>
      </c>
      <c r="J362" s="272">
        <f t="shared" si="60"/>
        <v>42.739572400766441</v>
      </c>
      <c r="K362" s="271">
        <f t="shared" si="61"/>
        <v>2.2383305629330327E-15</v>
      </c>
      <c r="L362" s="271">
        <f t="shared" si="64"/>
        <v>42.739572400766441</v>
      </c>
      <c r="M362" s="271"/>
      <c r="N362" s="271"/>
      <c r="O362" s="271"/>
    </row>
    <row r="363" spans="2:15" x14ac:dyDescent="0.25">
      <c r="B363">
        <v>330</v>
      </c>
      <c r="C363" s="272">
        <f t="shared" si="62"/>
        <v>3.2373301777298313E-17</v>
      </c>
      <c r="D363" s="272">
        <f t="shared" si="66"/>
        <v>0.62918926398802832</v>
      </c>
      <c r="E363" s="272">
        <f t="shared" si="58"/>
        <v>13.779461156693921</v>
      </c>
      <c r="F363" s="271">
        <f t="shared" si="59"/>
        <v>2.2383305629330327E-15</v>
      </c>
      <c r="G363" s="271">
        <f t="shared" si="63"/>
        <v>13.779461156693923</v>
      </c>
      <c r="H363" s="272">
        <f t="shared" si="65"/>
        <v>3.2373301777298313E-17</v>
      </c>
      <c r="I363" s="272">
        <f t="shared" si="67"/>
        <v>0.62918926398802832</v>
      </c>
      <c r="J363" s="272">
        <f t="shared" si="60"/>
        <v>42.739572400766441</v>
      </c>
      <c r="K363" s="271">
        <f t="shared" si="61"/>
        <v>2.2383305629330327E-15</v>
      </c>
      <c r="L363" s="271">
        <f t="shared" si="64"/>
        <v>42.739572400766441</v>
      </c>
      <c r="M363" s="271"/>
      <c r="N363" s="271"/>
      <c r="O363" s="271"/>
    </row>
    <row r="364" spans="2:15" x14ac:dyDescent="0.25">
      <c r="B364">
        <v>331</v>
      </c>
      <c r="C364" s="272">
        <f t="shared" si="62"/>
        <v>3.2373301777298313E-17</v>
      </c>
      <c r="D364" s="272">
        <f t="shared" si="66"/>
        <v>0.62918926398802832</v>
      </c>
      <c r="E364" s="272">
        <f t="shared" si="58"/>
        <v>13.779461156694001</v>
      </c>
      <c r="F364" s="271">
        <f t="shared" si="59"/>
        <v>2.2383305629330327E-15</v>
      </c>
      <c r="G364" s="271">
        <f t="shared" si="63"/>
        <v>13.779461156694003</v>
      </c>
      <c r="H364" s="272">
        <f t="shared" si="65"/>
        <v>3.2373301777298313E-17</v>
      </c>
      <c r="I364" s="272">
        <f t="shared" si="67"/>
        <v>0.62918926398802832</v>
      </c>
      <c r="J364" s="272">
        <f t="shared" si="60"/>
        <v>42.739572400766441</v>
      </c>
      <c r="K364" s="271">
        <f t="shared" si="61"/>
        <v>2.2383305629330327E-15</v>
      </c>
      <c r="L364" s="271">
        <f t="shared" si="64"/>
        <v>42.739572400766441</v>
      </c>
      <c r="M364" s="271"/>
      <c r="N364" s="271"/>
      <c r="O364" s="271"/>
    </row>
    <row r="365" spans="2:15" x14ac:dyDescent="0.25">
      <c r="B365">
        <v>332</v>
      </c>
      <c r="C365" s="272">
        <f t="shared" si="62"/>
        <v>3.2373301777298313E-17</v>
      </c>
      <c r="D365" s="272">
        <f t="shared" si="66"/>
        <v>0.62918926398802832</v>
      </c>
      <c r="E365" s="272">
        <f t="shared" si="58"/>
        <v>13.779461156694081</v>
      </c>
      <c r="F365" s="271">
        <f t="shared" si="59"/>
        <v>2.2383305629330327E-15</v>
      </c>
      <c r="G365" s="271">
        <f t="shared" si="63"/>
        <v>13.779461156694083</v>
      </c>
      <c r="H365" s="272">
        <f t="shared" si="65"/>
        <v>3.2373301777298313E-17</v>
      </c>
      <c r="I365" s="272">
        <f t="shared" si="67"/>
        <v>0.62918926398802832</v>
      </c>
      <c r="J365" s="272">
        <f t="shared" si="60"/>
        <v>42.739572400766441</v>
      </c>
      <c r="K365" s="271">
        <f t="shared" si="61"/>
        <v>2.2383305629330327E-15</v>
      </c>
      <c r="L365" s="271">
        <f t="shared" si="64"/>
        <v>42.739572400766441</v>
      </c>
      <c r="M365" s="271"/>
      <c r="N365" s="271"/>
      <c r="O365" s="271"/>
    </row>
    <row r="366" spans="2:15" x14ac:dyDescent="0.25">
      <c r="B366">
        <v>333</v>
      </c>
      <c r="C366" s="272">
        <f t="shared" si="62"/>
        <v>3.2373301777298313E-17</v>
      </c>
      <c r="D366" s="272">
        <f t="shared" si="66"/>
        <v>0.62918926398802832</v>
      </c>
      <c r="E366" s="272">
        <f t="shared" si="58"/>
        <v>13.779461156694161</v>
      </c>
      <c r="F366" s="271">
        <f t="shared" si="59"/>
        <v>2.2383305629330327E-15</v>
      </c>
      <c r="G366" s="271">
        <f t="shared" si="63"/>
        <v>13.779461156694163</v>
      </c>
      <c r="H366" s="272">
        <f t="shared" si="65"/>
        <v>3.2373301777298313E-17</v>
      </c>
      <c r="I366" s="272">
        <f t="shared" si="67"/>
        <v>0.62918926398802832</v>
      </c>
      <c r="J366" s="272">
        <f t="shared" si="60"/>
        <v>42.739572400766441</v>
      </c>
      <c r="K366" s="271">
        <f t="shared" si="61"/>
        <v>2.2383305629330327E-15</v>
      </c>
      <c r="L366" s="271">
        <f t="shared" si="64"/>
        <v>42.739572400766441</v>
      </c>
      <c r="M366" s="271"/>
      <c r="N366" s="271"/>
      <c r="O366" s="271"/>
    </row>
    <row r="367" spans="2:15" x14ac:dyDescent="0.25">
      <c r="B367">
        <v>334</v>
      </c>
      <c r="C367" s="272">
        <f t="shared" si="62"/>
        <v>3.2373301777298313E-17</v>
      </c>
      <c r="D367" s="272">
        <f t="shared" si="66"/>
        <v>0.62918926398802832</v>
      </c>
      <c r="E367" s="272">
        <f t="shared" si="58"/>
        <v>13.779461156694241</v>
      </c>
      <c r="F367" s="271">
        <f t="shared" si="59"/>
        <v>2.2383305629330327E-15</v>
      </c>
      <c r="G367" s="271">
        <f t="shared" si="63"/>
        <v>13.779461156694243</v>
      </c>
      <c r="H367" s="272">
        <f t="shared" si="65"/>
        <v>3.2373301777298313E-17</v>
      </c>
      <c r="I367" s="272">
        <f t="shared" si="67"/>
        <v>0.62918926398802832</v>
      </c>
      <c r="J367" s="272">
        <f t="shared" si="60"/>
        <v>42.739572400766441</v>
      </c>
      <c r="K367" s="271">
        <f t="shared" si="61"/>
        <v>2.2383305629330327E-15</v>
      </c>
      <c r="L367" s="271">
        <f t="shared" si="64"/>
        <v>42.739572400766441</v>
      </c>
      <c r="M367" s="271"/>
      <c r="N367" s="271"/>
      <c r="O367" s="271"/>
    </row>
    <row r="368" spans="2:15" x14ac:dyDescent="0.25">
      <c r="B368">
        <v>335</v>
      </c>
      <c r="C368" s="272">
        <f t="shared" si="62"/>
        <v>3.2373301777298313E-17</v>
      </c>
      <c r="D368" s="272">
        <f t="shared" si="66"/>
        <v>0.62918926398802832</v>
      </c>
      <c r="E368" s="272">
        <f t="shared" si="58"/>
        <v>13.779461156694323</v>
      </c>
      <c r="F368" s="271">
        <f t="shared" si="59"/>
        <v>2.2383305629330327E-15</v>
      </c>
      <c r="G368" s="271">
        <f t="shared" si="63"/>
        <v>13.779461156694325</v>
      </c>
      <c r="H368" s="272">
        <f t="shared" si="65"/>
        <v>3.2373301777298313E-17</v>
      </c>
      <c r="I368" s="272">
        <f t="shared" si="67"/>
        <v>0.62918926398802832</v>
      </c>
      <c r="J368" s="272">
        <f t="shared" si="60"/>
        <v>42.739572400766441</v>
      </c>
      <c r="K368" s="271">
        <f t="shared" si="61"/>
        <v>2.2383305629330327E-15</v>
      </c>
      <c r="L368" s="271">
        <f t="shared" si="64"/>
        <v>42.739572400766441</v>
      </c>
      <c r="M368" s="271"/>
      <c r="N368" s="271"/>
      <c r="O368" s="271"/>
    </row>
    <row r="369" spans="2:15" x14ac:dyDescent="0.25">
      <c r="B369">
        <v>336</v>
      </c>
      <c r="C369" s="272">
        <f t="shared" si="62"/>
        <v>3.2373301777298313E-17</v>
      </c>
      <c r="D369" s="272">
        <f t="shared" si="66"/>
        <v>0.62918926398802832</v>
      </c>
      <c r="E369" s="272">
        <f t="shared" si="58"/>
        <v>13.779461156694405</v>
      </c>
      <c r="F369" s="271">
        <f t="shared" si="59"/>
        <v>2.2383305629330327E-15</v>
      </c>
      <c r="G369" s="271">
        <f t="shared" si="63"/>
        <v>13.779461156694406</v>
      </c>
      <c r="H369" s="272">
        <f t="shared" si="65"/>
        <v>3.2373301777298313E-17</v>
      </c>
      <c r="I369" s="272">
        <f t="shared" si="67"/>
        <v>0.62918926398802832</v>
      </c>
      <c r="J369" s="272">
        <f t="shared" si="60"/>
        <v>42.739572400766441</v>
      </c>
      <c r="K369" s="271">
        <f t="shared" si="61"/>
        <v>2.2383305629330327E-15</v>
      </c>
      <c r="L369" s="271">
        <f t="shared" si="64"/>
        <v>42.739572400766441</v>
      </c>
      <c r="M369" s="271"/>
      <c r="N369" s="271"/>
      <c r="O369" s="271"/>
    </row>
    <row r="370" spans="2:15" x14ac:dyDescent="0.25">
      <c r="B370">
        <v>337</v>
      </c>
      <c r="C370" s="272">
        <f t="shared" si="62"/>
        <v>3.2373301777298313E-17</v>
      </c>
      <c r="D370" s="272">
        <f t="shared" si="66"/>
        <v>0.62918926398802832</v>
      </c>
      <c r="E370" s="272">
        <f t="shared" si="58"/>
        <v>13.779461156694486</v>
      </c>
      <c r="F370" s="271">
        <f t="shared" si="59"/>
        <v>2.2383305629330327E-15</v>
      </c>
      <c r="G370" s="271">
        <f t="shared" si="63"/>
        <v>13.779461156694488</v>
      </c>
      <c r="H370" s="272">
        <f t="shared" si="65"/>
        <v>3.2373301777298313E-17</v>
      </c>
      <c r="I370" s="272">
        <f t="shared" si="67"/>
        <v>0.62918926398802832</v>
      </c>
      <c r="J370" s="272">
        <f t="shared" si="60"/>
        <v>42.739572400766441</v>
      </c>
      <c r="K370" s="271">
        <f t="shared" si="61"/>
        <v>2.2383305629330327E-15</v>
      </c>
      <c r="L370" s="271">
        <f t="shared" si="64"/>
        <v>42.739572400766441</v>
      </c>
      <c r="M370" s="271"/>
      <c r="N370" s="271"/>
      <c r="O370" s="271"/>
    </row>
    <row r="371" spans="2:15" x14ac:dyDescent="0.25">
      <c r="B371">
        <v>338</v>
      </c>
      <c r="C371" s="272">
        <f t="shared" si="62"/>
        <v>3.2373301777298313E-17</v>
      </c>
      <c r="D371" s="272">
        <f t="shared" si="66"/>
        <v>0.62918926398802832</v>
      </c>
      <c r="E371" s="272">
        <f t="shared" si="58"/>
        <v>13.779461156694568</v>
      </c>
      <c r="F371" s="271">
        <f t="shared" si="59"/>
        <v>2.2383305629330327E-15</v>
      </c>
      <c r="G371" s="271">
        <f t="shared" si="63"/>
        <v>13.77946115669457</v>
      </c>
      <c r="H371" s="272">
        <f t="shared" si="65"/>
        <v>3.2373301777298313E-17</v>
      </c>
      <c r="I371" s="272">
        <f t="shared" si="67"/>
        <v>0.62918926398802832</v>
      </c>
      <c r="J371" s="272">
        <f t="shared" si="60"/>
        <v>42.739572400766441</v>
      </c>
      <c r="K371" s="271">
        <f t="shared" si="61"/>
        <v>2.2383305629330327E-15</v>
      </c>
      <c r="L371" s="271">
        <f t="shared" si="64"/>
        <v>42.739572400766441</v>
      </c>
      <c r="M371" s="271"/>
      <c r="N371" s="271"/>
      <c r="O371" s="271"/>
    </row>
    <row r="372" spans="2:15" x14ac:dyDescent="0.25">
      <c r="B372">
        <v>339</v>
      </c>
      <c r="C372" s="272">
        <f t="shared" si="62"/>
        <v>3.2373301777298313E-17</v>
      </c>
      <c r="D372" s="272">
        <f t="shared" si="66"/>
        <v>0.62918926398802832</v>
      </c>
      <c r="E372" s="272">
        <f t="shared" si="58"/>
        <v>13.77946115669465</v>
      </c>
      <c r="F372" s="271">
        <f t="shared" si="59"/>
        <v>2.2383305629330327E-15</v>
      </c>
      <c r="G372" s="271">
        <f t="shared" si="63"/>
        <v>13.779461156694651</v>
      </c>
      <c r="H372" s="272">
        <f t="shared" si="65"/>
        <v>3.2373301777298313E-17</v>
      </c>
      <c r="I372" s="272">
        <f t="shared" si="67"/>
        <v>0.62918926398802832</v>
      </c>
      <c r="J372" s="272">
        <f t="shared" si="60"/>
        <v>42.739572400766441</v>
      </c>
      <c r="K372" s="271">
        <f t="shared" si="61"/>
        <v>2.2383305629330327E-15</v>
      </c>
      <c r="L372" s="271">
        <f t="shared" si="64"/>
        <v>42.739572400766441</v>
      </c>
      <c r="M372" s="271"/>
      <c r="N372" s="271"/>
      <c r="O372" s="271"/>
    </row>
    <row r="373" spans="2:15" x14ac:dyDescent="0.25">
      <c r="B373">
        <v>340</v>
      </c>
      <c r="C373" s="272">
        <f t="shared" si="62"/>
        <v>3.2373301777298313E-17</v>
      </c>
      <c r="D373" s="272">
        <f t="shared" si="66"/>
        <v>0.62918926398802832</v>
      </c>
      <c r="E373" s="272">
        <f t="shared" si="58"/>
        <v>13.779461156694731</v>
      </c>
      <c r="F373" s="271">
        <f t="shared" si="59"/>
        <v>2.2383305629330327E-15</v>
      </c>
      <c r="G373" s="271">
        <f t="shared" si="63"/>
        <v>13.779461156694733</v>
      </c>
      <c r="H373" s="272">
        <f t="shared" si="65"/>
        <v>3.2373301777298313E-17</v>
      </c>
      <c r="I373" s="272">
        <f t="shared" si="67"/>
        <v>0.62918926398802832</v>
      </c>
      <c r="J373" s="272">
        <f t="shared" si="60"/>
        <v>42.739572400766441</v>
      </c>
      <c r="K373" s="271">
        <f t="shared" si="61"/>
        <v>2.2383305629330327E-15</v>
      </c>
      <c r="L373" s="271">
        <f t="shared" si="64"/>
        <v>42.739572400766441</v>
      </c>
      <c r="M373" s="271"/>
      <c r="N373" s="271"/>
      <c r="O373" s="271"/>
    </row>
    <row r="374" spans="2:15" x14ac:dyDescent="0.25">
      <c r="B374">
        <v>341</v>
      </c>
      <c r="C374" s="272">
        <f t="shared" si="62"/>
        <v>3.2373301777298313E-17</v>
      </c>
      <c r="D374" s="272">
        <f t="shared" si="66"/>
        <v>0.62918926398802832</v>
      </c>
      <c r="E374" s="272">
        <f t="shared" si="58"/>
        <v>13.779461156694813</v>
      </c>
      <c r="F374" s="271">
        <f t="shared" si="59"/>
        <v>2.2383305629330327E-15</v>
      </c>
      <c r="G374" s="271">
        <f t="shared" si="63"/>
        <v>13.779461156694815</v>
      </c>
      <c r="H374" s="272">
        <f t="shared" si="65"/>
        <v>3.2373301777298313E-17</v>
      </c>
      <c r="I374" s="272">
        <f t="shared" si="67"/>
        <v>0.62918926398802832</v>
      </c>
      <c r="J374" s="272">
        <f t="shared" si="60"/>
        <v>42.739572400766441</v>
      </c>
      <c r="K374" s="271">
        <f t="shared" si="61"/>
        <v>2.2383305629330327E-15</v>
      </c>
      <c r="L374" s="271">
        <f t="shared" si="64"/>
        <v>42.739572400766441</v>
      </c>
      <c r="M374" s="271"/>
      <c r="N374" s="271"/>
      <c r="O374" s="271"/>
    </row>
    <row r="375" spans="2:15" x14ac:dyDescent="0.25">
      <c r="B375">
        <v>342</v>
      </c>
      <c r="C375" s="272">
        <f t="shared" si="62"/>
        <v>3.2373301777298313E-17</v>
      </c>
      <c r="D375" s="272">
        <f t="shared" si="66"/>
        <v>0.62918926398802832</v>
      </c>
      <c r="E375" s="272">
        <f t="shared" si="58"/>
        <v>13.779461156694897</v>
      </c>
      <c r="F375" s="271">
        <f t="shared" si="59"/>
        <v>2.2383305629330327E-15</v>
      </c>
      <c r="G375" s="271">
        <f t="shared" si="63"/>
        <v>13.779461156694898</v>
      </c>
      <c r="H375" s="272">
        <f t="shared" si="65"/>
        <v>3.2373301777298313E-17</v>
      </c>
      <c r="I375" s="272">
        <f t="shared" si="67"/>
        <v>0.62918926398802832</v>
      </c>
      <c r="J375" s="272">
        <f t="shared" si="60"/>
        <v>42.739572400766441</v>
      </c>
      <c r="K375" s="271">
        <f t="shared" si="61"/>
        <v>2.2383305629330327E-15</v>
      </c>
      <c r="L375" s="271">
        <f t="shared" si="64"/>
        <v>42.739572400766441</v>
      </c>
      <c r="M375" s="271"/>
      <c r="N375" s="271"/>
      <c r="O375" s="271"/>
    </row>
    <row r="376" spans="2:15" x14ac:dyDescent="0.25">
      <c r="B376">
        <v>343</v>
      </c>
      <c r="C376" s="272">
        <f t="shared" si="62"/>
        <v>3.2373301777298313E-17</v>
      </c>
      <c r="D376" s="272">
        <f t="shared" si="66"/>
        <v>0.62918926398802832</v>
      </c>
      <c r="E376" s="272">
        <f t="shared" si="58"/>
        <v>13.77946115669498</v>
      </c>
      <c r="F376" s="271">
        <f t="shared" si="59"/>
        <v>2.2383305629330327E-15</v>
      </c>
      <c r="G376" s="271">
        <f t="shared" si="63"/>
        <v>13.779461156694982</v>
      </c>
      <c r="H376" s="272">
        <f t="shared" si="65"/>
        <v>3.2373301777298313E-17</v>
      </c>
      <c r="I376" s="272">
        <f t="shared" si="67"/>
        <v>0.62918926398802832</v>
      </c>
      <c r="J376" s="272">
        <f t="shared" si="60"/>
        <v>42.739572400766441</v>
      </c>
      <c r="K376" s="271">
        <f t="shared" si="61"/>
        <v>2.2383305629330327E-15</v>
      </c>
      <c r="L376" s="271">
        <f t="shared" si="64"/>
        <v>42.739572400766441</v>
      </c>
      <c r="M376" s="271"/>
      <c r="N376" s="271"/>
      <c r="O376" s="271"/>
    </row>
    <row r="377" spans="2:15" x14ac:dyDescent="0.25">
      <c r="B377">
        <v>344</v>
      </c>
      <c r="C377" s="272">
        <f t="shared" si="62"/>
        <v>3.2373301777298313E-17</v>
      </c>
      <c r="D377" s="272">
        <f t="shared" si="66"/>
        <v>0.62918926398802832</v>
      </c>
      <c r="E377" s="272">
        <f t="shared" si="58"/>
        <v>13.779461156695064</v>
      </c>
      <c r="F377" s="271">
        <f t="shared" si="59"/>
        <v>2.2383305629330327E-15</v>
      </c>
      <c r="G377" s="271">
        <f t="shared" si="63"/>
        <v>13.779461156695065</v>
      </c>
      <c r="H377" s="272">
        <f t="shared" si="65"/>
        <v>3.2373301777298313E-17</v>
      </c>
      <c r="I377" s="272">
        <f t="shared" si="67"/>
        <v>0.62918926398802832</v>
      </c>
      <c r="J377" s="272">
        <f t="shared" si="60"/>
        <v>42.739572400766441</v>
      </c>
      <c r="K377" s="271">
        <f t="shared" si="61"/>
        <v>2.2383305629330327E-15</v>
      </c>
      <c r="L377" s="271">
        <f t="shared" si="64"/>
        <v>42.739572400766441</v>
      </c>
      <c r="M377" s="271"/>
      <c r="N377" s="271"/>
      <c r="O377" s="271"/>
    </row>
    <row r="378" spans="2:15" x14ac:dyDescent="0.25">
      <c r="B378">
        <v>345</v>
      </c>
      <c r="C378" s="272">
        <f t="shared" si="62"/>
        <v>3.2373301777298313E-17</v>
      </c>
      <c r="D378" s="272">
        <f t="shared" si="66"/>
        <v>0.62918926398802832</v>
      </c>
      <c r="E378" s="272">
        <f t="shared" si="58"/>
        <v>13.779461156695147</v>
      </c>
      <c r="F378" s="271">
        <f t="shared" si="59"/>
        <v>2.2383305629330327E-15</v>
      </c>
      <c r="G378" s="271">
        <f t="shared" si="63"/>
        <v>13.779461156695149</v>
      </c>
      <c r="H378" s="272">
        <f t="shared" si="65"/>
        <v>3.2373301777298313E-17</v>
      </c>
      <c r="I378" s="272">
        <f t="shared" si="67"/>
        <v>0.62918926398802832</v>
      </c>
      <c r="J378" s="272">
        <f t="shared" si="60"/>
        <v>42.739572400766441</v>
      </c>
      <c r="K378" s="271">
        <f t="shared" si="61"/>
        <v>2.2383305629330327E-15</v>
      </c>
      <c r="L378" s="271">
        <f t="shared" si="64"/>
        <v>42.739572400766441</v>
      </c>
      <c r="M378" s="271"/>
      <c r="N378" s="271"/>
      <c r="O378" s="271"/>
    </row>
    <row r="379" spans="2:15" x14ac:dyDescent="0.25">
      <c r="B379">
        <v>346</v>
      </c>
      <c r="C379" s="272">
        <f t="shared" si="62"/>
        <v>3.2373301777298313E-17</v>
      </c>
      <c r="D379" s="272">
        <f t="shared" si="66"/>
        <v>0.62918926398802832</v>
      </c>
      <c r="E379" s="272">
        <f t="shared" si="58"/>
        <v>13.779461156695231</v>
      </c>
      <c r="F379" s="271">
        <f t="shared" si="59"/>
        <v>2.2383305629330327E-15</v>
      </c>
      <c r="G379" s="271">
        <f t="shared" si="63"/>
        <v>13.779461156695232</v>
      </c>
      <c r="H379" s="272">
        <f t="shared" si="65"/>
        <v>3.2373301777298313E-17</v>
      </c>
      <c r="I379" s="272">
        <f t="shared" si="67"/>
        <v>0.62918926398802832</v>
      </c>
      <c r="J379" s="272">
        <f t="shared" si="60"/>
        <v>42.739572400766441</v>
      </c>
      <c r="K379" s="271">
        <f t="shared" si="61"/>
        <v>2.2383305629330327E-15</v>
      </c>
      <c r="L379" s="271">
        <f t="shared" si="64"/>
        <v>42.739572400766441</v>
      </c>
      <c r="M379" s="271"/>
      <c r="N379" s="271"/>
      <c r="O379" s="271"/>
    </row>
    <row r="380" spans="2:15" x14ac:dyDescent="0.25">
      <c r="B380">
        <v>347</v>
      </c>
      <c r="C380" s="272">
        <f t="shared" si="62"/>
        <v>3.2373301777298313E-17</v>
      </c>
      <c r="D380" s="272">
        <f t="shared" si="66"/>
        <v>0.62918926398802832</v>
      </c>
      <c r="E380" s="272">
        <f t="shared" si="58"/>
        <v>13.779461156695314</v>
      </c>
      <c r="F380" s="271">
        <f t="shared" si="59"/>
        <v>2.2383305629330327E-15</v>
      </c>
      <c r="G380" s="271">
        <f t="shared" si="63"/>
        <v>13.779461156695316</v>
      </c>
      <c r="H380" s="272">
        <f t="shared" si="65"/>
        <v>3.2373301777298313E-17</v>
      </c>
      <c r="I380" s="272">
        <f t="shared" si="67"/>
        <v>0.62918926398802832</v>
      </c>
      <c r="J380" s="272">
        <f t="shared" si="60"/>
        <v>42.739572400766441</v>
      </c>
      <c r="K380" s="271">
        <f t="shared" si="61"/>
        <v>2.2383305629330327E-15</v>
      </c>
      <c r="L380" s="271">
        <f t="shared" si="64"/>
        <v>42.739572400766441</v>
      </c>
      <c r="M380" s="271"/>
      <c r="N380" s="271"/>
      <c r="O380" s="271"/>
    </row>
    <row r="381" spans="2:15" x14ac:dyDescent="0.25">
      <c r="B381">
        <v>348</v>
      </c>
      <c r="C381" s="272">
        <f t="shared" si="62"/>
        <v>3.2373301777298313E-17</v>
      </c>
      <c r="D381" s="272">
        <f t="shared" si="66"/>
        <v>0.62918926398802832</v>
      </c>
      <c r="E381" s="272">
        <f t="shared" si="58"/>
        <v>13.779461156695398</v>
      </c>
      <c r="F381" s="271">
        <f t="shared" si="59"/>
        <v>2.2383305629330327E-15</v>
      </c>
      <c r="G381" s="271">
        <f t="shared" si="63"/>
        <v>13.779461156695399</v>
      </c>
      <c r="H381" s="272">
        <f t="shared" si="65"/>
        <v>3.2373301777298313E-17</v>
      </c>
      <c r="I381" s="272">
        <f t="shared" si="67"/>
        <v>0.62918926398802832</v>
      </c>
      <c r="J381" s="272">
        <f t="shared" si="60"/>
        <v>42.739572400766441</v>
      </c>
      <c r="K381" s="271">
        <f t="shared" si="61"/>
        <v>2.2383305629330327E-15</v>
      </c>
      <c r="L381" s="271">
        <f t="shared" si="64"/>
        <v>42.739572400766441</v>
      </c>
      <c r="M381" s="271"/>
      <c r="N381" s="271"/>
      <c r="O381" s="271"/>
    </row>
    <row r="382" spans="2:15" x14ac:dyDescent="0.25">
      <c r="B382">
        <v>349</v>
      </c>
      <c r="C382" s="272">
        <f t="shared" si="62"/>
        <v>3.2373301777298313E-17</v>
      </c>
      <c r="D382" s="272">
        <f t="shared" si="66"/>
        <v>0.62918926398802832</v>
      </c>
      <c r="E382" s="272">
        <f t="shared" si="58"/>
        <v>13.779461156695481</v>
      </c>
      <c r="F382" s="271">
        <f t="shared" si="59"/>
        <v>2.2383305629330327E-15</v>
      </c>
      <c r="G382" s="271">
        <f t="shared" si="63"/>
        <v>13.779461156695483</v>
      </c>
      <c r="H382" s="272">
        <f t="shared" si="65"/>
        <v>3.2373301777298313E-17</v>
      </c>
      <c r="I382" s="272">
        <f t="shared" si="67"/>
        <v>0.62918926398802832</v>
      </c>
      <c r="J382" s="272">
        <f t="shared" si="60"/>
        <v>42.739572400766441</v>
      </c>
      <c r="K382" s="271">
        <f t="shared" si="61"/>
        <v>2.2383305629330327E-15</v>
      </c>
      <c r="L382" s="271">
        <f t="shared" si="64"/>
        <v>42.739572400766441</v>
      </c>
      <c r="M382" s="271"/>
      <c r="N382" s="271"/>
      <c r="O382" s="271"/>
    </row>
    <row r="383" spans="2:15" x14ac:dyDescent="0.25">
      <c r="B383">
        <v>350</v>
      </c>
      <c r="C383" s="272">
        <f t="shared" si="62"/>
        <v>3.2373301777298313E-17</v>
      </c>
      <c r="D383" s="272">
        <f t="shared" si="66"/>
        <v>0.62918926398802832</v>
      </c>
      <c r="E383" s="272">
        <f t="shared" si="58"/>
        <v>13.779461156695566</v>
      </c>
      <c r="F383" s="271">
        <f t="shared" si="59"/>
        <v>2.2383305629330327E-15</v>
      </c>
      <c r="G383" s="271">
        <f t="shared" si="63"/>
        <v>13.779461156695568</v>
      </c>
      <c r="H383" s="272">
        <f t="shared" si="65"/>
        <v>3.2373301777298313E-17</v>
      </c>
      <c r="I383" s="272">
        <f t="shared" si="67"/>
        <v>0.62918926398802832</v>
      </c>
      <c r="J383" s="272">
        <f t="shared" si="60"/>
        <v>42.739572400766441</v>
      </c>
      <c r="K383" s="271">
        <f t="shared" si="61"/>
        <v>2.2383305629330327E-15</v>
      </c>
      <c r="L383" s="271">
        <f t="shared" si="64"/>
        <v>42.739572400766441</v>
      </c>
      <c r="M383" s="271"/>
      <c r="N383" s="271"/>
      <c r="O383" s="271"/>
    </row>
    <row r="384" spans="2:15" x14ac:dyDescent="0.25">
      <c r="B384">
        <v>351</v>
      </c>
      <c r="C384" s="272">
        <f t="shared" si="62"/>
        <v>3.2373301777298313E-17</v>
      </c>
      <c r="D384" s="272">
        <f t="shared" si="66"/>
        <v>0.62918926398802832</v>
      </c>
      <c r="E384" s="272">
        <f t="shared" si="58"/>
        <v>13.779461156695652</v>
      </c>
      <c r="F384" s="271">
        <f t="shared" si="59"/>
        <v>2.2383305629330327E-15</v>
      </c>
      <c r="G384" s="271">
        <f t="shared" si="63"/>
        <v>13.779461156695653</v>
      </c>
      <c r="H384" s="272">
        <f t="shared" si="65"/>
        <v>3.2373301777298313E-17</v>
      </c>
      <c r="I384" s="272">
        <f t="shared" si="67"/>
        <v>0.62918926398802832</v>
      </c>
      <c r="J384" s="272">
        <f t="shared" si="60"/>
        <v>42.739572400766441</v>
      </c>
      <c r="K384" s="271">
        <f t="shared" si="61"/>
        <v>2.2383305629330327E-15</v>
      </c>
      <c r="L384" s="271">
        <f t="shared" si="64"/>
        <v>42.739572400766441</v>
      </c>
      <c r="M384" s="271"/>
      <c r="N384" s="271"/>
      <c r="O384" s="271"/>
    </row>
    <row r="385" spans="2:15" x14ac:dyDescent="0.25">
      <c r="B385">
        <v>352</v>
      </c>
      <c r="C385" s="272">
        <f t="shared" si="62"/>
        <v>3.2373301777298313E-17</v>
      </c>
      <c r="D385" s="272">
        <f t="shared" si="66"/>
        <v>0.62918926398802832</v>
      </c>
      <c r="E385" s="272">
        <f t="shared" si="58"/>
        <v>13.779461156695737</v>
      </c>
      <c r="F385" s="271">
        <f t="shared" si="59"/>
        <v>2.2383305629330327E-15</v>
      </c>
      <c r="G385" s="271">
        <f t="shared" si="63"/>
        <v>13.779461156695739</v>
      </c>
      <c r="H385" s="272">
        <f t="shared" si="65"/>
        <v>3.2373301777298313E-17</v>
      </c>
      <c r="I385" s="272">
        <f t="shared" si="67"/>
        <v>0.62918926398802832</v>
      </c>
      <c r="J385" s="272">
        <f t="shared" si="60"/>
        <v>42.739572400766441</v>
      </c>
      <c r="K385" s="271">
        <f t="shared" si="61"/>
        <v>2.2383305629330327E-15</v>
      </c>
      <c r="L385" s="271">
        <f t="shared" si="64"/>
        <v>42.739572400766441</v>
      </c>
      <c r="M385" s="271"/>
      <c r="N385" s="271"/>
      <c r="O385" s="271"/>
    </row>
    <row r="386" spans="2:15" x14ac:dyDescent="0.25">
      <c r="B386">
        <v>353</v>
      </c>
      <c r="C386" s="272">
        <f t="shared" si="62"/>
        <v>3.2373301777298313E-17</v>
      </c>
      <c r="D386" s="272">
        <f t="shared" si="66"/>
        <v>0.62918926398802832</v>
      </c>
      <c r="E386" s="272">
        <f t="shared" si="58"/>
        <v>13.779461156695822</v>
      </c>
      <c r="F386" s="271">
        <f t="shared" si="59"/>
        <v>2.2383305629330327E-15</v>
      </c>
      <c r="G386" s="271">
        <f t="shared" si="63"/>
        <v>13.779461156695824</v>
      </c>
      <c r="H386" s="272">
        <f t="shared" si="65"/>
        <v>3.2373301777298313E-17</v>
      </c>
      <c r="I386" s="272">
        <f t="shared" si="67"/>
        <v>0.62918926398802832</v>
      </c>
      <c r="J386" s="272">
        <f t="shared" si="60"/>
        <v>42.739572400766441</v>
      </c>
      <c r="K386" s="271">
        <f t="shared" si="61"/>
        <v>2.2383305629330327E-15</v>
      </c>
      <c r="L386" s="271">
        <f t="shared" si="64"/>
        <v>42.739572400766441</v>
      </c>
      <c r="M386" s="271"/>
      <c r="N386" s="271"/>
      <c r="O386" s="271"/>
    </row>
    <row r="387" spans="2:15" x14ac:dyDescent="0.25">
      <c r="B387">
        <v>354</v>
      </c>
      <c r="C387" s="272">
        <f t="shared" si="62"/>
        <v>3.2373301777298313E-17</v>
      </c>
      <c r="D387" s="272">
        <f t="shared" si="66"/>
        <v>0.62918926398802832</v>
      </c>
      <c r="E387" s="272">
        <f t="shared" si="58"/>
        <v>13.779461156695907</v>
      </c>
      <c r="F387" s="271">
        <f t="shared" si="59"/>
        <v>2.2383305629330327E-15</v>
      </c>
      <c r="G387" s="271">
        <f t="shared" si="63"/>
        <v>13.779461156695909</v>
      </c>
      <c r="H387" s="272">
        <f t="shared" si="65"/>
        <v>3.2373301777298313E-17</v>
      </c>
      <c r="I387" s="272">
        <f t="shared" si="67"/>
        <v>0.62918926398802832</v>
      </c>
      <c r="J387" s="272">
        <f t="shared" si="60"/>
        <v>42.739572400766441</v>
      </c>
      <c r="K387" s="271">
        <f t="shared" si="61"/>
        <v>2.2383305629330327E-15</v>
      </c>
      <c r="L387" s="271">
        <f t="shared" si="64"/>
        <v>42.739572400766441</v>
      </c>
      <c r="M387" s="271"/>
      <c r="N387" s="271"/>
      <c r="O387" s="271"/>
    </row>
    <row r="388" spans="2:15" x14ac:dyDescent="0.25">
      <c r="B388">
        <v>355</v>
      </c>
      <c r="C388" s="272">
        <f t="shared" si="62"/>
        <v>3.2373301777298313E-17</v>
      </c>
      <c r="D388" s="272">
        <f t="shared" si="66"/>
        <v>0.62918926398802832</v>
      </c>
      <c r="E388" s="272">
        <f t="shared" si="58"/>
        <v>13.779461156695993</v>
      </c>
      <c r="F388" s="271">
        <f t="shared" si="59"/>
        <v>2.2383305629330327E-15</v>
      </c>
      <c r="G388" s="271">
        <f t="shared" si="63"/>
        <v>13.779461156695994</v>
      </c>
      <c r="H388" s="272">
        <f t="shared" si="65"/>
        <v>3.2373301777298313E-17</v>
      </c>
      <c r="I388" s="272">
        <f t="shared" si="67"/>
        <v>0.62918926398802832</v>
      </c>
      <c r="J388" s="272">
        <f t="shared" si="60"/>
        <v>42.739572400766441</v>
      </c>
      <c r="K388" s="271">
        <f t="shared" si="61"/>
        <v>2.2383305629330327E-15</v>
      </c>
      <c r="L388" s="271">
        <f t="shared" si="64"/>
        <v>42.739572400766441</v>
      </c>
      <c r="M388" s="271"/>
      <c r="N388" s="271"/>
      <c r="O388" s="271"/>
    </row>
    <row r="389" spans="2:15" x14ac:dyDescent="0.25">
      <c r="B389">
        <v>356</v>
      </c>
      <c r="C389" s="272">
        <f t="shared" si="62"/>
        <v>3.2373301777298313E-17</v>
      </c>
      <c r="D389" s="272">
        <f t="shared" si="66"/>
        <v>0.62918926398802832</v>
      </c>
      <c r="E389" s="272">
        <f t="shared" si="58"/>
        <v>13.779461156696078</v>
      </c>
      <c r="F389" s="271">
        <f t="shared" si="59"/>
        <v>2.2383305629330327E-15</v>
      </c>
      <c r="G389" s="271">
        <f t="shared" si="63"/>
        <v>13.77946115669608</v>
      </c>
      <c r="H389" s="272">
        <f t="shared" si="65"/>
        <v>3.2373301777298313E-17</v>
      </c>
      <c r="I389" s="272">
        <f t="shared" si="67"/>
        <v>0.62918926398802832</v>
      </c>
      <c r="J389" s="272">
        <f t="shared" si="60"/>
        <v>42.739572400766441</v>
      </c>
      <c r="K389" s="271">
        <f t="shared" si="61"/>
        <v>2.2383305629330327E-15</v>
      </c>
      <c r="L389" s="271">
        <f t="shared" si="64"/>
        <v>42.739572400766441</v>
      </c>
      <c r="M389" s="271"/>
      <c r="N389" s="271"/>
      <c r="O389" s="271"/>
    </row>
    <row r="390" spans="2:15" x14ac:dyDescent="0.25">
      <c r="B390">
        <v>357</v>
      </c>
      <c r="C390" s="272">
        <f t="shared" si="62"/>
        <v>3.2373301777298313E-17</v>
      </c>
      <c r="D390" s="272">
        <f t="shared" si="66"/>
        <v>0.62918926398802832</v>
      </c>
      <c r="E390" s="272">
        <f t="shared" si="58"/>
        <v>13.779461156696165</v>
      </c>
      <c r="F390" s="271">
        <f t="shared" si="59"/>
        <v>2.2383305629330327E-15</v>
      </c>
      <c r="G390" s="271">
        <f t="shared" si="63"/>
        <v>13.779461156696167</v>
      </c>
      <c r="H390" s="272">
        <f t="shared" si="65"/>
        <v>3.2373301777298313E-17</v>
      </c>
      <c r="I390" s="272">
        <f t="shared" si="67"/>
        <v>0.62918926398802832</v>
      </c>
      <c r="J390" s="272">
        <f t="shared" si="60"/>
        <v>42.739572400766441</v>
      </c>
      <c r="K390" s="271">
        <f t="shared" si="61"/>
        <v>2.2383305629330327E-15</v>
      </c>
      <c r="L390" s="271">
        <f t="shared" si="64"/>
        <v>42.739572400766441</v>
      </c>
      <c r="M390" s="271"/>
      <c r="N390" s="271"/>
      <c r="O390" s="271"/>
    </row>
    <row r="391" spans="2:15" x14ac:dyDescent="0.25">
      <c r="B391">
        <v>358</v>
      </c>
      <c r="C391" s="272">
        <f t="shared" si="62"/>
        <v>3.2373301777298313E-17</v>
      </c>
      <c r="D391" s="272">
        <f t="shared" si="66"/>
        <v>0.62918926398802832</v>
      </c>
      <c r="E391" s="272">
        <f t="shared" si="58"/>
        <v>13.779461156696252</v>
      </c>
      <c r="F391" s="271">
        <f t="shared" si="59"/>
        <v>2.2383305629330327E-15</v>
      </c>
      <c r="G391" s="271">
        <f t="shared" si="63"/>
        <v>13.779461156696254</v>
      </c>
      <c r="H391" s="272">
        <f t="shared" si="65"/>
        <v>3.2373301777298313E-17</v>
      </c>
      <c r="I391" s="272">
        <f t="shared" si="67"/>
        <v>0.62918926398802832</v>
      </c>
      <c r="J391" s="272">
        <f t="shared" si="60"/>
        <v>42.739572400766441</v>
      </c>
      <c r="K391" s="271">
        <f t="shared" si="61"/>
        <v>2.2383305629330327E-15</v>
      </c>
      <c r="L391" s="271">
        <f t="shared" si="64"/>
        <v>42.739572400766441</v>
      </c>
      <c r="M391" s="271"/>
      <c r="N391" s="271"/>
      <c r="O391" s="271"/>
    </row>
    <row r="392" spans="2:15" x14ac:dyDescent="0.25">
      <c r="B392">
        <v>359</v>
      </c>
      <c r="C392" s="272">
        <f t="shared" si="62"/>
        <v>3.2373301777298313E-17</v>
      </c>
      <c r="D392" s="272">
        <f t="shared" si="66"/>
        <v>0.62918926398802832</v>
      </c>
      <c r="E392" s="272">
        <f t="shared" si="58"/>
        <v>13.779461156696339</v>
      </c>
      <c r="F392" s="271">
        <f t="shared" si="59"/>
        <v>2.2383305629330327E-15</v>
      </c>
      <c r="G392" s="271">
        <f t="shared" si="63"/>
        <v>13.779461156696341</v>
      </c>
      <c r="H392" s="272">
        <f t="shared" si="65"/>
        <v>3.2373301777298313E-17</v>
      </c>
      <c r="I392" s="272">
        <f t="shared" si="67"/>
        <v>0.62918926398802832</v>
      </c>
      <c r="J392" s="272">
        <f t="shared" si="60"/>
        <v>42.739572400766441</v>
      </c>
      <c r="K392" s="271">
        <f t="shared" si="61"/>
        <v>2.2383305629330327E-15</v>
      </c>
      <c r="L392" s="271">
        <f t="shared" si="64"/>
        <v>42.739572400766441</v>
      </c>
      <c r="M392" s="271"/>
      <c r="N392" s="271"/>
      <c r="O392" s="271"/>
    </row>
    <row r="393" spans="2:15" x14ac:dyDescent="0.25">
      <c r="B393">
        <v>360</v>
      </c>
      <c r="C393" s="272">
        <f t="shared" si="62"/>
        <v>3.2373301777298313E-17</v>
      </c>
      <c r="D393" s="272">
        <f t="shared" si="66"/>
        <v>0.62918926398802832</v>
      </c>
      <c r="E393" s="272">
        <f t="shared" si="58"/>
        <v>13.779461156696426</v>
      </c>
      <c r="F393" s="271">
        <f t="shared" si="59"/>
        <v>2.2383305629330327E-15</v>
      </c>
      <c r="G393" s="271">
        <f t="shared" si="63"/>
        <v>13.779461156696428</v>
      </c>
      <c r="H393" s="272">
        <f t="shared" si="65"/>
        <v>3.2373301777298313E-17</v>
      </c>
      <c r="I393" s="272">
        <f t="shared" si="67"/>
        <v>0.62918926398802832</v>
      </c>
      <c r="J393" s="272">
        <f t="shared" si="60"/>
        <v>42.739572400766441</v>
      </c>
      <c r="K393" s="271">
        <f t="shared" si="61"/>
        <v>2.2383305629330327E-15</v>
      </c>
      <c r="L393" s="271">
        <f t="shared" si="64"/>
        <v>42.739572400766441</v>
      </c>
      <c r="M393" s="271"/>
      <c r="N393" s="271"/>
      <c r="O393" s="271"/>
    </row>
    <row r="394" spans="2:15" x14ac:dyDescent="0.25">
      <c r="B394">
        <v>361</v>
      </c>
      <c r="C394" s="272">
        <f t="shared" si="62"/>
        <v>3.2373301777298313E-17</v>
      </c>
      <c r="D394" s="272">
        <f t="shared" si="66"/>
        <v>0.62918926398802832</v>
      </c>
      <c r="E394" s="272">
        <f t="shared" si="58"/>
        <v>13.779461156696513</v>
      </c>
      <c r="F394" s="271">
        <f t="shared" si="59"/>
        <v>2.2383305629330327E-15</v>
      </c>
      <c r="G394" s="271">
        <f t="shared" si="63"/>
        <v>13.779461156696515</v>
      </c>
      <c r="H394" s="272">
        <f t="shared" si="65"/>
        <v>3.2373301777298313E-17</v>
      </c>
      <c r="I394" s="272">
        <f t="shared" si="67"/>
        <v>0.62918926398802832</v>
      </c>
      <c r="J394" s="272">
        <f t="shared" si="60"/>
        <v>42.739572400766441</v>
      </c>
      <c r="K394" s="271">
        <f t="shared" si="61"/>
        <v>2.2383305629330327E-15</v>
      </c>
      <c r="L394" s="271">
        <f t="shared" si="64"/>
        <v>42.739572400766441</v>
      </c>
      <c r="M394" s="271"/>
      <c r="N394" s="271"/>
      <c r="O394" s="271"/>
    </row>
    <row r="395" spans="2:15" x14ac:dyDescent="0.25">
      <c r="B395">
        <v>362</v>
      </c>
      <c r="C395" s="272">
        <f t="shared" si="62"/>
        <v>3.2373301777298313E-17</v>
      </c>
      <c r="D395" s="272">
        <f t="shared" si="66"/>
        <v>0.62918926398802832</v>
      </c>
      <c r="E395" s="272">
        <f t="shared" si="58"/>
        <v>13.7794611566966</v>
      </c>
      <c r="F395" s="271">
        <f t="shared" si="59"/>
        <v>2.2383305629330327E-15</v>
      </c>
      <c r="G395" s="271">
        <f t="shared" si="63"/>
        <v>13.779461156696602</v>
      </c>
      <c r="H395" s="272">
        <f t="shared" si="65"/>
        <v>3.2373301777298313E-17</v>
      </c>
      <c r="I395" s="272">
        <f t="shared" si="67"/>
        <v>0.62918926398802832</v>
      </c>
      <c r="J395" s="272">
        <f t="shared" si="60"/>
        <v>42.739572400766441</v>
      </c>
      <c r="K395" s="271">
        <f t="shared" si="61"/>
        <v>2.2383305629330327E-15</v>
      </c>
      <c r="L395" s="271">
        <f t="shared" si="64"/>
        <v>42.739572400766441</v>
      </c>
      <c r="M395" s="271"/>
      <c r="N395" s="271"/>
      <c r="O395" s="271"/>
    </row>
    <row r="396" spans="2:15" x14ac:dyDescent="0.25">
      <c r="B396">
        <v>363</v>
      </c>
      <c r="C396" s="272">
        <f t="shared" si="62"/>
        <v>3.2373301777298313E-17</v>
      </c>
      <c r="D396" s="272">
        <f t="shared" si="66"/>
        <v>0.62918926398802832</v>
      </c>
      <c r="E396" s="272">
        <f t="shared" si="58"/>
        <v>13.779461156696687</v>
      </c>
      <c r="F396" s="271">
        <f t="shared" si="59"/>
        <v>2.2383305629330327E-15</v>
      </c>
      <c r="G396" s="271">
        <f t="shared" si="63"/>
        <v>13.779461156696689</v>
      </c>
      <c r="H396" s="272">
        <f t="shared" si="65"/>
        <v>3.2373301777298313E-17</v>
      </c>
      <c r="I396" s="272">
        <f t="shared" si="67"/>
        <v>0.62918926398802832</v>
      </c>
      <c r="J396" s="272">
        <f t="shared" si="60"/>
        <v>42.739572400766441</v>
      </c>
      <c r="K396" s="271">
        <f t="shared" si="61"/>
        <v>2.2383305629330327E-15</v>
      </c>
      <c r="L396" s="271">
        <f t="shared" si="64"/>
        <v>42.739572400766441</v>
      </c>
      <c r="M396" s="271"/>
      <c r="N396" s="271"/>
      <c r="O396" s="271"/>
    </row>
    <row r="397" spans="2:15" x14ac:dyDescent="0.25">
      <c r="B397">
        <v>364</v>
      </c>
      <c r="C397" s="272">
        <f t="shared" si="62"/>
        <v>3.2373301777298313E-17</v>
      </c>
      <c r="D397" s="272">
        <f t="shared" si="66"/>
        <v>0.62918926398802832</v>
      </c>
      <c r="E397" s="272">
        <f t="shared" si="58"/>
        <v>13.779461156696776</v>
      </c>
      <c r="F397" s="271">
        <f t="shared" si="59"/>
        <v>2.2383305629330327E-15</v>
      </c>
      <c r="G397" s="271">
        <f t="shared" si="63"/>
        <v>13.779461156696778</v>
      </c>
      <c r="H397" s="272">
        <f t="shared" si="65"/>
        <v>3.2373301777298313E-17</v>
      </c>
      <c r="I397" s="272">
        <f t="shared" si="67"/>
        <v>0.62918926398802832</v>
      </c>
      <c r="J397" s="272">
        <f t="shared" si="60"/>
        <v>42.739572400766441</v>
      </c>
      <c r="K397" s="271">
        <f t="shared" si="61"/>
        <v>2.2383305629330327E-15</v>
      </c>
      <c r="L397" s="271">
        <f t="shared" si="64"/>
        <v>42.739572400766441</v>
      </c>
      <c r="M397" s="271"/>
      <c r="N397" s="271"/>
      <c r="O397" s="271"/>
    </row>
    <row r="398" spans="2:15" x14ac:dyDescent="0.25">
      <c r="B398">
        <v>365</v>
      </c>
      <c r="C398" s="272">
        <f t="shared" si="62"/>
        <v>3.2373301777298313E-17</v>
      </c>
      <c r="D398" s="272">
        <f t="shared" si="66"/>
        <v>0.62918926398802832</v>
      </c>
      <c r="E398" s="272">
        <f t="shared" si="58"/>
        <v>13.779461156696865</v>
      </c>
      <c r="F398" s="271">
        <f t="shared" si="59"/>
        <v>2.2383305629330327E-15</v>
      </c>
      <c r="G398" s="271">
        <f t="shared" si="63"/>
        <v>13.779461156696867</v>
      </c>
      <c r="H398" s="272">
        <f t="shared" si="65"/>
        <v>3.2373301777298313E-17</v>
      </c>
      <c r="I398" s="272">
        <f t="shared" si="67"/>
        <v>0.62918926398802832</v>
      </c>
      <c r="J398" s="272">
        <f t="shared" si="60"/>
        <v>42.739572400766441</v>
      </c>
      <c r="K398" s="271">
        <f t="shared" si="61"/>
        <v>2.2383305629330327E-15</v>
      </c>
      <c r="L398" s="271">
        <f t="shared" si="64"/>
        <v>42.739572400766441</v>
      </c>
      <c r="M398" s="271"/>
      <c r="N398" s="271"/>
      <c r="O398" s="271"/>
    </row>
    <row r="399" spans="2:15" x14ac:dyDescent="0.25">
      <c r="B399">
        <v>366</v>
      </c>
      <c r="C399" s="272">
        <f t="shared" si="62"/>
        <v>3.2373301777298313E-17</v>
      </c>
      <c r="D399" s="272">
        <f t="shared" si="66"/>
        <v>0.62918926398802832</v>
      </c>
      <c r="E399" s="272">
        <f t="shared" si="58"/>
        <v>13.779461156696954</v>
      </c>
      <c r="F399" s="271">
        <f t="shared" si="59"/>
        <v>2.2383305629330327E-15</v>
      </c>
      <c r="G399" s="271">
        <f t="shared" si="63"/>
        <v>13.779461156696955</v>
      </c>
      <c r="H399" s="272">
        <f t="shared" si="65"/>
        <v>3.2373301777298313E-17</v>
      </c>
      <c r="I399" s="272">
        <f t="shared" si="67"/>
        <v>0.62918926398802832</v>
      </c>
      <c r="J399" s="272">
        <f t="shared" si="60"/>
        <v>42.739572400766441</v>
      </c>
      <c r="K399" s="271">
        <f t="shared" si="61"/>
        <v>2.2383305629330327E-15</v>
      </c>
      <c r="L399" s="271">
        <f t="shared" si="64"/>
        <v>42.739572400766441</v>
      </c>
      <c r="M399" s="271"/>
      <c r="N399" s="271"/>
      <c r="O399" s="271"/>
    </row>
    <row r="400" spans="2:15" x14ac:dyDescent="0.25">
      <c r="B400">
        <v>367</v>
      </c>
      <c r="C400" s="272">
        <f t="shared" si="62"/>
        <v>3.2373301777298313E-17</v>
      </c>
      <c r="D400" s="272">
        <f t="shared" si="66"/>
        <v>0.62918926398802832</v>
      </c>
      <c r="E400" s="272">
        <f t="shared" si="58"/>
        <v>13.779461156697042</v>
      </c>
      <c r="F400" s="271">
        <f t="shared" si="59"/>
        <v>2.2383305629330327E-15</v>
      </c>
      <c r="G400" s="271">
        <f t="shared" si="63"/>
        <v>13.779461156697044</v>
      </c>
      <c r="H400" s="272">
        <f t="shared" si="65"/>
        <v>3.2373301777298313E-17</v>
      </c>
      <c r="I400" s="272">
        <f t="shared" si="67"/>
        <v>0.62918926398802832</v>
      </c>
      <c r="J400" s="272">
        <f t="shared" si="60"/>
        <v>42.739572400766441</v>
      </c>
      <c r="K400" s="271">
        <f t="shared" si="61"/>
        <v>2.2383305629330327E-15</v>
      </c>
      <c r="L400" s="271">
        <f t="shared" si="64"/>
        <v>42.739572400766441</v>
      </c>
      <c r="M400" s="271"/>
      <c r="N400" s="271"/>
      <c r="O400" s="271"/>
    </row>
    <row r="401" spans="2:15" x14ac:dyDescent="0.25">
      <c r="B401">
        <v>368</v>
      </c>
      <c r="C401" s="272">
        <f t="shared" si="62"/>
        <v>3.2373301777298313E-17</v>
      </c>
      <c r="D401" s="272">
        <f t="shared" si="66"/>
        <v>0.62918926398802832</v>
      </c>
      <c r="E401" s="272">
        <f t="shared" si="58"/>
        <v>13.779461156697131</v>
      </c>
      <c r="F401" s="271">
        <f t="shared" si="59"/>
        <v>2.2383305629330327E-15</v>
      </c>
      <c r="G401" s="271">
        <f t="shared" si="63"/>
        <v>13.779461156697133</v>
      </c>
      <c r="H401" s="272">
        <f t="shared" si="65"/>
        <v>3.2373301777298313E-17</v>
      </c>
      <c r="I401" s="272">
        <f t="shared" si="67"/>
        <v>0.62918926398802832</v>
      </c>
      <c r="J401" s="272">
        <f t="shared" si="60"/>
        <v>42.739572400766441</v>
      </c>
      <c r="K401" s="271">
        <f t="shared" si="61"/>
        <v>2.2383305629330327E-15</v>
      </c>
      <c r="L401" s="271">
        <f t="shared" si="64"/>
        <v>42.739572400766441</v>
      </c>
      <c r="M401" s="271"/>
      <c r="N401" s="271"/>
      <c r="O401" s="271"/>
    </row>
    <row r="402" spans="2:15" x14ac:dyDescent="0.25">
      <c r="B402">
        <v>369</v>
      </c>
      <c r="C402" s="272">
        <f t="shared" si="62"/>
        <v>3.2373301777298313E-17</v>
      </c>
      <c r="D402" s="272">
        <f t="shared" si="66"/>
        <v>0.62918926398802832</v>
      </c>
      <c r="E402" s="272">
        <f t="shared" si="58"/>
        <v>13.77946115669722</v>
      </c>
      <c r="F402" s="271">
        <f t="shared" si="59"/>
        <v>2.2383305629330327E-15</v>
      </c>
      <c r="G402" s="271">
        <f t="shared" si="63"/>
        <v>13.779461156697222</v>
      </c>
      <c r="H402" s="272">
        <f t="shared" si="65"/>
        <v>3.2373301777298313E-17</v>
      </c>
      <c r="I402" s="272">
        <f t="shared" si="67"/>
        <v>0.62918926398802832</v>
      </c>
      <c r="J402" s="272">
        <f t="shared" si="60"/>
        <v>42.739572400766441</v>
      </c>
      <c r="K402" s="271">
        <f t="shared" si="61"/>
        <v>2.2383305629330327E-15</v>
      </c>
      <c r="L402" s="271">
        <f t="shared" si="64"/>
        <v>42.739572400766441</v>
      </c>
      <c r="M402" s="271"/>
      <c r="N402" s="271"/>
      <c r="O402" s="271"/>
    </row>
    <row r="403" spans="2:15" x14ac:dyDescent="0.25">
      <c r="B403">
        <v>370</v>
      </c>
      <c r="C403" s="272">
        <f t="shared" si="62"/>
        <v>3.2373301777298313E-17</v>
      </c>
      <c r="D403" s="272">
        <f t="shared" si="66"/>
        <v>0.62918926398802832</v>
      </c>
      <c r="E403" s="272">
        <f t="shared" si="58"/>
        <v>13.779461156697309</v>
      </c>
      <c r="F403" s="271">
        <f t="shared" si="59"/>
        <v>2.2383305629330327E-15</v>
      </c>
      <c r="G403" s="271">
        <f t="shared" si="63"/>
        <v>13.779461156697311</v>
      </c>
      <c r="H403" s="272">
        <f t="shared" si="65"/>
        <v>3.2373301777298313E-17</v>
      </c>
      <c r="I403" s="272">
        <f t="shared" si="67"/>
        <v>0.62918926398802832</v>
      </c>
      <c r="J403" s="272">
        <f t="shared" si="60"/>
        <v>42.739572400766441</v>
      </c>
      <c r="K403" s="271">
        <f t="shared" si="61"/>
        <v>2.2383305629330327E-15</v>
      </c>
      <c r="L403" s="271">
        <f t="shared" si="64"/>
        <v>42.739572400766441</v>
      </c>
      <c r="M403" s="271"/>
      <c r="N403" s="271"/>
      <c r="O403" s="271"/>
    </row>
    <row r="404" spans="2:15" x14ac:dyDescent="0.25">
      <c r="B404">
        <v>371</v>
      </c>
      <c r="C404" s="272">
        <f t="shared" si="62"/>
        <v>3.2373301777298313E-17</v>
      </c>
      <c r="D404" s="272">
        <f t="shared" si="66"/>
        <v>0.62918926398802832</v>
      </c>
      <c r="E404" s="272">
        <f t="shared" si="58"/>
        <v>13.779461156697398</v>
      </c>
      <c r="F404" s="271">
        <f t="shared" si="59"/>
        <v>2.2383305629330327E-15</v>
      </c>
      <c r="G404" s="271">
        <f t="shared" si="63"/>
        <v>13.779461156697399</v>
      </c>
      <c r="H404" s="272">
        <f t="shared" si="65"/>
        <v>3.2373301777298313E-17</v>
      </c>
      <c r="I404" s="272">
        <f t="shared" si="67"/>
        <v>0.62918926398802832</v>
      </c>
      <c r="J404" s="272">
        <f t="shared" si="60"/>
        <v>42.739572400766441</v>
      </c>
      <c r="K404" s="271">
        <f t="shared" si="61"/>
        <v>2.2383305629330327E-15</v>
      </c>
      <c r="L404" s="271">
        <f t="shared" si="64"/>
        <v>42.739572400766441</v>
      </c>
      <c r="M404" s="271"/>
      <c r="N404" s="271"/>
      <c r="O404" s="271"/>
    </row>
    <row r="405" spans="2:15" x14ac:dyDescent="0.25">
      <c r="B405">
        <v>372</v>
      </c>
      <c r="C405" s="272">
        <f t="shared" si="62"/>
        <v>3.2373301777298313E-17</v>
      </c>
      <c r="D405" s="272">
        <f t="shared" si="66"/>
        <v>0.62918926398802832</v>
      </c>
      <c r="E405" s="272">
        <f t="shared" si="58"/>
        <v>13.779461156697488</v>
      </c>
      <c r="F405" s="271">
        <f t="shared" si="59"/>
        <v>2.2383305629330327E-15</v>
      </c>
      <c r="G405" s="271">
        <f t="shared" si="63"/>
        <v>13.77946115669749</v>
      </c>
      <c r="H405" s="272">
        <f t="shared" si="65"/>
        <v>3.2373301777298313E-17</v>
      </c>
      <c r="I405" s="272">
        <f t="shared" si="67"/>
        <v>0.62918926398802832</v>
      </c>
      <c r="J405" s="272">
        <f t="shared" si="60"/>
        <v>42.739572400766441</v>
      </c>
      <c r="K405" s="271">
        <f t="shared" si="61"/>
        <v>2.2383305629330327E-15</v>
      </c>
      <c r="L405" s="271">
        <f t="shared" si="64"/>
        <v>42.739572400766441</v>
      </c>
      <c r="M405" s="271"/>
      <c r="N405" s="271"/>
      <c r="O405" s="271"/>
    </row>
    <row r="406" spans="2:15" x14ac:dyDescent="0.25">
      <c r="B406">
        <v>373</v>
      </c>
      <c r="C406" s="272">
        <f t="shared" si="62"/>
        <v>3.2373301777298313E-17</v>
      </c>
      <c r="D406" s="272">
        <f t="shared" si="66"/>
        <v>0.62918926398802832</v>
      </c>
      <c r="E406" s="272">
        <f t="shared" si="58"/>
        <v>13.779461156697579</v>
      </c>
      <c r="F406" s="271">
        <f t="shared" si="59"/>
        <v>2.2383305629330327E-15</v>
      </c>
      <c r="G406" s="271">
        <f t="shared" si="63"/>
        <v>13.779461156697581</v>
      </c>
      <c r="H406" s="272">
        <f t="shared" si="65"/>
        <v>3.2373301777298313E-17</v>
      </c>
      <c r="I406" s="272">
        <f t="shared" si="67"/>
        <v>0.62918926398802832</v>
      </c>
      <c r="J406" s="272">
        <f t="shared" si="60"/>
        <v>42.739572400766441</v>
      </c>
      <c r="K406" s="271">
        <f t="shared" si="61"/>
        <v>2.2383305629330327E-15</v>
      </c>
      <c r="L406" s="271">
        <f t="shared" si="64"/>
        <v>42.739572400766441</v>
      </c>
      <c r="M406" s="271"/>
      <c r="N406" s="271"/>
      <c r="O406" s="271"/>
    </row>
    <row r="407" spans="2:15" x14ac:dyDescent="0.25">
      <c r="B407">
        <v>374</v>
      </c>
      <c r="C407" s="272">
        <f t="shared" si="62"/>
        <v>3.2373301777298313E-17</v>
      </c>
      <c r="D407" s="272">
        <f t="shared" si="66"/>
        <v>0.62918926398802832</v>
      </c>
      <c r="E407" s="272">
        <f t="shared" si="58"/>
        <v>13.779461156697669</v>
      </c>
      <c r="F407" s="271">
        <f t="shared" si="59"/>
        <v>2.2383305629330327E-15</v>
      </c>
      <c r="G407" s="271">
        <f t="shared" si="63"/>
        <v>13.779461156697671</v>
      </c>
      <c r="H407" s="272">
        <f t="shared" si="65"/>
        <v>3.2373301777298313E-17</v>
      </c>
      <c r="I407" s="272">
        <f t="shared" si="67"/>
        <v>0.62918926398802832</v>
      </c>
      <c r="J407" s="272">
        <f t="shared" si="60"/>
        <v>42.739572400766441</v>
      </c>
      <c r="K407" s="271">
        <f t="shared" si="61"/>
        <v>2.2383305629330327E-15</v>
      </c>
      <c r="L407" s="271">
        <f t="shared" si="64"/>
        <v>42.739572400766441</v>
      </c>
      <c r="M407" s="271"/>
      <c r="N407" s="271"/>
      <c r="O407" s="271"/>
    </row>
    <row r="408" spans="2:15" x14ac:dyDescent="0.25">
      <c r="B408">
        <v>375</v>
      </c>
      <c r="C408" s="272">
        <f t="shared" si="62"/>
        <v>3.2373301777298313E-17</v>
      </c>
      <c r="D408" s="272">
        <f t="shared" si="66"/>
        <v>0.62918926398802832</v>
      </c>
      <c r="E408" s="272">
        <f t="shared" si="58"/>
        <v>13.77946115669776</v>
      </c>
      <c r="F408" s="271">
        <f t="shared" si="59"/>
        <v>2.2383305629330327E-15</v>
      </c>
      <c r="G408" s="271">
        <f t="shared" si="63"/>
        <v>13.779461156697762</v>
      </c>
      <c r="H408" s="272">
        <f t="shared" si="65"/>
        <v>3.2373301777298313E-17</v>
      </c>
      <c r="I408" s="272">
        <f t="shared" si="67"/>
        <v>0.62918926398802832</v>
      </c>
      <c r="J408" s="272">
        <f t="shared" si="60"/>
        <v>42.739572400766441</v>
      </c>
      <c r="K408" s="271">
        <f t="shared" si="61"/>
        <v>2.2383305629330327E-15</v>
      </c>
      <c r="L408" s="271">
        <f t="shared" si="64"/>
        <v>42.739572400766441</v>
      </c>
      <c r="M408" s="271"/>
      <c r="N408" s="271"/>
      <c r="O408" s="271"/>
    </row>
    <row r="409" spans="2:15" x14ac:dyDescent="0.25">
      <c r="B409">
        <v>376</v>
      </c>
      <c r="C409" s="272">
        <f t="shared" si="62"/>
        <v>3.2373301777298313E-17</v>
      </c>
      <c r="D409" s="272">
        <f t="shared" si="66"/>
        <v>0.62918926398802832</v>
      </c>
      <c r="E409" s="272">
        <f t="shared" si="58"/>
        <v>13.779461156697851</v>
      </c>
      <c r="F409" s="271">
        <f t="shared" si="59"/>
        <v>2.2383305629330327E-15</v>
      </c>
      <c r="G409" s="271">
        <f t="shared" si="63"/>
        <v>13.779461156697852</v>
      </c>
      <c r="H409" s="272">
        <f t="shared" si="65"/>
        <v>3.2373301777298313E-17</v>
      </c>
      <c r="I409" s="272">
        <f t="shared" si="67"/>
        <v>0.62918926398802832</v>
      </c>
      <c r="J409" s="272">
        <f t="shared" si="60"/>
        <v>42.739572400766441</v>
      </c>
      <c r="K409" s="271">
        <f t="shared" si="61"/>
        <v>2.2383305629330327E-15</v>
      </c>
      <c r="L409" s="271">
        <f t="shared" si="64"/>
        <v>42.739572400766441</v>
      </c>
      <c r="M409" s="271"/>
      <c r="N409" s="271"/>
      <c r="O409" s="271"/>
    </row>
    <row r="410" spans="2:15" x14ac:dyDescent="0.25">
      <c r="B410">
        <v>377</v>
      </c>
      <c r="C410" s="272">
        <f t="shared" si="62"/>
        <v>3.2373301777298313E-17</v>
      </c>
      <c r="D410" s="272">
        <f t="shared" si="66"/>
        <v>0.62918926398802832</v>
      </c>
      <c r="E410" s="272">
        <f t="shared" si="58"/>
        <v>13.779461156697941</v>
      </c>
      <c r="F410" s="271">
        <f t="shared" si="59"/>
        <v>2.2383305629330327E-15</v>
      </c>
      <c r="G410" s="271">
        <f t="shared" si="63"/>
        <v>13.779461156697943</v>
      </c>
      <c r="H410" s="272">
        <f t="shared" si="65"/>
        <v>3.2373301777298313E-17</v>
      </c>
      <c r="I410" s="272">
        <f t="shared" si="67"/>
        <v>0.62918926398802832</v>
      </c>
      <c r="J410" s="272">
        <f t="shared" si="60"/>
        <v>42.739572400766441</v>
      </c>
      <c r="K410" s="271">
        <f t="shared" si="61"/>
        <v>2.2383305629330327E-15</v>
      </c>
      <c r="L410" s="271">
        <f t="shared" si="64"/>
        <v>42.739572400766441</v>
      </c>
      <c r="M410" s="271"/>
      <c r="N410" s="271"/>
      <c r="O410" s="271"/>
    </row>
    <row r="411" spans="2:15" x14ac:dyDescent="0.25">
      <c r="B411">
        <v>378</v>
      </c>
      <c r="C411" s="272">
        <f t="shared" si="62"/>
        <v>3.2373301777298313E-17</v>
      </c>
      <c r="D411" s="272">
        <f t="shared" si="66"/>
        <v>0.62918926398802832</v>
      </c>
      <c r="E411" s="272">
        <f t="shared" si="58"/>
        <v>13.779461156698032</v>
      </c>
      <c r="F411" s="271">
        <f t="shared" si="59"/>
        <v>2.2383305629330327E-15</v>
      </c>
      <c r="G411" s="271">
        <f t="shared" si="63"/>
        <v>13.779461156698034</v>
      </c>
      <c r="H411" s="272">
        <f t="shared" si="65"/>
        <v>3.2373301777298313E-17</v>
      </c>
      <c r="I411" s="272">
        <f t="shared" si="67"/>
        <v>0.62918926398802832</v>
      </c>
      <c r="J411" s="272">
        <f t="shared" si="60"/>
        <v>42.739572400766441</v>
      </c>
      <c r="K411" s="271">
        <f t="shared" si="61"/>
        <v>2.2383305629330327E-15</v>
      </c>
      <c r="L411" s="271">
        <f t="shared" si="64"/>
        <v>42.739572400766441</v>
      </c>
      <c r="M411" s="271"/>
      <c r="N411" s="271"/>
      <c r="O411" s="271"/>
    </row>
    <row r="412" spans="2:15" x14ac:dyDescent="0.25">
      <c r="B412">
        <v>379</v>
      </c>
      <c r="C412" s="272">
        <f t="shared" si="62"/>
        <v>3.2373301777298313E-17</v>
      </c>
      <c r="D412" s="272">
        <f t="shared" si="66"/>
        <v>0.62918926398802832</v>
      </c>
      <c r="E412" s="272">
        <f t="shared" si="58"/>
        <v>13.779461156698124</v>
      </c>
      <c r="F412" s="271">
        <f t="shared" si="59"/>
        <v>2.2383305629330327E-15</v>
      </c>
      <c r="G412" s="271">
        <f t="shared" si="63"/>
        <v>13.779461156698126</v>
      </c>
      <c r="H412" s="272">
        <f t="shared" si="65"/>
        <v>3.2373301777298313E-17</v>
      </c>
      <c r="I412" s="272">
        <f t="shared" si="67"/>
        <v>0.62918926398802832</v>
      </c>
      <c r="J412" s="272">
        <f t="shared" si="60"/>
        <v>42.739572400766441</v>
      </c>
      <c r="K412" s="271">
        <f t="shared" si="61"/>
        <v>2.2383305629330327E-15</v>
      </c>
      <c r="L412" s="271">
        <f t="shared" si="64"/>
        <v>42.739572400766441</v>
      </c>
      <c r="M412" s="271"/>
      <c r="N412" s="271"/>
      <c r="O412" s="271"/>
    </row>
    <row r="413" spans="2:15" x14ac:dyDescent="0.25">
      <c r="B413">
        <v>380</v>
      </c>
      <c r="C413" s="272">
        <f t="shared" si="62"/>
        <v>3.2373301777298313E-17</v>
      </c>
      <c r="D413" s="272">
        <f t="shared" si="66"/>
        <v>0.62918926398802832</v>
      </c>
      <c r="E413" s="272">
        <f t="shared" si="58"/>
        <v>13.779461156698217</v>
      </c>
      <c r="F413" s="271">
        <f t="shared" si="59"/>
        <v>2.2383305629330327E-15</v>
      </c>
      <c r="G413" s="271">
        <f t="shared" si="63"/>
        <v>13.779461156698218</v>
      </c>
      <c r="H413" s="272">
        <f t="shared" si="65"/>
        <v>3.2373301777298313E-17</v>
      </c>
      <c r="I413" s="272">
        <f t="shared" si="67"/>
        <v>0.62918926398802832</v>
      </c>
      <c r="J413" s="272">
        <f t="shared" si="60"/>
        <v>42.739572400766441</v>
      </c>
      <c r="K413" s="271">
        <f t="shared" si="61"/>
        <v>2.2383305629330327E-15</v>
      </c>
      <c r="L413" s="271">
        <f t="shared" si="64"/>
        <v>42.739572400766441</v>
      </c>
      <c r="M413" s="271"/>
      <c r="N413" s="271"/>
      <c r="O413" s="271"/>
    </row>
    <row r="414" spans="2:15" x14ac:dyDescent="0.25">
      <c r="B414">
        <v>381</v>
      </c>
      <c r="C414" s="272">
        <f t="shared" si="62"/>
        <v>3.2373301777298313E-17</v>
      </c>
      <c r="D414" s="272">
        <f t="shared" si="66"/>
        <v>0.62918926398802832</v>
      </c>
      <c r="E414" s="272">
        <f t="shared" si="58"/>
        <v>13.779461156698309</v>
      </c>
      <c r="F414" s="271">
        <f t="shared" si="59"/>
        <v>2.2383305629330327E-15</v>
      </c>
      <c r="G414" s="271">
        <f t="shared" si="63"/>
        <v>13.779461156698311</v>
      </c>
      <c r="H414" s="272">
        <f t="shared" si="65"/>
        <v>3.2373301777298313E-17</v>
      </c>
      <c r="I414" s="272">
        <f t="shared" si="67"/>
        <v>0.62918926398802832</v>
      </c>
      <c r="J414" s="272">
        <f t="shared" si="60"/>
        <v>42.739572400766441</v>
      </c>
      <c r="K414" s="271">
        <f t="shared" si="61"/>
        <v>2.2383305629330327E-15</v>
      </c>
      <c r="L414" s="271">
        <f t="shared" si="64"/>
        <v>42.739572400766441</v>
      </c>
      <c r="M414" s="271"/>
      <c r="N414" s="271"/>
      <c r="O414" s="271"/>
    </row>
    <row r="415" spans="2:15" x14ac:dyDescent="0.25">
      <c r="B415">
        <v>382</v>
      </c>
      <c r="C415" s="272">
        <f t="shared" si="62"/>
        <v>3.2373301777298313E-17</v>
      </c>
      <c r="D415" s="272">
        <f t="shared" si="66"/>
        <v>0.62918926398802832</v>
      </c>
      <c r="E415" s="272">
        <f t="shared" si="58"/>
        <v>13.779461156698401</v>
      </c>
      <c r="F415" s="271">
        <f t="shared" si="59"/>
        <v>2.2383305629330327E-15</v>
      </c>
      <c r="G415" s="271">
        <f t="shared" si="63"/>
        <v>13.779461156698403</v>
      </c>
      <c r="H415" s="272">
        <f t="shared" si="65"/>
        <v>3.2373301777298313E-17</v>
      </c>
      <c r="I415" s="272">
        <f t="shared" si="67"/>
        <v>0.62918926398802832</v>
      </c>
      <c r="J415" s="272">
        <f t="shared" si="60"/>
        <v>42.739572400766441</v>
      </c>
      <c r="K415" s="271">
        <f t="shared" si="61"/>
        <v>2.2383305629330327E-15</v>
      </c>
      <c r="L415" s="271">
        <f t="shared" si="64"/>
        <v>42.739572400766441</v>
      </c>
      <c r="M415" s="271"/>
      <c r="N415" s="271"/>
      <c r="O415" s="271"/>
    </row>
    <row r="416" spans="2:15" x14ac:dyDescent="0.25">
      <c r="B416">
        <v>383</v>
      </c>
      <c r="C416" s="272">
        <f t="shared" si="62"/>
        <v>3.2373301777298313E-17</v>
      </c>
      <c r="D416" s="272">
        <f t="shared" si="66"/>
        <v>0.62918926398802832</v>
      </c>
      <c r="E416" s="272">
        <f t="shared" si="58"/>
        <v>13.779461156698494</v>
      </c>
      <c r="F416" s="271">
        <f t="shared" si="59"/>
        <v>2.2383305629330327E-15</v>
      </c>
      <c r="G416" s="271">
        <f t="shared" si="63"/>
        <v>13.779461156698495</v>
      </c>
      <c r="H416" s="272">
        <f t="shared" si="65"/>
        <v>3.2373301777298313E-17</v>
      </c>
      <c r="I416" s="272">
        <f t="shared" si="67"/>
        <v>0.62918926398802832</v>
      </c>
      <c r="J416" s="272">
        <f t="shared" si="60"/>
        <v>42.739572400766441</v>
      </c>
      <c r="K416" s="271">
        <f t="shared" si="61"/>
        <v>2.2383305629330327E-15</v>
      </c>
      <c r="L416" s="271">
        <f t="shared" si="64"/>
        <v>42.739572400766441</v>
      </c>
      <c r="M416" s="271"/>
      <c r="N416" s="271"/>
      <c r="O416" s="271"/>
    </row>
    <row r="417" spans="2:15" x14ac:dyDescent="0.25">
      <c r="B417">
        <v>384</v>
      </c>
      <c r="C417" s="272">
        <f t="shared" si="62"/>
        <v>3.2373301777298313E-17</v>
      </c>
      <c r="D417" s="272">
        <f t="shared" si="66"/>
        <v>0.62918926398802832</v>
      </c>
      <c r="E417" s="272">
        <f t="shared" ref="E417:E480" si="68">$D$28*(B417-0.5)*C417+E416</f>
        <v>13.779461156698586</v>
      </c>
      <c r="F417" s="271">
        <f t="shared" ref="F417:F480" si="69">($D$25-D417)*$D$27</f>
        <v>2.2383305629330327E-15</v>
      </c>
      <c r="G417" s="271">
        <f t="shared" si="63"/>
        <v>13.779461156698588</v>
      </c>
      <c r="H417" s="272">
        <f t="shared" si="65"/>
        <v>3.2373301777298313E-17</v>
      </c>
      <c r="I417" s="272">
        <f t="shared" si="67"/>
        <v>0.62918926398802832</v>
      </c>
      <c r="J417" s="272">
        <f t="shared" ref="J417:J480" si="70">$D$28*(G417-0.5)*H417+J416</f>
        <v>42.739572400766441</v>
      </c>
      <c r="K417" s="271">
        <f t="shared" ref="K417:K480" si="71">($D$25-I417)*$D$27</f>
        <v>2.2383305629330327E-15</v>
      </c>
      <c r="L417" s="271">
        <f t="shared" si="64"/>
        <v>42.739572400766441</v>
      </c>
      <c r="M417" s="271"/>
      <c r="N417" s="271"/>
      <c r="O417" s="271"/>
    </row>
    <row r="418" spans="2:15" x14ac:dyDescent="0.25">
      <c r="B418">
        <v>385</v>
      </c>
      <c r="C418" s="272">
        <f t="shared" ref="C418:C480" si="72">($D$25-D417)*(((2*$D$24*(1-$D$24)*$D$11)+($D$24^2 * $D$11^2))/$D$25)</f>
        <v>3.2373301777298313E-17</v>
      </c>
      <c r="D418" s="272">
        <f t="shared" si="66"/>
        <v>0.62918926398802832</v>
      </c>
      <c r="E418" s="272">
        <f t="shared" si="68"/>
        <v>13.779461156698678</v>
      </c>
      <c r="F418" s="271">
        <f t="shared" si="69"/>
        <v>2.2383305629330327E-15</v>
      </c>
      <c r="G418" s="271">
        <f t="shared" ref="G418:G480" si="73">F418+E418</f>
        <v>13.77946115669868</v>
      </c>
      <c r="H418" s="272">
        <f t="shared" si="65"/>
        <v>3.2373301777298313E-17</v>
      </c>
      <c r="I418" s="272">
        <f t="shared" si="67"/>
        <v>0.62918926398802832</v>
      </c>
      <c r="J418" s="272">
        <f t="shared" si="70"/>
        <v>42.739572400766441</v>
      </c>
      <c r="K418" s="271">
        <f t="shared" si="71"/>
        <v>2.2383305629330327E-15</v>
      </c>
      <c r="L418" s="271">
        <f t="shared" ref="L418:L480" si="74">K418+J418</f>
        <v>42.739572400766441</v>
      </c>
      <c r="M418" s="271"/>
      <c r="N418" s="271"/>
      <c r="O418" s="271"/>
    </row>
    <row r="419" spans="2:15" x14ac:dyDescent="0.25">
      <c r="B419">
        <v>386</v>
      </c>
      <c r="C419" s="272">
        <f t="shared" si="72"/>
        <v>3.2373301777298313E-17</v>
      </c>
      <c r="D419" s="272">
        <f t="shared" si="66"/>
        <v>0.62918926398802832</v>
      </c>
      <c r="E419" s="272">
        <f t="shared" si="68"/>
        <v>13.779461156698773</v>
      </c>
      <c r="F419" s="271">
        <f t="shared" si="69"/>
        <v>2.2383305629330327E-15</v>
      </c>
      <c r="G419" s="271">
        <f t="shared" si="73"/>
        <v>13.779461156698774</v>
      </c>
      <c r="H419" s="272">
        <f t="shared" ref="H419:H480" si="75">($D$25-I418)*(((2*$D$24*(1-$D$24)*$D$11)+($D$24^2 * $D$11^2))/$D$25)</f>
        <v>3.2373301777298313E-17</v>
      </c>
      <c r="I419" s="272">
        <f t="shared" si="67"/>
        <v>0.62918926398802832</v>
      </c>
      <c r="J419" s="272">
        <f t="shared" si="70"/>
        <v>42.739572400766441</v>
      </c>
      <c r="K419" s="271">
        <f t="shared" si="71"/>
        <v>2.2383305629330327E-15</v>
      </c>
      <c r="L419" s="271">
        <f t="shared" si="74"/>
        <v>42.739572400766441</v>
      </c>
      <c r="M419" s="271"/>
      <c r="N419" s="271"/>
      <c r="O419" s="271"/>
    </row>
    <row r="420" spans="2:15" x14ac:dyDescent="0.25">
      <c r="B420">
        <v>387</v>
      </c>
      <c r="C420" s="272">
        <f t="shared" si="72"/>
        <v>3.2373301777298313E-17</v>
      </c>
      <c r="D420" s="272">
        <f t="shared" si="66"/>
        <v>0.62918926398802832</v>
      </c>
      <c r="E420" s="272">
        <f t="shared" si="68"/>
        <v>13.779461156698867</v>
      </c>
      <c r="F420" s="271">
        <f t="shared" si="69"/>
        <v>2.2383305629330327E-15</v>
      </c>
      <c r="G420" s="271">
        <f t="shared" si="73"/>
        <v>13.779461156698869</v>
      </c>
      <c r="H420" s="272">
        <f t="shared" si="75"/>
        <v>3.2373301777298313E-17</v>
      </c>
      <c r="I420" s="272">
        <f t="shared" si="67"/>
        <v>0.62918926398802832</v>
      </c>
      <c r="J420" s="272">
        <f t="shared" si="70"/>
        <v>42.739572400766441</v>
      </c>
      <c r="K420" s="271">
        <f t="shared" si="71"/>
        <v>2.2383305629330327E-15</v>
      </c>
      <c r="L420" s="271">
        <f t="shared" si="74"/>
        <v>42.739572400766441</v>
      </c>
      <c r="M420" s="271"/>
      <c r="N420" s="271"/>
      <c r="O420" s="271"/>
    </row>
    <row r="421" spans="2:15" x14ac:dyDescent="0.25">
      <c r="B421">
        <v>388</v>
      </c>
      <c r="C421" s="272">
        <f t="shared" si="72"/>
        <v>3.2373301777298313E-17</v>
      </c>
      <c r="D421" s="272">
        <f t="shared" si="66"/>
        <v>0.62918926398802832</v>
      </c>
      <c r="E421" s="272">
        <f t="shared" si="68"/>
        <v>13.779461156698961</v>
      </c>
      <c r="F421" s="271">
        <f t="shared" si="69"/>
        <v>2.2383305629330327E-15</v>
      </c>
      <c r="G421" s="271">
        <f t="shared" si="73"/>
        <v>13.779461156698963</v>
      </c>
      <c r="H421" s="272">
        <f t="shared" si="75"/>
        <v>3.2373301777298313E-17</v>
      </c>
      <c r="I421" s="272">
        <f t="shared" si="67"/>
        <v>0.62918926398802832</v>
      </c>
      <c r="J421" s="272">
        <f t="shared" si="70"/>
        <v>42.739572400766441</v>
      </c>
      <c r="K421" s="271">
        <f t="shared" si="71"/>
        <v>2.2383305629330327E-15</v>
      </c>
      <c r="L421" s="271">
        <f t="shared" si="74"/>
        <v>42.739572400766441</v>
      </c>
      <c r="M421" s="271"/>
      <c r="N421" s="271"/>
      <c r="O421" s="271"/>
    </row>
    <row r="422" spans="2:15" x14ac:dyDescent="0.25">
      <c r="B422">
        <v>389</v>
      </c>
      <c r="C422" s="272">
        <f t="shared" si="72"/>
        <v>3.2373301777298313E-17</v>
      </c>
      <c r="D422" s="272">
        <f t="shared" si="66"/>
        <v>0.62918926398802832</v>
      </c>
      <c r="E422" s="272">
        <f t="shared" si="68"/>
        <v>13.779461156699055</v>
      </c>
      <c r="F422" s="271">
        <f t="shared" si="69"/>
        <v>2.2383305629330327E-15</v>
      </c>
      <c r="G422" s="271">
        <f t="shared" si="73"/>
        <v>13.779461156699057</v>
      </c>
      <c r="H422" s="272">
        <f t="shared" si="75"/>
        <v>3.2373301777298313E-17</v>
      </c>
      <c r="I422" s="272">
        <f t="shared" si="67"/>
        <v>0.62918926398802832</v>
      </c>
      <c r="J422" s="272">
        <f t="shared" si="70"/>
        <v>42.739572400766441</v>
      </c>
      <c r="K422" s="271">
        <f t="shared" si="71"/>
        <v>2.2383305629330327E-15</v>
      </c>
      <c r="L422" s="271">
        <f t="shared" si="74"/>
        <v>42.739572400766441</v>
      </c>
      <c r="M422" s="271"/>
      <c r="N422" s="271"/>
      <c r="O422" s="271"/>
    </row>
    <row r="423" spans="2:15" x14ac:dyDescent="0.25">
      <c r="B423">
        <v>390</v>
      </c>
      <c r="C423" s="272">
        <f t="shared" si="72"/>
        <v>3.2373301777298313E-17</v>
      </c>
      <c r="D423" s="272">
        <f t="shared" si="66"/>
        <v>0.62918926398802832</v>
      </c>
      <c r="E423" s="272">
        <f t="shared" si="68"/>
        <v>13.779461156699149</v>
      </c>
      <c r="F423" s="271">
        <f t="shared" si="69"/>
        <v>2.2383305629330327E-15</v>
      </c>
      <c r="G423" s="271">
        <f t="shared" si="73"/>
        <v>13.779461156699151</v>
      </c>
      <c r="H423" s="272">
        <f t="shared" si="75"/>
        <v>3.2373301777298313E-17</v>
      </c>
      <c r="I423" s="272">
        <f t="shared" si="67"/>
        <v>0.62918926398802832</v>
      </c>
      <c r="J423" s="272">
        <f t="shared" si="70"/>
        <v>42.739572400766441</v>
      </c>
      <c r="K423" s="271">
        <f t="shared" si="71"/>
        <v>2.2383305629330327E-15</v>
      </c>
      <c r="L423" s="271">
        <f t="shared" si="74"/>
        <v>42.739572400766441</v>
      </c>
      <c r="M423" s="271"/>
      <c r="N423" s="271"/>
      <c r="O423" s="271"/>
    </row>
    <row r="424" spans="2:15" x14ac:dyDescent="0.25">
      <c r="B424">
        <v>391</v>
      </c>
      <c r="C424" s="272">
        <f t="shared" si="72"/>
        <v>3.2373301777298313E-17</v>
      </c>
      <c r="D424" s="272">
        <f t="shared" si="66"/>
        <v>0.62918926398802832</v>
      </c>
      <c r="E424" s="272">
        <f t="shared" si="68"/>
        <v>13.779461156699243</v>
      </c>
      <c r="F424" s="271">
        <f t="shared" si="69"/>
        <v>2.2383305629330327E-15</v>
      </c>
      <c r="G424" s="271">
        <f t="shared" si="73"/>
        <v>13.779461156699245</v>
      </c>
      <c r="H424" s="272">
        <f t="shared" si="75"/>
        <v>3.2373301777298313E-17</v>
      </c>
      <c r="I424" s="272">
        <f t="shared" si="67"/>
        <v>0.62918926398802832</v>
      </c>
      <c r="J424" s="272">
        <f t="shared" si="70"/>
        <v>42.739572400766441</v>
      </c>
      <c r="K424" s="271">
        <f t="shared" si="71"/>
        <v>2.2383305629330327E-15</v>
      </c>
      <c r="L424" s="271">
        <f t="shared" si="74"/>
        <v>42.739572400766441</v>
      </c>
      <c r="M424" s="271"/>
      <c r="N424" s="271"/>
      <c r="O424" s="271"/>
    </row>
    <row r="425" spans="2:15" x14ac:dyDescent="0.25">
      <c r="B425">
        <v>392</v>
      </c>
      <c r="C425" s="272">
        <f t="shared" si="72"/>
        <v>3.2373301777298313E-17</v>
      </c>
      <c r="D425" s="272">
        <f t="shared" ref="D425:D480" si="76">C425+D423</f>
        <v>0.62918926398802832</v>
      </c>
      <c r="E425" s="272">
        <f t="shared" si="68"/>
        <v>13.779461156699337</v>
      </c>
      <c r="F425" s="271">
        <f t="shared" si="69"/>
        <v>2.2383305629330327E-15</v>
      </c>
      <c r="G425" s="271">
        <f t="shared" si="73"/>
        <v>13.779461156699339</v>
      </c>
      <c r="H425" s="272">
        <f t="shared" si="75"/>
        <v>3.2373301777298313E-17</v>
      </c>
      <c r="I425" s="272">
        <f t="shared" ref="I425:I480" si="77">H425+I423</f>
        <v>0.62918926398802832</v>
      </c>
      <c r="J425" s="272">
        <f t="shared" si="70"/>
        <v>42.739572400766441</v>
      </c>
      <c r="K425" s="271">
        <f t="shared" si="71"/>
        <v>2.2383305629330327E-15</v>
      </c>
      <c r="L425" s="271">
        <f t="shared" si="74"/>
        <v>42.739572400766441</v>
      </c>
      <c r="M425" s="271"/>
      <c r="N425" s="271"/>
      <c r="O425" s="271"/>
    </row>
    <row r="426" spans="2:15" x14ac:dyDescent="0.25">
      <c r="B426">
        <v>393</v>
      </c>
      <c r="C426" s="272">
        <f t="shared" si="72"/>
        <v>3.2373301777298313E-17</v>
      </c>
      <c r="D426" s="272">
        <f t="shared" si="76"/>
        <v>0.62918926398802832</v>
      </c>
      <c r="E426" s="272">
        <f t="shared" si="68"/>
        <v>13.779461156699432</v>
      </c>
      <c r="F426" s="271">
        <f t="shared" si="69"/>
        <v>2.2383305629330327E-15</v>
      </c>
      <c r="G426" s="271">
        <f t="shared" si="73"/>
        <v>13.779461156699433</v>
      </c>
      <c r="H426" s="272">
        <f t="shared" si="75"/>
        <v>3.2373301777298313E-17</v>
      </c>
      <c r="I426" s="272">
        <f t="shared" si="77"/>
        <v>0.62918926398802832</v>
      </c>
      <c r="J426" s="272">
        <f t="shared" si="70"/>
        <v>42.739572400766441</v>
      </c>
      <c r="K426" s="271">
        <f t="shared" si="71"/>
        <v>2.2383305629330327E-15</v>
      </c>
      <c r="L426" s="271">
        <f t="shared" si="74"/>
        <v>42.739572400766441</v>
      </c>
      <c r="M426" s="271"/>
      <c r="N426" s="271"/>
      <c r="O426" s="271"/>
    </row>
    <row r="427" spans="2:15" x14ac:dyDescent="0.25">
      <c r="B427">
        <v>394</v>
      </c>
      <c r="C427" s="272">
        <f t="shared" si="72"/>
        <v>3.2373301777298313E-17</v>
      </c>
      <c r="D427" s="272">
        <f t="shared" si="76"/>
        <v>0.62918926398802832</v>
      </c>
      <c r="E427" s="272">
        <f t="shared" si="68"/>
        <v>13.779461156699528</v>
      </c>
      <c r="F427" s="271">
        <f t="shared" si="69"/>
        <v>2.2383305629330327E-15</v>
      </c>
      <c r="G427" s="271">
        <f t="shared" si="73"/>
        <v>13.779461156699529</v>
      </c>
      <c r="H427" s="272">
        <f t="shared" si="75"/>
        <v>3.2373301777298313E-17</v>
      </c>
      <c r="I427" s="272">
        <f t="shared" si="77"/>
        <v>0.62918926398802832</v>
      </c>
      <c r="J427" s="272">
        <f t="shared" si="70"/>
        <v>42.739572400766441</v>
      </c>
      <c r="K427" s="271">
        <f t="shared" si="71"/>
        <v>2.2383305629330327E-15</v>
      </c>
      <c r="L427" s="271">
        <f t="shared" si="74"/>
        <v>42.739572400766441</v>
      </c>
      <c r="M427" s="271"/>
      <c r="N427" s="271"/>
      <c r="O427" s="271"/>
    </row>
    <row r="428" spans="2:15" x14ac:dyDescent="0.25">
      <c r="B428">
        <v>395</v>
      </c>
      <c r="C428" s="272">
        <f t="shared" si="72"/>
        <v>3.2373301777298313E-17</v>
      </c>
      <c r="D428" s="272">
        <f t="shared" si="76"/>
        <v>0.62918926398802832</v>
      </c>
      <c r="E428" s="272">
        <f t="shared" si="68"/>
        <v>13.779461156699623</v>
      </c>
      <c r="F428" s="271">
        <f t="shared" si="69"/>
        <v>2.2383305629330327E-15</v>
      </c>
      <c r="G428" s="271">
        <f t="shared" si="73"/>
        <v>13.779461156699625</v>
      </c>
      <c r="H428" s="272">
        <f t="shared" si="75"/>
        <v>3.2373301777298313E-17</v>
      </c>
      <c r="I428" s="272">
        <f t="shared" si="77"/>
        <v>0.62918926398802832</v>
      </c>
      <c r="J428" s="272">
        <f t="shared" si="70"/>
        <v>42.739572400766441</v>
      </c>
      <c r="K428" s="271">
        <f t="shared" si="71"/>
        <v>2.2383305629330327E-15</v>
      </c>
      <c r="L428" s="271">
        <f t="shared" si="74"/>
        <v>42.739572400766441</v>
      </c>
      <c r="M428" s="271"/>
      <c r="N428" s="271"/>
      <c r="O428" s="271"/>
    </row>
    <row r="429" spans="2:15" x14ac:dyDescent="0.25">
      <c r="B429">
        <v>396</v>
      </c>
      <c r="C429" s="272">
        <f t="shared" si="72"/>
        <v>3.2373301777298313E-17</v>
      </c>
      <c r="D429" s="272">
        <f t="shared" si="76"/>
        <v>0.62918926398802832</v>
      </c>
      <c r="E429" s="272">
        <f t="shared" si="68"/>
        <v>13.779461156699719</v>
      </c>
      <c r="F429" s="271">
        <f t="shared" si="69"/>
        <v>2.2383305629330327E-15</v>
      </c>
      <c r="G429" s="271">
        <f t="shared" si="73"/>
        <v>13.779461156699721</v>
      </c>
      <c r="H429" s="272">
        <f t="shared" si="75"/>
        <v>3.2373301777298313E-17</v>
      </c>
      <c r="I429" s="272">
        <f t="shared" si="77"/>
        <v>0.62918926398802832</v>
      </c>
      <c r="J429" s="272">
        <f t="shared" si="70"/>
        <v>42.739572400766441</v>
      </c>
      <c r="K429" s="271">
        <f t="shared" si="71"/>
        <v>2.2383305629330327E-15</v>
      </c>
      <c r="L429" s="271">
        <f t="shared" si="74"/>
        <v>42.739572400766441</v>
      </c>
      <c r="M429" s="271"/>
      <c r="N429" s="271"/>
      <c r="O429" s="271"/>
    </row>
    <row r="430" spans="2:15" x14ac:dyDescent="0.25">
      <c r="B430">
        <v>397</v>
      </c>
      <c r="C430" s="272">
        <f t="shared" si="72"/>
        <v>3.2373301777298313E-17</v>
      </c>
      <c r="D430" s="272">
        <f t="shared" si="76"/>
        <v>0.62918926398802832</v>
      </c>
      <c r="E430" s="272">
        <f t="shared" si="68"/>
        <v>13.779461156699815</v>
      </c>
      <c r="F430" s="271">
        <f t="shared" si="69"/>
        <v>2.2383305629330327E-15</v>
      </c>
      <c r="G430" s="271">
        <f t="shared" si="73"/>
        <v>13.779461156699817</v>
      </c>
      <c r="H430" s="272">
        <f t="shared" si="75"/>
        <v>3.2373301777298313E-17</v>
      </c>
      <c r="I430" s="272">
        <f t="shared" si="77"/>
        <v>0.62918926398802832</v>
      </c>
      <c r="J430" s="272">
        <f t="shared" si="70"/>
        <v>42.739572400766441</v>
      </c>
      <c r="K430" s="271">
        <f t="shared" si="71"/>
        <v>2.2383305629330327E-15</v>
      </c>
      <c r="L430" s="271">
        <f t="shared" si="74"/>
        <v>42.739572400766441</v>
      </c>
      <c r="M430" s="271"/>
      <c r="N430" s="271"/>
      <c r="O430" s="271"/>
    </row>
    <row r="431" spans="2:15" x14ac:dyDescent="0.25">
      <c r="B431">
        <v>398</v>
      </c>
      <c r="C431" s="272">
        <f t="shared" si="72"/>
        <v>3.2373301777298313E-17</v>
      </c>
      <c r="D431" s="272">
        <f t="shared" si="76"/>
        <v>0.62918926398802832</v>
      </c>
      <c r="E431" s="272">
        <f t="shared" si="68"/>
        <v>13.779461156699911</v>
      </c>
      <c r="F431" s="271">
        <f t="shared" si="69"/>
        <v>2.2383305629330327E-15</v>
      </c>
      <c r="G431" s="271">
        <f t="shared" si="73"/>
        <v>13.779461156699913</v>
      </c>
      <c r="H431" s="272">
        <f t="shared" si="75"/>
        <v>3.2373301777298313E-17</v>
      </c>
      <c r="I431" s="272">
        <f t="shared" si="77"/>
        <v>0.62918926398802832</v>
      </c>
      <c r="J431" s="272">
        <f t="shared" si="70"/>
        <v>42.739572400766441</v>
      </c>
      <c r="K431" s="271">
        <f t="shared" si="71"/>
        <v>2.2383305629330327E-15</v>
      </c>
      <c r="L431" s="271">
        <f t="shared" si="74"/>
        <v>42.739572400766441</v>
      </c>
      <c r="M431" s="271"/>
      <c r="N431" s="271"/>
      <c r="O431" s="271"/>
    </row>
    <row r="432" spans="2:15" x14ac:dyDescent="0.25">
      <c r="B432">
        <v>399</v>
      </c>
      <c r="C432" s="272">
        <f t="shared" si="72"/>
        <v>3.2373301777298313E-17</v>
      </c>
      <c r="D432" s="272">
        <f t="shared" si="76"/>
        <v>0.62918926398802832</v>
      </c>
      <c r="E432" s="272">
        <f t="shared" si="68"/>
        <v>13.779461156700007</v>
      </c>
      <c r="F432" s="271">
        <f t="shared" si="69"/>
        <v>2.2383305629330327E-15</v>
      </c>
      <c r="G432" s="271">
        <f t="shared" si="73"/>
        <v>13.779461156700009</v>
      </c>
      <c r="H432" s="272">
        <f t="shared" si="75"/>
        <v>3.2373301777298313E-17</v>
      </c>
      <c r="I432" s="272">
        <f t="shared" si="77"/>
        <v>0.62918926398802832</v>
      </c>
      <c r="J432" s="272">
        <f t="shared" si="70"/>
        <v>42.739572400766441</v>
      </c>
      <c r="K432" s="271">
        <f t="shared" si="71"/>
        <v>2.2383305629330327E-15</v>
      </c>
      <c r="L432" s="271">
        <f t="shared" si="74"/>
        <v>42.739572400766441</v>
      </c>
      <c r="M432" s="271"/>
      <c r="N432" s="271"/>
      <c r="O432" s="271"/>
    </row>
    <row r="433" spans="2:15" x14ac:dyDescent="0.25">
      <c r="B433">
        <v>400</v>
      </c>
      <c r="C433" s="272">
        <f t="shared" si="72"/>
        <v>3.2373301777298313E-17</v>
      </c>
      <c r="D433" s="272">
        <f t="shared" si="76"/>
        <v>0.62918926398802832</v>
      </c>
      <c r="E433" s="272">
        <f t="shared" si="68"/>
        <v>13.779461156700103</v>
      </c>
      <c r="F433" s="271">
        <f t="shared" si="69"/>
        <v>2.2383305629330327E-15</v>
      </c>
      <c r="G433" s="271">
        <f t="shared" si="73"/>
        <v>13.779461156700105</v>
      </c>
      <c r="H433" s="272">
        <f t="shared" si="75"/>
        <v>3.2373301777298313E-17</v>
      </c>
      <c r="I433" s="272">
        <f t="shared" si="77"/>
        <v>0.62918926398802832</v>
      </c>
      <c r="J433" s="272">
        <f t="shared" si="70"/>
        <v>42.739572400766441</v>
      </c>
      <c r="K433" s="271">
        <f t="shared" si="71"/>
        <v>2.2383305629330327E-15</v>
      </c>
      <c r="L433" s="271">
        <f t="shared" si="74"/>
        <v>42.739572400766441</v>
      </c>
      <c r="M433" s="271"/>
      <c r="N433" s="271"/>
      <c r="O433" s="271"/>
    </row>
    <row r="434" spans="2:15" x14ac:dyDescent="0.25">
      <c r="B434">
        <v>401</v>
      </c>
      <c r="C434" s="272">
        <f t="shared" si="72"/>
        <v>3.2373301777298313E-17</v>
      </c>
      <c r="D434" s="272">
        <f t="shared" si="76"/>
        <v>0.62918926398802832</v>
      </c>
      <c r="E434" s="272">
        <f t="shared" si="68"/>
        <v>13.779461156700201</v>
      </c>
      <c r="F434" s="271">
        <f t="shared" si="69"/>
        <v>2.2383305629330327E-15</v>
      </c>
      <c r="G434" s="271">
        <f t="shared" si="73"/>
        <v>13.779461156700203</v>
      </c>
      <c r="H434" s="272">
        <f t="shared" si="75"/>
        <v>3.2373301777298313E-17</v>
      </c>
      <c r="I434" s="272">
        <f t="shared" si="77"/>
        <v>0.62918926398802832</v>
      </c>
      <c r="J434" s="272">
        <f t="shared" si="70"/>
        <v>42.739572400766441</v>
      </c>
      <c r="K434" s="271">
        <f t="shared" si="71"/>
        <v>2.2383305629330327E-15</v>
      </c>
      <c r="L434" s="271">
        <f t="shared" si="74"/>
        <v>42.739572400766441</v>
      </c>
      <c r="M434" s="271"/>
      <c r="N434" s="271"/>
      <c r="O434" s="271"/>
    </row>
    <row r="435" spans="2:15" x14ac:dyDescent="0.25">
      <c r="B435">
        <v>402</v>
      </c>
      <c r="C435" s="272">
        <f t="shared" si="72"/>
        <v>3.2373301777298313E-17</v>
      </c>
      <c r="D435" s="272">
        <f t="shared" si="76"/>
        <v>0.62918926398802832</v>
      </c>
      <c r="E435" s="272">
        <f t="shared" si="68"/>
        <v>13.779461156700298</v>
      </c>
      <c r="F435" s="271">
        <f t="shared" si="69"/>
        <v>2.2383305629330327E-15</v>
      </c>
      <c r="G435" s="271">
        <f t="shared" si="73"/>
        <v>13.7794611567003</v>
      </c>
      <c r="H435" s="272">
        <f t="shared" si="75"/>
        <v>3.2373301777298313E-17</v>
      </c>
      <c r="I435" s="272">
        <f t="shared" si="77"/>
        <v>0.62918926398802832</v>
      </c>
      <c r="J435" s="272">
        <f t="shared" si="70"/>
        <v>42.739572400766441</v>
      </c>
      <c r="K435" s="271">
        <f t="shared" si="71"/>
        <v>2.2383305629330327E-15</v>
      </c>
      <c r="L435" s="271">
        <f t="shared" si="74"/>
        <v>42.739572400766441</v>
      </c>
      <c r="M435" s="271"/>
      <c r="N435" s="271"/>
      <c r="O435" s="271"/>
    </row>
    <row r="436" spans="2:15" x14ac:dyDescent="0.25">
      <c r="B436">
        <v>403</v>
      </c>
      <c r="C436" s="272">
        <f t="shared" si="72"/>
        <v>3.2373301777298313E-17</v>
      </c>
      <c r="D436" s="272">
        <f t="shared" si="76"/>
        <v>0.62918926398802832</v>
      </c>
      <c r="E436" s="272">
        <f t="shared" si="68"/>
        <v>13.779461156700396</v>
      </c>
      <c r="F436" s="271">
        <f t="shared" si="69"/>
        <v>2.2383305629330327E-15</v>
      </c>
      <c r="G436" s="271">
        <f t="shared" si="73"/>
        <v>13.779461156700398</v>
      </c>
      <c r="H436" s="272">
        <f t="shared" si="75"/>
        <v>3.2373301777298313E-17</v>
      </c>
      <c r="I436" s="272">
        <f t="shared" si="77"/>
        <v>0.62918926398802832</v>
      </c>
      <c r="J436" s="272">
        <f t="shared" si="70"/>
        <v>42.739572400766441</v>
      </c>
      <c r="K436" s="271">
        <f t="shared" si="71"/>
        <v>2.2383305629330327E-15</v>
      </c>
      <c r="L436" s="271">
        <f t="shared" si="74"/>
        <v>42.739572400766441</v>
      </c>
      <c r="M436" s="271"/>
      <c r="N436" s="271"/>
      <c r="O436" s="271"/>
    </row>
    <row r="437" spans="2:15" x14ac:dyDescent="0.25">
      <c r="B437">
        <v>404</v>
      </c>
      <c r="C437" s="272">
        <f t="shared" si="72"/>
        <v>3.2373301777298313E-17</v>
      </c>
      <c r="D437" s="272">
        <f t="shared" si="76"/>
        <v>0.62918926398802832</v>
      </c>
      <c r="E437" s="272">
        <f t="shared" si="68"/>
        <v>13.779461156700494</v>
      </c>
      <c r="F437" s="271">
        <f t="shared" si="69"/>
        <v>2.2383305629330327E-15</v>
      </c>
      <c r="G437" s="271">
        <f t="shared" si="73"/>
        <v>13.779461156700496</v>
      </c>
      <c r="H437" s="272">
        <f t="shared" si="75"/>
        <v>3.2373301777298313E-17</v>
      </c>
      <c r="I437" s="272">
        <f t="shared" si="77"/>
        <v>0.62918926398802832</v>
      </c>
      <c r="J437" s="272">
        <f t="shared" si="70"/>
        <v>42.739572400766441</v>
      </c>
      <c r="K437" s="271">
        <f t="shared" si="71"/>
        <v>2.2383305629330327E-15</v>
      </c>
      <c r="L437" s="271">
        <f t="shared" si="74"/>
        <v>42.739572400766441</v>
      </c>
      <c r="M437" s="271"/>
      <c r="N437" s="271"/>
      <c r="O437" s="271"/>
    </row>
    <row r="438" spans="2:15" x14ac:dyDescent="0.25">
      <c r="B438">
        <v>405</v>
      </c>
      <c r="C438" s="272">
        <f t="shared" si="72"/>
        <v>3.2373301777298313E-17</v>
      </c>
      <c r="D438" s="272">
        <f t="shared" si="76"/>
        <v>0.62918926398802832</v>
      </c>
      <c r="E438" s="272">
        <f t="shared" si="68"/>
        <v>13.779461156700592</v>
      </c>
      <c r="F438" s="271">
        <f t="shared" si="69"/>
        <v>2.2383305629330327E-15</v>
      </c>
      <c r="G438" s="271">
        <f t="shared" si="73"/>
        <v>13.779461156700593</v>
      </c>
      <c r="H438" s="272">
        <f t="shared" si="75"/>
        <v>3.2373301777298313E-17</v>
      </c>
      <c r="I438" s="272">
        <f t="shared" si="77"/>
        <v>0.62918926398802832</v>
      </c>
      <c r="J438" s="272">
        <f t="shared" si="70"/>
        <v>42.739572400766441</v>
      </c>
      <c r="K438" s="271">
        <f t="shared" si="71"/>
        <v>2.2383305629330327E-15</v>
      </c>
      <c r="L438" s="271">
        <f t="shared" si="74"/>
        <v>42.739572400766441</v>
      </c>
      <c r="M438" s="271"/>
      <c r="N438" s="271"/>
      <c r="O438" s="271"/>
    </row>
    <row r="439" spans="2:15" x14ac:dyDescent="0.25">
      <c r="B439">
        <v>406</v>
      </c>
      <c r="C439" s="272">
        <f t="shared" si="72"/>
        <v>3.2373301777298313E-17</v>
      </c>
      <c r="D439" s="272">
        <f t="shared" si="76"/>
        <v>0.62918926398802832</v>
      </c>
      <c r="E439" s="272">
        <f t="shared" si="68"/>
        <v>13.779461156700689</v>
      </c>
      <c r="F439" s="271">
        <f t="shared" si="69"/>
        <v>2.2383305629330327E-15</v>
      </c>
      <c r="G439" s="271">
        <f t="shared" si="73"/>
        <v>13.779461156700691</v>
      </c>
      <c r="H439" s="272">
        <f t="shared" si="75"/>
        <v>3.2373301777298313E-17</v>
      </c>
      <c r="I439" s="272">
        <f t="shared" si="77"/>
        <v>0.62918926398802832</v>
      </c>
      <c r="J439" s="272">
        <f t="shared" si="70"/>
        <v>42.739572400766441</v>
      </c>
      <c r="K439" s="271">
        <f t="shared" si="71"/>
        <v>2.2383305629330327E-15</v>
      </c>
      <c r="L439" s="271">
        <f t="shared" si="74"/>
        <v>42.739572400766441</v>
      </c>
      <c r="M439" s="271"/>
      <c r="N439" s="271"/>
      <c r="O439" s="271"/>
    </row>
    <row r="440" spans="2:15" x14ac:dyDescent="0.25">
      <c r="B440">
        <v>407</v>
      </c>
      <c r="C440" s="272">
        <f t="shared" si="72"/>
        <v>3.2373301777298313E-17</v>
      </c>
      <c r="D440" s="272">
        <f t="shared" si="76"/>
        <v>0.62918926398802832</v>
      </c>
      <c r="E440" s="272">
        <f t="shared" si="68"/>
        <v>13.779461156700787</v>
      </c>
      <c r="F440" s="271">
        <f t="shared" si="69"/>
        <v>2.2383305629330327E-15</v>
      </c>
      <c r="G440" s="271">
        <f t="shared" si="73"/>
        <v>13.779461156700789</v>
      </c>
      <c r="H440" s="272">
        <f t="shared" si="75"/>
        <v>3.2373301777298313E-17</v>
      </c>
      <c r="I440" s="272">
        <f t="shared" si="77"/>
        <v>0.62918926398802832</v>
      </c>
      <c r="J440" s="272">
        <f t="shared" si="70"/>
        <v>42.739572400766441</v>
      </c>
      <c r="K440" s="271">
        <f t="shared" si="71"/>
        <v>2.2383305629330327E-15</v>
      </c>
      <c r="L440" s="271">
        <f t="shared" si="74"/>
        <v>42.739572400766441</v>
      </c>
      <c r="M440" s="271"/>
      <c r="N440" s="271"/>
      <c r="O440" s="271"/>
    </row>
    <row r="441" spans="2:15" x14ac:dyDescent="0.25">
      <c r="B441">
        <v>408</v>
      </c>
      <c r="C441" s="272">
        <f t="shared" si="72"/>
        <v>3.2373301777298313E-17</v>
      </c>
      <c r="D441" s="272">
        <f t="shared" si="76"/>
        <v>0.62918926398802832</v>
      </c>
      <c r="E441" s="272">
        <f t="shared" si="68"/>
        <v>13.779461156700886</v>
      </c>
      <c r="F441" s="271">
        <f t="shared" si="69"/>
        <v>2.2383305629330327E-15</v>
      </c>
      <c r="G441" s="271">
        <f t="shared" si="73"/>
        <v>13.779461156700888</v>
      </c>
      <c r="H441" s="272">
        <f t="shared" si="75"/>
        <v>3.2373301777298313E-17</v>
      </c>
      <c r="I441" s="272">
        <f t="shared" si="77"/>
        <v>0.62918926398802832</v>
      </c>
      <c r="J441" s="272">
        <f t="shared" si="70"/>
        <v>42.739572400766441</v>
      </c>
      <c r="K441" s="271">
        <f t="shared" si="71"/>
        <v>2.2383305629330327E-15</v>
      </c>
      <c r="L441" s="271">
        <f t="shared" si="74"/>
        <v>42.739572400766441</v>
      </c>
      <c r="M441" s="271"/>
      <c r="N441" s="271"/>
      <c r="O441" s="271"/>
    </row>
    <row r="442" spans="2:15" x14ac:dyDescent="0.25">
      <c r="B442">
        <v>409</v>
      </c>
      <c r="C442" s="272">
        <f t="shared" si="72"/>
        <v>3.2373301777298313E-17</v>
      </c>
      <c r="D442" s="272">
        <f t="shared" si="76"/>
        <v>0.62918926398802832</v>
      </c>
      <c r="E442" s="272">
        <f t="shared" si="68"/>
        <v>13.779461156700986</v>
      </c>
      <c r="F442" s="271">
        <f t="shared" si="69"/>
        <v>2.2383305629330327E-15</v>
      </c>
      <c r="G442" s="271">
        <f t="shared" si="73"/>
        <v>13.779461156700988</v>
      </c>
      <c r="H442" s="272">
        <f t="shared" si="75"/>
        <v>3.2373301777298313E-17</v>
      </c>
      <c r="I442" s="272">
        <f t="shared" si="77"/>
        <v>0.62918926398802832</v>
      </c>
      <c r="J442" s="272">
        <f t="shared" si="70"/>
        <v>42.739572400766441</v>
      </c>
      <c r="K442" s="271">
        <f t="shared" si="71"/>
        <v>2.2383305629330327E-15</v>
      </c>
      <c r="L442" s="271">
        <f t="shared" si="74"/>
        <v>42.739572400766441</v>
      </c>
      <c r="M442" s="271"/>
      <c r="N442" s="271"/>
      <c r="O442" s="271"/>
    </row>
    <row r="443" spans="2:15" x14ac:dyDescent="0.25">
      <c r="B443">
        <v>410</v>
      </c>
      <c r="C443" s="272">
        <f t="shared" si="72"/>
        <v>3.2373301777298313E-17</v>
      </c>
      <c r="D443" s="272">
        <f t="shared" si="76"/>
        <v>0.62918926398802832</v>
      </c>
      <c r="E443" s="272">
        <f t="shared" si="68"/>
        <v>13.779461156701085</v>
      </c>
      <c r="F443" s="271">
        <f t="shared" si="69"/>
        <v>2.2383305629330327E-15</v>
      </c>
      <c r="G443" s="271">
        <f t="shared" si="73"/>
        <v>13.779461156701087</v>
      </c>
      <c r="H443" s="272">
        <f t="shared" si="75"/>
        <v>3.2373301777298313E-17</v>
      </c>
      <c r="I443" s="272">
        <f t="shared" si="77"/>
        <v>0.62918926398802832</v>
      </c>
      <c r="J443" s="272">
        <f t="shared" si="70"/>
        <v>42.739572400766441</v>
      </c>
      <c r="K443" s="271">
        <f t="shared" si="71"/>
        <v>2.2383305629330327E-15</v>
      </c>
      <c r="L443" s="271">
        <f t="shared" si="74"/>
        <v>42.739572400766441</v>
      </c>
      <c r="M443" s="271"/>
      <c r="N443" s="271"/>
      <c r="O443" s="271"/>
    </row>
    <row r="444" spans="2:15" x14ac:dyDescent="0.25">
      <c r="B444">
        <v>411</v>
      </c>
      <c r="C444" s="272">
        <f t="shared" si="72"/>
        <v>3.2373301777298313E-17</v>
      </c>
      <c r="D444" s="272">
        <f t="shared" si="76"/>
        <v>0.62918926398802832</v>
      </c>
      <c r="E444" s="272">
        <f t="shared" si="68"/>
        <v>13.779461156701185</v>
      </c>
      <c r="F444" s="271">
        <f t="shared" si="69"/>
        <v>2.2383305629330327E-15</v>
      </c>
      <c r="G444" s="271">
        <f t="shared" si="73"/>
        <v>13.779461156701187</v>
      </c>
      <c r="H444" s="272">
        <f t="shared" si="75"/>
        <v>3.2373301777298313E-17</v>
      </c>
      <c r="I444" s="272">
        <f t="shared" si="77"/>
        <v>0.62918926398802832</v>
      </c>
      <c r="J444" s="272">
        <f t="shared" si="70"/>
        <v>42.739572400766441</v>
      </c>
      <c r="K444" s="271">
        <f t="shared" si="71"/>
        <v>2.2383305629330327E-15</v>
      </c>
      <c r="L444" s="271">
        <f t="shared" si="74"/>
        <v>42.739572400766441</v>
      </c>
      <c r="M444" s="271"/>
      <c r="N444" s="271"/>
      <c r="O444" s="271"/>
    </row>
    <row r="445" spans="2:15" x14ac:dyDescent="0.25">
      <c r="B445">
        <v>412</v>
      </c>
      <c r="C445" s="272">
        <f t="shared" si="72"/>
        <v>3.2373301777298313E-17</v>
      </c>
      <c r="D445" s="272">
        <f t="shared" si="76"/>
        <v>0.62918926398802832</v>
      </c>
      <c r="E445" s="272">
        <f t="shared" si="68"/>
        <v>13.779461156701284</v>
      </c>
      <c r="F445" s="271">
        <f t="shared" si="69"/>
        <v>2.2383305629330327E-15</v>
      </c>
      <c r="G445" s="271">
        <f t="shared" si="73"/>
        <v>13.779461156701286</v>
      </c>
      <c r="H445" s="272">
        <f t="shared" si="75"/>
        <v>3.2373301777298313E-17</v>
      </c>
      <c r="I445" s="272">
        <f t="shared" si="77"/>
        <v>0.62918926398802832</v>
      </c>
      <c r="J445" s="272">
        <f t="shared" si="70"/>
        <v>42.739572400766441</v>
      </c>
      <c r="K445" s="271">
        <f t="shared" si="71"/>
        <v>2.2383305629330327E-15</v>
      </c>
      <c r="L445" s="271">
        <f t="shared" si="74"/>
        <v>42.739572400766441</v>
      </c>
      <c r="M445" s="271"/>
      <c r="N445" s="271"/>
      <c r="O445" s="271"/>
    </row>
    <row r="446" spans="2:15" x14ac:dyDescent="0.25">
      <c r="B446">
        <v>413</v>
      </c>
      <c r="C446" s="272">
        <f t="shared" si="72"/>
        <v>3.2373301777298313E-17</v>
      </c>
      <c r="D446" s="272">
        <f t="shared" si="76"/>
        <v>0.62918926398802832</v>
      </c>
      <c r="E446" s="272">
        <f t="shared" si="68"/>
        <v>13.779461156701384</v>
      </c>
      <c r="F446" s="271">
        <f t="shared" si="69"/>
        <v>2.2383305629330327E-15</v>
      </c>
      <c r="G446" s="271">
        <f t="shared" si="73"/>
        <v>13.779461156701386</v>
      </c>
      <c r="H446" s="272">
        <f t="shared" si="75"/>
        <v>3.2373301777298313E-17</v>
      </c>
      <c r="I446" s="272">
        <f t="shared" si="77"/>
        <v>0.62918926398802832</v>
      </c>
      <c r="J446" s="272">
        <f t="shared" si="70"/>
        <v>42.739572400766441</v>
      </c>
      <c r="K446" s="271">
        <f t="shared" si="71"/>
        <v>2.2383305629330327E-15</v>
      </c>
      <c r="L446" s="271">
        <f t="shared" si="74"/>
        <v>42.739572400766441</v>
      </c>
      <c r="M446" s="271"/>
      <c r="N446" s="271"/>
      <c r="O446" s="271"/>
    </row>
    <row r="447" spans="2:15" x14ac:dyDescent="0.25">
      <c r="B447">
        <v>414</v>
      </c>
      <c r="C447" s="272">
        <f t="shared" si="72"/>
        <v>3.2373301777298313E-17</v>
      </c>
      <c r="D447" s="272">
        <f t="shared" si="76"/>
        <v>0.62918926398802832</v>
      </c>
      <c r="E447" s="272">
        <f t="shared" si="68"/>
        <v>13.779461156701483</v>
      </c>
      <c r="F447" s="271">
        <f t="shared" si="69"/>
        <v>2.2383305629330327E-15</v>
      </c>
      <c r="G447" s="271">
        <f t="shared" si="73"/>
        <v>13.779461156701485</v>
      </c>
      <c r="H447" s="272">
        <f t="shared" si="75"/>
        <v>3.2373301777298313E-17</v>
      </c>
      <c r="I447" s="272">
        <f t="shared" si="77"/>
        <v>0.62918926398802832</v>
      </c>
      <c r="J447" s="272">
        <f t="shared" si="70"/>
        <v>42.739572400766441</v>
      </c>
      <c r="K447" s="271">
        <f t="shared" si="71"/>
        <v>2.2383305629330327E-15</v>
      </c>
      <c r="L447" s="271">
        <f t="shared" si="74"/>
        <v>42.739572400766441</v>
      </c>
      <c r="M447" s="271"/>
      <c r="N447" s="271"/>
      <c r="O447" s="271"/>
    </row>
    <row r="448" spans="2:15" x14ac:dyDescent="0.25">
      <c r="B448">
        <v>415</v>
      </c>
      <c r="C448" s="272">
        <f t="shared" si="72"/>
        <v>3.2373301777298313E-17</v>
      </c>
      <c r="D448" s="272">
        <f t="shared" si="76"/>
        <v>0.62918926398802832</v>
      </c>
      <c r="E448" s="272">
        <f t="shared" si="68"/>
        <v>13.779461156701583</v>
      </c>
      <c r="F448" s="271">
        <f t="shared" si="69"/>
        <v>2.2383305629330327E-15</v>
      </c>
      <c r="G448" s="271">
        <f t="shared" si="73"/>
        <v>13.779461156701585</v>
      </c>
      <c r="H448" s="272">
        <f t="shared" si="75"/>
        <v>3.2373301777298313E-17</v>
      </c>
      <c r="I448" s="272">
        <f t="shared" si="77"/>
        <v>0.62918926398802832</v>
      </c>
      <c r="J448" s="272">
        <f t="shared" si="70"/>
        <v>42.739572400766441</v>
      </c>
      <c r="K448" s="271">
        <f t="shared" si="71"/>
        <v>2.2383305629330327E-15</v>
      </c>
      <c r="L448" s="271">
        <f t="shared" si="74"/>
        <v>42.739572400766441</v>
      </c>
      <c r="M448" s="271"/>
      <c r="N448" s="271"/>
      <c r="O448" s="271"/>
    </row>
    <row r="449" spans="2:15" x14ac:dyDescent="0.25">
      <c r="B449">
        <v>416</v>
      </c>
      <c r="C449" s="272">
        <f t="shared" si="72"/>
        <v>3.2373301777298313E-17</v>
      </c>
      <c r="D449" s="272">
        <f t="shared" si="76"/>
        <v>0.62918926398802832</v>
      </c>
      <c r="E449" s="272">
        <f t="shared" si="68"/>
        <v>13.779461156701684</v>
      </c>
      <c r="F449" s="271">
        <f t="shared" si="69"/>
        <v>2.2383305629330327E-15</v>
      </c>
      <c r="G449" s="271">
        <f t="shared" si="73"/>
        <v>13.779461156701686</v>
      </c>
      <c r="H449" s="272">
        <f t="shared" si="75"/>
        <v>3.2373301777298313E-17</v>
      </c>
      <c r="I449" s="272">
        <f t="shared" si="77"/>
        <v>0.62918926398802832</v>
      </c>
      <c r="J449" s="272">
        <f t="shared" si="70"/>
        <v>42.739572400766441</v>
      </c>
      <c r="K449" s="271">
        <f t="shared" si="71"/>
        <v>2.2383305629330327E-15</v>
      </c>
      <c r="L449" s="271">
        <f t="shared" si="74"/>
        <v>42.739572400766441</v>
      </c>
      <c r="M449" s="271"/>
      <c r="N449" s="271"/>
      <c r="O449" s="271"/>
    </row>
    <row r="450" spans="2:15" x14ac:dyDescent="0.25">
      <c r="B450">
        <v>417</v>
      </c>
      <c r="C450" s="272">
        <f t="shared" si="72"/>
        <v>3.2373301777298313E-17</v>
      </c>
      <c r="D450" s="272">
        <f t="shared" si="76"/>
        <v>0.62918926398802832</v>
      </c>
      <c r="E450" s="272">
        <f t="shared" si="68"/>
        <v>13.779461156701785</v>
      </c>
      <c r="F450" s="271">
        <f t="shared" si="69"/>
        <v>2.2383305629330327E-15</v>
      </c>
      <c r="G450" s="271">
        <f t="shared" si="73"/>
        <v>13.779461156701787</v>
      </c>
      <c r="H450" s="272">
        <f t="shared" si="75"/>
        <v>3.2373301777298313E-17</v>
      </c>
      <c r="I450" s="272">
        <f t="shared" si="77"/>
        <v>0.62918926398802832</v>
      </c>
      <c r="J450" s="272">
        <f t="shared" si="70"/>
        <v>42.739572400766441</v>
      </c>
      <c r="K450" s="271">
        <f t="shared" si="71"/>
        <v>2.2383305629330327E-15</v>
      </c>
      <c r="L450" s="271">
        <f t="shared" si="74"/>
        <v>42.739572400766441</v>
      </c>
      <c r="M450" s="271"/>
      <c r="N450" s="271"/>
      <c r="O450" s="271"/>
    </row>
    <row r="451" spans="2:15" x14ac:dyDescent="0.25">
      <c r="B451">
        <v>418</v>
      </c>
      <c r="C451" s="272">
        <f t="shared" si="72"/>
        <v>3.2373301777298313E-17</v>
      </c>
      <c r="D451" s="272">
        <f t="shared" si="76"/>
        <v>0.62918926398802832</v>
      </c>
      <c r="E451" s="272">
        <f t="shared" si="68"/>
        <v>13.779461156701887</v>
      </c>
      <c r="F451" s="271">
        <f t="shared" si="69"/>
        <v>2.2383305629330327E-15</v>
      </c>
      <c r="G451" s="271">
        <f t="shared" si="73"/>
        <v>13.779461156701888</v>
      </c>
      <c r="H451" s="272">
        <f t="shared" si="75"/>
        <v>3.2373301777298313E-17</v>
      </c>
      <c r="I451" s="272">
        <f t="shared" si="77"/>
        <v>0.62918926398802832</v>
      </c>
      <c r="J451" s="272">
        <f t="shared" si="70"/>
        <v>42.739572400766441</v>
      </c>
      <c r="K451" s="271">
        <f t="shared" si="71"/>
        <v>2.2383305629330327E-15</v>
      </c>
      <c r="L451" s="271">
        <f t="shared" si="74"/>
        <v>42.739572400766441</v>
      </c>
      <c r="M451" s="271"/>
      <c r="N451" s="271"/>
      <c r="O451" s="271"/>
    </row>
    <row r="452" spans="2:15" x14ac:dyDescent="0.25">
      <c r="B452">
        <v>419</v>
      </c>
      <c r="C452" s="272">
        <f t="shared" si="72"/>
        <v>3.2373301777298313E-17</v>
      </c>
      <c r="D452" s="272">
        <f t="shared" si="76"/>
        <v>0.62918926398802832</v>
      </c>
      <c r="E452" s="272">
        <f t="shared" si="68"/>
        <v>13.779461156701988</v>
      </c>
      <c r="F452" s="271">
        <f t="shared" si="69"/>
        <v>2.2383305629330327E-15</v>
      </c>
      <c r="G452" s="271">
        <f t="shared" si="73"/>
        <v>13.77946115670199</v>
      </c>
      <c r="H452" s="272">
        <f t="shared" si="75"/>
        <v>3.2373301777298313E-17</v>
      </c>
      <c r="I452" s="272">
        <f t="shared" si="77"/>
        <v>0.62918926398802832</v>
      </c>
      <c r="J452" s="272">
        <f t="shared" si="70"/>
        <v>42.739572400766441</v>
      </c>
      <c r="K452" s="271">
        <f t="shared" si="71"/>
        <v>2.2383305629330327E-15</v>
      </c>
      <c r="L452" s="271">
        <f t="shared" si="74"/>
        <v>42.739572400766441</v>
      </c>
      <c r="M452" s="271"/>
      <c r="N452" s="271"/>
      <c r="O452" s="271"/>
    </row>
    <row r="453" spans="2:15" x14ac:dyDescent="0.25">
      <c r="B453">
        <v>420</v>
      </c>
      <c r="C453" s="272">
        <f t="shared" si="72"/>
        <v>3.2373301777298313E-17</v>
      </c>
      <c r="D453" s="272">
        <f t="shared" si="76"/>
        <v>0.62918926398802832</v>
      </c>
      <c r="E453" s="272">
        <f t="shared" si="68"/>
        <v>13.779461156702089</v>
      </c>
      <c r="F453" s="271">
        <f t="shared" si="69"/>
        <v>2.2383305629330327E-15</v>
      </c>
      <c r="G453" s="271">
        <f t="shared" si="73"/>
        <v>13.779461156702091</v>
      </c>
      <c r="H453" s="272">
        <f t="shared" si="75"/>
        <v>3.2373301777298313E-17</v>
      </c>
      <c r="I453" s="272">
        <f t="shared" si="77"/>
        <v>0.62918926398802832</v>
      </c>
      <c r="J453" s="272">
        <f t="shared" si="70"/>
        <v>42.739572400766441</v>
      </c>
      <c r="K453" s="271">
        <f t="shared" si="71"/>
        <v>2.2383305629330327E-15</v>
      </c>
      <c r="L453" s="271">
        <f t="shared" si="74"/>
        <v>42.739572400766441</v>
      </c>
      <c r="M453" s="271"/>
      <c r="N453" s="271"/>
      <c r="O453" s="271"/>
    </row>
    <row r="454" spans="2:15" x14ac:dyDescent="0.25">
      <c r="B454">
        <v>421</v>
      </c>
      <c r="C454" s="272">
        <f t="shared" si="72"/>
        <v>3.2373301777298313E-17</v>
      </c>
      <c r="D454" s="272">
        <f t="shared" si="76"/>
        <v>0.62918926398802832</v>
      </c>
      <c r="E454" s="272">
        <f t="shared" si="68"/>
        <v>13.77946115670219</v>
      </c>
      <c r="F454" s="271">
        <f t="shared" si="69"/>
        <v>2.2383305629330327E-15</v>
      </c>
      <c r="G454" s="271">
        <f t="shared" si="73"/>
        <v>13.779461156702192</v>
      </c>
      <c r="H454" s="272">
        <f t="shared" si="75"/>
        <v>3.2373301777298313E-17</v>
      </c>
      <c r="I454" s="272">
        <f t="shared" si="77"/>
        <v>0.62918926398802832</v>
      </c>
      <c r="J454" s="272">
        <f t="shared" si="70"/>
        <v>42.739572400766441</v>
      </c>
      <c r="K454" s="271">
        <f t="shared" si="71"/>
        <v>2.2383305629330327E-15</v>
      </c>
      <c r="L454" s="271">
        <f t="shared" si="74"/>
        <v>42.739572400766441</v>
      </c>
      <c r="M454" s="271"/>
      <c r="N454" s="271"/>
      <c r="O454" s="271"/>
    </row>
    <row r="455" spans="2:15" x14ac:dyDescent="0.25">
      <c r="B455">
        <v>422</v>
      </c>
      <c r="C455" s="272">
        <f t="shared" si="72"/>
        <v>3.2373301777298313E-17</v>
      </c>
      <c r="D455" s="272">
        <f t="shared" si="76"/>
        <v>0.62918926398802832</v>
      </c>
      <c r="E455" s="272">
        <f t="shared" si="68"/>
        <v>13.779461156702292</v>
      </c>
      <c r="F455" s="271">
        <f t="shared" si="69"/>
        <v>2.2383305629330327E-15</v>
      </c>
      <c r="G455" s="271">
        <f t="shared" si="73"/>
        <v>13.779461156702293</v>
      </c>
      <c r="H455" s="272">
        <f t="shared" si="75"/>
        <v>3.2373301777298313E-17</v>
      </c>
      <c r="I455" s="272">
        <f t="shared" si="77"/>
        <v>0.62918926398802832</v>
      </c>
      <c r="J455" s="272">
        <f t="shared" si="70"/>
        <v>42.739572400766441</v>
      </c>
      <c r="K455" s="271">
        <f t="shared" si="71"/>
        <v>2.2383305629330327E-15</v>
      </c>
      <c r="L455" s="271">
        <f t="shared" si="74"/>
        <v>42.739572400766441</v>
      </c>
      <c r="M455" s="271"/>
      <c r="N455" s="271"/>
      <c r="O455" s="271"/>
    </row>
    <row r="456" spans="2:15" x14ac:dyDescent="0.25">
      <c r="B456">
        <v>423</v>
      </c>
      <c r="C456" s="272">
        <f t="shared" si="72"/>
        <v>3.2373301777298313E-17</v>
      </c>
      <c r="D456" s="272">
        <f t="shared" si="76"/>
        <v>0.62918926398802832</v>
      </c>
      <c r="E456" s="272">
        <f t="shared" si="68"/>
        <v>13.779461156702395</v>
      </c>
      <c r="F456" s="271">
        <f t="shared" si="69"/>
        <v>2.2383305629330327E-15</v>
      </c>
      <c r="G456" s="271">
        <f t="shared" si="73"/>
        <v>13.779461156702396</v>
      </c>
      <c r="H456" s="272">
        <f t="shared" si="75"/>
        <v>3.2373301777298313E-17</v>
      </c>
      <c r="I456" s="272">
        <f t="shared" si="77"/>
        <v>0.62918926398802832</v>
      </c>
      <c r="J456" s="272">
        <f t="shared" si="70"/>
        <v>42.739572400766441</v>
      </c>
      <c r="K456" s="271">
        <f t="shared" si="71"/>
        <v>2.2383305629330327E-15</v>
      </c>
      <c r="L456" s="271">
        <f t="shared" si="74"/>
        <v>42.739572400766441</v>
      </c>
      <c r="M456" s="271"/>
      <c r="N456" s="271"/>
      <c r="O456" s="271"/>
    </row>
    <row r="457" spans="2:15" x14ac:dyDescent="0.25">
      <c r="B457">
        <v>424</v>
      </c>
      <c r="C457" s="272">
        <f t="shared" si="72"/>
        <v>3.2373301777298313E-17</v>
      </c>
      <c r="D457" s="272">
        <f t="shared" si="76"/>
        <v>0.62918926398802832</v>
      </c>
      <c r="E457" s="272">
        <f t="shared" si="68"/>
        <v>13.779461156702498</v>
      </c>
      <c r="F457" s="271">
        <f t="shared" si="69"/>
        <v>2.2383305629330327E-15</v>
      </c>
      <c r="G457" s="271">
        <f t="shared" si="73"/>
        <v>13.779461156702499</v>
      </c>
      <c r="H457" s="272">
        <f t="shared" si="75"/>
        <v>3.2373301777298313E-17</v>
      </c>
      <c r="I457" s="272">
        <f t="shared" si="77"/>
        <v>0.62918926398802832</v>
      </c>
      <c r="J457" s="272">
        <f t="shared" si="70"/>
        <v>42.739572400766441</v>
      </c>
      <c r="K457" s="271">
        <f t="shared" si="71"/>
        <v>2.2383305629330327E-15</v>
      </c>
      <c r="L457" s="271">
        <f t="shared" si="74"/>
        <v>42.739572400766441</v>
      </c>
      <c r="M457" s="271"/>
      <c r="N457" s="271"/>
      <c r="O457" s="271"/>
    </row>
    <row r="458" spans="2:15" x14ac:dyDescent="0.25">
      <c r="B458">
        <v>425</v>
      </c>
      <c r="C458" s="272">
        <f t="shared" si="72"/>
        <v>3.2373301777298313E-17</v>
      </c>
      <c r="D458" s="272">
        <f t="shared" si="76"/>
        <v>0.62918926398802832</v>
      </c>
      <c r="E458" s="272">
        <f t="shared" si="68"/>
        <v>13.779461156702601</v>
      </c>
      <c r="F458" s="271">
        <f t="shared" si="69"/>
        <v>2.2383305629330327E-15</v>
      </c>
      <c r="G458" s="271">
        <f t="shared" si="73"/>
        <v>13.779461156702602</v>
      </c>
      <c r="H458" s="272">
        <f t="shared" si="75"/>
        <v>3.2373301777298313E-17</v>
      </c>
      <c r="I458" s="272">
        <f t="shared" si="77"/>
        <v>0.62918926398802832</v>
      </c>
      <c r="J458" s="272">
        <f t="shared" si="70"/>
        <v>42.739572400766441</v>
      </c>
      <c r="K458" s="271">
        <f t="shared" si="71"/>
        <v>2.2383305629330327E-15</v>
      </c>
      <c r="L458" s="271">
        <f t="shared" si="74"/>
        <v>42.739572400766441</v>
      </c>
      <c r="M458" s="271"/>
      <c r="N458" s="271"/>
      <c r="O458" s="271"/>
    </row>
    <row r="459" spans="2:15" x14ac:dyDescent="0.25">
      <c r="B459">
        <v>426</v>
      </c>
      <c r="C459" s="272">
        <f t="shared" si="72"/>
        <v>3.2373301777298313E-17</v>
      </c>
      <c r="D459" s="272">
        <f t="shared" si="76"/>
        <v>0.62918926398802832</v>
      </c>
      <c r="E459" s="272">
        <f t="shared" si="68"/>
        <v>13.779461156702704</v>
      </c>
      <c r="F459" s="271">
        <f t="shared" si="69"/>
        <v>2.2383305629330327E-15</v>
      </c>
      <c r="G459" s="271">
        <f t="shared" si="73"/>
        <v>13.779461156702705</v>
      </c>
      <c r="H459" s="272">
        <f t="shared" si="75"/>
        <v>3.2373301777298313E-17</v>
      </c>
      <c r="I459" s="272">
        <f t="shared" si="77"/>
        <v>0.62918926398802832</v>
      </c>
      <c r="J459" s="272">
        <f t="shared" si="70"/>
        <v>42.739572400766441</v>
      </c>
      <c r="K459" s="271">
        <f t="shared" si="71"/>
        <v>2.2383305629330327E-15</v>
      </c>
      <c r="L459" s="271">
        <f t="shared" si="74"/>
        <v>42.739572400766441</v>
      </c>
      <c r="M459" s="271"/>
      <c r="N459" s="271"/>
      <c r="O459" s="271"/>
    </row>
    <row r="460" spans="2:15" x14ac:dyDescent="0.25">
      <c r="B460">
        <v>427</v>
      </c>
      <c r="C460" s="272">
        <f t="shared" si="72"/>
        <v>3.2373301777298313E-17</v>
      </c>
      <c r="D460" s="272">
        <f t="shared" si="76"/>
        <v>0.62918926398802832</v>
      </c>
      <c r="E460" s="272">
        <f t="shared" si="68"/>
        <v>13.779461156702807</v>
      </c>
      <c r="F460" s="271">
        <f t="shared" si="69"/>
        <v>2.2383305629330327E-15</v>
      </c>
      <c r="G460" s="271">
        <f t="shared" si="73"/>
        <v>13.779461156702808</v>
      </c>
      <c r="H460" s="272">
        <f t="shared" si="75"/>
        <v>3.2373301777298313E-17</v>
      </c>
      <c r="I460" s="272">
        <f t="shared" si="77"/>
        <v>0.62918926398802832</v>
      </c>
      <c r="J460" s="272">
        <f t="shared" si="70"/>
        <v>42.739572400766441</v>
      </c>
      <c r="K460" s="271">
        <f t="shared" si="71"/>
        <v>2.2383305629330327E-15</v>
      </c>
      <c r="L460" s="271">
        <f t="shared" si="74"/>
        <v>42.739572400766441</v>
      </c>
      <c r="M460" s="271"/>
      <c r="N460" s="271"/>
      <c r="O460" s="271"/>
    </row>
    <row r="461" spans="2:15" x14ac:dyDescent="0.25">
      <c r="B461">
        <v>428</v>
      </c>
      <c r="C461" s="272">
        <f t="shared" si="72"/>
        <v>3.2373301777298313E-17</v>
      </c>
      <c r="D461" s="272">
        <f t="shared" si="76"/>
        <v>0.62918926398802832</v>
      </c>
      <c r="E461" s="272">
        <f t="shared" si="68"/>
        <v>13.77946115670291</v>
      </c>
      <c r="F461" s="271">
        <f t="shared" si="69"/>
        <v>2.2383305629330327E-15</v>
      </c>
      <c r="G461" s="271">
        <f t="shared" si="73"/>
        <v>13.779461156702911</v>
      </c>
      <c r="H461" s="272">
        <f t="shared" si="75"/>
        <v>3.2373301777298313E-17</v>
      </c>
      <c r="I461" s="272">
        <f t="shared" si="77"/>
        <v>0.62918926398802832</v>
      </c>
      <c r="J461" s="272">
        <f t="shared" si="70"/>
        <v>42.739572400766441</v>
      </c>
      <c r="K461" s="271">
        <f t="shared" si="71"/>
        <v>2.2383305629330327E-15</v>
      </c>
      <c r="L461" s="271">
        <f t="shared" si="74"/>
        <v>42.739572400766441</v>
      </c>
      <c r="M461" s="271"/>
      <c r="N461" s="271"/>
      <c r="O461" s="271"/>
    </row>
    <row r="462" spans="2:15" x14ac:dyDescent="0.25">
      <c r="B462">
        <v>429</v>
      </c>
      <c r="C462" s="272">
        <f t="shared" si="72"/>
        <v>3.2373301777298313E-17</v>
      </c>
      <c r="D462" s="272">
        <f t="shared" si="76"/>
        <v>0.62918926398802832</v>
      </c>
      <c r="E462" s="272">
        <f t="shared" si="68"/>
        <v>13.779461156703013</v>
      </c>
      <c r="F462" s="271">
        <f t="shared" si="69"/>
        <v>2.2383305629330327E-15</v>
      </c>
      <c r="G462" s="271">
        <f t="shared" si="73"/>
        <v>13.779461156703015</v>
      </c>
      <c r="H462" s="272">
        <f t="shared" si="75"/>
        <v>3.2373301777298313E-17</v>
      </c>
      <c r="I462" s="272">
        <f t="shared" si="77"/>
        <v>0.62918926398802832</v>
      </c>
      <c r="J462" s="272">
        <f t="shared" si="70"/>
        <v>42.739572400766441</v>
      </c>
      <c r="K462" s="271">
        <f t="shared" si="71"/>
        <v>2.2383305629330327E-15</v>
      </c>
      <c r="L462" s="271">
        <f t="shared" si="74"/>
        <v>42.739572400766441</v>
      </c>
      <c r="M462" s="271"/>
      <c r="N462" s="271"/>
      <c r="O462" s="271"/>
    </row>
    <row r="463" spans="2:15" x14ac:dyDescent="0.25">
      <c r="B463">
        <v>430</v>
      </c>
      <c r="C463" s="272">
        <f t="shared" si="72"/>
        <v>3.2373301777298313E-17</v>
      </c>
      <c r="D463" s="272">
        <f t="shared" si="76"/>
        <v>0.62918926398802832</v>
      </c>
      <c r="E463" s="272">
        <f t="shared" si="68"/>
        <v>13.779461156703118</v>
      </c>
      <c r="F463" s="271">
        <f t="shared" si="69"/>
        <v>2.2383305629330327E-15</v>
      </c>
      <c r="G463" s="271">
        <f t="shared" si="73"/>
        <v>13.779461156703119</v>
      </c>
      <c r="H463" s="272">
        <f t="shared" si="75"/>
        <v>3.2373301777298313E-17</v>
      </c>
      <c r="I463" s="272">
        <f t="shared" si="77"/>
        <v>0.62918926398802832</v>
      </c>
      <c r="J463" s="272">
        <f t="shared" si="70"/>
        <v>42.739572400766441</v>
      </c>
      <c r="K463" s="271">
        <f t="shared" si="71"/>
        <v>2.2383305629330327E-15</v>
      </c>
      <c r="L463" s="271">
        <f t="shared" si="74"/>
        <v>42.739572400766441</v>
      </c>
      <c r="M463" s="271"/>
      <c r="N463" s="271"/>
      <c r="O463" s="271"/>
    </row>
    <row r="464" spans="2:15" x14ac:dyDescent="0.25">
      <c r="B464">
        <v>431</v>
      </c>
      <c r="C464" s="272">
        <f t="shared" si="72"/>
        <v>3.2373301777298313E-17</v>
      </c>
      <c r="D464" s="272">
        <f t="shared" si="76"/>
        <v>0.62918926398802832</v>
      </c>
      <c r="E464" s="272">
        <f t="shared" si="68"/>
        <v>13.779461156703222</v>
      </c>
      <c r="F464" s="271">
        <f t="shared" si="69"/>
        <v>2.2383305629330327E-15</v>
      </c>
      <c r="G464" s="271">
        <f t="shared" si="73"/>
        <v>13.779461156703224</v>
      </c>
      <c r="H464" s="272">
        <f t="shared" si="75"/>
        <v>3.2373301777298313E-17</v>
      </c>
      <c r="I464" s="272">
        <f t="shared" si="77"/>
        <v>0.62918926398802832</v>
      </c>
      <c r="J464" s="272">
        <f t="shared" si="70"/>
        <v>42.739572400766441</v>
      </c>
      <c r="K464" s="271">
        <f t="shared" si="71"/>
        <v>2.2383305629330327E-15</v>
      </c>
      <c r="L464" s="271">
        <f t="shared" si="74"/>
        <v>42.739572400766441</v>
      </c>
      <c r="M464" s="271"/>
      <c r="N464" s="271"/>
      <c r="O464" s="271"/>
    </row>
    <row r="465" spans="2:15" x14ac:dyDescent="0.25">
      <c r="B465">
        <v>432</v>
      </c>
      <c r="C465" s="272">
        <f t="shared" si="72"/>
        <v>3.2373301777298313E-17</v>
      </c>
      <c r="D465" s="272">
        <f t="shared" si="76"/>
        <v>0.62918926398802832</v>
      </c>
      <c r="E465" s="272">
        <f t="shared" si="68"/>
        <v>13.779461156703327</v>
      </c>
      <c r="F465" s="271">
        <f t="shared" si="69"/>
        <v>2.2383305629330327E-15</v>
      </c>
      <c r="G465" s="271">
        <f t="shared" si="73"/>
        <v>13.779461156703329</v>
      </c>
      <c r="H465" s="272">
        <f t="shared" si="75"/>
        <v>3.2373301777298313E-17</v>
      </c>
      <c r="I465" s="272">
        <f t="shared" si="77"/>
        <v>0.62918926398802832</v>
      </c>
      <c r="J465" s="272">
        <f t="shared" si="70"/>
        <v>42.739572400766441</v>
      </c>
      <c r="K465" s="271">
        <f t="shared" si="71"/>
        <v>2.2383305629330327E-15</v>
      </c>
      <c r="L465" s="271">
        <f t="shared" si="74"/>
        <v>42.739572400766441</v>
      </c>
      <c r="M465" s="271"/>
      <c r="N465" s="271"/>
      <c r="O465" s="271"/>
    </row>
    <row r="466" spans="2:15" x14ac:dyDescent="0.25">
      <c r="B466">
        <v>433</v>
      </c>
      <c r="C466" s="272">
        <f t="shared" si="72"/>
        <v>3.2373301777298313E-17</v>
      </c>
      <c r="D466" s="272">
        <f t="shared" si="76"/>
        <v>0.62918926398802832</v>
      </c>
      <c r="E466" s="272">
        <f t="shared" si="68"/>
        <v>13.779461156703432</v>
      </c>
      <c r="F466" s="271">
        <f t="shared" si="69"/>
        <v>2.2383305629330327E-15</v>
      </c>
      <c r="G466" s="271">
        <f t="shared" si="73"/>
        <v>13.779461156703434</v>
      </c>
      <c r="H466" s="272">
        <f t="shared" si="75"/>
        <v>3.2373301777298313E-17</v>
      </c>
      <c r="I466" s="272">
        <f t="shared" si="77"/>
        <v>0.62918926398802832</v>
      </c>
      <c r="J466" s="272">
        <f t="shared" si="70"/>
        <v>42.739572400766441</v>
      </c>
      <c r="K466" s="271">
        <f t="shared" si="71"/>
        <v>2.2383305629330327E-15</v>
      </c>
      <c r="L466" s="271">
        <f t="shared" si="74"/>
        <v>42.739572400766441</v>
      </c>
      <c r="M466" s="271"/>
      <c r="N466" s="271"/>
      <c r="O466" s="271"/>
    </row>
    <row r="467" spans="2:15" x14ac:dyDescent="0.25">
      <c r="B467">
        <v>434</v>
      </c>
      <c r="C467" s="272">
        <f t="shared" si="72"/>
        <v>3.2373301777298313E-17</v>
      </c>
      <c r="D467" s="272">
        <f t="shared" si="76"/>
        <v>0.62918926398802832</v>
      </c>
      <c r="E467" s="272">
        <f t="shared" si="68"/>
        <v>13.779461156703537</v>
      </c>
      <c r="F467" s="271">
        <f t="shared" si="69"/>
        <v>2.2383305629330327E-15</v>
      </c>
      <c r="G467" s="271">
        <f t="shared" si="73"/>
        <v>13.779461156703539</v>
      </c>
      <c r="H467" s="272">
        <f t="shared" si="75"/>
        <v>3.2373301777298313E-17</v>
      </c>
      <c r="I467" s="272">
        <f t="shared" si="77"/>
        <v>0.62918926398802832</v>
      </c>
      <c r="J467" s="272">
        <f t="shared" si="70"/>
        <v>42.739572400766441</v>
      </c>
      <c r="K467" s="271">
        <f t="shared" si="71"/>
        <v>2.2383305629330327E-15</v>
      </c>
      <c r="L467" s="271">
        <f t="shared" si="74"/>
        <v>42.739572400766441</v>
      </c>
      <c r="M467" s="271"/>
      <c r="N467" s="271"/>
      <c r="O467" s="271"/>
    </row>
    <row r="468" spans="2:15" x14ac:dyDescent="0.25">
      <c r="B468">
        <v>435</v>
      </c>
      <c r="C468" s="272">
        <f t="shared" si="72"/>
        <v>3.2373301777298313E-17</v>
      </c>
      <c r="D468" s="272">
        <f t="shared" si="76"/>
        <v>0.62918926398802832</v>
      </c>
      <c r="E468" s="272">
        <f t="shared" si="68"/>
        <v>13.779461156703642</v>
      </c>
      <c r="F468" s="271">
        <f t="shared" si="69"/>
        <v>2.2383305629330327E-15</v>
      </c>
      <c r="G468" s="271">
        <f t="shared" si="73"/>
        <v>13.779461156703643</v>
      </c>
      <c r="H468" s="272">
        <f t="shared" si="75"/>
        <v>3.2373301777298313E-17</v>
      </c>
      <c r="I468" s="272">
        <f t="shared" si="77"/>
        <v>0.62918926398802832</v>
      </c>
      <c r="J468" s="272">
        <f t="shared" si="70"/>
        <v>42.739572400766441</v>
      </c>
      <c r="K468" s="271">
        <f t="shared" si="71"/>
        <v>2.2383305629330327E-15</v>
      </c>
      <c r="L468" s="271">
        <f t="shared" si="74"/>
        <v>42.739572400766441</v>
      </c>
      <c r="M468" s="271"/>
      <c r="N468" s="271"/>
      <c r="O468" s="271"/>
    </row>
    <row r="469" spans="2:15" x14ac:dyDescent="0.25">
      <c r="B469">
        <v>436</v>
      </c>
      <c r="C469" s="272">
        <f t="shared" si="72"/>
        <v>3.2373301777298313E-17</v>
      </c>
      <c r="D469" s="272">
        <f t="shared" si="76"/>
        <v>0.62918926398802832</v>
      </c>
      <c r="E469" s="272">
        <f t="shared" si="68"/>
        <v>13.779461156703746</v>
      </c>
      <c r="F469" s="271">
        <f t="shared" si="69"/>
        <v>2.2383305629330327E-15</v>
      </c>
      <c r="G469" s="271">
        <f t="shared" si="73"/>
        <v>13.779461156703748</v>
      </c>
      <c r="H469" s="272">
        <f t="shared" si="75"/>
        <v>3.2373301777298313E-17</v>
      </c>
      <c r="I469" s="272">
        <f t="shared" si="77"/>
        <v>0.62918926398802832</v>
      </c>
      <c r="J469" s="272">
        <f t="shared" si="70"/>
        <v>42.739572400766441</v>
      </c>
      <c r="K469" s="271">
        <f t="shared" si="71"/>
        <v>2.2383305629330327E-15</v>
      </c>
      <c r="L469" s="271">
        <f t="shared" si="74"/>
        <v>42.739572400766441</v>
      </c>
      <c r="M469" s="271"/>
      <c r="N469" s="271"/>
      <c r="O469" s="271"/>
    </row>
    <row r="470" spans="2:15" x14ac:dyDescent="0.25">
      <c r="B470">
        <v>437</v>
      </c>
      <c r="C470" s="272">
        <f t="shared" si="72"/>
        <v>3.2373301777298313E-17</v>
      </c>
      <c r="D470" s="272">
        <f t="shared" si="76"/>
        <v>0.62918926398802832</v>
      </c>
      <c r="E470" s="272">
        <f t="shared" si="68"/>
        <v>13.779461156703851</v>
      </c>
      <c r="F470" s="271">
        <f t="shared" si="69"/>
        <v>2.2383305629330327E-15</v>
      </c>
      <c r="G470" s="271">
        <f t="shared" si="73"/>
        <v>13.779461156703853</v>
      </c>
      <c r="H470" s="272">
        <f t="shared" si="75"/>
        <v>3.2373301777298313E-17</v>
      </c>
      <c r="I470" s="272">
        <f t="shared" si="77"/>
        <v>0.62918926398802832</v>
      </c>
      <c r="J470" s="272">
        <f t="shared" si="70"/>
        <v>42.739572400766441</v>
      </c>
      <c r="K470" s="271">
        <f t="shared" si="71"/>
        <v>2.2383305629330327E-15</v>
      </c>
      <c r="L470" s="271">
        <f t="shared" si="74"/>
        <v>42.739572400766441</v>
      </c>
      <c r="M470" s="271"/>
      <c r="N470" s="271"/>
      <c r="O470" s="271"/>
    </row>
    <row r="471" spans="2:15" x14ac:dyDescent="0.25">
      <c r="B471">
        <v>438</v>
      </c>
      <c r="C471" s="272">
        <f t="shared" si="72"/>
        <v>3.2373301777298313E-17</v>
      </c>
      <c r="D471" s="272">
        <f t="shared" si="76"/>
        <v>0.62918926398802832</v>
      </c>
      <c r="E471" s="272">
        <f t="shared" si="68"/>
        <v>13.779461156703958</v>
      </c>
      <c r="F471" s="271">
        <f t="shared" si="69"/>
        <v>2.2383305629330327E-15</v>
      </c>
      <c r="G471" s="271">
        <f t="shared" si="73"/>
        <v>13.77946115670396</v>
      </c>
      <c r="H471" s="272">
        <f t="shared" si="75"/>
        <v>3.2373301777298313E-17</v>
      </c>
      <c r="I471" s="272">
        <f t="shared" si="77"/>
        <v>0.62918926398802832</v>
      </c>
      <c r="J471" s="272">
        <f t="shared" si="70"/>
        <v>42.739572400766441</v>
      </c>
      <c r="K471" s="271">
        <f t="shared" si="71"/>
        <v>2.2383305629330327E-15</v>
      </c>
      <c r="L471" s="271">
        <f t="shared" si="74"/>
        <v>42.739572400766441</v>
      </c>
      <c r="M471" s="271"/>
      <c r="N471" s="271"/>
      <c r="O471" s="271"/>
    </row>
    <row r="472" spans="2:15" x14ac:dyDescent="0.25">
      <c r="B472">
        <v>439</v>
      </c>
      <c r="C472" s="272">
        <f t="shared" si="72"/>
        <v>3.2373301777298313E-17</v>
      </c>
      <c r="D472" s="272">
        <f t="shared" si="76"/>
        <v>0.62918926398802832</v>
      </c>
      <c r="E472" s="272">
        <f t="shared" si="68"/>
        <v>13.779461156704064</v>
      </c>
      <c r="F472" s="271">
        <f t="shared" si="69"/>
        <v>2.2383305629330327E-15</v>
      </c>
      <c r="G472" s="271">
        <f t="shared" si="73"/>
        <v>13.779461156704066</v>
      </c>
      <c r="H472" s="272">
        <f t="shared" si="75"/>
        <v>3.2373301777298313E-17</v>
      </c>
      <c r="I472" s="272">
        <f t="shared" si="77"/>
        <v>0.62918926398802832</v>
      </c>
      <c r="J472" s="272">
        <f t="shared" si="70"/>
        <v>42.739572400766441</v>
      </c>
      <c r="K472" s="271">
        <f t="shared" si="71"/>
        <v>2.2383305629330327E-15</v>
      </c>
      <c r="L472" s="271">
        <f t="shared" si="74"/>
        <v>42.739572400766441</v>
      </c>
      <c r="M472" s="271"/>
      <c r="N472" s="271"/>
      <c r="O472" s="271"/>
    </row>
    <row r="473" spans="2:15" x14ac:dyDescent="0.25">
      <c r="B473">
        <v>440</v>
      </c>
      <c r="C473" s="272">
        <f t="shared" si="72"/>
        <v>3.2373301777298313E-17</v>
      </c>
      <c r="D473" s="272">
        <f t="shared" si="76"/>
        <v>0.62918926398802832</v>
      </c>
      <c r="E473" s="272">
        <f t="shared" si="68"/>
        <v>13.779461156704171</v>
      </c>
      <c r="F473" s="271">
        <f t="shared" si="69"/>
        <v>2.2383305629330327E-15</v>
      </c>
      <c r="G473" s="271">
        <f t="shared" si="73"/>
        <v>13.779461156704173</v>
      </c>
      <c r="H473" s="272">
        <f t="shared" si="75"/>
        <v>3.2373301777298313E-17</v>
      </c>
      <c r="I473" s="272">
        <f t="shared" si="77"/>
        <v>0.62918926398802832</v>
      </c>
      <c r="J473" s="272">
        <f t="shared" si="70"/>
        <v>42.739572400766441</v>
      </c>
      <c r="K473" s="271">
        <f t="shared" si="71"/>
        <v>2.2383305629330327E-15</v>
      </c>
      <c r="L473" s="271">
        <f t="shared" si="74"/>
        <v>42.739572400766441</v>
      </c>
      <c r="M473" s="271"/>
      <c r="N473" s="271"/>
      <c r="O473" s="271"/>
    </row>
    <row r="474" spans="2:15" x14ac:dyDescent="0.25">
      <c r="B474">
        <v>441</v>
      </c>
      <c r="C474" s="272">
        <f t="shared" si="72"/>
        <v>3.2373301777298313E-17</v>
      </c>
      <c r="D474" s="272">
        <f t="shared" si="76"/>
        <v>0.62918926398802832</v>
      </c>
      <c r="E474" s="272">
        <f t="shared" si="68"/>
        <v>13.779461156704278</v>
      </c>
      <c r="F474" s="271">
        <f t="shared" si="69"/>
        <v>2.2383305629330327E-15</v>
      </c>
      <c r="G474" s="271">
        <f t="shared" si="73"/>
        <v>13.779461156704279</v>
      </c>
      <c r="H474" s="272">
        <f t="shared" si="75"/>
        <v>3.2373301777298313E-17</v>
      </c>
      <c r="I474" s="272">
        <f t="shared" si="77"/>
        <v>0.62918926398802832</v>
      </c>
      <c r="J474" s="272">
        <f t="shared" si="70"/>
        <v>42.739572400766441</v>
      </c>
      <c r="K474" s="271">
        <f t="shared" si="71"/>
        <v>2.2383305629330327E-15</v>
      </c>
      <c r="L474" s="271">
        <f t="shared" si="74"/>
        <v>42.739572400766441</v>
      </c>
      <c r="M474" s="271"/>
      <c r="N474" s="271"/>
      <c r="O474" s="271"/>
    </row>
    <row r="475" spans="2:15" x14ac:dyDescent="0.25">
      <c r="B475">
        <v>442</v>
      </c>
      <c r="C475" s="272">
        <f t="shared" si="72"/>
        <v>3.2373301777298313E-17</v>
      </c>
      <c r="D475" s="272">
        <f t="shared" si="76"/>
        <v>0.62918926398802832</v>
      </c>
      <c r="E475" s="272">
        <f t="shared" si="68"/>
        <v>13.779461156704384</v>
      </c>
      <c r="F475" s="271">
        <f t="shared" si="69"/>
        <v>2.2383305629330327E-15</v>
      </c>
      <c r="G475" s="271">
        <f t="shared" si="73"/>
        <v>13.779461156704386</v>
      </c>
      <c r="H475" s="272">
        <f t="shared" si="75"/>
        <v>3.2373301777298313E-17</v>
      </c>
      <c r="I475" s="272">
        <f t="shared" si="77"/>
        <v>0.62918926398802832</v>
      </c>
      <c r="J475" s="272">
        <f t="shared" si="70"/>
        <v>42.739572400766441</v>
      </c>
      <c r="K475" s="271">
        <f t="shared" si="71"/>
        <v>2.2383305629330327E-15</v>
      </c>
      <c r="L475" s="271">
        <f t="shared" si="74"/>
        <v>42.739572400766441</v>
      </c>
      <c r="M475" s="271"/>
      <c r="N475" s="271"/>
      <c r="O475" s="271"/>
    </row>
    <row r="476" spans="2:15" x14ac:dyDescent="0.25">
      <c r="B476">
        <v>443</v>
      </c>
      <c r="C476" s="272">
        <f t="shared" si="72"/>
        <v>3.2373301777298313E-17</v>
      </c>
      <c r="D476" s="272">
        <f t="shared" si="76"/>
        <v>0.62918926398802832</v>
      </c>
      <c r="E476" s="272">
        <f t="shared" si="68"/>
        <v>13.779461156704491</v>
      </c>
      <c r="F476" s="271">
        <f t="shared" si="69"/>
        <v>2.2383305629330327E-15</v>
      </c>
      <c r="G476" s="271">
        <f t="shared" si="73"/>
        <v>13.779461156704492</v>
      </c>
      <c r="H476" s="272">
        <f t="shared" si="75"/>
        <v>3.2373301777298313E-17</v>
      </c>
      <c r="I476" s="272">
        <f t="shared" si="77"/>
        <v>0.62918926398802832</v>
      </c>
      <c r="J476" s="272">
        <f t="shared" si="70"/>
        <v>42.739572400766441</v>
      </c>
      <c r="K476" s="271">
        <f t="shared" si="71"/>
        <v>2.2383305629330327E-15</v>
      </c>
      <c r="L476" s="271">
        <f t="shared" si="74"/>
        <v>42.739572400766441</v>
      </c>
      <c r="M476" s="271"/>
      <c r="N476" s="271"/>
      <c r="O476" s="271"/>
    </row>
    <row r="477" spans="2:15" x14ac:dyDescent="0.25">
      <c r="B477">
        <v>444</v>
      </c>
      <c r="C477" s="272">
        <f t="shared" si="72"/>
        <v>3.2373301777298313E-17</v>
      </c>
      <c r="D477" s="272">
        <f t="shared" si="76"/>
        <v>0.62918926398802832</v>
      </c>
      <c r="E477" s="272">
        <f t="shared" si="68"/>
        <v>13.779461156704597</v>
      </c>
      <c r="F477" s="271">
        <f t="shared" si="69"/>
        <v>2.2383305629330327E-15</v>
      </c>
      <c r="G477" s="271">
        <f t="shared" si="73"/>
        <v>13.779461156704599</v>
      </c>
      <c r="H477" s="272">
        <f t="shared" si="75"/>
        <v>3.2373301777298313E-17</v>
      </c>
      <c r="I477" s="272">
        <f t="shared" si="77"/>
        <v>0.62918926398802832</v>
      </c>
      <c r="J477" s="272">
        <f t="shared" si="70"/>
        <v>42.739572400766441</v>
      </c>
      <c r="K477" s="271">
        <f t="shared" si="71"/>
        <v>2.2383305629330327E-15</v>
      </c>
      <c r="L477" s="271">
        <f t="shared" si="74"/>
        <v>42.739572400766441</v>
      </c>
      <c r="M477" s="271"/>
      <c r="N477" s="271"/>
      <c r="O477" s="271"/>
    </row>
    <row r="478" spans="2:15" x14ac:dyDescent="0.25">
      <c r="B478">
        <v>445</v>
      </c>
      <c r="C478" s="272">
        <f t="shared" si="72"/>
        <v>3.2373301777298313E-17</v>
      </c>
      <c r="D478" s="272">
        <f t="shared" si="76"/>
        <v>0.62918926398802832</v>
      </c>
      <c r="E478" s="272">
        <f t="shared" si="68"/>
        <v>13.779461156704706</v>
      </c>
      <c r="F478" s="271">
        <f t="shared" si="69"/>
        <v>2.2383305629330327E-15</v>
      </c>
      <c r="G478" s="271">
        <f t="shared" si="73"/>
        <v>13.779461156704707</v>
      </c>
      <c r="H478" s="272">
        <f t="shared" si="75"/>
        <v>3.2373301777298313E-17</v>
      </c>
      <c r="I478" s="272">
        <f t="shared" si="77"/>
        <v>0.62918926398802832</v>
      </c>
      <c r="J478" s="272">
        <f t="shared" si="70"/>
        <v>42.739572400766441</v>
      </c>
      <c r="K478" s="271">
        <f t="shared" si="71"/>
        <v>2.2383305629330327E-15</v>
      </c>
      <c r="L478" s="271">
        <f t="shared" si="74"/>
        <v>42.739572400766441</v>
      </c>
      <c r="M478" s="271"/>
      <c r="N478" s="271"/>
      <c r="O478" s="271"/>
    </row>
    <row r="479" spans="2:15" x14ac:dyDescent="0.25">
      <c r="B479">
        <v>446</v>
      </c>
      <c r="C479" s="272">
        <f t="shared" si="72"/>
        <v>3.2373301777298313E-17</v>
      </c>
      <c r="D479" s="272">
        <f t="shared" si="76"/>
        <v>0.62918926398802832</v>
      </c>
      <c r="E479" s="272">
        <f t="shared" si="68"/>
        <v>13.779461156704814</v>
      </c>
      <c r="F479" s="271">
        <f t="shared" si="69"/>
        <v>2.2383305629330327E-15</v>
      </c>
      <c r="G479" s="271">
        <f t="shared" si="73"/>
        <v>13.779461156704816</v>
      </c>
      <c r="H479" s="272">
        <f t="shared" si="75"/>
        <v>3.2373301777298313E-17</v>
      </c>
      <c r="I479" s="272">
        <f t="shared" si="77"/>
        <v>0.62918926398802832</v>
      </c>
      <c r="J479" s="272">
        <f t="shared" si="70"/>
        <v>42.739572400766441</v>
      </c>
      <c r="K479" s="271">
        <f t="shared" si="71"/>
        <v>2.2383305629330327E-15</v>
      </c>
      <c r="L479" s="271">
        <f t="shared" si="74"/>
        <v>42.739572400766441</v>
      </c>
      <c r="M479" s="271"/>
      <c r="N479" s="271"/>
      <c r="O479" s="271"/>
    </row>
    <row r="480" spans="2:15" x14ac:dyDescent="0.25">
      <c r="B480">
        <v>447</v>
      </c>
      <c r="C480" s="272">
        <f t="shared" si="72"/>
        <v>3.2373301777298313E-17</v>
      </c>
      <c r="D480" s="272">
        <f t="shared" si="76"/>
        <v>0.62918926398802832</v>
      </c>
      <c r="E480" s="272">
        <f t="shared" si="68"/>
        <v>13.779461156704922</v>
      </c>
      <c r="F480" s="271">
        <f t="shared" si="69"/>
        <v>2.2383305629330327E-15</v>
      </c>
      <c r="G480" s="271">
        <f t="shared" si="73"/>
        <v>13.779461156704924</v>
      </c>
      <c r="H480" s="272">
        <f t="shared" si="75"/>
        <v>3.2373301777298313E-17</v>
      </c>
      <c r="I480" s="272">
        <f t="shared" si="77"/>
        <v>0.62918926398802832</v>
      </c>
      <c r="J480" s="272">
        <f t="shared" si="70"/>
        <v>42.739572400766441</v>
      </c>
      <c r="K480" s="271">
        <f t="shared" si="71"/>
        <v>2.2383305629330327E-15</v>
      </c>
      <c r="L480" s="271">
        <f t="shared" si="74"/>
        <v>42.739572400766441</v>
      </c>
      <c r="M480" s="271"/>
      <c r="N480" s="271"/>
      <c r="O480" s="27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3"/>
  <sheetViews>
    <sheetView view="pageBreakPreview" topLeftCell="A3" zoomScaleNormal="162" zoomScaleSheetLayoutView="100" zoomScalePageLayoutView="120" workbookViewId="0">
      <pane xSplit="5" ySplit="3" topLeftCell="F39" activePane="bottomRight" state="frozenSplit"/>
      <selection activeCell="A3" sqref="A3"/>
      <selection pane="topRight" activeCell="F3" sqref="F3"/>
      <selection pane="bottomLeft" activeCell="A6" sqref="A6"/>
      <selection pane="bottomRight" activeCell="L64" sqref="L64"/>
    </sheetView>
  </sheetViews>
  <sheetFormatPr defaultColWidth="10.875" defaultRowHeight="13.5" x14ac:dyDescent="0.25"/>
  <cols>
    <col min="1" max="2" width="3.375" style="20" customWidth="1"/>
    <col min="3" max="3" width="5.5" style="23" bestFit="1" customWidth="1"/>
    <col min="4" max="4" width="64" style="20" bestFit="1"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286" t="s">
        <v>68</v>
      </c>
      <c r="D3" s="287"/>
      <c r="E3" s="312" t="s">
        <v>229</v>
      </c>
      <c r="F3" s="286" t="s">
        <v>145</v>
      </c>
      <c r="G3" s="287"/>
      <c r="H3" s="287"/>
      <c r="I3" s="304"/>
      <c r="J3" s="286" t="s">
        <v>179</v>
      </c>
      <c r="K3" s="287"/>
      <c r="L3" s="287"/>
      <c r="M3" s="304"/>
      <c r="N3" s="286" t="s">
        <v>180</v>
      </c>
      <c r="O3" s="287"/>
      <c r="P3" s="287"/>
      <c r="Q3" s="304"/>
      <c r="R3" s="286" t="s">
        <v>181</v>
      </c>
      <c r="S3" s="287"/>
      <c r="T3" s="287"/>
      <c r="U3" s="304"/>
      <c r="V3" s="286" t="s">
        <v>182</v>
      </c>
      <c r="W3" s="287"/>
      <c r="X3" s="287"/>
      <c r="Y3" s="304"/>
      <c r="Z3" s="286" t="s">
        <v>183</v>
      </c>
      <c r="AA3" s="287"/>
      <c r="AB3" s="287"/>
      <c r="AC3" s="304"/>
      <c r="AD3" s="286" t="s">
        <v>184</v>
      </c>
      <c r="AE3" s="287"/>
      <c r="AF3" s="287"/>
      <c r="AG3" s="304"/>
      <c r="AH3" s="286" t="s">
        <v>185</v>
      </c>
      <c r="AI3" s="287"/>
      <c r="AJ3" s="287"/>
      <c r="AK3" s="304"/>
      <c r="AL3" s="286" t="s">
        <v>186</v>
      </c>
      <c r="AM3" s="287"/>
      <c r="AN3" s="287"/>
      <c r="AO3" s="304"/>
      <c r="AP3" s="286" t="s">
        <v>187</v>
      </c>
      <c r="AQ3" s="287"/>
      <c r="AR3" s="287"/>
      <c r="AS3" s="304"/>
      <c r="AT3" s="286" t="s">
        <v>188</v>
      </c>
      <c r="AU3" s="287"/>
      <c r="AV3" s="287"/>
      <c r="AW3" s="304"/>
      <c r="AX3" s="286" t="s">
        <v>189</v>
      </c>
      <c r="AY3" s="287"/>
      <c r="AZ3" s="287"/>
      <c r="BA3" s="304"/>
      <c r="BB3" s="286" t="s">
        <v>190</v>
      </c>
      <c r="BC3" s="287"/>
      <c r="BD3" s="287"/>
      <c r="BE3" s="304"/>
      <c r="BF3" s="286" t="s">
        <v>191</v>
      </c>
      <c r="BG3" s="287"/>
      <c r="BH3" s="287"/>
      <c r="BI3" s="304"/>
      <c r="BJ3" s="286" t="s">
        <v>192</v>
      </c>
      <c r="BK3" s="287"/>
      <c r="BL3" s="287"/>
      <c r="BM3" s="304"/>
      <c r="BN3" s="286" t="s">
        <v>193</v>
      </c>
      <c r="BO3" s="287"/>
      <c r="BP3" s="287"/>
      <c r="BQ3" s="304"/>
      <c r="BR3" s="286" t="s">
        <v>194</v>
      </c>
      <c r="BS3" s="287"/>
      <c r="BT3" s="287"/>
      <c r="BU3" s="304"/>
      <c r="BV3" s="286" t="s">
        <v>195</v>
      </c>
      <c r="BW3" s="287"/>
      <c r="BX3" s="287"/>
      <c r="BY3" s="304"/>
      <c r="BZ3" s="286" t="s">
        <v>196</v>
      </c>
      <c r="CA3" s="287"/>
      <c r="CB3" s="287"/>
      <c r="CC3" s="304"/>
      <c r="CD3" s="286" t="s">
        <v>197</v>
      </c>
      <c r="CE3" s="287"/>
      <c r="CF3" s="287"/>
      <c r="CG3" s="304"/>
      <c r="CH3" s="286" t="s">
        <v>198</v>
      </c>
      <c r="CI3" s="287"/>
      <c r="CJ3" s="287"/>
      <c r="CK3" s="304"/>
      <c r="CL3" s="314" t="s">
        <v>199</v>
      </c>
      <c r="CM3" s="56"/>
    </row>
    <row r="4" spans="1:91" ht="12.95" customHeight="1" x14ac:dyDescent="0.25">
      <c r="A4" s="21"/>
      <c r="B4" s="57"/>
      <c r="C4" s="286"/>
      <c r="D4" s="287"/>
      <c r="E4" s="312"/>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14"/>
      <c r="CM4" s="58"/>
    </row>
    <row r="5" spans="1:91" x14ac:dyDescent="0.25">
      <c r="A5" s="21"/>
      <c r="B5" s="57"/>
      <c r="C5" s="92"/>
      <c r="D5" s="93" t="s">
        <v>203</v>
      </c>
      <c r="E5" s="131"/>
      <c r="F5" s="13" t="s">
        <v>5</v>
      </c>
      <c r="G5" s="44" t="s">
        <v>238</v>
      </c>
      <c r="H5" s="44" t="s">
        <v>239</v>
      </c>
      <c r="I5" s="14" t="s">
        <v>240</v>
      </c>
      <c r="J5" s="13" t="s">
        <v>5</v>
      </c>
      <c r="K5" s="44" t="s">
        <v>238</v>
      </c>
      <c r="L5" s="44" t="s">
        <v>239</v>
      </c>
      <c r="M5" s="14" t="s">
        <v>240</v>
      </c>
      <c r="N5" s="13" t="s">
        <v>5</v>
      </c>
      <c r="O5" s="44" t="s">
        <v>238</v>
      </c>
      <c r="P5" s="44" t="s">
        <v>239</v>
      </c>
      <c r="Q5" s="14" t="s">
        <v>240</v>
      </c>
      <c r="R5" s="13" t="s">
        <v>5</v>
      </c>
      <c r="S5" s="44" t="s">
        <v>238</v>
      </c>
      <c r="T5" s="44" t="s">
        <v>239</v>
      </c>
      <c r="U5" s="14" t="s">
        <v>240</v>
      </c>
      <c r="V5" s="13" t="s">
        <v>5</v>
      </c>
      <c r="W5" s="44" t="s">
        <v>238</v>
      </c>
      <c r="X5" s="44" t="s">
        <v>239</v>
      </c>
      <c r="Y5" s="14" t="s">
        <v>240</v>
      </c>
      <c r="Z5" s="13" t="s">
        <v>5</v>
      </c>
      <c r="AA5" s="44" t="s">
        <v>238</v>
      </c>
      <c r="AB5" s="44" t="s">
        <v>239</v>
      </c>
      <c r="AC5" s="14" t="s">
        <v>240</v>
      </c>
      <c r="AD5" s="13" t="s">
        <v>5</v>
      </c>
      <c r="AE5" s="44" t="s">
        <v>238</v>
      </c>
      <c r="AF5" s="44" t="s">
        <v>239</v>
      </c>
      <c r="AG5" s="14" t="s">
        <v>240</v>
      </c>
      <c r="AH5" s="13" t="s">
        <v>5</v>
      </c>
      <c r="AI5" s="44" t="s">
        <v>238</v>
      </c>
      <c r="AJ5" s="44" t="s">
        <v>239</v>
      </c>
      <c r="AK5" s="14" t="s">
        <v>240</v>
      </c>
      <c r="AL5" s="13" t="s">
        <v>5</v>
      </c>
      <c r="AM5" s="44" t="s">
        <v>238</v>
      </c>
      <c r="AN5" s="44" t="s">
        <v>239</v>
      </c>
      <c r="AO5" s="14" t="s">
        <v>240</v>
      </c>
      <c r="AP5" s="13" t="s">
        <v>5</v>
      </c>
      <c r="AQ5" s="44" t="s">
        <v>238</v>
      </c>
      <c r="AR5" s="44" t="s">
        <v>239</v>
      </c>
      <c r="AS5" s="14" t="s">
        <v>240</v>
      </c>
      <c r="AT5" s="13" t="s">
        <v>5</v>
      </c>
      <c r="AU5" s="44" t="s">
        <v>238</v>
      </c>
      <c r="AV5" s="44" t="s">
        <v>239</v>
      </c>
      <c r="AW5" s="14" t="s">
        <v>240</v>
      </c>
      <c r="AX5" s="13" t="s">
        <v>5</v>
      </c>
      <c r="AY5" s="44" t="s">
        <v>238</v>
      </c>
      <c r="AZ5" s="44" t="s">
        <v>239</v>
      </c>
      <c r="BA5" s="14" t="s">
        <v>240</v>
      </c>
      <c r="BB5" s="13" t="s">
        <v>5</v>
      </c>
      <c r="BC5" s="44" t="s">
        <v>238</v>
      </c>
      <c r="BD5" s="44" t="s">
        <v>239</v>
      </c>
      <c r="BE5" s="14" t="s">
        <v>240</v>
      </c>
      <c r="BF5" s="13" t="s">
        <v>5</v>
      </c>
      <c r="BG5" s="44" t="s">
        <v>238</v>
      </c>
      <c r="BH5" s="44" t="s">
        <v>239</v>
      </c>
      <c r="BI5" s="14" t="s">
        <v>240</v>
      </c>
      <c r="BJ5" s="13" t="s">
        <v>5</v>
      </c>
      <c r="BK5" s="44" t="s">
        <v>238</v>
      </c>
      <c r="BL5" s="44" t="s">
        <v>239</v>
      </c>
      <c r="BM5" s="14" t="s">
        <v>240</v>
      </c>
      <c r="BN5" s="13" t="s">
        <v>5</v>
      </c>
      <c r="BO5" s="44" t="s">
        <v>238</v>
      </c>
      <c r="BP5" s="44" t="s">
        <v>239</v>
      </c>
      <c r="BQ5" s="14" t="s">
        <v>240</v>
      </c>
      <c r="BR5" s="13" t="s">
        <v>5</v>
      </c>
      <c r="BS5" s="44" t="s">
        <v>238</v>
      </c>
      <c r="BT5" s="44" t="s">
        <v>239</v>
      </c>
      <c r="BU5" s="14" t="s">
        <v>240</v>
      </c>
      <c r="BV5" s="13" t="s">
        <v>5</v>
      </c>
      <c r="BW5" s="44" t="s">
        <v>238</v>
      </c>
      <c r="BX5" s="44" t="s">
        <v>239</v>
      </c>
      <c r="BY5" s="14" t="s">
        <v>240</v>
      </c>
      <c r="BZ5" s="13" t="s">
        <v>5</v>
      </c>
      <c r="CA5" s="44" t="s">
        <v>238</v>
      </c>
      <c r="CB5" s="44" t="s">
        <v>239</v>
      </c>
      <c r="CC5" s="14" t="s">
        <v>240</v>
      </c>
      <c r="CD5" s="13" t="s">
        <v>5</v>
      </c>
      <c r="CE5" s="44" t="s">
        <v>238</v>
      </c>
      <c r="CF5" s="44" t="s">
        <v>239</v>
      </c>
      <c r="CG5" s="14" t="s">
        <v>240</v>
      </c>
      <c r="CH5" s="13" t="s">
        <v>5</v>
      </c>
      <c r="CI5" s="44" t="s">
        <v>238</v>
      </c>
      <c r="CJ5" s="44" t="s">
        <v>239</v>
      </c>
      <c r="CK5" s="14" t="s">
        <v>240</v>
      </c>
      <c r="CL5" s="314"/>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286" t="s">
        <v>0</v>
      </c>
      <c r="D7" s="287"/>
      <c r="E7" s="133"/>
      <c r="F7" s="286"/>
      <c r="G7" s="287"/>
      <c r="H7" s="287"/>
      <c r="I7" s="304"/>
      <c r="J7" s="286"/>
      <c r="K7" s="287"/>
      <c r="L7" s="287"/>
      <c r="M7" s="304"/>
      <c r="N7" s="286"/>
      <c r="O7" s="287"/>
      <c r="P7" s="287"/>
      <c r="Q7" s="304"/>
      <c r="R7" s="286"/>
      <c r="S7" s="287"/>
      <c r="T7" s="287"/>
      <c r="U7" s="304"/>
      <c r="V7" s="286"/>
      <c r="W7" s="287"/>
      <c r="X7" s="287"/>
      <c r="Y7" s="304"/>
      <c r="Z7" s="286"/>
      <c r="AA7" s="287"/>
      <c r="AB7" s="287"/>
      <c r="AC7" s="304"/>
      <c r="AD7" s="286"/>
      <c r="AE7" s="287"/>
      <c r="AF7" s="287"/>
      <c r="AG7" s="304"/>
      <c r="AH7" s="286"/>
      <c r="AI7" s="287"/>
      <c r="AJ7" s="287"/>
      <c r="AK7" s="304"/>
      <c r="AL7" s="286"/>
      <c r="AM7" s="287"/>
      <c r="AN7" s="287"/>
      <c r="AO7" s="304"/>
      <c r="AP7" s="286"/>
      <c r="AQ7" s="287"/>
      <c r="AR7" s="287"/>
      <c r="AS7" s="304"/>
      <c r="AT7" s="286"/>
      <c r="AU7" s="287"/>
      <c r="AV7" s="287"/>
      <c r="AW7" s="304"/>
      <c r="AX7" s="286"/>
      <c r="AY7" s="287"/>
      <c r="AZ7" s="287"/>
      <c r="BA7" s="304"/>
      <c r="BB7" s="286"/>
      <c r="BC7" s="287"/>
      <c r="BD7" s="287"/>
      <c r="BE7" s="304"/>
      <c r="BF7" s="286"/>
      <c r="BG7" s="287"/>
      <c r="BH7" s="287"/>
      <c r="BI7" s="304"/>
      <c r="BJ7" s="286"/>
      <c r="BK7" s="287"/>
      <c r="BL7" s="287"/>
      <c r="BM7" s="304"/>
      <c r="BN7" s="286"/>
      <c r="BO7" s="287"/>
      <c r="BP7" s="287"/>
      <c r="BQ7" s="304"/>
      <c r="BR7" s="286"/>
      <c r="BS7" s="287"/>
      <c r="BT7" s="287"/>
      <c r="BU7" s="304"/>
      <c r="BV7" s="286"/>
      <c r="BW7" s="287"/>
      <c r="BX7" s="287"/>
      <c r="BY7" s="304"/>
      <c r="BZ7" s="286"/>
      <c r="CA7" s="287"/>
      <c r="CB7" s="287"/>
      <c r="CC7" s="304"/>
      <c r="CD7" s="286"/>
      <c r="CE7" s="287"/>
      <c r="CF7" s="287"/>
      <c r="CG7" s="304"/>
      <c r="CH7" s="286"/>
      <c r="CI7" s="287"/>
      <c r="CJ7" s="287"/>
      <c r="CK7" s="304"/>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6" t="s">
        <v>147</v>
      </c>
      <c r="E9" s="118">
        <v>4</v>
      </c>
      <c r="F9" s="80">
        <v>5</v>
      </c>
      <c r="G9" s="89">
        <v>5</v>
      </c>
      <c r="H9" s="89">
        <v>4</v>
      </c>
      <c r="I9" s="81">
        <v>4</v>
      </c>
      <c r="J9" s="80"/>
      <c r="K9" s="89">
        <v>2</v>
      </c>
      <c r="L9" s="89">
        <v>4</v>
      </c>
      <c r="M9" s="81">
        <v>4</v>
      </c>
      <c r="N9" s="80"/>
      <c r="O9" s="89"/>
      <c r="P9" s="89"/>
      <c r="Q9" s="81"/>
      <c r="R9" s="80"/>
      <c r="S9" s="89"/>
      <c r="T9" s="89"/>
      <c r="U9" s="81"/>
      <c r="V9" s="80"/>
      <c r="W9" s="89"/>
      <c r="X9" s="89"/>
      <c r="Y9" s="81"/>
      <c r="Z9" s="80"/>
      <c r="AA9" s="89"/>
      <c r="AB9" s="89"/>
      <c r="AC9" s="81"/>
      <c r="AD9" s="80"/>
      <c r="AE9" s="89"/>
      <c r="AF9" s="89"/>
      <c r="AG9" s="81"/>
      <c r="AH9" s="80"/>
      <c r="AI9" s="89"/>
      <c r="AJ9" s="89"/>
      <c r="AK9" s="81"/>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438</v>
      </c>
      <c r="D10" s="76" t="s">
        <v>439</v>
      </c>
      <c r="E10" s="118">
        <v>5</v>
      </c>
      <c r="F10" s="80">
        <v>4</v>
      </c>
      <c r="G10" s="89">
        <v>4</v>
      </c>
      <c r="H10" s="89">
        <v>5</v>
      </c>
      <c r="I10" s="81">
        <v>5</v>
      </c>
      <c r="J10" s="80"/>
      <c r="K10" s="89"/>
      <c r="L10" s="89"/>
      <c r="M10" s="81"/>
      <c r="N10" s="80"/>
      <c r="O10" s="89"/>
      <c r="P10" s="89"/>
      <c r="Q10" s="81"/>
      <c r="R10" s="80"/>
      <c r="S10" s="89"/>
      <c r="T10" s="89"/>
      <c r="U10" s="81"/>
      <c r="V10" s="80"/>
      <c r="W10" s="89"/>
      <c r="X10" s="89"/>
      <c r="Y10" s="81"/>
      <c r="Z10" s="80"/>
      <c r="AA10" s="89"/>
      <c r="AB10" s="89"/>
      <c r="AC10" s="81"/>
      <c r="AD10" s="80"/>
      <c r="AE10" s="89"/>
      <c r="AF10" s="89"/>
      <c r="AG10" s="81"/>
      <c r="AH10" s="80"/>
      <c r="AI10" s="89"/>
      <c r="AJ10" s="89"/>
      <c r="AK10" s="81"/>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174</v>
      </c>
      <c r="E11" s="120">
        <v>2</v>
      </c>
      <c r="F11" s="82">
        <v>2</v>
      </c>
      <c r="G11" s="90">
        <v>2</v>
      </c>
      <c r="H11" s="90">
        <v>2</v>
      </c>
      <c r="I11" s="83">
        <v>2</v>
      </c>
      <c r="J11" s="82"/>
      <c r="K11" s="90">
        <v>1</v>
      </c>
      <c r="L11" s="90">
        <v>2</v>
      </c>
      <c r="M11" s="83">
        <v>2</v>
      </c>
      <c r="N11" s="82"/>
      <c r="O11" s="90"/>
      <c r="P11" s="90"/>
      <c r="Q11" s="83"/>
      <c r="R11" s="82"/>
      <c r="S11" s="90"/>
      <c r="T11" s="90"/>
      <c r="U11" s="83"/>
      <c r="V11" s="82"/>
      <c r="W11" s="90"/>
      <c r="X11" s="90"/>
      <c r="Y11" s="83"/>
      <c r="Z11" s="82"/>
      <c r="AA11" s="90"/>
      <c r="AB11" s="90"/>
      <c r="AC11" s="83"/>
      <c r="AD11" s="82"/>
      <c r="AE11" s="90"/>
      <c r="AF11" s="90"/>
      <c r="AG11" s="83"/>
      <c r="AH11" s="82"/>
      <c r="AI11" s="90"/>
      <c r="AJ11" s="90"/>
      <c r="AK11" s="83"/>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148</v>
      </c>
      <c r="D12" s="76" t="s">
        <v>149</v>
      </c>
      <c r="E12" s="118">
        <v>25</v>
      </c>
      <c r="F12" s="80">
        <v>25</v>
      </c>
      <c r="G12" s="89">
        <v>25</v>
      </c>
      <c r="H12" s="89">
        <v>25</v>
      </c>
      <c r="I12" s="81">
        <v>25</v>
      </c>
      <c r="J12" s="80"/>
      <c r="K12" s="89">
        <v>25</v>
      </c>
      <c r="L12" s="89">
        <v>25</v>
      </c>
      <c r="M12" s="81">
        <v>25</v>
      </c>
      <c r="N12" s="80"/>
      <c r="O12" s="89"/>
      <c r="P12" s="89"/>
      <c r="Q12" s="81"/>
      <c r="R12" s="80"/>
      <c r="S12" s="89"/>
      <c r="T12" s="89"/>
      <c r="U12" s="81"/>
      <c r="V12" s="80"/>
      <c r="W12" s="89"/>
      <c r="X12" s="89"/>
      <c r="Y12" s="81"/>
      <c r="Z12" s="80"/>
      <c r="AA12" s="89"/>
      <c r="AB12" s="89"/>
      <c r="AC12" s="81"/>
      <c r="AD12" s="80"/>
      <c r="AE12" s="89"/>
      <c r="AF12" s="89"/>
      <c r="AG12" s="81"/>
      <c r="AH12" s="80"/>
      <c r="AI12" s="89"/>
      <c r="AJ12" s="89"/>
      <c r="AK12" s="81"/>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153</v>
      </c>
      <c r="D13" s="76" t="s">
        <v>241</v>
      </c>
      <c r="E13" s="118">
        <v>200</v>
      </c>
      <c r="F13" s="80">
        <v>34</v>
      </c>
      <c r="G13" s="89">
        <v>72</v>
      </c>
      <c r="H13" s="89">
        <v>144</v>
      </c>
      <c r="I13" s="81">
        <v>36</v>
      </c>
      <c r="J13" s="80"/>
      <c r="K13" s="89">
        <v>38</v>
      </c>
      <c r="L13" s="89">
        <v>20</v>
      </c>
      <c r="M13" s="81">
        <v>0</v>
      </c>
      <c r="N13" s="80"/>
      <c r="O13" s="89"/>
      <c r="P13" s="89"/>
      <c r="Q13" s="81"/>
      <c r="R13" s="80"/>
      <c r="S13" s="89"/>
      <c r="T13" s="89"/>
      <c r="U13" s="81"/>
      <c r="V13" s="80"/>
      <c r="W13" s="89"/>
      <c r="X13" s="89"/>
      <c r="Y13" s="81"/>
      <c r="Z13" s="80"/>
      <c r="AA13" s="89"/>
      <c r="AB13" s="89"/>
      <c r="AC13" s="81"/>
      <c r="AD13" s="80"/>
      <c r="AE13" s="89"/>
      <c r="AF13" s="89"/>
      <c r="AG13" s="81"/>
      <c r="AH13" s="80"/>
      <c r="AI13" s="89"/>
      <c r="AJ13" s="89"/>
      <c r="AK13" s="81"/>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152</v>
      </c>
      <c r="D14" s="76" t="s">
        <v>157</v>
      </c>
      <c r="E14" s="118">
        <v>200</v>
      </c>
      <c r="F14" s="80">
        <v>17</v>
      </c>
      <c r="G14" s="89">
        <v>132</v>
      </c>
      <c r="H14" s="89">
        <v>92</v>
      </c>
      <c r="I14" s="81">
        <v>73</v>
      </c>
      <c r="J14" s="80"/>
      <c r="K14" s="89">
        <v>17</v>
      </c>
      <c r="L14" s="89">
        <v>0</v>
      </c>
      <c r="M14" s="81">
        <v>20</v>
      </c>
      <c r="N14" s="80"/>
      <c r="O14" s="89"/>
      <c r="P14" s="89"/>
      <c r="Q14" s="81"/>
      <c r="R14" s="80"/>
      <c r="S14" s="89"/>
      <c r="T14" s="89"/>
      <c r="U14" s="81"/>
      <c r="V14" s="80"/>
      <c r="W14" s="89"/>
      <c r="X14" s="89"/>
      <c r="Y14" s="81"/>
      <c r="Z14" s="80"/>
      <c r="AA14" s="89"/>
      <c r="AB14" s="89"/>
      <c r="AC14" s="81"/>
      <c r="AD14" s="80"/>
      <c r="AE14" s="89"/>
      <c r="AF14" s="89"/>
      <c r="AG14" s="81"/>
      <c r="AH14" s="80"/>
      <c r="AI14" s="89"/>
      <c r="AJ14" s="89"/>
      <c r="AK14" s="81"/>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170</v>
      </c>
      <c r="D15" s="76" t="s">
        <v>158</v>
      </c>
      <c r="E15" s="118">
        <v>200</v>
      </c>
      <c r="F15" s="80">
        <v>601</v>
      </c>
      <c r="G15" s="89">
        <v>682</v>
      </c>
      <c r="H15" s="89">
        <v>327</v>
      </c>
      <c r="I15" s="81">
        <v>238</v>
      </c>
      <c r="J15" s="80"/>
      <c r="K15" s="89">
        <v>0</v>
      </c>
      <c r="L15" s="89">
        <v>315</v>
      </c>
      <c r="M15" s="81">
        <v>444</v>
      </c>
      <c r="N15" s="80"/>
      <c r="O15" s="89"/>
      <c r="P15" s="89"/>
      <c r="Q15" s="81"/>
      <c r="R15" s="80"/>
      <c r="S15" s="89"/>
      <c r="T15" s="89"/>
      <c r="U15" s="81"/>
      <c r="V15" s="80"/>
      <c r="W15" s="89"/>
      <c r="X15" s="89"/>
      <c r="Y15" s="81"/>
      <c r="Z15" s="80"/>
      <c r="AA15" s="89"/>
      <c r="AB15" s="89"/>
      <c r="AC15" s="81"/>
      <c r="AD15" s="80"/>
      <c r="AE15" s="89"/>
      <c r="AF15" s="89"/>
      <c r="AG15" s="81"/>
      <c r="AH15" s="80"/>
      <c r="AI15" s="89"/>
      <c r="AJ15" s="89"/>
      <c r="AK15" s="81"/>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301</v>
      </c>
      <c r="D16" s="76" t="s">
        <v>445</v>
      </c>
      <c r="E16" s="118">
        <v>600</v>
      </c>
      <c r="F16" s="80">
        <f>SUM(F13:G15)</f>
        <v>1538</v>
      </c>
      <c r="G16" s="89">
        <f>SUM(F13:G15)</f>
        <v>1538</v>
      </c>
      <c r="H16" s="89">
        <f>SUM(H13:I15)</f>
        <v>910</v>
      </c>
      <c r="I16" s="81">
        <f>SUM(H13:I15)</f>
        <v>910</v>
      </c>
      <c r="J16" s="80"/>
      <c r="K16" s="89">
        <f>SUM(K13:K15)</f>
        <v>55</v>
      </c>
      <c r="L16" s="89">
        <f>SUM(L13:M15)</f>
        <v>799</v>
      </c>
      <c r="M16" s="89">
        <f>SUM(L13:M15)</f>
        <v>799</v>
      </c>
      <c r="N16" s="80"/>
      <c r="O16" s="89"/>
      <c r="P16" s="89"/>
      <c r="Q16" s="81"/>
      <c r="R16" s="80"/>
      <c r="S16" s="89"/>
      <c r="T16" s="89"/>
      <c r="U16" s="81"/>
      <c r="V16" s="80"/>
      <c r="W16" s="89"/>
      <c r="X16" s="89"/>
      <c r="Y16" s="81"/>
      <c r="Z16" s="80"/>
      <c r="AA16" s="89"/>
      <c r="AB16" s="89"/>
      <c r="AC16" s="81"/>
      <c r="AD16" s="80"/>
      <c r="AE16" s="89"/>
      <c r="AF16" s="89"/>
      <c r="AG16" s="81"/>
      <c r="AH16" s="80"/>
      <c r="AI16" s="89"/>
      <c r="AJ16" s="89"/>
      <c r="AK16" s="81"/>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436</v>
      </c>
      <c r="D17" s="76" t="s">
        <v>446</v>
      </c>
      <c r="E17" s="118">
        <v>600</v>
      </c>
      <c r="F17" s="80">
        <f>H16</f>
        <v>910</v>
      </c>
      <c r="G17" s="89">
        <f>I16</f>
        <v>910</v>
      </c>
      <c r="H17" s="89">
        <f>G16</f>
        <v>1538</v>
      </c>
      <c r="I17" s="81">
        <f>F16</f>
        <v>1538</v>
      </c>
      <c r="J17" s="80"/>
      <c r="K17" s="89">
        <f>M16</f>
        <v>799</v>
      </c>
      <c r="L17" s="89">
        <f>K16</f>
        <v>55</v>
      </c>
      <c r="M17" s="81">
        <f>J16</f>
        <v>0</v>
      </c>
      <c r="N17" s="80"/>
      <c r="O17" s="89"/>
      <c r="P17" s="89"/>
      <c r="Q17" s="81"/>
      <c r="R17" s="80"/>
      <c r="S17" s="89"/>
      <c r="T17" s="89"/>
      <c r="U17" s="81"/>
      <c r="V17" s="80"/>
      <c r="W17" s="89"/>
      <c r="X17" s="89"/>
      <c r="Y17" s="81"/>
      <c r="Z17" s="80"/>
      <c r="AA17" s="89"/>
      <c r="AB17" s="89"/>
      <c r="AC17" s="81"/>
      <c r="AD17" s="80"/>
      <c r="AE17" s="89"/>
      <c r="AF17" s="89"/>
      <c r="AG17" s="81"/>
      <c r="AH17" s="80"/>
      <c r="AI17" s="89"/>
      <c r="AJ17" s="89"/>
      <c r="AK17" s="81"/>
      <c r="AL17" s="80"/>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232</v>
      </c>
      <c r="D18" s="76" t="s">
        <v>304</v>
      </c>
      <c r="E18" s="118">
        <v>100</v>
      </c>
      <c r="F18" s="80">
        <v>91</v>
      </c>
      <c r="G18" s="89">
        <v>110</v>
      </c>
      <c r="H18" s="89">
        <v>133</v>
      </c>
      <c r="I18" s="81">
        <v>190</v>
      </c>
      <c r="J18" s="80"/>
      <c r="K18" s="89">
        <v>38</v>
      </c>
      <c r="L18" s="89">
        <v>20</v>
      </c>
      <c r="M18" s="81">
        <v>0</v>
      </c>
      <c r="N18" s="80"/>
      <c r="O18" s="89"/>
      <c r="P18" s="89"/>
      <c r="Q18" s="81"/>
      <c r="R18" s="80"/>
      <c r="S18" s="89"/>
      <c r="T18" s="89"/>
      <c r="U18" s="81"/>
      <c r="V18" s="80"/>
      <c r="W18" s="89"/>
      <c r="X18" s="89"/>
      <c r="Y18" s="81"/>
      <c r="Z18" s="80"/>
      <c r="AA18" s="89"/>
      <c r="AB18" s="89"/>
      <c r="AC18" s="81"/>
      <c r="AD18" s="80"/>
      <c r="AE18" s="89"/>
      <c r="AF18" s="89"/>
      <c r="AG18" s="81"/>
      <c r="AH18" s="80"/>
      <c r="AI18" s="89"/>
      <c r="AJ18" s="89"/>
      <c r="AK18" s="81"/>
      <c r="AL18" s="80"/>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155</v>
      </c>
      <c r="D19" s="76" t="s">
        <v>156</v>
      </c>
      <c r="E19" s="118">
        <v>100</v>
      </c>
      <c r="F19" s="80">
        <v>110</v>
      </c>
      <c r="G19" s="89">
        <v>91</v>
      </c>
      <c r="H19" s="89">
        <v>190</v>
      </c>
      <c r="I19" s="81">
        <v>133</v>
      </c>
      <c r="J19" s="80"/>
      <c r="K19" s="89">
        <v>17</v>
      </c>
      <c r="L19" s="89">
        <v>0</v>
      </c>
      <c r="M19" s="81">
        <v>20</v>
      </c>
      <c r="N19" s="80"/>
      <c r="O19" s="89"/>
      <c r="P19" s="89"/>
      <c r="Q19" s="81"/>
      <c r="R19" s="80"/>
      <c r="S19" s="89"/>
      <c r="T19" s="89"/>
      <c r="U19" s="81"/>
      <c r="V19" s="80"/>
      <c r="W19" s="89"/>
      <c r="X19" s="89"/>
      <c r="Y19" s="81"/>
      <c r="Z19" s="80"/>
      <c r="AA19" s="89"/>
      <c r="AB19" s="89"/>
      <c r="AC19" s="81"/>
      <c r="AD19" s="80"/>
      <c r="AE19" s="89"/>
      <c r="AF19" s="89"/>
      <c r="AG19" s="81"/>
      <c r="AH19" s="80"/>
      <c r="AI19" s="89"/>
      <c r="AJ19" s="89"/>
      <c r="AK19" s="81"/>
      <c r="AL19" s="80"/>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281</v>
      </c>
      <c r="D20" s="76" t="s">
        <v>282</v>
      </c>
      <c r="E20" s="118">
        <v>100</v>
      </c>
      <c r="F20" s="80">
        <v>100</v>
      </c>
      <c r="G20" s="89">
        <v>100</v>
      </c>
      <c r="H20" s="89">
        <v>100</v>
      </c>
      <c r="I20" s="81">
        <v>100</v>
      </c>
      <c r="J20" s="80"/>
      <c r="K20" s="89">
        <v>163</v>
      </c>
      <c r="L20" s="89">
        <v>100</v>
      </c>
      <c r="M20" s="81">
        <v>0</v>
      </c>
      <c r="N20" s="80"/>
      <c r="O20" s="89"/>
      <c r="P20" s="89"/>
      <c r="Q20" s="81"/>
      <c r="R20" s="80"/>
      <c r="S20" s="89"/>
      <c r="T20" s="89"/>
      <c r="U20" s="81"/>
      <c r="V20" s="80"/>
      <c r="W20" s="89"/>
      <c r="X20" s="89"/>
      <c r="Y20" s="81"/>
      <c r="Z20" s="80"/>
      <c r="AA20" s="89"/>
      <c r="AB20" s="89"/>
      <c r="AC20" s="81"/>
      <c r="AD20" s="80"/>
      <c r="AE20" s="89"/>
      <c r="AF20" s="89"/>
      <c r="AG20" s="81"/>
      <c r="AH20" s="80"/>
      <c r="AI20" s="89"/>
      <c r="AJ20" s="89"/>
      <c r="AK20" s="81"/>
      <c r="AL20" s="80"/>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320</v>
      </c>
      <c r="D21" s="76" t="s">
        <v>321</v>
      </c>
      <c r="E21" s="118">
        <v>25</v>
      </c>
      <c r="F21" s="80">
        <v>25</v>
      </c>
      <c r="G21" s="89">
        <v>25</v>
      </c>
      <c r="H21" s="89">
        <v>25</v>
      </c>
      <c r="I21" s="81">
        <v>25</v>
      </c>
      <c r="J21" s="80"/>
      <c r="K21" s="89">
        <v>25</v>
      </c>
      <c r="L21" s="89">
        <v>25</v>
      </c>
      <c r="M21" s="81">
        <v>25</v>
      </c>
      <c r="N21" s="80"/>
      <c r="O21" s="89"/>
      <c r="P21" s="89"/>
      <c r="Q21" s="81"/>
      <c r="R21" s="80"/>
      <c r="S21" s="89"/>
      <c r="T21" s="89"/>
      <c r="U21" s="81"/>
      <c r="V21" s="80"/>
      <c r="W21" s="89"/>
      <c r="X21" s="89"/>
      <c r="Y21" s="81"/>
      <c r="Z21" s="80"/>
      <c r="AA21" s="89"/>
      <c r="AB21" s="89"/>
      <c r="AC21" s="81"/>
      <c r="AD21" s="80"/>
      <c r="AE21" s="89"/>
      <c r="AF21" s="89"/>
      <c r="AG21" s="81"/>
      <c r="AH21" s="80"/>
      <c r="AI21" s="89"/>
      <c r="AJ21" s="89"/>
      <c r="AK21" s="81"/>
      <c r="AL21" s="80"/>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418</v>
      </c>
      <c r="D22" s="76" t="s">
        <v>423</v>
      </c>
      <c r="E22" s="118">
        <v>5</v>
      </c>
      <c r="F22" s="80">
        <v>5</v>
      </c>
      <c r="G22" s="89">
        <v>5</v>
      </c>
      <c r="H22" s="89">
        <v>5</v>
      </c>
      <c r="I22" s="81">
        <v>5</v>
      </c>
      <c r="J22" s="80"/>
      <c r="K22" s="89">
        <v>5</v>
      </c>
      <c r="L22" s="89">
        <v>5</v>
      </c>
      <c r="M22" s="81">
        <v>5</v>
      </c>
      <c r="N22" s="80"/>
      <c r="O22" s="89"/>
      <c r="P22" s="89"/>
      <c r="Q22" s="81"/>
      <c r="R22" s="80"/>
      <c r="S22" s="89"/>
      <c r="T22" s="89"/>
      <c r="U22" s="81"/>
      <c r="V22" s="80"/>
      <c r="W22" s="89"/>
      <c r="X22" s="89"/>
      <c r="Y22" s="81"/>
      <c r="Z22" s="80"/>
      <c r="AA22" s="89"/>
      <c r="AB22" s="89"/>
      <c r="AC22" s="81"/>
      <c r="AD22" s="80"/>
      <c r="AE22" s="89"/>
      <c r="AF22" s="89"/>
      <c r="AG22" s="81"/>
      <c r="AH22" s="80"/>
      <c r="AI22" s="89"/>
      <c r="AJ22" s="89"/>
      <c r="AK22" s="81"/>
      <c r="AL22" s="80"/>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419</v>
      </c>
      <c r="D23" s="76" t="s">
        <v>422</v>
      </c>
      <c r="E23" s="118">
        <v>5</v>
      </c>
      <c r="F23" s="80">
        <v>5</v>
      </c>
      <c r="G23" s="89">
        <v>5</v>
      </c>
      <c r="H23" s="89">
        <v>5</v>
      </c>
      <c r="I23" s="81">
        <v>5</v>
      </c>
      <c r="J23" s="80"/>
      <c r="K23" s="89">
        <v>5</v>
      </c>
      <c r="L23" s="89">
        <v>5</v>
      </c>
      <c r="M23" s="81">
        <v>5</v>
      </c>
      <c r="N23" s="80"/>
      <c r="O23" s="89"/>
      <c r="P23" s="89"/>
      <c r="Q23" s="81"/>
      <c r="R23" s="80"/>
      <c r="S23" s="89"/>
      <c r="T23" s="89"/>
      <c r="U23" s="81"/>
      <c r="V23" s="80"/>
      <c r="W23" s="89"/>
      <c r="X23" s="89"/>
      <c r="Y23" s="81"/>
      <c r="Z23" s="80"/>
      <c r="AA23" s="89"/>
      <c r="AB23" s="89"/>
      <c r="AC23" s="81"/>
      <c r="AD23" s="80"/>
      <c r="AE23" s="89"/>
      <c r="AF23" s="89"/>
      <c r="AG23" s="81"/>
      <c r="AH23" s="80"/>
      <c r="AI23" s="89"/>
      <c r="AJ23" s="89"/>
      <c r="AK23" s="81"/>
      <c r="AL23" s="80"/>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420</v>
      </c>
      <c r="D24" s="76" t="s">
        <v>421</v>
      </c>
      <c r="E24" s="232">
        <v>0.5</v>
      </c>
      <c r="F24" s="230">
        <v>0.5</v>
      </c>
      <c r="G24" s="229">
        <v>0.5</v>
      </c>
      <c r="H24" s="229">
        <v>0.5</v>
      </c>
      <c r="I24" s="228">
        <v>0.5</v>
      </c>
      <c r="J24" s="230"/>
      <c r="K24" s="229">
        <v>0.5</v>
      </c>
      <c r="L24" s="229">
        <v>0.5</v>
      </c>
      <c r="M24" s="228">
        <v>0.5</v>
      </c>
      <c r="N24" s="230"/>
      <c r="O24" s="229"/>
      <c r="P24" s="229"/>
      <c r="Q24" s="228"/>
      <c r="R24" s="230"/>
      <c r="S24" s="229"/>
      <c r="T24" s="229"/>
      <c r="U24" s="228"/>
      <c r="V24" s="230"/>
      <c r="W24" s="229"/>
      <c r="X24" s="229"/>
      <c r="Y24" s="228"/>
      <c r="Z24" s="230"/>
      <c r="AA24" s="229"/>
      <c r="AB24" s="229"/>
      <c r="AC24" s="228"/>
      <c r="AD24" s="230"/>
      <c r="AE24" s="229"/>
      <c r="AF24" s="229"/>
      <c r="AG24" s="228"/>
      <c r="AH24" s="230"/>
      <c r="AI24" s="229"/>
      <c r="AJ24" s="229"/>
      <c r="AK24" s="228"/>
      <c r="AL24" s="230"/>
      <c r="AM24" s="229"/>
      <c r="AN24" s="229"/>
      <c r="AO24" s="228"/>
      <c r="AP24" s="230"/>
      <c r="AQ24" s="229"/>
      <c r="AR24" s="229"/>
      <c r="AS24" s="228"/>
      <c r="AT24" s="230"/>
      <c r="AU24" s="229"/>
      <c r="AV24" s="229"/>
      <c r="AW24" s="228"/>
      <c r="AX24" s="230"/>
      <c r="AY24" s="229"/>
      <c r="AZ24" s="229"/>
      <c r="BA24" s="228"/>
      <c r="BB24" s="230"/>
      <c r="BC24" s="229"/>
      <c r="BD24" s="229"/>
      <c r="BE24" s="228"/>
      <c r="BF24" s="230"/>
      <c r="BG24" s="229"/>
      <c r="BH24" s="229"/>
      <c r="BI24" s="228"/>
      <c r="BJ24" s="230"/>
      <c r="BK24" s="229"/>
      <c r="BL24" s="229"/>
      <c r="BM24" s="228"/>
      <c r="BN24" s="230"/>
      <c r="BO24" s="229"/>
      <c r="BP24" s="229"/>
      <c r="BQ24" s="228"/>
      <c r="BR24" s="230"/>
      <c r="BS24" s="229"/>
      <c r="BT24" s="229"/>
      <c r="BU24" s="228"/>
      <c r="BV24" s="230"/>
      <c r="BW24" s="229"/>
      <c r="BX24" s="229"/>
      <c r="BY24" s="228"/>
      <c r="BZ24" s="230"/>
      <c r="CA24" s="229"/>
      <c r="CB24" s="229"/>
      <c r="CC24" s="228"/>
      <c r="CD24" s="230"/>
      <c r="CE24" s="229"/>
      <c r="CF24" s="229"/>
      <c r="CG24" s="228"/>
      <c r="CH24" s="230"/>
      <c r="CI24" s="229"/>
      <c r="CJ24" s="229"/>
      <c r="CK24" s="228"/>
      <c r="CL24" s="49"/>
      <c r="CM24" s="56"/>
    </row>
    <row r="25" spans="2:91" ht="14.25" x14ac:dyDescent="0.25">
      <c r="B25" s="55"/>
      <c r="C25" s="9" t="s">
        <v>159</v>
      </c>
      <c r="D25" s="76" t="s">
        <v>160</v>
      </c>
      <c r="E25" s="118">
        <v>0</v>
      </c>
      <c r="F25" s="80">
        <v>0</v>
      </c>
      <c r="G25" s="89">
        <v>0</v>
      </c>
      <c r="H25" s="89">
        <v>0</v>
      </c>
      <c r="I25" s="81">
        <v>0</v>
      </c>
      <c r="J25" s="80"/>
      <c r="K25" s="89">
        <v>0</v>
      </c>
      <c r="L25" s="89">
        <v>0</v>
      </c>
      <c r="M25" s="81">
        <v>0</v>
      </c>
      <c r="N25" s="80"/>
      <c r="O25" s="89"/>
      <c r="P25" s="89"/>
      <c r="Q25" s="81"/>
      <c r="R25" s="80"/>
      <c r="S25" s="89"/>
      <c r="T25" s="89"/>
      <c r="U25" s="81"/>
      <c r="V25" s="80"/>
      <c r="W25" s="89"/>
      <c r="X25" s="89"/>
      <c r="Y25" s="81"/>
      <c r="Z25" s="80"/>
      <c r="AA25" s="89"/>
      <c r="AB25" s="89"/>
      <c r="AC25" s="81"/>
      <c r="AD25" s="80"/>
      <c r="AE25" s="89"/>
      <c r="AF25" s="89"/>
      <c r="AG25" s="81"/>
      <c r="AH25" s="80"/>
      <c r="AI25" s="89"/>
      <c r="AJ25" s="89"/>
      <c r="AK25" s="81"/>
      <c r="AL25" s="80"/>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318</v>
      </c>
      <c r="D26" s="76" t="s">
        <v>319</v>
      </c>
      <c r="E26" s="118">
        <v>30</v>
      </c>
      <c r="F26" s="86">
        <v>47.7</v>
      </c>
      <c r="G26" s="91">
        <v>47.7</v>
      </c>
      <c r="H26" s="91">
        <v>31.1</v>
      </c>
      <c r="I26" s="87">
        <v>31.1</v>
      </c>
      <c r="J26" s="80"/>
      <c r="K26" s="89"/>
      <c r="L26" s="89"/>
      <c r="M26" s="81"/>
      <c r="N26" s="80"/>
      <c r="O26" s="89"/>
      <c r="P26" s="89"/>
      <c r="Q26" s="81"/>
      <c r="R26" s="80"/>
      <c r="S26" s="89"/>
      <c r="T26" s="89"/>
      <c r="U26" s="81"/>
      <c r="V26" s="80"/>
      <c r="W26" s="89"/>
      <c r="X26" s="89"/>
      <c r="Y26" s="81"/>
      <c r="Z26" s="80"/>
      <c r="AA26" s="89"/>
      <c r="AB26" s="89"/>
      <c r="AC26" s="81"/>
      <c r="AD26" s="80"/>
      <c r="AE26" s="89"/>
      <c r="AF26" s="89"/>
      <c r="AG26" s="81"/>
      <c r="AH26" s="80"/>
      <c r="AI26" s="89"/>
      <c r="AJ26" s="89"/>
      <c r="AK26" s="81"/>
      <c r="AL26" s="80"/>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332</v>
      </c>
      <c r="D27" s="76" t="s">
        <v>333</v>
      </c>
      <c r="E27" s="118">
        <v>5</v>
      </c>
      <c r="F27" s="86">
        <v>5.3</v>
      </c>
      <c r="G27" s="91">
        <v>5.3</v>
      </c>
      <c r="H27" s="91">
        <v>5.9</v>
      </c>
      <c r="I27" s="87">
        <v>5.9</v>
      </c>
      <c r="J27" s="80"/>
      <c r="K27" s="89"/>
      <c r="L27" s="89"/>
      <c r="M27" s="81"/>
      <c r="N27" s="80"/>
      <c r="O27" s="89"/>
      <c r="P27" s="89"/>
      <c r="Q27" s="81"/>
      <c r="R27" s="80"/>
      <c r="S27" s="89"/>
      <c r="T27" s="89"/>
      <c r="U27" s="81"/>
      <c r="V27" s="80"/>
      <c r="W27" s="89"/>
      <c r="X27" s="89"/>
      <c r="Y27" s="81"/>
      <c r="Z27" s="80"/>
      <c r="AA27" s="89"/>
      <c r="AB27" s="89"/>
      <c r="AC27" s="81"/>
      <c r="AD27" s="80"/>
      <c r="AE27" s="89"/>
      <c r="AF27" s="89"/>
      <c r="AG27" s="81"/>
      <c r="AH27" s="80"/>
      <c r="AI27" s="89"/>
      <c r="AJ27" s="89"/>
      <c r="AK27" s="81"/>
      <c r="AL27" s="80"/>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161</v>
      </c>
      <c r="D28" s="76" t="s">
        <v>162</v>
      </c>
      <c r="E28" s="118">
        <v>100</v>
      </c>
      <c r="F28" s="80">
        <v>95</v>
      </c>
      <c r="G28" s="89">
        <v>95</v>
      </c>
      <c r="H28" s="89">
        <v>95</v>
      </c>
      <c r="I28" s="81">
        <v>95</v>
      </c>
      <c r="J28" s="80"/>
      <c r="K28" s="89">
        <v>0</v>
      </c>
      <c r="L28" s="89">
        <v>0</v>
      </c>
      <c r="M28" s="81">
        <v>0</v>
      </c>
      <c r="N28" s="80"/>
      <c r="O28" s="89"/>
      <c r="P28" s="89"/>
      <c r="Q28" s="81"/>
      <c r="R28" s="80"/>
      <c r="S28" s="89"/>
      <c r="T28" s="89"/>
      <c r="U28" s="81"/>
      <c r="V28" s="80"/>
      <c r="W28" s="89"/>
      <c r="X28" s="89"/>
      <c r="Y28" s="81"/>
      <c r="Z28" s="80"/>
      <c r="AA28" s="89"/>
      <c r="AB28" s="89"/>
      <c r="AC28" s="81"/>
      <c r="AD28" s="80"/>
      <c r="AE28" s="89"/>
      <c r="AF28" s="89"/>
      <c r="AG28" s="81"/>
      <c r="AH28" s="80"/>
      <c r="AI28" s="89"/>
      <c r="AJ28" s="89"/>
      <c r="AK28" s="81"/>
      <c r="AL28" s="80"/>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163</v>
      </c>
      <c r="D29" s="139" t="s">
        <v>165</v>
      </c>
      <c r="E29" s="118">
        <v>45</v>
      </c>
      <c r="F29" s="80">
        <v>47.7</v>
      </c>
      <c r="G29" s="89">
        <v>47.7</v>
      </c>
      <c r="H29" s="89">
        <v>31.1</v>
      </c>
      <c r="I29" s="81">
        <v>31.1</v>
      </c>
      <c r="J29" s="80"/>
      <c r="K29" s="89">
        <v>0</v>
      </c>
      <c r="L29" s="89">
        <v>0</v>
      </c>
      <c r="M29" s="81">
        <v>0</v>
      </c>
      <c r="N29" s="80"/>
      <c r="O29" s="89"/>
      <c r="P29" s="89"/>
      <c r="Q29" s="81"/>
      <c r="R29" s="80"/>
      <c r="S29" s="89"/>
      <c r="T29" s="89"/>
      <c r="U29" s="81"/>
      <c r="V29" s="80"/>
      <c r="W29" s="89"/>
      <c r="X29" s="89"/>
      <c r="Y29" s="81"/>
      <c r="Z29" s="80"/>
      <c r="AA29" s="89"/>
      <c r="AB29" s="89"/>
      <c r="AC29" s="81"/>
      <c r="AD29" s="80"/>
      <c r="AE29" s="89"/>
      <c r="AF29" s="89"/>
      <c r="AG29" s="81"/>
      <c r="AH29" s="80"/>
      <c r="AI29" s="89"/>
      <c r="AJ29" s="89"/>
      <c r="AK29" s="81"/>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296</v>
      </c>
      <c r="D30" s="76" t="s">
        <v>297</v>
      </c>
      <c r="E30" s="118">
        <v>12</v>
      </c>
      <c r="F30" s="80">
        <v>12</v>
      </c>
      <c r="G30" s="89">
        <v>12</v>
      </c>
      <c r="H30" s="89">
        <v>12</v>
      </c>
      <c r="I30" s="81">
        <v>12</v>
      </c>
      <c r="J30" s="80"/>
      <c r="K30" s="89">
        <v>12</v>
      </c>
      <c r="L30" s="89">
        <v>12</v>
      </c>
      <c r="M30" s="81">
        <v>0</v>
      </c>
      <c r="N30" s="80"/>
      <c r="O30" s="89"/>
      <c r="P30" s="89"/>
      <c r="Q30" s="81"/>
      <c r="R30" s="80"/>
      <c r="S30" s="89"/>
      <c r="T30" s="89"/>
      <c r="U30" s="81"/>
      <c r="V30" s="80"/>
      <c r="W30" s="89"/>
      <c r="X30" s="89"/>
      <c r="Y30" s="81"/>
      <c r="Z30" s="80"/>
      <c r="AA30" s="89"/>
      <c r="AB30" s="89"/>
      <c r="AC30" s="81"/>
      <c r="AD30" s="80"/>
      <c r="AE30" s="89"/>
      <c r="AF30" s="89"/>
      <c r="AG30" s="81"/>
      <c r="AH30" s="80"/>
      <c r="AI30" s="89"/>
      <c r="AJ30" s="89"/>
      <c r="AK30" s="81"/>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171</v>
      </c>
      <c r="D31" s="76" t="s">
        <v>433</v>
      </c>
      <c r="E31" s="118">
        <v>54</v>
      </c>
      <c r="F31" s="80">
        <v>72</v>
      </c>
      <c r="G31" s="89">
        <v>72</v>
      </c>
      <c r="H31" s="89">
        <v>56</v>
      </c>
      <c r="I31" s="81">
        <v>56</v>
      </c>
      <c r="J31" s="80"/>
      <c r="K31" s="89">
        <v>32</v>
      </c>
      <c r="L31" s="89">
        <v>56</v>
      </c>
      <c r="M31" s="81">
        <v>56</v>
      </c>
      <c r="N31" s="80"/>
      <c r="O31" s="89"/>
      <c r="P31" s="89"/>
      <c r="Q31" s="81"/>
      <c r="R31" s="80"/>
      <c r="S31" s="89"/>
      <c r="T31" s="89"/>
      <c r="U31" s="81"/>
      <c r="V31" s="80"/>
      <c r="W31" s="89"/>
      <c r="X31" s="89"/>
      <c r="Y31" s="81"/>
      <c r="Z31" s="80"/>
      <c r="AA31" s="89"/>
      <c r="AB31" s="89"/>
      <c r="AC31" s="81"/>
      <c r="AD31" s="80"/>
      <c r="AE31" s="89"/>
      <c r="AF31" s="89"/>
      <c r="AG31" s="81"/>
      <c r="AH31" s="80"/>
      <c r="AI31" s="89"/>
      <c r="AJ31" s="89"/>
      <c r="AK31" s="81"/>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343</v>
      </c>
      <c r="D32" s="76" t="s">
        <v>434</v>
      </c>
      <c r="E32" s="118">
        <v>54</v>
      </c>
      <c r="F32" s="80">
        <v>56</v>
      </c>
      <c r="G32" s="89">
        <v>56</v>
      </c>
      <c r="H32" s="89">
        <v>72</v>
      </c>
      <c r="I32" s="81">
        <v>72</v>
      </c>
      <c r="J32" s="80"/>
      <c r="K32" s="89">
        <v>56</v>
      </c>
      <c r="L32" s="89">
        <v>32</v>
      </c>
      <c r="M32" s="81">
        <v>32</v>
      </c>
      <c r="N32" s="80"/>
      <c r="O32" s="89"/>
      <c r="P32" s="89"/>
      <c r="Q32" s="81"/>
      <c r="R32" s="80"/>
      <c r="S32" s="89"/>
      <c r="T32" s="89"/>
      <c r="U32" s="81"/>
      <c r="V32" s="80"/>
      <c r="W32" s="89"/>
      <c r="X32" s="89"/>
      <c r="Y32" s="81"/>
      <c r="Z32" s="80"/>
      <c r="AA32" s="89"/>
      <c r="AB32" s="89"/>
      <c r="AC32" s="81"/>
      <c r="AD32" s="80"/>
      <c r="AE32" s="89"/>
      <c r="AF32" s="89"/>
      <c r="AG32" s="81"/>
      <c r="AH32" s="80"/>
      <c r="AI32" s="89"/>
      <c r="AJ32" s="89"/>
      <c r="AK32" s="81"/>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v>6</v>
      </c>
      <c r="F33" s="86">
        <v>0</v>
      </c>
      <c r="G33" s="91">
        <v>0</v>
      </c>
      <c r="H33" s="91">
        <v>0</v>
      </c>
      <c r="I33" s="87">
        <v>0</v>
      </c>
      <c r="J33" s="86"/>
      <c r="K33" s="91">
        <v>0</v>
      </c>
      <c r="L33" s="91">
        <v>0</v>
      </c>
      <c r="M33" s="87">
        <v>0</v>
      </c>
      <c r="N33" s="86"/>
      <c r="O33" s="91"/>
      <c r="P33" s="91"/>
      <c r="Q33" s="87"/>
      <c r="R33" s="86"/>
      <c r="S33" s="91"/>
      <c r="T33" s="91"/>
      <c r="U33" s="87"/>
      <c r="V33" s="86"/>
      <c r="W33" s="91"/>
      <c r="X33" s="91"/>
      <c r="Y33" s="87"/>
      <c r="Z33" s="86"/>
      <c r="AA33" s="91"/>
      <c r="AB33" s="91"/>
      <c r="AC33" s="87"/>
      <c r="AD33" s="86"/>
      <c r="AE33" s="91"/>
      <c r="AF33" s="91"/>
      <c r="AG33" s="87"/>
      <c r="AH33" s="86"/>
      <c r="AI33" s="91"/>
      <c r="AJ33" s="91"/>
      <c r="AK33" s="87"/>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v>12</v>
      </c>
      <c r="I34" s="87">
        <v>12</v>
      </c>
      <c r="J34" s="86"/>
      <c r="K34" s="91">
        <v>10</v>
      </c>
      <c r="L34" s="91">
        <v>12</v>
      </c>
      <c r="M34" s="87">
        <v>12</v>
      </c>
      <c r="N34" s="86"/>
      <c r="O34" s="91"/>
      <c r="P34" s="91"/>
      <c r="Q34" s="87"/>
      <c r="R34" s="86"/>
      <c r="S34" s="91"/>
      <c r="T34" s="91"/>
      <c r="U34" s="87"/>
      <c r="V34" s="86"/>
      <c r="W34" s="91"/>
      <c r="X34" s="91"/>
      <c r="Y34" s="87"/>
      <c r="Z34" s="86"/>
      <c r="AA34" s="91"/>
      <c r="AB34" s="91"/>
      <c r="AC34" s="87"/>
      <c r="AD34" s="86"/>
      <c r="AE34" s="91"/>
      <c r="AF34" s="91"/>
      <c r="AG34" s="87"/>
      <c r="AH34" s="86"/>
      <c r="AI34" s="91"/>
      <c r="AJ34" s="91"/>
      <c r="AK34" s="87"/>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0.85</v>
      </c>
      <c r="F35" s="40">
        <v>0.9</v>
      </c>
      <c r="G35" s="78">
        <v>0.9</v>
      </c>
      <c r="H35" s="78">
        <v>0.9</v>
      </c>
      <c r="I35" s="41">
        <v>0.9</v>
      </c>
      <c r="J35" s="40"/>
      <c r="K35" s="78">
        <v>0.9</v>
      </c>
      <c r="L35" s="78">
        <v>0.9</v>
      </c>
      <c r="M35" s="41">
        <v>0.9</v>
      </c>
      <c r="N35" s="40"/>
      <c r="O35" s="78"/>
      <c r="P35" s="78"/>
      <c r="Q35" s="41"/>
      <c r="R35" s="40"/>
      <c r="S35" s="78"/>
      <c r="T35" s="78"/>
      <c r="U35" s="41"/>
      <c r="V35" s="40"/>
      <c r="W35" s="78"/>
      <c r="X35" s="78"/>
      <c r="Y35" s="41"/>
      <c r="Z35" s="40"/>
      <c r="AA35" s="78"/>
      <c r="AB35" s="78"/>
      <c r="AC35" s="41"/>
      <c r="AD35" s="40"/>
      <c r="AE35" s="78"/>
      <c r="AF35" s="78"/>
      <c r="AG35" s="41"/>
      <c r="AH35" s="40"/>
      <c r="AI35" s="78"/>
      <c r="AJ35" s="78"/>
      <c r="AK35" s="41"/>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v>9</v>
      </c>
      <c r="I36" s="87">
        <v>9</v>
      </c>
      <c r="J36" s="86"/>
      <c r="K36" s="91">
        <v>8</v>
      </c>
      <c r="L36" s="91">
        <v>9</v>
      </c>
      <c r="M36" s="87">
        <v>9</v>
      </c>
      <c r="N36" s="86"/>
      <c r="O36" s="91"/>
      <c r="P36" s="91"/>
      <c r="Q36" s="87"/>
      <c r="R36" s="86"/>
      <c r="S36" s="91"/>
      <c r="T36" s="91"/>
      <c r="U36" s="87"/>
      <c r="V36" s="86"/>
      <c r="W36" s="91"/>
      <c r="X36" s="91"/>
      <c r="Y36" s="87"/>
      <c r="Z36" s="86"/>
      <c r="AA36" s="91"/>
      <c r="AB36" s="91"/>
      <c r="AC36" s="87"/>
      <c r="AD36" s="86"/>
      <c r="AE36" s="91"/>
      <c r="AF36" s="91"/>
      <c r="AG36" s="87"/>
      <c r="AH36" s="86"/>
      <c r="AI36" s="91"/>
      <c r="AJ36" s="91"/>
      <c r="AK36" s="87"/>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v>0</v>
      </c>
      <c r="I37" s="87">
        <v>0</v>
      </c>
      <c r="J37" s="86"/>
      <c r="K37" s="91">
        <v>0</v>
      </c>
      <c r="L37" s="91">
        <v>0</v>
      </c>
      <c r="M37" s="87">
        <v>0</v>
      </c>
      <c r="N37" s="86"/>
      <c r="O37" s="91"/>
      <c r="P37" s="91"/>
      <c r="Q37" s="87"/>
      <c r="R37" s="86"/>
      <c r="S37" s="91"/>
      <c r="T37" s="91"/>
      <c r="U37" s="87"/>
      <c r="V37" s="86"/>
      <c r="W37" s="91"/>
      <c r="X37" s="91"/>
      <c r="Y37" s="87"/>
      <c r="Z37" s="86"/>
      <c r="AA37" s="91"/>
      <c r="AB37" s="91"/>
      <c r="AC37" s="87"/>
      <c r="AD37" s="86"/>
      <c r="AE37" s="91"/>
      <c r="AF37" s="91"/>
      <c r="AG37" s="87"/>
      <c r="AH37" s="86"/>
      <c r="AI37" s="91"/>
      <c r="AJ37" s="91"/>
      <c r="AK37" s="87"/>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330</v>
      </c>
      <c r="D38" s="76" t="s">
        <v>327</v>
      </c>
      <c r="E38" s="122">
        <v>0.5</v>
      </c>
      <c r="F38" s="91">
        <v>0.5</v>
      </c>
      <c r="G38" s="91">
        <v>0.5</v>
      </c>
      <c r="H38" s="91">
        <v>0.5</v>
      </c>
      <c r="I38" s="91">
        <v>0.5</v>
      </c>
      <c r="J38" s="91"/>
      <c r="K38" s="91">
        <v>1</v>
      </c>
      <c r="L38" s="91">
        <v>0.1</v>
      </c>
      <c r="M38" s="91">
        <v>0.1</v>
      </c>
      <c r="N38" s="86"/>
      <c r="O38" s="91"/>
      <c r="P38" s="91"/>
      <c r="Q38" s="87"/>
      <c r="R38" s="86"/>
      <c r="S38" s="91"/>
      <c r="T38" s="91"/>
      <c r="U38" s="87"/>
      <c r="V38" s="86"/>
      <c r="W38" s="91"/>
      <c r="X38" s="91"/>
      <c r="Y38" s="87"/>
      <c r="Z38" s="86"/>
      <c r="AA38" s="91"/>
      <c r="AB38" s="91"/>
      <c r="AC38" s="87"/>
      <c r="AD38" s="86"/>
      <c r="AE38" s="91"/>
      <c r="AF38" s="91"/>
      <c r="AG38" s="87"/>
      <c r="AH38" s="86"/>
      <c r="AI38" s="91"/>
      <c r="AJ38" s="91"/>
      <c r="AK38" s="87"/>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329</v>
      </c>
      <c r="D39" s="76" t="s">
        <v>328</v>
      </c>
      <c r="E39" s="122">
        <v>0.1</v>
      </c>
      <c r="F39" s="91">
        <v>0.1</v>
      </c>
      <c r="G39" s="91">
        <v>0.1</v>
      </c>
      <c r="H39" s="91">
        <v>0.1</v>
      </c>
      <c r="I39" s="91">
        <v>0.1</v>
      </c>
      <c r="J39" s="91"/>
      <c r="K39" s="91">
        <v>0.1</v>
      </c>
      <c r="L39" s="91">
        <v>0.1</v>
      </c>
      <c r="M39" s="91">
        <v>0.1</v>
      </c>
      <c r="N39" s="86"/>
      <c r="O39" s="91"/>
      <c r="P39" s="91"/>
      <c r="Q39" s="87"/>
      <c r="R39" s="86"/>
      <c r="S39" s="91"/>
      <c r="T39" s="91"/>
      <c r="U39" s="87"/>
      <c r="V39" s="86"/>
      <c r="W39" s="91"/>
      <c r="X39" s="91"/>
      <c r="Y39" s="87"/>
      <c r="Z39" s="86"/>
      <c r="AA39" s="91"/>
      <c r="AB39" s="91"/>
      <c r="AC39" s="87"/>
      <c r="AD39" s="86"/>
      <c r="AE39" s="91"/>
      <c r="AF39" s="91"/>
      <c r="AG39" s="87"/>
      <c r="AH39" s="86"/>
      <c r="AI39" s="91"/>
      <c r="AJ39" s="91"/>
      <c r="AK39" s="87"/>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323</v>
      </c>
      <c r="D40" s="76" t="s">
        <v>324</v>
      </c>
      <c r="E40" s="122">
        <v>10</v>
      </c>
      <c r="F40" s="91">
        <v>10</v>
      </c>
      <c r="G40" s="91">
        <v>10</v>
      </c>
      <c r="H40" s="91">
        <v>10</v>
      </c>
      <c r="I40" s="91">
        <v>10</v>
      </c>
      <c r="J40" s="91"/>
      <c r="K40" s="91">
        <v>10</v>
      </c>
      <c r="L40" s="91">
        <v>10</v>
      </c>
      <c r="M40" s="91">
        <v>10</v>
      </c>
      <c r="N40" s="86"/>
      <c r="O40" s="91"/>
      <c r="P40" s="91"/>
      <c r="Q40" s="87"/>
      <c r="R40" s="86"/>
      <c r="S40" s="91"/>
      <c r="T40" s="91"/>
      <c r="U40" s="87"/>
      <c r="V40" s="86"/>
      <c r="W40" s="91"/>
      <c r="X40" s="91"/>
      <c r="Y40" s="87"/>
      <c r="Z40" s="86"/>
      <c r="AA40" s="91"/>
      <c r="AB40" s="91"/>
      <c r="AC40" s="87"/>
      <c r="AD40" s="86"/>
      <c r="AE40" s="91"/>
      <c r="AF40" s="91"/>
      <c r="AG40" s="87"/>
      <c r="AH40" s="86"/>
      <c r="AI40" s="91"/>
      <c r="AJ40" s="91"/>
      <c r="AK40" s="87"/>
      <c r="AL40" s="86"/>
      <c r="AM40" s="91"/>
      <c r="AN40" s="91"/>
      <c r="AO40" s="87"/>
      <c r="AP40" s="86"/>
      <c r="AQ40" s="91"/>
      <c r="AR40" s="91"/>
      <c r="AS40" s="87"/>
      <c r="AT40" s="86"/>
      <c r="AU40" s="91"/>
      <c r="AV40" s="91"/>
      <c r="AW40" s="87"/>
      <c r="AX40" s="86"/>
      <c r="AY40" s="91"/>
      <c r="AZ40" s="91"/>
      <c r="BA40" s="87"/>
      <c r="BB40" s="86"/>
      <c r="BC40" s="91"/>
      <c r="BD40" s="91"/>
      <c r="BE40" s="87"/>
      <c r="BF40" s="86"/>
      <c r="BG40" s="91"/>
      <c r="BH40" s="91"/>
      <c r="BI40" s="87"/>
      <c r="BJ40" s="86"/>
      <c r="BK40" s="91"/>
      <c r="BL40" s="91"/>
      <c r="BM40" s="87"/>
      <c r="BN40" s="86"/>
      <c r="BO40" s="91"/>
      <c r="BP40" s="91"/>
      <c r="BQ40" s="87"/>
      <c r="BR40" s="86"/>
      <c r="BS40" s="91"/>
      <c r="BT40" s="91"/>
      <c r="BU40" s="87"/>
      <c r="BV40" s="86"/>
      <c r="BW40" s="91"/>
      <c r="BX40" s="91"/>
      <c r="BY40" s="87"/>
      <c r="BZ40" s="86"/>
      <c r="CA40" s="91"/>
      <c r="CB40" s="91"/>
      <c r="CC40" s="87"/>
      <c r="CD40" s="86"/>
      <c r="CE40" s="91"/>
      <c r="CF40" s="91"/>
      <c r="CG40" s="87"/>
      <c r="CH40" s="86"/>
      <c r="CI40" s="91"/>
      <c r="CJ40" s="91"/>
      <c r="CK40" s="87"/>
      <c r="CL40" s="49"/>
      <c r="CM40" s="56"/>
    </row>
    <row r="41" spans="1:91" ht="14.25" x14ac:dyDescent="0.25">
      <c r="B41" s="55"/>
      <c r="C41" s="9" t="s">
        <v>325</v>
      </c>
      <c r="D41" s="76" t="s">
        <v>326</v>
      </c>
      <c r="E41" s="122">
        <v>3</v>
      </c>
      <c r="F41" s="91">
        <v>3</v>
      </c>
      <c r="G41" s="91">
        <v>3</v>
      </c>
      <c r="H41" s="91">
        <v>3</v>
      </c>
      <c r="I41" s="91">
        <v>3</v>
      </c>
      <c r="J41" s="91"/>
      <c r="K41" s="91">
        <v>3</v>
      </c>
      <c r="L41" s="91">
        <v>3</v>
      </c>
      <c r="M41" s="91">
        <v>3</v>
      </c>
      <c r="N41" s="86"/>
      <c r="O41" s="91"/>
      <c r="P41" s="91"/>
      <c r="Q41" s="87"/>
      <c r="R41" s="86"/>
      <c r="S41" s="91"/>
      <c r="T41" s="91"/>
      <c r="U41" s="87"/>
      <c r="V41" s="86"/>
      <c r="W41" s="91"/>
      <c r="X41" s="91"/>
      <c r="Y41" s="87"/>
      <c r="Z41" s="86"/>
      <c r="AA41" s="91"/>
      <c r="AB41" s="91"/>
      <c r="AC41" s="87"/>
      <c r="AD41" s="86"/>
      <c r="AE41" s="91"/>
      <c r="AF41" s="91"/>
      <c r="AG41" s="87"/>
      <c r="AH41" s="86"/>
      <c r="AI41" s="91"/>
      <c r="AJ41" s="91"/>
      <c r="AK41" s="87"/>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s="240" customFormat="1" x14ac:dyDescent="0.25">
      <c r="A42" s="235"/>
      <c r="B42" s="236"/>
      <c r="C42" s="9"/>
      <c r="D42" s="76" t="s">
        <v>273</v>
      </c>
      <c r="E42" s="122" t="s">
        <v>274</v>
      </c>
      <c r="F42" s="237" t="s">
        <v>274</v>
      </c>
      <c r="G42" s="237" t="s">
        <v>274</v>
      </c>
      <c r="H42" s="237" t="s">
        <v>274</v>
      </c>
      <c r="I42" s="237" t="s">
        <v>274</v>
      </c>
      <c r="J42" s="237"/>
      <c r="K42" s="237" t="s">
        <v>444</v>
      </c>
      <c r="L42" s="237" t="s">
        <v>275</v>
      </c>
      <c r="M42" s="237" t="s">
        <v>275</v>
      </c>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8"/>
      <c r="CM42" s="239"/>
    </row>
    <row r="43" spans="1:91" x14ac:dyDescent="0.25">
      <c r="B43" s="55"/>
      <c r="C43" s="9"/>
      <c r="D43" s="76" t="s">
        <v>173</v>
      </c>
      <c r="E43" s="119" t="s">
        <v>74</v>
      </c>
      <c r="F43" s="40" t="s">
        <v>74</v>
      </c>
      <c r="G43" s="78" t="s">
        <v>74</v>
      </c>
      <c r="H43" s="78" t="s">
        <v>74</v>
      </c>
      <c r="I43" s="41" t="s">
        <v>74</v>
      </c>
      <c r="J43" s="40"/>
      <c r="K43" s="78" t="s">
        <v>74</v>
      </c>
      <c r="L43" s="78" t="s">
        <v>74</v>
      </c>
      <c r="M43" s="41" t="s">
        <v>74</v>
      </c>
      <c r="N43" s="40"/>
      <c r="O43" s="78"/>
      <c r="P43" s="78"/>
      <c r="Q43" s="41"/>
      <c r="R43" s="40"/>
      <c r="S43" s="78"/>
      <c r="T43" s="78"/>
      <c r="U43" s="41"/>
      <c r="V43" s="40"/>
      <c r="W43" s="78"/>
      <c r="X43" s="78"/>
      <c r="Y43" s="41"/>
      <c r="Z43" s="40"/>
      <c r="AA43" s="78"/>
      <c r="AB43" s="78"/>
      <c r="AC43" s="41"/>
      <c r="AD43" s="40"/>
      <c r="AE43" s="78"/>
      <c r="AF43" s="78"/>
      <c r="AG43" s="41"/>
      <c r="AH43" s="40"/>
      <c r="AI43" s="78"/>
      <c r="AJ43" s="78"/>
      <c r="AK43" s="41"/>
      <c r="AL43" s="40"/>
      <c r="AM43" s="78"/>
      <c r="AN43" s="78"/>
      <c r="AO43" s="41"/>
      <c r="AP43" s="40"/>
      <c r="AQ43" s="78"/>
      <c r="AR43" s="78"/>
      <c r="AS43" s="41"/>
      <c r="AT43" s="40"/>
      <c r="AU43" s="78"/>
      <c r="AV43" s="78"/>
      <c r="AW43" s="41"/>
      <c r="AX43" s="40"/>
      <c r="AY43" s="78"/>
      <c r="AZ43" s="78"/>
      <c r="BA43" s="41"/>
      <c r="BB43" s="40"/>
      <c r="BC43" s="78"/>
      <c r="BD43" s="78"/>
      <c r="BE43" s="41"/>
      <c r="BF43" s="40"/>
      <c r="BG43" s="78"/>
      <c r="BH43" s="78"/>
      <c r="BI43" s="41"/>
      <c r="BJ43" s="40"/>
      <c r="BK43" s="78"/>
      <c r="BL43" s="78"/>
      <c r="BM43" s="41"/>
      <c r="BN43" s="40"/>
      <c r="BO43" s="78"/>
      <c r="BP43" s="78"/>
      <c r="BQ43" s="41"/>
      <c r="BR43" s="40"/>
      <c r="BS43" s="78"/>
      <c r="BT43" s="78"/>
      <c r="BU43" s="41"/>
      <c r="BV43" s="40"/>
      <c r="BW43" s="78"/>
      <c r="BX43" s="78"/>
      <c r="BY43" s="41"/>
      <c r="BZ43" s="40"/>
      <c r="CA43" s="78"/>
      <c r="CB43" s="78"/>
      <c r="CC43" s="41"/>
      <c r="CD43" s="40"/>
      <c r="CE43" s="78"/>
      <c r="CF43" s="78"/>
      <c r="CG43" s="41"/>
      <c r="CH43" s="40"/>
      <c r="CI43" s="78"/>
      <c r="CJ43" s="78"/>
      <c r="CK43" s="41"/>
      <c r="CL43" s="49"/>
      <c r="CM43" s="28"/>
    </row>
    <row r="44" spans="1:91" ht="15.75" x14ac:dyDescent="0.25">
      <c r="B44" s="55"/>
      <c r="C44" s="9"/>
      <c r="D44" s="107" t="s">
        <v>236</v>
      </c>
      <c r="E44" s="119" t="s">
        <v>74</v>
      </c>
      <c r="F44" s="40" t="s">
        <v>74</v>
      </c>
      <c r="G44" s="78" t="s">
        <v>74</v>
      </c>
      <c r="H44" s="78" t="s">
        <v>74</v>
      </c>
      <c r="I44" s="41" t="s">
        <v>74</v>
      </c>
      <c r="J44" s="40"/>
      <c r="K44" s="78" t="s">
        <v>64</v>
      </c>
      <c r="L44" s="78" t="s">
        <v>74</v>
      </c>
      <c r="M44" s="41" t="s">
        <v>74</v>
      </c>
      <c r="N44" s="40"/>
      <c r="O44" s="78"/>
      <c r="P44" s="78"/>
      <c r="Q44" s="41"/>
      <c r="R44" s="40"/>
      <c r="S44" s="78"/>
      <c r="T44" s="78"/>
      <c r="U44" s="41"/>
      <c r="V44" s="40"/>
      <c r="W44" s="78"/>
      <c r="X44" s="78"/>
      <c r="Y44" s="41"/>
      <c r="Z44" s="40"/>
      <c r="AA44" s="78"/>
      <c r="AB44" s="78"/>
      <c r="AC44" s="41"/>
      <c r="AD44" s="40"/>
      <c r="AE44" s="78"/>
      <c r="AF44" s="78"/>
      <c r="AG44" s="41"/>
      <c r="AH44" s="40"/>
      <c r="AI44" s="78"/>
      <c r="AJ44" s="78"/>
      <c r="AK44" s="41"/>
      <c r="AL44" s="40"/>
      <c r="AM44" s="78"/>
      <c r="AN44" s="78"/>
      <c r="AO44" s="41"/>
      <c r="AP44" s="40"/>
      <c r="AQ44" s="78"/>
      <c r="AR44" s="78"/>
      <c r="AS44" s="41"/>
      <c r="AT44" s="40"/>
      <c r="AU44" s="78"/>
      <c r="AV44" s="78"/>
      <c r="AW44" s="41"/>
      <c r="AX44" s="40"/>
      <c r="AY44" s="78"/>
      <c r="AZ44" s="78"/>
      <c r="BA44" s="41"/>
      <c r="BB44" s="40"/>
      <c r="BC44" s="78"/>
      <c r="BD44" s="78"/>
      <c r="BE44" s="41"/>
      <c r="BF44" s="40"/>
      <c r="BG44" s="78"/>
      <c r="BH44" s="78"/>
      <c r="BI44" s="41"/>
      <c r="BJ44" s="40"/>
      <c r="BK44" s="78"/>
      <c r="BL44" s="78"/>
      <c r="BM44" s="41"/>
      <c r="BN44" s="40"/>
      <c r="BO44" s="78"/>
      <c r="BP44" s="78"/>
      <c r="BQ44" s="41"/>
      <c r="BR44" s="40"/>
      <c r="BS44" s="78"/>
      <c r="BT44" s="78"/>
      <c r="BU44" s="41"/>
      <c r="BV44" s="40"/>
      <c r="BW44" s="78"/>
      <c r="BX44" s="78"/>
      <c r="BY44" s="41"/>
      <c r="BZ44" s="40"/>
      <c r="CA44" s="78"/>
      <c r="CB44" s="78"/>
      <c r="CC44" s="41"/>
      <c r="CD44" s="40"/>
      <c r="CE44" s="78"/>
      <c r="CF44" s="78"/>
      <c r="CG44" s="41"/>
      <c r="CH44" s="40"/>
      <c r="CI44" s="78"/>
      <c r="CJ44" s="78"/>
      <c r="CK44" s="41"/>
      <c r="CL44" s="49"/>
      <c r="CM44" s="28"/>
    </row>
    <row r="45" spans="1:91" x14ac:dyDescent="0.25">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28"/>
    </row>
    <row r="46" spans="1:91" x14ac:dyDescent="0.25">
      <c r="A46" s="22"/>
      <c r="B46" s="61"/>
      <c r="C46" s="286" t="s">
        <v>24</v>
      </c>
      <c r="D46" s="287"/>
      <c r="E46" s="133"/>
      <c r="F46" s="286"/>
      <c r="G46" s="287"/>
      <c r="H46" s="287"/>
      <c r="I46" s="304"/>
      <c r="J46" s="286"/>
      <c r="K46" s="287"/>
      <c r="L46" s="287"/>
      <c r="M46" s="304"/>
      <c r="N46" s="286"/>
      <c r="O46" s="287"/>
      <c r="P46" s="287"/>
      <c r="Q46" s="304"/>
      <c r="R46" s="286"/>
      <c r="S46" s="287"/>
      <c r="T46" s="287"/>
      <c r="U46" s="304"/>
      <c r="V46" s="286"/>
      <c r="W46" s="287"/>
      <c r="X46" s="287"/>
      <c r="Y46" s="304"/>
      <c r="Z46" s="286"/>
      <c r="AA46" s="287"/>
      <c r="AB46" s="287"/>
      <c r="AC46" s="304"/>
      <c r="AD46" s="286"/>
      <c r="AE46" s="287"/>
      <c r="AF46" s="287"/>
      <c r="AG46" s="304"/>
      <c r="AH46" s="286"/>
      <c r="AI46" s="287"/>
      <c r="AJ46" s="287"/>
      <c r="AK46" s="304"/>
      <c r="AL46" s="286"/>
      <c r="AM46" s="287"/>
      <c r="AN46" s="287"/>
      <c r="AO46" s="304"/>
      <c r="AP46" s="286"/>
      <c r="AQ46" s="287"/>
      <c r="AR46" s="287"/>
      <c r="AS46" s="304"/>
      <c r="AT46" s="286"/>
      <c r="AU46" s="287"/>
      <c r="AV46" s="287"/>
      <c r="AW46" s="304"/>
      <c r="AX46" s="286"/>
      <c r="AY46" s="287"/>
      <c r="AZ46" s="287"/>
      <c r="BA46" s="304"/>
      <c r="BB46" s="286"/>
      <c r="BC46" s="287"/>
      <c r="BD46" s="287"/>
      <c r="BE46" s="304"/>
      <c r="BF46" s="286"/>
      <c r="BG46" s="287"/>
      <c r="BH46" s="287"/>
      <c r="BI46" s="304"/>
      <c r="BJ46" s="286"/>
      <c r="BK46" s="287"/>
      <c r="BL46" s="287"/>
      <c r="BM46" s="304"/>
      <c r="BN46" s="286"/>
      <c r="BO46" s="287"/>
      <c r="BP46" s="287"/>
      <c r="BQ46" s="304"/>
      <c r="BR46" s="286"/>
      <c r="BS46" s="287"/>
      <c r="BT46" s="287"/>
      <c r="BU46" s="304"/>
      <c r="BV46" s="286"/>
      <c r="BW46" s="287"/>
      <c r="BX46" s="287"/>
      <c r="BY46" s="304"/>
      <c r="BZ46" s="286"/>
      <c r="CA46" s="287"/>
      <c r="CB46" s="287"/>
      <c r="CC46" s="304"/>
      <c r="CD46" s="286"/>
      <c r="CE46" s="287"/>
      <c r="CF46" s="287"/>
      <c r="CG46" s="304"/>
      <c r="CH46" s="286"/>
      <c r="CI46" s="287"/>
      <c r="CJ46" s="287"/>
      <c r="CK46" s="304"/>
      <c r="CL46" s="49"/>
      <c r="CM46" s="28"/>
    </row>
    <row r="47" spans="1:91" ht="15.75" x14ac:dyDescent="0.25">
      <c r="B47" s="55"/>
      <c r="C47" s="4"/>
      <c r="D47" s="77" t="s">
        <v>234</v>
      </c>
      <c r="E47" s="134"/>
      <c r="F47" s="4"/>
      <c r="G47" s="19"/>
      <c r="H47" s="19"/>
      <c r="I47" s="5"/>
      <c r="J47" s="4"/>
      <c r="K47" s="19"/>
      <c r="L47" s="19"/>
      <c r="M47" s="5"/>
      <c r="N47" s="4"/>
      <c r="O47" s="19"/>
      <c r="P47" s="19"/>
      <c r="Q47" s="5"/>
      <c r="R47" s="4"/>
      <c r="S47" s="19"/>
      <c r="T47" s="19"/>
      <c r="U47" s="5"/>
      <c r="V47" s="4"/>
      <c r="W47" s="19"/>
      <c r="X47" s="19"/>
      <c r="Y47" s="5"/>
      <c r="Z47" s="4"/>
      <c r="AA47" s="19"/>
      <c r="AB47" s="19"/>
      <c r="AC47" s="5"/>
      <c r="AD47" s="4"/>
      <c r="AE47" s="19"/>
      <c r="AF47" s="19"/>
      <c r="AG47" s="5"/>
      <c r="AH47" s="4"/>
      <c r="AI47" s="19"/>
      <c r="AJ47" s="19"/>
      <c r="AK47" s="5"/>
      <c r="AL47" s="4"/>
      <c r="AM47" s="19"/>
      <c r="AN47" s="19"/>
      <c r="AO47" s="5"/>
      <c r="AP47" s="4"/>
      <c r="AQ47" s="19"/>
      <c r="AR47" s="19"/>
      <c r="AS47" s="5"/>
      <c r="AT47" s="4"/>
      <c r="AU47" s="19"/>
      <c r="AV47" s="19"/>
      <c r="AW47" s="5"/>
      <c r="AX47" s="4"/>
      <c r="AY47" s="19"/>
      <c r="AZ47" s="19"/>
      <c r="BA47" s="5"/>
      <c r="BB47" s="4"/>
      <c r="BC47" s="19"/>
      <c r="BD47" s="19"/>
      <c r="BE47" s="5"/>
      <c r="BF47" s="4"/>
      <c r="BG47" s="19"/>
      <c r="BH47" s="19"/>
      <c r="BI47" s="5"/>
      <c r="BJ47" s="4"/>
      <c r="BK47" s="19"/>
      <c r="BL47" s="19"/>
      <c r="BM47" s="5"/>
      <c r="BN47" s="4"/>
      <c r="BO47" s="19"/>
      <c r="BP47" s="19"/>
      <c r="BQ47" s="5"/>
      <c r="BR47" s="4"/>
      <c r="BS47" s="19"/>
      <c r="BT47" s="19"/>
      <c r="BU47" s="5"/>
      <c r="BV47" s="4"/>
      <c r="BW47" s="19"/>
      <c r="BX47" s="19"/>
      <c r="BY47" s="5"/>
      <c r="BZ47" s="4"/>
      <c r="CA47" s="19"/>
      <c r="CB47" s="19"/>
      <c r="CC47" s="5"/>
      <c r="CD47" s="4"/>
      <c r="CE47" s="19"/>
      <c r="CF47" s="19"/>
      <c r="CG47" s="5"/>
      <c r="CH47" s="4"/>
      <c r="CI47" s="19"/>
      <c r="CJ47" s="19"/>
      <c r="CK47" s="5"/>
      <c r="CL47" s="49"/>
      <c r="CM47" s="28"/>
    </row>
    <row r="48" spans="1:91" ht="14.25" x14ac:dyDescent="0.25">
      <c r="B48" s="55"/>
      <c r="C48" s="10" t="s">
        <v>276</v>
      </c>
      <c r="D48" s="93" t="s">
        <v>280</v>
      </c>
      <c r="E48" s="125">
        <f>(E31/3.5) + 3</f>
        <v>18.428571428571431</v>
      </c>
      <c r="F48" s="162">
        <f>(F31/3.5) + 3</f>
        <v>23.571428571428573</v>
      </c>
      <c r="G48" s="164">
        <f>(G31/3.5) + 3</f>
        <v>23.571428571428573</v>
      </c>
      <c r="H48" s="164">
        <f>(H31/3.5) + 3</f>
        <v>19</v>
      </c>
      <c r="I48" s="164">
        <f t="shared" ref="I48" si="0">(I31/3.5) + 3</f>
        <v>19</v>
      </c>
      <c r="J48" s="162">
        <f>(J31/3.5) + 3</f>
        <v>3</v>
      </c>
      <c r="K48" s="164">
        <f>(K31/3.5) + 3</f>
        <v>12.142857142857142</v>
      </c>
      <c r="L48" s="164">
        <f>(L31/3.5) + 3</f>
        <v>19</v>
      </c>
      <c r="M48" s="163">
        <f t="shared" ref="M48" si="1">(M31/3.5) + 3</f>
        <v>19</v>
      </c>
      <c r="N48" s="168">
        <f>(N31/3.5) + 3</f>
        <v>3</v>
      </c>
      <c r="O48" s="171">
        <f>(O31/3.5) + 3</f>
        <v>3</v>
      </c>
      <c r="P48" s="171">
        <f>(P31/3.5) + 3</f>
        <v>3</v>
      </c>
      <c r="Q48" s="169">
        <f t="shared" ref="Q48" si="2">(Q31/3.5) + 3</f>
        <v>3</v>
      </c>
      <c r="R48" s="168">
        <f>(R31/3.5) + 3</f>
        <v>3</v>
      </c>
      <c r="S48" s="171">
        <f>(S31/3.5) + 3</f>
        <v>3</v>
      </c>
      <c r="T48" s="171">
        <f>(T31/3.5) + 3</f>
        <v>3</v>
      </c>
      <c r="U48" s="169">
        <f t="shared" ref="U48" si="3">(U31/3.5) + 3</f>
        <v>3</v>
      </c>
      <c r="V48" s="168">
        <f>(V31/3.5) + 3</f>
        <v>3</v>
      </c>
      <c r="W48" s="171">
        <f>(W31/3.5) + 3</f>
        <v>3</v>
      </c>
      <c r="X48" s="171">
        <f>(X31/3.5) + 3</f>
        <v>3</v>
      </c>
      <c r="Y48" s="169">
        <f t="shared" ref="Y48" si="4">(Y31/3.5) + 3</f>
        <v>3</v>
      </c>
      <c r="Z48" s="168">
        <f>(Z31/3.5) + 3</f>
        <v>3</v>
      </c>
      <c r="AA48" s="171">
        <f>(AA31/3.5) + 3</f>
        <v>3</v>
      </c>
      <c r="AB48" s="171">
        <f>(AB31/3.5) + 3</f>
        <v>3</v>
      </c>
      <c r="AC48" s="169">
        <f t="shared" ref="AC48" si="5">(AC31/3.5) + 3</f>
        <v>3</v>
      </c>
      <c r="AD48" s="168">
        <f>(AD31/3.5) + 3</f>
        <v>3</v>
      </c>
      <c r="AE48" s="171">
        <f>(AE31/3.5) + 3</f>
        <v>3</v>
      </c>
      <c r="AF48" s="171">
        <f>(AF31/3.5) + 3</f>
        <v>3</v>
      </c>
      <c r="AG48" s="169">
        <f t="shared" ref="AG48" si="6">(AG31/3.5) + 3</f>
        <v>3</v>
      </c>
      <c r="AH48" s="168">
        <f>(AH31/3.5) + 3</f>
        <v>3</v>
      </c>
      <c r="AI48" s="171">
        <f>(AI31/3.5) + 3</f>
        <v>3</v>
      </c>
      <c r="AJ48" s="171">
        <f>(AJ31/3.5) + 3</f>
        <v>3</v>
      </c>
      <c r="AK48" s="169">
        <f t="shared" ref="AK48" si="7">(AK31/3.5) + 3</f>
        <v>3</v>
      </c>
      <c r="AL48" s="168">
        <f>(AL31/3.5) + 3</f>
        <v>3</v>
      </c>
      <c r="AM48" s="171">
        <f>(AM31/3.5) + 3</f>
        <v>3</v>
      </c>
      <c r="AN48" s="171">
        <f>(AN31/3.5) + 3</f>
        <v>3</v>
      </c>
      <c r="AO48" s="169">
        <f t="shared" ref="AO48" si="8">(AO31/3.5) + 3</f>
        <v>3</v>
      </c>
      <c r="AP48" s="168">
        <f>(AP31/3.5) + 3</f>
        <v>3</v>
      </c>
      <c r="AQ48" s="171">
        <f>(AQ31/3.5) + 3</f>
        <v>3</v>
      </c>
      <c r="AR48" s="171">
        <f>(AR31/3.5) + 3</f>
        <v>3</v>
      </c>
      <c r="AS48" s="169">
        <f t="shared" ref="AS48" si="9">(AS31/3.5) + 3</f>
        <v>3</v>
      </c>
      <c r="AT48" s="168">
        <f>(AT31/3.5) + 3</f>
        <v>3</v>
      </c>
      <c r="AU48" s="171">
        <f>(AU31/3.5) + 3</f>
        <v>3</v>
      </c>
      <c r="AV48" s="171">
        <f>(AV31/3.5) + 3</f>
        <v>3</v>
      </c>
      <c r="AW48" s="169">
        <f t="shared" ref="AW48" si="10">(AW31/3.5) + 3</f>
        <v>3</v>
      </c>
      <c r="AX48" s="168">
        <f>(AX31/3.5) + 3</f>
        <v>3</v>
      </c>
      <c r="AY48" s="171">
        <f>(AY31/3.5) + 3</f>
        <v>3</v>
      </c>
      <c r="AZ48" s="171">
        <f>(AZ31/3.5) + 3</f>
        <v>3</v>
      </c>
      <c r="BA48" s="169">
        <f t="shared" ref="BA48" si="11">(BA31/3.5) + 3</f>
        <v>3</v>
      </c>
      <c r="BB48" s="168">
        <f>(BB31/3.5) + 3</f>
        <v>3</v>
      </c>
      <c r="BC48" s="171">
        <f>(BC31/3.5) + 3</f>
        <v>3</v>
      </c>
      <c r="BD48" s="171">
        <f>(BD31/3.5) + 3</f>
        <v>3</v>
      </c>
      <c r="BE48" s="169">
        <f t="shared" ref="BE48" si="12">(BE31/3.5) + 3</f>
        <v>3</v>
      </c>
      <c r="BF48" s="168">
        <f>(BF31/3.5) + 3</f>
        <v>3</v>
      </c>
      <c r="BG48" s="171">
        <f>(BG31/3.5) + 3</f>
        <v>3</v>
      </c>
      <c r="BH48" s="171">
        <f>(BH31/3.5) + 3</f>
        <v>3</v>
      </c>
      <c r="BI48" s="169">
        <f t="shared" ref="BI48" si="13">(BI31/3.5) + 3</f>
        <v>3</v>
      </c>
      <c r="BJ48" s="168">
        <f>(BJ31/3.5) + 3</f>
        <v>3</v>
      </c>
      <c r="BK48" s="171">
        <f>(BK31/3.5) + 3</f>
        <v>3</v>
      </c>
      <c r="BL48" s="171">
        <f>(BL31/3.5) + 3</f>
        <v>3</v>
      </c>
      <c r="BM48" s="169">
        <f t="shared" ref="BM48" si="14">(BM31/3.5) + 3</f>
        <v>3</v>
      </c>
      <c r="BN48" s="168">
        <f>(BN31/3.5) + 3</f>
        <v>3</v>
      </c>
      <c r="BO48" s="171">
        <f>(BO31/3.5) + 3</f>
        <v>3</v>
      </c>
      <c r="BP48" s="171">
        <f>(BP31/3.5) + 3</f>
        <v>3</v>
      </c>
      <c r="BQ48" s="169">
        <f t="shared" ref="BQ48" si="15">(BQ31/3.5) + 3</f>
        <v>3</v>
      </c>
      <c r="BR48" s="168">
        <f>(BR31/3.5) + 3</f>
        <v>3</v>
      </c>
      <c r="BS48" s="171">
        <f>(BS31/3.5) + 3</f>
        <v>3</v>
      </c>
      <c r="BT48" s="171">
        <f>(BT31/3.5) + 3</f>
        <v>3</v>
      </c>
      <c r="BU48" s="169">
        <f t="shared" ref="BU48" si="16">(BU31/3.5) + 3</f>
        <v>3</v>
      </c>
      <c r="BV48" s="168">
        <f>(BV31/3.5) + 3</f>
        <v>3</v>
      </c>
      <c r="BW48" s="171">
        <f>(BW31/3.5) + 3</f>
        <v>3</v>
      </c>
      <c r="BX48" s="171">
        <f>(BX31/3.5) + 3</f>
        <v>3</v>
      </c>
      <c r="BY48" s="169">
        <f t="shared" ref="BY48" si="17">(BY31/3.5) + 3</f>
        <v>3</v>
      </c>
      <c r="BZ48" s="168">
        <f>(BZ31/3.5) + 3</f>
        <v>3</v>
      </c>
      <c r="CA48" s="171">
        <f>(CA31/3.5) + 3</f>
        <v>3</v>
      </c>
      <c r="CB48" s="171">
        <f>(CB31/3.5) + 3</f>
        <v>3</v>
      </c>
      <c r="CC48" s="169">
        <f t="shared" ref="CC48" si="18">(CC31/3.5) + 3</f>
        <v>3</v>
      </c>
      <c r="CD48" s="168">
        <f>(CD31/3.5) + 3</f>
        <v>3</v>
      </c>
      <c r="CE48" s="171">
        <f>(CE31/3.5) + 3</f>
        <v>3</v>
      </c>
      <c r="CF48" s="171">
        <f>(CF31/3.5) + 3</f>
        <v>3</v>
      </c>
      <c r="CG48" s="169">
        <f t="shared" ref="CG48" si="19">(CG31/3.5) + 3</f>
        <v>3</v>
      </c>
      <c r="CH48" s="168">
        <f>(CH31/3.5) + 3</f>
        <v>3</v>
      </c>
      <c r="CI48" s="171">
        <f>(CI31/3.5) + 3</f>
        <v>3</v>
      </c>
      <c r="CJ48" s="171">
        <f>(CJ31/3.5) + 3</f>
        <v>3</v>
      </c>
      <c r="CK48" s="169">
        <f t="shared" ref="CK48" si="20">(CK31/3.5) + 3</f>
        <v>3</v>
      </c>
      <c r="CL48" s="49"/>
      <c r="CM48" s="28"/>
    </row>
    <row r="49" spans="2:91" x14ac:dyDescent="0.25">
      <c r="B49" s="55"/>
      <c r="C49" s="10" t="s">
        <v>283</v>
      </c>
      <c r="D49" s="93" t="s">
        <v>285</v>
      </c>
      <c r="E49" s="125">
        <f t="shared" ref="E49:AJ49" si="21">E16/3600</f>
        <v>0.16666666666666666</v>
      </c>
      <c r="F49" s="164">
        <f t="shared" si="21"/>
        <v>0.42722222222222223</v>
      </c>
      <c r="G49" s="164">
        <f t="shared" si="21"/>
        <v>0.42722222222222223</v>
      </c>
      <c r="H49" s="164">
        <f t="shared" si="21"/>
        <v>0.25277777777777777</v>
      </c>
      <c r="I49" s="164">
        <f t="shared" si="21"/>
        <v>0.25277777777777777</v>
      </c>
      <c r="J49" s="162">
        <f t="shared" si="21"/>
        <v>0</v>
      </c>
      <c r="K49" s="164">
        <f t="shared" si="21"/>
        <v>1.5277777777777777E-2</v>
      </c>
      <c r="L49" s="164">
        <f t="shared" si="21"/>
        <v>0.22194444444444444</v>
      </c>
      <c r="M49" s="163">
        <f t="shared" si="21"/>
        <v>0.22194444444444444</v>
      </c>
      <c r="N49" s="168">
        <f t="shared" si="21"/>
        <v>0</v>
      </c>
      <c r="O49" s="171">
        <f t="shared" si="21"/>
        <v>0</v>
      </c>
      <c r="P49" s="171">
        <f t="shared" si="21"/>
        <v>0</v>
      </c>
      <c r="Q49" s="169">
        <f t="shared" si="21"/>
        <v>0</v>
      </c>
      <c r="R49" s="168">
        <f t="shared" si="21"/>
        <v>0</v>
      </c>
      <c r="S49" s="171">
        <f t="shared" si="21"/>
        <v>0</v>
      </c>
      <c r="T49" s="171">
        <f t="shared" si="21"/>
        <v>0</v>
      </c>
      <c r="U49" s="169">
        <f t="shared" si="21"/>
        <v>0</v>
      </c>
      <c r="V49" s="168">
        <f t="shared" si="21"/>
        <v>0</v>
      </c>
      <c r="W49" s="171">
        <f t="shared" si="21"/>
        <v>0</v>
      </c>
      <c r="X49" s="171">
        <f t="shared" si="21"/>
        <v>0</v>
      </c>
      <c r="Y49" s="169">
        <f t="shared" si="21"/>
        <v>0</v>
      </c>
      <c r="Z49" s="168">
        <f t="shared" si="21"/>
        <v>0</v>
      </c>
      <c r="AA49" s="171">
        <f t="shared" si="21"/>
        <v>0</v>
      </c>
      <c r="AB49" s="171">
        <f t="shared" si="21"/>
        <v>0</v>
      </c>
      <c r="AC49" s="169">
        <f t="shared" si="21"/>
        <v>0</v>
      </c>
      <c r="AD49" s="168">
        <f t="shared" si="21"/>
        <v>0</v>
      </c>
      <c r="AE49" s="171">
        <f t="shared" si="21"/>
        <v>0</v>
      </c>
      <c r="AF49" s="171">
        <f t="shared" si="21"/>
        <v>0</v>
      </c>
      <c r="AG49" s="169">
        <f t="shared" si="21"/>
        <v>0</v>
      </c>
      <c r="AH49" s="168">
        <f t="shared" si="21"/>
        <v>0</v>
      </c>
      <c r="AI49" s="171">
        <f t="shared" si="21"/>
        <v>0</v>
      </c>
      <c r="AJ49" s="171">
        <f t="shared" si="21"/>
        <v>0</v>
      </c>
      <c r="AK49" s="169">
        <f t="shared" ref="AK49:BP49" si="22">AK16/3600</f>
        <v>0</v>
      </c>
      <c r="AL49" s="168">
        <f t="shared" si="22"/>
        <v>0</v>
      </c>
      <c r="AM49" s="171">
        <f t="shared" si="22"/>
        <v>0</v>
      </c>
      <c r="AN49" s="171">
        <f t="shared" si="22"/>
        <v>0</v>
      </c>
      <c r="AO49" s="169">
        <f t="shared" si="22"/>
        <v>0</v>
      </c>
      <c r="AP49" s="168">
        <f t="shared" si="22"/>
        <v>0</v>
      </c>
      <c r="AQ49" s="171">
        <f t="shared" si="22"/>
        <v>0</v>
      </c>
      <c r="AR49" s="171">
        <f t="shared" si="22"/>
        <v>0</v>
      </c>
      <c r="AS49" s="169">
        <f t="shared" si="22"/>
        <v>0</v>
      </c>
      <c r="AT49" s="168">
        <f t="shared" si="22"/>
        <v>0</v>
      </c>
      <c r="AU49" s="171">
        <f t="shared" si="22"/>
        <v>0</v>
      </c>
      <c r="AV49" s="171">
        <f t="shared" si="22"/>
        <v>0</v>
      </c>
      <c r="AW49" s="169">
        <f t="shared" si="22"/>
        <v>0</v>
      </c>
      <c r="AX49" s="168">
        <f t="shared" si="22"/>
        <v>0</v>
      </c>
      <c r="AY49" s="171">
        <f t="shared" si="22"/>
        <v>0</v>
      </c>
      <c r="AZ49" s="171">
        <f t="shared" si="22"/>
        <v>0</v>
      </c>
      <c r="BA49" s="169">
        <f t="shared" si="22"/>
        <v>0</v>
      </c>
      <c r="BB49" s="168">
        <f t="shared" si="22"/>
        <v>0</v>
      </c>
      <c r="BC49" s="171">
        <f t="shared" si="22"/>
        <v>0</v>
      </c>
      <c r="BD49" s="171">
        <f t="shared" si="22"/>
        <v>0</v>
      </c>
      <c r="BE49" s="169">
        <f t="shared" si="22"/>
        <v>0</v>
      </c>
      <c r="BF49" s="168">
        <f t="shared" si="22"/>
        <v>0</v>
      </c>
      <c r="BG49" s="171">
        <f t="shared" si="22"/>
        <v>0</v>
      </c>
      <c r="BH49" s="171">
        <f t="shared" si="22"/>
        <v>0</v>
      </c>
      <c r="BI49" s="169">
        <f t="shared" si="22"/>
        <v>0</v>
      </c>
      <c r="BJ49" s="168">
        <f t="shared" si="22"/>
        <v>0</v>
      </c>
      <c r="BK49" s="171">
        <f t="shared" si="22"/>
        <v>0</v>
      </c>
      <c r="BL49" s="171">
        <f t="shared" si="22"/>
        <v>0</v>
      </c>
      <c r="BM49" s="169">
        <f t="shared" si="22"/>
        <v>0</v>
      </c>
      <c r="BN49" s="168">
        <f t="shared" si="22"/>
        <v>0</v>
      </c>
      <c r="BO49" s="171">
        <f t="shared" si="22"/>
        <v>0</v>
      </c>
      <c r="BP49" s="171">
        <f t="shared" si="22"/>
        <v>0</v>
      </c>
      <c r="BQ49" s="169">
        <f t="shared" ref="BQ49:CK49" si="23">BQ16/3600</f>
        <v>0</v>
      </c>
      <c r="BR49" s="168">
        <f t="shared" si="23"/>
        <v>0</v>
      </c>
      <c r="BS49" s="171">
        <f t="shared" si="23"/>
        <v>0</v>
      </c>
      <c r="BT49" s="171">
        <f t="shared" si="23"/>
        <v>0</v>
      </c>
      <c r="BU49" s="169">
        <f t="shared" si="23"/>
        <v>0</v>
      </c>
      <c r="BV49" s="168">
        <f t="shared" si="23"/>
        <v>0</v>
      </c>
      <c r="BW49" s="171">
        <f t="shared" si="23"/>
        <v>0</v>
      </c>
      <c r="BX49" s="171">
        <f t="shared" si="23"/>
        <v>0</v>
      </c>
      <c r="BY49" s="169">
        <f t="shared" si="23"/>
        <v>0</v>
      </c>
      <c r="BZ49" s="168">
        <f t="shared" si="23"/>
        <v>0</v>
      </c>
      <c r="CA49" s="171">
        <f t="shared" si="23"/>
        <v>0</v>
      </c>
      <c r="CB49" s="171">
        <f t="shared" si="23"/>
        <v>0</v>
      </c>
      <c r="CC49" s="169">
        <f t="shared" si="23"/>
        <v>0</v>
      </c>
      <c r="CD49" s="168">
        <f t="shared" si="23"/>
        <v>0</v>
      </c>
      <c r="CE49" s="171">
        <f t="shared" si="23"/>
        <v>0</v>
      </c>
      <c r="CF49" s="171">
        <f t="shared" si="23"/>
        <v>0</v>
      </c>
      <c r="CG49" s="169">
        <f t="shared" si="23"/>
        <v>0</v>
      </c>
      <c r="CH49" s="168">
        <f t="shared" si="23"/>
        <v>0</v>
      </c>
      <c r="CI49" s="171">
        <f t="shared" si="23"/>
        <v>0</v>
      </c>
      <c r="CJ49" s="171">
        <f t="shared" si="23"/>
        <v>0</v>
      </c>
      <c r="CK49" s="169">
        <f t="shared" si="23"/>
        <v>0</v>
      </c>
      <c r="CL49" s="49"/>
      <c r="CM49" s="28"/>
    </row>
    <row r="50" spans="2:91" ht="14.25" x14ac:dyDescent="0.25">
      <c r="B50" s="55"/>
      <c r="C50" s="10" t="s">
        <v>281</v>
      </c>
      <c r="D50" s="93" t="s">
        <v>284</v>
      </c>
      <c r="E50" s="125">
        <f t="shared" ref="E50:AJ50" si="24">E20/3600</f>
        <v>2.7777777777777776E-2</v>
      </c>
      <c r="F50" s="164">
        <f t="shared" si="24"/>
        <v>2.7777777777777776E-2</v>
      </c>
      <c r="G50" s="164">
        <f t="shared" si="24"/>
        <v>2.7777777777777776E-2</v>
      </c>
      <c r="H50" s="164">
        <f t="shared" si="24"/>
        <v>2.7777777777777776E-2</v>
      </c>
      <c r="I50" s="164">
        <f t="shared" si="24"/>
        <v>2.7777777777777776E-2</v>
      </c>
      <c r="J50" s="162">
        <f t="shared" si="24"/>
        <v>0</v>
      </c>
      <c r="K50" s="164">
        <f t="shared" si="24"/>
        <v>4.5277777777777778E-2</v>
      </c>
      <c r="L50" s="164">
        <f t="shared" si="24"/>
        <v>2.7777777777777776E-2</v>
      </c>
      <c r="M50" s="163">
        <f t="shared" si="24"/>
        <v>0</v>
      </c>
      <c r="N50" s="168">
        <f t="shared" si="24"/>
        <v>0</v>
      </c>
      <c r="O50" s="171">
        <f t="shared" si="24"/>
        <v>0</v>
      </c>
      <c r="P50" s="171">
        <f t="shared" si="24"/>
        <v>0</v>
      </c>
      <c r="Q50" s="169">
        <f t="shared" si="24"/>
        <v>0</v>
      </c>
      <c r="R50" s="168">
        <f t="shared" si="24"/>
        <v>0</v>
      </c>
      <c r="S50" s="171">
        <f t="shared" si="24"/>
        <v>0</v>
      </c>
      <c r="T50" s="171">
        <f t="shared" si="24"/>
        <v>0</v>
      </c>
      <c r="U50" s="169">
        <f t="shared" si="24"/>
        <v>0</v>
      </c>
      <c r="V50" s="168">
        <f t="shared" si="24"/>
        <v>0</v>
      </c>
      <c r="W50" s="171">
        <f t="shared" si="24"/>
        <v>0</v>
      </c>
      <c r="X50" s="171">
        <f t="shared" si="24"/>
        <v>0</v>
      </c>
      <c r="Y50" s="169">
        <f t="shared" si="24"/>
        <v>0</v>
      </c>
      <c r="Z50" s="168">
        <f t="shared" si="24"/>
        <v>0</v>
      </c>
      <c r="AA50" s="171">
        <f t="shared" si="24"/>
        <v>0</v>
      </c>
      <c r="AB50" s="171">
        <f t="shared" si="24"/>
        <v>0</v>
      </c>
      <c r="AC50" s="169">
        <f t="shared" si="24"/>
        <v>0</v>
      </c>
      <c r="AD50" s="168">
        <f t="shared" si="24"/>
        <v>0</v>
      </c>
      <c r="AE50" s="171">
        <f t="shared" si="24"/>
        <v>0</v>
      </c>
      <c r="AF50" s="171">
        <f t="shared" si="24"/>
        <v>0</v>
      </c>
      <c r="AG50" s="169">
        <f t="shared" si="24"/>
        <v>0</v>
      </c>
      <c r="AH50" s="168">
        <f t="shared" si="24"/>
        <v>0</v>
      </c>
      <c r="AI50" s="171">
        <f t="shared" si="24"/>
        <v>0</v>
      </c>
      <c r="AJ50" s="171">
        <f t="shared" si="24"/>
        <v>0</v>
      </c>
      <c r="AK50" s="169">
        <f t="shared" ref="AK50:BP50" si="25">AK20/3600</f>
        <v>0</v>
      </c>
      <c r="AL50" s="168">
        <f t="shared" si="25"/>
        <v>0</v>
      </c>
      <c r="AM50" s="171">
        <f t="shared" si="25"/>
        <v>0</v>
      </c>
      <c r="AN50" s="171">
        <f t="shared" si="25"/>
        <v>0</v>
      </c>
      <c r="AO50" s="169">
        <f t="shared" si="25"/>
        <v>0</v>
      </c>
      <c r="AP50" s="168">
        <f t="shared" si="25"/>
        <v>0</v>
      </c>
      <c r="AQ50" s="171">
        <f t="shared" si="25"/>
        <v>0</v>
      </c>
      <c r="AR50" s="171">
        <f t="shared" si="25"/>
        <v>0</v>
      </c>
      <c r="AS50" s="169">
        <f t="shared" si="25"/>
        <v>0</v>
      </c>
      <c r="AT50" s="168">
        <f t="shared" si="25"/>
        <v>0</v>
      </c>
      <c r="AU50" s="171">
        <f t="shared" si="25"/>
        <v>0</v>
      </c>
      <c r="AV50" s="171">
        <f t="shared" si="25"/>
        <v>0</v>
      </c>
      <c r="AW50" s="169">
        <f t="shared" si="25"/>
        <v>0</v>
      </c>
      <c r="AX50" s="168">
        <f t="shared" si="25"/>
        <v>0</v>
      </c>
      <c r="AY50" s="171">
        <f t="shared" si="25"/>
        <v>0</v>
      </c>
      <c r="AZ50" s="171">
        <f t="shared" si="25"/>
        <v>0</v>
      </c>
      <c r="BA50" s="169">
        <f t="shared" si="25"/>
        <v>0</v>
      </c>
      <c r="BB50" s="168">
        <f t="shared" si="25"/>
        <v>0</v>
      </c>
      <c r="BC50" s="171">
        <f t="shared" si="25"/>
        <v>0</v>
      </c>
      <c r="BD50" s="171">
        <f t="shared" si="25"/>
        <v>0</v>
      </c>
      <c r="BE50" s="169">
        <f t="shared" si="25"/>
        <v>0</v>
      </c>
      <c r="BF50" s="168">
        <f t="shared" si="25"/>
        <v>0</v>
      </c>
      <c r="BG50" s="171">
        <f t="shared" si="25"/>
        <v>0</v>
      </c>
      <c r="BH50" s="171">
        <f t="shared" si="25"/>
        <v>0</v>
      </c>
      <c r="BI50" s="169">
        <f t="shared" si="25"/>
        <v>0</v>
      </c>
      <c r="BJ50" s="168">
        <f t="shared" si="25"/>
        <v>0</v>
      </c>
      <c r="BK50" s="171">
        <f t="shared" si="25"/>
        <v>0</v>
      </c>
      <c r="BL50" s="171">
        <f t="shared" si="25"/>
        <v>0</v>
      </c>
      <c r="BM50" s="169">
        <f t="shared" si="25"/>
        <v>0</v>
      </c>
      <c r="BN50" s="168">
        <f t="shared" si="25"/>
        <v>0</v>
      </c>
      <c r="BO50" s="171">
        <f t="shared" si="25"/>
        <v>0</v>
      </c>
      <c r="BP50" s="171">
        <f t="shared" si="25"/>
        <v>0</v>
      </c>
      <c r="BQ50" s="169">
        <f t="shared" ref="BQ50:CK50" si="26">BQ20/3600</f>
        <v>0</v>
      </c>
      <c r="BR50" s="168">
        <f t="shared" si="26"/>
        <v>0</v>
      </c>
      <c r="BS50" s="171">
        <f t="shared" si="26"/>
        <v>0</v>
      </c>
      <c r="BT50" s="171">
        <f t="shared" si="26"/>
        <v>0</v>
      </c>
      <c r="BU50" s="169">
        <f t="shared" si="26"/>
        <v>0</v>
      </c>
      <c r="BV50" s="168">
        <f t="shared" si="26"/>
        <v>0</v>
      </c>
      <c r="BW50" s="171">
        <f t="shared" si="26"/>
        <v>0</v>
      </c>
      <c r="BX50" s="171">
        <f t="shared" si="26"/>
        <v>0</v>
      </c>
      <c r="BY50" s="169">
        <f t="shared" si="26"/>
        <v>0</v>
      </c>
      <c r="BZ50" s="168">
        <f t="shared" si="26"/>
        <v>0</v>
      </c>
      <c r="CA50" s="171">
        <f t="shared" si="26"/>
        <v>0</v>
      </c>
      <c r="CB50" s="171">
        <f t="shared" si="26"/>
        <v>0</v>
      </c>
      <c r="CC50" s="169">
        <f t="shared" si="26"/>
        <v>0</v>
      </c>
      <c r="CD50" s="168">
        <f t="shared" si="26"/>
        <v>0</v>
      </c>
      <c r="CE50" s="171">
        <f t="shared" si="26"/>
        <v>0</v>
      </c>
      <c r="CF50" s="171">
        <f t="shared" si="26"/>
        <v>0</v>
      </c>
      <c r="CG50" s="169">
        <f t="shared" si="26"/>
        <v>0</v>
      </c>
      <c r="CH50" s="168">
        <f t="shared" si="26"/>
        <v>0</v>
      </c>
      <c r="CI50" s="171">
        <f t="shared" si="26"/>
        <v>0</v>
      </c>
      <c r="CJ50" s="171">
        <f t="shared" si="26"/>
        <v>0</v>
      </c>
      <c r="CK50" s="169">
        <f t="shared" si="26"/>
        <v>0</v>
      </c>
      <c r="CL50" s="49"/>
      <c r="CM50" s="28"/>
    </row>
    <row r="51" spans="2:91" ht="14.25" x14ac:dyDescent="0.25">
      <c r="B51" s="55"/>
      <c r="C51" s="10" t="s">
        <v>278</v>
      </c>
      <c r="D51" s="93" t="s">
        <v>286</v>
      </c>
      <c r="E51" s="125">
        <f t="shared" ref="E51:M51" si="27">MAX(8*E52/E30,1)</f>
        <v>2.3970300963621431</v>
      </c>
      <c r="F51" s="162">
        <f t="shared" si="27"/>
        <v>962.03422947808122</v>
      </c>
      <c r="G51" s="164">
        <f t="shared" si="27"/>
        <v>962.03422947808122</v>
      </c>
      <c r="H51" s="164">
        <f t="shared" si="27"/>
        <v>8.3971377584595732</v>
      </c>
      <c r="I51" s="163">
        <f t="shared" si="27"/>
        <v>8.3971377584595732</v>
      </c>
      <c r="J51" s="162" t="e">
        <f t="shared" si="27"/>
        <v>#DIV/0!</v>
      </c>
      <c r="K51" s="164">
        <f t="shared" si="27"/>
        <v>1</v>
      </c>
      <c r="L51" s="164">
        <f t="shared" si="27"/>
        <v>5.3792612389096677</v>
      </c>
      <c r="M51" s="163" t="e">
        <f t="shared" si="27"/>
        <v>#DIV/0!</v>
      </c>
      <c r="N51" s="168" t="e">
        <f t="shared" ref="N51" si="28">MAX(8*N52/N30,1)</f>
        <v>#DIV/0!</v>
      </c>
      <c r="O51" s="171" t="e">
        <f t="shared" ref="O51" si="29">MAX(8*O52/O30,1)</f>
        <v>#DIV/0!</v>
      </c>
      <c r="P51" s="171" t="e">
        <f t="shared" ref="P51" si="30">MAX(8*P52/P30,1)</f>
        <v>#DIV/0!</v>
      </c>
      <c r="Q51" s="169" t="e">
        <f t="shared" ref="Q51" si="31">MAX(8*Q52/Q30,1)</f>
        <v>#DIV/0!</v>
      </c>
      <c r="R51" s="168" t="e">
        <f t="shared" ref="R51" si="32">MAX(8*R52/R30,1)</f>
        <v>#DIV/0!</v>
      </c>
      <c r="S51" s="171" t="e">
        <f t="shared" ref="S51" si="33">MAX(8*S52/S30,1)</f>
        <v>#DIV/0!</v>
      </c>
      <c r="T51" s="171" t="e">
        <f t="shared" ref="T51" si="34">MAX(8*T52/T30,1)</f>
        <v>#DIV/0!</v>
      </c>
      <c r="U51" s="169" t="e">
        <f t="shared" ref="U51" si="35">MAX(8*U52/U30,1)</f>
        <v>#DIV/0!</v>
      </c>
      <c r="V51" s="168" t="e">
        <f t="shared" ref="V51" si="36">MAX(8*V52/V30,1)</f>
        <v>#DIV/0!</v>
      </c>
      <c r="W51" s="171" t="e">
        <f t="shared" ref="W51" si="37">MAX(8*W52/W30,1)</f>
        <v>#DIV/0!</v>
      </c>
      <c r="X51" s="171" t="e">
        <f t="shared" ref="X51" si="38">MAX(8*X52/X30,1)</f>
        <v>#DIV/0!</v>
      </c>
      <c r="Y51" s="169" t="e">
        <f t="shared" ref="Y51" si="39">MAX(8*Y52/Y30,1)</f>
        <v>#DIV/0!</v>
      </c>
      <c r="Z51" s="168" t="e">
        <f t="shared" ref="Z51" si="40">MAX(8*Z52/Z30,1)</f>
        <v>#DIV/0!</v>
      </c>
      <c r="AA51" s="171" t="e">
        <f t="shared" ref="AA51" si="41">MAX(8*AA52/AA30,1)</f>
        <v>#DIV/0!</v>
      </c>
      <c r="AB51" s="171" t="e">
        <f t="shared" ref="AB51" si="42">MAX(8*AB52/AB30,1)</f>
        <v>#DIV/0!</v>
      </c>
      <c r="AC51" s="169" t="e">
        <f t="shared" ref="AC51" si="43">MAX(8*AC52/AC30,1)</f>
        <v>#DIV/0!</v>
      </c>
      <c r="AD51" s="168" t="e">
        <f t="shared" ref="AD51" si="44">MAX(8*AD52/AD30,1)</f>
        <v>#DIV/0!</v>
      </c>
      <c r="AE51" s="171" t="e">
        <f t="shared" ref="AE51" si="45">MAX(8*AE52/AE30,1)</f>
        <v>#DIV/0!</v>
      </c>
      <c r="AF51" s="171" t="e">
        <f t="shared" ref="AF51" si="46">MAX(8*AF52/AF30,1)</f>
        <v>#DIV/0!</v>
      </c>
      <c r="AG51" s="169" t="e">
        <f t="shared" ref="AG51" si="47">MAX(8*AG52/AG30,1)</f>
        <v>#DIV/0!</v>
      </c>
      <c r="AH51" s="168" t="e">
        <f t="shared" ref="AH51" si="48">MAX(8*AH52/AH30,1)</f>
        <v>#DIV/0!</v>
      </c>
      <c r="AI51" s="171" t="e">
        <f t="shared" ref="AI51" si="49">MAX(8*AI52/AI30,1)</f>
        <v>#DIV/0!</v>
      </c>
      <c r="AJ51" s="171" t="e">
        <f t="shared" ref="AJ51" si="50">MAX(8*AJ52/AJ30,1)</f>
        <v>#DIV/0!</v>
      </c>
      <c r="AK51" s="169" t="e">
        <f t="shared" ref="AK51" si="51">MAX(8*AK52/AK30,1)</f>
        <v>#DIV/0!</v>
      </c>
      <c r="AL51" s="168" t="e">
        <f t="shared" ref="AL51" si="52">MAX(8*AL52/AL30,1)</f>
        <v>#DIV/0!</v>
      </c>
      <c r="AM51" s="171" t="e">
        <f t="shared" ref="AM51" si="53">MAX(8*AM52/AM30,1)</f>
        <v>#DIV/0!</v>
      </c>
      <c r="AN51" s="171" t="e">
        <f t="shared" ref="AN51" si="54">MAX(8*AN52/AN30,1)</f>
        <v>#DIV/0!</v>
      </c>
      <c r="AO51" s="169" t="e">
        <f t="shared" ref="AO51" si="55">MAX(8*AO52/AO30,1)</f>
        <v>#DIV/0!</v>
      </c>
      <c r="AP51" s="168" t="e">
        <f t="shared" ref="AP51" si="56">MAX(8*AP52/AP30,1)</f>
        <v>#DIV/0!</v>
      </c>
      <c r="AQ51" s="171" t="e">
        <f t="shared" ref="AQ51" si="57">MAX(8*AQ52/AQ30,1)</f>
        <v>#DIV/0!</v>
      </c>
      <c r="AR51" s="171" t="e">
        <f t="shared" ref="AR51" si="58">MAX(8*AR52/AR30,1)</f>
        <v>#DIV/0!</v>
      </c>
      <c r="AS51" s="169" t="e">
        <f t="shared" ref="AS51" si="59">MAX(8*AS52/AS30,1)</f>
        <v>#DIV/0!</v>
      </c>
      <c r="AT51" s="168" t="e">
        <f t="shared" ref="AT51" si="60">MAX(8*AT52/AT30,1)</f>
        <v>#DIV/0!</v>
      </c>
      <c r="AU51" s="171" t="e">
        <f t="shared" ref="AU51" si="61">MAX(8*AU52/AU30,1)</f>
        <v>#DIV/0!</v>
      </c>
      <c r="AV51" s="171" t="e">
        <f t="shared" ref="AV51" si="62">MAX(8*AV52/AV30,1)</f>
        <v>#DIV/0!</v>
      </c>
      <c r="AW51" s="169" t="e">
        <f t="shared" ref="AW51" si="63">MAX(8*AW52/AW30,1)</f>
        <v>#DIV/0!</v>
      </c>
      <c r="AX51" s="168" t="e">
        <f t="shared" ref="AX51" si="64">MAX(8*AX52/AX30,1)</f>
        <v>#DIV/0!</v>
      </c>
      <c r="AY51" s="171" t="e">
        <f t="shared" ref="AY51" si="65">MAX(8*AY52/AY30,1)</f>
        <v>#DIV/0!</v>
      </c>
      <c r="AZ51" s="171" t="e">
        <f t="shared" ref="AZ51" si="66">MAX(8*AZ52/AZ30,1)</f>
        <v>#DIV/0!</v>
      </c>
      <c r="BA51" s="169" t="e">
        <f t="shared" ref="BA51" si="67">MAX(8*BA52/BA30,1)</f>
        <v>#DIV/0!</v>
      </c>
      <c r="BB51" s="168" t="e">
        <f t="shared" ref="BB51" si="68">MAX(8*BB52/BB30,1)</f>
        <v>#DIV/0!</v>
      </c>
      <c r="BC51" s="171" t="e">
        <f t="shared" ref="BC51" si="69">MAX(8*BC52/BC30,1)</f>
        <v>#DIV/0!</v>
      </c>
      <c r="BD51" s="171" t="e">
        <f t="shared" ref="BD51" si="70">MAX(8*BD52/BD30,1)</f>
        <v>#DIV/0!</v>
      </c>
      <c r="BE51" s="169" t="e">
        <f t="shared" ref="BE51" si="71">MAX(8*BE52/BE30,1)</f>
        <v>#DIV/0!</v>
      </c>
      <c r="BF51" s="168" t="e">
        <f t="shared" ref="BF51" si="72">MAX(8*BF52/BF30,1)</f>
        <v>#DIV/0!</v>
      </c>
      <c r="BG51" s="171" t="e">
        <f t="shared" ref="BG51" si="73">MAX(8*BG52/BG30,1)</f>
        <v>#DIV/0!</v>
      </c>
      <c r="BH51" s="171" t="e">
        <f t="shared" ref="BH51" si="74">MAX(8*BH52/BH30,1)</f>
        <v>#DIV/0!</v>
      </c>
      <c r="BI51" s="169" t="e">
        <f t="shared" ref="BI51" si="75">MAX(8*BI52/BI30,1)</f>
        <v>#DIV/0!</v>
      </c>
      <c r="BJ51" s="168" t="e">
        <f t="shared" ref="BJ51" si="76">MAX(8*BJ52/BJ30,1)</f>
        <v>#DIV/0!</v>
      </c>
      <c r="BK51" s="171" t="e">
        <f t="shared" ref="BK51" si="77">MAX(8*BK52/BK30,1)</f>
        <v>#DIV/0!</v>
      </c>
      <c r="BL51" s="171" t="e">
        <f t="shared" ref="BL51" si="78">MAX(8*BL52/BL30,1)</f>
        <v>#DIV/0!</v>
      </c>
      <c r="BM51" s="169" t="e">
        <f t="shared" ref="BM51" si="79">MAX(8*BM52/BM30,1)</f>
        <v>#DIV/0!</v>
      </c>
      <c r="BN51" s="168" t="e">
        <f t="shared" ref="BN51" si="80">MAX(8*BN52/BN30,1)</f>
        <v>#DIV/0!</v>
      </c>
      <c r="BO51" s="171" t="e">
        <f t="shared" ref="BO51" si="81">MAX(8*BO52/BO30,1)</f>
        <v>#DIV/0!</v>
      </c>
      <c r="BP51" s="171" t="e">
        <f t="shared" ref="BP51" si="82">MAX(8*BP52/BP30,1)</f>
        <v>#DIV/0!</v>
      </c>
      <c r="BQ51" s="169" t="e">
        <f t="shared" ref="BQ51" si="83">MAX(8*BQ52/BQ30,1)</f>
        <v>#DIV/0!</v>
      </c>
      <c r="BR51" s="168" t="e">
        <f t="shared" ref="BR51" si="84">MAX(8*BR52/BR30,1)</f>
        <v>#DIV/0!</v>
      </c>
      <c r="BS51" s="171" t="e">
        <f t="shared" ref="BS51" si="85">MAX(8*BS52/BS30,1)</f>
        <v>#DIV/0!</v>
      </c>
      <c r="BT51" s="171" t="e">
        <f t="shared" ref="BT51" si="86">MAX(8*BT52/BT30,1)</f>
        <v>#DIV/0!</v>
      </c>
      <c r="BU51" s="169" t="e">
        <f t="shared" ref="BU51" si="87">MAX(8*BU52/BU30,1)</f>
        <v>#DIV/0!</v>
      </c>
      <c r="BV51" s="168" t="e">
        <f t="shared" ref="BV51" si="88">MAX(8*BV52/BV30,1)</f>
        <v>#DIV/0!</v>
      </c>
      <c r="BW51" s="171" t="e">
        <f t="shared" ref="BW51" si="89">MAX(8*BW52/BW30,1)</f>
        <v>#DIV/0!</v>
      </c>
      <c r="BX51" s="171" t="e">
        <f t="shared" ref="BX51" si="90">MAX(8*BX52/BX30,1)</f>
        <v>#DIV/0!</v>
      </c>
      <c r="BY51" s="169" t="e">
        <f t="shared" ref="BY51" si="91">MAX(8*BY52/BY30,1)</f>
        <v>#DIV/0!</v>
      </c>
      <c r="BZ51" s="168" t="e">
        <f t="shared" ref="BZ51" si="92">MAX(8*BZ52/BZ30,1)</f>
        <v>#DIV/0!</v>
      </c>
      <c r="CA51" s="171" t="e">
        <f t="shared" ref="CA51" si="93">MAX(8*CA52/CA30,1)</f>
        <v>#DIV/0!</v>
      </c>
      <c r="CB51" s="171" t="e">
        <f t="shared" ref="CB51" si="94">MAX(8*CB52/CB30,1)</f>
        <v>#DIV/0!</v>
      </c>
      <c r="CC51" s="169" t="e">
        <f t="shared" ref="CC51" si="95">MAX(8*CC52/CC30,1)</f>
        <v>#DIV/0!</v>
      </c>
      <c r="CD51" s="168" t="e">
        <f t="shared" ref="CD51" si="96">MAX(8*CD52/CD30,1)</f>
        <v>#DIV/0!</v>
      </c>
      <c r="CE51" s="171" t="e">
        <f t="shared" ref="CE51" si="97">MAX(8*CE52/CE30,1)</f>
        <v>#DIV/0!</v>
      </c>
      <c r="CF51" s="171" t="e">
        <f t="shared" ref="CF51" si="98">MAX(8*CF52/CF30,1)</f>
        <v>#DIV/0!</v>
      </c>
      <c r="CG51" s="169" t="e">
        <f t="shared" ref="CG51" si="99">MAX(8*CG52/CG30,1)</f>
        <v>#DIV/0!</v>
      </c>
      <c r="CH51" s="168" t="e">
        <f t="shared" ref="CH51" si="100">MAX(8*CH52/CH30,1)</f>
        <v>#DIV/0!</v>
      </c>
      <c r="CI51" s="171" t="e">
        <f t="shared" ref="CI51" si="101">MAX(8*CI52/CI30,1)</f>
        <v>#DIV/0!</v>
      </c>
      <c r="CJ51" s="171" t="e">
        <f t="shared" ref="CJ51" si="102">MAX(8*CJ52/CJ30,1)</f>
        <v>#DIV/0!</v>
      </c>
      <c r="CK51" s="169" t="e">
        <f t="shared" ref="CK51" si="103">MAX(8*CK52/CK30,1)</f>
        <v>#DIV/0!</v>
      </c>
      <c r="CL51" s="49"/>
      <c r="CM51" s="28"/>
    </row>
    <row r="52" spans="2:91" ht="14.25" x14ac:dyDescent="0.25">
      <c r="B52" s="55"/>
      <c r="C52" s="10" t="s">
        <v>277</v>
      </c>
      <c r="D52" s="93" t="s">
        <v>287</v>
      </c>
      <c r="E52" s="125">
        <f>(E50*EXP(E50*E48)+E49*EXP(-E49*E48))/((E50+E49)*EXP((E50-E49)*E48))</f>
        <v>3.5955451445432147</v>
      </c>
      <c r="F52" s="162">
        <f t="shared" ref="F52:M52" si="104">(F50*EXP(F50*F48)+F49*EXP(-F49*F48))/((F50+F49)*EXP((F50-F49)*F48))</f>
        <v>1443.0513442171218</v>
      </c>
      <c r="G52" s="164">
        <f t="shared" si="104"/>
        <v>1443.0513442171218</v>
      </c>
      <c r="H52" s="164">
        <f t="shared" si="104"/>
        <v>12.595706637689361</v>
      </c>
      <c r="I52" s="163">
        <f t="shared" si="104"/>
        <v>12.595706637689361</v>
      </c>
      <c r="J52" s="162" t="e">
        <f t="shared" si="104"/>
        <v>#DIV/0!</v>
      </c>
      <c r="K52" s="164">
        <f t="shared" si="104"/>
        <v>1.0457079977469688</v>
      </c>
      <c r="L52" s="164">
        <f t="shared" si="104"/>
        <v>8.068891858364502</v>
      </c>
      <c r="M52" s="163">
        <f t="shared" si="104"/>
        <v>1</v>
      </c>
      <c r="N52" s="168" t="e">
        <f t="shared" ref="N52:BY52" si="105">(N50*EXP(N50*N48)+N49*EXP(-N49*N48))/((N50+N49)*EXP((N50-N49)*N48))</f>
        <v>#DIV/0!</v>
      </c>
      <c r="O52" s="171" t="e">
        <f t="shared" si="105"/>
        <v>#DIV/0!</v>
      </c>
      <c r="P52" s="171" t="e">
        <f t="shared" si="105"/>
        <v>#DIV/0!</v>
      </c>
      <c r="Q52" s="169" t="e">
        <f t="shared" si="105"/>
        <v>#DIV/0!</v>
      </c>
      <c r="R52" s="168" t="e">
        <f t="shared" si="105"/>
        <v>#DIV/0!</v>
      </c>
      <c r="S52" s="171" t="e">
        <f t="shared" si="105"/>
        <v>#DIV/0!</v>
      </c>
      <c r="T52" s="171" t="e">
        <f t="shared" si="105"/>
        <v>#DIV/0!</v>
      </c>
      <c r="U52" s="169" t="e">
        <f t="shared" si="105"/>
        <v>#DIV/0!</v>
      </c>
      <c r="V52" s="168" t="e">
        <f t="shared" si="105"/>
        <v>#DIV/0!</v>
      </c>
      <c r="W52" s="171" t="e">
        <f t="shared" si="105"/>
        <v>#DIV/0!</v>
      </c>
      <c r="X52" s="171" t="e">
        <f t="shared" si="105"/>
        <v>#DIV/0!</v>
      </c>
      <c r="Y52" s="169" t="e">
        <f t="shared" si="105"/>
        <v>#DIV/0!</v>
      </c>
      <c r="Z52" s="168" t="e">
        <f t="shared" si="105"/>
        <v>#DIV/0!</v>
      </c>
      <c r="AA52" s="171" t="e">
        <f t="shared" si="105"/>
        <v>#DIV/0!</v>
      </c>
      <c r="AB52" s="171" t="e">
        <f t="shared" si="105"/>
        <v>#DIV/0!</v>
      </c>
      <c r="AC52" s="169" t="e">
        <f t="shared" si="105"/>
        <v>#DIV/0!</v>
      </c>
      <c r="AD52" s="168" t="e">
        <f t="shared" si="105"/>
        <v>#DIV/0!</v>
      </c>
      <c r="AE52" s="171" t="e">
        <f t="shared" si="105"/>
        <v>#DIV/0!</v>
      </c>
      <c r="AF52" s="171" t="e">
        <f t="shared" si="105"/>
        <v>#DIV/0!</v>
      </c>
      <c r="AG52" s="169" t="e">
        <f t="shared" si="105"/>
        <v>#DIV/0!</v>
      </c>
      <c r="AH52" s="168" t="e">
        <f t="shared" si="105"/>
        <v>#DIV/0!</v>
      </c>
      <c r="AI52" s="171" t="e">
        <f t="shared" si="105"/>
        <v>#DIV/0!</v>
      </c>
      <c r="AJ52" s="171" t="e">
        <f t="shared" si="105"/>
        <v>#DIV/0!</v>
      </c>
      <c r="AK52" s="169" t="e">
        <f t="shared" si="105"/>
        <v>#DIV/0!</v>
      </c>
      <c r="AL52" s="168" t="e">
        <f t="shared" si="105"/>
        <v>#DIV/0!</v>
      </c>
      <c r="AM52" s="171" t="e">
        <f t="shared" si="105"/>
        <v>#DIV/0!</v>
      </c>
      <c r="AN52" s="171" t="e">
        <f t="shared" si="105"/>
        <v>#DIV/0!</v>
      </c>
      <c r="AO52" s="169" t="e">
        <f t="shared" si="105"/>
        <v>#DIV/0!</v>
      </c>
      <c r="AP52" s="168" t="e">
        <f t="shared" si="105"/>
        <v>#DIV/0!</v>
      </c>
      <c r="AQ52" s="171" t="e">
        <f t="shared" si="105"/>
        <v>#DIV/0!</v>
      </c>
      <c r="AR52" s="171" t="e">
        <f t="shared" si="105"/>
        <v>#DIV/0!</v>
      </c>
      <c r="AS52" s="169" t="e">
        <f t="shared" si="105"/>
        <v>#DIV/0!</v>
      </c>
      <c r="AT52" s="168" t="e">
        <f t="shared" si="105"/>
        <v>#DIV/0!</v>
      </c>
      <c r="AU52" s="171" t="e">
        <f t="shared" si="105"/>
        <v>#DIV/0!</v>
      </c>
      <c r="AV52" s="171" t="e">
        <f t="shared" si="105"/>
        <v>#DIV/0!</v>
      </c>
      <c r="AW52" s="169" t="e">
        <f t="shared" si="105"/>
        <v>#DIV/0!</v>
      </c>
      <c r="AX52" s="168" t="e">
        <f t="shared" si="105"/>
        <v>#DIV/0!</v>
      </c>
      <c r="AY52" s="171" t="e">
        <f t="shared" si="105"/>
        <v>#DIV/0!</v>
      </c>
      <c r="AZ52" s="171" t="e">
        <f t="shared" si="105"/>
        <v>#DIV/0!</v>
      </c>
      <c r="BA52" s="169" t="e">
        <f t="shared" si="105"/>
        <v>#DIV/0!</v>
      </c>
      <c r="BB52" s="168" t="e">
        <f t="shared" si="105"/>
        <v>#DIV/0!</v>
      </c>
      <c r="BC52" s="171" t="e">
        <f t="shared" si="105"/>
        <v>#DIV/0!</v>
      </c>
      <c r="BD52" s="171" t="e">
        <f t="shared" si="105"/>
        <v>#DIV/0!</v>
      </c>
      <c r="BE52" s="169" t="e">
        <f t="shared" si="105"/>
        <v>#DIV/0!</v>
      </c>
      <c r="BF52" s="168" t="e">
        <f t="shared" si="105"/>
        <v>#DIV/0!</v>
      </c>
      <c r="BG52" s="171" t="e">
        <f t="shared" si="105"/>
        <v>#DIV/0!</v>
      </c>
      <c r="BH52" s="171" t="e">
        <f t="shared" si="105"/>
        <v>#DIV/0!</v>
      </c>
      <c r="BI52" s="169" t="e">
        <f t="shared" si="105"/>
        <v>#DIV/0!</v>
      </c>
      <c r="BJ52" s="168" t="e">
        <f t="shared" si="105"/>
        <v>#DIV/0!</v>
      </c>
      <c r="BK52" s="171" t="e">
        <f t="shared" si="105"/>
        <v>#DIV/0!</v>
      </c>
      <c r="BL52" s="171" t="e">
        <f t="shared" si="105"/>
        <v>#DIV/0!</v>
      </c>
      <c r="BM52" s="169" t="e">
        <f t="shared" si="105"/>
        <v>#DIV/0!</v>
      </c>
      <c r="BN52" s="168" t="e">
        <f t="shared" si="105"/>
        <v>#DIV/0!</v>
      </c>
      <c r="BO52" s="171" t="e">
        <f t="shared" si="105"/>
        <v>#DIV/0!</v>
      </c>
      <c r="BP52" s="171" t="e">
        <f t="shared" si="105"/>
        <v>#DIV/0!</v>
      </c>
      <c r="BQ52" s="169" t="e">
        <f t="shared" si="105"/>
        <v>#DIV/0!</v>
      </c>
      <c r="BR52" s="168" t="e">
        <f t="shared" si="105"/>
        <v>#DIV/0!</v>
      </c>
      <c r="BS52" s="171" t="e">
        <f t="shared" si="105"/>
        <v>#DIV/0!</v>
      </c>
      <c r="BT52" s="171" t="e">
        <f t="shared" si="105"/>
        <v>#DIV/0!</v>
      </c>
      <c r="BU52" s="169" t="e">
        <f t="shared" si="105"/>
        <v>#DIV/0!</v>
      </c>
      <c r="BV52" s="168" t="e">
        <f t="shared" si="105"/>
        <v>#DIV/0!</v>
      </c>
      <c r="BW52" s="171" t="e">
        <f t="shared" si="105"/>
        <v>#DIV/0!</v>
      </c>
      <c r="BX52" s="171" t="e">
        <f t="shared" si="105"/>
        <v>#DIV/0!</v>
      </c>
      <c r="BY52" s="169" t="e">
        <f t="shared" si="105"/>
        <v>#DIV/0!</v>
      </c>
      <c r="BZ52" s="168" t="e">
        <f t="shared" ref="BZ52:CK52" si="106">(BZ50*EXP(BZ50*BZ48)+BZ49*EXP(-BZ49*BZ48))/((BZ50+BZ49)*EXP((BZ50-BZ49)*BZ48))</f>
        <v>#DIV/0!</v>
      </c>
      <c r="CA52" s="171" t="e">
        <f t="shared" si="106"/>
        <v>#DIV/0!</v>
      </c>
      <c r="CB52" s="171" t="e">
        <f t="shared" si="106"/>
        <v>#DIV/0!</v>
      </c>
      <c r="CC52" s="169" t="e">
        <f t="shared" si="106"/>
        <v>#DIV/0!</v>
      </c>
      <c r="CD52" s="168" t="e">
        <f t="shared" si="106"/>
        <v>#DIV/0!</v>
      </c>
      <c r="CE52" s="171" t="e">
        <f t="shared" si="106"/>
        <v>#DIV/0!</v>
      </c>
      <c r="CF52" s="171" t="e">
        <f t="shared" si="106"/>
        <v>#DIV/0!</v>
      </c>
      <c r="CG52" s="169" t="e">
        <f t="shared" si="106"/>
        <v>#DIV/0!</v>
      </c>
      <c r="CH52" s="168" t="e">
        <f t="shared" si="106"/>
        <v>#DIV/0!</v>
      </c>
      <c r="CI52" s="171" t="e">
        <f t="shared" si="106"/>
        <v>#DIV/0!</v>
      </c>
      <c r="CJ52" s="171" t="e">
        <f t="shared" si="106"/>
        <v>#DIV/0!</v>
      </c>
      <c r="CK52" s="169" t="e">
        <f t="shared" si="106"/>
        <v>#DIV/0!</v>
      </c>
      <c r="CL52" s="49"/>
      <c r="CM52" s="28"/>
    </row>
    <row r="53" spans="2:91" ht="14.25" x14ac:dyDescent="0.25">
      <c r="B53" s="55"/>
      <c r="C53" s="10" t="s">
        <v>279</v>
      </c>
      <c r="D53" s="93" t="s">
        <v>288</v>
      </c>
      <c r="E53" s="125">
        <f t="shared" ref="E53:L53" si="107">E48+2*(E51-1)</f>
        <v>21.222631621295719</v>
      </c>
      <c r="F53" s="162">
        <f>F48+2*(F51-1)</f>
        <v>1945.6398875275911</v>
      </c>
      <c r="G53" s="164">
        <f t="shared" si="107"/>
        <v>1945.6398875275911</v>
      </c>
      <c r="H53" s="164">
        <f t="shared" si="107"/>
        <v>33.794275516919143</v>
      </c>
      <c r="I53" s="163">
        <f t="shared" si="107"/>
        <v>33.794275516919143</v>
      </c>
      <c r="J53" s="162" t="e">
        <f t="shared" si="107"/>
        <v>#DIV/0!</v>
      </c>
      <c r="K53" s="164">
        <f t="shared" si="107"/>
        <v>12.142857142857142</v>
      </c>
      <c r="L53" s="164">
        <f t="shared" si="107"/>
        <v>27.758522477819334</v>
      </c>
      <c r="M53" s="163" t="e">
        <f>M48+2*(M51-1)</f>
        <v>#DIV/0!</v>
      </c>
      <c r="N53" s="168" t="e">
        <f t="shared" ref="N53:P53" si="108">N48+2*(N51-1)</f>
        <v>#DIV/0!</v>
      </c>
      <c r="O53" s="171" t="e">
        <f t="shared" si="108"/>
        <v>#DIV/0!</v>
      </c>
      <c r="P53" s="171" t="e">
        <f t="shared" si="108"/>
        <v>#DIV/0!</v>
      </c>
      <c r="Q53" s="169" t="e">
        <f>Q48+2*(Q51-1)</f>
        <v>#DIV/0!</v>
      </c>
      <c r="R53" s="168" t="e">
        <f t="shared" ref="R53:T53" si="109">R48+2*(R51-1)</f>
        <v>#DIV/0!</v>
      </c>
      <c r="S53" s="171" t="e">
        <f t="shared" si="109"/>
        <v>#DIV/0!</v>
      </c>
      <c r="T53" s="171" t="e">
        <f t="shared" si="109"/>
        <v>#DIV/0!</v>
      </c>
      <c r="U53" s="169" t="e">
        <f>U48+2*(U51-1)</f>
        <v>#DIV/0!</v>
      </c>
      <c r="V53" s="168" t="e">
        <f t="shared" ref="V53:X53" si="110">V48+2*(V51-1)</f>
        <v>#DIV/0!</v>
      </c>
      <c r="W53" s="171" t="e">
        <f t="shared" si="110"/>
        <v>#DIV/0!</v>
      </c>
      <c r="X53" s="171" t="e">
        <f t="shared" si="110"/>
        <v>#DIV/0!</v>
      </c>
      <c r="Y53" s="169" t="e">
        <f>Y48+2*(Y51-1)</f>
        <v>#DIV/0!</v>
      </c>
      <c r="Z53" s="168" t="e">
        <f t="shared" ref="Z53:AB53" si="111">Z48+2*(Z51-1)</f>
        <v>#DIV/0!</v>
      </c>
      <c r="AA53" s="171" t="e">
        <f t="shared" si="111"/>
        <v>#DIV/0!</v>
      </c>
      <c r="AB53" s="171" t="e">
        <f t="shared" si="111"/>
        <v>#DIV/0!</v>
      </c>
      <c r="AC53" s="169" t="e">
        <f>AC48+2*(AC51-1)</f>
        <v>#DIV/0!</v>
      </c>
      <c r="AD53" s="168" t="e">
        <f t="shared" ref="AD53:AF53" si="112">AD48+2*(AD51-1)</f>
        <v>#DIV/0!</v>
      </c>
      <c r="AE53" s="171" t="e">
        <f t="shared" si="112"/>
        <v>#DIV/0!</v>
      </c>
      <c r="AF53" s="171" t="e">
        <f t="shared" si="112"/>
        <v>#DIV/0!</v>
      </c>
      <c r="AG53" s="169" t="e">
        <f>AG48+2*(AG51-1)</f>
        <v>#DIV/0!</v>
      </c>
      <c r="AH53" s="168" t="e">
        <f t="shared" ref="AH53:AJ53" si="113">AH48+2*(AH51-1)</f>
        <v>#DIV/0!</v>
      </c>
      <c r="AI53" s="171" t="e">
        <f t="shared" si="113"/>
        <v>#DIV/0!</v>
      </c>
      <c r="AJ53" s="171" t="e">
        <f t="shared" si="113"/>
        <v>#DIV/0!</v>
      </c>
      <c r="AK53" s="169" t="e">
        <f>AK48+2*(AK51-1)</f>
        <v>#DIV/0!</v>
      </c>
      <c r="AL53" s="168" t="e">
        <f t="shared" ref="AL53:AN53" si="114">AL48+2*(AL51-1)</f>
        <v>#DIV/0!</v>
      </c>
      <c r="AM53" s="171" t="e">
        <f t="shared" si="114"/>
        <v>#DIV/0!</v>
      </c>
      <c r="AN53" s="171" t="e">
        <f t="shared" si="114"/>
        <v>#DIV/0!</v>
      </c>
      <c r="AO53" s="169" t="e">
        <f>AO48+2*(AO51-1)</f>
        <v>#DIV/0!</v>
      </c>
      <c r="AP53" s="168" t="e">
        <f t="shared" ref="AP53:AR53" si="115">AP48+2*(AP51-1)</f>
        <v>#DIV/0!</v>
      </c>
      <c r="AQ53" s="171" t="e">
        <f t="shared" si="115"/>
        <v>#DIV/0!</v>
      </c>
      <c r="AR53" s="171" t="e">
        <f t="shared" si="115"/>
        <v>#DIV/0!</v>
      </c>
      <c r="AS53" s="169" t="e">
        <f>AS48+2*(AS51-1)</f>
        <v>#DIV/0!</v>
      </c>
      <c r="AT53" s="168" t="e">
        <f t="shared" ref="AT53:AV53" si="116">AT48+2*(AT51-1)</f>
        <v>#DIV/0!</v>
      </c>
      <c r="AU53" s="171" t="e">
        <f t="shared" si="116"/>
        <v>#DIV/0!</v>
      </c>
      <c r="AV53" s="171" t="e">
        <f t="shared" si="116"/>
        <v>#DIV/0!</v>
      </c>
      <c r="AW53" s="169" t="e">
        <f>AW48+2*(AW51-1)</f>
        <v>#DIV/0!</v>
      </c>
      <c r="AX53" s="168" t="e">
        <f t="shared" ref="AX53:AZ53" si="117">AX48+2*(AX51-1)</f>
        <v>#DIV/0!</v>
      </c>
      <c r="AY53" s="171" t="e">
        <f t="shared" si="117"/>
        <v>#DIV/0!</v>
      </c>
      <c r="AZ53" s="171" t="e">
        <f t="shared" si="117"/>
        <v>#DIV/0!</v>
      </c>
      <c r="BA53" s="169" t="e">
        <f>BA48+2*(BA51-1)</f>
        <v>#DIV/0!</v>
      </c>
      <c r="BB53" s="168" t="e">
        <f t="shared" ref="BB53:BD53" si="118">BB48+2*(BB51-1)</f>
        <v>#DIV/0!</v>
      </c>
      <c r="BC53" s="171" t="e">
        <f t="shared" si="118"/>
        <v>#DIV/0!</v>
      </c>
      <c r="BD53" s="171" t="e">
        <f t="shared" si="118"/>
        <v>#DIV/0!</v>
      </c>
      <c r="BE53" s="169" t="e">
        <f>BE48+2*(BE51-1)</f>
        <v>#DIV/0!</v>
      </c>
      <c r="BF53" s="168" t="e">
        <f t="shared" ref="BF53:BH53" si="119">BF48+2*(BF51-1)</f>
        <v>#DIV/0!</v>
      </c>
      <c r="BG53" s="171" t="e">
        <f t="shared" si="119"/>
        <v>#DIV/0!</v>
      </c>
      <c r="BH53" s="171" t="e">
        <f t="shared" si="119"/>
        <v>#DIV/0!</v>
      </c>
      <c r="BI53" s="169" t="e">
        <f>BI48+2*(BI51-1)</f>
        <v>#DIV/0!</v>
      </c>
      <c r="BJ53" s="168" t="e">
        <f t="shared" ref="BJ53:BL53" si="120">BJ48+2*(BJ51-1)</f>
        <v>#DIV/0!</v>
      </c>
      <c r="BK53" s="171" t="e">
        <f t="shared" si="120"/>
        <v>#DIV/0!</v>
      </c>
      <c r="BL53" s="171" t="e">
        <f t="shared" si="120"/>
        <v>#DIV/0!</v>
      </c>
      <c r="BM53" s="169" t="e">
        <f>BM48+2*(BM51-1)</f>
        <v>#DIV/0!</v>
      </c>
      <c r="BN53" s="168" t="e">
        <f t="shared" ref="BN53:BP53" si="121">BN48+2*(BN51-1)</f>
        <v>#DIV/0!</v>
      </c>
      <c r="BO53" s="171" t="e">
        <f t="shared" si="121"/>
        <v>#DIV/0!</v>
      </c>
      <c r="BP53" s="171" t="e">
        <f t="shared" si="121"/>
        <v>#DIV/0!</v>
      </c>
      <c r="BQ53" s="169" t="e">
        <f>BQ48+2*(BQ51-1)</f>
        <v>#DIV/0!</v>
      </c>
      <c r="BR53" s="168" t="e">
        <f t="shared" ref="BR53:BT53" si="122">BR48+2*(BR51-1)</f>
        <v>#DIV/0!</v>
      </c>
      <c r="BS53" s="171" t="e">
        <f t="shared" si="122"/>
        <v>#DIV/0!</v>
      </c>
      <c r="BT53" s="171" t="e">
        <f t="shared" si="122"/>
        <v>#DIV/0!</v>
      </c>
      <c r="BU53" s="169" t="e">
        <f>BU48+2*(BU51-1)</f>
        <v>#DIV/0!</v>
      </c>
      <c r="BV53" s="168" t="e">
        <f t="shared" ref="BV53:BX53" si="123">BV48+2*(BV51-1)</f>
        <v>#DIV/0!</v>
      </c>
      <c r="BW53" s="171" t="e">
        <f t="shared" si="123"/>
        <v>#DIV/0!</v>
      </c>
      <c r="BX53" s="171" t="e">
        <f t="shared" si="123"/>
        <v>#DIV/0!</v>
      </c>
      <c r="BY53" s="169" t="e">
        <f>BY48+2*(BY51-1)</f>
        <v>#DIV/0!</v>
      </c>
      <c r="BZ53" s="168" t="e">
        <f t="shared" ref="BZ53:CB53" si="124">BZ48+2*(BZ51-1)</f>
        <v>#DIV/0!</v>
      </c>
      <c r="CA53" s="171" t="e">
        <f t="shared" si="124"/>
        <v>#DIV/0!</v>
      </c>
      <c r="CB53" s="171" t="e">
        <f t="shared" si="124"/>
        <v>#DIV/0!</v>
      </c>
      <c r="CC53" s="169" t="e">
        <f>CC48+2*(CC51-1)</f>
        <v>#DIV/0!</v>
      </c>
      <c r="CD53" s="168" t="e">
        <f t="shared" ref="CD53:CF53" si="125">CD48+2*(CD51-1)</f>
        <v>#DIV/0!</v>
      </c>
      <c r="CE53" s="171" t="e">
        <f t="shared" si="125"/>
        <v>#DIV/0!</v>
      </c>
      <c r="CF53" s="171" t="e">
        <f t="shared" si="125"/>
        <v>#DIV/0!</v>
      </c>
      <c r="CG53" s="169" t="e">
        <f>CG48+2*(CG51-1)</f>
        <v>#DIV/0!</v>
      </c>
      <c r="CH53" s="168" t="e">
        <f t="shared" ref="CH53:CJ53" si="126">CH48+2*(CH51-1)</f>
        <v>#DIV/0!</v>
      </c>
      <c r="CI53" s="171" t="e">
        <f t="shared" si="126"/>
        <v>#DIV/0!</v>
      </c>
      <c r="CJ53" s="171" t="e">
        <f t="shared" si="126"/>
        <v>#DIV/0!</v>
      </c>
      <c r="CK53" s="169" t="e">
        <f>CK48+2*(CK51-1)</f>
        <v>#DIV/0!</v>
      </c>
      <c r="CL53" s="49"/>
      <c r="CM53" s="28"/>
    </row>
    <row r="54" spans="2:91" ht="14.25" x14ac:dyDescent="0.25">
      <c r="B54" s="55"/>
      <c r="C54" s="10" t="s">
        <v>295</v>
      </c>
      <c r="D54" s="93" t="s">
        <v>290</v>
      </c>
      <c r="E54" s="125">
        <f t="shared" ref="E54:AJ54" si="127">1-EXP(-E53*E49/E9)</f>
        <v>0.58698704461988693</v>
      </c>
      <c r="F54" s="162">
        <f t="shared" si="127"/>
        <v>1</v>
      </c>
      <c r="G54" s="164">
        <f t="shared" si="127"/>
        <v>1</v>
      </c>
      <c r="H54" s="164">
        <f t="shared" si="127"/>
        <v>0.88182757197896</v>
      </c>
      <c r="I54" s="163">
        <f t="shared" si="127"/>
        <v>0.88182757197896</v>
      </c>
      <c r="J54" s="162" t="e">
        <f t="shared" si="127"/>
        <v>#DIV/0!</v>
      </c>
      <c r="K54" s="164">
        <f t="shared" si="127"/>
        <v>8.8585906325507557E-2</v>
      </c>
      <c r="L54" s="164">
        <f t="shared" si="127"/>
        <v>0.78566444167620197</v>
      </c>
      <c r="M54" s="163" t="e">
        <f t="shared" si="127"/>
        <v>#DIV/0!</v>
      </c>
      <c r="N54" s="168" t="e">
        <f t="shared" si="127"/>
        <v>#DIV/0!</v>
      </c>
      <c r="O54" s="171" t="e">
        <f t="shared" si="127"/>
        <v>#DIV/0!</v>
      </c>
      <c r="P54" s="171" t="e">
        <f t="shared" si="127"/>
        <v>#DIV/0!</v>
      </c>
      <c r="Q54" s="169" t="e">
        <f t="shared" si="127"/>
        <v>#DIV/0!</v>
      </c>
      <c r="R54" s="168" t="e">
        <f t="shared" si="127"/>
        <v>#DIV/0!</v>
      </c>
      <c r="S54" s="171" t="e">
        <f t="shared" si="127"/>
        <v>#DIV/0!</v>
      </c>
      <c r="T54" s="171" t="e">
        <f t="shared" si="127"/>
        <v>#DIV/0!</v>
      </c>
      <c r="U54" s="169" t="e">
        <f t="shared" si="127"/>
        <v>#DIV/0!</v>
      </c>
      <c r="V54" s="168" t="e">
        <f t="shared" si="127"/>
        <v>#DIV/0!</v>
      </c>
      <c r="W54" s="171" t="e">
        <f t="shared" si="127"/>
        <v>#DIV/0!</v>
      </c>
      <c r="X54" s="171" t="e">
        <f t="shared" si="127"/>
        <v>#DIV/0!</v>
      </c>
      <c r="Y54" s="169" t="e">
        <f t="shared" si="127"/>
        <v>#DIV/0!</v>
      </c>
      <c r="Z54" s="168" t="e">
        <f t="shared" si="127"/>
        <v>#DIV/0!</v>
      </c>
      <c r="AA54" s="171" t="e">
        <f t="shared" si="127"/>
        <v>#DIV/0!</v>
      </c>
      <c r="AB54" s="171" t="e">
        <f t="shared" si="127"/>
        <v>#DIV/0!</v>
      </c>
      <c r="AC54" s="169" t="e">
        <f t="shared" si="127"/>
        <v>#DIV/0!</v>
      </c>
      <c r="AD54" s="168" t="e">
        <f t="shared" si="127"/>
        <v>#DIV/0!</v>
      </c>
      <c r="AE54" s="171" t="e">
        <f t="shared" si="127"/>
        <v>#DIV/0!</v>
      </c>
      <c r="AF54" s="171" t="e">
        <f t="shared" si="127"/>
        <v>#DIV/0!</v>
      </c>
      <c r="AG54" s="169" t="e">
        <f t="shared" si="127"/>
        <v>#DIV/0!</v>
      </c>
      <c r="AH54" s="168" t="e">
        <f t="shared" si="127"/>
        <v>#DIV/0!</v>
      </c>
      <c r="AI54" s="171" t="e">
        <f t="shared" si="127"/>
        <v>#DIV/0!</v>
      </c>
      <c r="AJ54" s="171" t="e">
        <f t="shared" si="127"/>
        <v>#DIV/0!</v>
      </c>
      <c r="AK54" s="169" t="e">
        <f t="shared" ref="AK54:BP54" si="128">1-EXP(-AK53*AK49/AK9)</f>
        <v>#DIV/0!</v>
      </c>
      <c r="AL54" s="168" t="e">
        <f t="shared" si="128"/>
        <v>#DIV/0!</v>
      </c>
      <c r="AM54" s="171" t="e">
        <f t="shared" si="128"/>
        <v>#DIV/0!</v>
      </c>
      <c r="AN54" s="171" t="e">
        <f t="shared" si="128"/>
        <v>#DIV/0!</v>
      </c>
      <c r="AO54" s="169" t="e">
        <f t="shared" si="128"/>
        <v>#DIV/0!</v>
      </c>
      <c r="AP54" s="168" t="e">
        <f t="shared" si="128"/>
        <v>#DIV/0!</v>
      </c>
      <c r="AQ54" s="171" t="e">
        <f t="shared" si="128"/>
        <v>#DIV/0!</v>
      </c>
      <c r="AR54" s="171" t="e">
        <f t="shared" si="128"/>
        <v>#DIV/0!</v>
      </c>
      <c r="AS54" s="169" t="e">
        <f t="shared" si="128"/>
        <v>#DIV/0!</v>
      </c>
      <c r="AT54" s="168" t="e">
        <f t="shared" si="128"/>
        <v>#DIV/0!</v>
      </c>
      <c r="AU54" s="171" t="e">
        <f t="shared" si="128"/>
        <v>#DIV/0!</v>
      </c>
      <c r="AV54" s="171" t="e">
        <f t="shared" si="128"/>
        <v>#DIV/0!</v>
      </c>
      <c r="AW54" s="169" t="e">
        <f t="shared" si="128"/>
        <v>#DIV/0!</v>
      </c>
      <c r="AX54" s="168" t="e">
        <f t="shared" si="128"/>
        <v>#DIV/0!</v>
      </c>
      <c r="AY54" s="171" t="e">
        <f t="shared" si="128"/>
        <v>#DIV/0!</v>
      </c>
      <c r="AZ54" s="171" t="e">
        <f t="shared" si="128"/>
        <v>#DIV/0!</v>
      </c>
      <c r="BA54" s="169" t="e">
        <f t="shared" si="128"/>
        <v>#DIV/0!</v>
      </c>
      <c r="BB54" s="168" t="e">
        <f t="shared" si="128"/>
        <v>#DIV/0!</v>
      </c>
      <c r="BC54" s="171" t="e">
        <f t="shared" si="128"/>
        <v>#DIV/0!</v>
      </c>
      <c r="BD54" s="171" t="e">
        <f t="shared" si="128"/>
        <v>#DIV/0!</v>
      </c>
      <c r="BE54" s="169" t="e">
        <f t="shared" si="128"/>
        <v>#DIV/0!</v>
      </c>
      <c r="BF54" s="168" t="e">
        <f t="shared" si="128"/>
        <v>#DIV/0!</v>
      </c>
      <c r="BG54" s="171" t="e">
        <f t="shared" si="128"/>
        <v>#DIV/0!</v>
      </c>
      <c r="BH54" s="171" t="e">
        <f t="shared" si="128"/>
        <v>#DIV/0!</v>
      </c>
      <c r="BI54" s="169" t="e">
        <f t="shared" si="128"/>
        <v>#DIV/0!</v>
      </c>
      <c r="BJ54" s="168" t="e">
        <f t="shared" si="128"/>
        <v>#DIV/0!</v>
      </c>
      <c r="BK54" s="171" t="e">
        <f t="shared" si="128"/>
        <v>#DIV/0!</v>
      </c>
      <c r="BL54" s="171" t="e">
        <f t="shared" si="128"/>
        <v>#DIV/0!</v>
      </c>
      <c r="BM54" s="169" t="e">
        <f t="shared" si="128"/>
        <v>#DIV/0!</v>
      </c>
      <c r="BN54" s="168" t="e">
        <f t="shared" si="128"/>
        <v>#DIV/0!</v>
      </c>
      <c r="BO54" s="171" t="e">
        <f t="shared" si="128"/>
        <v>#DIV/0!</v>
      </c>
      <c r="BP54" s="171" t="e">
        <f t="shared" si="128"/>
        <v>#DIV/0!</v>
      </c>
      <c r="BQ54" s="169" t="e">
        <f t="shared" ref="BQ54:CK54" si="129">1-EXP(-BQ53*BQ49/BQ9)</f>
        <v>#DIV/0!</v>
      </c>
      <c r="BR54" s="168" t="e">
        <f t="shared" si="129"/>
        <v>#DIV/0!</v>
      </c>
      <c r="BS54" s="171" t="e">
        <f t="shared" si="129"/>
        <v>#DIV/0!</v>
      </c>
      <c r="BT54" s="171" t="e">
        <f t="shared" si="129"/>
        <v>#DIV/0!</v>
      </c>
      <c r="BU54" s="169" t="e">
        <f t="shared" si="129"/>
        <v>#DIV/0!</v>
      </c>
      <c r="BV54" s="168" t="e">
        <f t="shared" si="129"/>
        <v>#DIV/0!</v>
      </c>
      <c r="BW54" s="171" t="e">
        <f t="shared" si="129"/>
        <v>#DIV/0!</v>
      </c>
      <c r="BX54" s="171" t="e">
        <f t="shared" si="129"/>
        <v>#DIV/0!</v>
      </c>
      <c r="BY54" s="169" t="e">
        <f t="shared" si="129"/>
        <v>#DIV/0!</v>
      </c>
      <c r="BZ54" s="168" t="e">
        <f t="shared" si="129"/>
        <v>#DIV/0!</v>
      </c>
      <c r="CA54" s="171" t="e">
        <f t="shared" si="129"/>
        <v>#DIV/0!</v>
      </c>
      <c r="CB54" s="171" t="e">
        <f t="shared" si="129"/>
        <v>#DIV/0!</v>
      </c>
      <c r="CC54" s="169" t="e">
        <f t="shared" si="129"/>
        <v>#DIV/0!</v>
      </c>
      <c r="CD54" s="168" t="e">
        <f t="shared" si="129"/>
        <v>#DIV/0!</v>
      </c>
      <c r="CE54" s="171" t="e">
        <f t="shared" si="129"/>
        <v>#DIV/0!</v>
      </c>
      <c r="CF54" s="171" t="e">
        <f t="shared" si="129"/>
        <v>#DIV/0!</v>
      </c>
      <c r="CG54" s="169" t="e">
        <f t="shared" si="129"/>
        <v>#DIV/0!</v>
      </c>
      <c r="CH54" s="168" t="e">
        <f t="shared" si="129"/>
        <v>#DIV/0!</v>
      </c>
      <c r="CI54" s="171" t="e">
        <f t="shared" si="129"/>
        <v>#DIV/0!</v>
      </c>
      <c r="CJ54" s="171" t="e">
        <f t="shared" si="129"/>
        <v>#DIV/0!</v>
      </c>
      <c r="CK54" s="169" t="e">
        <f t="shared" si="129"/>
        <v>#DIV/0!</v>
      </c>
      <c r="CL54" s="49"/>
      <c r="CM54" s="28"/>
    </row>
    <row r="55" spans="2:91" ht="14.25" x14ac:dyDescent="0.25">
      <c r="B55" s="55"/>
      <c r="C55" s="10" t="s">
        <v>289</v>
      </c>
      <c r="D55" s="93" t="s">
        <v>291</v>
      </c>
      <c r="E55" s="125">
        <f t="shared" ref="E55:AJ55" si="130">1-(1-E54)^E9</f>
        <v>0.97090256550037191</v>
      </c>
      <c r="F55" s="162">
        <f t="shared" si="130"/>
        <v>1</v>
      </c>
      <c r="G55" s="164">
        <f t="shared" si="130"/>
        <v>1</v>
      </c>
      <c r="H55" s="164">
        <f t="shared" si="130"/>
        <v>0.99980498651867233</v>
      </c>
      <c r="I55" s="163">
        <f t="shared" si="130"/>
        <v>0.99980498651867233</v>
      </c>
      <c r="J55" s="162" t="e">
        <f t="shared" si="130"/>
        <v>#DIV/0!</v>
      </c>
      <c r="K55" s="164">
        <f t="shared" si="130"/>
        <v>0.16932434985150346</v>
      </c>
      <c r="L55" s="164">
        <f t="shared" si="130"/>
        <v>0.99788954106401373</v>
      </c>
      <c r="M55" s="163" t="e">
        <f t="shared" si="130"/>
        <v>#DIV/0!</v>
      </c>
      <c r="N55" s="168" t="e">
        <f t="shared" si="130"/>
        <v>#DIV/0!</v>
      </c>
      <c r="O55" s="171" t="e">
        <f t="shared" si="130"/>
        <v>#DIV/0!</v>
      </c>
      <c r="P55" s="171" t="e">
        <f t="shared" si="130"/>
        <v>#DIV/0!</v>
      </c>
      <c r="Q55" s="169" t="e">
        <f t="shared" si="130"/>
        <v>#DIV/0!</v>
      </c>
      <c r="R55" s="168" t="e">
        <f t="shared" si="130"/>
        <v>#DIV/0!</v>
      </c>
      <c r="S55" s="171" t="e">
        <f t="shared" si="130"/>
        <v>#DIV/0!</v>
      </c>
      <c r="T55" s="171" t="e">
        <f t="shared" si="130"/>
        <v>#DIV/0!</v>
      </c>
      <c r="U55" s="169" t="e">
        <f t="shared" si="130"/>
        <v>#DIV/0!</v>
      </c>
      <c r="V55" s="168" t="e">
        <f t="shared" si="130"/>
        <v>#DIV/0!</v>
      </c>
      <c r="W55" s="171" t="e">
        <f t="shared" si="130"/>
        <v>#DIV/0!</v>
      </c>
      <c r="X55" s="171" t="e">
        <f t="shared" si="130"/>
        <v>#DIV/0!</v>
      </c>
      <c r="Y55" s="169" t="e">
        <f t="shared" si="130"/>
        <v>#DIV/0!</v>
      </c>
      <c r="Z55" s="168" t="e">
        <f t="shared" si="130"/>
        <v>#DIV/0!</v>
      </c>
      <c r="AA55" s="171" t="e">
        <f t="shared" si="130"/>
        <v>#DIV/0!</v>
      </c>
      <c r="AB55" s="171" t="e">
        <f t="shared" si="130"/>
        <v>#DIV/0!</v>
      </c>
      <c r="AC55" s="169" t="e">
        <f t="shared" si="130"/>
        <v>#DIV/0!</v>
      </c>
      <c r="AD55" s="168" t="e">
        <f t="shared" si="130"/>
        <v>#DIV/0!</v>
      </c>
      <c r="AE55" s="171" t="e">
        <f t="shared" si="130"/>
        <v>#DIV/0!</v>
      </c>
      <c r="AF55" s="171" t="e">
        <f t="shared" si="130"/>
        <v>#DIV/0!</v>
      </c>
      <c r="AG55" s="169" t="e">
        <f t="shared" si="130"/>
        <v>#DIV/0!</v>
      </c>
      <c r="AH55" s="168" t="e">
        <f t="shared" si="130"/>
        <v>#DIV/0!</v>
      </c>
      <c r="AI55" s="171" t="e">
        <f t="shared" si="130"/>
        <v>#DIV/0!</v>
      </c>
      <c r="AJ55" s="171" t="e">
        <f t="shared" si="130"/>
        <v>#DIV/0!</v>
      </c>
      <c r="AK55" s="169" t="e">
        <f t="shared" ref="AK55:BP55" si="131">1-(1-AK54)^AK9</f>
        <v>#DIV/0!</v>
      </c>
      <c r="AL55" s="168" t="e">
        <f t="shared" si="131"/>
        <v>#DIV/0!</v>
      </c>
      <c r="AM55" s="171" t="e">
        <f t="shared" si="131"/>
        <v>#DIV/0!</v>
      </c>
      <c r="AN55" s="171" t="e">
        <f t="shared" si="131"/>
        <v>#DIV/0!</v>
      </c>
      <c r="AO55" s="169" t="e">
        <f t="shared" si="131"/>
        <v>#DIV/0!</v>
      </c>
      <c r="AP55" s="168" t="e">
        <f t="shared" si="131"/>
        <v>#DIV/0!</v>
      </c>
      <c r="AQ55" s="171" t="e">
        <f t="shared" si="131"/>
        <v>#DIV/0!</v>
      </c>
      <c r="AR55" s="171" t="e">
        <f t="shared" si="131"/>
        <v>#DIV/0!</v>
      </c>
      <c r="AS55" s="169" t="e">
        <f t="shared" si="131"/>
        <v>#DIV/0!</v>
      </c>
      <c r="AT55" s="168" t="e">
        <f t="shared" si="131"/>
        <v>#DIV/0!</v>
      </c>
      <c r="AU55" s="171" t="e">
        <f t="shared" si="131"/>
        <v>#DIV/0!</v>
      </c>
      <c r="AV55" s="171" t="e">
        <f t="shared" si="131"/>
        <v>#DIV/0!</v>
      </c>
      <c r="AW55" s="169" t="e">
        <f t="shared" si="131"/>
        <v>#DIV/0!</v>
      </c>
      <c r="AX55" s="168" t="e">
        <f t="shared" si="131"/>
        <v>#DIV/0!</v>
      </c>
      <c r="AY55" s="171" t="e">
        <f t="shared" si="131"/>
        <v>#DIV/0!</v>
      </c>
      <c r="AZ55" s="171" t="e">
        <f t="shared" si="131"/>
        <v>#DIV/0!</v>
      </c>
      <c r="BA55" s="169" t="e">
        <f t="shared" si="131"/>
        <v>#DIV/0!</v>
      </c>
      <c r="BB55" s="168" t="e">
        <f t="shared" si="131"/>
        <v>#DIV/0!</v>
      </c>
      <c r="BC55" s="171" t="e">
        <f t="shared" si="131"/>
        <v>#DIV/0!</v>
      </c>
      <c r="BD55" s="171" t="e">
        <f t="shared" si="131"/>
        <v>#DIV/0!</v>
      </c>
      <c r="BE55" s="169" t="e">
        <f t="shared" si="131"/>
        <v>#DIV/0!</v>
      </c>
      <c r="BF55" s="168" t="e">
        <f t="shared" si="131"/>
        <v>#DIV/0!</v>
      </c>
      <c r="BG55" s="171" t="e">
        <f t="shared" si="131"/>
        <v>#DIV/0!</v>
      </c>
      <c r="BH55" s="171" t="e">
        <f t="shared" si="131"/>
        <v>#DIV/0!</v>
      </c>
      <c r="BI55" s="169" t="e">
        <f t="shared" si="131"/>
        <v>#DIV/0!</v>
      </c>
      <c r="BJ55" s="168" t="e">
        <f t="shared" si="131"/>
        <v>#DIV/0!</v>
      </c>
      <c r="BK55" s="171" t="e">
        <f t="shared" si="131"/>
        <v>#DIV/0!</v>
      </c>
      <c r="BL55" s="171" t="e">
        <f t="shared" si="131"/>
        <v>#DIV/0!</v>
      </c>
      <c r="BM55" s="169" t="e">
        <f t="shared" si="131"/>
        <v>#DIV/0!</v>
      </c>
      <c r="BN55" s="168" t="e">
        <f t="shared" si="131"/>
        <v>#DIV/0!</v>
      </c>
      <c r="BO55" s="171" t="e">
        <f t="shared" si="131"/>
        <v>#DIV/0!</v>
      </c>
      <c r="BP55" s="171" t="e">
        <f t="shared" si="131"/>
        <v>#DIV/0!</v>
      </c>
      <c r="BQ55" s="169" t="e">
        <f t="shared" ref="BQ55:CK55" si="132">1-(1-BQ54)^BQ9</f>
        <v>#DIV/0!</v>
      </c>
      <c r="BR55" s="168" t="e">
        <f t="shared" si="132"/>
        <v>#DIV/0!</v>
      </c>
      <c r="BS55" s="171" t="e">
        <f t="shared" si="132"/>
        <v>#DIV/0!</v>
      </c>
      <c r="BT55" s="171" t="e">
        <f t="shared" si="132"/>
        <v>#DIV/0!</v>
      </c>
      <c r="BU55" s="169" t="e">
        <f t="shared" si="132"/>
        <v>#DIV/0!</v>
      </c>
      <c r="BV55" s="168" t="e">
        <f t="shared" si="132"/>
        <v>#DIV/0!</v>
      </c>
      <c r="BW55" s="171" t="e">
        <f t="shared" si="132"/>
        <v>#DIV/0!</v>
      </c>
      <c r="BX55" s="171" t="e">
        <f t="shared" si="132"/>
        <v>#DIV/0!</v>
      </c>
      <c r="BY55" s="169" t="e">
        <f t="shared" si="132"/>
        <v>#DIV/0!</v>
      </c>
      <c r="BZ55" s="168" t="e">
        <f t="shared" si="132"/>
        <v>#DIV/0!</v>
      </c>
      <c r="CA55" s="171" t="e">
        <f t="shared" si="132"/>
        <v>#DIV/0!</v>
      </c>
      <c r="CB55" s="171" t="e">
        <f t="shared" si="132"/>
        <v>#DIV/0!</v>
      </c>
      <c r="CC55" s="169" t="e">
        <f t="shared" si="132"/>
        <v>#DIV/0!</v>
      </c>
      <c r="CD55" s="168" t="e">
        <f t="shared" si="132"/>
        <v>#DIV/0!</v>
      </c>
      <c r="CE55" s="171" t="e">
        <f t="shared" si="132"/>
        <v>#DIV/0!</v>
      </c>
      <c r="CF55" s="171" t="e">
        <f t="shared" si="132"/>
        <v>#DIV/0!</v>
      </c>
      <c r="CG55" s="169" t="e">
        <f t="shared" si="132"/>
        <v>#DIV/0!</v>
      </c>
      <c r="CH55" s="168" t="e">
        <f t="shared" si="132"/>
        <v>#DIV/0!</v>
      </c>
      <c r="CI55" s="171" t="e">
        <f t="shared" si="132"/>
        <v>#DIV/0!</v>
      </c>
      <c r="CJ55" s="171" t="e">
        <f t="shared" si="132"/>
        <v>#DIV/0!</v>
      </c>
      <c r="CK55" s="169" t="e">
        <f t="shared" si="132"/>
        <v>#DIV/0!</v>
      </c>
      <c r="CL55" s="49"/>
      <c r="CM55" s="28"/>
    </row>
    <row r="56" spans="2:91" ht="14.25" x14ac:dyDescent="0.25">
      <c r="B56" s="55"/>
      <c r="C56" s="10" t="s">
        <v>292</v>
      </c>
      <c r="D56" s="93" t="s">
        <v>302</v>
      </c>
      <c r="E56" s="125" t="str">
        <f t="shared" ref="E56:J56" si="133">IF(E42="Free", (1/E49)*(EXP(E49*E53)-E49*E53-1)/E55, "-")</f>
        <v>-</v>
      </c>
      <c r="F56" s="162" t="str">
        <f>IF(F42="Free", (1/F49)*(EXP(F49*F53)-F49*F53-1)/F55, "-")</f>
        <v>-</v>
      </c>
      <c r="G56" s="164" t="str">
        <f t="shared" si="133"/>
        <v>-</v>
      </c>
      <c r="H56" s="164" t="str">
        <f t="shared" si="133"/>
        <v>-</v>
      </c>
      <c r="I56" s="163" t="str">
        <f t="shared" si="133"/>
        <v>-</v>
      </c>
      <c r="J56" s="162" t="str">
        <f t="shared" si="133"/>
        <v>-</v>
      </c>
      <c r="K56" s="164" t="str">
        <f>IF(K42="Free", (1/K49)*(EXP(K49*K53)-K49*K53-1)/K55, "-")</f>
        <v>-</v>
      </c>
      <c r="L56" s="164">
        <f>IF(L42="Free", (1/L49)*(EXP(L49*L53)-L49*L53-1)/L55, "-")</f>
        <v>2107.0890522639775</v>
      </c>
      <c r="M56" s="163" t="e">
        <f>IF(M42="Free", (1/M49)*(EXP(M49*M53)-M49*M53-1)/M55, "-")</f>
        <v>#DIV/0!</v>
      </c>
      <c r="N56" s="168" t="str">
        <f t="shared" ref="N56" si="134">IF(N42="Free", (1/N49)*(EXP(N49*N53)-N49*N53-1)/N55, "-")</f>
        <v>-</v>
      </c>
      <c r="O56" s="171" t="str">
        <f>IF(O42="Free", (1/O49)*(EXP(O49*O53)-O49*O53-1)/O55, "-")</f>
        <v>-</v>
      </c>
      <c r="P56" s="171" t="str">
        <f>IF(P42="Free", (1/P49)*(EXP(P49*P53)-P49*P53-1)/P55, "-")</f>
        <v>-</v>
      </c>
      <c r="Q56" s="169" t="str">
        <f>IF(Q42="Free", (1/Q49)*(EXP(Q49*Q53)-Q49*Q53-1)/Q55, "-")</f>
        <v>-</v>
      </c>
      <c r="R56" s="168" t="str">
        <f t="shared" ref="R56" si="135">IF(R42="Free", (1/R49)*(EXP(R49*R53)-R49*R53-1)/R55, "-")</f>
        <v>-</v>
      </c>
      <c r="S56" s="171" t="str">
        <f>IF(S42="Free", (1/S49)*(EXP(S49*S53)-S49*S53-1)/S55, "-")</f>
        <v>-</v>
      </c>
      <c r="T56" s="171" t="str">
        <f>IF(T42="Free", (1/T49)*(EXP(T49*T53)-T49*T53-1)/T55, "-")</f>
        <v>-</v>
      </c>
      <c r="U56" s="169" t="str">
        <f>IF(U42="Free", (1/U49)*(EXP(U49*U53)-U49*U53-1)/U55, "-")</f>
        <v>-</v>
      </c>
      <c r="V56" s="168" t="str">
        <f t="shared" ref="V56" si="136">IF(V42="Free", (1/V49)*(EXP(V49*V53)-V49*V53-1)/V55, "-")</f>
        <v>-</v>
      </c>
      <c r="W56" s="171" t="str">
        <f>IF(W42="Free", (1/W49)*(EXP(W49*W53)-W49*W53-1)/W55, "-")</f>
        <v>-</v>
      </c>
      <c r="X56" s="171" t="str">
        <f>IF(X42="Free", (1/X49)*(EXP(X49*X53)-X49*X53-1)/X55, "-")</f>
        <v>-</v>
      </c>
      <c r="Y56" s="169" t="str">
        <f>IF(Y42="Free", (1/Y49)*(EXP(Y49*Y53)-Y49*Y53-1)/Y55, "-")</f>
        <v>-</v>
      </c>
      <c r="Z56" s="168" t="str">
        <f t="shared" ref="Z56" si="137">IF(Z42="Free", (1/Z49)*(EXP(Z49*Z53)-Z49*Z53-1)/Z55, "-")</f>
        <v>-</v>
      </c>
      <c r="AA56" s="171" t="str">
        <f>IF(AA42="Free", (1/AA49)*(EXP(AA49*AA53)-AA49*AA53-1)/AA55, "-")</f>
        <v>-</v>
      </c>
      <c r="AB56" s="171" t="str">
        <f>IF(AB42="Free", (1/AB49)*(EXP(AB49*AB53)-AB49*AB53-1)/AB55, "-")</f>
        <v>-</v>
      </c>
      <c r="AC56" s="169" t="str">
        <f>IF(AC42="Free", (1/AC49)*(EXP(AC49*AC53)-AC49*AC53-1)/AC55, "-")</f>
        <v>-</v>
      </c>
      <c r="AD56" s="168" t="str">
        <f t="shared" ref="AD56" si="138">IF(AD42="Free", (1/AD49)*(EXP(AD49*AD53)-AD49*AD53-1)/AD55, "-")</f>
        <v>-</v>
      </c>
      <c r="AE56" s="171" t="str">
        <f>IF(AE42="Free", (1/AE49)*(EXP(AE49*AE53)-AE49*AE53-1)/AE55, "-")</f>
        <v>-</v>
      </c>
      <c r="AF56" s="171" t="str">
        <f>IF(AF42="Free", (1/AF49)*(EXP(AF49*AF53)-AF49*AF53-1)/AF55, "-")</f>
        <v>-</v>
      </c>
      <c r="AG56" s="169" t="str">
        <f>IF(AG42="Free", (1/AG49)*(EXP(AG49*AG53)-AG49*AG53-1)/AG55, "-")</f>
        <v>-</v>
      </c>
      <c r="AH56" s="168" t="str">
        <f t="shared" ref="AH56" si="139">IF(AH42="Free", (1/AH49)*(EXP(AH49*AH53)-AH49*AH53-1)/AH55, "-")</f>
        <v>-</v>
      </c>
      <c r="AI56" s="171" t="str">
        <f>IF(AI42="Free", (1/AI49)*(EXP(AI49*AI53)-AI49*AI53-1)/AI55, "-")</f>
        <v>-</v>
      </c>
      <c r="AJ56" s="171" t="str">
        <f>IF(AJ42="Free", (1/AJ49)*(EXP(AJ49*AJ53)-AJ49*AJ53-1)/AJ55, "-")</f>
        <v>-</v>
      </c>
      <c r="AK56" s="169" t="str">
        <f>IF(AK42="Free", (1/AK49)*(EXP(AK49*AK53)-AK49*AK53-1)/AK55, "-")</f>
        <v>-</v>
      </c>
      <c r="AL56" s="168" t="str">
        <f t="shared" ref="AL56" si="140">IF(AL42="Free", (1/AL49)*(EXP(AL49*AL53)-AL49*AL53-1)/AL55, "-")</f>
        <v>-</v>
      </c>
      <c r="AM56" s="171" t="str">
        <f>IF(AM42="Free", (1/AM49)*(EXP(AM49*AM53)-AM49*AM53-1)/AM55, "-")</f>
        <v>-</v>
      </c>
      <c r="AN56" s="171" t="str">
        <f>IF(AN42="Free", (1/AN49)*(EXP(AN49*AN53)-AN49*AN53-1)/AN55, "-")</f>
        <v>-</v>
      </c>
      <c r="AO56" s="169" t="str">
        <f>IF(AO42="Free", (1/AO49)*(EXP(AO49*AO53)-AO49*AO53-1)/AO55, "-")</f>
        <v>-</v>
      </c>
      <c r="AP56" s="168" t="str">
        <f t="shared" ref="AP56" si="141">IF(AP42="Free", (1/AP49)*(EXP(AP49*AP53)-AP49*AP53-1)/AP55, "-")</f>
        <v>-</v>
      </c>
      <c r="AQ56" s="171" t="str">
        <f>IF(AQ42="Free", (1/AQ49)*(EXP(AQ49*AQ53)-AQ49*AQ53-1)/AQ55, "-")</f>
        <v>-</v>
      </c>
      <c r="AR56" s="171" t="str">
        <f>IF(AR42="Free", (1/AR49)*(EXP(AR49*AR53)-AR49*AR53-1)/AR55, "-")</f>
        <v>-</v>
      </c>
      <c r="AS56" s="169" t="str">
        <f>IF(AS42="Free", (1/AS49)*(EXP(AS49*AS53)-AS49*AS53-1)/AS55, "-")</f>
        <v>-</v>
      </c>
      <c r="AT56" s="168" t="str">
        <f t="shared" ref="AT56" si="142">IF(AT42="Free", (1/AT49)*(EXP(AT49*AT53)-AT49*AT53-1)/AT55, "-")</f>
        <v>-</v>
      </c>
      <c r="AU56" s="171" t="str">
        <f>IF(AU42="Free", (1/AU49)*(EXP(AU49*AU53)-AU49*AU53-1)/AU55, "-")</f>
        <v>-</v>
      </c>
      <c r="AV56" s="171" t="str">
        <f>IF(AV42="Free", (1/AV49)*(EXP(AV49*AV53)-AV49*AV53-1)/AV55, "-")</f>
        <v>-</v>
      </c>
      <c r="AW56" s="169" t="str">
        <f>IF(AW42="Free", (1/AW49)*(EXP(AW49*AW53)-AW49*AW53-1)/AW55, "-")</f>
        <v>-</v>
      </c>
      <c r="AX56" s="168" t="str">
        <f t="shared" ref="AX56" si="143">IF(AX42="Free", (1/AX49)*(EXP(AX49*AX53)-AX49*AX53-1)/AX55, "-")</f>
        <v>-</v>
      </c>
      <c r="AY56" s="171" t="str">
        <f>IF(AY42="Free", (1/AY49)*(EXP(AY49*AY53)-AY49*AY53-1)/AY55, "-")</f>
        <v>-</v>
      </c>
      <c r="AZ56" s="171" t="str">
        <f>IF(AZ42="Free", (1/AZ49)*(EXP(AZ49*AZ53)-AZ49*AZ53-1)/AZ55, "-")</f>
        <v>-</v>
      </c>
      <c r="BA56" s="169" t="str">
        <f>IF(BA42="Free", (1/BA49)*(EXP(BA49*BA53)-BA49*BA53-1)/BA55, "-")</f>
        <v>-</v>
      </c>
      <c r="BB56" s="168" t="str">
        <f t="shared" ref="BB56" si="144">IF(BB42="Free", (1/BB49)*(EXP(BB49*BB53)-BB49*BB53-1)/BB55, "-")</f>
        <v>-</v>
      </c>
      <c r="BC56" s="171" t="str">
        <f>IF(BC42="Free", (1/BC49)*(EXP(BC49*BC53)-BC49*BC53-1)/BC55, "-")</f>
        <v>-</v>
      </c>
      <c r="BD56" s="171" t="str">
        <f>IF(BD42="Free", (1/BD49)*(EXP(BD49*BD53)-BD49*BD53-1)/BD55, "-")</f>
        <v>-</v>
      </c>
      <c r="BE56" s="169" t="str">
        <f>IF(BE42="Free", (1/BE49)*(EXP(BE49*BE53)-BE49*BE53-1)/BE55, "-")</f>
        <v>-</v>
      </c>
      <c r="BF56" s="168" t="str">
        <f t="shared" ref="BF56" si="145">IF(BF42="Free", (1/BF49)*(EXP(BF49*BF53)-BF49*BF53-1)/BF55, "-")</f>
        <v>-</v>
      </c>
      <c r="BG56" s="171" t="str">
        <f>IF(BG42="Free", (1/BG49)*(EXP(BG49*BG53)-BG49*BG53-1)/BG55, "-")</f>
        <v>-</v>
      </c>
      <c r="BH56" s="171" t="str">
        <f>IF(BH42="Free", (1/BH49)*(EXP(BH49*BH53)-BH49*BH53-1)/BH55, "-")</f>
        <v>-</v>
      </c>
      <c r="BI56" s="169" t="str">
        <f>IF(BI42="Free", (1/BI49)*(EXP(BI49*BI53)-BI49*BI53-1)/BI55, "-")</f>
        <v>-</v>
      </c>
      <c r="BJ56" s="168" t="str">
        <f t="shared" ref="BJ56" si="146">IF(BJ42="Free", (1/BJ49)*(EXP(BJ49*BJ53)-BJ49*BJ53-1)/BJ55, "-")</f>
        <v>-</v>
      </c>
      <c r="BK56" s="171" t="str">
        <f>IF(BK42="Free", (1/BK49)*(EXP(BK49*BK53)-BK49*BK53-1)/BK55, "-")</f>
        <v>-</v>
      </c>
      <c r="BL56" s="171" t="str">
        <f>IF(BL42="Free", (1/BL49)*(EXP(BL49*BL53)-BL49*BL53-1)/BL55, "-")</f>
        <v>-</v>
      </c>
      <c r="BM56" s="169" t="str">
        <f>IF(BM42="Free", (1/BM49)*(EXP(BM49*BM53)-BM49*BM53-1)/BM55, "-")</f>
        <v>-</v>
      </c>
      <c r="BN56" s="168" t="str">
        <f t="shared" ref="BN56" si="147">IF(BN42="Free", (1/BN49)*(EXP(BN49*BN53)-BN49*BN53-1)/BN55, "-")</f>
        <v>-</v>
      </c>
      <c r="BO56" s="171" t="str">
        <f>IF(BO42="Free", (1/BO49)*(EXP(BO49*BO53)-BO49*BO53-1)/BO55, "-")</f>
        <v>-</v>
      </c>
      <c r="BP56" s="171" t="str">
        <f>IF(BP42="Free", (1/BP49)*(EXP(BP49*BP53)-BP49*BP53-1)/BP55, "-")</f>
        <v>-</v>
      </c>
      <c r="BQ56" s="169" t="str">
        <f>IF(BQ42="Free", (1/BQ49)*(EXP(BQ49*BQ53)-BQ49*BQ53-1)/BQ55, "-")</f>
        <v>-</v>
      </c>
      <c r="BR56" s="168" t="str">
        <f t="shared" ref="BR56" si="148">IF(BR42="Free", (1/BR49)*(EXP(BR49*BR53)-BR49*BR53-1)/BR55, "-")</f>
        <v>-</v>
      </c>
      <c r="BS56" s="171" t="str">
        <f>IF(BS42="Free", (1/BS49)*(EXP(BS49*BS53)-BS49*BS53-1)/BS55, "-")</f>
        <v>-</v>
      </c>
      <c r="BT56" s="171" t="str">
        <f>IF(BT42="Free", (1/BT49)*(EXP(BT49*BT53)-BT49*BT53-1)/BT55, "-")</f>
        <v>-</v>
      </c>
      <c r="BU56" s="169" t="str">
        <f>IF(BU42="Free", (1/BU49)*(EXP(BU49*BU53)-BU49*BU53-1)/BU55, "-")</f>
        <v>-</v>
      </c>
      <c r="BV56" s="168" t="str">
        <f t="shared" ref="BV56" si="149">IF(BV42="Free", (1/BV49)*(EXP(BV49*BV53)-BV49*BV53-1)/BV55, "-")</f>
        <v>-</v>
      </c>
      <c r="BW56" s="171" t="str">
        <f>IF(BW42="Free", (1/BW49)*(EXP(BW49*BW53)-BW49*BW53-1)/BW55, "-")</f>
        <v>-</v>
      </c>
      <c r="BX56" s="171" t="str">
        <f>IF(BX42="Free", (1/BX49)*(EXP(BX49*BX53)-BX49*BX53-1)/BX55, "-")</f>
        <v>-</v>
      </c>
      <c r="BY56" s="169" t="str">
        <f>IF(BY42="Free", (1/BY49)*(EXP(BY49*BY53)-BY49*BY53-1)/BY55, "-")</f>
        <v>-</v>
      </c>
      <c r="BZ56" s="168" t="str">
        <f t="shared" ref="BZ56" si="150">IF(BZ42="Free", (1/BZ49)*(EXP(BZ49*BZ53)-BZ49*BZ53-1)/BZ55, "-")</f>
        <v>-</v>
      </c>
      <c r="CA56" s="171" t="str">
        <f>IF(CA42="Free", (1/CA49)*(EXP(CA49*CA53)-CA49*CA53-1)/CA55, "-")</f>
        <v>-</v>
      </c>
      <c r="CB56" s="171" t="str">
        <f>IF(CB42="Free", (1/CB49)*(EXP(CB49*CB53)-CB49*CB53-1)/CB55, "-")</f>
        <v>-</v>
      </c>
      <c r="CC56" s="169" t="str">
        <f>IF(CC42="Free", (1/CC49)*(EXP(CC49*CC53)-CC49*CC53-1)/CC55, "-")</f>
        <v>-</v>
      </c>
      <c r="CD56" s="168" t="str">
        <f t="shared" ref="CD56" si="151">IF(CD42="Free", (1/CD49)*(EXP(CD49*CD53)-CD49*CD53-1)/CD55, "-")</f>
        <v>-</v>
      </c>
      <c r="CE56" s="171" t="str">
        <f>IF(CE42="Free", (1/CE49)*(EXP(CE49*CE53)-CE49*CE53-1)/CE55, "-")</f>
        <v>-</v>
      </c>
      <c r="CF56" s="171" t="str">
        <f>IF(CF42="Free", (1/CF49)*(EXP(CF49*CF53)-CF49*CF53-1)/CF55, "-")</f>
        <v>-</v>
      </c>
      <c r="CG56" s="169" t="str">
        <f>IF(CG42="Free", (1/CG49)*(EXP(CG49*CG53)-CG49*CG53-1)/CG55, "-")</f>
        <v>-</v>
      </c>
      <c r="CH56" s="168" t="str">
        <f t="shared" ref="CH56" si="152">IF(CH42="Free", (1/CH49)*(EXP(CH49*CH53)-CH49*CH53-1)/CH55, "-")</f>
        <v>-</v>
      </c>
      <c r="CI56" s="171" t="str">
        <f>IF(CI42="Free", (1/CI49)*(EXP(CI49*CI53)-CI49*CI53-1)/CI55, "-")</f>
        <v>-</v>
      </c>
      <c r="CJ56" s="171" t="str">
        <f>IF(CJ42="Free", (1/CJ49)*(EXP(CJ49*CJ53)-CJ49*CJ53-1)/CJ55, "-")</f>
        <v>-</v>
      </c>
      <c r="CK56" s="169" t="str">
        <f>IF(CK42="Free", (1/CK49)*(EXP(CK49*CK53)-CK49*CK53-1)/CK55, "-")</f>
        <v>-</v>
      </c>
      <c r="CL56" s="49"/>
      <c r="CM56" s="28"/>
    </row>
    <row r="57" spans="2:91" ht="14.25" x14ac:dyDescent="0.25">
      <c r="B57" s="55"/>
      <c r="C57" s="10" t="s">
        <v>300</v>
      </c>
      <c r="D57" s="93" t="s">
        <v>303</v>
      </c>
      <c r="E57" s="125" t="str">
        <f t="shared" ref="E57:M57" si="153">IF(E42="Free", ROUND(1/EXP(-E49*E48),0),"-")</f>
        <v>-</v>
      </c>
      <c r="F57" s="164" t="str">
        <f>IF(F42="Free", ROUND(1/EXP(-F49*F48),0),"-")</f>
        <v>-</v>
      </c>
      <c r="G57" s="164" t="str">
        <f t="shared" si="153"/>
        <v>-</v>
      </c>
      <c r="H57" s="164" t="str">
        <f t="shared" si="153"/>
        <v>-</v>
      </c>
      <c r="I57" s="164" t="str">
        <f t="shared" si="153"/>
        <v>-</v>
      </c>
      <c r="J57" s="162" t="str">
        <f t="shared" si="153"/>
        <v>-</v>
      </c>
      <c r="K57" s="164" t="str">
        <f t="shared" si="153"/>
        <v>-</v>
      </c>
      <c r="L57" s="164">
        <f t="shared" si="153"/>
        <v>68</v>
      </c>
      <c r="M57" s="163">
        <f t="shared" si="153"/>
        <v>68</v>
      </c>
      <c r="N57" s="168" t="str">
        <f t="shared" ref="N57:BY57" si="154">IF(N42="Free", ROUND(1/EXP(-N49*N48),0),"-")</f>
        <v>-</v>
      </c>
      <c r="O57" s="171" t="str">
        <f t="shared" si="154"/>
        <v>-</v>
      </c>
      <c r="P57" s="171" t="str">
        <f t="shared" si="154"/>
        <v>-</v>
      </c>
      <c r="Q57" s="169" t="str">
        <f t="shared" si="154"/>
        <v>-</v>
      </c>
      <c r="R57" s="168" t="str">
        <f t="shared" si="154"/>
        <v>-</v>
      </c>
      <c r="S57" s="171" t="str">
        <f t="shared" si="154"/>
        <v>-</v>
      </c>
      <c r="T57" s="171" t="str">
        <f t="shared" si="154"/>
        <v>-</v>
      </c>
      <c r="U57" s="169" t="str">
        <f t="shared" si="154"/>
        <v>-</v>
      </c>
      <c r="V57" s="168" t="str">
        <f t="shared" si="154"/>
        <v>-</v>
      </c>
      <c r="W57" s="171" t="str">
        <f t="shared" si="154"/>
        <v>-</v>
      </c>
      <c r="X57" s="171" t="str">
        <f t="shared" si="154"/>
        <v>-</v>
      </c>
      <c r="Y57" s="169" t="str">
        <f t="shared" si="154"/>
        <v>-</v>
      </c>
      <c r="Z57" s="168" t="str">
        <f t="shared" si="154"/>
        <v>-</v>
      </c>
      <c r="AA57" s="171" t="str">
        <f t="shared" si="154"/>
        <v>-</v>
      </c>
      <c r="AB57" s="171" t="str">
        <f t="shared" si="154"/>
        <v>-</v>
      </c>
      <c r="AC57" s="169" t="str">
        <f t="shared" si="154"/>
        <v>-</v>
      </c>
      <c r="AD57" s="168" t="str">
        <f t="shared" si="154"/>
        <v>-</v>
      </c>
      <c r="AE57" s="171" t="str">
        <f t="shared" si="154"/>
        <v>-</v>
      </c>
      <c r="AF57" s="171" t="str">
        <f t="shared" si="154"/>
        <v>-</v>
      </c>
      <c r="AG57" s="169" t="str">
        <f t="shared" si="154"/>
        <v>-</v>
      </c>
      <c r="AH57" s="168" t="str">
        <f t="shared" si="154"/>
        <v>-</v>
      </c>
      <c r="AI57" s="171" t="str">
        <f t="shared" si="154"/>
        <v>-</v>
      </c>
      <c r="AJ57" s="171" t="str">
        <f t="shared" si="154"/>
        <v>-</v>
      </c>
      <c r="AK57" s="169" t="str">
        <f t="shared" si="154"/>
        <v>-</v>
      </c>
      <c r="AL57" s="168" t="str">
        <f t="shared" si="154"/>
        <v>-</v>
      </c>
      <c r="AM57" s="171" t="str">
        <f t="shared" si="154"/>
        <v>-</v>
      </c>
      <c r="AN57" s="171" t="str">
        <f t="shared" si="154"/>
        <v>-</v>
      </c>
      <c r="AO57" s="169" t="str">
        <f t="shared" si="154"/>
        <v>-</v>
      </c>
      <c r="AP57" s="168" t="str">
        <f t="shared" si="154"/>
        <v>-</v>
      </c>
      <c r="AQ57" s="171" t="str">
        <f t="shared" si="154"/>
        <v>-</v>
      </c>
      <c r="AR57" s="171" t="str">
        <f t="shared" si="154"/>
        <v>-</v>
      </c>
      <c r="AS57" s="169" t="str">
        <f t="shared" si="154"/>
        <v>-</v>
      </c>
      <c r="AT57" s="168" t="str">
        <f t="shared" si="154"/>
        <v>-</v>
      </c>
      <c r="AU57" s="171" t="str">
        <f t="shared" si="154"/>
        <v>-</v>
      </c>
      <c r="AV57" s="171" t="str">
        <f t="shared" si="154"/>
        <v>-</v>
      </c>
      <c r="AW57" s="169" t="str">
        <f t="shared" si="154"/>
        <v>-</v>
      </c>
      <c r="AX57" s="168" t="str">
        <f t="shared" si="154"/>
        <v>-</v>
      </c>
      <c r="AY57" s="171" t="str">
        <f t="shared" si="154"/>
        <v>-</v>
      </c>
      <c r="AZ57" s="171" t="str">
        <f t="shared" si="154"/>
        <v>-</v>
      </c>
      <c r="BA57" s="169" t="str">
        <f t="shared" si="154"/>
        <v>-</v>
      </c>
      <c r="BB57" s="168" t="str">
        <f t="shared" si="154"/>
        <v>-</v>
      </c>
      <c r="BC57" s="171" t="str">
        <f t="shared" si="154"/>
        <v>-</v>
      </c>
      <c r="BD57" s="171" t="str">
        <f t="shared" si="154"/>
        <v>-</v>
      </c>
      <c r="BE57" s="169" t="str">
        <f t="shared" si="154"/>
        <v>-</v>
      </c>
      <c r="BF57" s="168" t="str">
        <f t="shared" si="154"/>
        <v>-</v>
      </c>
      <c r="BG57" s="171" t="str">
        <f t="shared" si="154"/>
        <v>-</v>
      </c>
      <c r="BH57" s="171" t="str">
        <f t="shared" si="154"/>
        <v>-</v>
      </c>
      <c r="BI57" s="169" t="str">
        <f t="shared" si="154"/>
        <v>-</v>
      </c>
      <c r="BJ57" s="168" t="str">
        <f t="shared" si="154"/>
        <v>-</v>
      </c>
      <c r="BK57" s="171" t="str">
        <f t="shared" si="154"/>
        <v>-</v>
      </c>
      <c r="BL57" s="171" t="str">
        <f t="shared" si="154"/>
        <v>-</v>
      </c>
      <c r="BM57" s="169" t="str">
        <f t="shared" si="154"/>
        <v>-</v>
      </c>
      <c r="BN57" s="168" t="str">
        <f t="shared" si="154"/>
        <v>-</v>
      </c>
      <c r="BO57" s="171" t="str">
        <f t="shared" si="154"/>
        <v>-</v>
      </c>
      <c r="BP57" s="171" t="str">
        <f t="shared" si="154"/>
        <v>-</v>
      </c>
      <c r="BQ57" s="169" t="str">
        <f t="shared" si="154"/>
        <v>-</v>
      </c>
      <c r="BR57" s="168" t="str">
        <f t="shared" si="154"/>
        <v>-</v>
      </c>
      <c r="BS57" s="171" t="str">
        <f t="shared" si="154"/>
        <v>-</v>
      </c>
      <c r="BT57" s="171" t="str">
        <f t="shared" si="154"/>
        <v>-</v>
      </c>
      <c r="BU57" s="169" t="str">
        <f t="shared" si="154"/>
        <v>-</v>
      </c>
      <c r="BV57" s="168" t="str">
        <f t="shared" si="154"/>
        <v>-</v>
      </c>
      <c r="BW57" s="171" t="str">
        <f t="shared" si="154"/>
        <v>-</v>
      </c>
      <c r="BX57" s="171" t="str">
        <f t="shared" si="154"/>
        <v>-</v>
      </c>
      <c r="BY57" s="169" t="str">
        <f t="shared" si="154"/>
        <v>-</v>
      </c>
      <c r="BZ57" s="168" t="str">
        <f t="shared" ref="BZ57:CK57" si="155">IF(BZ42="Free", ROUND(1/EXP(-BZ49*BZ48),0),"-")</f>
        <v>-</v>
      </c>
      <c r="CA57" s="171" t="str">
        <f t="shared" si="155"/>
        <v>-</v>
      </c>
      <c r="CB57" s="171" t="str">
        <f t="shared" si="155"/>
        <v>-</v>
      </c>
      <c r="CC57" s="169" t="str">
        <f t="shared" si="155"/>
        <v>-</v>
      </c>
      <c r="CD57" s="168" t="str">
        <f t="shared" si="155"/>
        <v>-</v>
      </c>
      <c r="CE57" s="171" t="str">
        <f t="shared" si="155"/>
        <v>-</v>
      </c>
      <c r="CF57" s="171" t="str">
        <f t="shared" si="155"/>
        <v>-</v>
      </c>
      <c r="CG57" s="169" t="str">
        <f t="shared" si="155"/>
        <v>-</v>
      </c>
      <c r="CH57" s="168" t="str">
        <f t="shared" si="155"/>
        <v>-</v>
      </c>
      <c r="CI57" s="171" t="str">
        <f t="shared" si="155"/>
        <v>-</v>
      </c>
      <c r="CJ57" s="171" t="str">
        <f t="shared" si="155"/>
        <v>-</v>
      </c>
      <c r="CK57" s="169" t="str">
        <f t="shared" si="155"/>
        <v>-</v>
      </c>
      <c r="CL57" s="49"/>
      <c r="CM57" s="28"/>
    </row>
    <row r="58" spans="2:91" ht="14.25" x14ac:dyDescent="0.25">
      <c r="B58" s="55"/>
      <c r="C58" s="10" t="s">
        <v>299</v>
      </c>
      <c r="D58" s="93" t="s">
        <v>298</v>
      </c>
      <c r="E58" s="125">
        <f>((1/(E49/E9)) - (E48-(1/(E49/E9)))*EXP(-(E49/E9)*E48))/(1-EXP(-(E49/E9)*E48))</f>
        <v>49.599795895179433</v>
      </c>
      <c r="F58" s="164">
        <f>((1/(F49/F9)) - (F48-(1/(F49/F9)))*EXP(-(F49/F9)*F48))/(1-EXP(-(F49/F9)*F48))</f>
        <v>11.678192772537651</v>
      </c>
      <c r="G58" s="164">
        <f>((1/(G49/G9)) - (G48-(1/(G49/G9)))*EXP(-(G49/G9)*G48))/(1-EXP(-(G49/G9)*G48))</f>
        <v>11.678192772537651</v>
      </c>
      <c r="H58" s="164">
        <f>((1/(H49/H9)) - (H48-(1/(H49/H9)))*EXP(-(H49/H9)*H48))/(1-EXP(-(H49/H9)*H48))</f>
        <v>21.27036271020209</v>
      </c>
      <c r="I58" s="164">
        <f>((1/(I49/I9)) - (I48-(1/(I49/I9)))*EXP(-(I49/I9)*I48))/(1-EXP(-(I49/I9)*I48))</f>
        <v>21.27036271020209</v>
      </c>
      <c r="J58" s="162" t="e">
        <f>1/(J49/J9)</f>
        <v>#DIV/0!</v>
      </c>
      <c r="K58" s="164">
        <f>((1/(K49/K9)) - (K48-(1/(K49/K9)))*EXP(-(K49/K9)*K48))/(1-EXP(-(K49/K9)*K48))</f>
        <v>2699.6880219016657</v>
      </c>
      <c r="L58" s="165">
        <f>((1/(L49/L9)) - (L48-(1/(L49/L9)))*EXP(-(L49/L9)*L48))/(1-EXP(-(L49/L9)*L48))</f>
        <v>27.138593675237082</v>
      </c>
      <c r="M58" s="163">
        <f>((1/(M49/M9)) - (M48-(1/(M49/M9)))*EXP(-(M49/M9)*M48))/(1-EXP(-(M49/M9)*M48))</f>
        <v>27.138593675237082</v>
      </c>
      <c r="N58" s="168" t="e">
        <f>1/(N49/N9)</f>
        <v>#DIV/0!</v>
      </c>
      <c r="O58" s="171" t="e">
        <f>((1/(O49/O9)) - (O48-(1/(O49/O9)))*EXP(-(O49/O9)*O48))/(1-EXP(-(O49/O9)*O48))</f>
        <v>#DIV/0!</v>
      </c>
      <c r="P58" s="171" t="e">
        <f>((1/(P49/P9)) - (P48-(1/(P49/P9)))*EXP(-(P49/P9)*P48))/(1-EXP(-(P49/P9)*P48))</f>
        <v>#DIV/0!</v>
      </c>
      <c r="Q58" s="169" t="e">
        <f>((1/(Q49/Q9)) - (Q48-(1/(Q49/Q9)))*EXP(-(Q49/Q9)*Q48))/(1-EXP(-(Q49/Q9)*Q48))</f>
        <v>#DIV/0!</v>
      </c>
      <c r="R58" s="168" t="e">
        <f>1/(R49/R9)</f>
        <v>#DIV/0!</v>
      </c>
      <c r="S58" s="171" t="e">
        <f>((1/(S49/S9)) - (S48-(1/(S49/S9)))*EXP(-(S49/S9)*S48))/(1-EXP(-(S49/S9)*S48))</f>
        <v>#DIV/0!</v>
      </c>
      <c r="T58" s="171" t="e">
        <f>((1/(T49/T9)) - (T48-(1/(T49/T9)))*EXP(-(T49/T9)*T48))/(1-EXP(-(T49/T9)*T48))</f>
        <v>#DIV/0!</v>
      </c>
      <c r="U58" s="169" t="e">
        <f>((1/(U49/U9)) - (U48-(1/(U49/U9)))*EXP(-(U49/U9)*U48))/(1-EXP(-(U49/U9)*U48))</f>
        <v>#DIV/0!</v>
      </c>
      <c r="V58" s="168" t="e">
        <f>1/(V49/V9)</f>
        <v>#DIV/0!</v>
      </c>
      <c r="W58" s="171" t="e">
        <f>((1/(W49/W9)) - (W48-(1/(W49/W9)))*EXP(-(W49/W9)*W48))/(1-EXP(-(W49/W9)*W48))</f>
        <v>#DIV/0!</v>
      </c>
      <c r="X58" s="171" t="e">
        <f>((1/(X49/X9)) - (X48-(1/(X49/X9)))*EXP(-(X49/X9)*X48))/(1-EXP(-(X49/X9)*X48))</f>
        <v>#DIV/0!</v>
      </c>
      <c r="Y58" s="169" t="e">
        <f>((1/(Y49/Y9)) - (Y48-(1/(Y49/Y9)))*EXP(-(Y49/Y9)*Y48))/(1-EXP(-(Y49/Y9)*Y48))</f>
        <v>#DIV/0!</v>
      </c>
      <c r="Z58" s="168" t="e">
        <f>1/(Z49/Z9)</f>
        <v>#DIV/0!</v>
      </c>
      <c r="AA58" s="171" t="e">
        <f>((1/(AA49/AA9)) - (AA48-(1/(AA49/AA9)))*EXP(-(AA49/AA9)*AA48))/(1-EXP(-(AA49/AA9)*AA48))</f>
        <v>#DIV/0!</v>
      </c>
      <c r="AB58" s="171" t="e">
        <f>((1/(AB49/AB9)) - (AB48-(1/(AB49/AB9)))*EXP(-(AB49/AB9)*AB48))/(1-EXP(-(AB49/AB9)*AB48))</f>
        <v>#DIV/0!</v>
      </c>
      <c r="AC58" s="169" t="e">
        <f>((1/(AC49/AC9)) - (AC48-(1/(AC49/AC9)))*EXP(-(AC49/AC9)*AC48))/(1-EXP(-(AC49/AC9)*AC48))</f>
        <v>#DIV/0!</v>
      </c>
      <c r="AD58" s="168" t="e">
        <f>1/(AD49/AD9)</f>
        <v>#DIV/0!</v>
      </c>
      <c r="AE58" s="171" t="e">
        <f>((1/(AE49/AE9)) - (AE48-(1/(AE49/AE9)))*EXP(-(AE49/AE9)*AE48))/(1-EXP(-(AE49/AE9)*AE48))</f>
        <v>#DIV/0!</v>
      </c>
      <c r="AF58" s="171" t="e">
        <f>((1/(AF49/AF9)) - (AF48-(1/(AF49/AF9)))*EXP(-(AF49/AF9)*AF48))/(1-EXP(-(AF49/AF9)*AF48))</f>
        <v>#DIV/0!</v>
      </c>
      <c r="AG58" s="169" t="e">
        <f>((1/(AG49/AG9)) - (AG48-(1/(AG49/AG9)))*EXP(-(AG49/AG9)*AG48))/(1-EXP(-(AG49/AG9)*AG48))</f>
        <v>#DIV/0!</v>
      </c>
      <c r="AH58" s="168" t="e">
        <f>1/(AH49/AH9)</f>
        <v>#DIV/0!</v>
      </c>
      <c r="AI58" s="171" t="e">
        <f>((1/(AI49/AI9)) - (AI48-(1/(AI49/AI9)))*EXP(-(AI49/AI9)*AI48))/(1-EXP(-(AI49/AI9)*AI48))</f>
        <v>#DIV/0!</v>
      </c>
      <c r="AJ58" s="171" t="e">
        <f>((1/(AJ49/AJ9)) - (AJ48-(1/(AJ49/AJ9)))*EXP(-(AJ49/AJ9)*AJ48))/(1-EXP(-(AJ49/AJ9)*AJ48))</f>
        <v>#DIV/0!</v>
      </c>
      <c r="AK58" s="169" t="e">
        <f>((1/(AK49/AK9)) - (AK48-(1/(AK49/AK9)))*EXP(-(AK49/AK9)*AK48))/(1-EXP(-(AK49/AK9)*AK48))</f>
        <v>#DIV/0!</v>
      </c>
      <c r="AL58" s="168" t="e">
        <f>1/(AL49/AL9)</f>
        <v>#DIV/0!</v>
      </c>
      <c r="AM58" s="171" t="e">
        <f>((1/(AM49/AM9)) - (AM48-(1/(AM49/AM9)))*EXP(-(AM49/AM9)*AM48))/(1-EXP(-(AM49/AM9)*AM48))</f>
        <v>#DIV/0!</v>
      </c>
      <c r="AN58" s="171" t="e">
        <f>((1/(AN49/AN9)) - (AN48-(1/(AN49/AN9)))*EXP(-(AN49/AN9)*AN48))/(1-EXP(-(AN49/AN9)*AN48))</f>
        <v>#DIV/0!</v>
      </c>
      <c r="AO58" s="169" t="e">
        <f>((1/(AO49/AO9)) - (AO48-(1/(AO49/AO9)))*EXP(-(AO49/AO9)*AO48))/(1-EXP(-(AO49/AO9)*AO48))</f>
        <v>#DIV/0!</v>
      </c>
      <c r="AP58" s="168" t="e">
        <f>1/(AP49/AP9)</f>
        <v>#DIV/0!</v>
      </c>
      <c r="AQ58" s="171" t="e">
        <f>((1/(AQ49/AQ9)) - (AQ48-(1/(AQ49/AQ9)))*EXP(-(AQ49/AQ9)*AQ48))/(1-EXP(-(AQ49/AQ9)*AQ48))</f>
        <v>#DIV/0!</v>
      </c>
      <c r="AR58" s="171" t="e">
        <f>((1/(AR49/AR9)) - (AR48-(1/(AR49/AR9)))*EXP(-(AR49/AR9)*AR48))/(1-EXP(-(AR49/AR9)*AR48))</f>
        <v>#DIV/0!</v>
      </c>
      <c r="AS58" s="169" t="e">
        <f>((1/(AS49/AS9)) - (AS48-(1/(AS49/AS9)))*EXP(-(AS49/AS9)*AS48))/(1-EXP(-(AS49/AS9)*AS48))</f>
        <v>#DIV/0!</v>
      </c>
      <c r="AT58" s="168" t="e">
        <f>1/(AT49/AT9)</f>
        <v>#DIV/0!</v>
      </c>
      <c r="AU58" s="171" t="e">
        <f>((1/(AU49/AU9)) - (AU48-(1/(AU49/AU9)))*EXP(-(AU49/AU9)*AU48))/(1-EXP(-(AU49/AU9)*AU48))</f>
        <v>#DIV/0!</v>
      </c>
      <c r="AV58" s="171" t="e">
        <f>((1/(AV49/AV9)) - (AV48-(1/(AV49/AV9)))*EXP(-(AV49/AV9)*AV48))/(1-EXP(-(AV49/AV9)*AV48))</f>
        <v>#DIV/0!</v>
      </c>
      <c r="AW58" s="169" t="e">
        <f>((1/(AW49/AW9)) - (AW48-(1/(AW49/AW9)))*EXP(-(AW49/AW9)*AW48))/(1-EXP(-(AW49/AW9)*AW48))</f>
        <v>#DIV/0!</v>
      </c>
      <c r="AX58" s="168" t="e">
        <f>1/(AX49/AX9)</f>
        <v>#DIV/0!</v>
      </c>
      <c r="AY58" s="171" t="e">
        <f>((1/(AY49/AY9)) - (AY48-(1/(AY49/AY9)))*EXP(-(AY49/AY9)*AY48))/(1-EXP(-(AY49/AY9)*AY48))</f>
        <v>#DIV/0!</v>
      </c>
      <c r="AZ58" s="171" t="e">
        <f>((1/(AZ49/AZ9)) - (AZ48-(1/(AZ49/AZ9)))*EXP(-(AZ49/AZ9)*AZ48))/(1-EXP(-(AZ49/AZ9)*AZ48))</f>
        <v>#DIV/0!</v>
      </c>
      <c r="BA58" s="169" t="e">
        <f>((1/(BA49/BA9)) - (BA48-(1/(BA49/BA9)))*EXP(-(BA49/BA9)*BA48))/(1-EXP(-(BA49/BA9)*BA48))</f>
        <v>#DIV/0!</v>
      </c>
      <c r="BB58" s="168" t="e">
        <f>1/(BB49/BB9)</f>
        <v>#DIV/0!</v>
      </c>
      <c r="BC58" s="171" t="e">
        <f>((1/(BC49/BC9)) - (BC48-(1/(BC49/BC9)))*EXP(-(BC49/BC9)*BC48))/(1-EXP(-(BC49/BC9)*BC48))</f>
        <v>#DIV/0!</v>
      </c>
      <c r="BD58" s="171" t="e">
        <f>((1/(BD49/BD9)) - (BD48-(1/(BD49/BD9)))*EXP(-(BD49/BD9)*BD48))/(1-EXP(-(BD49/BD9)*BD48))</f>
        <v>#DIV/0!</v>
      </c>
      <c r="BE58" s="169" t="e">
        <f>((1/(BE49/BE9)) - (BE48-(1/(BE49/BE9)))*EXP(-(BE49/BE9)*BE48))/(1-EXP(-(BE49/BE9)*BE48))</f>
        <v>#DIV/0!</v>
      </c>
      <c r="BF58" s="168" t="e">
        <f>1/(BF49/BF9)</f>
        <v>#DIV/0!</v>
      </c>
      <c r="BG58" s="171" t="e">
        <f>((1/(BG49/BG9)) - (BG48-(1/(BG49/BG9)))*EXP(-(BG49/BG9)*BG48))/(1-EXP(-(BG49/BG9)*BG48))</f>
        <v>#DIV/0!</v>
      </c>
      <c r="BH58" s="171" t="e">
        <f>((1/(BH49/BH9)) - (BH48-(1/(BH49/BH9)))*EXP(-(BH49/BH9)*BH48))/(1-EXP(-(BH49/BH9)*BH48))</f>
        <v>#DIV/0!</v>
      </c>
      <c r="BI58" s="169" t="e">
        <f>((1/(BI49/BI9)) - (BI48-(1/(BI49/BI9)))*EXP(-(BI49/BI9)*BI48))/(1-EXP(-(BI49/BI9)*BI48))</f>
        <v>#DIV/0!</v>
      </c>
      <c r="BJ58" s="168" t="e">
        <f>1/(BJ49/BJ9)</f>
        <v>#DIV/0!</v>
      </c>
      <c r="BK58" s="171" t="e">
        <f>((1/(BK49/BK9)) - (BK48-(1/(BK49/BK9)))*EXP(-(BK49/BK9)*BK48))/(1-EXP(-(BK49/BK9)*BK48))</f>
        <v>#DIV/0!</v>
      </c>
      <c r="BL58" s="171" t="e">
        <f>((1/(BL49/BL9)) - (BL48-(1/(BL49/BL9)))*EXP(-(BL49/BL9)*BL48))/(1-EXP(-(BL49/BL9)*BL48))</f>
        <v>#DIV/0!</v>
      </c>
      <c r="BM58" s="169" t="e">
        <f>((1/(BM49/BM9)) - (BM48-(1/(BM49/BM9)))*EXP(-(BM49/BM9)*BM48))/(1-EXP(-(BM49/BM9)*BM48))</f>
        <v>#DIV/0!</v>
      </c>
      <c r="BN58" s="168" t="e">
        <f>1/(BN49/BN9)</f>
        <v>#DIV/0!</v>
      </c>
      <c r="BO58" s="171" t="e">
        <f>((1/(BO49/BO9)) - (BO48-(1/(BO49/BO9)))*EXP(-(BO49/BO9)*BO48))/(1-EXP(-(BO49/BO9)*BO48))</f>
        <v>#DIV/0!</v>
      </c>
      <c r="BP58" s="171" t="e">
        <f>((1/(BP49/BP9)) - (BP48-(1/(BP49/BP9)))*EXP(-(BP49/BP9)*BP48))/(1-EXP(-(BP49/BP9)*BP48))</f>
        <v>#DIV/0!</v>
      </c>
      <c r="BQ58" s="169" t="e">
        <f>((1/(BQ49/BQ9)) - (BQ48-(1/(BQ49/BQ9)))*EXP(-(BQ49/BQ9)*BQ48))/(1-EXP(-(BQ49/BQ9)*BQ48))</f>
        <v>#DIV/0!</v>
      </c>
      <c r="BR58" s="168" t="e">
        <f>1/(BR49/BR9)</f>
        <v>#DIV/0!</v>
      </c>
      <c r="BS58" s="171" t="e">
        <f>((1/(BS49/BS9)) - (BS48-(1/(BS49/BS9)))*EXP(-(BS49/BS9)*BS48))/(1-EXP(-(BS49/BS9)*BS48))</f>
        <v>#DIV/0!</v>
      </c>
      <c r="BT58" s="171" t="e">
        <f>((1/(BT49/BT9)) - (BT48-(1/(BT49/BT9)))*EXP(-(BT49/BT9)*BT48))/(1-EXP(-(BT49/BT9)*BT48))</f>
        <v>#DIV/0!</v>
      </c>
      <c r="BU58" s="169" t="e">
        <f>((1/(BU49/BU9)) - (BU48-(1/(BU49/BU9)))*EXP(-(BU49/BU9)*BU48))/(1-EXP(-(BU49/BU9)*BU48))</f>
        <v>#DIV/0!</v>
      </c>
      <c r="BV58" s="168" t="e">
        <f>1/(BV49/BV9)</f>
        <v>#DIV/0!</v>
      </c>
      <c r="BW58" s="171" t="e">
        <f>((1/(BW49/BW9)) - (BW48-(1/(BW49/BW9)))*EXP(-(BW49/BW9)*BW48))/(1-EXP(-(BW49/BW9)*BW48))</f>
        <v>#DIV/0!</v>
      </c>
      <c r="BX58" s="171" t="e">
        <f>((1/(BX49/BX9)) - (BX48-(1/(BX49/BX9)))*EXP(-(BX49/BX9)*BX48))/(1-EXP(-(BX49/BX9)*BX48))</f>
        <v>#DIV/0!</v>
      </c>
      <c r="BY58" s="169" t="e">
        <f>((1/(BY49/BY9)) - (BY48-(1/(BY49/BY9)))*EXP(-(BY49/BY9)*BY48))/(1-EXP(-(BY49/BY9)*BY48))</f>
        <v>#DIV/0!</v>
      </c>
      <c r="BZ58" s="168" t="e">
        <f>1/(BZ49/BZ9)</f>
        <v>#DIV/0!</v>
      </c>
      <c r="CA58" s="171" t="e">
        <f>((1/(CA49/CA9)) - (CA48-(1/(CA49/CA9)))*EXP(-(CA49/CA9)*CA48))/(1-EXP(-(CA49/CA9)*CA48))</f>
        <v>#DIV/0!</v>
      </c>
      <c r="CB58" s="171" t="e">
        <f>((1/(CB49/CB9)) - (CB48-(1/(CB49/CB9)))*EXP(-(CB49/CB9)*CB48))/(1-EXP(-(CB49/CB9)*CB48))</f>
        <v>#DIV/0!</v>
      </c>
      <c r="CC58" s="169" t="e">
        <f>((1/(CC49/CC9)) - (CC48-(1/(CC49/CC9)))*EXP(-(CC49/CC9)*CC48))/(1-EXP(-(CC49/CC9)*CC48))</f>
        <v>#DIV/0!</v>
      </c>
      <c r="CD58" s="168" t="e">
        <f>1/(CD49/CD9)</f>
        <v>#DIV/0!</v>
      </c>
      <c r="CE58" s="171" t="e">
        <f>((1/(CE49/CE9)) - (CE48-(1/(CE49/CE9)))*EXP(-(CE49/CE9)*CE48))/(1-EXP(-(CE49/CE9)*CE48))</f>
        <v>#DIV/0!</v>
      </c>
      <c r="CF58" s="171" t="e">
        <f>((1/(CF49/CF9)) - (CF48-(1/(CF49/CF9)))*EXP(-(CF49/CF9)*CF48))/(1-EXP(-(CF49/CF9)*CF48))</f>
        <v>#DIV/0!</v>
      </c>
      <c r="CG58" s="169" t="e">
        <f>((1/(CG49/CG9)) - (CG48-(1/(CG49/CG9)))*EXP(-(CG49/CG9)*CG48))/(1-EXP(-(CG49/CG9)*CG48))</f>
        <v>#DIV/0!</v>
      </c>
      <c r="CH58" s="168" t="e">
        <f>1/(CH49/CH9)</f>
        <v>#DIV/0!</v>
      </c>
      <c r="CI58" s="171" t="e">
        <f>((1/(CI49/CI9)) - (CI48-(1/(CI49/CI9)))*EXP(-(CI49/CI9)*CI48))/(1-EXP(-(CI49/CI9)*CI48))</f>
        <v>#DIV/0!</v>
      </c>
      <c r="CJ58" s="171" t="e">
        <f>((1/(CJ49/CJ9)) - (CJ48-(1/(CJ49/CJ9)))*EXP(-(CJ49/CJ9)*CJ48))/(1-EXP(-(CJ49/CJ9)*CJ48))</f>
        <v>#DIV/0!</v>
      </c>
      <c r="CK58" s="169" t="e">
        <f>((1/(CK49/CK9)) - (CK48-(1/(CK49/CK9)))*EXP(-(CK49/CK9)*CK48))/(1-EXP(-(CK49/CK9)*CK48))</f>
        <v>#DIV/0!</v>
      </c>
      <c r="CL58" s="49"/>
      <c r="CM58" s="28"/>
    </row>
    <row r="59" spans="2:91" ht="14.25" x14ac:dyDescent="0.25">
      <c r="B59" s="55"/>
      <c r="C59" s="10" t="s">
        <v>103</v>
      </c>
      <c r="D59" s="93" t="s">
        <v>39</v>
      </c>
      <c r="E59" s="125">
        <f t="shared" ref="E59:AJ59" si="156">0.681*E9^0.514</f>
        <v>1.3886920442435355</v>
      </c>
      <c r="F59" s="72">
        <f t="shared" si="156"/>
        <v>1.5574628423543384</v>
      </c>
      <c r="G59" s="73">
        <f t="shared" si="156"/>
        <v>1.5574628423543384</v>
      </c>
      <c r="H59" s="73">
        <f t="shared" si="156"/>
        <v>1.3886920442435355</v>
      </c>
      <c r="I59" s="74">
        <f t="shared" si="156"/>
        <v>1.3886920442435355</v>
      </c>
      <c r="J59" s="96">
        <f t="shared" si="156"/>
        <v>0</v>
      </c>
      <c r="K59" s="97">
        <f t="shared" si="156"/>
        <v>0.97247071016552877</v>
      </c>
      <c r="L59" s="97">
        <f t="shared" si="156"/>
        <v>1.3886920442435355</v>
      </c>
      <c r="M59" s="98">
        <f t="shared" si="156"/>
        <v>1.3886920442435355</v>
      </c>
      <c r="N59" s="168">
        <f t="shared" si="156"/>
        <v>0</v>
      </c>
      <c r="O59" s="171">
        <f t="shared" si="156"/>
        <v>0</v>
      </c>
      <c r="P59" s="171">
        <f t="shared" si="156"/>
        <v>0</v>
      </c>
      <c r="Q59" s="169">
        <f t="shared" si="156"/>
        <v>0</v>
      </c>
      <c r="R59" s="168">
        <f t="shared" si="156"/>
        <v>0</v>
      </c>
      <c r="S59" s="171">
        <f t="shared" si="156"/>
        <v>0</v>
      </c>
      <c r="T59" s="171">
        <f t="shared" si="156"/>
        <v>0</v>
      </c>
      <c r="U59" s="169">
        <f t="shared" si="156"/>
        <v>0</v>
      </c>
      <c r="V59" s="168">
        <f t="shared" si="156"/>
        <v>0</v>
      </c>
      <c r="W59" s="171">
        <f t="shared" si="156"/>
        <v>0</v>
      </c>
      <c r="X59" s="171">
        <f t="shared" si="156"/>
        <v>0</v>
      </c>
      <c r="Y59" s="169">
        <f t="shared" si="156"/>
        <v>0</v>
      </c>
      <c r="Z59" s="168">
        <f t="shared" si="156"/>
        <v>0</v>
      </c>
      <c r="AA59" s="171">
        <f t="shared" si="156"/>
        <v>0</v>
      </c>
      <c r="AB59" s="171">
        <f t="shared" si="156"/>
        <v>0</v>
      </c>
      <c r="AC59" s="169">
        <f t="shared" si="156"/>
        <v>0</v>
      </c>
      <c r="AD59" s="168">
        <f t="shared" si="156"/>
        <v>0</v>
      </c>
      <c r="AE59" s="171">
        <f t="shared" si="156"/>
        <v>0</v>
      </c>
      <c r="AF59" s="171">
        <f t="shared" si="156"/>
        <v>0</v>
      </c>
      <c r="AG59" s="169">
        <f t="shared" si="156"/>
        <v>0</v>
      </c>
      <c r="AH59" s="168">
        <f t="shared" si="156"/>
        <v>0</v>
      </c>
      <c r="AI59" s="171">
        <f t="shared" si="156"/>
        <v>0</v>
      </c>
      <c r="AJ59" s="171">
        <f t="shared" si="156"/>
        <v>0</v>
      </c>
      <c r="AK59" s="169">
        <f t="shared" ref="AK59:BP59" si="157">0.681*AK9^0.514</f>
        <v>0</v>
      </c>
      <c r="AL59" s="168">
        <f t="shared" si="157"/>
        <v>0</v>
      </c>
      <c r="AM59" s="171">
        <f t="shared" si="157"/>
        <v>0</v>
      </c>
      <c r="AN59" s="171">
        <f t="shared" si="157"/>
        <v>0</v>
      </c>
      <c r="AO59" s="169">
        <f t="shared" si="157"/>
        <v>0</v>
      </c>
      <c r="AP59" s="168">
        <f t="shared" si="157"/>
        <v>0</v>
      </c>
      <c r="AQ59" s="171">
        <f t="shared" si="157"/>
        <v>0</v>
      </c>
      <c r="AR59" s="171">
        <f t="shared" si="157"/>
        <v>0</v>
      </c>
      <c r="AS59" s="169">
        <f t="shared" si="157"/>
        <v>0</v>
      </c>
      <c r="AT59" s="168">
        <f t="shared" si="157"/>
        <v>0</v>
      </c>
      <c r="AU59" s="171">
        <f t="shared" si="157"/>
        <v>0</v>
      </c>
      <c r="AV59" s="171">
        <f t="shared" si="157"/>
        <v>0</v>
      </c>
      <c r="AW59" s="169">
        <f t="shared" si="157"/>
        <v>0</v>
      </c>
      <c r="AX59" s="168">
        <f t="shared" si="157"/>
        <v>0</v>
      </c>
      <c r="AY59" s="171">
        <f t="shared" si="157"/>
        <v>0</v>
      </c>
      <c r="AZ59" s="171">
        <f t="shared" si="157"/>
        <v>0</v>
      </c>
      <c r="BA59" s="169">
        <f t="shared" si="157"/>
        <v>0</v>
      </c>
      <c r="BB59" s="168">
        <f t="shared" si="157"/>
        <v>0</v>
      </c>
      <c r="BC59" s="171">
        <f t="shared" si="157"/>
        <v>0</v>
      </c>
      <c r="BD59" s="171">
        <f t="shared" si="157"/>
        <v>0</v>
      </c>
      <c r="BE59" s="169">
        <f t="shared" si="157"/>
        <v>0</v>
      </c>
      <c r="BF59" s="168">
        <f t="shared" si="157"/>
        <v>0</v>
      </c>
      <c r="BG59" s="171">
        <f t="shared" si="157"/>
        <v>0</v>
      </c>
      <c r="BH59" s="171">
        <f t="shared" si="157"/>
        <v>0</v>
      </c>
      <c r="BI59" s="169">
        <f t="shared" si="157"/>
        <v>0</v>
      </c>
      <c r="BJ59" s="168">
        <f t="shared" si="157"/>
        <v>0</v>
      </c>
      <c r="BK59" s="171">
        <f t="shared" si="157"/>
        <v>0</v>
      </c>
      <c r="BL59" s="171">
        <f t="shared" si="157"/>
        <v>0</v>
      </c>
      <c r="BM59" s="169">
        <f t="shared" si="157"/>
        <v>0</v>
      </c>
      <c r="BN59" s="168">
        <f t="shared" si="157"/>
        <v>0</v>
      </c>
      <c r="BO59" s="171">
        <f t="shared" si="157"/>
        <v>0</v>
      </c>
      <c r="BP59" s="171">
        <f t="shared" si="157"/>
        <v>0</v>
      </c>
      <c r="BQ59" s="169">
        <f t="shared" ref="BQ59:CK59" si="158">0.681*BQ9^0.514</f>
        <v>0</v>
      </c>
      <c r="BR59" s="168">
        <f t="shared" si="158"/>
        <v>0</v>
      </c>
      <c r="BS59" s="171">
        <f t="shared" si="158"/>
        <v>0</v>
      </c>
      <c r="BT59" s="171">
        <f t="shared" si="158"/>
        <v>0</v>
      </c>
      <c r="BU59" s="169">
        <f t="shared" si="158"/>
        <v>0</v>
      </c>
      <c r="BV59" s="168">
        <f t="shared" si="158"/>
        <v>0</v>
      </c>
      <c r="BW59" s="171">
        <f t="shared" si="158"/>
        <v>0</v>
      </c>
      <c r="BX59" s="171">
        <f t="shared" si="158"/>
        <v>0</v>
      </c>
      <c r="BY59" s="169">
        <f t="shared" si="158"/>
        <v>0</v>
      </c>
      <c r="BZ59" s="168">
        <f t="shared" si="158"/>
        <v>0</v>
      </c>
      <c r="CA59" s="171">
        <f t="shared" si="158"/>
        <v>0</v>
      </c>
      <c r="CB59" s="171">
        <f t="shared" si="158"/>
        <v>0</v>
      </c>
      <c r="CC59" s="169">
        <f t="shared" si="158"/>
        <v>0</v>
      </c>
      <c r="CD59" s="168">
        <f t="shared" si="158"/>
        <v>0</v>
      </c>
      <c r="CE59" s="171">
        <f t="shared" si="158"/>
        <v>0</v>
      </c>
      <c r="CF59" s="171">
        <f t="shared" si="158"/>
        <v>0</v>
      </c>
      <c r="CG59" s="169">
        <f t="shared" si="158"/>
        <v>0</v>
      </c>
      <c r="CH59" s="168">
        <f t="shared" si="158"/>
        <v>0</v>
      </c>
      <c r="CI59" s="171">
        <f t="shared" si="158"/>
        <v>0</v>
      </c>
      <c r="CJ59" s="171">
        <f t="shared" si="158"/>
        <v>0</v>
      </c>
      <c r="CK59" s="169">
        <f t="shared" si="158"/>
        <v>0</v>
      </c>
      <c r="CL59" s="49"/>
      <c r="CM59" s="28"/>
    </row>
    <row r="60" spans="2:91" ht="14.25" x14ac:dyDescent="0.25">
      <c r="B60" s="55"/>
      <c r="C60" s="10" t="s">
        <v>150</v>
      </c>
      <c r="D60" s="93" t="s">
        <v>151</v>
      </c>
      <c r="E60" s="127">
        <f>SUM(E13:E15,G14,F15,H13)/(4*E9)</f>
        <v>92.3125</v>
      </c>
      <c r="F60" s="42">
        <f>SUM(F13:F15,H14,G15,I13)/(4*F9)</f>
        <v>73.099999999999994</v>
      </c>
      <c r="G60" s="45">
        <f>SUM(G13:G15,F15,H13,I14)/(4*G9)</f>
        <v>85.2</v>
      </c>
      <c r="H60" s="45">
        <f>SUM(H13:H15,G14,F13,I15)/(4*H9)</f>
        <v>60.4375</v>
      </c>
      <c r="I60" s="94">
        <f>SUM(I13:I15,F14,G13,H15)/(4*I9)</f>
        <v>47.6875</v>
      </c>
      <c r="J60" s="100" t="e">
        <f>SUM(J13:J15,L14,K15,M13)/(4*J9)</f>
        <v>#DIV/0!</v>
      </c>
      <c r="K60" s="101">
        <f>SUM(K13:K15,J15,L13,M14)/(4*K9)</f>
        <v>11.875</v>
      </c>
      <c r="L60" s="101">
        <f>SUM(L13:L15,K14,J13,M15)/(4*L9)</f>
        <v>49.75</v>
      </c>
      <c r="M60" s="102">
        <f>SUM(M13:M15,J14,K13,L15)/(4*M9)</f>
        <v>51.0625</v>
      </c>
      <c r="N60" s="172" t="e">
        <f>SUM(N13:N15,P14,O15,Q13)/(4*N9)</f>
        <v>#DIV/0!</v>
      </c>
      <c r="O60" s="173" t="e">
        <f>SUM(O13:O15,N15,P13,Q14)/(4*O9)</f>
        <v>#DIV/0!</v>
      </c>
      <c r="P60" s="173" t="e">
        <f>SUM(P13:P15,O14,N13,Q15)/(4*P9)</f>
        <v>#DIV/0!</v>
      </c>
      <c r="Q60" s="174" t="e">
        <f>SUM(Q13:Q15,N14,O13,P15)/(4*Q9)</f>
        <v>#DIV/0!</v>
      </c>
      <c r="R60" s="172" t="e">
        <f>SUM(R13:R15,T14,S15,U13)/(4*R9)</f>
        <v>#DIV/0!</v>
      </c>
      <c r="S60" s="173" t="e">
        <f>SUM(S13:S15,R15,T13,U14)/(4*S9)</f>
        <v>#DIV/0!</v>
      </c>
      <c r="T60" s="173" t="e">
        <f>SUM(T13:T15,S14,R13,U15)/(4*T9)</f>
        <v>#DIV/0!</v>
      </c>
      <c r="U60" s="174" t="e">
        <f>SUM(U13:U15,R14,S13,T15)/(4*U9)</f>
        <v>#DIV/0!</v>
      </c>
      <c r="V60" s="172" t="e">
        <f>SUM(V13:V15,X14,W15,Y13)/(4*V9)</f>
        <v>#DIV/0!</v>
      </c>
      <c r="W60" s="173" t="e">
        <f>SUM(W13:W15,V15,X13,Y14)/(4*W9)</f>
        <v>#DIV/0!</v>
      </c>
      <c r="X60" s="173" t="e">
        <f>SUM(X13:X15,W14,V13,Y15)/(4*X9)</f>
        <v>#DIV/0!</v>
      </c>
      <c r="Y60" s="174" t="e">
        <f>SUM(Y13:Y15,V14,W13,X15)/(4*Y9)</f>
        <v>#DIV/0!</v>
      </c>
      <c r="Z60" s="172" t="e">
        <f>SUM(Z13:Z15,AB14,AA15,AC13)/(4*Z9)</f>
        <v>#DIV/0!</v>
      </c>
      <c r="AA60" s="173" t="e">
        <f>SUM(AA13:AA15,Z15,AB13,AC14)/(4*AA9)</f>
        <v>#DIV/0!</v>
      </c>
      <c r="AB60" s="173" t="e">
        <f>SUM(AB13:AB15,AA14,Z13,AC15)/(4*AB9)</f>
        <v>#DIV/0!</v>
      </c>
      <c r="AC60" s="174" t="e">
        <f>SUM(AC13:AC15,Z14,AA13,AB15)/(4*AC9)</f>
        <v>#DIV/0!</v>
      </c>
      <c r="AD60" s="172" t="e">
        <f>SUM(AD13:AD15,AF14,AE15,AG13)/(4*AD9)</f>
        <v>#DIV/0!</v>
      </c>
      <c r="AE60" s="173" t="e">
        <f>SUM(AE13:AE15,AD15,AF13,AG14)/(4*AE9)</f>
        <v>#DIV/0!</v>
      </c>
      <c r="AF60" s="173" t="e">
        <f>SUM(AF13:AF15,AE14,AD13,AG15)/(4*AF9)</f>
        <v>#DIV/0!</v>
      </c>
      <c r="AG60" s="174" t="e">
        <f>SUM(AG13:AG15,AD14,AE13,AF15)/(4*AG9)</f>
        <v>#DIV/0!</v>
      </c>
      <c r="AH60" s="172" t="e">
        <f>SUM(AH13:AH15,AJ14,AI15,AK13)/(4*AH9)</f>
        <v>#DIV/0!</v>
      </c>
      <c r="AI60" s="173" t="e">
        <f>SUM(AI13:AI15,AH15,AJ13,AK14)/(4*AI9)</f>
        <v>#DIV/0!</v>
      </c>
      <c r="AJ60" s="173" t="e">
        <f>SUM(AJ13:AJ15,AI14,AH13,AK15)/(4*AJ9)</f>
        <v>#DIV/0!</v>
      </c>
      <c r="AK60" s="174" t="e">
        <f>SUM(AK13:AK15,AH14,AI13,AJ15)/(4*AK9)</f>
        <v>#DIV/0!</v>
      </c>
      <c r="AL60" s="172" t="e">
        <f>SUM(AL13:AL15,AN14,AM15,AO13)/(4*AL9)</f>
        <v>#DIV/0!</v>
      </c>
      <c r="AM60" s="173" t="e">
        <f>SUM(AM13:AM15,AL15,AN13,AO14)/(4*AM9)</f>
        <v>#DIV/0!</v>
      </c>
      <c r="AN60" s="173" t="e">
        <f>SUM(AN13:AN15,AM14,AL13,AO15)/(4*AN9)</f>
        <v>#DIV/0!</v>
      </c>
      <c r="AO60" s="174" t="e">
        <f>SUM(AO13:AO15,AL14,AM13,AN15)/(4*AO9)</f>
        <v>#DIV/0!</v>
      </c>
      <c r="AP60" s="172" t="e">
        <f>SUM(AP13:AP15,AR14,AQ15,AS13)/(4*AP9)</f>
        <v>#DIV/0!</v>
      </c>
      <c r="AQ60" s="173" t="e">
        <f>SUM(AQ13:AQ15,AP15,AR13,AS14)/(4*AQ9)</f>
        <v>#DIV/0!</v>
      </c>
      <c r="AR60" s="173" t="e">
        <f>SUM(AR13:AR15,AQ14,AP13,AS15)/(4*AR9)</f>
        <v>#DIV/0!</v>
      </c>
      <c r="AS60" s="174" t="e">
        <f>SUM(AS13:AS15,AP14,AQ13,AR15)/(4*AS9)</f>
        <v>#DIV/0!</v>
      </c>
      <c r="AT60" s="172" t="e">
        <f>SUM(AT13:AT15,AV14,AU15,AW13)/(4*AT9)</f>
        <v>#DIV/0!</v>
      </c>
      <c r="AU60" s="173" t="e">
        <f>SUM(AU13:AU15,AT15,AV13,AW14)/(4*AU9)</f>
        <v>#DIV/0!</v>
      </c>
      <c r="AV60" s="173" t="e">
        <f>SUM(AV13:AV15,AU14,AT13,AW15)/(4*AV9)</f>
        <v>#DIV/0!</v>
      </c>
      <c r="AW60" s="174" t="e">
        <f>SUM(AW13:AW15,AT14,AU13,AV15)/(4*AW9)</f>
        <v>#DIV/0!</v>
      </c>
      <c r="AX60" s="172" t="e">
        <f>SUM(AX13:AX15,AZ14,AY15,BA13)/(4*AX9)</f>
        <v>#DIV/0!</v>
      </c>
      <c r="AY60" s="173" t="e">
        <f>SUM(AY13:AY15,AX15,AZ13,BA14)/(4*AY9)</f>
        <v>#DIV/0!</v>
      </c>
      <c r="AZ60" s="173" t="e">
        <f>SUM(AZ13:AZ15,AY14,AX13,BA15)/(4*AZ9)</f>
        <v>#DIV/0!</v>
      </c>
      <c r="BA60" s="174" t="e">
        <f>SUM(BA13:BA15,AX14,AY13,AZ15)/(4*BA9)</f>
        <v>#DIV/0!</v>
      </c>
      <c r="BB60" s="172" t="e">
        <f>SUM(BB13:BB15,BD14,BC15,BE13)/(4*BB9)</f>
        <v>#DIV/0!</v>
      </c>
      <c r="BC60" s="173" t="e">
        <f>SUM(BC13:BC15,BB15,BD13,BE14)/(4*BC9)</f>
        <v>#DIV/0!</v>
      </c>
      <c r="BD60" s="173" t="e">
        <f>SUM(BD13:BD15,BC14,BB13,BE15)/(4*BD9)</f>
        <v>#DIV/0!</v>
      </c>
      <c r="BE60" s="174" t="e">
        <f>SUM(BE13:BE15,BB14,BC13,BD15)/(4*BE9)</f>
        <v>#DIV/0!</v>
      </c>
      <c r="BF60" s="172" t="e">
        <f>SUM(BF13:BF15,BH14,BG15,BI13)/(4*BF9)</f>
        <v>#DIV/0!</v>
      </c>
      <c r="BG60" s="173" t="e">
        <f>SUM(BG13:BG15,BF15,BH13,BI14)/(4*BG9)</f>
        <v>#DIV/0!</v>
      </c>
      <c r="BH60" s="173" t="e">
        <f>SUM(BH13:BH15,BG14,BF13,BI15)/(4*BH9)</f>
        <v>#DIV/0!</v>
      </c>
      <c r="BI60" s="174" t="e">
        <f>SUM(BI13:BI15,BF14,BG13,BH15)/(4*BI9)</f>
        <v>#DIV/0!</v>
      </c>
      <c r="BJ60" s="172" t="e">
        <f>SUM(BJ13:BJ15,BL14,BK15,BM13)/(4*BJ9)</f>
        <v>#DIV/0!</v>
      </c>
      <c r="BK60" s="173" t="e">
        <f>SUM(BK13:BK15,BJ15,BL13,BM14)/(4*BK9)</f>
        <v>#DIV/0!</v>
      </c>
      <c r="BL60" s="173" t="e">
        <f>SUM(BL13:BL15,BK14,BJ13,BM15)/(4*BL9)</f>
        <v>#DIV/0!</v>
      </c>
      <c r="BM60" s="174" t="e">
        <f>SUM(BM13:BM15,BJ14,BK13,BL15)/(4*BM9)</f>
        <v>#DIV/0!</v>
      </c>
      <c r="BN60" s="172" t="e">
        <f>SUM(BN13:BN15,BP14,BO15,BQ13)/(4*BN9)</f>
        <v>#DIV/0!</v>
      </c>
      <c r="BO60" s="173" t="e">
        <f>SUM(BO13:BO15,BN15,BP13,BQ14)/(4*BO9)</f>
        <v>#DIV/0!</v>
      </c>
      <c r="BP60" s="173" t="e">
        <f>SUM(BP13:BP15,BO14,BN13,BQ15)/(4*BP9)</f>
        <v>#DIV/0!</v>
      </c>
      <c r="BQ60" s="174" t="e">
        <f>SUM(BQ13:BQ15,BN14,BO13,BP15)/(4*BQ9)</f>
        <v>#DIV/0!</v>
      </c>
      <c r="BR60" s="172" t="e">
        <f>SUM(BR13:BR15,BT14,BS15,BU13)/(4*BR9)</f>
        <v>#DIV/0!</v>
      </c>
      <c r="BS60" s="173" t="e">
        <f>SUM(BS13:BS15,BR15,BT13,BU14)/(4*BS9)</f>
        <v>#DIV/0!</v>
      </c>
      <c r="BT60" s="173" t="e">
        <f>SUM(BT13:BT15,BS14,BR13,BU15)/(4*BT9)</f>
        <v>#DIV/0!</v>
      </c>
      <c r="BU60" s="174" t="e">
        <f>SUM(BU13:BU15,BR14,BS13,BT15)/(4*BU9)</f>
        <v>#DIV/0!</v>
      </c>
      <c r="BV60" s="172" t="e">
        <f>SUM(BV13:BV15,BX14,BW15,BY13)/(4*BV9)</f>
        <v>#DIV/0!</v>
      </c>
      <c r="BW60" s="173" t="e">
        <f>SUM(BW13:BW15,BV15,BX13,BY14)/(4*BW9)</f>
        <v>#DIV/0!</v>
      </c>
      <c r="BX60" s="173" t="e">
        <f>SUM(BX13:BX15,BW14,BV13,BY15)/(4*BX9)</f>
        <v>#DIV/0!</v>
      </c>
      <c r="BY60" s="174" t="e">
        <f>SUM(BY13:BY15,BV14,BW13,BX15)/(4*BY9)</f>
        <v>#DIV/0!</v>
      </c>
      <c r="BZ60" s="172" t="e">
        <f>SUM(BZ13:BZ15,CB14,CA15,CC13)/(4*BZ9)</f>
        <v>#DIV/0!</v>
      </c>
      <c r="CA60" s="173" t="e">
        <f>SUM(CA13:CA15,BZ15,CB13,CC14)/(4*CA9)</f>
        <v>#DIV/0!</v>
      </c>
      <c r="CB60" s="173" t="e">
        <f>SUM(CB13:CB15,CA14,BZ13,CC15)/(4*CB9)</f>
        <v>#DIV/0!</v>
      </c>
      <c r="CC60" s="174" t="e">
        <f>SUM(CC13:CC15,BZ14,CA13,CB15)/(4*CC9)</f>
        <v>#DIV/0!</v>
      </c>
      <c r="CD60" s="172" t="e">
        <f>SUM(CD13:CD15,CF14,CE15,CG13)/(4*CD9)</f>
        <v>#DIV/0!</v>
      </c>
      <c r="CE60" s="173" t="e">
        <f>SUM(CE13:CE15,CD15,CF13,CG14)/(4*CE9)</f>
        <v>#DIV/0!</v>
      </c>
      <c r="CF60" s="173" t="e">
        <f>SUM(CF13:CF15,CE14,CD13,CG15)/(4*CF9)</f>
        <v>#DIV/0!</v>
      </c>
      <c r="CG60" s="174" t="e">
        <f>SUM(CG13:CG15,CD14,CE13,CF15)/(4*CG9)</f>
        <v>#DIV/0!</v>
      </c>
      <c r="CH60" s="172" t="e">
        <f>SUM(CH13:CH15,CJ14,CI15,CK13)/(4*CH9)</f>
        <v>#DIV/0!</v>
      </c>
      <c r="CI60" s="173" t="e">
        <f>SUM(CI13:CI15,CH15,CJ13,CK14)/(4*CI9)</f>
        <v>#DIV/0!</v>
      </c>
      <c r="CJ60" s="173" t="e">
        <f>SUM(CJ13:CJ15,CI14,CH13,CK15)/(4*CJ9)</f>
        <v>#DIV/0!</v>
      </c>
      <c r="CK60" s="174" t="e">
        <f>SUM(CK13:CK15,CH14,CI13,CJ15)/(4*CK9)</f>
        <v>#DIV/0!</v>
      </c>
      <c r="CL60" s="49"/>
      <c r="CM60" s="28"/>
    </row>
    <row r="61" spans="2:91" ht="14.25" x14ac:dyDescent="0.25">
      <c r="B61" s="55"/>
      <c r="C61" s="10" t="s">
        <v>101</v>
      </c>
      <c r="D61" s="93" t="s">
        <v>32</v>
      </c>
      <c r="E61" s="125">
        <f t="shared" ref="E61:AJ61" si="159">0.00013*E60*E12</f>
        <v>0.30001562499999995</v>
      </c>
      <c r="F61" s="72">
        <f t="shared" si="159"/>
        <v>0.23757499999999998</v>
      </c>
      <c r="G61" s="73">
        <f t="shared" si="159"/>
        <v>0.27689999999999998</v>
      </c>
      <c r="H61" s="73">
        <f t="shared" si="159"/>
        <v>0.19642187499999997</v>
      </c>
      <c r="I61" s="74">
        <f t="shared" si="159"/>
        <v>0.15498437499999998</v>
      </c>
      <c r="J61" s="96" t="e">
        <f t="shared" si="159"/>
        <v>#DIV/0!</v>
      </c>
      <c r="K61" s="97">
        <f t="shared" si="159"/>
        <v>3.8593749999999996E-2</v>
      </c>
      <c r="L61" s="97">
        <f t="shared" si="159"/>
        <v>0.16168749999999998</v>
      </c>
      <c r="M61" s="98">
        <f t="shared" si="159"/>
        <v>0.16595312499999998</v>
      </c>
      <c r="N61" s="168" t="e">
        <f t="shared" si="159"/>
        <v>#DIV/0!</v>
      </c>
      <c r="O61" s="171" t="e">
        <f t="shared" si="159"/>
        <v>#DIV/0!</v>
      </c>
      <c r="P61" s="171" t="e">
        <f t="shared" si="159"/>
        <v>#DIV/0!</v>
      </c>
      <c r="Q61" s="169" t="e">
        <f t="shared" si="159"/>
        <v>#DIV/0!</v>
      </c>
      <c r="R61" s="168" t="e">
        <f t="shared" si="159"/>
        <v>#DIV/0!</v>
      </c>
      <c r="S61" s="171" t="e">
        <f t="shared" si="159"/>
        <v>#DIV/0!</v>
      </c>
      <c r="T61" s="171" t="e">
        <f t="shared" si="159"/>
        <v>#DIV/0!</v>
      </c>
      <c r="U61" s="169" t="e">
        <f t="shared" si="159"/>
        <v>#DIV/0!</v>
      </c>
      <c r="V61" s="168" t="e">
        <f t="shared" si="159"/>
        <v>#DIV/0!</v>
      </c>
      <c r="W61" s="171" t="e">
        <f t="shared" si="159"/>
        <v>#DIV/0!</v>
      </c>
      <c r="X61" s="171" t="e">
        <f t="shared" si="159"/>
        <v>#DIV/0!</v>
      </c>
      <c r="Y61" s="169" t="e">
        <f t="shared" si="159"/>
        <v>#DIV/0!</v>
      </c>
      <c r="Z61" s="168" t="e">
        <f t="shared" si="159"/>
        <v>#DIV/0!</v>
      </c>
      <c r="AA61" s="171" t="e">
        <f t="shared" si="159"/>
        <v>#DIV/0!</v>
      </c>
      <c r="AB61" s="171" t="e">
        <f t="shared" si="159"/>
        <v>#DIV/0!</v>
      </c>
      <c r="AC61" s="169" t="e">
        <f t="shared" si="159"/>
        <v>#DIV/0!</v>
      </c>
      <c r="AD61" s="168" t="e">
        <f t="shared" si="159"/>
        <v>#DIV/0!</v>
      </c>
      <c r="AE61" s="171" t="e">
        <f t="shared" si="159"/>
        <v>#DIV/0!</v>
      </c>
      <c r="AF61" s="171" t="e">
        <f t="shared" si="159"/>
        <v>#DIV/0!</v>
      </c>
      <c r="AG61" s="169" t="e">
        <f t="shared" si="159"/>
        <v>#DIV/0!</v>
      </c>
      <c r="AH61" s="168" t="e">
        <f t="shared" si="159"/>
        <v>#DIV/0!</v>
      </c>
      <c r="AI61" s="171" t="e">
        <f t="shared" si="159"/>
        <v>#DIV/0!</v>
      </c>
      <c r="AJ61" s="171" t="e">
        <f t="shared" si="159"/>
        <v>#DIV/0!</v>
      </c>
      <c r="AK61" s="169" t="e">
        <f t="shared" ref="AK61:BP61" si="160">0.00013*AK60*AK12</f>
        <v>#DIV/0!</v>
      </c>
      <c r="AL61" s="168" t="e">
        <f t="shared" si="160"/>
        <v>#DIV/0!</v>
      </c>
      <c r="AM61" s="171" t="e">
        <f t="shared" si="160"/>
        <v>#DIV/0!</v>
      </c>
      <c r="AN61" s="171" t="e">
        <f t="shared" si="160"/>
        <v>#DIV/0!</v>
      </c>
      <c r="AO61" s="169" t="e">
        <f t="shared" si="160"/>
        <v>#DIV/0!</v>
      </c>
      <c r="AP61" s="168" t="e">
        <f t="shared" si="160"/>
        <v>#DIV/0!</v>
      </c>
      <c r="AQ61" s="171" t="e">
        <f t="shared" si="160"/>
        <v>#DIV/0!</v>
      </c>
      <c r="AR61" s="171" t="e">
        <f t="shared" si="160"/>
        <v>#DIV/0!</v>
      </c>
      <c r="AS61" s="169" t="e">
        <f t="shared" si="160"/>
        <v>#DIV/0!</v>
      </c>
      <c r="AT61" s="168" t="e">
        <f t="shared" si="160"/>
        <v>#DIV/0!</v>
      </c>
      <c r="AU61" s="171" t="e">
        <f t="shared" si="160"/>
        <v>#DIV/0!</v>
      </c>
      <c r="AV61" s="171" t="e">
        <f t="shared" si="160"/>
        <v>#DIV/0!</v>
      </c>
      <c r="AW61" s="169" t="e">
        <f t="shared" si="160"/>
        <v>#DIV/0!</v>
      </c>
      <c r="AX61" s="168" t="e">
        <f t="shared" si="160"/>
        <v>#DIV/0!</v>
      </c>
      <c r="AY61" s="171" t="e">
        <f t="shared" si="160"/>
        <v>#DIV/0!</v>
      </c>
      <c r="AZ61" s="171" t="e">
        <f t="shared" si="160"/>
        <v>#DIV/0!</v>
      </c>
      <c r="BA61" s="169" t="e">
        <f t="shared" si="160"/>
        <v>#DIV/0!</v>
      </c>
      <c r="BB61" s="168" t="e">
        <f t="shared" si="160"/>
        <v>#DIV/0!</v>
      </c>
      <c r="BC61" s="171" t="e">
        <f t="shared" si="160"/>
        <v>#DIV/0!</v>
      </c>
      <c r="BD61" s="171" t="e">
        <f t="shared" si="160"/>
        <v>#DIV/0!</v>
      </c>
      <c r="BE61" s="169" t="e">
        <f t="shared" si="160"/>
        <v>#DIV/0!</v>
      </c>
      <c r="BF61" s="168" t="e">
        <f t="shared" si="160"/>
        <v>#DIV/0!</v>
      </c>
      <c r="BG61" s="171" t="e">
        <f t="shared" si="160"/>
        <v>#DIV/0!</v>
      </c>
      <c r="BH61" s="171" t="e">
        <f t="shared" si="160"/>
        <v>#DIV/0!</v>
      </c>
      <c r="BI61" s="169" t="e">
        <f t="shared" si="160"/>
        <v>#DIV/0!</v>
      </c>
      <c r="BJ61" s="168" t="e">
        <f t="shared" si="160"/>
        <v>#DIV/0!</v>
      </c>
      <c r="BK61" s="171" t="e">
        <f t="shared" si="160"/>
        <v>#DIV/0!</v>
      </c>
      <c r="BL61" s="171" t="e">
        <f t="shared" si="160"/>
        <v>#DIV/0!</v>
      </c>
      <c r="BM61" s="169" t="e">
        <f t="shared" si="160"/>
        <v>#DIV/0!</v>
      </c>
      <c r="BN61" s="168" t="e">
        <f t="shared" si="160"/>
        <v>#DIV/0!</v>
      </c>
      <c r="BO61" s="171" t="e">
        <f t="shared" si="160"/>
        <v>#DIV/0!</v>
      </c>
      <c r="BP61" s="171" t="e">
        <f t="shared" si="160"/>
        <v>#DIV/0!</v>
      </c>
      <c r="BQ61" s="169" t="e">
        <f t="shared" ref="BQ61:CK61" si="161">0.00013*BQ60*BQ12</f>
        <v>#DIV/0!</v>
      </c>
      <c r="BR61" s="168" t="e">
        <f t="shared" si="161"/>
        <v>#DIV/0!</v>
      </c>
      <c r="BS61" s="171" t="e">
        <f t="shared" si="161"/>
        <v>#DIV/0!</v>
      </c>
      <c r="BT61" s="171" t="e">
        <f t="shared" si="161"/>
        <v>#DIV/0!</v>
      </c>
      <c r="BU61" s="169" t="e">
        <f t="shared" si="161"/>
        <v>#DIV/0!</v>
      </c>
      <c r="BV61" s="168" t="e">
        <f t="shared" si="161"/>
        <v>#DIV/0!</v>
      </c>
      <c r="BW61" s="171" t="e">
        <f t="shared" si="161"/>
        <v>#DIV/0!</v>
      </c>
      <c r="BX61" s="171" t="e">
        <f t="shared" si="161"/>
        <v>#DIV/0!</v>
      </c>
      <c r="BY61" s="169" t="e">
        <f t="shared" si="161"/>
        <v>#DIV/0!</v>
      </c>
      <c r="BZ61" s="168" t="e">
        <f t="shared" si="161"/>
        <v>#DIV/0!</v>
      </c>
      <c r="CA61" s="171" t="e">
        <f t="shared" si="161"/>
        <v>#DIV/0!</v>
      </c>
      <c r="CB61" s="171" t="e">
        <f t="shared" si="161"/>
        <v>#DIV/0!</v>
      </c>
      <c r="CC61" s="169" t="e">
        <f t="shared" si="161"/>
        <v>#DIV/0!</v>
      </c>
      <c r="CD61" s="168" t="e">
        <f t="shared" si="161"/>
        <v>#DIV/0!</v>
      </c>
      <c r="CE61" s="171" t="e">
        <f t="shared" si="161"/>
        <v>#DIV/0!</v>
      </c>
      <c r="CF61" s="171" t="e">
        <f t="shared" si="161"/>
        <v>#DIV/0!</v>
      </c>
      <c r="CG61" s="169" t="e">
        <f t="shared" si="161"/>
        <v>#DIV/0!</v>
      </c>
      <c r="CH61" s="168" t="e">
        <f t="shared" si="161"/>
        <v>#DIV/0!</v>
      </c>
      <c r="CI61" s="171" t="e">
        <f t="shared" si="161"/>
        <v>#DIV/0!</v>
      </c>
      <c r="CJ61" s="171" t="e">
        <f t="shared" si="161"/>
        <v>#DIV/0!</v>
      </c>
      <c r="CK61" s="169" t="e">
        <f t="shared" si="161"/>
        <v>#DIV/0!</v>
      </c>
      <c r="CL61" s="49"/>
      <c r="CM61" s="28"/>
    </row>
    <row r="62" spans="2:91" ht="14.25" x14ac:dyDescent="0.25">
      <c r="B62" s="55"/>
      <c r="C62" s="10" t="s">
        <v>102</v>
      </c>
      <c r="D62" s="93" t="s">
        <v>33</v>
      </c>
      <c r="E62" s="125">
        <f t="shared" ref="E62:AJ62" si="162">0.00569*SUM(E18:E19)/4-E25*(0.0027*E60-0.1946)</f>
        <v>0.28449999999999998</v>
      </c>
      <c r="F62" s="72">
        <f t="shared" si="162"/>
        <v>0.28592249999999997</v>
      </c>
      <c r="G62" s="73">
        <f t="shared" si="162"/>
        <v>0.28592249999999997</v>
      </c>
      <c r="H62" s="73">
        <f t="shared" si="162"/>
        <v>0.45946749999999997</v>
      </c>
      <c r="I62" s="74">
        <f t="shared" si="162"/>
        <v>0.45946749999999997</v>
      </c>
      <c r="J62" s="96" t="e">
        <f t="shared" si="162"/>
        <v>#DIV/0!</v>
      </c>
      <c r="K62" s="97">
        <f t="shared" si="162"/>
        <v>7.8237500000000001E-2</v>
      </c>
      <c r="L62" s="97">
        <f t="shared" si="162"/>
        <v>2.845E-2</v>
      </c>
      <c r="M62" s="98">
        <f t="shared" si="162"/>
        <v>2.845E-2</v>
      </c>
      <c r="N62" s="168" t="e">
        <f t="shared" si="162"/>
        <v>#DIV/0!</v>
      </c>
      <c r="O62" s="171" t="e">
        <f t="shared" si="162"/>
        <v>#DIV/0!</v>
      </c>
      <c r="P62" s="171" t="e">
        <f t="shared" si="162"/>
        <v>#DIV/0!</v>
      </c>
      <c r="Q62" s="169" t="e">
        <f t="shared" si="162"/>
        <v>#DIV/0!</v>
      </c>
      <c r="R62" s="168" t="e">
        <f t="shared" si="162"/>
        <v>#DIV/0!</v>
      </c>
      <c r="S62" s="171" t="e">
        <f t="shared" si="162"/>
        <v>#DIV/0!</v>
      </c>
      <c r="T62" s="171" t="e">
        <f t="shared" si="162"/>
        <v>#DIV/0!</v>
      </c>
      <c r="U62" s="169" t="e">
        <f t="shared" si="162"/>
        <v>#DIV/0!</v>
      </c>
      <c r="V62" s="168" t="e">
        <f t="shared" si="162"/>
        <v>#DIV/0!</v>
      </c>
      <c r="W62" s="171" t="e">
        <f t="shared" si="162"/>
        <v>#DIV/0!</v>
      </c>
      <c r="X62" s="171" t="e">
        <f t="shared" si="162"/>
        <v>#DIV/0!</v>
      </c>
      <c r="Y62" s="169" t="e">
        <f t="shared" si="162"/>
        <v>#DIV/0!</v>
      </c>
      <c r="Z62" s="168" t="e">
        <f t="shared" si="162"/>
        <v>#DIV/0!</v>
      </c>
      <c r="AA62" s="171" t="e">
        <f t="shared" si="162"/>
        <v>#DIV/0!</v>
      </c>
      <c r="AB62" s="171" t="e">
        <f t="shared" si="162"/>
        <v>#DIV/0!</v>
      </c>
      <c r="AC62" s="169" t="e">
        <f t="shared" si="162"/>
        <v>#DIV/0!</v>
      </c>
      <c r="AD62" s="168" t="e">
        <f t="shared" si="162"/>
        <v>#DIV/0!</v>
      </c>
      <c r="AE62" s="171" t="e">
        <f t="shared" si="162"/>
        <v>#DIV/0!</v>
      </c>
      <c r="AF62" s="171" t="e">
        <f t="shared" si="162"/>
        <v>#DIV/0!</v>
      </c>
      <c r="AG62" s="169" t="e">
        <f t="shared" si="162"/>
        <v>#DIV/0!</v>
      </c>
      <c r="AH62" s="168" t="e">
        <f t="shared" si="162"/>
        <v>#DIV/0!</v>
      </c>
      <c r="AI62" s="171" t="e">
        <f t="shared" si="162"/>
        <v>#DIV/0!</v>
      </c>
      <c r="AJ62" s="171" t="e">
        <f t="shared" si="162"/>
        <v>#DIV/0!</v>
      </c>
      <c r="AK62" s="169" t="e">
        <f t="shared" ref="AK62:BP62" si="163">0.00569*SUM(AK18:AK19)/4-AK25*(0.0027*AK60-0.1946)</f>
        <v>#DIV/0!</v>
      </c>
      <c r="AL62" s="168" t="e">
        <f t="shared" si="163"/>
        <v>#DIV/0!</v>
      </c>
      <c r="AM62" s="171" t="e">
        <f t="shared" si="163"/>
        <v>#DIV/0!</v>
      </c>
      <c r="AN62" s="171" t="e">
        <f t="shared" si="163"/>
        <v>#DIV/0!</v>
      </c>
      <c r="AO62" s="169" t="e">
        <f t="shared" si="163"/>
        <v>#DIV/0!</v>
      </c>
      <c r="AP62" s="168" t="e">
        <f t="shared" si="163"/>
        <v>#DIV/0!</v>
      </c>
      <c r="AQ62" s="171" t="e">
        <f t="shared" si="163"/>
        <v>#DIV/0!</v>
      </c>
      <c r="AR62" s="171" t="e">
        <f t="shared" si="163"/>
        <v>#DIV/0!</v>
      </c>
      <c r="AS62" s="169" t="e">
        <f t="shared" si="163"/>
        <v>#DIV/0!</v>
      </c>
      <c r="AT62" s="168" t="e">
        <f t="shared" si="163"/>
        <v>#DIV/0!</v>
      </c>
      <c r="AU62" s="171" t="e">
        <f t="shared" si="163"/>
        <v>#DIV/0!</v>
      </c>
      <c r="AV62" s="171" t="e">
        <f t="shared" si="163"/>
        <v>#DIV/0!</v>
      </c>
      <c r="AW62" s="169" t="e">
        <f t="shared" si="163"/>
        <v>#DIV/0!</v>
      </c>
      <c r="AX62" s="168" t="e">
        <f t="shared" si="163"/>
        <v>#DIV/0!</v>
      </c>
      <c r="AY62" s="171" t="e">
        <f t="shared" si="163"/>
        <v>#DIV/0!</v>
      </c>
      <c r="AZ62" s="171" t="e">
        <f t="shared" si="163"/>
        <v>#DIV/0!</v>
      </c>
      <c r="BA62" s="169" t="e">
        <f t="shared" si="163"/>
        <v>#DIV/0!</v>
      </c>
      <c r="BB62" s="168" t="e">
        <f t="shared" si="163"/>
        <v>#DIV/0!</v>
      </c>
      <c r="BC62" s="171" t="e">
        <f t="shared" si="163"/>
        <v>#DIV/0!</v>
      </c>
      <c r="BD62" s="171" t="e">
        <f t="shared" si="163"/>
        <v>#DIV/0!</v>
      </c>
      <c r="BE62" s="169" t="e">
        <f t="shared" si="163"/>
        <v>#DIV/0!</v>
      </c>
      <c r="BF62" s="168" t="e">
        <f t="shared" si="163"/>
        <v>#DIV/0!</v>
      </c>
      <c r="BG62" s="171" t="e">
        <f t="shared" si="163"/>
        <v>#DIV/0!</v>
      </c>
      <c r="BH62" s="171" t="e">
        <f t="shared" si="163"/>
        <v>#DIV/0!</v>
      </c>
      <c r="BI62" s="169" t="e">
        <f t="shared" si="163"/>
        <v>#DIV/0!</v>
      </c>
      <c r="BJ62" s="168" t="e">
        <f t="shared" si="163"/>
        <v>#DIV/0!</v>
      </c>
      <c r="BK62" s="171" t="e">
        <f t="shared" si="163"/>
        <v>#DIV/0!</v>
      </c>
      <c r="BL62" s="171" t="e">
        <f t="shared" si="163"/>
        <v>#DIV/0!</v>
      </c>
      <c r="BM62" s="169" t="e">
        <f t="shared" si="163"/>
        <v>#DIV/0!</v>
      </c>
      <c r="BN62" s="168" t="e">
        <f t="shared" si="163"/>
        <v>#DIV/0!</v>
      </c>
      <c r="BO62" s="171" t="e">
        <f t="shared" si="163"/>
        <v>#DIV/0!</v>
      </c>
      <c r="BP62" s="171" t="e">
        <f t="shared" si="163"/>
        <v>#DIV/0!</v>
      </c>
      <c r="BQ62" s="169" t="e">
        <f t="shared" ref="BQ62:CK62" si="164">0.00569*SUM(BQ18:BQ19)/4-BQ25*(0.0027*BQ60-0.1946)</f>
        <v>#DIV/0!</v>
      </c>
      <c r="BR62" s="168" t="e">
        <f t="shared" si="164"/>
        <v>#DIV/0!</v>
      </c>
      <c r="BS62" s="171" t="e">
        <f t="shared" si="164"/>
        <v>#DIV/0!</v>
      </c>
      <c r="BT62" s="171" t="e">
        <f t="shared" si="164"/>
        <v>#DIV/0!</v>
      </c>
      <c r="BU62" s="169" t="e">
        <f t="shared" si="164"/>
        <v>#DIV/0!</v>
      </c>
      <c r="BV62" s="168" t="e">
        <f t="shared" si="164"/>
        <v>#DIV/0!</v>
      </c>
      <c r="BW62" s="171" t="e">
        <f t="shared" si="164"/>
        <v>#DIV/0!</v>
      </c>
      <c r="BX62" s="171" t="e">
        <f t="shared" si="164"/>
        <v>#DIV/0!</v>
      </c>
      <c r="BY62" s="169" t="e">
        <f t="shared" si="164"/>
        <v>#DIV/0!</v>
      </c>
      <c r="BZ62" s="168" t="e">
        <f t="shared" si="164"/>
        <v>#DIV/0!</v>
      </c>
      <c r="CA62" s="171" t="e">
        <f t="shared" si="164"/>
        <v>#DIV/0!</v>
      </c>
      <c r="CB62" s="171" t="e">
        <f t="shared" si="164"/>
        <v>#DIV/0!</v>
      </c>
      <c r="CC62" s="169" t="e">
        <f t="shared" si="164"/>
        <v>#DIV/0!</v>
      </c>
      <c r="CD62" s="168" t="e">
        <f t="shared" si="164"/>
        <v>#DIV/0!</v>
      </c>
      <c r="CE62" s="171" t="e">
        <f t="shared" si="164"/>
        <v>#DIV/0!</v>
      </c>
      <c r="CF62" s="171" t="e">
        <f t="shared" si="164"/>
        <v>#DIV/0!</v>
      </c>
      <c r="CG62" s="169" t="e">
        <f t="shared" si="164"/>
        <v>#DIV/0!</v>
      </c>
      <c r="CH62" s="168" t="e">
        <f t="shared" si="164"/>
        <v>#DIV/0!</v>
      </c>
      <c r="CI62" s="171" t="e">
        <f t="shared" si="164"/>
        <v>#DIV/0!</v>
      </c>
      <c r="CJ62" s="171" t="e">
        <f t="shared" si="164"/>
        <v>#DIV/0!</v>
      </c>
      <c r="CK62" s="169" t="e">
        <f t="shared" si="164"/>
        <v>#DIV/0!</v>
      </c>
      <c r="CL62" s="49"/>
      <c r="CM62" s="28"/>
    </row>
    <row r="63" spans="2:91" ht="14.25" x14ac:dyDescent="0.25">
      <c r="B63" s="55"/>
      <c r="C63" s="10" t="s">
        <v>164</v>
      </c>
      <c r="D63" s="93" t="s">
        <v>221</v>
      </c>
      <c r="E63" s="127">
        <f t="shared" ref="E63:AJ63" si="165">E29+4</f>
        <v>49</v>
      </c>
      <c r="F63" s="42">
        <f t="shared" si="165"/>
        <v>51.7</v>
      </c>
      <c r="G63" s="45">
        <f t="shared" si="165"/>
        <v>51.7</v>
      </c>
      <c r="H63" s="45">
        <f t="shared" si="165"/>
        <v>35.1</v>
      </c>
      <c r="I63" s="94">
        <f t="shared" si="165"/>
        <v>35.1</v>
      </c>
      <c r="J63" s="100">
        <f t="shared" si="165"/>
        <v>4</v>
      </c>
      <c r="K63" s="101">
        <f t="shared" si="165"/>
        <v>4</v>
      </c>
      <c r="L63" s="101">
        <f t="shared" si="165"/>
        <v>4</v>
      </c>
      <c r="M63" s="102">
        <f t="shared" si="165"/>
        <v>4</v>
      </c>
      <c r="N63" s="172">
        <f t="shared" si="165"/>
        <v>4</v>
      </c>
      <c r="O63" s="173">
        <f t="shared" si="165"/>
        <v>4</v>
      </c>
      <c r="P63" s="173">
        <f t="shared" si="165"/>
        <v>4</v>
      </c>
      <c r="Q63" s="174">
        <f t="shared" si="165"/>
        <v>4</v>
      </c>
      <c r="R63" s="172">
        <f t="shared" si="165"/>
        <v>4</v>
      </c>
      <c r="S63" s="173">
        <f t="shared" si="165"/>
        <v>4</v>
      </c>
      <c r="T63" s="173">
        <f t="shared" si="165"/>
        <v>4</v>
      </c>
      <c r="U63" s="174">
        <f t="shared" si="165"/>
        <v>4</v>
      </c>
      <c r="V63" s="172">
        <f t="shared" si="165"/>
        <v>4</v>
      </c>
      <c r="W63" s="173">
        <f t="shared" si="165"/>
        <v>4</v>
      </c>
      <c r="X63" s="173">
        <f t="shared" si="165"/>
        <v>4</v>
      </c>
      <c r="Y63" s="174">
        <f t="shared" si="165"/>
        <v>4</v>
      </c>
      <c r="Z63" s="172">
        <f t="shared" si="165"/>
        <v>4</v>
      </c>
      <c r="AA63" s="173">
        <f t="shared" si="165"/>
        <v>4</v>
      </c>
      <c r="AB63" s="173">
        <f t="shared" si="165"/>
        <v>4</v>
      </c>
      <c r="AC63" s="174">
        <f t="shared" si="165"/>
        <v>4</v>
      </c>
      <c r="AD63" s="172">
        <f t="shared" si="165"/>
        <v>4</v>
      </c>
      <c r="AE63" s="173">
        <f t="shared" si="165"/>
        <v>4</v>
      </c>
      <c r="AF63" s="173">
        <f t="shared" si="165"/>
        <v>4</v>
      </c>
      <c r="AG63" s="174">
        <f t="shared" si="165"/>
        <v>4</v>
      </c>
      <c r="AH63" s="172">
        <f t="shared" si="165"/>
        <v>4</v>
      </c>
      <c r="AI63" s="173">
        <f t="shared" si="165"/>
        <v>4</v>
      </c>
      <c r="AJ63" s="173">
        <f t="shared" si="165"/>
        <v>4</v>
      </c>
      <c r="AK63" s="174">
        <f t="shared" ref="AK63:BP63" si="166">AK29+4</f>
        <v>4</v>
      </c>
      <c r="AL63" s="172">
        <f t="shared" si="166"/>
        <v>4</v>
      </c>
      <c r="AM63" s="173">
        <f t="shared" si="166"/>
        <v>4</v>
      </c>
      <c r="AN63" s="173">
        <f t="shared" si="166"/>
        <v>4</v>
      </c>
      <c r="AO63" s="174">
        <f t="shared" si="166"/>
        <v>4</v>
      </c>
      <c r="AP63" s="172">
        <f t="shared" si="166"/>
        <v>4</v>
      </c>
      <c r="AQ63" s="173">
        <f t="shared" si="166"/>
        <v>4</v>
      </c>
      <c r="AR63" s="173">
        <f t="shared" si="166"/>
        <v>4</v>
      </c>
      <c r="AS63" s="174">
        <f t="shared" si="166"/>
        <v>4</v>
      </c>
      <c r="AT63" s="172">
        <f t="shared" si="166"/>
        <v>4</v>
      </c>
      <c r="AU63" s="173">
        <f t="shared" si="166"/>
        <v>4</v>
      </c>
      <c r="AV63" s="173">
        <f t="shared" si="166"/>
        <v>4</v>
      </c>
      <c r="AW63" s="174">
        <f t="shared" si="166"/>
        <v>4</v>
      </c>
      <c r="AX63" s="172">
        <f t="shared" si="166"/>
        <v>4</v>
      </c>
      <c r="AY63" s="173">
        <f t="shared" si="166"/>
        <v>4</v>
      </c>
      <c r="AZ63" s="173">
        <f t="shared" si="166"/>
        <v>4</v>
      </c>
      <c r="BA63" s="174">
        <f t="shared" si="166"/>
        <v>4</v>
      </c>
      <c r="BB63" s="172">
        <f t="shared" si="166"/>
        <v>4</v>
      </c>
      <c r="BC63" s="173">
        <f t="shared" si="166"/>
        <v>4</v>
      </c>
      <c r="BD63" s="173">
        <f t="shared" si="166"/>
        <v>4</v>
      </c>
      <c r="BE63" s="174">
        <f t="shared" si="166"/>
        <v>4</v>
      </c>
      <c r="BF63" s="172">
        <f t="shared" si="166"/>
        <v>4</v>
      </c>
      <c r="BG63" s="173">
        <f t="shared" si="166"/>
        <v>4</v>
      </c>
      <c r="BH63" s="173">
        <f t="shared" si="166"/>
        <v>4</v>
      </c>
      <c r="BI63" s="174">
        <f t="shared" si="166"/>
        <v>4</v>
      </c>
      <c r="BJ63" s="172">
        <f t="shared" si="166"/>
        <v>4</v>
      </c>
      <c r="BK63" s="173">
        <f t="shared" si="166"/>
        <v>4</v>
      </c>
      <c r="BL63" s="173">
        <f t="shared" si="166"/>
        <v>4</v>
      </c>
      <c r="BM63" s="174">
        <f t="shared" si="166"/>
        <v>4</v>
      </c>
      <c r="BN63" s="172">
        <f t="shared" si="166"/>
        <v>4</v>
      </c>
      <c r="BO63" s="173">
        <f t="shared" si="166"/>
        <v>4</v>
      </c>
      <c r="BP63" s="173">
        <f t="shared" si="166"/>
        <v>4</v>
      </c>
      <c r="BQ63" s="174">
        <f t="shared" ref="BQ63:CK63" si="167">BQ29+4</f>
        <v>4</v>
      </c>
      <c r="BR63" s="172">
        <f t="shared" si="167"/>
        <v>4</v>
      </c>
      <c r="BS63" s="173">
        <f t="shared" si="167"/>
        <v>4</v>
      </c>
      <c r="BT63" s="173">
        <f t="shared" si="167"/>
        <v>4</v>
      </c>
      <c r="BU63" s="174">
        <f t="shared" si="167"/>
        <v>4</v>
      </c>
      <c r="BV63" s="172">
        <f t="shared" si="167"/>
        <v>4</v>
      </c>
      <c r="BW63" s="173">
        <f t="shared" si="167"/>
        <v>4</v>
      </c>
      <c r="BX63" s="173">
        <f t="shared" si="167"/>
        <v>4</v>
      </c>
      <c r="BY63" s="174">
        <f t="shared" si="167"/>
        <v>4</v>
      </c>
      <c r="BZ63" s="172">
        <f t="shared" si="167"/>
        <v>4</v>
      </c>
      <c r="CA63" s="173">
        <f t="shared" si="167"/>
        <v>4</v>
      </c>
      <c r="CB63" s="173">
        <f t="shared" si="167"/>
        <v>4</v>
      </c>
      <c r="CC63" s="174">
        <f t="shared" si="167"/>
        <v>4</v>
      </c>
      <c r="CD63" s="172">
        <f t="shared" si="167"/>
        <v>4</v>
      </c>
      <c r="CE63" s="173">
        <f t="shared" si="167"/>
        <v>4</v>
      </c>
      <c r="CF63" s="173">
        <f t="shared" si="167"/>
        <v>4</v>
      </c>
      <c r="CG63" s="174">
        <f t="shared" si="167"/>
        <v>4</v>
      </c>
      <c r="CH63" s="172">
        <f t="shared" si="167"/>
        <v>4</v>
      </c>
      <c r="CI63" s="173">
        <f t="shared" si="167"/>
        <v>4</v>
      </c>
      <c r="CJ63" s="173">
        <f t="shared" si="167"/>
        <v>4</v>
      </c>
      <c r="CK63" s="174">
        <f t="shared" si="167"/>
        <v>4</v>
      </c>
      <c r="CL63" s="49"/>
      <c r="CM63" s="28"/>
    </row>
    <row r="64" spans="2:91" ht="14.25" x14ac:dyDescent="0.25">
      <c r="B64" s="55"/>
      <c r="C64" s="10" t="s">
        <v>166</v>
      </c>
      <c r="D64" s="93" t="s">
        <v>167</v>
      </c>
      <c r="E64" s="126">
        <f>IF(E42="Signalized",(E28-E63)^2/(2*E28), IF(E42="Free",TWSC_PED_DELAY(E9,E57,E58,E54,E55,E38,E56), IF(E42="Stop",1,"Control N/A!")))</f>
        <v>13.005000000000001</v>
      </c>
      <c r="F64" s="13">
        <f t="shared" ref="F64:AK64" si="168">IF(F42="Signalized",(F28-F63)^2/(2*F28),IF(F42="Free",TWSC_PED_DELAY(F9,F57,F58,F54,F55,F38,F56),IF(F42="Stop - Two way",1,IF(F42="Stop - All way",1,"Control N/A!"))))</f>
        <v>9.867842105263156</v>
      </c>
      <c r="G64" s="44">
        <f t="shared" si="168"/>
        <v>9.867842105263156</v>
      </c>
      <c r="H64" s="44">
        <f t="shared" si="168"/>
        <v>18.884263157894736</v>
      </c>
      <c r="I64" s="14">
        <f t="shared" si="168"/>
        <v>18.884263157894736</v>
      </c>
      <c r="J64" s="13" t="str">
        <f t="shared" si="168"/>
        <v>Control N/A!</v>
      </c>
      <c r="K64" s="44">
        <f t="shared" si="168"/>
        <v>1</v>
      </c>
      <c r="L64" s="44" t="e">
        <f ca="1">IF(L42="Signalized",(L28-L63)^2/(2*L28),IF(L42="Free",TWSC_PED_DELAY(L9,L57,L58,L54,L55,L38,L56),IF(L42="Stop - Two way",1,IF(L42="Stop - All way",1,"Control N/A!"))))</f>
        <v>#NAME?</v>
      </c>
      <c r="M64" s="14" t="e">
        <f t="shared" ca="1" si="168"/>
        <v>#NAME?</v>
      </c>
      <c r="N64" s="13" t="str">
        <f t="shared" si="168"/>
        <v>Control N/A!</v>
      </c>
      <c r="O64" s="44" t="str">
        <f t="shared" si="168"/>
        <v>Control N/A!</v>
      </c>
      <c r="P64" s="44" t="str">
        <f t="shared" si="168"/>
        <v>Control N/A!</v>
      </c>
      <c r="Q64" s="14" t="str">
        <f t="shared" si="168"/>
        <v>Control N/A!</v>
      </c>
      <c r="R64" s="13" t="str">
        <f t="shared" si="168"/>
        <v>Control N/A!</v>
      </c>
      <c r="S64" s="44" t="str">
        <f t="shared" si="168"/>
        <v>Control N/A!</v>
      </c>
      <c r="T64" s="44" t="str">
        <f t="shared" si="168"/>
        <v>Control N/A!</v>
      </c>
      <c r="U64" s="14" t="str">
        <f t="shared" si="168"/>
        <v>Control N/A!</v>
      </c>
      <c r="V64" s="13" t="str">
        <f t="shared" si="168"/>
        <v>Control N/A!</v>
      </c>
      <c r="W64" s="44" t="str">
        <f t="shared" si="168"/>
        <v>Control N/A!</v>
      </c>
      <c r="X64" s="44" t="str">
        <f t="shared" si="168"/>
        <v>Control N/A!</v>
      </c>
      <c r="Y64" s="14" t="str">
        <f t="shared" si="168"/>
        <v>Control N/A!</v>
      </c>
      <c r="Z64" s="13" t="str">
        <f t="shared" si="168"/>
        <v>Control N/A!</v>
      </c>
      <c r="AA64" s="44" t="str">
        <f t="shared" si="168"/>
        <v>Control N/A!</v>
      </c>
      <c r="AB64" s="44" t="str">
        <f t="shared" si="168"/>
        <v>Control N/A!</v>
      </c>
      <c r="AC64" s="14" t="str">
        <f t="shared" si="168"/>
        <v>Control N/A!</v>
      </c>
      <c r="AD64" s="13" t="str">
        <f t="shared" si="168"/>
        <v>Control N/A!</v>
      </c>
      <c r="AE64" s="44" t="str">
        <f t="shared" si="168"/>
        <v>Control N/A!</v>
      </c>
      <c r="AF64" s="44" t="str">
        <f t="shared" si="168"/>
        <v>Control N/A!</v>
      </c>
      <c r="AG64" s="14" t="str">
        <f t="shared" si="168"/>
        <v>Control N/A!</v>
      </c>
      <c r="AH64" s="13" t="str">
        <f t="shared" si="168"/>
        <v>Control N/A!</v>
      </c>
      <c r="AI64" s="44" t="str">
        <f t="shared" si="168"/>
        <v>Control N/A!</v>
      </c>
      <c r="AJ64" s="44" t="str">
        <f t="shared" si="168"/>
        <v>Control N/A!</v>
      </c>
      <c r="AK64" s="14" t="str">
        <f t="shared" si="168"/>
        <v>Control N/A!</v>
      </c>
      <c r="AL64" s="13" t="str">
        <f t="shared" ref="AL64:BQ64" si="169">IF(AL42="Signalized",(AL28-AL63)^2/(2*AL28),IF(AL42="Free",TWSC_PED_DELAY(AL9,AL57,AL58,AL54,AL55,AL38,AL56),IF(AL42="Stop - Two way",1,IF(AL42="Stop - All way",1,"Control N/A!"))))</f>
        <v>Control N/A!</v>
      </c>
      <c r="AM64" s="44" t="str">
        <f t="shared" si="169"/>
        <v>Control N/A!</v>
      </c>
      <c r="AN64" s="44" t="str">
        <f t="shared" si="169"/>
        <v>Control N/A!</v>
      </c>
      <c r="AO64" s="14" t="str">
        <f t="shared" si="169"/>
        <v>Control N/A!</v>
      </c>
      <c r="AP64" s="13" t="str">
        <f t="shared" si="169"/>
        <v>Control N/A!</v>
      </c>
      <c r="AQ64" s="44" t="str">
        <f t="shared" si="169"/>
        <v>Control N/A!</v>
      </c>
      <c r="AR64" s="44" t="str">
        <f t="shared" si="169"/>
        <v>Control N/A!</v>
      </c>
      <c r="AS64" s="14" t="str">
        <f t="shared" si="169"/>
        <v>Control N/A!</v>
      </c>
      <c r="AT64" s="13" t="str">
        <f t="shared" si="169"/>
        <v>Control N/A!</v>
      </c>
      <c r="AU64" s="44" t="str">
        <f t="shared" si="169"/>
        <v>Control N/A!</v>
      </c>
      <c r="AV64" s="44" t="str">
        <f t="shared" si="169"/>
        <v>Control N/A!</v>
      </c>
      <c r="AW64" s="14" t="str">
        <f t="shared" si="169"/>
        <v>Control N/A!</v>
      </c>
      <c r="AX64" s="13" t="str">
        <f t="shared" si="169"/>
        <v>Control N/A!</v>
      </c>
      <c r="AY64" s="44" t="str">
        <f t="shared" si="169"/>
        <v>Control N/A!</v>
      </c>
      <c r="AZ64" s="44" t="str">
        <f t="shared" si="169"/>
        <v>Control N/A!</v>
      </c>
      <c r="BA64" s="14" t="str">
        <f t="shared" si="169"/>
        <v>Control N/A!</v>
      </c>
      <c r="BB64" s="13" t="str">
        <f t="shared" si="169"/>
        <v>Control N/A!</v>
      </c>
      <c r="BC64" s="44" t="str">
        <f t="shared" si="169"/>
        <v>Control N/A!</v>
      </c>
      <c r="BD64" s="44" t="str">
        <f t="shared" si="169"/>
        <v>Control N/A!</v>
      </c>
      <c r="BE64" s="14" t="str">
        <f t="shared" si="169"/>
        <v>Control N/A!</v>
      </c>
      <c r="BF64" s="13" t="str">
        <f t="shared" si="169"/>
        <v>Control N/A!</v>
      </c>
      <c r="BG64" s="44" t="str">
        <f t="shared" si="169"/>
        <v>Control N/A!</v>
      </c>
      <c r="BH64" s="44" t="str">
        <f t="shared" si="169"/>
        <v>Control N/A!</v>
      </c>
      <c r="BI64" s="14" t="str">
        <f t="shared" si="169"/>
        <v>Control N/A!</v>
      </c>
      <c r="BJ64" s="13" t="str">
        <f t="shared" si="169"/>
        <v>Control N/A!</v>
      </c>
      <c r="BK64" s="44" t="str">
        <f t="shared" si="169"/>
        <v>Control N/A!</v>
      </c>
      <c r="BL64" s="44" t="str">
        <f t="shared" si="169"/>
        <v>Control N/A!</v>
      </c>
      <c r="BM64" s="14" t="str">
        <f t="shared" si="169"/>
        <v>Control N/A!</v>
      </c>
      <c r="BN64" s="13" t="str">
        <f t="shared" si="169"/>
        <v>Control N/A!</v>
      </c>
      <c r="BO64" s="44" t="str">
        <f t="shared" si="169"/>
        <v>Control N/A!</v>
      </c>
      <c r="BP64" s="44" t="str">
        <f t="shared" si="169"/>
        <v>Control N/A!</v>
      </c>
      <c r="BQ64" s="14" t="str">
        <f t="shared" si="169"/>
        <v>Control N/A!</v>
      </c>
      <c r="BR64" s="13" t="str">
        <f t="shared" ref="BR64:CK64" si="170">IF(BR42="Signalized",(BR28-BR63)^2/(2*BR28),IF(BR42="Free",TWSC_PED_DELAY(BR9,BR57,BR58,BR54,BR55,BR38,BR56),IF(BR42="Stop - Two way",1,IF(BR42="Stop - All way",1,"Control N/A!"))))</f>
        <v>Control N/A!</v>
      </c>
      <c r="BS64" s="44" t="str">
        <f t="shared" si="170"/>
        <v>Control N/A!</v>
      </c>
      <c r="BT64" s="44" t="str">
        <f t="shared" si="170"/>
        <v>Control N/A!</v>
      </c>
      <c r="BU64" s="14" t="str">
        <f t="shared" si="170"/>
        <v>Control N/A!</v>
      </c>
      <c r="BV64" s="13" t="str">
        <f t="shared" si="170"/>
        <v>Control N/A!</v>
      </c>
      <c r="BW64" s="44" t="str">
        <f t="shared" si="170"/>
        <v>Control N/A!</v>
      </c>
      <c r="BX64" s="44" t="str">
        <f t="shared" si="170"/>
        <v>Control N/A!</v>
      </c>
      <c r="BY64" s="14" t="str">
        <f t="shared" si="170"/>
        <v>Control N/A!</v>
      </c>
      <c r="BZ64" s="13" t="str">
        <f t="shared" si="170"/>
        <v>Control N/A!</v>
      </c>
      <c r="CA64" s="44" t="str">
        <f t="shared" si="170"/>
        <v>Control N/A!</v>
      </c>
      <c r="CB64" s="44" t="str">
        <f t="shared" si="170"/>
        <v>Control N/A!</v>
      </c>
      <c r="CC64" s="14" t="str">
        <f t="shared" si="170"/>
        <v>Control N/A!</v>
      </c>
      <c r="CD64" s="13" t="str">
        <f t="shared" si="170"/>
        <v>Control N/A!</v>
      </c>
      <c r="CE64" s="44" t="str">
        <f t="shared" si="170"/>
        <v>Control N/A!</v>
      </c>
      <c r="CF64" s="44" t="str">
        <f t="shared" si="170"/>
        <v>Control N/A!</v>
      </c>
      <c r="CG64" s="14" t="str">
        <f t="shared" si="170"/>
        <v>Control N/A!</v>
      </c>
      <c r="CH64" s="13" t="str">
        <f t="shared" si="170"/>
        <v>Control N/A!</v>
      </c>
      <c r="CI64" s="44" t="str">
        <f t="shared" si="170"/>
        <v>Control N/A!</v>
      </c>
      <c r="CJ64" s="44" t="str">
        <f t="shared" si="170"/>
        <v>Control N/A!</v>
      </c>
      <c r="CK64" s="14" t="str">
        <f t="shared" si="170"/>
        <v>Control N/A!</v>
      </c>
      <c r="CL64" s="49"/>
      <c r="CM64" s="28"/>
    </row>
    <row r="65" spans="2:91" ht="14.25" x14ac:dyDescent="0.25">
      <c r="B65" s="55"/>
      <c r="C65" s="10" t="s">
        <v>168</v>
      </c>
      <c r="D65" s="93" t="s">
        <v>169</v>
      </c>
      <c r="E65" s="125">
        <f t="shared" ref="E65:AJ65" si="171">0.0401*LN(E64)</f>
        <v>0.10286988934591466</v>
      </c>
      <c r="F65" s="72">
        <f t="shared" si="171"/>
        <v>9.1800176034041711E-2</v>
      </c>
      <c r="G65" s="73">
        <f t="shared" si="171"/>
        <v>9.1800176034041711E-2</v>
      </c>
      <c r="H65" s="73">
        <f t="shared" si="171"/>
        <v>0.11782699041710107</v>
      </c>
      <c r="I65" s="74">
        <f t="shared" si="171"/>
        <v>0.11782699041710107</v>
      </c>
      <c r="J65" s="96" t="e">
        <f t="shared" si="171"/>
        <v>#VALUE!</v>
      </c>
      <c r="K65" s="97">
        <f t="shared" si="171"/>
        <v>0</v>
      </c>
      <c r="L65" s="97" t="e">
        <f t="shared" ca="1" si="171"/>
        <v>#NAME?</v>
      </c>
      <c r="M65" s="98" t="e">
        <f t="shared" ca="1" si="171"/>
        <v>#NAME?</v>
      </c>
      <c r="N65" s="168" t="e">
        <f t="shared" si="171"/>
        <v>#VALUE!</v>
      </c>
      <c r="O65" s="171" t="e">
        <f t="shared" si="171"/>
        <v>#VALUE!</v>
      </c>
      <c r="P65" s="171" t="e">
        <f t="shared" si="171"/>
        <v>#VALUE!</v>
      </c>
      <c r="Q65" s="169" t="e">
        <f t="shared" si="171"/>
        <v>#VALUE!</v>
      </c>
      <c r="R65" s="168" t="e">
        <f t="shared" si="171"/>
        <v>#VALUE!</v>
      </c>
      <c r="S65" s="171" t="e">
        <f t="shared" si="171"/>
        <v>#VALUE!</v>
      </c>
      <c r="T65" s="171" t="e">
        <f t="shared" si="171"/>
        <v>#VALUE!</v>
      </c>
      <c r="U65" s="169" t="e">
        <f t="shared" si="171"/>
        <v>#VALUE!</v>
      </c>
      <c r="V65" s="168" t="e">
        <f t="shared" si="171"/>
        <v>#VALUE!</v>
      </c>
      <c r="W65" s="171" t="e">
        <f t="shared" si="171"/>
        <v>#VALUE!</v>
      </c>
      <c r="X65" s="171" t="e">
        <f t="shared" si="171"/>
        <v>#VALUE!</v>
      </c>
      <c r="Y65" s="169" t="e">
        <f t="shared" si="171"/>
        <v>#VALUE!</v>
      </c>
      <c r="Z65" s="168" t="e">
        <f t="shared" si="171"/>
        <v>#VALUE!</v>
      </c>
      <c r="AA65" s="171" t="e">
        <f t="shared" si="171"/>
        <v>#VALUE!</v>
      </c>
      <c r="AB65" s="171" t="e">
        <f t="shared" si="171"/>
        <v>#VALUE!</v>
      </c>
      <c r="AC65" s="169" t="e">
        <f t="shared" si="171"/>
        <v>#VALUE!</v>
      </c>
      <c r="AD65" s="168" t="e">
        <f t="shared" si="171"/>
        <v>#VALUE!</v>
      </c>
      <c r="AE65" s="171" t="e">
        <f t="shared" si="171"/>
        <v>#VALUE!</v>
      </c>
      <c r="AF65" s="171" t="e">
        <f t="shared" si="171"/>
        <v>#VALUE!</v>
      </c>
      <c r="AG65" s="169" t="e">
        <f t="shared" si="171"/>
        <v>#VALUE!</v>
      </c>
      <c r="AH65" s="168" t="e">
        <f t="shared" si="171"/>
        <v>#VALUE!</v>
      </c>
      <c r="AI65" s="171" t="e">
        <f t="shared" si="171"/>
        <v>#VALUE!</v>
      </c>
      <c r="AJ65" s="171" t="e">
        <f t="shared" si="171"/>
        <v>#VALUE!</v>
      </c>
      <c r="AK65" s="169" t="e">
        <f t="shared" ref="AK65:BP65" si="172">0.0401*LN(AK64)</f>
        <v>#VALUE!</v>
      </c>
      <c r="AL65" s="168" t="e">
        <f t="shared" si="172"/>
        <v>#VALUE!</v>
      </c>
      <c r="AM65" s="171" t="e">
        <f t="shared" si="172"/>
        <v>#VALUE!</v>
      </c>
      <c r="AN65" s="171" t="e">
        <f t="shared" si="172"/>
        <v>#VALUE!</v>
      </c>
      <c r="AO65" s="169" t="e">
        <f t="shared" si="172"/>
        <v>#VALUE!</v>
      </c>
      <c r="AP65" s="168" t="e">
        <f t="shared" si="172"/>
        <v>#VALUE!</v>
      </c>
      <c r="AQ65" s="171" t="e">
        <f t="shared" si="172"/>
        <v>#VALUE!</v>
      </c>
      <c r="AR65" s="171" t="e">
        <f t="shared" si="172"/>
        <v>#VALUE!</v>
      </c>
      <c r="AS65" s="169" t="e">
        <f t="shared" si="172"/>
        <v>#VALUE!</v>
      </c>
      <c r="AT65" s="168" t="e">
        <f t="shared" si="172"/>
        <v>#VALUE!</v>
      </c>
      <c r="AU65" s="171" t="e">
        <f t="shared" si="172"/>
        <v>#VALUE!</v>
      </c>
      <c r="AV65" s="171" t="e">
        <f t="shared" si="172"/>
        <v>#VALUE!</v>
      </c>
      <c r="AW65" s="169" t="e">
        <f t="shared" si="172"/>
        <v>#VALUE!</v>
      </c>
      <c r="AX65" s="168" t="e">
        <f t="shared" si="172"/>
        <v>#VALUE!</v>
      </c>
      <c r="AY65" s="171" t="e">
        <f t="shared" si="172"/>
        <v>#VALUE!</v>
      </c>
      <c r="AZ65" s="171" t="e">
        <f t="shared" si="172"/>
        <v>#VALUE!</v>
      </c>
      <c r="BA65" s="169" t="e">
        <f t="shared" si="172"/>
        <v>#VALUE!</v>
      </c>
      <c r="BB65" s="168" t="e">
        <f t="shared" si="172"/>
        <v>#VALUE!</v>
      </c>
      <c r="BC65" s="171" t="e">
        <f t="shared" si="172"/>
        <v>#VALUE!</v>
      </c>
      <c r="BD65" s="171" t="e">
        <f t="shared" si="172"/>
        <v>#VALUE!</v>
      </c>
      <c r="BE65" s="169" t="e">
        <f t="shared" si="172"/>
        <v>#VALUE!</v>
      </c>
      <c r="BF65" s="168" t="e">
        <f t="shared" si="172"/>
        <v>#VALUE!</v>
      </c>
      <c r="BG65" s="171" t="e">
        <f t="shared" si="172"/>
        <v>#VALUE!</v>
      </c>
      <c r="BH65" s="171" t="e">
        <f t="shared" si="172"/>
        <v>#VALUE!</v>
      </c>
      <c r="BI65" s="169" t="e">
        <f t="shared" si="172"/>
        <v>#VALUE!</v>
      </c>
      <c r="BJ65" s="168" t="e">
        <f t="shared" si="172"/>
        <v>#VALUE!</v>
      </c>
      <c r="BK65" s="171" t="e">
        <f t="shared" si="172"/>
        <v>#VALUE!</v>
      </c>
      <c r="BL65" s="171" t="e">
        <f t="shared" si="172"/>
        <v>#VALUE!</v>
      </c>
      <c r="BM65" s="169" t="e">
        <f t="shared" si="172"/>
        <v>#VALUE!</v>
      </c>
      <c r="BN65" s="168" t="e">
        <f t="shared" si="172"/>
        <v>#VALUE!</v>
      </c>
      <c r="BO65" s="171" t="e">
        <f t="shared" si="172"/>
        <v>#VALUE!</v>
      </c>
      <c r="BP65" s="171" t="e">
        <f t="shared" si="172"/>
        <v>#VALUE!</v>
      </c>
      <c r="BQ65" s="169" t="e">
        <f t="shared" ref="BQ65:CK65" si="173">0.0401*LN(BQ64)</f>
        <v>#VALUE!</v>
      </c>
      <c r="BR65" s="168" t="e">
        <f t="shared" si="173"/>
        <v>#VALUE!</v>
      </c>
      <c r="BS65" s="171" t="e">
        <f t="shared" si="173"/>
        <v>#VALUE!</v>
      </c>
      <c r="BT65" s="171" t="e">
        <f t="shared" si="173"/>
        <v>#VALUE!</v>
      </c>
      <c r="BU65" s="169" t="e">
        <f t="shared" si="173"/>
        <v>#VALUE!</v>
      </c>
      <c r="BV65" s="168" t="e">
        <f t="shared" si="173"/>
        <v>#VALUE!</v>
      </c>
      <c r="BW65" s="171" t="e">
        <f t="shared" si="173"/>
        <v>#VALUE!</v>
      </c>
      <c r="BX65" s="171" t="e">
        <f t="shared" si="173"/>
        <v>#VALUE!</v>
      </c>
      <c r="BY65" s="169" t="e">
        <f t="shared" si="173"/>
        <v>#VALUE!</v>
      </c>
      <c r="BZ65" s="168" t="e">
        <f t="shared" si="173"/>
        <v>#VALUE!</v>
      </c>
      <c r="CA65" s="171" t="e">
        <f t="shared" si="173"/>
        <v>#VALUE!</v>
      </c>
      <c r="CB65" s="171" t="e">
        <f t="shared" si="173"/>
        <v>#VALUE!</v>
      </c>
      <c r="CC65" s="169" t="e">
        <f t="shared" si="173"/>
        <v>#VALUE!</v>
      </c>
      <c r="CD65" s="168" t="e">
        <f t="shared" si="173"/>
        <v>#VALUE!</v>
      </c>
      <c r="CE65" s="171" t="e">
        <f t="shared" si="173"/>
        <v>#VALUE!</v>
      </c>
      <c r="CF65" s="171" t="e">
        <f t="shared" si="173"/>
        <v>#VALUE!</v>
      </c>
      <c r="CG65" s="169" t="e">
        <f t="shared" si="173"/>
        <v>#VALUE!</v>
      </c>
      <c r="CH65" s="168" t="e">
        <f t="shared" si="173"/>
        <v>#VALUE!</v>
      </c>
      <c r="CI65" s="171" t="e">
        <f t="shared" si="173"/>
        <v>#VALUE!</v>
      </c>
      <c r="CJ65" s="171" t="e">
        <f t="shared" si="173"/>
        <v>#VALUE!</v>
      </c>
      <c r="CK65" s="169" t="e">
        <f t="shared" si="173"/>
        <v>#VALUE!</v>
      </c>
      <c r="CL65" s="49"/>
      <c r="CM65" s="28"/>
    </row>
    <row r="66" spans="2:91" ht="14.25" x14ac:dyDescent="0.25">
      <c r="B66" s="55"/>
      <c r="C66" s="10" t="s">
        <v>48</v>
      </c>
      <c r="D66" s="93" t="s">
        <v>40</v>
      </c>
      <c r="E66" s="125">
        <f>IF(E9&gt;0,0.5997+E59+E61+E62+E65,0)</f>
        <v>2.6757775585894503</v>
      </c>
      <c r="F66" s="72">
        <f t="shared" ref="F66:AK66" si="174">IF(AND(F9&gt;0,F30&gt;0),0.5997+F59+F61+F62+F65,0)</f>
        <v>2.7724605183883799</v>
      </c>
      <c r="G66" s="73">
        <f t="shared" si="174"/>
        <v>2.8117855183883798</v>
      </c>
      <c r="H66" s="73">
        <f t="shared" si="174"/>
        <v>2.762108409660637</v>
      </c>
      <c r="I66" s="74">
        <f t="shared" si="174"/>
        <v>2.7206709096606372</v>
      </c>
      <c r="J66" s="96">
        <f t="shared" si="174"/>
        <v>0</v>
      </c>
      <c r="K66" s="97">
        <f t="shared" si="174"/>
        <v>1.6890019601655288</v>
      </c>
      <c r="L66" s="97" t="e">
        <f t="shared" ca="1" si="174"/>
        <v>#NAME?</v>
      </c>
      <c r="M66" s="98">
        <f t="shared" si="174"/>
        <v>0</v>
      </c>
      <c r="N66" s="168">
        <f t="shared" si="174"/>
        <v>0</v>
      </c>
      <c r="O66" s="171">
        <f t="shared" si="174"/>
        <v>0</v>
      </c>
      <c r="P66" s="171">
        <f t="shared" si="174"/>
        <v>0</v>
      </c>
      <c r="Q66" s="169">
        <f t="shared" si="174"/>
        <v>0</v>
      </c>
      <c r="R66" s="168">
        <f t="shared" si="174"/>
        <v>0</v>
      </c>
      <c r="S66" s="171">
        <f t="shared" si="174"/>
        <v>0</v>
      </c>
      <c r="T66" s="171">
        <f t="shared" si="174"/>
        <v>0</v>
      </c>
      <c r="U66" s="169">
        <f t="shared" si="174"/>
        <v>0</v>
      </c>
      <c r="V66" s="168">
        <f t="shared" si="174"/>
        <v>0</v>
      </c>
      <c r="W66" s="171">
        <f t="shared" si="174"/>
        <v>0</v>
      </c>
      <c r="X66" s="171">
        <f t="shared" si="174"/>
        <v>0</v>
      </c>
      <c r="Y66" s="169">
        <f t="shared" si="174"/>
        <v>0</v>
      </c>
      <c r="Z66" s="168">
        <f t="shared" si="174"/>
        <v>0</v>
      </c>
      <c r="AA66" s="171">
        <f t="shared" si="174"/>
        <v>0</v>
      </c>
      <c r="AB66" s="171">
        <f t="shared" si="174"/>
        <v>0</v>
      </c>
      <c r="AC66" s="169">
        <f t="shared" si="174"/>
        <v>0</v>
      </c>
      <c r="AD66" s="168">
        <f t="shared" si="174"/>
        <v>0</v>
      </c>
      <c r="AE66" s="171">
        <f t="shared" si="174"/>
        <v>0</v>
      </c>
      <c r="AF66" s="171">
        <f t="shared" si="174"/>
        <v>0</v>
      </c>
      <c r="AG66" s="169">
        <f t="shared" si="174"/>
        <v>0</v>
      </c>
      <c r="AH66" s="168">
        <f t="shared" si="174"/>
        <v>0</v>
      </c>
      <c r="AI66" s="171">
        <f t="shared" si="174"/>
        <v>0</v>
      </c>
      <c r="AJ66" s="171">
        <f t="shared" si="174"/>
        <v>0</v>
      </c>
      <c r="AK66" s="169">
        <f t="shared" si="174"/>
        <v>0</v>
      </c>
      <c r="AL66" s="168">
        <f t="shared" ref="AL66:BQ66" si="175">IF(AND(AL9&gt;0,AL30&gt;0),0.5997+AL59+AL61+AL62+AL65,0)</f>
        <v>0</v>
      </c>
      <c r="AM66" s="171">
        <f t="shared" si="175"/>
        <v>0</v>
      </c>
      <c r="AN66" s="171">
        <f t="shared" si="175"/>
        <v>0</v>
      </c>
      <c r="AO66" s="169">
        <f t="shared" si="175"/>
        <v>0</v>
      </c>
      <c r="AP66" s="168">
        <f t="shared" si="175"/>
        <v>0</v>
      </c>
      <c r="AQ66" s="171">
        <f t="shared" si="175"/>
        <v>0</v>
      </c>
      <c r="AR66" s="171">
        <f t="shared" si="175"/>
        <v>0</v>
      </c>
      <c r="AS66" s="169">
        <f t="shared" si="175"/>
        <v>0</v>
      </c>
      <c r="AT66" s="168">
        <f t="shared" si="175"/>
        <v>0</v>
      </c>
      <c r="AU66" s="171">
        <f t="shared" si="175"/>
        <v>0</v>
      </c>
      <c r="AV66" s="171">
        <f t="shared" si="175"/>
        <v>0</v>
      </c>
      <c r="AW66" s="169">
        <f t="shared" si="175"/>
        <v>0</v>
      </c>
      <c r="AX66" s="168">
        <f t="shared" si="175"/>
        <v>0</v>
      </c>
      <c r="AY66" s="171">
        <f t="shared" si="175"/>
        <v>0</v>
      </c>
      <c r="AZ66" s="171">
        <f t="shared" si="175"/>
        <v>0</v>
      </c>
      <c r="BA66" s="169">
        <f t="shared" si="175"/>
        <v>0</v>
      </c>
      <c r="BB66" s="168">
        <f t="shared" si="175"/>
        <v>0</v>
      </c>
      <c r="BC66" s="171">
        <f t="shared" si="175"/>
        <v>0</v>
      </c>
      <c r="BD66" s="171">
        <f t="shared" si="175"/>
        <v>0</v>
      </c>
      <c r="BE66" s="169">
        <f t="shared" si="175"/>
        <v>0</v>
      </c>
      <c r="BF66" s="168">
        <f t="shared" si="175"/>
        <v>0</v>
      </c>
      <c r="BG66" s="171">
        <f t="shared" si="175"/>
        <v>0</v>
      </c>
      <c r="BH66" s="171">
        <f t="shared" si="175"/>
        <v>0</v>
      </c>
      <c r="BI66" s="169">
        <f t="shared" si="175"/>
        <v>0</v>
      </c>
      <c r="BJ66" s="168">
        <f t="shared" si="175"/>
        <v>0</v>
      </c>
      <c r="BK66" s="171">
        <f t="shared" si="175"/>
        <v>0</v>
      </c>
      <c r="BL66" s="171">
        <f t="shared" si="175"/>
        <v>0</v>
      </c>
      <c r="BM66" s="169">
        <f t="shared" si="175"/>
        <v>0</v>
      </c>
      <c r="BN66" s="168">
        <f t="shared" si="175"/>
        <v>0</v>
      </c>
      <c r="BO66" s="171">
        <f t="shared" si="175"/>
        <v>0</v>
      </c>
      <c r="BP66" s="171">
        <f t="shared" si="175"/>
        <v>0</v>
      </c>
      <c r="BQ66" s="169">
        <f t="shared" si="175"/>
        <v>0</v>
      </c>
      <c r="BR66" s="168">
        <f t="shared" ref="BR66:CK66" si="176">IF(AND(BR9&gt;0,BR30&gt;0),0.5997+BR59+BR61+BR62+BR65,0)</f>
        <v>0</v>
      </c>
      <c r="BS66" s="171">
        <f t="shared" si="176"/>
        <v>0</v>
      </c>
      <c r="BT66" s="171">
        <f t="shared" si="176"/>
        <v>0</v>
      </c>
      <c r="BU66" s="169">
        <f t="shared" si="176"/>
        <v>0</v>
      </c>
      <c r="BV66" s="168">
        <f t="shared" si="176"/>
        <v>0</v>
      </c>
      <c r="BW66" s="171">
        <f t="shared" si="176"/>
        <v>0</v>
      </c>
      <c r="BX66" s="171">
        <f t="shared" si="176"/>
        <v>0</v>
      </c>
      <c r="BY66" s="169">
        <f t="shared" si="176"/>
        <v>0</v>
      </c>
      <c r="BZ66" s="168">
        <f t="shared" si="176"/>
        <v>0</v>
      </c>
      <c r="CA66" s="171">
        <f t="shared" si="176"/>
        <v>0</v>
      </c>
      <c r="CB66" s="171">
        <f t="shared" si="176"/>
        <v>0</v>
      </c>
      <c r="CC66" s="169">
        <f t="shared" si="176"/>
        <v>0</v>
      </c>
      <c r="CD66" s="168">
        <f t="shared" si="176"/>
        <v>0</v>
      </c>
      <c r="CE66" s="171">
        <f t="shared" si="176"/>
        <v>0</v>
      </c>
      <c r="CF66" s="171">
        <f t="shared" si="176"/>
        <v>0</v>
      </c>
      <c r="CG66" s="169">
        <f t="shared" si="176"/>
        <v>0</v>
      </c>
      <c r="CH66" s="168">
        <f t="shared" si="176"/>
        <v>0</v>
      </c>
      <c r="CI66" s="171">
        <f t="shared" si="176"/>
        <v>0</v>
      </c>
      <c r="CJ66" s="171">
        <f t="shared" si="176"/>
        <v>0</v>
      </c>
      <c r="CK66" s="169">
        <f t="shared" si="176"/>
        <v>0</v>
      </c>
      <c r="CL66" s="49"/>
      <c r="CM66" s="28"/>
    </row>
    <row r="67" spans="2:91" x14ac:dyDescent="0.25">
      <c r="B67" s="55"/>
      <c r="C67" s="10"/>
      <c r="D67" s="93" t="s">
        <v>220</v>
      </c>
      <c r="E67" s="124" t="str">
        <f t="shared" ref="E67" si="177">IF(E66&lt;=2,"A",IF(E66&lt;=2.75,"B",IF(E66&lt;=3.5,"C",IF(E66&lt;=4.25,"D",IF(E66&lt;=5,"E","F")))))</f>
        <v>B</v>
      </c>
      <c r="F67" s="10" t="str">
        <f t="shared" ref="F67:I67" si="178">IF(F66&lt;=2,"A",IF(F66&lt;=2.75,"B",IF(F66&lt;=3.5,"C",IF(F66&lt;=4.25,"D",IF(F66&lt;=5,"E","F")))))</f>
        <v>C</v>
      </c>
      <c r="G67" s="71" t="str">
        <f t="shared" si="178"/>
        <v>C</v>
      </c>
      <c r="H67" s="71" t="str">
        <f t="shared" si="178"/>
        <v>C</v>
      </c>
      <c r="I67" s="75" t="str">
        <f t="shared" si="178"/>
        <v>B</v>
      </c>
      <c r="J67" s="10" t="str">
        <f t="shared" ref="J67:L67" si="179">IF(J66&lt;=2,"A",IF(J66&lt;=2.75,"B",IF(J66&lt;=3.5,"C",IF(J66&lt;=4.25,"D",IF(J66&lt;=5,"E","F")))))</f>
        <v>A</v>
      </c>
      <c r="K67" s="95" t="str">
        <f t="shared" si="179"/>
        <v>A</v>
      </c>
      <c r="L67" s="95" t="e">
        <f t="shared" ca="1" si="179"/>
        <v>#NAME?</v>
      </c>
      <c r="M67" s="99" t="str">
        <f>IF(M66&lt;=2,"A",IF(M66&lt;=2.75,"B",IF(M66&lt;=3.5,"C",IF(M66&lt;=4.25,"D",IF(M66&lt;=5,"E","F")))))</f>
        <v>A</v>
      </c>
      <c r="N67" s="10" t="str">
        <f t="shared" ref="N67:P67" si="180">IF(N66&lt;=2,"A",IF(N66&lt;=2.75,"B",IF(N66&lt;=3.5,"C",IF(N66&lt;=4.25,"D",IF(N66&lt;=5,"E","F")))))</f>
        <v>A</v>
      </c>
      <c r="O67" s="166" t="str">
        <f t="shared" si="180"/>
        <v>A</v>
      </c>
      <c r="P67" s="166" t="str">
        <f t="shared" si="180"/>
        <v>A</v>
      </c>
      <c r="Q67" s="170" t="str">
        <f>IF(Q66&lt;=2,"A",IF(Q66&lt;=2.75,"B",IF(Q66&lt;=3.5,"C",IF(Q66&lt;=4.25,"D",IF(Q66&lt;=5,"E","F")))))</f>
        <v>A</v>
      </c>
      <c r="R67" s="10" t="str">
        <f t="shared" ref="R67:T67" si="181">IF(R66&lt;=2,"A",IF(R66&lt;=2.75,"B",IF(R66&lt;=3.5,"C",IF(R66&lt;=4.25,"D",IF(R66&lt;=5,"E","F")))))</f>
        <v>A</v>
      </c>
      <c r="S67" s="166" t="str">
        <f t="shared" si="181"/>
        <v>A</v>
      </c>
      <c r="T67" s="166" t="str">
        <f t="shared" si="181"/>
        <v>A</v>
      </c>
      <c r="U67" s="170" t="str">
        <f>IF(U66&lt;=2,"A",IF(U66&lt;=2.75,"B",IF(U66&lt;=3.5,"C",IF(U66&lt;=4.25,"D",IF(U66&lt;=5,"E","F")))))</f>
        <v>A</v>
      </c>
      <c r="V67" s="10" t="str">
        <f t="shared" ref="V67:X67" si="182">IF(V66&lt;=2,"A",IF(V66&lt;=2.75,"B",IF(V66&lt;=3.5,"C",IF(V66&lt;=4.25,"D",IF(V66&lt;=5,"E","F")))))</f>
        <v>A</v>
      </c>
      <c r="W67" s="166" t="str">
        <f t="shared" si="182"/>
        <v>A</v>
      </c>
      <c r="X67" s="166" t="str">
        <f t="shared" si="182"/>
        <v>A</v>
      </c>
      <c r="Y67" s="170" t="str">
        <f>IF(Y66&lt;=2,"A",IF(Y66&lt;=2.75,"B",IF(Y66&lt;=3.5,"C",IF(Y66&lt;=4.25,"D",IF(Y66&lt;=5,"E","F")))))</f>
        <v>A</v>
      </c>
      <c r="Z67" s="10" t="str">
        <f t="shared" ref="Z67:AB67" si="183">IF(Z66&lt;=2,"A",IF(Z66&lt;=2.75,"B",IF(Z66&lt;=3.5,"C",IF(Z66&lt;=4.25,"D",IF(Z66&lt;=5,"E","F")))))</f>
        <v>A</v>
      </c>
      <c r="AA67" s="166" t="str">
        <f t="shared" si="183"/>
        <v>A</v>
      </c>
      <c r="AB67" s="166" t="str">
        <f t="shared" si="183"/>
        <v>A</v>
      </c>
      <c r="AC67" s="170" t="str">
        <f>IF(AC66&lt;=2,"A",IF(AC66&lt;=2.75,"B",IF(AC66&lt;=3.5,"C",IF(AC66&lt;=4.25,"D",IF(AC66&lt;=5,"E","F")))))</f>
        <v>A</v>
      </c>
      <c r="AD67" s="10" t="str">
        <f t="shared" ref="AD67:AF67" si="184">IF(AD66&lt;=2,"A",IF(AD66&lt;=2.75,"B",IF(AD66&lt;=3.5,"C",IF(AD66&lt;=4.25,"D",IF(AD66&lt;=5,"E","F")))))</f>
        <v>A</v>
      </c>
      <c r="AE67" s="166" t="str">
        <f t="shared" si="184"/>
        <v>A</v>
      </c>
      <c r="AF67" s="166" t="str">
        <f t="shared" si="184"/>
        <v>A</v>
      </c>
      <c r="AG67" s="170" t="str">
        <f>IF(AG66&lt;=2,"A",IF(AG66&lt;=2.75,"B",IF(AG66&lt;=3.5,"C",IF(AG66&lt;=4.25,"D",IF(AG66&lt;=5,"E","F")))))</f>
        <v>A</v>
      </c>
      <c r="AH67" s="10" t="str">
        <f t="shared" ref="AH67:AJ67" si="185">IF(AH66&lt;=2,"A",IF(AH66&lt;=2.75,"B",IF(AH66&lt;=3.5,"C",IF(AH66&lt;=4.25,"D",IF(AH66&lt;=5,"E","F")))))</f>
        <v>A</v>
      </c>
      <c r="AI67" s="166" t="str">
        <f t="shared" si="185"/>
        <v>A</v>
      </c>
      <c r="AJ67" s="166" t="str">
        <f t="shared" si="185"/>
        <v>A</v>
      </c>
      <c r="AK67" s="170" t="str">
        <f>IF(AK66&lt;=2,"A",IF(AK66&lt;=2.75,"B",IF(AK66&lt;=3.5,"C",IF(AK66&lt;=4.25,"D",IF(AK66&lt;=5,"E","F")))))</f>
        <v>A</v>
      </c>
      <c r="AL67" s="10" t="str">
        <f t="shared" ref="AL67:AN67" si="186">IF(AL66&lt;=2,"A",IF(AL66&lt;=2.75,"B",IF(AL66&lt;=3.5,"C",IF(AL66&lt;=4.25,"D",IF(AL66&lt;=5,"E","F")))))</f>
        <v>A</v>
      </c>
      <c r="AM67" s="166" t="str">
        <f t="shared" si="186"/>
        <v>A</v>
      </c>
      <c r="AN67" s="166" t="str">
        <f t="shared" si="186"/>
        <v>A</v>
      </c>
      <c r="AO67" s="170" t="str">
        <f>IF(AO66&lt;=2,"A",IF(AO66&lt;=2.75,"B",IF(AO66&lt;=3.5,"C",IF(AO66&lt;=4.25,"D",IF(AO66&lt;=5,"E","F")))))</f>
        <v>A</v>
      </c>
      <c r="AP67" s="10" t="str">
        <f t="shared" ref="AP67:AR67" si="187">IF(AP66&lt;=2,"A",IF(AP66&lt;=2.75,"B",IF(AP66&lt;=3.5,"C",IF(AP66&lt;=4.25,"D",IF(AP66&lt;=5,"E","F")))))</f>
        <v>A</v>
      </c>
      <c r="AQ67" s="166" t="str">
        <f t="shared" si="187"/>
        <v>A</v>
      </c>
      <c r="AR67" s="166" t="str">
        <f t="shared" si="187"/>
        <v>A</v>
      </c>
      <c r="AS67" s="170" t="str">
        <f>IF(AS66&lt;=2,"A",IF(AS66&lt;=2.75,"B",IF(AS66&lt;=3.5,"C",IF(AS66&lt;=4.25,"D",IF(AS66&lt;=5,"E","F")))))</f>
        <v>A</v>
      </c>
      <c r="AT67" s="10" t="str">
        <f t="shared" ref="AT67:AV67" si="188">IF(AT66&lt;=2,"A",IF(AT66&lt;=2.75,"B",IF(AT66&lt;=3.5,"C",IF(AT66&lt;=4.25,"D",IF(AT66&lt;=5,"E","F")))))</f>
        <v>A</v>
      </c>
      <c r="AU67" s="166" t="str">
        <f t="shared" si="188"/>
        <v>A</v>
      </c>
      <c r="AV67" s="166" t="str">
        <f t="shared" si="188"/>
        <v>A</v>
      </c>
      <c r="AW67" s="170" t="str">
        <f>IF(AW66&lt;=2,"A",IF(AW66&lt;=2.75,"B",IF(AW66&lt;=3.5,"C",IF(AW66&lt;=4.25,"D",IF(AW66&lt;=5,"E","F")))))</f>
        <v>A</v>
      </c>
      <c r="AX67" s="10" t="str">
        <f t="shared" ref="AX67:AZ67" si="189">IF(AX66&lt;=2,"A",IF(AX66&lt;=2.75,"B",IF(AX66&lt;=3.5,"C",IF(AX66&lt;=4.25,"D",IF(AX66&lt;=5,"E","F")))))</f>
        <v>A</v>
      </c>
      <c r="AY67" s="166" t="str">
        <f t="shared" si="189"/>
        <v>A</v>
      </c>
      <c r="AZ67" s="166" t="str">
        <f t="shared" si="189"/>
        <v>A</v>
      </c>
      <c r="BA67" s="170" t="str">
        <f>IF(BA66&lt;=2,"A",IF(BA66&lt;=2.75,"B",IF(BA66&lt;=3.5,"C",IF(BA66&lt;=4.25,"D",IF(BA66&lt;=5,"E","F")))))</f>
        <v>A</v>
      </c>
      <c r="BB67" s="10" t="str">
        <f t="shared" ref="BB67:BD67" si="190">IF(BB66&lt;=2,"A",IF(BB66&lt;=2.75,"B",IF(BB66&lt;=3.5,"C",IF(BB66&lt;=4.25,"D",IF(BB66&lt;=5,"E","F")))))</f>
        <v>A</v>
      </c>
      <c r="BC67" s="166" t="str">
        <f t="shared" si="190"/>
        <v>A</v>
      </c>
      <c r="BD67" s="166" t="str">
        <f t="shared" si="190"/>
        <v>A</v>
      </c>
      <c r="BE67" s="170" t="str">
        <f>IF(BE66&lt;=2,"A",IF(BE66&lt;=2.75,"B",IF(BE66&lt;=3.5,"C",IF(BE66&lt;=4.25,"D",IF(BE66&lt;=5,"E","F")))))</f>
        <v>A</v>
      </c>
      <c r="BF67" s="10" t="str">
        <f t="shared" ref="BF67:BH67" si="191">IF(BF66&lt;=2,"A",IF(BF66&lt;=2.75,"B",IF(BF66&lt;=3.5,"C",IF(BF66&lt;=4.25,"D",IF(BF66&lt;=5,"E","F")))))</f>
        <v>A</v>
      </c>
      <c r="BG67" s="166" t="str">
        <f t="shared" si="191"/>
        <v>A</v>
      </c>
      <c r="BH67" s="166" t="str">
        <f t="shared" si="191"/>
        <v>A</v>
      </c>
      <c r="BI67" s="170" t="str">
        <f>IF(BI66&lt;=2,"A",IF(BI66&lt;=2.75,"B",IF(BI66&lt;=3.5,"C",IF(BI66&lt;=4.25,"D",IF(BI66&lt;=5,"E","F")))))</f>
        <v>A</v>
      </c>
      <c r="BJ67" s="10" t="str">
        <f t="shared" ref="BJ67:BL67" si="192">IF(BJ66&lt;=2,"A",IF(BJ66&lt;=2.75,"B",IF(BJ66&lt;=3.5,"C",IF(BJ66&lt;=4.25,"D",IF(BJ66&lt;=5,"E","F")))))</f>
        <v>A</v>
      </c>
      <c r="BK67" s="166" t="str">
        <f t="shared" si="192"/>
        <v>A</v>
      </c>
      <c r="BL67" s="166" t="str">
        <f t="shared" si="192"/>
        <v>A</v>
      </c>
      <c r="BM67" s="170" t="str">
        <f>IF(BM66&lt;=2,"A",IF(BM66&lt;=2.75,"B",IF(BM66&lt;=3.5,"C",IF(BM66&lt;=4.25,"D",IF(BM66&lt;=5,"E","F")))))</f>
        <v>A</v>
      </c>
      <c r="BN67" s="10" t="str">
        <f t="shared" ref="BN67:BP67" si="193">IF(BN66&lt;=2,"A",IF(BN66&lt;=2.75,"B",IF(BN66&lt;=3.5,"C",IF(BN66&lt;=4.25,"D",IF(BN66&lt;=5,"E","F")))))</f>
        <v>A</v>
      </c>
      <c r="BO67" s="166" t="str">
        <f t="shared" si="193"/>
        <v>A</v>
      </c>
      <c r="BP67" s="166" t="str">
        <f t="shared" si="193"/>
        <v>A</v>
      </c>
      <c r="BQ67" s="170" t="str">
        <f>IF(BQ66&lt;=2,"A",IF(BQ66&lt;=2.75,"B",IF(BQ66&lt;=3.5,"C",IF(BQ66&lt;=4.25,"D",IF(BQ66&lt;=5,"E","F")))))</f>
        <v>A</v>
      </c>
      <c r="BR67" s="10" t="str">
        <f t="shared" ref="BR67:BT67" si="194">IF(BR66&lt;=2,"A",IF(BR66&lt;=2.75,"B",IF(BR66&lt;=3.5,"C",IF(BR66&lt;=4.25,"D",IF(BR66&lt;=5,"E","F")))))</f>
        <v>A</v>
      </c>
      <c r="BS67" s="166" t="str">
        <f t="shared" si="194"/>
        <v>A</v>
      </c>
      <c r="BT67" s="166" t="str">
        <f t="shared" si="194"/>
        <v>A</v>
      </c>
      <c r="BU67" s="170" t="str">
        <f>IF(BU66&lt;=2,"A",IF(BU66&lt;=2.75,"B",IF(BU66&lt;=3.5,"C",IF(BU66&lt;=4.25,"D",IF(BU66&lt;=5,"E","F")))))</f>
        <v>A</v>
      </c>
      <c r="BV67" s="10" t="str">
        <f t="shared" ref="BV67:BX67" si="195">IF(BV66&lt;=2,"A",IF(BV66&lt;=2.75,"B",IF(BV66&lt;=3.5,"C",IF(BV66&lt;=4.25,"D",IF(BV66&lt;=5,"E","F")))))</f>
        <v>A</v>
      </c>
      <c r="BW67" s="166" t="str">
        <f t="shared" si="195"/>
        <v>A</v>
      </c>
      <c r="BX67" s="166" t="str">
        <f t="shared" si="195"/>
        <v>A</v>
      </c>
      <c r="BY67" s="170" t="str">
        <f>IF(BY66&lt;=2,"A",IF(BY66&lt;=2.75,"B",IF(BY66&lt;=3.5,"C",IF(BY66&lt;=4.25,"D",IF(BY66&lt;=5,"E","F")))))</f>
        <v>A</v>
      </c>
      <c r="BZ67" s="10" t="str">
        <f t="shared" ref="BZ67:CB67" si="196">IF(BZ66&lt;=2,"A",IF(BZ66&lt;=2.75,"B",IF(BZ66&lt;=3.5,"C",IF(BZ66&lt;=4.25,"D",IF(BZ66&lt;=5,"E","F")))))</f>
        <v>A</v>
      </c>
      <c r="CA67" s="166" t="str">
        <f t="shared" si="196"/>
        <v>A</v>
      </c>
      <c r="CB67" s="166" t="str">
        <f t="shared" si="196"/>
        <v>A</v>
      </c>
      <c r="CC67" s="170" t="str">
        <f>IF(CC66&lt;=2,"A",IF(CC66&lt;=2.75,"B",IF(CC66&lt;=3.5,"C",IF(CC66&lt;=4.25,"D",IF(CC66&lt;=5,"E","F")))))</f>
        <v>A</v>
      </c>
      <c r="CD67" s="10" t="str">
        <f t="shared" ref="CD67:CF67" si="197">IF(CD66&lt;=2,"A",IF(CD66&lt;=2.75,"B",IF(CD66&lt;=3.5,"C",IF(CD66&lt;=4.25,"D",IF(CD66&lt;=5,"E","F")))))</f>
        <v>A</v>
      </c>
      <c r="CE67" s="166" t="str">
        <f t="shared" si="197"/>
        <v>A</v>
      </c>
      <c r="CF67" s="166" t="str">
        <f t="shared" si="197"/>
        <v>A</v>
      </c>
      <c r="CG67" s="170" t="str">
        <f>IF(CG66&lt;=2,"A",IF(CG66&lt;=2.75,"B",IF(CG66&lt;=3.5,"C",IF(CG66&lt;=4.25,"D",IF(CG66&lt;=5,"E","F")))))</f>
        <v>A</v>
      </c>
      <c r="CH67" s="10" t="str">
        <f t="shared" ref="CH67:CJ67" si="198">IF(CH66&lt;=2,"A",IF(CH66&lt;=2.75,"B",IF(CH66&lt;=3.5,"C",IF(CH66&lt;=4.25,"D",IF(CH66&lt;=5,"E","F")))))</f>
        <v>A</v>
      </c>
      <c r="CI67" s="166" t="str">
        <f t="shared" si="198"/>
        <v>A</v>
      </c>
      <c r="CJ67" s="166" t="str">
        <f t="shared" si="198"/>
        <v>A</v>
      </c>
      <c r="CK67" s="170" t="str">
        <f>IF(CK66&lt;=2,"A",IF(CK66&lt;=2.75,"B",IF(CK66&lt;=3.5,"C",IF(CK66&lt;=4.25,"D",IF(CK66&lt;=5,"E","F")))))</f>
        <v>A</v>
      </c>
      <c r="CL67" s="49"/>
      <c r="CM67" s="28"/>
    </row>
    <row r="68" spans="2:91" x14ac:dyDescent="0.25">
      <c r="B68" s="55"/>
      <c r="C68" s="10"/>
      <c r="D68" s="93" t="s">
        <v>177</v>
      </c>
      <c r="E68" s="131"/>
      <c r="F68" s="301">
        <f>SUM(F18:F19)*IF(F44="Yes",1,0)+SUM(G18:G19)*IF(G44="Yes",1,0)+SUM(H18:H19)*IF(H44="Yes",1,0)+SUM(I18:I19)*IF(I44="Yes",1,0)</f>
        <v>1048</v>
      </c>
      <c r="G68" s="316"/>
      <c r="H68" s="316"/>
      <c r="I68" s="317"/>
      <c r="J68" s="301">
        <f>SUM(J18:J19)*IF(J44="Yes",1,0)+SUM(K18:K19)*IF(K44="Yes",1,0)+SUM(L18:L19)*IF(L44="Yes",1,0)+SUM(M18:M19)*IF(M44="Yes",1,0)</f>
        <v>40</v>
      </c>
      <c r="K68" s="316"/>
      <c r="L68" s="316"/>
      <c r="M68" s="317"/>
      <c r="N68" s="301">
        <f>SUM(N18:N19)*IF(N44="Yes",1,0)+SUM(O18:O19)*IF(O44="Yes",1,0)+SUM(P18:P19)*IF(P44="Yes",1,0)+SUM(Q18:Q19)*IF(Q44="Yes",1,0)</f>
        <v>0</v>
      </c>
      <c r="O68" s="316"/>
      <c r="P68" s="316"/>
      <c r="Q68" s="317"/>
      <c r="R68" s="301">
        <f>SUM(R18:R19)*IF(R44="Yes",1,0)+SUM(S18:S19)*IF(S44="Yes",1,0)+SUM(T18:T19)*IF(T44="Yes",1,0)+SUM(U18:U19)*IF(U44="Yes",1,0)</f>
        <v>0</v>
      </c>
      <c r="S68" s="316"/>
      <c r="T68" s="316"/>
      <c r="U68" s="317"/>
      <c r="V68" s="301">
        <f>SUM(V18:V19)*IF(V44="Yes",1,0)+SUM(W18:W19)*IF(W44="Yes",1,0)+SUM(X18:X19)*IF(X44="Yes",1,0)+SUM(Y18:Y19)*IF(Y44="Yes",1,0)</f>
        <v>0</v>
      </c>
      <c r="W68" s="316"/>
      <c r="X68" s="316"/>
      <c r="Y68" s="317"/>
      <c r="Z68" s="301">
        <f>SUM(Z18:Z19)*IF(Z44="Yes",1,0)+SUM(AA18:AA19)*IF(AA44="Yes",1,0)+SUM(AB18:AB19)*IF(AB44="Yes",1,0)+SUM(AC18:AC19)*IF(AC44="Yes",1,0)</f>
        <v>0</v>
      </c>
      <c r="AA68" s="316"/>
      <c r="AB68" s="316"/>
      <c r="AC68" s="317"/>
      <c r="AD68" s="301">
        <f>SUM(AD18:AD19)*IF(AD44="Yes",1,0)+SUM(AE18:AE19)*IF(AE44="Yes",1,0)+SUM(AF18:AF19)*IF(AF44="Yes",1,0)+SUM(AG18:AG19)*IF(AG44="Yes",1,0)</f>
        <v>0</v>
      </c>
      <c r="AE68" s="316"/>
      <c r="AF68" s="316"/>
      <c r="AG68" s="317"/>
      <c r="AH68" s="301">
        <f>SUM(AH18:AH19)*IF(AH44="Yes",1,0)+SUM(AI18:AI19)*IF(AI44="Yes",1,0)+SUM(AJ18:AJ19)*IF(AJ44="Yes",1,0)+SUM(AK18:AK19)*IF(AK44="Yes",1,0)</f>
        <v>0</v>
      </c>
      <c r="AI68" s="316"/>
      <c r="AJ68" s="316"/>
      <c r="AK68" s="317"/>
      <c r="AL68" s="301">
        <f>SUM(AL18:AL19)*IF(AL44="Yes",1,0)+SUM(AM18:AM19)*IF(AM44="Yes",1,0)+SUM(AN18:AN19)*IF(AN44="Yes",1,0)+SUM(AO18:AO19)*IF(AO44="Yes",1,0)</f>
        <v>0</v>
      </c>
      <c r="AM68" s="316"/>
      <c r="AN68" s="316"/>
      <c r="AO68" s="317"/>
      <c r="AP68" s="301">
        <f>SUM(AP18:AP19)*IF(AP44="Yes",1,0)+SUM(AQ18:AQ19)*IF(AQ44="Yes",1,0)+SUM(AR18:AR19)*IF(AR44="Yes",1,0)+SUM(AS18:AS19)*IF(AS44="Yes",1,0)</f>
        <v>0</v>
      </c>
      <c r="AQ68" s="316"/>
      <c r="AR68" s="316"/>
      <c r="AS68" s="317"/>
      <c r="AT68" s="301">
        <f>SUM(AT18:AT19)*IF(AT44="Yes",1,0)+SUM(AU18:AU19)*IF(AU44="Yes",1,0)+SUM(AV18:AV19)*IF(AV44="Yes",1,0)+SUM(AW18:AW19)*IF(AW44="Yes",1,0)</f>
        <v>0</v>
      </c>
      <c r="AU68" s="316"/>
      <c r="AV68" s="316"/>
      <c r="AW68" s="317"/>
      <c r="AX68" s="301">
        <f>SUM(AX18:AX19)*IF(AX44="Yes",1,0)+SUM(AY18:AY19)*IF(AY44="Yes",1,0)+SUM(AZ18:AZ19)*IF(AZ44="Yes",1,0)+SUM(BA18:BA19)*IF(BA44="Yes",1,0)</f>
        <v>0</v>
      </c>
      <c r="AY68" s="316"/>
      <c r="AZ68" s="316"/>
      <c r="BA68" s="317"/>
      <c r="BB68" s="301">
        <f>SUM(BB18:BB19)*IF(BB44="Yes",1,0)+SUM(BC18:BC19)*IF(BC44="Yes",1,0)+SUM(BD18:BD19)*IF(BD44="Yes",1,0)+SUM(BE18:BE19)*IF(BE44="Yes",1,0)</f>
        <v>0</v>
      </c>
      <c r="BC68" s="316"/>
      <c r="BD68" s="316"/>
      <c r="BE68" s="317"/>
      <c r="BF68" s="301">
        <f>SUM(BF18:BF19)*IF(BF44="Yes",1,0)+SUM(BG18:BG19)*IF(BG44="Yes",1,0)+SUM(BH18:BH19)*IF(BH44="Yes",1,0)+SUM(BI18:BI19)*IF(BI44="Yes",1,0)</f>
        <v>0</v>
      </c>
      <c r="BG68" s="316"/>
      <c r="BH68" s="316"/>
      <c r="BI68" s="317"/>
      <c r="BJ68" s="301">
        <f>SUM(BJ18:BJ19)*IF(BJ44="Yes",1,0)+SUM(BK18:BK19)*IF(BK44="Yes",1,0)+SUM(BL18:BL19)*IF(BL44="Yes",1,0)+SUM(BM18:BM19)*IF(BM44="Yes",1,0)</f>
        <v>0</v>
      </c>
      <c r="BK68" s="316"/>
      <c r="BL68" s="316"/>
      <c r="BM68" s="317"/>
      <c r="BN68" s="301">
        <f>SUM(BN18:BN19)*IF(BN44="Yes",1,0)+SUM(BO18:BO19)*IF(BO44="Yes",1,0)+SUM(BP18:BP19)*IF(BP44="Yes",1,0)+SUM(BQ18:BQ19)*IF(BQ44="Yes",1,0)</f>
        <v>0</v>
      </c>
      <c r="BO68" s="316"/>
      <c r="BP68" s="316"/>
      <c r="BQ68" s="317"/>
      <c r="BR68" s="301">
        <f>SUM(BR18:BR19)*IF(BR44="Yes",1,0)+SUM(BS18:BS19)*IF(BS44="Yes",1,0)+SUM(BT18:BT19)*IF(BT44="Yes",1,0)+SUM(BU18:BU19)*IF(BU44="Yes",1,0)</f>
        <v>0</v>
      </c>
      <c r="BS68" s="316"/>
      <c r="BT68" s="316"/>
      <c r="BU68" s="317"/>
      <c r="BV68" s="301">
        <f>SUM(BV18:BV19)*IF(BV44="Yes",1,0)+SUM(BW18:BW19)*IF(BW44="Yes",1,0)+SUM(BX18:BX19)*IF(BX44="Yes",1,0)+SUM(BY18:BY19)*IF(BY44="Yes",1,0)</f>
        <v>0</v>
      </c>
      <c r="BW68" s="316"/>
      <c r="BX68" s="316"/>
      <c r="BY68" s="317"/>
      <c r="BZ68" s="301">
        <f>SUM(BZ18:BZ19)*IF(BZ44="Yes",1,0)+SUM(CA18:CA19)*IF(CA44="Yes",1,0)+SUM(CB18:CB19)*IF(CB44="Yes",1,0)+SUM(CC18:CC19)*IF(CC44="Yes",1,0)</f>
        <v>0</v>
      </c>
      <c r="CA68" s="316"/>
      <c r="CB68" s="316"/>
      <c r="CC68" s="317"/>
      <c r="CD68" s="301">
        <f>SUM(CD18:CD19)*IF(CD44="Yes",1,0)+SUM(CE18:CE19)*IF(CE44="Yes",1,0)+SUM(CF18:CF19)*IF(CF44="Yes",1,0)+SUM(CG18:CG19)*IF(CG44="Yes",1,0)</f>
        <v>0</v>
      </c>
      <c r="CE68" s="316"/>
      <c r="CF68" s="316"/>
      <c r="CG68" s="317"/>
      <c r="CH68" s="301">
        <f>SUM(CH18:CH19)*IF(CH44="Yes",1,0)+SUM(CI18:CI19)*IF(CI44="Yes",1,0)+SUM(CJ18:CJ19)*IF(CJ44="Yes",1,0)+SUM(CK18:CK19)*IF(CK44="Yes",1,0)</f>
        <v>0</v>
      </c>
      <c r="CI68" s="316"/>
      <c r="CJ68" s="316"/>
      <c r="CK68" s="317"/>
      <c r="CL68" s="49"/>
      <c r="CM68" s="28"/>
    </row>
    <row r="69" spans="2:91" ht="15.75" x14ac:dyDescent="0.25">
      <c r="B69" s="55"/>
      <c r="C69" s="4"/>
      <c r="D69" s="77" t="s">
        <v>235</v>
      </c>
      <c r="E69" s="134"/>
      <c r="F69" s="4"/>
      <c r="G69" s="19"/>
      <c r="H69" s="19"/>
      <c r="I69" s="5"/>
      <c r="J69" s="4"/>
      <c r="K69" s="19"/>
      <c r="L69" s="19"/>
      <c r="M69" s="5"/>
      <c r="N69" s="4"/>
      <c r="O69" s="19"/>
      <c r="P69" s="19"/>
      <c r="Q69" s="5"/>
      <c r="R69" s="4"/>
      <c r="S69" s="19"/>
      <c r="T69" s="19"/>
      <c r="U69" s="5"/>
      <c r="V69" s="4"/>
      <c r="W69" s="19"/>
      <c r="X69" s="19"/>
      <c r="Y69" s="5"/>
      <c r="Z69" s="4"/>
      <c r="AA69" s="19"/>
      <c r="AB69" s="19"/>
      <c r="AC69" s="5"/>
      <c r="AD69" s="4"/>
      <c r="AE69" s="19"/>
      <c r="AF69" s="19"/>
      <c r="AG69" s="5"/>
      <c r="AH69" s="4"/>
      <c r="AI69" s="19"/>
      <c r="AJ69" s="19"/>
      <c r="AK69" s="5"/>
      <c r="AL69" s="4"/>
      <c r="AM69" s="19"/>
      <c r="AN69" s="19"/>
      <c r="AO69" s="5"/>
      <c r="AP69" s="4"/>
      <c r="AQ69" s="19"/>
      <c r="AR69" s="19"/>
      <c r="AS69" s="5"/>
      <c r="AT69" s="4"/>
      <c r="AU69" s="19"/>
      <c r="AV69" s="19"/>
      <c r="AW69" s="5"/>
      <c r="AX69" s="4"/>
      <c r="AY69" s="19"/>
      <c r="AZ69" s="19"/>
      <c r="BA69" s="5"/>
      <c r="BB69" s="4"/>
      <c r="BC69" s="19"/>
      <c r="BD69" s="19"/>
      <c r="BE69" s="5"/>
      <c r="BF69" s="4"/>
      <c r="BG69" s="19"/>
      <c r="BH69" s="19"/>
      <c r="BI69" s="5"/>
      <c r="BJ69" s="4"/>
      <c r="BK69" s="19"/>
      <c r="BL69" s="19"/>
      <c r="BM69" s="5"/>
      <c r="BN69" s="4"/>
      <c r="BO69" s="19"/>
      <c r="BP69" s="19"/>
      <c r="BQ69" s="5"/>
      <c r="BR69" s="4"/>
      <c r="BS69" s="19"/>
      <c r="BT69" s="19"/>
      <c r="BU69" s="5"/>
      <c r="BV69" s="4"/>
      <c r="BW69" s="19"/>
      <c r="BX69" s="19"/>
      <c r="BY69" s="5"/>
      <c r="BZ69" s="4"/>
      <c r="CA69" s="19"/>
      <c r="CB69" s="19"/>
      <c r="CC69" s="5"/>
      <c r="CD69" s="4"/>
      <c r="CE69" s="19"/>
      <c r="CF69" s="19"/>
      <c r="CG69" s="5"/>
      <c r="CH69" s="4"/>
      <c r="CI69" s="19"/>
      <c r="CJ69" s="19"/>
      <c r="CK69" s="5"/>
      <c r="CL69" s="49"/>
      <c r="CM69" s="28"/>
    </row>
    <row r="70" spans="2:91" ht="14.25" x14ac:dyDescent="0.25">
      <c r="B70" s="55"/>
      <c r="C70" s="10" t="s">
        <v>317</v>
      </c>
      <c r="D70" s="93" t="s">
        <v>402</v>
      </c>
      <c r="E70" s="126">
        <f t="shared" ref="E70:AJ70" si="199">MAX(1500*ROUNDDOWN(E33/2.5,0),1500)</f>
        <v>3000</v>
      </c>
      <c r="F70" s="13">
        <f t="shared" si="199"/>
        <v>1500</v>
      </c>
      <c r="G70" s="44">
        <f t="shared" si="199"/>
        <v>1500</v>
      </c>
      <c r="H70" s="44">
        <f t="shared" si="199"/>
        <v>1500</v>
      </c>
      <c r="I70" s="14">
        <f t="shared" si="199"/>
        <v>1500</v>
      </c>
      <c r="J70" s="13">
        <f t="shared" si="199"/>
        <v>1500</v>
      </c>
      <c r="K70" s="44">
        <f t="shared" si="199"/>
        <v>1500</v>
      </c>
      <c r="L70" s="44">
        <f t="shared" si="199"/>
        <v>1500</v>
      </c>
      <c r="M70" s="14">
        <f t="shared" si="199"/>
        <v>1500</v>
      </c>
      <c r="N70" s="13">
        <f t="shared" si="199"/>
        <v>1500</v>
      </c>
      <c r="O70" s="44">
        <f t="shared" si="199"/>
        <v>1500</v>
      </c>
      <c r="P70" s="44">
        <f t="shared" si="199"/>
        <v>1500</v>
      </c>
      <c r="Q70" s="14">
        <f t="shared" si="199"/>
        <v>1500</v>
      </c>
      <c r="R70" s="13">
        <f t="shared" si="199"/>
        <v>1500</v>
      </c>
      <c r="S70" s="44">
        <f t="shared" si="199"/>
        <v>1500</v>
      </c>
      <c r="T70" s="44">
        <f t="shared" si="199"/>
        <v>1500</v>
      </c>
      <c r="U70" s="14">
        <f t="shared" si="199"/>
        <v>1500</v>
      </c>
      <c r="V70" s="13">
        <f t="shared" si="199"/>
        <v>1500</v>
      </c>
      <c r="W70" s="44">
        <f t="shared" si="199"/>
        <v>1500</v>
      </c>
      <c r="X70" s="44">
        <f t="shared" si="199"/>
        <v>1500</v>
      </c>
      <c r="Y70" s="14">
        <f t="shared" si="199"/>
        <v>1500</v>
      </c>
      <c r="Z70" s="13">
        <f t="shared" si="199"/>
        <v>1500</v>
      </c>
      <c r="AA70" s="44">
        <f t="shared" si="199"/>
        <v>1500</v>
      </c>
      <c r="AB70" s="44">
        <f t="shared" si="199"/>
        <v>1500</v>
      </c>
      <c r="AC70" s="14">
        <f t="shared" si="199"/>
        <v>1500</v>
      </c>
      <c r="AD70" s="13">
        <f t="shared" si="199"/>
        <v>1500</v>
      </c>
      <c r="AE70" s="44">
        <f t="shared" si="199"/>
        <v>1500</v>
      </c>
      <c r="AF70" s="44">
        <f t="shared" si="199"/>
        <v>1500</v>
      </c>
      <c r="AG70" s="14">
        <f t="shared" si="199"/>
        <v>1500</v>
      </c>
      <c r="AH70" s="13">
        <f t="shared" si="199"/>
        <v>1500</v>
      </c>
      <c r="AI70" s="44">
        <f t="shared" si="199"/>
        <v>1500</v>
      </c>
      <c r="AJ70" s="44">
        <f t="shared" si="199"/>
        <v>1500</v>
      </c>
      <c r="AK70" s="14">
        <f t="shared" ref="AK70:BP70" si="200">MAX(1500*ROUNDDOWN(AK33/2.5,0),1500)</f>
        <v>1500</v>
      </c>
      <c r="AL70" s="13">
        <f t="shared" si="200"/>
        <v>1500</v>
      </c>
      <c r="AM70" s="44">
        <f t="shared" si="200"/>
        <v>1500</v>
      </c>
      <c r="AN70" s="44">
        <f t="shared" si="200"/>
        <v>1500</v>
      </c>
      <c r="AO70" s="14">
        <f t="shared" si="200"/>
        <v>1500</v>
      </c>
      <c r="AP70" s="13">
        <f t="shared" si="200"/>
        <v>1500</v>
      </c>
      <c r="AQ70" s="44">
        <f t="shared" si="200"/>
        <v>1500</v>
      </c>
      <c r="AR70" s="44">
        <f t="shared" si="200"/>
        <v>1500</v>
      </c>
      <c r="AS70" s="14">
        <f t="shared" si="200"/>
        <v>1500</v>
      </c>
      <c r="AT70" s="13">
        <f t="shared" si="200"/>
        <v>1500</v>
      </c>
      <c r="AU70" s="44">
        <f t="shared" si="200"/>
        <v>1500</v>
      </c>
      <c r="AV70" s="44">
        <f t="shared" si="200"/>
        <v>1500</v>
      </c>
      <c r="AW70" s="14">
        <f t="shared" si="200"/>
        <v>1500</v>
      </c>
      <c r="AX70" s="13">
        <f t="shared" si="200"/>
        <v>1500</v>
      </c>
      <c r="AY70" s="44">
        <f t="shared" si="200"/>
        <v>1500</v>
      </c>
      <c r="AZ70" s="44">
        <f t="shared" si="200"/>
        <v>1500</v>
      </c>
      <c r="BA70" s="14">
        <f t="shared" si="200"/>
        <v>1500</v>
      </c>
      <c r="BB70" s="13">
        <f t="shared" si="200"/>
        <v>1500</v>
      </c>
      <c r="BC70" s="44">
        <f t="shared" si="200"/>
        <v>1500</v>
      </c>
      <c r="BD70" s="44">
        <f t="shared" si="200"/>
        <v>1500</v>
      </c>
      <c r="BE70" s="14">
        <f t="shared" si="200"/>
        <v>1500</v>
      </c>
      <c r="BF70" s="13">
        <f t="shared" si="200"/>
        <v>1500</v>
      </c>
      <c r="BG70" s="44">
        <f t="shared" si="200"/>
        <v>1500</v>
      </c>
      <c r="BH70" s="44">
        <f t="shared" si="200"/>
        <v>1500</v>
      </c>
      <c r="BI70" s="14">
        <f t="shared" si="200"/>
        <v>1500</v>
      </c>
      <c r="BJ70" s="13">
        <f t="shared" si="200"/>
        <v>1500</v>
      </c>
      <c r="BK70" s="44">
        <f t="shared" si="200"/>
        <v>1500</v>
      </c>
      <c r="BL70" s="44">
        <f t="shared" si="200"/>
        <v>1500</v>
      </c>
      <c r="BM70" s="14">
        <f t="shared" si="200"/>
        <v>1500</v>
      </c>
      <c r="BN70" s="13">
        <f t="shared" si="200"/>
        <v>1500</v>
      </c>
      <c r="BO70" s="44">
        <f t="shared" si="200"/>
        <v>1500</v>
      </c>
      <c r="BP70" s="44">
        <f t="shared" si="200"/>
        <v>1500</v>
      </c>
      <c r="BQ70" s="14">
        <f t="shared" ref="BQ70:CK70" si="201">MAX(1500*ROUNDDOWN(BQ33/2.5,0),1500)</f>
        <v>1500</v>
      </c>
      <c r="BR70" s="13">
        <f t="shared" si="201"/>
        <v>1500</v>
      </c>
      <c r="BS70" s="44">
        <f t="shared" si="201"/>
        <v>1500</v>
      </c>
      <c r="BT70" s="44">
        <f t="shared" si="201"/>
        <v>1500</v>
      </c>
      <c r="BU70" s="14">
        <f t="shared" si="201"/>
        <v>1500</v>
      </c>
      <c r="BV70" s="13">
        <f t="shared" si="201"/>
        <v>1500</v>
      </c>
      <c r="BW70" s="44">
        <f t="shared" si="201"/>
        <v>1500</v>
      </c>
      <c r="BX70" s="44">
        <f t="shared" si="201"/>
        <v>1500</v>
      </c>
      <c r="BY70" s="14">
        <f t="shared" si="201"/>
        <v>1500</v>
      </c>
      <c r="BZ70" s="13">
        <f t="shared" si="201"/>
        <v>1500</v>
      </c>
      <c r="CA70" s="44">
        <f t="shared" si="201"/>
        <v>1500</v>
      </c>
      <c r="CB70" s="44">
        <f t="shared" si="201"/>
        <v>1500</v>
      </c>
      <c r="CC70" s="14">
        <f t="shared" si="201"/>
        <v>1500</v>
      </c>
      <c r="CD70" s="13">
        <f t="shared" si="201"/>
        <v>1500</v>
      </c>
      <c r="CE70" s="44">
        <f t="shared" si="201"/>
        <v>1500</v>
      </c>
      <c r="CF70" s="44">
        <f t="shared" si="201"/>
        <v>1500</v>
      </c>
      <c r="CG70" s="14">
        <f t="shared" si="201"/>
        <v>1500</v>
      </c>
      <c r="CH70" s="13">
        <f t="shared" si="201"/>
        <v>1500</v>
      </c>
      <c r="CI70" s="44">
        <f t="shared" si="201"/>
        <v>1500</v>
      </c>
      <c r="CJ70" s="44">
        <f t="shared" si="201"/>
        <v>1500</v>
      </c>
      <c r="CK70" s="14">
        <f t="shared" si="201"/>
        <v>1500</v>
      </c>
      <c r="CL70" s="49"/>
      <c r="CM70" s="28"/>
    </row>
    <row r="71" spans="2:91" ht="14.25" x14ac:dyDescent="0.25">
      <c r="B71" s="55"/>
      <c r="C71" s="10" t="s">
        <v>322</v>
      </c>
      <c r="D71" s="93" t="s">
        <v>403</v>
      </c>
      <c r="E71" s="126">
        <v>5</v>
      </c>
      <c r="F71" s="13">
        <v>5</v>
      </c>
      <c r="G71" s="44">
        <v>5</v>
      </c>
      <c r="H71" s="44">
        <v>5</v>
      </c>
      <c r="I71" s="14">
        <v>5</v>
      </c>
      <c r="J71" s="13">
        <v>5</v>
      </c>
      <c r="K71" s="44">
        <v>5</v>
      </c>
      <c r="L71" s="44">
        <v>5</v>
      </c>
      <c r="M71" s="14">
        <v>5</v>
      </c>
      <c r="N71" s="13">
        <v>5</v>
      </c>
      <c r="O71" s="44">
        <v>5</v>
      </c>
      <c r="P71" s="44">
        <v>5</v>
      </c>
      <c r="Q71" s="14">
        <v>5</v>
      </c>
      <c r="R71" s="13">
        <v>5</v>
      </c>
      <c r="S71" s="44">
        <v>5</v>
      </c>
      <c r="T71" s="44">
        <v>5</v>
      </c>
      <c r="U71" s="14">
        <v>5</v>
      </c>
      <c r="V71" s="13">
        <v>5</v>
      </c>
      <c r="W71" s="44">
        <v>5</v>
      </c>
      <c r="X71" s="44">
        <v>5</v>
      </c>
      <c r="Y71" s="14">
        <v>5</v>
      </c>
      <c r="Z71" s="13">
        <v>5</v>
      </c>
      <c r="AA71" s="44">
        <v>5</v>
      </c>
      <c r="AB71" s="44">
        <v>5</v>
      </c>
      <c r="AC71" s="14">
        <v>5</v>
      </c>
      <c r="AD71" s="13">
        <v>5</v>
      </c>
      <c r="AE71" s="44">
        <v>5</v>
      </c>
      <c r="AF71" s="44">
        <v>5</v>
      </c>
      <c r="AG71" s="14">
        <v>5</v>
      </c>
      <c r="AH71" s="13">
        <v>5</v>
      </c>
      <c r="AI71" s="44">
        <v>5</v>
      </c>
      <c r="AJ71" s="44">
        <v>5</v>
      </c>
      <c r="AK71" s="14">
        <v>5</v>
      </c>
      <c r="AL71" s="13">
        <v>5</v>
      </c>
      <c r="AM71" s="44">
        <v>5</v>
      </c>
      <c r="AN71" s="44">
        <v>5</v>
      </c>
      <c r="AO71" s="14">
        <v>5</v>
      </c>
      <c r="AP71" s="13">
        <v>5</v>
      </c>
      <c r="AQ71" s="44">
        <v>5</v>
      </c>
      <c r="AR71" s="44">
        <v>5</v>
      </c>
      <c r="AS71" s="14">
        <v>5</v>
      </c>
      <c r="AT71" s="13">
        <v>5</v>
      </c>
      <c r="AU71" s="44">
        <v>5</v>
      </c>
      <c r="AV71" s="44">
        <v>5</v>
      </c>
      <c r="AW71" s="14">
        <v>5</v>
      </c>
      <c r="AX71" s="13">
        <v>5</v>
      </c>
      <c r="AY71" s="44">
        <v>5</v>
      </c>
      <c r="AZ71" s="44">
        <v>5</v>
      </c>
      <c r="BA71" s="14">
        <v>5</v>
      </c>
      <c r="BB71" s="13">
        <v>5</v>
      </c>
      <c r="BC71" s="44">
        <v>5</v>
      </c>
      <c r="BD71" s="44">
        <v>5</v>
      </c>
      <c r="BE71" s="14">
        <v>5</v>
      </c>
      <c r="BF71" s="13">
        <v>5</v>
      </c>
      <c r="BG71" s="44">
        <v>5</v>
      </c>
      <c r="BH71" s="44">
        <v>5</v>
      </c>
      <c r="BI71" s="14">
        <v>5</v>
      </c>
      <c r="BJ71" s="13">
        <v>5</v>
      </c>
      <c r="BK71" s="44">
        <v>5</v>
      </c>
      <c r="BL71" s="44">
        <v>5</v>
      </c>
      <c r="BM71" s="14">
        <v>5</v>
      </c>
      <c r="BN71" s="13">
        <v>5</v>
      </c>
      <c r="BO71" s="44">
        <v>5</v>
      </c>
      <c r="BP71" s="44">
        <v>5</v>
      </c>
      <c r="BQ71" s="14">
        <v>5</v>
      </c>
      <c r="BR71" s="13">
        <v>5</v>
      </c>
      <c r="BS71" s="44">
        <v>5</v>
      </c>
      <c r="BT71" s="44">
        <v>5</v>
      </c>
      <c r="BU71" s="14">
        <v>5</v>
      </c>
      <c r="BV71" s="13">
        <v>5</v>
      </c>
      <c r="BW71" s="44">
        <v>5</v>
      </c>
      <c r="BX71" s="44">
        <v>5</v>
      </c>
      <c r="BY71" s="14">
        <v>5</v>
      </c>
      <c r="BZ71" s="13">
        <v>5</v>
      </c>
      <c r="CA71" s="44">
        <v>5</v>
      </c>
      <c r="CB71" s="44">
        <v>5</v>
      </c>
      <c r="CC71" s="14">
        <v>5</v>
      </c>
      <c r="CD71" s="13">
        <v>5</v>
      </c>
      <c r="CE71" s="44">
        <v>5</v>
      </c>
      <c r="CF71" s="44">
        <v>5</v>
      </c>
      <c r="CG71" s="14">
        <v>5</v>
      </c>
      <c r="CH71" s="13">
        <v>5</v>
      </c>
      <c r="CI71" s="44">
        <v>5</v>
      </c>
      <c r="CJ71" s="44">
        <v>5</v>
      </c>
      <c r="CK71" s="14">
        <v>5</v>
      </c>
      <c r="CL71" s="49"/>
      <c r="CM71" s="28"/>
    </row>
    <row r="72" spans="2:91" ht="14.25" x14ac:dyDescent="0.25">
      <c r="B72" s="55"/>
      <c r="C72" s="10" t="s">
        <v>306</v>
      </c>
      <c r="D72" s="93" t="s">
        <v>405</v>
      </c>
      <c r="E72" s="127">
        <f t="shared" ref="E72:AJ72" si="202">E70*EXP(-(E13/3600)*E71)*E26/E28</f>
        <v>681.7186155572698</v>
      </c>
      <c r="F72" s="13">
        <f t="shared" si="202"/>
        <v>718.41878940419929</v>
      </c>
      <c r="G72" s="44">
        <f t="shared" si="202"/>
        <v>681.48544484708327</v>
      </c>
      <c r="H72" s="44">
        <f t="shared" si="202"/>
        <v>402.03989085355641</v>
      </c>
      <c r="I72" s="14">
        <f t="shared" si="202"/>
        <v>467.10371213640326</v>
      </c>
      <c r="J72" s="13" t="e">
        <f t="shared" si="202"/>
        <v>#DIV/0!</v>
      </c>
      <c r="K72" s="44" t="e">
        <f t="shared" si="202"/>
        <v>#DIV/0!</v>
      </c>
      <c r="L72" s="44" t="e">
        <f t="shared" si="202"/>
        <v>#DIV/0!</v>
      </c>
      <c r="M72" s="14" t="e">
        <f t="shared" si="202"/>
        <v>#DIV/0!</v>
      </c>
      <c r="N72" s="13" t="e">
        <f t="shared" si="202"/>
        <v>#DIV/0!</v>
      </c>
      <c r="O72" s="44" t="e">
        <f t="shared" si="202"/>
        <v>#DIV/0!</v>
      </c>
      <c r="P72" s="44" t="e">
        <f t="shared" si="202"/>
        <v>#DIV/0!</v>
      </c>
      <c r="Q72" s="14" t="e">
        <f t="shared" si="202"/>
        <v>#DIV/0!</v>
      </c>
      <c r="R72" s="13" t="e">
        <f t="shared" si="202"/>
        <v>#DIV/0!</v>
      </c>
      <c r="S72" s="44" t="e">
        <f t="shared" si="202"/>
        <v>#DIV/0!</v>
      </c>
      <c r="T72" s="44" t="e">
        <f t="shared" si="202"/>
        <v>#DIV/0!</v>
      </c>
      <c r="U72" s="14" t="e">
        <f t="shared" si="202"/>
        <v>#DIV/0!</v>
      </c>
      <c r="V72" s="13" t="e">
        <f t="shared" si="202"/>
        <v>#DIV/0!</v>
      </c>
      <c r="W72" s="44" t="e">
        <f t="shared" si="202"/>
        <v>#DIV/0!</v>
      </c>
      <c r="X72" s="44" t="e">
        <f t="shared" si="202"/>
        <v>#DIV/0!</v>
      </c>
      <c r="Y72" s="14" t="e">
        <f t="shared" si="202"/>
        <v>#DIV/0!</v>
      </c>
      <c r="Z72" s="13" t="e">
        <f t="shared" si="202"/>
        <v>#DIV/0!</v>
      </c>
      <c r="AA72" s="44" t="e">
        <f t="shared" si="202"/>
        <v>#DIV/0!</v>
      </c>
      <c r="AB72" s="44" t="e">
        <f t="shared" si="202"/>
        <v>#DIV/0!</v>
      </c>
      <c r="AC72" s="14" t="e">
        <f t="shared" si="202"/>
        <v>#DIV/0!</v>
      </c>
      <c r="AD72" s="13" t="e">
        <f t="shared" si="202"/>
        <v>#DIV/0!</v>
      </c>
      <c r="AE72" s="44" t="e">
        <f t="shared" si="202"/>
        <v>#DIV/0!</v>
      </c>
      <c r="AF72" s="44" t="e">
        <f t="shared" si="202"/>
        <v>#DIV/0!</v>
      </c>
      <c r="AG72" s="14" t="e">
        <f t="shared" si="202"/>
        <v>#DIV/0!</v>
      </c>
      <c r="AH72" s="13" t="e">
        <f t="shared" si="202"/>
        <v>#DIV/0!</v>
      </c>
      <c r="AI72" s="44" t="e">
        <f t="shared" si="202"/>
        <v>#DIV/0!</v>
      </c>
      <c r="AJ72" s="44" t="e">
        <f t="shared" si="202"/>
        <v>#DIV/0!</v>
      </c>
      <c r="AK72" s="14" t="e">
        <f t="shared" ref="AK72:BP72" si="203">AK70*EXP(-(AK13/3600)*AK71)*AK26/AK28</f>
        <v>#DIV/0!</v>
      </c>
      <c r="AL72" s="13" t="e">
        <f t="shared" si="203"/>
        <v>#DIV/0!</v>
      </c>
      <c r="AM72" s="44" t="e">
        <f t="shared" si="203"/>
        <v>#DIV/0!</v>
      </c>
      <c r="AN72" s="44" t="e">
        <f t="shared" si="203"/>
        <v>#DIV/0!</v>
      </c>
      <c r="AO72" s="14" t="e">
        <f t="shared" si="203"/>
        <v>#DIV/0!</v>
      </c>
      <c r="AP72" s="13" t="e">
        <f t="shared" si="203"/>
        <v>#DIV/0!</v>
      </c>
      <c r="AQ72" s="44" t="e">
        <f t="shared" si="203"/>
        <v>#DIV/0!</v>
      </c>
      <c r="AR72" s="44" t="e">
        <f t="shared" si="203"/>
        <v>#DIV/0!</v>
      </c>
      <c r="AS72" s="14" t="e">
        <f t="shared" si="203"/>
        <v>#DIV/0!</v>
      </c>
      <c r="AT72" s="13" t="e">
        <f t="shared" si="203"/>
        <v>#DIV/0!</v>
      </c>
      <c r="AU72" s="44" t="e">
        <f t="shared" si="203"/>
        <v>#DIV/0!</v>
      </c>
      <c r="AV72" s="44" t="e">
        <f t="shared" si="203"/>
        <v>#DIV/0!</v>
      </c>
      <c r="AW72" s="14" t="e">
        <f t="shared" si="203"/>
        <v>#DIV/0!</v>
      </c>
      <c r="AX72" s="13" t="e">
        <f t="shared" si="203"/>
        <v>#DIV/0!</v>
      </c>
      <c r="AY72" s="44" t="e">
        <f t="shared" si="203"/>
        <v>#DIV/0!</v>
      </c>
      <c r="AZ72" s="44" t="e">
        <f t="shared" si="203"/>
        <v>#DIV/0!</v>
      </c>
      <c r="BA72" s="14" t="e">
        <f t="shared" si="203"/>
        <v>#DIV/0!</v>
      </c>
      <c r="BB72" s="13" t="e">
        <f t="shared" si="203"/>
        <v>#DIV/0!</v>
      </c>
      <c r="BC72" s="44" t="e">
        <f t="shared" si="203"/>
        <v>#DIV/0!</v>
      </c>
      <c r="BD72" s="44" t="e">
        <f t="shared" si="203"/>
        <v>#DIV/0!</v>
      </c>
      <c r="BE72" s="14" t="e">
        <f t="shared" si="203"/>
        <v>#DIV/0!</v>
      </c>
      <c r="BF72" s="13" t="e">
        <f t="shared" si="203"/>
        <v>#DIV/0!</v>
      </c>
      <c r="BG72" s="44" t="e">
        <f t="shared" si="203"/>
        <v>#DIV/0!</v>
      </c>
      <c r="BH72" s="44" t="e">
        <f t="shared" si="203"/>
        <v>#DIV/0!</v>
      </c>
      <c r="BI72" s="14" t="e">
        <f t="shared" si="203"/>
        <v>#DIV/0!</v>
      </c>
      <c r="BJ72" s="13" t="e">
        <f t="shared" si="203"/>
        <v>#DIV/0!</v>
      </c>
      <c r="BK72" s="44" t="e">
        <f t="shared" si="203"/>
        <v>#DIV/0!</v>
      </c>
      <c r="BL72" s="44" t="e">
        <f t="shared" si="203"/>
        <v>#DIV/0!</v>
      </c>
      <c r="BM72" s="14" t="e">
        <f t="shared" si="203"/>
        <v>#DIV/0!</v>
      </c>
      <c r="BN72" s="13" t="e">
        <f t="shared" si="203"/>
        <v>#DIV/0!</v>
      </c>
      <c r="BO72" s="44" t="e">
        <f t="shared" si="203"/>
        <v>#DIV/0!</v>
      </c>
      <c r="BP72" s="44" t="e">
        <f t="shared" si="203"/>
        <v>#DIV/0!</v>
      </c>
      <c r="BQ72" s="14" t="e">
        <f t="shared" ref="BQ72:CK72" si="204">BQ70*EXP(-(BQ13/3600)*BQ71)*BQ26/BQ28</f>
        <v>#DIV/0!</v>
      </c>
      <c r="BR72" s="13" t="e">
        <f t="shared" si="204"/>
        <v>#DIV/0!</v>
      </c>
      <c r="BS72" s="44" t="e">
        <f t="shared" si="204"/>
        <v>#DIV/0!</v>
      </c>
      <c r="BT72" s="44" t="e">
        <f t="shared" si="204"/>
        <v>#DIV/0!</v>
      </c>
      <c r="BU72" s="14" t="e">
        <f t="shared" si="204"/>
        <v>#DIV/0!</v>
      </c>
      <c r="BV72" s="13" t="e">
        <f t="shared" si="204"/>
        <v>#DIV/0!</v>
      </c>
      <c r="BW72" s="44" t="e">
        <f t="shared" si="204"/>
        <v>#DIV/0!</v>
      </c>
      <c r="BX72" s="44" t="e">
        <f t="shared" si="204"/>
        <v>#DIV/0!</v>
      </c>
      <c r="BY72" s="14" t="e">
        <f t="shared" si="204"/>
        <v>#DIV/0!</v>
      </c>
      <c r="BZ72" s="13" t="e">
        <f t="shared" si="204"/>
        <v>#DIV/0!</v>
      </c>
      <c r="CA72" s="44" t="e">
        <f t="shared" si="204"/>
        <v>#DIV/0!</v>
      </c>
      <c r="CB72" s="44" t="e">
        <f t="shared" si="204"/>
        <v>#DIV/0!</v>
      </c>
      <c r="CC72" s="14" t="e">
        <f t="shared" si="204"/>
        <v>#DIV/0!</v>
      </c>
      <c r="CD72" s="13" t="e">
        <f t="shared" si="204"/>
        <v>#DIV/0!</v>
      </c>
      <c r="CE72" s="44" t="e">
        <f t="shared" si="204"/>
        <v>#DIV/0!</v>
      </c>
      <c r="CF72" s="44" t="e">
        <f t="shared" si="204"/>
        <v>#DIV/0!</v>
      </c>
      <c r="CG72" s="14" t="e">
        <f t="shared" si="204"/>
        <v>#DIV/0!</v>
      </c>
      <c r="CH72" s="13" t="e">
        <f t="shared" si="204"/>
        <v>#DIV/0!</v>
      </c>
      <c r="CI72" s="44" t="e">
        <f t="shared" si="204"/>
        <v>#DIV/0!</v>
      </c>
      <c r="CJ72" s="44" t="e">
        <f t="shared" si="204"/>
        <v>#DIV/0!</v>
      </c>
      <c r="CK72" s="14" t="e">
        <f t="shared" si="204"/>
        <v>#DIV/0!</v>
      </c>
      <c r="CL72" s="49"/>
      <c r="CM72" s="28"/>
    </row>
    <row r="73" spans="2:91" ht="14.25" x14ac:dyDescent="0.25">
      <c r="B73" s="55"/>
      <c r="C73" s="208" t="s">
        <v>428</v>
      </c>
      <c r="D73" s="182" t="s">
        <v>429</v>
      </c>
      <c r="E73" s="126">
        <f t="shared" ref="E73:AJ73" si="205">0.5*E28*(1-E26/E28)^2/(1-MIN(E21/E72,1)*(E26/E28))</f>
        <v>24.772537713673362</v>
      </c>
      <c r="F73" s="13">
        <f t="shared" si="205"/>
        <v>11.98461265993951</v>
      </c>
      <c r="G73" s="44">
        <f t="shared" si="205"/>
        <v>11.996174241310193</v>
      </c>
      <c r="H73" s="44">
        <f t="shared" si="205"/>
        <v>21.937147147912178</v>
      </c>
      <c r="I73" s="14">
        <f t="shared" si="205"/>
        <v>21.873834446035616</v>
      </c>
      <c r="J73" s="13" t="e">
        <f t="shared" si="205"/>
        <v>#DIV/0!</v>
      </c>
      <c r="K73" s="44" t="e">
        <f t="shared" si="205"/>
        <v>#DIV/0!</v>
      </c>
      <c r="L73" s="44" t="e">
        <f t="shared" si="205"/>
        <v>#DIV/0!</v>
      </c>
      <c r="M73" s="14" t="e">
        <f t="shared" si="205"/>
        <v>#DIV/0!</v>
      </c>
      <c r="N73" s="13" t="e">
        <f t="shared" si="205"/>
        <v>#DIV/0!</v>
      </c>
      <c r="O73" s="44" t="e">
        <f t="shared" si="205"/>
        <v>#DIV/0!</v>
      </c>
      <c r="P73" s="44" t="e">
        <f t="shared" si="205"/>
        <v>#DIV/0!</v>
      </c>
      <c r="Q73" s="14" t="e">
        <f t="shared" si="205"/>
        <v>#DIV/0!</v>
      </c>
      <c r="R73" s="13" t="e">
        <f t="shared" si="205"/>
        <v>#DIV/0!</v>
      </c>
      <c r="S73" s="44" t="e">
        <f t="shared" si="205"/>
        <v>#DIV/0!</v>
      </c>
      <c r="T73" s="44" t="e">
        <f t="shared" si="205"/>
        <v>#DIV/0!</v>
      </c>
      <c r="U73" s="14" t="e">
        <f t="shared" si="205"/>
        <v>#DIV/0!</v>
      </c>
      <c r="V73" s="13" t="e">
        <f t="shared" si="205"/>
        <v>#DIV/0!</v>
      </c>
      <c r="W73" s="44" t="e">
        <f t="shared" si="205"/>
        <v>#DIV/0!</v>
      </c>
      <c r="X73" s="44" t="e">
        <f t="shared" si="205"/>
        <v>#DIV/0!</v>
      </c>
      <c r="Y73" s="14" t="e">
        <f t="shared" si="205"/>
        <v>#DIV/0!</v>
      </c>
      <c r="Z73" s="13" t="e">
        <f t="shared" si="205"/>
        <v>#DIV/0!</v>
      </c>
      <c r="AA73" s="44" t="e">
        <f t="shared" si="205"/>
        <v>#DIV/0!</v>
      </c>
      <c r="AB73" s="44" t="e">
        <f t="shared" si="205"/>
        <v>#DIV/0!</v>
      </c>
      <c r="AC73" s="14" t="e">
        <f t="shared" si="205"/>
        <v>#DIV/0!</v>
      </c>
      <c r="AD73" s="13" t="e">
        <f t="shared" si="205"/>
        <v>#DIV/0!</v>
      </c>
      <c r="AE73" s="44" t="e">
        <f t="shared" si="205"/>
        <v>#DIV/0!</v>
      </c>
      <c r="AF73" s="44" t="e">
        <f t="shared" si="205"/>
        <v>#DIV/0!</v>
      </c>
      <c r="AG73" s="14" t="e">
        <f t="shared" si="205"/>
        <v>#DIV/0!</v>
      </c>
      <c r="AH73" s="13" t="e">
        <f t="shared" si="205"/>
        <v>#DIV/0!</v>
      </c>
      <c r="AI73" s="44" t="e">
        <f t="shared" si="205"/>
        <v>#DIV/0!</v>
      </c>
      <c r="AJ73" s="44" t="e">
        <f t="shared" si="205"/>
        <v>#DIV/0!</v>
      </c>
      <c r="AK73" s="14" t="e">
        <f t="shared" ref="AK73:BP73" si="206">0.5*AK28*(1-AK26/AK28)^2/(1-MIN(AK21/AK72,1)*(AK26/AK28))</f>
        <v>#DIV/0!</v>
      </c>
      <c r="AL73" s="13" t="e">
        <f t="shared" si="206"/>
        <v>#DIV/0!</v>
      </c>
      <c r="AM73" s="44" t="e">
        <f t="shared" si="206"/>
        <v>#DIV/0!</v>
      </c>
      <c r="AN73" s="44" t="e">
        <f t="shared" si="206"/>
        <v>#DIV/0!</v>
      </c>
      <c r="AO73" s="14" t="e">
        <f t="shared" si="206"/>
        <v>#DIV/0!</v>
      </c>
      <c r="AP73" s="13" t="e">
        <f t="shared" si="206"/>
        <v>#DIV/0!</v>
      </c>
      <c r="AQ73" s="44" t="e">
        <f t="shared" si="206"/>
        <v>#DIV/0!</v>
      </c>
      <c r="AR73" s="44" t="e">
        <f t="shared" si="206"/>
        <v>#DIV/0!</v>
      </c>
      <c r="AS73" s="14" t="e">
        <f t="shared" si="206"/>
        <v>#DIV/0!</v>
      </c>
      <c r="AT73" s="13" t="e">
        <f t="shared" si="206"/>
        <v>#DIV/0!</v>
      </c>
      <c r="AU73" s="44" t="e">
        <f t="shared" si="206"/>
        <v>#DIV/0!</v>
      </c>
      <c r="AV73" s="44" t="e">
        <f t="shared" si="206"/>
        <v>#DIV/0!</v>
      </c>
      <c r="AW73" s="14" t="e">
        <f t="shared" si="206"/>
        <v>#DIV/0!</v>
      </c>
      <c r="AX73" s="13" t="e">
        <f t="shared" si="206"/>
        <v>#DIV/0!</v>
      </c>
      <c r="AY73" s="44" t="e">
        <f t="shared" si="206"/>
        <v>#DIV/0!</v>
      </c>
      <c r="AZ73" s="44" t="e">
        <f t="shared" si="206"/>
        <v>#DIV/0!</v>
      </c>
      <c r="BA73" s="14" t="e">
        <f t="shared" si="206"/>
        <v>#DIV/0!</v>
      </c>
      <c r="BB73" s="13" t="e">
        <f t="shared" si="206"/>
        <v>#DIV/0!</v>
      </c>
      <c r="BC73" s="44" t="e">
        <f t="shared" si="206"/>
        <v>#DIV/0!</v>
      </c>
      <c r="BD73" s="44" t="e">
        <f t="shared" si="206"/>
        <v>#DIV/0!</v>
      </c>
      <c r="BE73" s="14" t="e">
        <f t="shared" si="206"/>
        <v>#DIV/0!</v>
      </c>
      <c r="BF73" s="13" t="e">
        <f t="shared" si="206"/>
        <v>#DIV/0!</v>
      </c>
      <c r="BG73" s="44" t="e">
        <f t="shared" si="206"/>
        <v>#DIV/0!</v>
      </c>
      <c r="BH73" s="44" t="e">
        <f t="shared" si="206"/>
        <v>#DIV/0!</v>
      </c>
      <c r="BI73" s="14" t="e">
        <f t="shared" si="206"/>
        <v>#DIV/0!</v>
      </c>
      <c r="BJ73" s="13" t="e">
        <f t="shared" si="206"/>
        <v>#DIV/0!</v>
      </c>
      <c r="BK73" s="44" t="e">
        <f t="shared" si="206"/>
        <v>#DIV/0!</v>
      </c>
      <c r="BL73" s="44" t="e">
        <f t="shared" si="206"/>
        <v>#DIV/0!</v>
      </c>
      <c r="BM73" s="14" t="e">
        <f t="shared" si="206"/>
        <v>#DIV/0!</v>
      </c>
      <c r="BN73" s="13" t="e">
        <f t="shared" si="206"/>
        <v>#DIV/0!</v>
      </c>
      <c r="BO73" s="44" t="e">
        <f t="shared" si="206"/>
        <v>#DIV/0!</v>
      </c>
      <c r="BP73" s="44" t="e">
        <f t="shared" si="206"/>
        <v>#DIV/0!</v>
      </c>
      <c r="BQ73" s="14" t="e">
        <f t="shared" ref="BQ73:CK73" si="207">0.5*BQ28*(1-BQ26/BQ28)^2/(1-MIN(BQ21/BQ72,1)*(BQ26/BQ28))</f>
        <v>#DIV/0!</v>
      </c>
      <c r="BR73" s="13" t="e">
        <f t="shared" si="207"/>
        <v>#DIV/0!</v>
      </c>
      <c r="BS73" s="44" t="e">
        <f t="shared" si="207"/>
        <v>#DIV/0!</v>
      </c>
      <c r="BT73" s="44" t="e">
        <f t="shared" si="207"/>
        <v>#DIV/0!</v>
      </c>
      <c r="BU73" s="14" t="e">
        <f t="shared" si="207"/>
        <v>#DIV/0!</v>
      </c>
      <c r="BV73" s="13" t="e">
        <f t="shared" si="207"/>
        <v>#DIV/0!</v>
      </c>
      <c r="BW73" s="44" t="e">
        <f t="shared" si="207"/>
        <v>#DIV/0!</v>
      </c>
      <c r="BX73" s="44" t="e">
        <f t="shared" si="207"/>
        <v>#DIV/0!</v>
      </c>
      <c r="BY73" s="14" t="e">
        <f t="shared" si="207"/>
        <v>#DIV/0!</v>
      </c>
      <c r="BZ73" s="13" t="e">
        <f t="shared" si="207"/>
        <v>#DIV/0!</v>
      </c>
      <c r="CA73" s="44" t="e">
        <f t="shared" si="207"/>
        <v>#DIV/0!</v>
      </c>
      <c r="CB73" s="44" t="e">
        <f t="shared" si="207"/>
        <v>#DIV/0!</v>
      </c>
      <c r="CC73" s="14" t="e">
        <f t="shared" si="207"/>
        <v>#DIV/0!</v>
      </c>
      <c r="CD73" s="13" t="e">
        <f t="shared" si="207"/>
        <v>#DIV/0!</v>
      </c>
      <c r="CE73" s="44" t="e">
        <f t="shared" si="207"/>
        <v>#DIV/0!</v>
      </c>
      <c r="CF73" s="44" t="e">
        <f t="shared" si="207"/>
        <v>#DIV/0!</v>
      </c>
      <c r="CG73" s="14" t="e">
        <f t="shared" si="207"/>
        <v>#DIV/0!</v>
      </c>
      <c r="CH73" s="13" t="e">
        <f t="shared" si="207"/>
        <v>#DIV/0!</v>
      </c>
      <c r="CI73" s="44" t="e">
        <f t="shared" si="207"/>
        <v>#DIV/0!</v>
      </c>
      <c r="CJ73" s="44" t="e">
        <f t="shared" si="207"/>
        <v>#DIV/0!</v>
      </c>
      <c r="CK73" s="14" t="e">
        <f t="shared" si="207"/>
        <v>#DIV/0!</v>
      </c>
      <c r="CL73" s="49"/>
      <c r="CM73" s="28"/>
    </row>
    <row r="74" spans="2:91" x14ac:dyDescent="0.25">
      <c r="B74" s="55"/>
      <c r="C74" s="289" t="s">
        <v>441</v>
      </c>
      <c r="D74" s="290"/>
      <c r="E74" s="241"/>
      <c r="F74" s="13"/>
      <c r="G74" s="44"/>
      <c r="H74" s="44"/>
      <c r="I74" s="14"/>
      <c r="J74" s="13"/>
      <c r="K74" s="44"/>
      <c r="L74" s="44"/>
      <c r="M74" s="14"/>
      <c r="N74" s="13"/>
      <c r="O74" s="44"/>
      <c r="P74" s="44"/>
      <c r="Q74" s="14"/>
      <c r="R74" s="13"/>
      <c r="S74" s="44"/>
      <c r="T74" s="44"/>
      <c r="U74" s="14"/>
      <c r="V74" s="13"/>
      <c r="W74" s="44"/>
      <c r="X74" s="44"/>
      <c r="Y74" s="14"/>
      <c r="Z74" s="13"/>
      <c r="AA74" s="44"/>
      <c r="AB74" s="44"/>
      <c r="AC74" s="14"/>
      <c r="AD74" s="13"/>
      <c r="AE74" s="44"/>
      <c r="AF74" s="44"/>
      <c r="AG74" s="14"/>
      <c r="AH74" s="13"/>
      <c r="AI74" s="44"/>
      <c r="AJ74" s="44"/>
      <c r="AK74" s="14"/>
      <c r="AL74" s="13"/>
      <c r="AM74" s="44"/>
      <c r="AN74" s="44"/>
      <c r="AO74" s="14"/>
      <c r="AP74" s="13"/>
      <c r="AQ74" s="44"/>
      <c r="AR74" s="44"/>
      <c r="AS74" s="14"/>
      <c r="AT74" s="13"/>
      <c r="AU74" s="44"/>
      <c r="AV74" s="44"/>
      <c r="AW74" s="14"/>
      <c r="AX74" s="13"/>
      <c r="AY74" s="44"/>
      <c r="AZ74" s="44"/>
      <c r="BA74" s="14"/>
      <c r="BB74" s="13"/>
      <c r="BC74" s="44"/>
      <c r="BD74" s="44"/>
      <c r="BE74" s="14"/>
      <c r="BF74" s="13"/>
      <c r="BG74" s="44"/>
      <c r="BH74" s="44"/>
      <c r="BI74" s="14"/>
      <c r="BJ74" s="13"/>
      <c r="BK74" s="44"/>
      <c r="BL74" s="44"/>
      <c r="BM74" s="14"/>
      <c r="BN74" s="13"/>
      <c r="BO74" s="44"/>
      <c r="BP74" s="44"/>
      <c r="BQ74" s="14"/>
      <c r="BR74" s="13"/>
      <c r="BS74" s="44"/>
      <c r="BT74" s="44"/>
      <c r="BU74" s="14"/>
      <c r="BV74" s="13"/>
      <c r="BW74" s="44"/>
      <c r="BX74" s="44"/>
      <c r="BY74" s="14"/>
      <c r="BZ74" s="13"/>
      <c r="CA74" s="44"/>
      <c r="CB74" s="44"/>
      <c r="CC74" s="14"/>
      <c r="CD74" s="13"/>
      <c r="CE74" s="44"/>
      <c r="CF74" s="44"/>
      <c r="CG74" s="14"/>
      <c r="CH74" s="13"/>
      <c r="CI74" s="44"/>
      <c r="CJ74" s="44"/>
      <c r="CK74" s="14"/>
      <c r="CL74" s="49"/>
      <c r="CM74" s="28"/>
    </row>
    <row r="75" spans="2:91" ht="14.25" x14ac:dyDescent="0.25">
      <c r="B75" s="55"/>
      <c r="C75" s="10" t="s">
        <v>430</v>
      </c>
      <c r="D75" s="93" t="s">
        <v>431</v>
      </c>
      <c r="E75" s="125">
        <f t="shared" ref="E75:AJ75" si="208">E32/E40 +E41</f>
        <v>8.4</v>
      </c>
      <c r="F75" s="13">
        <f t="shared" si="208"/>
        <v>8.6</v>
      </c>
      <c r="G75" s="44">
        <f t="shared" si="208"/>
        <v>8.6</v>
      </c>
      <c r="H75" s="44">
        <f t="shared" si="208"/>
        <v>10.199999999999999</v>
      </c>
      <c r="I75" s="14">
        <f t="shared" si="208"/>
        <v>10.199999999999999</v>
      </c>
      <c r="J75" s="13" t="e">
        <f t="shared" si="208"/>
        <v>#DIV/0!</v>
      </c>
      <c r="K75" s="44">
        <f t="shared" si="208"/>
        <v>8.6</v>
      </c>
      <c r="L75" s="44">
        <f t="shared" si="208"/>
        <v>6.2</v>
      </c>
      <c r="M75" s="14">
        <f t="shared" si="208"/>
        <v>6.2</v>
      </c>
      <c r="N75" s="13" t="e">
        <f t="shared" si="208"/>
        <v>#DIV/0!</v>
      </c>
      <c r="O75" s="44" t="e">
        <f t="shared" si="208"/>
        <v>#DIV/0!</v>
      </c>
      <c r="P75" s="44" t="e">
        <f t="shared" si="208"/>
        <v>#DIV/0!</v>
      </c>
      <c r="Q75" s="14" t="e">
        <f t="shared" si="208"/>
        <v>#DIV/0!</v>
      </c>
      <c r="R75" s="13" t="e">
        <f t="shared" si="208"/>
        <v>#DIV/0!</v>
      </c>
      <c r="S75" s="44" t="e">
        <f t="shared" si="208"/>
        <v>#DIV/0!</v>
      </c>
      <c r="T75" s="44" t="e">
        <f t="shared" si="208"/>
        <v>#DIV/0!</v>
      </c>
      <c r="U75" s="14" t="e">
        <f t="shared" si="208"/>
        <v>#DIV/0!</v>
      </c>
      <c r="V75" s="13" t="e">
        <f t="shared" si="208"/>
        <v>#DIV/0!</v>
      </c>
      <c r="W75" s="44" t="e">
        <f t="shared" si="208"/>
        <v>#DIV/0!</v>
      </c>
      <c r="X75" s="44" t="e">
        <f t="shared" si="208"/>
        <v>#DIV/0!</v>
      </c>
      <c r="Y75" s="14" t="e">
        <f t="shared" si="208"/>
        <v>#DIV/0!</v>
      </c>
      <c r="Z75" s="13" t="e">
        <f t="shared" si="208"/>
        <v>#DIV/0!</v>
      </c>
      <c r="AA75" s="44" t="e">
        <f t="shared" si="208"/>
        <v>#DIV/0!</v>
      </c>
      <c r="AB75" s="44" t="e">
        <f t="shared" si="208"/>
        <v>#DIV/0!</v>
      </c>
      <c r="AC75" s="14" t="e">
        <f t="shared" si="208"/>
        <v>#DIV/0!</v>
      </c>
      <c r="AD75" s="13" t="e">
        <f t="shared" si="208"/>
        <v>#DIV/0!</v>
      </c>
      <c r="AE75" s="44" t="e">
        <f t="shared" si="208"/>
        <v>#DIV/0!</v>
      </c>
      <c r="AF75" s="44" t="e">
        <f t="shared" si="208"/>
        <v>#DIV/0!</v>
      </c>
      <c r="AG75" s="14" t="e">
        <f t="shared" si="208"/>
        <v>#DIV/0!</v>
      </c>
      <c r="AH75" s="13" t="e">
        <f t="shared" si="208"/>
        <v>#DIV/0!</v>
      </c>
      <c r="AI75" s="44" t="e">
        <f t="shared" si="208"/>
        <v>#DIV/0!</v>
      </c>
      <c r="AJ75" s="44" t="e">
        <f t="shared" si="208"/>
        <v>#DIV/0!</v>
      </c>
      <c r="AK75" s="14" t="e">
        <f t="shared" ref="AK75:BP75" si="209">AK32/AK40 +AK41</f>
        <v>#DIV/0!</v>
      </c>
      <c r="AL75" s="13" t="e">
        <f t="shared" si="209"/>
        <v>#DIV/0!</v>
      </c>
      <c r="AM75" s="44" t="e">
        <f t="shared" si="209"/>
        <v>#DIV/0!</v>
      </c>
      <c r="AN75" s="44" t="e">
        <f t="shared" si="209"/>
        <v>#DIV/0!</v>
      </c>
      <c r="AO75" s="14" t="e">
        <f t="shared" si="209"/>
        <v>#DIV/0!</v>
      </c>
      <c r="AP75" s="13" t="e">
        <f t="shared" si="209"/>
        <v>#DIV/0!</v>
      </c>
      <c r="AQ75" s="44" t="e">
        <f t="shared" si="209"/>
        <v>#DIV/0!</v>
      </c>
      <c r="AR75" s="44" t="e">
        <f t="shared" si="209"/>
        <v>#DIV/0!</v>
      </c>
      <c r="AS75" s="14" t="e">
        <f t="shared" si="209"/>
        <v>#DIV/0!</v>
      </c>
      <c r="AT75" s="13" t="e">
        <f t="shared" si="209"/>
        <v>#DIV/0!</v>
      </c>
      <c r="AU75" s="44" t="e">
        <f t="shared" si="209"/>
        <v>#DIV/0!</v>
      </c>
      <c r="AV75" s="44" t="e">
        <f t="shared" si="209"/>
        <v>#DIV/0!</v>
      </c>
      <c r="AW75" s="14" t="e">
        <f t="shared" si="209"/>
        <v>#DIV/0!</v>
      </c>
      <c r="AX75" s="13" t="e">
        <f t="shared" si="209"/>
        <v>#DIV/0!</v>
      </c>
      <c r="AY75" s="44" t="e">
        <f t="shared" si="209"/>
        <v>#DIV/0!</v>
      </c>
      <c r="AZ75" s="44" t="e">
        <f t="shared" si="209"/>
        <v>#DIV/0!</v>
      </c>
      <c r="BA75" s="14" t="e">
        <f t="shared" si="209"/>
        <v>#DIV/0!</v>
      </c>
      <c r="BB75" s="13" t="e">
        <f t="shared" si="209"/>
        <v>#DIV/0!</v>
      </c>
      <c r="BC75" s="44" t="e">
        <f t="shared" si="209"/>
        <v>#DIV/0!</v>
      </c>
      <c r="BD75" s="44" t="e">
        <f t="shared" si="209"/>
        <v>#DIV/0!</v>
      </c>
      <c r="BE75" s="14" t="e">
        <f t="shared" si="209"/>
        <v>#DIV/0!</v>
      </c>
      <c r="BF75" s="13" t="e">
        <f t="shared" si="209"/>
        <v>#DIV/0!</v>
      </c>
      <c r="BG75" s="44" t="e">
        <f t="shared" si="209"/>
        <v>#DIV/0!</v>
      </c>
      <c r="BH75" s="44" t="e">
        <f t="shared" si="209"/>
        <v>#DIV/0!</v>
      </c>
      <c r="BI75" s="14" t="e">
        <f t="shared" si="209"/>
        <v>#DIV/0!</v>
      </c>
      <c r="BJ75" s="13" t="e">
        <f t="shared" si="209"/>
        <v>#DIV/0!</v>
      </c>
      <c r="BK75" s="44" t="e">
        <f t="shared" si="209"/>
        <v>#DIV/0!</v>
      </c>
      <c r="BL75" s="44" t="e">
        <f t="shared" si="209"/>
        <v>#DIV/0!</v>
      </c>
      <c r="BM75" s="14" t="e">
        <f t="shared" si="209"/>
        <v>#DIV/0!</v>
      </c>
      <c r="BN75" s="13" t="e">
        <f t="shared" si="209"/>
        <v>#DIV/0!</v>
      </c>
      <c r="BO75" s="44" t="e">
        <f t="shared" si="209"/>
        <v>#DIV/0!</v>
      </c>
      <c r="BP75" s="44" t="e">
        <f t="shared" si="209"/>
        <v>#DIV/0!</v>
      </c>
      <c r="BQ75" s="14" t="e">
        <f t="shared" ref="BQ75:CK75" si="210">BQ32/BQ40 +BQ41</f>
        <v>#DIV/0!</v>
      </c>
      <c r="BR75" s="13" t="e">
        <f t="shared" si="210"/>
        <v>#DIV/0!</v>
      </c>
      <c r="BS75" s="44" t="e">
        <f t="shared" si="210"/>
        <v>#DIV/0!</v>
      </c>
      <c r="BT75" s="44" t="e">
        <f t="shared" si="210"/>
        <v>#DIV/0!</v>
      </c>
      <c r="BU75" s="14" t="e">
        <f t="shared" si="210"/>
        <v>#DIV/0!</v>
      </c>
      <c r="BV75" s="13" t="e">
        <f t="shared" si="210"/>
        <v>#DIV/0!</v>
      </c>
      <c r="BW75" s="44" t="e">
        <f t="shared" si="210"/>
        <v>#DIV/0!</v>
      </c>
      <c r="BX75" s="44" t="e">
        <f t="shared" si="210"/>
        <v>#DIV/0!</v>
      </c>
      <c r="BY75" s="14" t="e">
        <f t="shared" si="210"/>
        <v>#DIV/0!</v>
      </c>
      <c r="BZ75" s="13" t="e">
        <f t="shared" si="210"/>
        <v>#DIV/0!</v>
      </c>
      <c r="CA75" s="44" t="e">
        <f t="shared" si="210"/>
        <v>#DIV/0!</v>
      </c>
      <c r="CB75" s="44" t="e">
        <f t="shared" si="210"/>
        <v>#DIV/0!</v>
      </c>
      <c r="CC75" s="14" t="e">
        <f t="shared" si="210"/>
        <v>#DIV/0!</v>
      </c>
      <c r="CD75" s="13" t="e">
        <f t="shared" si="210"/>
        <v>#DIV/0!</v>
      </c>
      <c r="CE75" s="44" t="e">
        <f t="shared" si="210"/>
        <v>#DIV/0!</v>
      </c>
      <c r="CF75" s="44" t="e">
        <f t="shared" si="210"/>
        <v>#DIV/0!</v>
      </c>
      <c r="CG75" s="14" t="e">
        <f t="shared" si="210"/>
        <v>#DIV/0!</v>
      </c>
      <c r="CH75" s="13" t="e">
        <f t="shared" si="210"/>
        <v>#DIV/0!</v>
      </c>
      <c r="CI75" s="44" t="e">
        <f t="shared" si="210"/>
        <v>#DIV/0!</v>
      </c>
      <c r="CJ75" s="44" t="e">
        <f t="shared" si="210"/>
        <v>#DIV/0!</v>
      </c>
      <c r="CK75" s="14" t="e">
        <f t="shared" si="210"/>
        <v>#DIV/0!</v>
      </c>
      <c r="CL75" s="49"/>
      <c r="CM75" s="28"/>
    </row>
    <row r="76" spans="2:91" ht="14.25" x14ac:dyDescent="0.25">
      <c r="B76" s="55"/>
      <c r="C76" s="10" t="s">
        <v>436</v>
      </c>
      <c r="D76" s="233" t="s">
        <v>437</v>
      </c>
      <c r="E76" s="125">
        <f t="shared" ref="E76:AJ76" si="211">E17/3600</f>
        <v>0.16666666666666666</v>
      </c>
      <c r="F76" s="168">
        <f t="shared" si="211"/>
        <v>0.25277777777777777</v>
      </c>
      <c r="G76" s="44">
        <f t="shared" si="211"/>
        <v>0.25277777777777777</v>
      </c>
      <c r="H76" s="44">
        <f t="shared" si="211"/>
        <v>0.42722222222222223</v>
      </c>
      <c r="I76" s="14">
        <f t="shared" si="211"/>
        <v>0.42722222222222223</v>
      </c>
      <c r="J76" s="168">
        <f t="shared" si="211"/>
        <v>0</v>
      </c>
      <c r="K76" s="44">
        <f t="shared" si="211"/>
        <v>0.22194444444444444</v>
      </c>
      <c r="L76" s="44">
        <f t="shared" si="211"/>
        <v>1.5277777777777777E-2</v>
      </c>
      <c r="M76" s="14">
        <f t="shared" si="211"/>
        <v>0</v>
      </c>
      <c r="N76" s="168">
        <f t="shared" si="211"/>
        <v>0</v>
      </c>
      <c r="O76" s="44">
        <f t="shared" si="211"/>
        <v>0</v>
      </c>
      <c r="P76" s="44">
        <f t="shared" si="211"/>
        <v>0</v>
      </c>
      <c r="Q76" s="14">
        <f t="shared" si="211"/>
        <v>0</v>
      </c>
      <c r="R76" s="168">
        <f t="shared" si="211"/>
        <v>0</v>
      </c>
      <c r="S76" s="44">
        <f t="shared" si="211"/>
        <v>0</v>
      </c>
      <c r="T76" s="44">
        <f t="shared" si="211"/>
        <v>0</v>
      </c>
      <c r="U76" s="14">
        <f t="shared" si="211"/>
        <v>0</v>
      </c>
      <c r="V76" s="168">
        <f t="shared" si="211"/>
        <v>0</v>
      </c>
      <c r="W76" s="44">
        <f t="shared" si="211"/>
        <v>0</v>
      </c>
      <c r="X76" s="44">
        <f t="shared" si="211"/>
        <v>0</v>
      </c>
      <c r="Y76" s="14">
        <f t="shared" si="211"/>
        <v>0</v>
      </c>
      <c r="Z76" s="168">
        <f t="shared" si="211"/>
        <v>0</v>
      </c>
      <c r="AA76" s="44">
        <f t="shared" si="211"/>
        <v>0</v>
      </c>
      <c r="AB76" s="44">
        <f t="shared" si="211"/>
        <v>0</v>
      </c>
      <c r="AC76" s="14">
        <f t="shared" si="211"/>
        <v>0</v>
      </c>
      <c r="AD76" s="168">
        <f t="shared" si="211"/>
        <v>0</v>
      </c>
      <c r="AE76" s="44">
        <f t="shared" si="211"/>
        <v>0</v>
      </c>
      <c r="AF76" s="44">
        <f t="shared" si="211"/>
        <v>0</v>
      </c>
      <c r="AG76" s="14">
        <f t="shared" si="211"/>
        <v>0</v>
      </c>
      <c r="AH76" s="168">
        <f t="shared" si="211"/>
        <v>0</v>
      </c>
      <c r="AI76" s="44">
        <f t="shared" si="211"/>
        <v>0</v>
      </c>
      <c r="AJ76" s="44">
        <f t="shared" si="211"/>
        <v>0</v>
      </c>
      <c r="AK76" s="14">
        <f t="shared" ref="AK76:BP76" si="212">AK17/3600</f>
        <v>0</v>
      </c>
      <c r="AL76" s="168">
        <f t="shared" si="212"/>
        <v>0</v>
      </c>
      <c r="AM76" s="44">
        <f t="shared" si="212"/>
        <v>0</v>
      </c>
      <c r="AN76" s="44">
        <f t="shared" si="212"/>
        <v>0</v>
      </c>
      <c r="AO76" s="14">
        <f t="shared" si="212"/>
        <v>0</v>
      </c>
      <c r="AP76" s="168">
        <f t="shared" si="212"/>
        <v>0</v>
      </c>
      <c r="AQ76" s="44">
        <f t="shared" si="212"/>
        <v>0</v>
      </c>
      <c r="AR76" s="44">
        <f t="shared" si="212"/>
        <v>0</v>
      </c>
      <c r="AS76" s="14">
        <f t="shared" si="212"/>
        <v>0</v>
      </c>
      <c r="AT76" s="168">
        <f t="shared" si="212"/>
        <v>0</v>
      </c>
      <c r="AU76" s="44">
        <f t="shared" si="212"/>
        <v>0</v>
      </c>
      <c r="AV76" s="44">
        <f t="shared" si="212"/>
        <v>0</v>
      </c>
      <c r="AW76" s="14">
        <f t="shared" si="212"/>
        <v>0</v>
      </c>
      <c r="AX76" s="168">
        <f t="shared" si="212"/>
        <v>0</v>
      </c>
      <c r="AY76" s="44">
        <f t="shared" si="212"/>
        <v>0</v>
      </c>
      <c r="AZ76" s="44">
        <f t="shared" si="212"/>
        <v>0</v>
      </c>
      <c r="BA76" s="14">
        <f t="shared" si="212"/>
        <v>0</v>
      </c>
      <c r="BB76" s="168">
        <f t="shared" si="212"/>
        <v>0</v>
      </c>
      <c r="BC76" s="44">
        <f t="shared" si="212"/>
        <v>0</v>
      </c>
      <c r="BD76" s="44">
        <f t="shared" si="212"/>
        <v>0</v>
      </c>
      <c r="BE76" s="14">
        <f t="shared" si="212"/>
        <v>0</v>
      </c>
      <c r="BF76" s="168">
        <f t="shared" si="212"/>
        <v>0</v>
      </c>
      <c r="BG76" s="44">
        <f t="shared" si="212"/>
        <v>0</v>
      </c>
      <c r="BH76" s="44">
        <f t="shared" si="212"/>
        <v>0</v>
      </c>
      <c r="BI76" s="14">
        <f t="shared" si="212"/>
        <v>0</v>
      </c>
      <c r="BJ76" s="168">
        <f t="shared" si="212"/>
        <v>0</v>
      </c>
      <c r="BK76" s="44">
        <f t="shared" si="212"/>
        <v>0</v>
      </c>
      <c r="BL76" s="44">
        <f t="shared" si="212"/>
        <v>0</v>
      </c>
      <c r="BM76" s="14">
        <f t="shared" si="212"/>
        <v>0</v>
      </c>
      <c r="BN76" s="168">
        <f t="shared" si="212"/>
        <v>0</v>
      </c>
      <c r="BO76" s="44">
        <f t="shared" si="212"/>
        <v>0</v>
      </c>
      <c r="BP76" s="44">
        <f t="shared" si="212"/>
        <v>0</v>
      </c>
      <c r="BQ76" s="14">
        <f t="shared" ref="BQ76:CK76" si="213">BQ17/3600</f>
        <v>0</v>
      </c>
      <c r="BR76" s="168">
        <f t="shared" si="213"/>
        <v>0</v>
      </c>
      <c r="BS76" s="44">
        <f t="shared" si="213"/>
        <v>0</v>
      </c>
      <c r="BT76" s="44">
        <f t="shared" si="213"/>
        <v>0</v>
      </c>
      <c r="BU76" s="14">
        <f t="shared" si="213"/>
        <v>0</v>
      </c>
      <c r="BV76" s="168">
        <f t="shared" si="213"/>
        <v>0</v>
      </c>
      <c r="BW76" s="44">
        <f t="shared" si="213"/>
        <v>0</v>
      </c>
      <c r="BX76" s="44">
        <f t="shared" si="213"/>
        <v>0</v>
      </c>
      <c r="BY76" s="14">
        <f t="shared" si="213"/>
        <v>0</v>
      </c>
      <c r="BZ76" s="168">
        <f t="shared" si="213"/>
        <v>0</v>
      </c>
      <c r="CA76" s="44">
        <f t="shared" si="213"/>
        <v>0</v>
      </c>
      <c r="CB76" s="44">
        <f t="shared" si="213"/>
        <v>0</v>
      </c>
      <c r="CC76" s="14">
        <f t="shared" si="213"/>
        <v>0</v>
      </c>
      <c r="CD76" s="168">
        <f t="shared" si="213"/>
        <v>0</v>
      </c>
      <c r="CE76" s="44">
        <f t="shared" si="213"/>
        <v>0</v>
      </c>
      <c r="CF76" s="44">
        <f t="shared" si="213"/>
        <v>0</v>
      </c>
      <c r="CG76" s="14">
        <f t="shared" si="213"/>
        <v>0</v>
      </c>
      <c r="CH76" s="168">
        <f t="shared" si="213"/>
        <v>0</v>
      </c>
      <c r="CI76" s="44">
        <f t="shared" si="213"/>
        <v>0</v>
      </c>
      <c r="CJ76" s="44">
        <f t="shared" si="213"/>
        <v>0</v>
      </c>
      <c r="CK76" s="14">
        <f t="shared" si="213"/>
        <v>0</v>
      </c>
      <c r="CL76" s="49"/>
      <c r="CM76" s="28"/>
    </row>
    <row r="77" spans="2:91" ht="14.25" x14ac:dyDescent="0.25">
      <c r="B77" s="55"/>
      <c r="C77" s="10" t="s">
        <v>308</v>
      </c>
      <c r="D77" s="93" t="s">
        <v>406</v>
      </c>
      <c r="E77" s="125">
        <f t="shared" ref="E77:AJ77" si="214">MAX(IF(E33=0,0,4*E78/E33),1)</f>
        <v>1</v>
      </c>
      <c r="F77" s="13">
        <f t="shared" si="214"/>
        <v>1</v>
      </c>
      <c r="G77" s="44">
        <f t="shared" si="214"/>
        <v>1</v>
      </c>
      <c r="H77" s="44">
        <f t="shared" si="214"/>
        <v>1</v>
      </c>
      <c r="I77" s="14">
        <f t="shared" si="214"/>
        <v>1</v>
      </c>
      <c r="J77" s="13">
        <f t="shared" si="214"/>
        <v>1</v>
      </c>
      <c r="K77" s="44">
        <f t="shared" si="214"/>
        <v>1</v>
      </c>
      <c r="L77" s="44">
        <f t="shared" si="214"/>
        <v>1</v>
      </c>
      <c r="M77" s="14">
        <f t="shared" si="214"/>
        <v>1</v>
      </c>
      <c r="N77" s="13">
        <f t="shared" si="214"/>
        <v>1</v>
      </c>
      <c r="O77" s="44">
        <f t="shared" si="214"/>
        <v>1</v>
      </c>
      <c r="P77" s="44">
        <f t="shared" si="214"/>
        <v>1</v>
      </c>
      <c r="Q77" s="14">
        <f t="shared" si="214"/>
        <v>1</v>
      </c>
      <c r="R77" s="13">
        <f t="shared" si="214"/>
        <v>1</v>
      </c>
      <c r="S77" s="44">
        <f t="shared" si="214"/>
        <v>1</v>
      </c>
      <c r="T77" s="44">
        <f t="shared" si="214"/>
        <v>1</v>
      </c>
      <c r="U77" s="14">
        <f t="shared" si="214"/>
        <v>1</v>
      </c>
      <c r="V77" s="13">
        <f t="shared" si="214"/>
        <v>1</v>
      </c>
      <c r="W77" s="44">
        <f t="shared" si="214"/>
        <v>1</v>
      </c>
      <c r="X77" s="44">
        <f t="shared" si="214"/>
        <v>1</v>
      </c>
      <c r="Y77" s="14">
        <f t="shared" si="214"/>
        <v>1</v>
      </c>
      <c r="Z77" s="13">
        <f t="shared" si="214"/>
        <v>1</v>
      </c>
      <c r="AA77" s="44">
        <f t="shared" si="214"/>
        <v>1</v>
      </c>
      <c r="AB77" s="44">
        <f t="shared" si="214"/>
        <v>1</v>
      </c>
      <c r="AC77" s="14">
        <f t="shared" si="214"/>
        <v>1</v>
      </c>
      <c r="AD77" s="13">
        <f t="shared" si="214"/>
        <v>1</v>
      </c>
      <c r="AE77" s="44">
        <f t="shared" si="214"/>
        <v>1</v>
      </c>
      <c r="AF77" s="44">
        <f t="shared" si="214"/>
        <v>1</v>
      </c>
      <c r="AG77" s="14">
        <f t="shared" si="214"/>
        <v>1</v>
      </c>
      <c r="AH77" s="13">
        <f t="shared" si="214"/>
        <v>1</v>
      </c>
      <c r="AI77" s="44">
        <f t="shared" si="214"/>
        <v>1</v>
      </c>
      <c r="AJ77" s="44">
        <f t="shared" si="214"/>
        <v>1</v>
      </c>
      <c r="AK77" s="14">
        <f t="shared" ref="AK77:BP77" si="215">MAX(IF(AK33=0,0,4*AK78/AK33),1)</f>
        <v>1</v>
      </c>
      <c r="AL77" s="13">
        <f t="shared" si="215"/>
        <v>1</v>
      </c>
      <c r="AM77" s="44">
        <f t="shared" si="215"/>
        <v>1</v>
      </c>
      <c r="AN77" s="44">
        <f t="shared" si="215"/>
        <v>1</v>
      </c>
      <c r="AO77" s="14">
        <f t="shared" si="215"/>
        <v>1</v>
      </c>
      <c r="AP77" s="13">
        <f t="shared" si="215"/>
        <v>1</v>
      </c>
      <c r="AQ77" s="44">
        <f t="shared" si="215"/>
        <v>1</v>
      </c>
      <c r="AR77" s="44">
        <f t="shared" si="215"/>
        <v>1</v>
      </c>
      <c r="AS77" s="14">
        <f t="shared" si="215"/>
        <v>1</v>
      </c>
      <c r="AT77" s="13">
        <f t="shared" si="215"/>
        <v>1</v>
      </c>
      <c r="AU77" s="44">
        <f t="shared" si="215"/>
        <v>1</v>
      </c>
      <c r="AV77" s="44">
        <f t="shared" si="215"/>
        <v>1</v>
      </c>
      <c r="AW77" s="14">
        <f t="shared" si="215"/>
        <v>1</v>
      </c>
      <c r="AX77" s="13">
        <f t="shared" si="215"/>
        <v>1</v>
      </c>
      <c r="AY77" s="44">
        <f t="shared" si="215"/>
        <v>1</v>
      </c>
      <c r="AZ77" s="44">
        <f t="shared" si="215"/>
        <v>1</v>
      </c>
      <c r="BA77" s="14">
        <f t="shared" si="215"/>
        <v>1</v>
      </c>
      <c r="BB77" s="13">
        <f t="shared" si="215"/>
        <v>1</v>
      </c>
      <c r="BC77" s="44">
        <f t="shared" si="215"/>
        <v>1</v>
      </c>
      <c r="BD77" s="44">
        <f t="shared" si="215"/>
        <v>1</v>
      </c>
      <c r="BE77" s="14">
        <f t="shared" si="215"/>
        <v>1</v>
      </c>
      <c r="BF77" s="13">
        <f t="shared" si="215"/>
        <v>1</v>
      </c>
      <c r="BG77" s="44">
        <f t="shared" si="215"/>
        <v>1</v>
      </c>
      <c r="BH77" s="44">
        <f t="shared" si="215"/>
        <v>1</v>
      </c>
      <c r="BI77" s="14">
        <f t="shared" si="215"/>
        <v>1</v>
      </c>
      <c r="BJ77" s="13">
        <f t="shared" si="215"/>
        <v>1</v>
      </c>
      <c r="BK77" s="44">
        <f t="shared" si="215"/>
        <v>1</v>
      </c>
      <c r="BL77" s="44">
        <f t="shared" si="215"/>
        <v>1</v>
      </c>
      <c r="BM77" s="14">
        <f t="shared" si="215"/>
        <v>1</v>
      </c>
      <c r="BN77" s="13">
        <f t="shared" si="215"/>
        <v>1</v>
      </c>
      <c r="BO77" s="44">
        <f t="shared" si="215"/>
        <v>1</v>
      </c>
      <c r="BP77" s="44">
        <f t="shared" si="215"/>
        <v>1</v>
      </c>
      <c r="BQ77" s="14">
        <f t="shared" ref="BQ77:CK77" si="216">MAX(IF(BQ33=0,0,4*BQ78/BQ33),1)</f>
        <v>1</v>
      </c>
      <c r="BR77" s="13">
        <f t="shared" si="216"/>
        <v>1</v>
      </c>
      <c r="BS77" s="44">
        <f t="shared" si="216"/>
        <v>1</v>
      </c>
      <c r="BT77" s="44">
        <f t="shared" si="216"/>
        <v>1</v>
      </c>
      <c r="BU77" s="14">
        <f t="shared" si="216"/>
        <v>1</v>
      </c>
      <c r="BV77" s="13">
        <f t="shared" si="216"/>
        <v>1</v>
      </c>
      <c r="BW77" s="44">
        <f t="shared" si="216"/>
        <v>1</v>
      </c>
      <c r="BX77" s="44">
        <f t="shared" si="216"/>
        <v>1</v>
      </c>
      <c r="BY77" s="14">
        <f t="shared" si="216"/>
        <v>1</v>
      </c>
      <c r="BZ77" s="13">
        <f t="shared" si="216"/>
        <v>1</v>
      </c>
      <c r="CA77" s="44">
        <f t="shared" si="216"/>
        <v>1</v>
      </c>
      <c r="CB77" s="44">
        <f t="shared" si="216"/>
        <v>1</v>
      </c>
      <c r="CC77" s="14">
        <f t="shared" si="216"/>
        <v>1</v>
      </c>
      <c r="CD77" s="13">
        <f t="shared" si="216"/>
        <v>1</v>
      </c>
      <c r="CE77" s="44">
        <f t="shared" si="216"/>
        <v>1</v>
      </c>
      <c r="CF77" s="44">
        <f t="shared" si="216"/>
        <v>1</v>
      </c>
      <c r="CG77" s="14">
        <f t="shared" si="216"/>
        <v>1</v>
      </c>
      <c r="CH77" s="13">
        <f t="shared" si="216"/>
        <v>1</v>
      </c>
      <c r="CI77" s="44">
        <f t="shared" si="216"/>
        <v>1</v>
      </c>
      <c r="CJ77" s="44">
        <f t="shared" si="216"/>
        <v>1</v>
      </c>
      <c r="CK77" s="14">
        <f t="shared" si="216"/>
        <v>1</v>
      </c>
      <c r="CL77" s="49"/>
      <c r="CM77" s="28"/>
    </row>
    <row r="78" spans="2:91" ht="14.25" x14ac:dyDescent="0.25">
      <c r="B78" s="55"/>
      <c r="C78" s="10" t="s">
        <v>309</v>
      </c>
      <c r="D78" s="93" t="s">
        <v>407</v>
      </c>
      <c r="E78" s="125">
        <f t="shared" ref="E78:AJ78" si="217">((E21/3600)*EXP(E75*E21/3600) + E76*EXP(-E76*E75))/(((E21/3600)+E76)*EXP(((E21/3600)-E76))*E75)</f>
        <v>3.8985468704999048E-2</v>
      </c>
      <c r="F78" s="13">
        <f t="shared" si="217"/>
        <v>2.0678574117255807E-2</v>
      </c>
      <c r="G78" s="44">
        <f t="shared" si="217"/>
        <v>2.0678574117255807E-2</v>
      </c>
      <c r="H78" s="44">
        <f t="shared" si="217"/>
        <v>4.443618419739964E-3</v>
      </c>
      <c r="I78" s="14">
        <f t="shared" si="217"/>
        <v>4.443618419739964E-3</v>
      </c>
      <c r="J78" s="13" t="e">
        <f t="shared" si="217"/>
        <v>#DIV/0!</v>
      </c>
      <c r="K78" s="44">
        <f t="shared" si="217"/>
        <v>2.5370776978518667E-2</v>
      </c>
      <c r="L78" s="44">
        <f t="shared" si="217"/>
        <v>0.1547708980856595</v>
      </c>
      <c r="M78" s="14">
        <f t="shared" si="217"/>
        <v>0.16722113497955068</v>
      </c>
      <c r="N78" s="13" t="e">
        <f t="shared" si="217"/>
        <v>#DIV/0!</v>
      </c>
      <c r="O78" s="44" t="e">
        <f t="shared" si="217"/>
        <v>#DIV/0!</v>
      </c>
      <c r="P78" s="44" t="e">
        <f t="shared" si="217"/>
        <v>#DIV/0!</v>
      </c>
      <c r="Q78" s="14" t="e">
        <f t="shared" si="217"/>
        <v>#DIV/0!</v>
      </c>
      <c r="R78" s="13" t="e">
        <f t="shared" si="217"/>
        <v>#DIV/0!</v>
      </c>
      <c r="S78" s="44" t="e">
        <f t="shared" si="217"/>
        <v>#DIV/0!</v>
      </c>
      <c r="T78" s="44" t="e">
        <f t="shared" si="217"/>
        <v>#DIV/0!</v>
      </c>
      <c r="U78" s="14" t="e">
        <f t="shared" si="217"/>
        <v>#DIV/0!</v>
      </c>
      <c r="V78" s="13" t="e">
        <f t="shared" si="217"/>
        <v>#DIV/0!</v>
      </c>
      <c r="W78" s="44" t="e">
        <f t="shared" si="217"/>
        <v>#DIV/0!</v>
      </c>
      <c r="X78" s="44" t="e">
        <f t="shared" si="217"/>
        <v>#DIV/0!</v>
      </c>
      <c r="Y78" s="14" t="e">
        <f t="shared" si="217"/>
        <v>#DIV/0!</v>
      </c>
      <c r="Z78" s="13" t="e">
        <f t="shared" si="217"/>
        <v>#DIV/0!</v>
      </c>
      <c r="AA78" s="44" t="e">
        <f t="shared" si="217"/>
        <v>#DIV/0!</v>
      </c>
      <c r="AB78" s="44" t="e">
        <f t="shared" si="217"/>
        <v>#DIV/0!</v>
      </c>
      <c r="AC78" s="14" t="e">
        <f t="shared" si="217"/>
        <v>#DIV/0!</v>
      </c>
      <c r="AD78" s="13" t="e">
        <f t="shared" si="217"/>
        <v>#DIV/0!</v>
      </c>
      <c r="AE78" s="44" t="e">
        <f t="shared" si="217"/>
        <v>#DIV/0!</v>
      </c>
      <c r="AF78" s="44" t="e">
        <f t="shared" si="217"/>
        <v>#DIV/0!</v>
      </c>
      <c r="AG78" s="14" t="e">
        <f t="shared" si="217"/>
        <v>#DIV/0!</v>
      </c>
      <c r="AH78" s="13" t="e">
        <f t="shared" si="217"/>
        <v>#DIV/0!</v>
      </c>
      <c r="AI78" s="44" t="e">
        <f t="shared" si="217"/>
        <v>#DIV/0!</v>
      </c>
      <c r="AJ78" s="44" t="e">
        <f t="shared" si="217"/>
        <v>#DIV/0!</v>
      </c>
      <c r="AK78" s="14" t="e">
        <f t="shared" ref="AK78:BP78" si="218">((AK21/3600)*EXP(AK75*AK21/3600) + AK76*EXP(-AK76*AK75))/(((AK21/3600)+AK76)*EXP(((AK21/3600)-AK76))*AK75)</f>
        <v>#DIV/0!</v>
      </c>
      <c r="AL78" s="13" t="e">
        <f t="shared" si="218"/>
        <v>#DIV/0!</v>
      </c>
      <c r="AM78" s="44" t="e">
        <f t="shared" si="218"/>
        <v>#DIV/0!</v>
      </c>
      <c r="AN78" s="44" t="e">
        <f t="shared" si="218"/>
        <v>#DIV/0!</v>
      </c>
      <c r="AO78" s="14" t="e">
        <f t="shared" si="218"/>
        <v>#DIV/0!</v>
      </c>
      <c r="AP78" s="13" t="e">
        <f t="shared" si="218"/>
        <v>#DIV/0!</v>
      </c>
      <c r="AQ78" s="44" t="e">
        <f t="shared" si="218"/>
        <v>#DIV/0!</v>
      </c>
      <c r="AR78" s="44" t="e">
        <f t="shared" si="218"/>
        <v>#DIV/0!</v>
      </c>
      <c r="AS78" s="14" t="e">
        <f t="shared" si="218"/>
        <v>#DIV/0!</v>
      </c>
      <c r="AT78" s="13" t="e">
        <f t="shared" si="218"/>
        <v>#DIV/0!</v>
      </c>
      <c r="AU78" s="44" t="e">
        <f t="shared" si="218"/>
        <v>#DIV/0!</v>
      </c>
      <c r="AV78" s="44" t="e">
        <f t="shared" si="218"/>
        <v>#DIV/0!</v>
      </c>
      <c r="AW78" s="14" t="e">
        <f t="shared" si="218"/>
        <v>#DIV/0!</v>
      </c>
      <c r="AX78" s="13" t="e">
        <f t="shared" si="218"/>
        <v>#DIV/0!</v>
      </c>
      <c r="AY78" s="44" t="e">
        <f t="shared" si="218"/>
        <v>#DIV/0!</v>
      </c>
      <c r="AZ78" s="44" t="e">
        <f t="shared" si="218"/>
        <v>#DIV/0!</v>
      </c>
      <c r="BA78" s="14" t="e">
        <f t="shared" si="218"/>
        <v>#DIV/0!</v>
      </c>
      <c r="BB78" s="13" t="e">
        <f t="shared" si="218"/>
        <v>#DIV/0!</v>
      </c>
      <c r="BC78" s="44" t="e">
        <f t="shared" si="218"/>
        <v>#DIV/0!</v>
      </c>
      <c r="BD78" s="44" t="e">
        <f t="shared" si="218"/>
        <v>#DIV/0!</v>
      </c>
      <c r="BE78" s="14" t="e">
        <f t="shared" si="218"/>
        <v>#DIV/0!</v>
      </c>
      <c r="BF78" s="13" t="e">
        <f t="shared" si="218"/>
        <v>#DIV/0!</v>
      </c>
      <c r="BG78" s="44" t="e">
        <f t="shared" si="218"/>
        <v>#DIV/0!</v>
      </c>
      <c r="BH78" s="44" t="e">
        <f t="shared" si="218"/>
        <v>#DIV/0!</v>
      </c>
      <c r="BI78" s="14" t="e">
        <f t="shared" si="218"/>
        <v>#DIV/0!</v>
      </c>
      <c r="BJ78" s="13" t="e">
        <f t="shared" si="218"/>
        <v>#DIV/0!</v>
      </c>
      <c r="BK78" s="44" t="e">
        <f t="shared" si="218"/>
        <v>#DIV/0!</v>
      </c>
      <c r="BL78" s="44" t="e">
        <f t="shared" si="218"/>
        <v>#DIV/0!</v>
      </c>
      <c r="BM78" s="14" t="e">
        <f t="shared" si="218"/>
        <v>#DIV/0!</v>
      </c>
      <c r="BN78" s="13" t="e">
        <f t="shared" si="218"/>
        <v>#DIV/0!</v>
      </c>
      <c r="BO78" s="44" t="e">
        <f t="shared" si="218"/>
        <v>#DIV/0!</v>
      </c>
      <c r="BP78" s="44" t="e">
        <f t="shared" si="218"/>
        <v>#DIV/0!</v>
      </c>
      <c r="BQ78" s="14" t="e">
        <f t="shared" ref="BQ78:CK78" si="219">((BQ21/3600)*EXP(BQ75*BQ21/3600) + BQ76*EXP(-BQ76*BQ75))/(((BQ21/3600)+BQ76)*EXP(((BQ21/3600)-BQ76))*BQ75)</f>
        <v>#DIV/0!</v>
      </c>
      <c r="BR78" s="13" t="e">
        <f t="shared" si="219"/>
        <v>#DIV/0!</v>
      </c>
      <c r="BS78" s="44" t="e">
        <f t="shared" si="219"/>
        <v>#DIV/0!</v>
      </c>
      <c r="BT78" s="44" t="e">
        <f t="shared" si="219"/>
        <v>#DIV/0!</v>
      </c>
      <c r="BU78" s="14" t="e">
        <f t="shared" si="219"/>
        <v>#DIV/0!</v>
      </c>
      <c r="BV78" s="13" t="e">
        <f t="shared" si="219"/>
        <v>#DIV/0!</v>
      </c>
      <c r="BW78" s="44" t="e">
        <f t="shared" si="219"/>
        <v>#DIV/0!</v>
      </c>
      <c r="BX78" s="44" t="e">
        <f t="shared" si="219"/>
        <v>#DIV/0!</v>
      </c>
      <c r="BY78" s="14" t="e">
        <f t="shared" si="219"/>
        <v>#DIV/0!</v>
      </c>
      <c r="BZ78" s="13" t="e">
        <f t="shared" si="219"/>
        <v>#DIV/0!</v>
      </c>
      <c r="CA78" s="44" t="e">
        <f t="shared" si="219"/>
        <v>#DIV/0!</v>
      </c>
      <c r="CB78" s="44" t="e">
        <f t="shared" si="219"/>
        <v>#DIV/0!</v>
      </c>
      <c r="CC78" s="14" t="e">
        <f t="shared" si="219"/>
        <v>#DIV/0!</v>
      </c>
      <c r="CD78" s="13" t="e">
        <f t="shared" si="219"/>
        <v>#DIV/0!</v>
      </c>
      <c r="CE78" s="44" t="e">
        <f t="shared" si="219"/>
        <v>#DIV/0!</v>
      </c>
      <c r="CF78" s="44" t="e">
        <f t="shared" si="219"/>
        <v>#DIV/0!</v>
      </c>
      <c r="CG78" s="14" t="e">
        <f t="shared" si="219"/>
        <v>#DIV/0!</v>
      </c>
      <c r="CH78" s="13" t="e">
        <f t="shared" si="219"/>
        <v>#DIV/0!</v>
      </c>
      <c r="CI78" s="44" t="e">
        <f t="shared" si="219"/>
        <v>#DIV/0!</v>
      </c>
      <c r="CJ78" s="44" t="e">
        <f t="shared" si="219"/>
        <v>#DIV/0!</v>
      </c>
      <c r="CK78" s="14" t="e">
        <f t="shared" si="219"/>
        <v>#DIV/0!</v>
      </c>
      <c r="CL78" s="49"/>
      <c r="CM78" s="28"/>
    </row>
    <row r="79" spans="2:91" ht="14.25" x14ac:dyDescent="0.25">
      <c r="B79" s="55"/>
      <c r="C79" s="10" t="s">
        <v>310</v>
      </c>
      <c r="D79" s="93" t="s">
        <v>410</v>
      </c>
      <c r="E79" s="125">
        <f t="shared" ref="E79:AJ79" si="220">E75+2*(E77-1)</f>
        <v>8.4</v>
      </c>
      <c r="F79" s="13">
        <f t="shared" si="220"/>
        <v>8.6</v>
      </c>
      <c r="G79" s="44">
        <f t="shared" si="220"/>
        <v>8.6</v>
      </c>
      <c r="H79" s="44">
        <f t="shared" si="220"/>
        <v>10.199999999999999</v>
      </c>
      <c r="I79" s="14">
        <f t="shared" si="220"/>
        <v>10.199999999999999</v>
      </c>
      <c r="J79" s="13" t="e">
        <f t="shared" si="220"/>
        <v>#DIV/0!</v>
      </c>
      <c r="K79" s="44">
        <f t="shared" si="220"/>
        <v>8.6</v>
      </c>
      <c r="L79" s="44">
        <f t="shared" si="220"/>
        <v>6.2</v>
      </c>
      <c r="M79" s="14">
        <f t="shared" si="220"/>
        <v>6.2</v>
      </c>
      <c r="N79" s="13" t="e">
        <f t="shared" si="220"/>
        <v>#DIV/0!</v>
      </c>
      <c r="O79" s="44" t="e">
        <f t="shared" si="220"/>
        <v>#DIV/0!</v>
      </c>
      <c r="P79" s="44" t="e">
        <f t="shared" si="220"/>
        <v>#DIV/0!</v>
      </c>
      <c r="Q79" s="14" t="e">
        <f t="shared" si="220"/>
        <v>#DIV/0!</v>
      </c>
      <c r="R79" s="13" t="e">
        <f t="shared" si="220"/>
        <v>#DIV/0!</v>
      </c>
      <c r="S79" s="44" t="e">
        <f t="shared" si="220"/>
        <v>#DIV/0!</v>
      </c>
      <c r="T79" s="44" t="e">
        <f t="shared" si="220"/>
        <v>#DIV/0!</v>
      </c>
      <c r="U79" s="14" t="e">
        <f t="shared" si="220"/>
        <v>#DIV/0!</v>
      </c>
      <c r="V79" s="13" t="e">
        <f t="shared" si="220"/>
        <v>#DIV/0!</v>
      </c>
      <c r="W79" s="44" t="e">
        <f t="shared" si="220"/>
        <v>#DIV/0!</v>
      </c>
      <c r="X79" s="44" t="e">
        <f t="shared" si="220"/>
        <v>#DIV/0!</v>
      </c>
      <c r="Y79" s="14" t="e">
        <f t="shared" si="220"/>
        <v>#DIV/0!</v>
      </c>
      <c r="Z79" s="13" t="e">
        <f t="shared" si="220"/>
        <v>#DIV/0!</v>
      </c>
      <c r="AA79" s="44" t="e">
        <f t="shared" si="220"/>
        <v>#DIV/0!</v>
      </c>
      <c r="AB79" s="44" t="e">
        <f t="shared" si="220"/>
        <v>#DIV/0!</v>
      </c>
      <c r="AC79" s="14" t="e">
        <f t="shared" si="220"/>
        <v>#DIV/0!</v>
      </c>
      <c r="AD79" s="13" t="e">
        <f t="shared" si="220"/>
        <v>#DIV/0!</v>
      </c>
      <c r="AE79" s="44" t="e">
        <f t="shared" si="220"/>
        <v>#DIV/0!</v>
      </c>
      <c r="AF79" s="44" t="e">
        <f t="shared" si="220"/>
        <v>#DIV/0!</v>
      </c>
      <c r="AG79" s="14" t="e">
        <f t="shared" si="220"/>
        <v>#DIV/0!</v>
      </c>
      <c r="AH79" s="13" t="e">
        <f t="shared" si="220"/>
        <v>#DIV/0!</v>
      </c>
      <c r="AI79" s="44" t="e">
        <f t="shared" si="220"/>
        <v>#DIV/0!</v>
      </c>
      <c r="AJ79" s="44" t="e">
        <f t="shared" si="220"/>
        <v>#DIV/0!</v>
      </c>
      <c r="AK79" s="14" t="e">
        <f t="shared" ref="AK79:BP79" si="221">AK75+2*(AK77-1)</f>
        <v>#DIV/0!</v>
      </c>
      <c r="AL79" s="13" t="e">
        <f t="shared" si="221"/>
        <v>#DIV/0!</v>
      </c>
      <c r="AM79" s="44" t="e">
        <f t="shared" si="221"/>
        <v>#DIV/0!</v>
      </c>
      <c r="AN79" s="44" t="e">
        <f t="shared" si="221"/>
        <v>#DIV/0!</v>
      </c>
      <c r="AO79" s="14" t="e">
        <f t="shared" si="221"/>
        <v>#DIV/0!</v>
      </c>
      <c r="AP79" s="13" t="e">
        <f t="shared" si="221"/>
        <v>#DIV/0!</v>
      </c>
      <c r="AQ79" s="44" t="e">
        <f t="shared" si="221"/>
        <v>#DIV/0!</v>
      </c>
      <c r="AR79" s="44" t="e">
        <f t="shared" si="221"/>
        <v>#DIV/0!</v>
      </c>
      <c r="AS79" s="14" t="e">
        <f t="shared" si="221"/>
        <v>#DIV/0!</v>
      </c>
      <c r="AT79" s="13" t="e">
        <f t="shared" si="221"/>
        <v>#DIV/0!</v>
      </c>
      <c r="AU79" s="44" t="e">
        <f t="shared" si="221"/>
        <v>#DIV/0!</v>
      </c>
      <c r="AV79" s="44" t="e">
        <f t="shared" si="221"/>
        <v>#DIV/0!</v>
      </c>
      <c r="AW79" s="14" t="e">
        <f t="shared" si="221"/>
        <v>#DIV/0!</v>
      </c>
      <c r="AX79" s="13" t="e">
        <f t="shared" si="221"/>
        <v>#DIV/0!</v>
      </c>
      <c r="AY79" s="44" t="e">
        <f t="shared" si="221"/>
        <v>#DIV/0!</v>
      </c>
      <c r="AZ79" s="44" t="e">
        <f t="shared" si="221"/>
        <v>#DIV/0!</v>
      </c>
      <c r="BA79" s="14" t="e">
        <f t="shared" si="221"/>
        <v>#DIV/0!</v>
      </c>
      <c r="BB79" s="13" t="e">
        <f t="shared" si="221"/>
        <v>#DIV/0!</v>
      </c>
      <c r="BC79" s="44" t="e">
        <f t="shared" si="221"/>
        <v>#DIV/0!</v>
      </c>
      <c r="BD79" s="44" t="e">
        <f t="shared" si="221"/>
        <v>#DIV/0!</v>
      </c>
      <c r="BE79" s="14" t="e">
        <f t="shared" si="221"/>
        <v>#DIV/0!</v>
      </c>
      <c r="BF79" s="13" t="e">
        <f t="shared" si="221"/>
        <v>#DIV/0!</v>
      </c>
      <c r="BG79" s="44" t="e">
        <f t="shared" si="221"/>
        <v>#DIV/0!</v>
      </c>
      <c r="BH79" s="44" t="e">
        <f t="shared" si="221"/>
        <v>#DIV/0!</v>
      </c>
      <c r="BI79" s="14" t="e">
        <f t="shared" si="221"/>
        <v>#DIV/0!</v>
      </c>
      <c r="BJ79" s="13" t="e">
        <f t="shared" si="221"/>
        <v>#DIV/0!</v>
      </c>
      <c r="BK79" s="44" t="e">
        <f t="shared" si="221"/>
        <v>#DIV/0!</v>
      </c>
      <c r="BL79" s="44" t="e">
        <f t="shared" si="221"/>
        <v>#DIV/0!</v>
      </c>
      <c r="BM79" s="14" t="e">
        <f t="shared" si="221"/>
        <v>#DIV/0!</v>
      </c>
      <c r="BN79" s="13" t="e">
        <f t="shared" si="221"/>
        <v>#DIV/0!</v>
      </c>
      <c r="BO79" s="44" t="e">
        <f t="shared" si="221"/>
        <v>#DIV/0!</v>
      </c>
      <c r="BP79" s="44" t="e">
        <f t="shared" si="221"/>
        <v>#DIV/0!</v>
      </c>
      <c r="BQ79" s="14" t="e">
        <f t="shared" ref="BQ79:CK79" si="222">BQ75+2*(BQ77-1)</f>
        <v>#DIV/0!</v>
      </c>
      <c r="BR79" s="13" t="e">
        <f t="shared" si="222"/>
        <v>#DIV/0!</v>
      </c>
      <c r="BS79" s="44" t="e">
        <f t="shared" si="222"/>
        <v>#DIV/0!</v>
      </c>
      <c r="BT79" s="44" t="e">
        <f t="shared" si="222"/>
        <v>#DIV/0!</v>
      </c>
      <c r="BU79" s="14" t="e">
        <f t="shared" si="222"/>
        <v>#DIV/0!</v>
      </c>
      <c r="BV79" s="13" t="e">
        <f t="shared" si="222"/>
        <v>#DIV/0!</v>
      </c>
      <c r="BW79" s="44" t="e">
        <f t="shared" si="222"/>
        <v>#DIV/0!</v>
      </c>
      <c r="BX79" s="44" t="e">
        <f t="shared" si="222"/>
        <v>#DIV/0!</v>
      </c>
      <c r="BY79" s="14" t="e">
        <f t="shared" si="222"/>
        <v>#DIV/0!</v>
      </c>
      <c r="BZ79" s="13" t="e">
        <f t="shared" si="222"/>
        <v>#DIV/0!</v>
      </c>
      <c r="CA79" s="44" t="e">
        <f t="shared" si="222"/>
        <v>#DIV/0!</v>
      </c>
      <c r="CB79" s="44" t="e">
        <f t="shared" si="222"/>
        <v>#DIV/0!</v>
      </c>
      <c r="CC79" s="14" t="e">
        <f t="shared" si="222"/>
        <v>#DIV/0!</v>
      </c>
      <c r="CD79" s="13" t="e">
        <f t="shared" si="222"/>
        <v>#DIV/0!</v>
      </c>
      <c r="CE79" s="44" t="e">
        <f t="shared" si="222"/>
        <v>#DIV/0!</v>
      </c>
      <c r="CF79" s="44" t="e">
        <f t="shared" si="222"/>
        <v>#DIV/0!</v>
      </c>
      <c r="CG79" s="14" t="e">
        <f t="shared" si="222"/>
        <v>#DIV/0!</v>
      </c>
      <c r="CH79" s="13" t="e">
        <f t="shared" si="222"/>
        <v>#DIV/0!</v>
      </c>
      <c r="CI79" s="44" t="e">
        <f t="shared" si="222"/>
        <v>#DIV/0!</v>
      </c>
      <c r="CJ79" s="44" t="e">
        <f t="shared" si="222"/>
        <v>#DIV/0!</v>
      </c>
      <c r="CK79" s="14" t="e">
        <f t="shared" si="222"/>
        <v>#DIV/0!</v>
      </c>
      <c r="CL79" s="49"/>
      <c r="CM79" s="28"/>
    </row>
    <row r="80" spans="2:91" ht="14.25" x14ac:dyDescent="0.25">
      <c r="B80" s="55"/>
      <c r="C80" s="10" t="s">
        <v>311</v>
      </c>
      <c r="D80" s="93" t="s">
        <v>408</v>
      </c>
      <c r="E80" s="125">
        <f t="shared" ref="E80:AJ80" si="223">1-EXP(-E79*E76/E32)</f>
        <v>2.5592734748511092E-2</v>
      </c>
      <c r="F80" s="13">
        <f t="shared" si="223"/>
        <v>3.8075625742408858E-2</v>
      </c>
      <c r="G80" s="44">
        <f t="shared" si="223"/>
        <v>3.8075625742408858E-2</v>
      </c>
      <c r="H80" s="44">
        <f t="shared" si="223"/>
        <v>5.8728019937022591E-2</v>
      </c>
      <c r="I80" s="14">
        <f t="shared" si="223"/>
        <v>5.8728019937022591E-2</v>
      </c>
      <c r="J80" s="13" t="e">
        <f t="shared" si="223"/>
        <v>#DIV/0!</v>
      </c>
      <c r="K80" s="44">
        <f t="shared" si="223"/>
        <v>3.3509998451743517E-2</v>
      </c>
      <c r="L80" s="44">
        <f t="shared" si="223"/>
        <v>2.9556927583830328E-3</v>
      </c>
      <c r="M80" s="14">
        <f t="shared" si="223"/>
        <v>0</v>
      </c>
      <c r="N80" s="13" t="e">
        <f t="shared" si="223"/>
        <v>#DIV/0!</v>
      </c>
      <c r="O80" s="44" t="e">
        <f t="shared" si="223"/>
        <v>#DIV/0!</v>
      </c>
      <c r="P80" s="44" t="e">
        <f t="shared" si="223"/>
        <v>#DIV/0!</v>
      </c>
      <c r="Q80" s="14" t="e">
        <f t="shared" si="223"/>
        <v>#DIV/0!</v>
      </c>
      <c r="R80" s="13" t="e">
        <f t="shared" si="223"/>
        <v>#DIV/0!</v>
      </c>
      <c r="S80" s="44" t="e">
        <f t="shared" si="223"/>
        <v>#DIV/0!</v>
      </c>
      <c r="T80" s="44" t="e">
        <f t="shared" si="223"/>
        <v>#DIV/0!</v>
      </c>
      <c r="U80" s="14" t="e">
        <f t="shared" si="223"/>
        <v>#DIV/0!</v>
      </c>
      <c r="V80" s="13" t="e">
        <f t="shared" si="223"/>
        <v>#DIV/0!</v>
      </c>
      <c r="W80" s="44" t="e">
        <f t="shared" si="223"/>
        <v>#DIV/0!</v>
      </c>
      <c r="X80" s="44" t="e">
        <f t="shared" si="223"/>
        <v>#DIV/0!</v>
      </c>
      <c r="Y80" s="14" t="e">
        <f t="shared" si="223"/>
        <v>#DIV/0!</v>
      </c>
      <c r="Z80" s="13" t="e">
        <f t="shared" si="223"/>
        <v>#DIV/0!</v>
      </c>
      <c r="AA80" s="44" t="e">
        <f t="shared" si="223"/>
        <v>#DIV/0!</v>
      </c>
      <c r="AB80" s="44" t="e">
        <f t="shared" si="223"/>
        <v>#DIV/0!</v>
      </c>
      <c r="AC80" s="14" t="e">
        <f t="shared" si="223"/>
        <v>#DIV/0!</v>
      </c>
      <c r="AD80" s="13" t="e">
        <f t="shared" si="223"/>
        <v>#DIV/0!</v>
      </c>
      <c r="AE80" s="44" t="e">
        <f t="shared" si="223"/>
        <v>#DIV/0!</v>
      </c>
      <c r="AF80" s="44" t="e">
        <f t="shared" si="223"/>
        <v>#DIV/0!</v>
      </c>
      <c r="AG80" s="14" t="e">
        <f t="shared" si="223"/>
        <v>#DIV/0!</v>
      </c>
      <c r="AH80" s="13" t="e">
        <f t="shared" si="223"/>
        <v>#DIV/0!</v>
      </c>
      <c r="AI80" s="44" t="e">
        <f t="shared" si="223"/>
        <v>#DIV/0!</v>
      </c>
      <c r="AJ80" s="44" t="e">
        <f t="shared" si="223"/>
        <v>#DIV/0!</v>
      </c>
      <c r="AK80" s="14" t="e">
        <f t="shared" ref="AK80:BP80" si="224">1-EXP(-AK79*AK76/AK32)</f>
        <v>#DIV/0!</v>
      </c>
      <c r="AL80" s="13" t="e">
        <f t="shared" si="224"/>
        <v>#DIV/0!</v>
      </c>
      <c r="AM80" s="44" t="e">
        <f t="shared" si="224"/>
        <v>#DIV/0!</v>
      </c>
      <c r="AN80" s="44" t="e">
        <f t="shared" si="224"/>
        <v>#DIV/0!</v>
      </c>
      <c r="AO80" s="14" t="e">
        <f t="shared" si="224"/>
        <v>#DIV/0!</v>
      </c>
      <c r="AP80" s="13" t="e">
        <f t="shared" si="224"/>
        <v>#DIV/0!</v>
      </c>
      <c r="AQ80" s="44" t="e">
        <f t="shared" si="224"/>
        <v>#DIV/0!</v>
      </c>
      <c r="AR80" s="44" t="e">
        <f t="shared" si="224"/>
        <v>#DIV/0!</v>
      </c>
      <c r="AS80" s="14" t="e">
        <f t="shared" si="224"/>
        <v>#DIV/0!</v>
      </c>
      <c r="AT80" s="13" t="e">
        <f t="shared" si="224"/>
        <v>#DIV/0!</v>
      </c>
      <c r="AU80" s="44" t="e">
        <f t="shared" si="224"/>
        <v>#DIV/0!</v>
      </c>
      <c r="AV80" s="44" t="e">
        <f t="shared" si="224"/>
        <v>#DIV/0!</v>
      </c>
      <c r="AW80" s="14" t="e">
        <f t="shared" si="224"/>
        <v>#DIV/0!</v>
      </c>
      <c r="AX80" s="13" t="e">
        <f t="shared" si="224"/>
        <v>#DIV/0!</v>
      </c>
      <c r="AY80" s="44" t="e">
        <f t="shared" si="224"/>
        <v>#DIV/0!</v>
      </c>
      <c r="AZ80" s="44" t="e">
        <f t="shared" si="224"/>
        <v>#DIV/0!</v>
      </c>
      <c r="BA80" s="14" t="e">
        <f t="shared" si="224"/>
        <v>#DIV/0!</v>
      </c>
      <c r="BB80" s="13" t="e">
        <f t="shared" si="224"/>
        <v>#DIV/0!</v>
      </c>
      <c r="BC80" s="44" t="e">
        <f t="shared" si="224"/>
        <v>#DIV/0!</v>
      </c>
      <c r="BD80" s="44" t="e">
        <f t="shared" si="224"/>
        <v>#DIV/0!</v>
      </c>
      <c r="BE80" s="14" t="e">
        <f t="shared" si="224"/>
        <v>#DIV/0!</v>
      </c>
      <c r="BF80" s="13" t="e">
        <f t="shared" si="224"/>
        <v>#DIV/0!</v>
      </c>
      <c r="BG80" s="44" t="e">
        <f t="shared" si="224"/>
        <v>#DIV/0!</v>
      </c>
      <c r="BH80" s="44" t="e">
        <f t="shared" si="224"/>
        <v>#DIV/0!</v>
      </c>
      <c r="BI80" s="14" t="e">
        <f t="shared" si="224"/>
        <v>#DIV/0!</v>
      </c>
      <c r="BJ80" s="13" t="e">
        <f t="shared" si="224"/>
        <v>#DIV/0!</v>
      </c>
      <c r="BK80" s="44" t="e">
        <f t="shared" si="224"/>
        <v>#DIV/0!</v>
      </c>
      <c r="BL80" s="44" t="e">
        <f t="shared" si="224"/>
        <v>#DIV/0!</v>
      </c>
      <c r="BM80" s="14" t="e">
        <f t="shared" si="224"/>
        <v>#DIV/0!</v>
      </c>
      <c r="BN80" s="13" t="e">
        <f t="shared" si="224"/>
        <v>#DIV/0!</v>
      </c>
      <c r="BO80" s="44" t="e">
        <f t="shared" si="224"/>
        <v>#DIV/0!</v>
      </c>
      <c r="BP80" s="44" t="e">
        <f t="shared" si="224"/>
        <v>#DIV/0!</v>
      </c>
      <c r="BQ80" s="14" t="e">
        <f t="shared" ref="BQ80:CK80" si="225">1-EXP(-BQ79*BQ76/BQ32)</f>
        <v>#DIV/0!</v>
      </c>
      <c r="BR80" s="13" t="e">
        <f t="shared" si="225"/>
        <v>#DIV/0!</v>
      </c>
      <c r="BS80" s="44" t="e">
        <f t="shared" si="225"/>
        <v>#DIV/0!</v>
      </c>
      <c r="BT80" s="44" t="e">
        <f t="shared" si="225"/>
        <v>#DIV/0!</v>
      </c>
      <c r="BU80" s="14" t="e">
        <f t="shared" si="225"/>
        <v>#DIV/0!</v>
      </c>
      <c r="BV80" s="13" t="e">
        <f t="shared" si="225"/>
        <v>#DIV/0!</v>
      </c>
      <c r="BW80" s="44" t="e">
        <f t="shared" si="225"/>
        <v>#DIV/0!</v>
      </c>
      <c r="BX80" s="44" t="e">
        <f t="shared" si="225"/>
        <v>#DIV/0!</v>
      </c>
      <c r="BY80" s="14" t="e">
        <f t="shared" si="225"/>
        <v>#DIV/0!</v>
      </c>
      <c r="BZ80" s="13" t="e">
        <f t="shared" si="225"/>
        <v>#DIV/0!</v>
      </c>
      <c r="CA80" s="44" t="e">
        <f t="shared" si="225"/>
        <v>#DIV/0!</v>
      </c>
      <c r="CB80" s="44" t="e">
        <f t="shared" si="225"/>
        <v>#DIV/0!</v>
      </c>
      <c r="CC80" s="14" t="e">
        <f t="shared" si="225"/>
        <v>#DIV/0!</v>
      </c>
      <c r="CD80" s="13" t="e">
        <f t="shared" si="225"/>
        <v>#DIV/0!</v>
      </c>
      <c r="CE80" s="44" t="e">
        <f t="shared" si="225"/>
        <v>#DIV/0!</v>
      </c>
      <c r="CF80" s="44" t="e">
        <f t="shared" si="225"/>
        <v>#DIV/0!</v>
      </c>
      <c r="CG80" s="14" t="e">
        <f t="shared" si="225"/>
        <v>#DIV/0!</v>
      </c>
      <c r="CH80" s="13" t="e">
        <f t="shared" si="225"/>
        <v>#DIV/0!</v>
      </c>
      <c r="CI80" s="44" t="e">
        <f t="shared" si="225"/>
        <v>#DIV/0!</v>
      </c>
      <c r="CJ80" s="44" t="e">
        <f t="shared" si="225"/>
        <v>#DIV/0!</v>
      </c>
      <c r="CK80" s="14" t="e">
        <f t="shared" si="225"/>
        <v>#DIV/0!</v>
      </c>
      <c r="CL80" s="49"/>
      <c r="CM80" s="28"/>
    </row>
    <row r="81" spans="2:91" ht="14.25" x14ac:dyDescent="0.25">
      <c r="B81" s="55"/>
      <c r="C81" s="10" t="s">
        <v>312</v>
      </c>
      <c r="D81" s="93" t="s">
        <v>435</v>
      </c>
      <c r="E81" s="125">
        <f t="shared" ref="E81:AJ81" si="226">1 - (1-E80)^E32</f>
        <v>0.75340303605839354</v>
      </c>
      <c r="F81" s="13">
        <f t="shared" si="226"/>
        <v>0.8862655448929091</v>
      </c>
      <c r="G81" s="44">
        <f t="shared" si="226"/>
        <v>0.8862655448929091</v>
      </c>
      <c r="H81" s="44">
        <f t="shared" si="226"/>
        <v>0.98719176129993325</v>
      </c>
      <c r="I81" s="14">
        <f t="shared" si="226"/>
        <v>0.98719176129993325</v>
      </c>
      <c r="J81" s="13" t="e">
        <f t="shared" si="226"/>
        <v>#DIV/0!</v>
      </c>
      <c r="K81" s="44">
        <f t="shared" si="226"/>
        <v>0.85173027863910378</v>
      </c>
      <c r="L81" s="44">
        <f t="shared" si="226"/>
        <v>9.0374426851777878E-2</v>
      </c>
      <c r="M81" s="14">
        <f t="shared" si="226"/>
        <v>0</v>
      </c>
      <c r="N81" s="13" t="e">
        <f t="shared" si="226"/>
        <v>#DIV/0!</v>
      </c>
      <c r="O81" s="44" t="e">
        <f t="shared" si="226"/>
        <v>#DIV/0!</v>
      </c>
      <c r="P81" s="44" t="e">
        <f t="shared" si="226"/>
        <v>#DIV/0!</v>
      </c>
      <c r="Q81" s="14" t="e">
        <f t="shared" si="226"/>
        <v>#DIV/0!</v>
      </c>
      <c r="R81" s="13" t="e">
        <f t="shared" si="226"/>
        <v>#DIV/0!</v>
      </c>
      <c r="S81" s="44" t="e">
        <f t="shared" si="226"/>
        <v>#DIV/0!</v>
      </c>
      <c r="T81" s="44" t="e">
        <f t="shared" si="226"/>
        <v>#DIV/0!</v>
      </c>
      <c r="U81" s="14" t="e">
        <f t="shared" si="226"/>
        <v>#DIV/0!</v>
      </c>
      <c r="V81" s="13" t="e">
        <f t="shared" si="226"/>
        <v>#DIV/0!</v>
      </c>
      <c r="W81" s="44" t="e">
        <f t="shared" si="226"/>
        <v>#DIV/0!</v>
      </c>
      <c r="X81" s="44" t="e">
        <f t="shared" si="226"/>
        <v>#DIV/0!</v>
      </c>
      <c r="Y81" s="14" t="e">
        <f t="shared" si="226"/>
        <v>#DIV/0!</v>
      </c>
      <c r="Z81" s="13" t="e">
        <f t="shared" si="226"/>
        <v>#DIV/0!</v>
      </c>
      <c r="AA81" s="44" t="e">
        <f t="shared" si="226"/>
        <v>#DIV/0!</v>
      </c>
      <c r="AB81" s="44" t="e">
        <f t="shared" si="226"/>
        <v>#DIV/0!</v>
      </c>
      <c r="AC81" s="14" t="e">
        <f t="shared" si="226"/>
        <v>#DIV/0!</v>
      </c>
      <c r="AD81" s="13" t="e">
        <f t="shared" si="226"/>
        <v>#DIV/0!</v>
      </c>
      <c r="AE81" s="44" t="e">
        <f t="shared" si="226"/>
        <v>#DIV/0!</v>
      </c>
      <c r="AF81" s="44" t="e">
        <f t="shared" si="226"/>
        <v>#DIV/0!</v>
      </c>
      <c r="AG81" s="14" t="e">
        <f t="shared" si="226"/>
        <v>#DIV/0!</v>
      </c>
      <c r="AH81" s="13" t="e">
        <f t="shared" si="226"/>
        <v>#DIV/0!</v>
      </c>
      <c r="AI81" s="44" t="e">
        <f t="shared" si="226"/>
        <v>#DIV/0!</v>
      </c>
      <c r="AJ81" s="44" t="e">
        <f t="shared" si="226"/>
        <v>#DIV/0!</v>
      </c>
      <c r="AK81" s="14" t="e">
        <f t="shared" ref="AK81:BP81" si="227">1 - (1-AK80)^AK32</f>
        <v>#DIV/0!</v>
      </c>
      <c r="AL81" s="13" t="e">
        <f t="shared" si="227"/>
        <v>#DIV/0!</v>
      </c>
      <c r="AM81" s="44" t="e">
        <f t="shared" si="227"/>
        <v>#DIV/0!</v>
      </c>
      <c r="AN81" s="44" t="e">
        <f t="shared" si="227"/>
        <v>#DIV/0!</v>
      </c>
      <c r="AO81" s="14" t="e">
        <f t="shared" si="227"/>
        <v>#DIV/0!</v>
      </c>
      <c r="AP81" s="13" t="e">
        <f t="shared" si="227"/>
        <v>#DIV/0!</v>
      </c>
      <c r="AQ81" s="44" t="e">
        <f t="shared" si="227"/>
        <v>#DIV/0!</v>
      </c>
      <c r="AR81" s="44" t="e">
        <f t="shared" si="227"/>
        <v>#DIV/0!</v>
      </c>
      <c r="AS81" s="14" t="e">
        <f t="shared" si="227"/>
        <v>#DIV/0!</v>
      </c>
      <c r="AT81" s="13" t="e">
        <f t="shared" si="227"/>
        <v>#DIV/0!</v>
      </c>
      <c r="AU81" s="44" t="e">
        <f t="shared" si="227"/>
        <v>#DIV/0!</v>
      </c>
      <c r="AV81" s="44" t="e">
        <f t="shared" si="227"/>
        <v>#DIV/0!</v>
      </c>
      <c r="AW81" s="14" t="e">
        <f t="shared" si="227"/>
        <v>#DIV/0!</v>
      </c>
      <c r="AX81" s="13" t="e">
        <f t="shared" si="227"/>
        <v>#DIV/0!</v>
      </c>
      <c r="AY81" s="44" t="e">
        <f t="shared" si="227"/>
        <v>#DIV/0!</v>
      </c>
      <c r="AZ81" s="44" t="e">
        <f t="shared" si="227"/>
        <v>#DIV/0!</v>
      </c>
      <c r="BA81" s="14" t="e">
        <f t="shared" si="227"/>
        <v>#DIV/0!</v>
      </c>
      <c r="BB81" s="13" t="e">
        <f t="shared" si="227"/>
        <v>#DIV/0!</v>
      </c>
      <c r="BC81" s="44" t="e">
        <f t="shared" si="227"/>
        <v>#DIV/0!</v>
      </c>
      <c r="BD81" s="44" t="e">
        <f t="shared" si="227"/>
        <v>#DIV/0!</v>
      </c>
      <c r="BE81" s="14" t="e">
        <f t="shared" si="227"/>
        <v>#DIV/0!</v>
      </c>
      <c r="BF81" s="13" t="e">
        <f t="shared" si="227"/>
        <v>#DIV/0!</v>
      </c>
      <c r="BG81" s="44" t="e">
        <f t="shared" si="227"/>
        <v>#DIV/0!</v>
      </c>
      <c r="BH81" s="44" t="e">
        <f t="shared" si="227"/>
        <v>#DIV/0!</v>
      </c>
      <c r="BI81" s="14" t="e">
        <f t="shared" si="227"/>
        <v>#DIV/0!</v>
      </c>
      <c r="BJ81" s="13" t="e">
        <f t="shared" si="227"/>
        <v>#DIV/0!</v>
      </c>
      <c r="BK81" s="44" t="e">
        <f t="shared" si="227"/>
        <v>#DIV/0!</v>
      </c>
      <c r="BL81" s="44" t="e">
        <f t="shared" si="227"/>
        <v>#DIV/0!</v>
      </c>
      <c r="BM81" s="14" t="e">
        <f t="shared" si="227"/>
        <v>#DIV/0!</v>
      </c>
      <c r="BN81" s="13" t="e">
        <f t="shared" si="227"/>
        <v>#DIV/0!</v>
      </c>
      <c r="BO81" s="44" t="e">
        <f t="shared" si="227"/>
        <v>#DIV/0!</v>
      </c>
      <c r="BP81" s="44" t="e">
        <f t="shared" si="227"/>
        <v>#DIV/0!</v>
      </c>
      <c r="BQ81" s="14" t="e">
        <f t="shared" ref="BQ81:CK81" si="228">1 - (1-BQ80)^BQ32</f>
        <v>#DIV/0!</v>
      </c>
      <c r="BR81" s="13" t="e">
        <f t="shared" si="228"/>
        <v>#DIV/0!</v>
      </c>
      <c r="BS81" s="44" t="e">
        <f t="shared" si="228"/>
        <v>#DIV/0!</v>
      </c>
      <c r="BT81" s="44" t="e">
        <f t="shared" si="228"/>
        <v>#DIV/0!</v>
      </c>
      <c r="BU81" s="14" t="e">
        <f t="shared" si="228"/>
        <v>#DIV/0!</v>
      </c>
      <c r="BV81" s="13" t="e">
        <f t="shared" si="228"/>
        <v>#DIV/0!</v>
      </c>
      <c r="BW81" s="44" t="e">
        <f t="shared" si="228"/>
        <v>#DIV/0!</v>
      </c>
      <c r="BX81" s="44" t="e">
        <f t="shared" si="228"/>
        <v>#DIV/0!</v>
      </c>
      <c r="BY81" s="14" t="e">
        <f t="shared" si="228"/>
        <v>#DIV/0!</v>
      </c>
      <c r="BZ81" s="13" t="e">
        <f t="shared" si="228"/>
        <v>#DIV/0!</v>
      </c>
      <c r="CA81" s="44" t="e">
        <f t="shared" si="228"/>
        <v>#DIV/0!</v>
      </c>
      <c r="CB81" s="44" t="e">
        <f t="shared" si="228"/>
        <v>#DIV/0!</v>
      </c>
      <c r="CC81" s="14" t="e">
        <f t="shared" si="228"/>
        <v>#DIV/0!</v>
      </c>
      <c r="CD81" s="13" t="e">
        <f t="shared" si="228"/>
        <v>#DIV/0!</v>
      </c>
      <c r="CE81" s="44" t="e">
        <f t="shared" si="228"/>
        <v>#DIV/0!</v>
      </c>
      <c r="CF81" s="44" t="e">
        <f t="shared" si="228"/>
        <v>#DIV/0!</v>
      </c>
      <c r="CG81" s="14" t="e">
        <f t="shared" si="228"/>
        <v>#DIV/0!</v>
      </c>
      <c r="CH81" s="13" t="e">
        <f t="shared" si="228"/>
        <v>#DIV/0!</v>
      </c>
      <c r="CI81" s="44" t="e">
        <f t="shared" si="228"/>
        <v>#DIV/0!</v>
      </c>
      <c r="CJ81" s="44" t="e">
        <f t="shared" si="228"/>
        <v>#DIV/0!</v>
      </c>
      <c r="CK81" s="14" t="e">
        <f t="shared" si="228"/>
        <v>#DIV/0!</v>
      </c>
      <c r="CL81" s="49"/>
      <c r="CM81" s="28"/>
    </row>
    <row r="82" spans="2:91" ht="14.25" x14ac:dyDescent="0.25">
      <c r="B82" s="55"/>
      <c r="C82" s="10" t="s">
        <v>313</v>
      </c>
      <c r="D82" s="93" t="s">
        <v>411</v>
      </c>
      <c r="E82" s="125">
        <f t="shared" ref="E82:AJ82" si="229">(1/E76)*(EXP(E76*E75)-E49*E75-1)/E81</f>
        <v>13.181788930697003</v>
      </c>
      <c r="F82" s="13">
        <f t="shared" si="229"/>
        <v>18.382947299361174</v>
      </c>
      <c r="G82" s="44">
        <f t="shared" si="229"/>
        <v>18.382947299361174</v>
      </c>
      <c r="H82" s="44">
        <f t="shared" si="229"/>
        <v>176.63632104584042</v>
      </c>
      <c r="I82" s="14">
        <f t="shared" si="229"/>
        <v>176.63632104584042</v>
      </c>
      <c r="J82" s="13" t="e">
        <f t="shared" si="229"/>
        <v>#DIV/0!</v>
      </c>
      <c r="K82" s="44">
        <f t="shared" si="229"/>
        <v>29.69303526742031</v>
      </c>
      <c r="L82" s="44">
        <f t="shared" si="229"/>
        <v>-924.66375475944983</v>
      </c>
      <c r="M82" s="14" t="e">
        <f t="shared" si="229"/>
        <v>#DIV/0!</v>
      </c>
      <c r="N82" s="13" t="e">
        <f t="shared" si="229"/>
        <v>#DIV/0!</v>
      </c>
      <c r="O82" s="44" t="e">
        <f t="shared" si="229"/>
        <v>#DIV/0!</v>
      </c>
      <c r="P82" s="44" t="e">
        <f t="shared" si="229"/>
        <v>#DIV/0!</v>
      </c>
      <c r="Q82" s="14" t="e">
        <f t="shared" si="229"/>
        <v>#DIV/0!</v>
      </c>
      <c r="R82" s="13" t="e">
        <f t="shared" si="229"/>
        <v>#DIV/0!</v>
      </c>
      <c r="S82" s="44" t="e">
        <f t="shared" si="229"/>
        <v>#DIV/0!</v>
      </c>
      <c r="T82" s="44" t="e">
        <f t="shared" si="229"/>
        <v>#DIV/0!</v>
      </c>
      <c r="U82" s="14" t="e">
        <f t="shared" si="229"/>
        <v>#DIV/0!</v>
      </c>
      <c r="V82" s="13" t="e">
        <f t="shared" si="229"/>
        <v>#DIV/0!</v>
      </c>
      <c r="W82" s="44" t="e">
        <f t="shared" si="229"/>
        <v>#DIV/0!</v>
      </c>
      <c r="X82" s="44" t="e">
        <f t="shared" si="229"/>
        <v>#DIV/0!</v>
      </c>
      <c r="Y82" s="14" t="e">
        <f t="shared" si="229"/>
        <v>#DIV/0!</v>
      </c>
      <c r="Z82" s="13" t="e">
        <f t="shared" si="229"/>
        <v>#DIV/0!</v>
      </c>
      <c r="AA82" s="44" t="e">
        <f t="shared" si="229"/>
        <v>#DIV/0!</v>
      </c>
      <c r="AB82" s="44" t="e">
        <f t="shared" si="229"/>
        <v>#DIV/0!</v>
      </c>
      <c r="AC82" s="14" t="e">
        <f t="shared" si="229"/>
        <v>#DIV/0!</v>
      </c>
      <c r="AD82" s="13" t="e">
        <f t="shared" si="229"/>
        <v>#DIV/0!</v>
      </c>
      <c r="AE82" s="44" t="e">
        <f t="shared" si="229"/>
        <v>#DIV/0!</v>
      </c>
      <c r="AF82" s="44" t="e">
        <f t="shared" si="229"/>
        <v>#DIV/0!</v>
      </c>
      <c r="AG82" s="14" t="e">
        <f t="shared" si="229"/>
        <v>#DIV/0!</v>
      </c>
      <c r="AH82" s="13" t="e">
        <f t="shared" si="229"/>
        <v>#DIV/0!</v>
      </c>
      <c r="AI82" s="44" t="e">
        <f t="shared" si="229"/>
        <v>#DIV/0!</v>
      </c>
      <c r="AJ82" s="44" t="e">
        <f t="shared" si="229"/>
        <v>#DIV/0!</v>
      </c>
      <c r="AK82" s="14" t="e">
        <f t="shared" ref="AK82:BP82" si="230">(1/AK76)*(EXP(AK76*AK75)-AK49*AK75-1)/AK81</f>
        <v>#DIV/0!</v>
      </c>
      <c r="AL82" s="13" t="e">
        <f t="shared" si="230"/>
        <v>#DIV/0!</v>
      </c>
      <c r="AM82" s="44" t="e">
        <f t="shared" si="230"/>
        <v>#DIV/0!</v>
      </c>
      <c r="AN82" s="44" t="e">
        <f t="shared" si="230"/>
        <v>#DIV/0!</v>
      </c>
      <c r="AO82" s="14" t="e">
        <f t="shared" si="230"/>
        <v>#DIV/0!</v>
      </c>
      <c r="AP82" s="13" t="e">
        <f t="shared" si="230"/>
        <v>#DIV/0!</v>
      </c>
      <c r="AQ82" s="44" t="e">
        <f t="shared" si="230"/>
        <v>#DIV/0!</v>
      </c>
      <c r="AR82" s="44" t="e">
        <f t="shared" si="230"/>
        <v>#DIV/0!</v>
      </c>
      <c r="AS82" s="14" t="e">
        <f t="shared" si="230"/>
        <v>#DIV/0!</v>
      </c>
      <c r="AT82" s="13" t="e">
        <f t="shared" si="230"/>
        <v>#DIV/0!</v>
      </c>
      <c r="AU82" s="44" t="e">
        <f t="shared" si="230"/>
        <v>#DIV/0!</v>
      </c>
      <c r="AV82" s="44" t="e">
        <f t="shared" si="230"/>
        <v>#DIV/0!</v>
      </c>
      <c r="AW82" s="14" t="e">
        <f t="shared" si="230"/>
        <v>#DIV/0!</v>
      </c>
      <c r="AX82" s="13" t="e">
        <f t="shared" si="230"/>
        <v>#DIV/0!</v>
      </c>
      <c r="AY82" s="44" t="e">
        <f t="shared" si="230"/>
        <v>#DIV/0!</v>
      </c>
      <c r="AZ82" s="44" t="e">
        <f t="shared" si="230"/>
        <v>#DIV/0!</v>
      </c>
      <c r="BA82" s="14" t="e">
        <f t="shared" si="230"/>
        <v>#DIV/0!</v>
      </c>
      <c r="BB82" s="13" t="e">
        <f t="shared" si="230"/>
        <v>#DIV/0!</v>
      </c>
      <c r="BC82" s="44" t="e">
        <f t="shared" si="230"/>
        <v>#DIV/0!</v>
      </c>
      <c r="BD82" s="44" t="e">
        <f t="shared" si="230"/>
        <v>#DIV/0!</v>
      </c>
      <c r="BE82" s="14" t="e">
        <f t="shared" si="230"/>
        <v>#DIV/0!</v>
      </c>
      <c r="BF82" s="13" t="e">
        <f t="shared" si="230"/>
        <v>#DIV/0!</v>
      </c>
      <c r="BG82" s="44" t="e">
        <f t="shared" si="230"/>
        <v>#DIV/0!</v>
      </c>
      <c r="BH82" s="44" t="e">
        <f t="shared" si="230"/>
        <v>#DIV/0!</v>
      </c>
      <c r="BI82" s="14" t="e">
        <f t="shared" si="230"/>
        <v>#DIV/0!</v>
      </c>
      <c r="BJ82" s="13" t="e">
        <f t="shared" si="230"/>
        <v>#DIV/0!</v>
      </c>
      <c r="BK82" s="44" t="e">
        <f t="shared" si="230"/>
        <v>#DIV/0!</v>
      </c>
      <c r="BL82" s="44" t="e">
        <f t="shared" si="230"/>
        <v>#DIV/0!</v>
      </c>
      <c r="BM82" s="14" t="e">
        <f t="shared" si="230"/>
        <v>#DIV/0!</v>
      </c>
      <c r="BN82" s="13" t="e">
        <f t="shared" si="230"/>
        <v>#DIV/0!</v>
      </c>
      <c r="BO82" s="44" t="e">
        <f t="shared" si="230"/>
        <v>#DIV/0!</v>
      </c>
      <c r="BP82" s="44" t="e">
        <f t="shared" si="230"/>
        <v>#DIV/0!</v>
      </c>
      <c r="BQ82" s="14" t="e">
        <f t="shared" ref="BQ82:CK82" si="231">(1/BQ76)*(EXP(BQ76*BQ75)-BQ49*BQ75-1)/BQ81</f>
        <v>#DIV/0!</v>
      </c>
      <c r="BR82" s="13" t="e">
        <f t="shared" si="231"/>
        <v>#DIV/0!</v>
      </c>
      <c r="BS82" s="44" t="e">
        <f t="shared" si="231"/>
        <v>#DIV/0!</v>
      </c>
      <c r="BT82" s="44" t="e">
        <f t="shared" si="231"/>
        <v>#DIV/0!</v>
      </c>
      <c r="BU82" s="14" t="e">
        <f t="shared" si="231"/>
        <v>#DIV/0!</v>
      </c>
      <c r="BV82" s="13" t="e">
        <f t="shared" si="231"/>
        <v>#DIV/0!</v>
      </c>
      <c r="BW82" s="44" t="e">
        <f t="shared" si="231"/>
        <v>#DIV/0!</v>
      </c>
      <c r="BX82" s="44" t="e">
        <f t="shared" si="231"/>
        <v>#DIV/0!</v>
      </c>
      <c r="BY82" s="14" t="e">
        <f t="shared" si="231"/>
        <v>#DIV/0!</v>
      </c>
      <c r="BZ82" s="13" t="e">
        <f t="shared" si="231"/>
        <v>#DIV/0!</v>
      </c>
      <c r="CA82" s="44" t="e">
        <f t="shared" si="231"/>
        <v>#DIV/0!</v>
      </c>
      <c r="CB82" s="44" t="e">
        <f t="shared" si="231"/>
        <v>#DIV/0!</v>
      </c>
      <c r="CC82" s="14" t="e">
        <f t="shared" si="231"/>
        <v>#DIV/0!</v>
      </c>
      <c r="CD82" s="13" t="e">
        <f t="shared" si="231"/>
        <v>#DIV/0!</v>
      </c>
      <c r="CE82" s="44" t="e">
        <f t="shared" si="231"/>
        <v>#DIV/0!</v>
      </c>
      <c r="CF82" s="44" t="e">
        <f t="shared" si="231"/>
        <v>#DIV/0!</v>
      </c>
      <c r="CG82" s="14" t="e">
        <f t="shared" si="231"/>
        <v>#DIV/0!</v>
      </c>
      <c r="CH82" s="13" t="e">
        <f t="shared" si="231"/>
        <v>#DIV/0!</v>
      </c>
      <c r="CI82" s="44" t="e">
        <f t="shared" si="231"/>
        <v>#DIV/0!</v>
      </c>
      <c r="CJ82" s="44" t="e">
        <f t="shared" si="231"/>
        <v>#DIV/0!</v>
      </c>
      <c r="CK82" s="14" t="e">
        <f t="shared" si="231"/>
        <v>#DIV/0!</v>
      </c>
      <c r="CL82" s="49"/>
      <c r="CM82" s="28"/>
    </row>
    <row r="83" spans="2:91" x14ac:dyDescent="0.25">
      <c r="B83" s="55"/>
      <c r="C83" s="10" t="s">
        <v>294</v>
      </c>
      <c r="D83" s="93" t="s">
        <v>412</v>
      </c>
      <c r="E83" s="125">
        <f t="shared" ref="E83:AJ83" si="232">((1/E76) - (E90+(1/E76))*EXP(-E76*E90))/(1-EXP(-E76*E90))</f>
        <v>3.2505891296289562</v>
      </c>
      <c r="F83" s="13">
        <f t="shared" si="232"/>
        <v>3.1182727108215347</v>
      </c>
      <c r="G83" s="44">
        <f t="shared" si="232"/>
        <v>3.1182727108215347</v>
      </c>
      <c r="H83" s="44">
        <f t="shared" si="232"/>
        <v>2.1168232084139964</v>
      </c>
      <c r="I83" s="14">
        <f t="shared" si="232"/>
        <v>2.1168232084139964</v>
      </c>
      <c r="J83" s="13" t="e">
        <f t="shared" si="232"/>
        <v>#DIV/0!</v>
      </c>
      <c r="K83" s="44">
        <f t="shared" si="232"/>
        <v>2.4105092269649275</v>
      </c>
      <c r="L83" s="44">
        <f t="shared" si="232"/>
        <v>4.2058650438827412</v>
      </c>
      <c r="M83" s="14" t="e">
        <f t="shared" si="232"/>
        <v>#DIV/0!</v>
      </c>
      <c r="N83" s="13" t="e">
        <f t="shared" si="232"/>
        <v>#DIV/0!</v>
      </c>
      <c r="O83" s="44" t="e">
        <f t="shared" si="232"/>
        <v>#DIV/0!</v>
      </c>
      <c r="P83" s="44" t="e">
        <f t="shared" si="232"/>
        <v>#DIV/0!</v>
      </c>
      <c r="Q83" s="14" t="e">
        <f t="shared" si="232"/>
        <v>#DIV/0!</v>
      </c>
      <c r="R83" s="13" t="e">
        <f t="shared" si="232"/>
        <v>#DIV/0!</v>
      </c>
      <c r="S83" s="44" t="e">
        <f t="shared" si="232"/>
        <v>#DIV/0!</v>
      </c>
      <c r="T83" s="44" t="e">
        <f t="shared" si="232"/>
        <v>#DIV/0!</v>
      </c>
      <c r="U83" s="14" t="e">
        <f t="shared" si="232"/>
        <v>#DIV/0!</v>
      </c>
      <c r="V83" s="13" t="e">
        <f t="shared" si="232"/>
        <v>#DIV/0!</v>
      </c>
      <c r="W83" s="44" t="e">
        <f t="shared" si="232"/>
        <v>#DIV/0!</v>
      </c>
      <c r="X83" s="44" t="e">
        <f t="shared" si="232"/>
        <v>#DIV/0!</v>
      </c>
      <c r="Y83" s="14" t="e">
        <f t="shared" si="232"/>
        <v>#DIV/0!</v>
      </c>
      <c r="Z83" s="13" t="e">
        <f t="shared" si="232"/>
        <v>#DIV/0!</v>
      </c>
      <c r="AA83" s="44" t="e">
        <f t="shared" si="232"/>
        <v>#DIV/0!</v>
      </c>
      <c r="AB83" s="44" t="e">
        <f t="shared" si="232"/>
        <v>#DIV/0!</v>
      </c>
      <c r="AC83" s="14" t="e">
        <f t="shared" si="232"/>
        <v>#DIV/0!</v>
      </c>
      <c r="AD83" s="13" t="e">
        <f t="shared" si="232"/>
        <v>#DIV/0!</v>
      </c>
      <c r="AE83" s="44" t="e">
        <f t="shared" si="232"/>
        <v>#DIV/0!</v>
      </c>
      <c r="AF83" s="44" t="e">
        <f t="shared" si="232"/>
        <v>#DIV/0!</v>
      </c>
      <c r="AG83" s="14" t="e">
        <f t="shared" si="232"/>
        <v>#DIV/0!</v>
      </c>
      <c r="AH83" s="13" t="e">
        <f t="shared" si="232"/>
        <v>#DIV/0!</v>
      </c>
      <c r="AI83" s="44" t="e">
        <f t="shared" si="232"/>
        <v>#DIV/0!</v>
      </c>
      <c r="AJ83" s="44" t="e">
        <f t="shared" si="232"/>
        <v>#DIV/0!</v>
      </c>
      <c r="AK83" s="14" t="e">
        <f t="shared" ref="AK83:BP83" si="233">((1/AK76) - (AK90+(1/AK76))*EXP(-AK76*AK90))/(1-EXP(-AK76*AK90))</f>
        <v>#DIV/0!</v>
      </c>
      <c r="AL83" s="13" t="e">
        <f t="shared" si="233"/>
        <v>#DIV/0!</v>
      </c>
      <c r="AM83" s="44" t="e">
        <f t="shared" si="233"/>
        <v>#DIV/0!</v>
      </c>
      <c r="AN83" s="44" t="e">
        <f t="shared" si="233"/>
        <v>#DIV/0!</v>
      </c>
      <c r="AO83" s="14" t="e">
        <f t="shared" si="233"/>
        <v>#DIV/0!</v>
      </c>
      <c r="AP83" s="13" t="e">
        <f t="shared" si="233"/>
        <v>#DIV/0!</v>
      </c>
      <c r="AQ83" s="44" t="e">
        <f t="shared" si="233"/>
        <v>#DIV/0!</v>
      </c>
      <c r="AR83" s="44" t="e">
        <f t="shared" si="233"/>
        <v>#DIV/0!</v>
      </c>
      <c r="AS83" s="14" t="e">
        <f t="shared" si="233"/>
        <v>#DIV/0!</v>
      </c>
      <c r="AT83" s="13" t="e">
        <f t="shared" si="233"/>
        <v>#DIV/0!</v>
      </c>
      <c r="AU83" s="44" t="e">
        <f t="shared" si="233"/>
        <v>#DIV/0!</v>
      </c>
      <c r="AV83" s="44" t="e">
        <f t="shared" si="233"/>
        <v>#DIV/0!</v>
      </c>
      <c r="AW83" s="14" t="e">
        <f t="shared" si="233"/>
        <v>#DIV/0!</v>
      </c>
      <c r="AX83" s="13" t="e">
        <f t="shared" si="233"/>
        <v>#DIV/0!</v>
      </c>
      <c r="AY83" s="44" t="e">
        <f t="shared" si="233"/>
        <v>#DIV/0!</v>
      </c>
      <c r="AZ83" s="44" t="e">
        <f t="shared" si="233"/>
        <v>#DIV/0!</v>
      </c>
      <c r="BA83" s="14" t="e">
        <f t="shared" si="233"/>
        <v>#DIV/0!</v>
      </c>
      <c r="BB83" s="13" t="e">
        <f t="shared" si="233"/>
        <v>#DIV/0!</v>
      </c>
      <c r="BC83" s="44" t="e">
        <f t="shared" si="233"/>
        <v>#DIV/0!</v>
      </c>
      <c r="BD83" s="44" t="e">
        <f t="shared" si="233"/>
        <v>#DIV/0!</v>
      </c>
      <c r="BE83" s="14" t="e">
        <f t="shared" si="233"/>
        <v>#DIV/0!</v>
      </c>
      <c r="BF83" s="13" t="e">
        <f t="shared" si="233"/>
        <v>#DIV/0!</v>
      </c>
      <c r="BG83" s="44" t="e">
        <f t="shared" si="233"/>
        <v>#DIV/0!</v>
      </c>
      <c r="BH83" s="44" t="e">
        <f t="shared" si="233"/>
        <v>#DIV/0!</v>
      </c>
      <c r="BI83" s="14" t="e">
        <f t="shared" si="233"/>
        <v>#DIV/0!</v>
      </c>
      <c r="BJ83" s="13" t="e">
        <f t="shared" si="233"/>
        <v>#DIV/0!</v>
      </c>
      <c r="BK83" s="44" t="e">
        <f t="shared" si="233"/>
        <v>#DIV/0!</v>
      </c>
      <c r="BL83" s="44" t="e">
        <f t="shared" si="233"/>
        <v>#DIV/0!</v>
      </c>
      <c r="BM83" s="14" t="e">
        <f t="shared" si="233"/>
        <v>#DIV/0!</v>
      </c>
      <c r="BN83" s="13" t="e">
        <f t="shared" si="233"/>
        <v>#DIV/0!</v>
      </c>
      <c r="BO83" s="44" t="e">
        <f t="shared" si="233"/>
        <v>#DIV/0!</v>
      </c>
      <c r="BP83" s="44" t="e">
        <f t="shared" si="233"/>
        <v>#DIV/0!</v>
      </c>
      <c r="BQ83" s="14" t="e">
        <f t="shared" ref="BQ83:CK83" si="234">((1/BQ76) - (BQ90+(1/BQ76))*EXP(-BQ76*BQ90))/(1-EXP(-BQ76*BQ90))</f>
        <v>#DIV/0!</v>
      </c>
      <c r="BR83" s="13" t="e">
        <f t="shared" si="234"/>
        <v>#DIV/0!</v>
      </c>
      <c r="BS83" s="44" t="e">
        <f t="shared" si="234"/>
        <v>#DIV/0!</v>
      </c>
      <c r="BT83" s="44" t="e">
        <f t="shared" si="234"/>
        <v>#DIV/0!</v>
      </c>
      <c r="BU83" s="14" t="e">
        <f t="shared" si="234"/>
        <v>#DIV/0!</v>
      </c>
      <c r="BV83" s="13" t="e">
        <f t="shared" si="234"/>
        <v>#DIV/0!</v>
      </c>
      <c r="BW83" s="44" t="e">
        <f t="shared" si="234"/>
        <v>#DIV/0!</v>
      </c>
      <c r="BX83" s="44" t="e">
        <f t="shared" si="234"/>
        <v>#DIV/0!</v>
      </c>
      <c r="BY83" s="14" t="e">
        <f t="shared" si="234"/>
        <v>#DIV/0!</v>
      </c>
      <c r="BZ83" s="13" t="e">
        <f t="shared" si="234"/>
        <v>#DIV/0!</v>
      </c>
      <c r="CA83" s="44" t="e">
        <f t="shared" si="234"/>
        <v>#DIV/0!</v>
      </c>
      <c r="CB83" s="44" t="e">
        <f t="shared" si="234"/>
        <v>#DIV/0!</v>
      </c>
      <c r="CC83" s="14" t="e">
        <f t="shared" si="234"/>
        <v>#DIV/0!</v>
      </c>
      <c r="CD83" s="13" t="e">
        <f t="shared" si="234"/>
        <v>#DIV/0!</v>
      </c>
      <c r="CE83" s="44" t="e">
        <f t="shared" si="234"/>
        <v>#DIV/0!</v>
      </c>
      <c r="CF83" s="44" t="e">
        <f t="shared" si="234"/>
        <v>#DIV/0!</v>
      </c>
      <c r="CG83" s="14" t="e">
        <f t="shared" si="234"/>
        <v>#DIV/0!</v>
      </c>
      <c r="CH83" s="13" t="e">
        <f t="shared" si="234"/>
        <v>#DIV/0!</v>
      </c>
      <c r="CI83" s="44" t="e">
        <f t="shared" si="234"/>
        <v>#DIV/0!</v>
      </c>
      <c r="CJ83" s="44" t="e">
        <f t="shared" si="234"/>
        <v>#DIV/0!</v>
      </c>
      <c r="CK83" s="14" t="e">
        <f t="shared" si="234"/>
        <v>#DIV/0!</v>
      </c>
      <c r="CL83" s="49"/>
      <c r="CM83" s="28"/>
    </row>
    <row r="84" spans="2:91" x14ac:dyDescent="0.25">
      <c r="B84" s="55"/>
      <c r="C84" s="10" t="s">
        <v>293</v>
      </c>
      <c r="D84" s="93" t="s">
        <v>303</v>
      </c>
      <c r="E84" s="125">
        <f t="shared" ref="E84:AJ84" si="235">ROUND(1/EXP(-E76*E79),0)</f>
        <v>4</v>
      </c>
      <c r="F84" s="13">
        <f t="shared" si="235"/>
        <v>9</v>
      </c>
      <c r="G84" s="44">
        <f t="shared" si="235"/>
        <v>9</v>
      </c>
      <c r="H84" s="44">
        <f t="shared" si="235"/>
        <v>78</v>
      </c>
      <c r="I84" s="14">
        <f t="shared" si="235"/>
        <v>78</v>
      </c>
      <c r="J84" s="13" t="e">
        <f t="shared" si="235"/>
        <v>#DIV/0!</v>
      </c>
      <c r="K84" s="44">
        <f t="shared" si="235"/>
        <v>7</v>
      </c>
      <c r="L84" s="44">
        <f t="shared" si="235"/>
        <v>1</v>
      </c>
      <c r="M84" s="14">
        <f t="shared" si="235"/>
        <v>1</v>
      </c>
      <c r="N84" s="13" t="e">
        <f t="shared" si="235"/>
        <v>#DIV/0!</v>
      </c>
      <c r="O84" s="44" t="e">
        <f t="shared" si="235"/>
        <v>#DIV/0!</v>
      </c>
      <c r="P84" s="44" t="e">
        <f t="shared" si="235"/>
        <v>#DIV/0!</v>
      </c>
      <c r="Q84" s="14" t="e">
        <f t="shared" si="235"/>
        <v>#DIV/0!</v>
      </c>
      <c r="R84" s="13" t="e">
        <f t="shared" si="235"/>
        <v>#DIV/0!</v>
      </c>
      <c r="S84" s="44" t="e">
        <f t="shared" si="235"/>
        <v>#DIV/0!</v>
      </c>
      <c r="T84" s="44" t="e">
        <f t="shared" si="235"/>
        <v>#DIV/0!</v>
      </c>
      <c r="U84" s="14" t="e">
        <f t="shared" si="235"/>
        <v>#DIV/0!</v>
      </c>
      <c r="V84" s="13" t="e">
        <f t="shared" si="235"/>
        <v>#DIV/0!</v>
      </c>
      <c r="W84" s="44" t="e">
        <f t="shared" si="235"/>
        <v>#DIV/0!</v>
      </c>
      <c r="X84" s="44" t="e">
        <f t="shared" si="235"/>
        <v>#DIV/0!</v>
      </c>
      <c r="Y84" s="14" t="e">
        <f t="shared" si="235"/>
        <v>#DIV/0!</v>
      </c>
      <c r="Z84" s="13" t="e">
        <f t="shared" si="235"/>
        <v>#DIV/0!</v>
      </c>
      <c r="AA84" s="44" t="e">
        <f t="shared" si="235"/>
        <v>#DIV/0!</v>
      </c>
      <c r="AB84" s="44" t="e">
        <f t="shared" si="235"/>
        <v>#DIV/0!</v>
      </c>
      <c r="AC84" s="14" t="e">
        <f t="shared" si="235"/>
        <v>#DIV/0!</v>
      </c>
      <c r="AD84" s="13" t="e">
        <f t="shared" si="235"/>
        <v>#DIV/0!</v>
      </c>
      <c r="AE84" s="44" t="e">
        <f t="shared" si="235"/>
        <v>#DIV/0!</v>
      </c>
      <c r="AF84" s="44" t="e">
        <f t="shared" si="235"/>
        <v>#DIV/0!</v>
      </c>
      <c r="AG84" s="14" t="e">
        <f t="shared" si="235"/>
        <v>#DIV/0!</v>
      </c>
      <c r="AH84" s="13" t="e">
        <f t="shared" si="235"/>
        <v>#DIV/0!</v>
      </c>
      <c r="AI84" s="44" t="e">
        <f t="shared" si="235"/>
        <v>#DIV/0!</v>
      </c>
      <c r="AJ84" s="44" t="e">
        <f t="shared" si="235"/>
        <v>#DIV/0!</v>
      </c>
      <c r="AK84" s="14" t="e">
        <f t="shared" ref="AK84:BP84" si="236">ROUND(1/EXP(-AK76*AK79),0)</f>
        <v>#DIV/0!</v>
      </c>
      <c r="AL84" s="13" t="e">
        <f t="shared" si="236"/>
        <v>#DIV/0!</v>
      </c>
      <c r="AM84" s="44" t="e">
        <f t="shared" si="236"/>
        <v>#DIV/0!</v>
      </c>
      <c r="AN84" s="44" t="e">
        <f t="shared" si="236"/>
        <v>#DIV/0!</v>
      </c>
      <c r="AO84" s="14" t="e">
        <f t="shared" si="236"/>
        <v>#DIV/0!</v>
      </c>
      <c r="AP84" s="13" t="e">
        <f t="shared" si="236"/>
        <v>#DIV/0!</v>
      </c>
      <c r="AQ84" s="44" t="e">
        <f t="shared" si="236"/>
        <v>#DIV/0!</v>
      </c>
      <c r="AR84" s="44" t="e">
        <f t="shared" si="236"/>
        <v>#DIV/0!</v>
      </c>
      <c r="AS84" s="14" t="e">
        <f t="shared" si="236"/>
        <v>#DIV/0!</v>
      </c>
      <c r="AT84" s="13" t="e">
        <f t="shared" si="236"/>
        <v>#DIV/0!</v>
      </c>
      <c r="AU84" s="44" t="e">
        <f t="shared" si="236"/>
        <v>#DIV/0!</v>
      </c>
      <c r="AV84" s="44" t="e">
        <f t="shared" si="236"/>
        <v>#DIV/0!</v>
      </c>
      <c r="AW84" s="14" t="e">
        <f t="shared" si="236"/>
        <v>#DIV/0!</v>
      </c>
      <c r="AX84" s="13" t="e">
        <f t="shared" si="236"/>
        <v>#DIV/0!</v>
      </c>
      <c r="AY84" s="44" t="e">
        <f t="shared" si="236"/>
        <v>#DIV/0!</v>
      </c>
      <c r="AZ84" s="44" t="e">
        <f t="shared" si="236"/>
        <v>#DIV/0!</v>
      </c>
      <c r="BA84" s="14" t="e">
        <f t="shared" si="236"/>
        <v>#DIV/0!</v>
      </c>
      <c r="BB84" s="13" t="e">
        <f t="shared" si="236"/>
        <v>#DIV/0!</v>
      </c>
      <c r="BC84" s="44" t="e">
        <f t="shared" si="236"/>
        <v>#DIV/0!</v>
      </c>
      <c r="BD84" s="44" t="e">
        <f t="shared" si="236"/>
        <v>#DIV/0!</v>
      </c>
      <c r="BE84" s="14" t="e">
        <f t="shared" si="236"/>
        <v>#DIV/0!</v>
      </c>
      <c r="BF84" s="13" t="e">
        <f t="shared" si="236"/>
        <v>#DIV/0!</v>
      </c>
      <c r="BG84" s="44" t="e">
        <f t="shared" si="236"/>
        <v>#DIV/0!</v>
      </c>
      <c r="BH84" s="44" t="e">
        <f t="shared" si="236"/>
        <v>#DIV/0!</v>
      </c>
      <c r="BI84" s="14" t="e">
        <f t="shared" si="236"/>
        <v>#DIV/0!</v>
      </c>
      <c r="BJ84" s="13" t="e">
        <f t="shared" si="236"/>
        <v>#DIV/0!</v>
      </c>
      <c r="BK84" s="44" t="e">
        <f t="shared" si="236"/>
        <v>#DIV/0!</v>
      </c>
      <c r="BL84" s="44" t="e">
        <f t="shared" si="236"/>
        <v>#DIV/0!</v>
      </c>
      <c r="BM84" s="14" t="e">
        <f t="shared" si="236"/>
        <v>#DIV/0!</v>
      </c>
      <c r="BN84" s="13" t="e">
        <f t="shared" si="236"/>
        <v>#DIV/0!</v>
      </c>
      <c r="BO84" s="44" t="e">
        <f t="shared" si="236"/>
        <v>#DIV/0!</v>
      </c>
      <c r="BP84" s="44" t="e">
        <f t="shared" si="236"/>
        <v>#DIV/0!</v>
      </c>
      <c r="BQ84" s="14" t="e">
        <f t="shared" ref="BQ84:CK84" si="237">ROUND(1/EXP(-BQ76*BQ79),0)</f>
        <v>#DIV/0!</v>
      </c>
      <c r="BR84" s="13" t="e">
        <f t="shared" si="237"/>
        <v>#DIV/0!</v>
      </c>
      <c r="BS84" s="44" t="e">
        <f t="shared" si="237"/>
        <v>#DIV/0!</v>
      </c>
      <c r="BT84" s="44" t="e">
        <f t="shared" si="237"/>
        <v>#DIV/0!</v>
      </c>
      <c r="BU84" s="14" t="e">
        <f t="shared" si="237"/>
        <v>#DIV/0!</v>
      </c>
      <c r="BV84" s="13" t="e">
        <f t="shared" si="237"/>
        <v>#DIV/0!</v>
      </c>
      <c r="BW84" s="44" t="e">
        <f t="shared" si="237"/>
        <v>#DIV/0!</v>
      </c>
      <c r="BX84" s="44" t="e">
        <f t="shared" si="237"/>
        <v>#DIV/0!</v>
      </c>
      <c r="BY84" s="14" t="e">
        <f t="shared" si="237"/>
        <v>#DIV/0!</v>
      </c>
      <c r="BZ84" s="13" t="e">
        <f t="shared" si="237"/>
        <v>#DIV/0!</v>
      </c>
      <c r="CA84" s="44" t="e">
        <f t="shared" si="237"/>
        <v>#DIV/0!</v>
      </c>
      <c r="CB84" s="44" t="e">
        <f t="shared" si="237"/>
        <v>#DIV/0!</v>
      </c>
      <c r="CC84" s="14" t="e">
        <f t="shared" si="237"/>
        <v>#DIV/0!</v>
      </c>
      <c r="CD84" s="13" t="e">
        <f t="shared" si="237"/>
        <v>#DIV/0!</v>
      </c>
      <c r="CE84" s="44" t="e">
        <f t="shared" si="237"/>
        <v>#DIV/0!</v>
      </c>
      <c r="CF84" s="44" t="e">
        <f t="shared" si="237"/>
        <v>#DIV/0!</v>
      </c>
      <c r="CG84" s="14" t="e">
        <f t="shared" si="237"/>
        <v>#DIV/0!</v>
      </c>
      <c r="CH84" s="13" t="e">
        <f t="shared" si="237"/>
        <v>#DIV/0!</v>
      </c>
      <c r="CI84" s="44" t="e">
        <f t="shared" si="237"/>
        <v>#DIV/0!</v>
      </c>
      <c r="CJ84" s="44" t="e">
        <f t="shared" si="237"/>
        <v>#DIV/0!</v>
      </c>
      <c r="CK84" s="14" t="e">
        <f t="shared" si="237"/>
        <v>#DIV/0!</v>
      </c>
      <c r="CL84" s="49"/>
      <c r="CM84" s="28"/>
    </row>
    <row r="85" spans="2:91" ht="14.25" x14ac:dyDescent="0.25">
      <c r="B85" s="55"/>
      <c r="C85" s="208" t="s">
        <v>425</v>
      </c>
      <c r="D85" s="182" t="s">
        <v>426</v>
      </c>
      <c r="E85" s="126" t="e">
        <f t="shared" ref="E85:AJ85" ca="1" si="238">ONESTAGELEFT_BIKE_DELAY(E10,E84,E83,E80,E81,E39,E82)</f>
        <v>#NAME?</v>
      </c>
      <c r="F85" s="13" t="e">
        <f t="shared" ca="1" si="238"/>
        <v>#NAME?</v>
      </c>
      <c r="G85" s="44" t="e">
        <f t="shared" ca="1" si="238"/>
        <v>#NAME?</v>
      </c>
      <c r="H85" s="44" t="e">
        <f t="shared" ca="1" si="238"/>
        <v>#NAME?</v>
      </c>
      <c r="I85" s="14" t="e">
        <f t="shared" ca="1" si="238"/>
        <v>#NAME?</v>
      </c>
      <c r="J85" s="13" t="e">
        <f t="shared" ca="1" si="238"/>
        <v>#NAME?</v>
      </c>
      <c r="K85" s="44" t="e">
        <f t="shared" ca="1" si="238"/>
        <v>#NAME?</v>
      </c>
      <c r="L85" s="44" t="e">
        <f t="shared" ca="1" si="238"/>
        <v>#NAME?</v>
      </c>
      <c r="M85" s="14" t="e">
        <f t="shared" ca="1" si="238"/>
        <v>#NAME?</v>
      </c>
      <c r="N85" s="13" t="e">
        <f t="shared" ca="1" si="238"/>
        <v>#NAME?</v>
      </c>
      <c r="O85" s="44" t="e">
        <f t="shared" ca="1" si="238"/>
        <v>#NAME?</v>
      </c>
      <c r="P85" s="44" t="e">
        <f t="shared" ca="1" si="238"/>
        <v>#NAME?</v>
      </c>
      <c r="Q85" s="14" t="e">
        <f t="shared" ca="1" si="238"/>
        <v>#NAME?</v>
      </c>
      <c r="R85" s="13" t="e">
        <f t="shared" ca="1" si="238"/>
        <v>#NAME?</v>
      </c>
      <c r="S85" s="44" t="e">
        <f t="shared" ca="1" si="238"/>
        <v>#NAME?</v>
      </c>
      <c r="T85" s="44" t="e">
        <f t="shared" ca="1" si="238"/>
        <v>#NAME?</v>
      </c>
      <c r="U85" s="14" t="e">
        <f t="shared" ca="1" si="238"/>
        <v>#NAME?</v>
      </c>
      <c r="V85" s="13" t="e">
        <f t="shared" ca="1" si="238"/>
        <v>#NAME?</v>
      </c>
      <c r="W85" s="44" t="e">
        <f t="shared" ca="1" si="238"/>
        <v>#NAME?</v>
      </c>
      <c r="X85" s="44" t="e">
        <f t="shared" ca="1" si="238"/>
        <v>#NAME?</v>
      </c>
      <c r="Y85" s="14" t="e">
        <f t="shared" ca="1" si="238"/>
        <v>#NAME?</v>
      </c>
      <c r="Z85" s="13" t="e">
        <f t="shared" ca="1" si="238"/>
        <v>#NAME?</v>
      </c>
      <c r="AA85" s="44" t="e">
        <f t="shared" ca="1" si="238"/>
        <v>#NAME?</v>
      </c>
      <c r="AB85" s="44" t="e">
        <f t="shared" ca="1" si="238"/>
        <v>#NAME?</v>
      </c>
      <c r="AC85" s="14" t="e">
        <f t="shared" ca="1" si="238"/>
        <v>#NAME?</v>
      </c>
      <c r="AD85" s="13" t="e">
        <f t="shared" ca="1" si="238"/>
        <v>#NAME?</v>
      </c>
      <c r="AE85" s="44" t="e">
        <f t="shared" ca="1" si="238"/>
        <v>#NAME?</v>
      </c>
      <c r="AF85" s="44" t="e">
        <f t="shared" ca="1" si="238"/>
        <v>#NAME?</v>
      </c>
      <c r="AG85" s="14" t="e">
        <f t="shared" ca="1" si="238"/>
        <v>#NAME?</v>
      </c>
      <c r="AH85" s="13" t="e">
        <f t="shared" ca="1" si="238"/>
        <v>#NAME?</v>
      </c>
      <c r="AI85" s="44" t="e">
        <f t="shared" ca="1" si="238"/>
        <v>#NAME?</v>
      </c>
      <c r="AJ85" s="44" t="e">
        <f t="shared" ca="1" si="238"/>
        <v>#NAME?</v>
      </c>
      <c r="AK85" s="14" t="e">
        <f t="shared" ref="AK85:BP85" ca="1" si="239">ONESTAGELEFT_BIKE_DELAY(AK10,AK84,AK83,AK80,AK81,AK39,AK82)</f>
        <v>#NAME?</v>
      </c>
      <c r="AL85" s="13" t="e">
        <f t="shared" ca="1" si="239"/>
        <v>#NAME?</v>
      </c>
      <c r="AM85" s="44" t="e">
        <f t="shared" ca="1" si="239"/>
        <v>#NAME?</v>
      </c>
      <c r="AN85" s="44" t="e">
        <f t="shared" ca="1" si="239"/>
        <v>#NAME?</v>
      </c>
      <c r="AO85" s="14" t="e">
        <f t="shared" ca="1" si="239"/>
        <v>#NAME?</v>
      </c>
      <c r="AP85" s="13" t="e">
        <f t="shared" ca="1" si="239"/>
        <v>#NAME?</v>
      </c>
      <c r="AQ85" s="44" t="e">
        <f t="shared" ca="1" si="239"/>
        <v>#NAME?</v>
      </c>
      <c r="AR85" s="44" t="e">
        <f t="shared" ca="1" si="239"/>
        <v>#NAME?</v>
      </c>
      <c r="AS85" s="14" t="e">
        <f t="shared" ca="1" si="239"/>
        <v>#NAME?</v>
      </c>
      <c r="AT85" s="13" t="e">
        <f t="shared" ca="1" si="239"/>
        <v>#NAME?</v>
      </c>
      <c r="AU85" s="44" t="e">
        <f t="shared" ca="1" si="239"/>
        <v>#NAME?</v>
      </c>
      <c r="AV85" s="44" t="e">
        <f t="shared" ca="1" si="239"/>
        <v>#NAME?</v>
      </c>
      <c r="AW85" s="14" t="e">
        <f t="shared" ca="1" si="239"/>
        <v>#NAME?</v>
      </c>
      <c r="AX85" s="13" t="e">
        <f t="shared" ca="1" si="239"/>
        <v>#NAME?</v>
      </c>
      <c r="AY85" s="44" t="e">
        <f t="shared" ca="1" si="239"/>
        <v>#NAME?</v>
      </c>
      <c r="AZ85" s="44" t="e">
        <f t="shared" ca="1" si="239"/>
        <v>#NAME?</v>
      </c>
      <c r="BA85" s="14" t="e">
        <f t="shared" ca="1" si="239"/>
        <v>#NAME?</v>
      </c>
      <c r="BB85" s="13" t="e">
        <f t="shared" ca="1" si="239"/>
        <v>#NAME?</v>
      </c>
      <c r="BC85" s="44" t="e">
        <f t="shared" ca="1" si="239"/>
        <v>#NAME?</v>
      </c>
      <c r="BD85" s="44" t="e">
        <f t="shared" ca="1" si="239"/>
        <v>#NAME?</v>
      </c>
      <c r="BE85" s="14" t="e">
        <f t="shared" ca="1" si="239"/>
        <v>#NAME?</v>
      </c>
      <c r="BF85" s="13" t="e">
        <f t="shared" ca="1" si="239"/>
        <v>#NAME?</v>
      </c>
      <c r="BG85" s="44" t="e">
        <f t="shared" ca="1" si="239"/>
        <v>#NAME?</v>
      </c>
      <c r="BH85" s="44" t="e">
        <f t="shared" ca="1" si="239"/>
        <v>#NAME?</v>
      </c>
      <c r="BI85" s="14" t="e">
        <f t="shared" ca="1" si="239"/>
        <v>#NAME?</v>
      </c>
      <c r="BJ85" s="13" t="e">
        <f t="shared" ca="1" si="239"/>
        <v>#NAME?</v>
      </c>
      <c r="BK85" s="44" t="e">
        <f t="shared" ca="1" si="239"/>
        <v>#NAME?</v>
      </c>
      <c r="BL85" s="44" t="e">
        <f t="shared" ca="1" si="239"/>
        <v>#NAME?</v>
      </c>
      <c r="BM85" s="14" t="e">
        <f t="shared" ca="1" si="239"/>
        <v>#NAME?</v>
      </c>
      <c r="BN85" s="13" t="e">
        <f t="shared" ca="1" si="239"/>
        <v>#NAME?</v>
      </c>
      <c r="BO85" s="44" t="e">
        <f t="shared" ca="1" si="239"/>
        <v>#NAME?</v>
      </c>
      <c r="BP85" s="44" t="e">
        <f t="shared" ca="1" si="239"/>
        <v>#NAME?</v>
      </c>
      <c r="BQ85" s="14" t="e">
        <f t="shared" ref="BQ85:CK85" ca="1" si="240">ONESTAGELEFT_BIKE_DELAY(BQ10,BQ84,BQ83,BQ80,BQ81,BQ39,BQ82)</f>
        <v>#NAME?</v>
      </c>
      <c r="BR85" s="13" t="e">
        <f t="shared" ca="1" si="240"/>
        <v>#NAME?</v>
      </c>
      <c r="BS85" s="44" t="e">
        <f t="shared" ca="1" si="240"/>
        <v>#NAME?</v>
      </c>
      <c r="BT85" s="44" t="e">
        <f t="shared" ca="1" si="240"/>
        <v>#NAME?</v>
      </c>
      <c r="BU85" s="14" t="e">
        <f t="shared" ca="1" si="240"/>
        <v>#NAME?</v>
      </c>
      <c r="BV85" s="13" t="e">
        <f t="shared" ca="1" si="240"/>
        <v>#NAME?</v>
      </c>
      <c r="BW85" s="44" t="e">
        <f t="shared" ca="1" si="240"/>
        <v>#NAME?</v>
      </c>
      <c r="BX85" s="44" t="e">
        <f t="shared" ca="1" si="240"/>
        <v>#NAME?</v>
      </c>
      <c r="BY85" s="14" t="e">
        <f t="shared" ca="1" si="240"/>
        <v>#NAME?</v>
      </c>
      <c r="BZ85" s="13" t="e">
        <f t="shared" ca="1" si="240"/>
        <v>#NAME?</v>
      </c>
      <c r="CA85" s="44" t="e">
        <f t="shared" ca="1" si="240"/>
        <v>#NAME?</v>
      </c>
      <c r="CB85" s="44" t="e">
        <f t="shared" ca="1" si="240"/>
        <v>#NAME?</v>
      </c>
      <c r="CC85" s="14" t="e">
        <f t="shared" ca="1" si="240"/>
        <v>#NAME?</v>
      </c>
      <c r="CD85" s="13" t="e">
        <f t="shared" ca="1" si="240"/>
        <v>#NAME?</v>
      </c>
      <c r="CE85" s="44" t="e">
        <f t="shared" ca="1" si="240"/>
        <v>#NAME?</v>
      </c>
      <c r="CF85" s="44" t="e">
        <f t="shared" ca="1" si="240"/>
        <v>#NAME?</v>
      </c>
      <c r="CG85" s="14" t="e">
        <f t="shared" ca="1" si="240"/>
        <v>#NAME?</v>
      </c>
      <c r="CH85" s="13" t="e">
        <f t="shared" ca="1" si="240"/>
        <v>#NAME?</v>
      </c>
      <c r="CI85" s="44" t="e">
        <f t="shared" ca="1" si="240"/>
        <v>#NAME?</v>
      </c>
      <c r="CJ85" s="44" t="e">
        <f t="shared" ca="1" si="240"/>
        <v>#NAME?</v>
      </c>
      <c r="CK85" s="14" t="e">
        <f t="shared" ca="1" si="240"/>
        <v>#NAME?</v>
      </c>
      <c r="CL85" s="49"/>
      <c r="CM85" s="28"/>
    </row>
    <row r="86" spans="2:91" x14ac:dyDescent="0.25">
      <c r="B86" s="55"/>
      <c r="C86" s="289" t="s">
        <v>440</v>
      </c>
      <c r="D86" s="290"/>
      <c r="E86" s="125"/>
      <c r="F86" s="13"/>
      <c r="G86" s="44"/>
      <c r="H86" s="44"/>
      <c r="I86" s="14"/>
      <c r="J86" s="13"/>
      <c r="K86" s="44"/>
      <c r="L86" s="44"/>
      <c r="M86" s="14"/>
      <c r="N86" s="13"/>
      <c r="O86" s="44"/>
      <c r="P86" s="44"/>
      <c r="Q86" s="14"/>
      <c r="R86" s="13"/>
      <c r="S86" s="44"/>
      <c r="T86" s="44"/>
      <c r="U86" s="14"/>
      <c r="V86" s="13"/>
      <c r="W86" s="44"/>
      <c r="X86" s="44"/>
      <c r="Y86" s="14"/>
      <c r="Z86" s="13"/>
      <c r="AA86" s="44"/>
      <c r="AB86" s="44"/>
      <c r="AC86" s="14"/>
      <c r="AD86" s="13"/>
      <c r="AE86" s="44"/>
      <c r="AF86" s="44"/>
      <c r="AG86" s="14"/>
      <c r="AH86" s="13"/>
      <c r="AI86" s="44"/>
      <c r="AJ86" s="44"/>
      <c r="AK86" s="14"/>
      <c r="AL86" s="13"/>
      <c r="AM86" s="44"/>
      <c r="AN86" s="44"/>
      <c r="AO86" s="14"/>
      <c r="AP86" s="13"/>
      <c r="AQ86" s="44"/>
      <c r="AR86" s="44"/>
      <c r="AS86" s="14"/>
      <c r="AT86" s="13"/>
      <c r="AU86" s="44"/>
      <c r="AV86" s="44"/>
      <c r="AW86" s="14"/>
      <c r="AX86" s="13"/>
      <c r="AY86" s="44"/>
      <c r="AZ86" s="44"/>
      <c r="BA86" s="14"/>
      <c r="BB86" s="13"/>
      <c r="BC86" s="44"/>
      <c r="BD86" s="44"/>
      <c r="BE86" s="14"/>
      <c r="BF86" s="13"/>
      <c r="BG86" s="44"/>
      <c r="BH86" s="44"/>
      <c r="BI86" s="14"/>
      <c r="BJ86" s="13"/>
      <c r="BK86" s="44"/>
      <c r="BL86" s="44"/>
      <c r="BM86" s="14"/>
      <c r="BN86" s="13"/>
      <c r="BO86" s="44"/>
      <c r="BP86" s="44"/>
      <c r="BQ86" s="14"/>
      <c r="BR86" s="13"/>
      <c r="BS86" s="44"/>
      <c r="BT86" s="44"/>
      <c r="BU86" s="14"/>
      <c r="BV86" s="13"/>
      <c r="BW86" s="44"/>
      <c r="BX86" s="44"/>
      <c r="BY86" s="14"/>
      <c r="BZ86" s="13"/>
      <c r="CA86" s="44"/>
      <c r="CB86" s="44"/>
      <c r="CC86" s="14"/>
      <c r="CD86" s="13"/>
      <c r="CE86" s="44"/>
      <c r="CF86" s="44"/>
      <c r="CG86" s="14"/>
      <c r="CH86" s="13"/>
      <c r="CI86" s="44"/>
      <c r="CJ86" s="44"/>
      <c r="CK86" s="14"/>
      <c r="CL86" s="49"/>
      <c r="CM86" s="28"/>
    </row>
    <row r="87" spans="2:91" ht="14.25" x14ac:dyDescent="0.25">
      <c r="B87" s="55"/>
      <c r="C87" s="10" t="s">
        <v>305</v>
      </c>
      <c r="D87" s="93" t="s">
        <v>432</v>
      </c>
      <c r="E87" s="125">
        <f t="shared" ref="E87:AJ87" si="241">E31/E40 +E41</f>
        <v>8.4</v>
      </c>
      <c r="F87" s="13">
        <f t="shared" si="241"/>
        <v>10.199999999999999</v>
      </c>
      <c r="G87" s="44">
        <f t="shared" si="241"/>
        <v>10.199999999999999</v>
      </c>
      <c r="H87" s="44">
        <f t="shared" si="241"/>
        <v>8.6</v>
      </c>
      <c r="I87" s="14">
        <f t="shared" si="241"/>
        <v>8.6</v>
      </c>
      <c r="J87" s="13" t="e">
        <f t="shared" si="241"/>
        <v>#DIV/0!</v>
      </c>
      <c r="K87" s="44">
        <f t="shared" si="241"/>
        <v>6.2</v>
      </c>
      <c r="L87" s="44">
        <f t="shared" si="241"/>
        <v>8.6</v>
      </c>
      <c r="M87" s="14">
        <f t="shared" si="241"/>
        <v>8.6</v>
      </c>
      <c r="N87" s="13" t="e">
        <f t="shared" si="241"/>
        <v>#DIV/0!</v>
      </c>
      <c r="O87" s="44" t="e">
        <f t="shared" si="241"/>
        <v>#DIV/0!</v>
      </c>
      <c r="P87" s="44" t="e">
        <f t="shared" si="241"/>
        <v>#DIV/0!</v>
      </c>
      <c r="Q87" s="14" t="e">
        <f t="shared" si="241"/>
        <v>#DIV/0!</v>
      </c>
      <c r="R87" s="13" t="e">
        <f t="shared" si="241"/>
        <v>#DIV/0!</v>
      </c>
      <c r="S87" s="44" t="e">
        <f t="shared" si="241"/>
        <v>#DIV/0!</v>
      </c>
      <c r="T87" s="44" t="e">
        <f t="shared" si="241"/>
        <v>#DIV/0!</v>
      </c>
      <c r="U87" s="14" t="e">
        <f t="shared" si="241"/>
        <v>#DIV/0!</v>
      </c>
      <c r="V87" s="13" t="e">
        <f t="shared" si="241"/>
        <v>#DIV/0!</v>
      </c>
      <c r="W87" s="44" t="e">
        <f t="shared" si="241"/>
        <v>#DIV/0!</v>
      </c>
      <c r="X87" s="44" t="e">
        <f t="shared" si="241"/>
        <v>#DIV/0!</v>
      </c>
      <c r="Y87" s="14" t="e">
        <f t="shared" si="241"/>
        <v>#DIV/0!</v>
      </c>
      <c r="Z87" s="13" t="e">
        <f t="shared" si="241"/>
        <v>#DIV/0!</v>
      </c>
      <c r="AA87" s="44" t="e">
        <f t="shared" si="241"/>
        <v>#DIV/0!</v>
      </c>
      <c r="AB87" s="44" t="e">
        <f t="shared" si="241"/>
        <v>#DIV/0!</v>
      </c>
      <c r="AC87" s="14" t="e">
        <f t="shared" si="241"/>
        <v>#DIV/0!</v>
      </c>
      <c r="AD87" s="13" t="e">
        <f t="shared" si="241"/>
        <v>#DIV/0!</v>
      </c>
      <c r="AE87" s="44" t="e">
        <f t="shared" si="241"/>
        <v>#DIV/0!</v>
      </c>
      <c r="AF87" s="44" t="e">
        <f t="shared" si="241"/>
        <v>#DIV/0!</v>
      </c>
      <c r="AG87" s="14" t="e">
        <f t="shared" si="241"/>
        <v>#DIV/0!</v>
      </c>
      <c r="AH87" s="13" t="e">
        <f t="shared" si="241"/>
        <v>#DIV/0!</v>
      </c>
      <c r="AI87" s="44" t="e">
        <f t="shared" si="241"/>
        <v>#DIV/0!</v>
      </c>
      <c r="AJ87" s="44" t="e">
        <f t="shared" si="241"/>
        <v>#DIV/0!</v>
      </c>
      <c r="AK87" s="14" t="e">
        <f t="shared" ref="AK87:BP87" si="242">AK31/AK40 +AK41</f>
        <v>#DIV/0!</v>
      </c>
      <c r="AL87" s="13" t="e">
        <f t="shared" si="242"/>
        <v>#DIV/0!</v>
      </c>
      <c r="AM87" s="44" t="e">
        <f t="shared" si="242"/>
        <v>#DIV/0!</v>
      </c>
      <c r="AN87" s="44" t="e">
        <f t="shared" si="242"/>
        <v>#DIV/0!</v>
      </c>
      <c r="AO87" s="14" t="e">
        <f t="shared" si="242"/>
        <v>#DIV/0!</v>
      </c>
      <c r="AP87" s="13" t="e">
        <f t="shared" si="242"/>
        <v>#DIV/0!</v>
      </c>
      <c r="AQ87" s="44" t="e">
        <f t="shared" si="242"/>
        <v>#DIV/0!</v>
      </c>
      <c r="AR87" s="44" t="e">
        <f t="shared" si="242"/>
        <v>#DIV/0!</v>
      </c>
      <c r="AS87" s="14" t="e">
        <f t="shared" si="242"/>
        <v>#DIV/0!</v>
      </c>
      <c r="AT87" s="13" t="e">
        <f t="shared" si="242"/>
        <v>#DIV/0!</v>
      </c>
      <c r="AU87" s="44" t="e">
        <f t="shared" si="242"/>
        <v>#DIV/0!</v>
      </c>
      <c r="AV87" s="44" t="e">
        <f t="shared" si="242"/>
        <v>#DIV/0!</v>
      </c>
      <c r="AW87" s="14" t="e">
        <f t="shared" si="242"/>
        <v>#DIV/0!</v>
      </c>
      <c r="AX87" s="13" t="e">
        <f t="shared" si="242"/>
        <v>#DIV/0!</v>
      </c>
      <c r="AY87" s="44" t="e">
        <f t="shared" si="242"/>
        <v>#DIV/0!</v>
      </c>
      <c r="AZ87" s="44" t="e">
        <f t="shared" si="242"/>
        <v>#DIV/0!</v>
      </c>
      <c r="BA87" s="14" t="e">
        <f t="shared" si="242"/>
        <v>#DIV/0!</v>
      </c>
      <c r="BB87" s="13" t="e">
        <f t="shared" si="242"/>
        <v>#DIV/0!</v>
      </c>
      <c r="BC87" s="44" t="e">
        <f t="shared" si="242"/>
        <v>#DIV/0!</v>
      </c>
      <c r="BD87" s="44" t="e">
        <f t="shared" si="242"/>
        <v>#DIV/0!</v>
      </c>
      <c r="BE87" s="14" t="e">
        <f t="shared" si="242"/>
        <v>#DIV/0!</v>
      </c>
      <c r="BF87" s="13" t="e">
        <f t="shared" si="242"/>
        <v>#DIV/0!</v>
      </c>
      <c r="BG87" s="44" t="e">
        <f t="shared" si="242"/>
        <v>#DIV/0!</v>
      </c>
      <c r="BH87" s="44" t="e">
        <f t="shared" si="242"/>
        <v>#DIV/0!</v>
      </c>
      <c r="BI87" s="14" t="e">
        <f t="shared" si="242"/>
        <v>#DIV/0!</v>
      </c>
      <c r="BJ87" s="13" t="e">
        <f t="shared" si="242"/>
        <v>#DIV/0!</v>
      </c>
      <c r="BK87" s="44" t="e">
        <f t="shared" si="242"/>
        <v>#DIV/0!</v>
      </c>
      <c r="BL87" s="44" t="e">
        <f t="shared" si="242"/>
        <v>#DIV/0!</v>
      </c>
      <c r="BM87" s="14" t="e">
        <f t="shared" si="242"/>
        <v>#DIV/0!</v>
      </c>
      <c r="BN87" s="13" t="e">
        <f t="shared" si="242"/>
        <v>#DIV/0!</v>
      </c>
      <c r="BO87" s="44" t="e">
        <f t="shared" si="242"/>
        <v>#DIV/0!</v>
      </c>
      <c r="BP87" s="44" t="e">
        <f t="shared" si="242"/>
        <v>#DIV/0!</v>
      </c>
      <c r="BQ87" s="14" t="e">
        <f t="shared" ref="BQ87:CK87" si="243">BQ31/BQ40 +BQ41</f>
        <v>#DIV/0!</v>
      </c>
      <c r="BR87" s="13" t="e">
        <f t="shared" si="243"/>
        <v>#DIV/0!</v>
      </c>
      <c r="BS87" s="44" t="e">
        <f t="shared" si="243"/>
        <v>#DIV/0!</v>
      </c>
      <c r="BT87" s="44" t="e">
        <f t="shared" si="243"/>
        <v>#DIV/0!</v>
      </c>
      <c r="BU87" s="14" t="e">
        <f t="shared" si="243"/>
        <v>#DIV/0!</v>
      </c>
      <c r="BV87" s="13" t="e">
        <f t="shared" si="243"/>
        <v>#DIV/0!</v>
      </c>
      <c r="BW87" s="44" t="e">
        <f t="shared" si="243"/>
        <v>#DIV/0!</v>
      </c>
      <c r="BX87" s="44" t="e">
        <f t="shared" si="243"/>
        <v>#DIV/0!</v>
      </c>
      <c r="BY87" s="14" t="e">
        <f t="shared" si="243"/>
        <v>#DIV/0!</v>
      </c>
      <c r="BZ87" s="13" t="e">
        <f t="shared" si="243"/>
        <v>#DIV/0!</v>
      </c>
      <c r="CA87" s="44" t="e">
        <f t="shared" si="243"/>
        <v>#DIV/0!</v>
      </c>
      <c r="CB87" s="44" t="e">
        <f t="shared" si="243"/>
        <v>#DIV/0!</v>
      </c>
      <c r="CC87" s="14" t="e">
        <f t="shared" si="243"/>
        <v>#DIV/0!</v>
      </c>
      <c r="CD87" s="13" t="e">
        <f t="shared" si="243"/>
        <v>#DIV/0!</v>
      </c>
      <c r="CE87" s="44" t="e">
        <f t="shared" si="243"/>
        <v>#DIV/0!</v>
      </c>
      <c r="CF87" s="44" t="e">
        <f t="shared" si="243"/>
        <v>#DIV/0!</v>
      </c>
      <c r="CG87" s="14" t="e">
        <f t="shared" si="243"/>
        <v>#DIV/0!</v>
      </c>
      <c r="CH87" s="13" t="e">
        <f t="shared" si="243"/>
        <v>#DIV/0!</v>
      </c>
      <c r="CI87" s="44" t="e">
        <f t="shared" si="243"/>
        <v>#DIV/0!</v>
      </c>
      <c r="CJ87" s="44" t="e">
        <f t="shared" si="243"/>
        <v>#DIV/0!</v>
      </c>
      <c r="CK87" s="14" t="e">
        <f t="shared" si="243"/>
        <v>#DIV/0!</v>
      </c>
      <c r="CL87" s="49"/>
      <c r="CM87" s="28"/>
    </row>
    <row r="88" spans="2:91" ht="14.25" x14ac:dyDescent="0.25">
      <c r="B88" s="55"/>
      <c r="C88" s="10" t="s">
        <v>308</v>
      </c>
      <c r="D88" s="93" t="s">
        <v>406</v>
      </c>
      <c r="E88" s="125">
        <f>MAX(IF(E33=0,0,4*E89/E33),1)</f>
        <v>1</v>
      </c>
      <c r="F88" s="13">
        <f t="shared" ref="F88:AK88" si="244">MAX(IF(F33=0,0,2.5*F89/F33),1)</f>
        <v>1</v>
      </c>
      <c r="G88" s="44">
        <f t="shared" si="244"/>
        <v>1</v>
      </c>
      <c r="H88" s="44">
        <f t="shared" si="244"/>
        <v>1</v>
      </c>
      <c r="I88" s="14">
        <f t="shared" si="244"/>
        <v>1</v>
      </c>
      <c r="J88" s="13">
        <f t="shared" si="244"/>
        <v>1</v>
      </c>
      <c r="K88" s="44">
        <f t="shared" si="244"/>
        <v>1</v>
      </c>
      <c r="L88" s="44">
        <f t="shared" si="244"/>
        <v>1</v>
      </c>
      <c r="M88" s="14">
        <f t="shared" si="244"/>
        <v>1</v>
      </c>
      <c r="N88" s="13">
        <f t="shared" si="244"/>
        <v>1</v>
      </c>
      <c r="O88" s="44">
        <f t="shared" si="244"/>
        <v>1</v>
      </c>
      <c r="P88" s="44">
        <f t="shared" si="244"/>
        <v>1</v>
      </c>
      <c r="Q88" s="14">
        <f t="shared" si="244"/>
        <v>1</v>
      </c>
      <c r="R88" s="13">
        <f t="shared" si="244"/>
        <v>1</v>
      </c>
      <c r="S88" s="44">
        <f t="shared" si="244"/>
        <v>1</v>
      </c>
      <c r="T88" s="44">
        <f t="shared" si="244"/>
        <v>1</v>
      </c>
      <c r="U88" s="14">
        <f t="shared" si="244"/>
        <v>1</v>
      </c>
      <c r="V88" s="13">
        <f t="shared" si="244"/>
        <v>1</v>
      </c>
      <c r="W88" s="44">
        <f t="shared" si="244"/>
        <v>1</v>
      </c>
      <c r="X88" s="44">
        <f t="shared" si="244"/>
        <v>1</v>
      </c>
      <c r="Y88" s="14">
        <f t="shared" si="244"/>
        <v>1</v>
      </c>
      <c r="Z88" s="13">
        <f t="shared" si="244"/>
        <v>1</v>
      </c>
      <c r="AA88" s="44">
        <f t="shared" si="244"/>
        <v>1</v>
      </c>
      <c r="AB88" s="44">
        <f t="shared" si="244"/>
        <v>1</v>
      </c>
      <c r="AC88" s="14">
        <f t="shared" si="244"/>
        <v>1</v>
      </c>
      <c r="AD88" s="13">
        <f t="shared" si="244"/>
        <v>1</v>
      </c>
      <c r="AE88" s="44">
        <f t="shared" si="244"/>
        <v>1</v>
      </c>
      <c r="AF88" s="44">
        <f t="shared" si="244"/>
        <v>1</v>
      </c>
      <c r="AG88" s="14">
        <f t="shared" si="244"/>
        <v>1</v>
      </c>
      <c r="AH88" s="13">
        <f t="shared" si="244"/>
        <v>1</v>
      </c>
      <c r="AI88" s="44">
        <f t="shared" si="244"/>
        <v>1</v>
      </c>
      <c r="AJ88" s="44">
        <f t="shared" si="244"/>
        <v>1</v>
      </c>
      <c r="AK88" s="14">
        <f t="shared" si="244"/>
        <v>1</v>
      </c>
      <c r="AL88" s="13">
        <f t="shared" ref="AL88:BQ88" si="245">MAX(IF(AL33=0,0,2.5*AL89/AL33),1)</f>
        <v>1</v>
      </c>
      <c r="AM88" s="44">
        <f t="shared" si="245"/>
        <v>1</v>
      </c>
      <c r="AN88" s="44">
        <f t="shared" si="245"/>
        <v>1</v>
      </c>
      <c r="AO88" s="14">
        <f t="shared" si="245"/>
        <v>1</v>
      </c>
      <c r="AP88" s="13">
        <f t="shared" si="245"/>
        <v>1</v>
      </c>
      <c r="AQ88" s="44">
        <f t="shared" si="245"/>
        <v>1</v>
      </c>
      <c r="AR88" s="44">
        <f t="shared" si="245"/>
        <v>1</v>
      </c>
      <c r="AS88" s="14">
        <f t="shared" si="245"/>
        <v>1</v>
      </c>
      <c r="AT88" s="13">
        <f t="shared" si="245"/>
        <v>1</v>
      </c>
      <c r="AU88" s="44">
        <f t="shared" si="245"/>
        <v>1</v>
      </c>
      <c r="AV88" s="44">
        <f t="shared" si="245"/>
        <v>1</v>
      </c>
      <c r="AW88" s="14">
        <f t="shared" si="245"/>
        <v>1</v>
      </c>
      <c r="AX88" s="13">
        <f t="shared" si="245"/>
        <v>1</v>
      </c>
      <c r="AY88" s="44">
        <f t="shared" si="245"/>
        <v>1</v>
      </c>
      <c r="AZ88" s="44">
        <f t="shared" si="245"/>
        <v>1</v>
      </c>
      <c r="BA88" s="14">
        <f t="shared" si="245"/>
        <v>1</v>
      </c>
      <c r="BB88" s="13">
        <f t="shared" si="245"/>
        <v>1</v>
      </c>
      <c r="BC88" s="44">
        <f t="shared" si="245"/>
        <v>1</v>
      </c>
      <c r="BD88" s="44">
        <f t="shared" si="245"/>
        <v>1</v>
      </c>
      <c r="BE88" s="14">
        <f t="shared" si="245"/>
        <v>1</v>
      </c>
      <c r="BF88" s="13">
        <f t="shared" si="245"/>
        <v>1</v>
      </c>
      <c r="BG88" s="44">
        <f t="shared" si="245"/>
        <v>1</v>
      </c>
      <c r="BH88" s="44">
        <f t="shared" si="245"/>
        <v>1</v>
      </c>
      <c r="BI88" s="14">
        <f t="shared" si="245"/>
        <v>1</v>
      </c>
      <c r="BJ88" s="13">
        <f t="shared" si="245"/>
        <v>1</v>
      </c>
      <c r="BK88" s="44">
        <f t="shared" si="245"/>
        <v>1</v>
      </c>
      <c r="BL88" s="44">
        <f t="shared" si="245"/>
        <v>1</v>
      </c>
      <c r="BM88" s="14">
        <f t="shared" si="245"/>
        <v>1</v>
      </c>
      <c r="BN88" s="13">
        <f t="shared" si="245"/>
        <v>1</v>
      </c>
      <c r="BO88" s="44">
        <f t="shared" si="245"/>
        <v>1</v>
      </c>
      <c r="BP88" s="44">
        <f t="shared" si="245"/>
        <v>1</v>
      </c>
      <c r="BQ88" s="14">
        <f t="shared" si="245"/>
        <v>1</v>
      </c>
      <c r="BR88" s="13">
        <f t="shared" ref="BR88:CK88" si="246">MAX(IF(BR33=0,0,2.5*BR89/BR33),1)</f>
        <v>1</v>
      </c>
      <c r="BS88" s="44">
        <f t="shared" si="246"/>
        <v>1</v>
      </c>
      <c r="BT88" s="44">
        <f t="shared" si="246"/>
        <v>1</v>
      </c>
      <c r="BU88" s="14">
        <f t="shared" si="246"/>
        <v>1</v>
      </c>
      <c r="BV88" s="13">
        <f t="shared" si="246"/>
        <v>1</v>
      </c>
      <c r="BW88" s="44">
        <f t="shared" si="246"/>
        <v>1</v>
      </c>
      <c r="BX88" s="44">
        <f t="shared" si="246"/>
        <v>1</v>
      </c>
      <c r="BY88" s="14">
        <f t="shared" si="246"/>
        <v>1</v>
      </c>
      <c r="BZ88" s="13">
        <f t="shared" si="246"/>
        <v>1</v>
      </c>
      <c r="CA88" s="44">
        <f t="shared" si="246"/>
        <v>1</v>
      </c>
      <c r="CB88" s="44">
        <f t="shared" si="246"/>
        <v>1</v>
      </c>
      <c r="CC88" s="14">
        <f t="shared" si="246"/>
        <v>1</v>
      </c>
      <c r="CD88" s="13">
        <f t="shared" si="246"/>
        <v>1</v>
      </c>
      <c r="CE88" s="44">
        <f t="shared" si="246"/>
        <v>1</v>
      </c>
      <c r="CF88" s="44">
        <f t="shared" si="246"/>
        <v>1</v>
      </c>
      <c r="CG88" s="14">
        <f t="shared" si="246"/>
        <v>1</v>
      </c>
      <c r="CH88" s="13">
        <f t="shared" si="246"/>
        <v>1</v>
      </c>
      <c r="CI88" s="44">
        <f t="shared" si="246"/>
        <v>1</v>
      </c>
      <c r="CJ88" s="44">
        <f t="shared" si="246"/>
        <v>1</v>
      </c>
      <c r="CK88" s="14">
        <f t="shared" si="246"/>
        <v>1</v>
      </c>
      <c r="CL88" s="49"/>
      <c r="CM88" s="28"/>
    </row>
    <row r="89" spans="2:91" ht="14.25" x14ac:dyDescent="0.25">
      <c r="B89" s="55"/>
      <c r="C89" s="10" t="s">
        <v>309</v>
      </c>
      <c r="D89" s="93" t="s">
        <v>407</v>
      </c>
      <c r="E89" s="125">
        <f t="shared" ref="E89:AJ89" si="247">((E21/3600)*EXP(E87*E21/3600) + E49*EXP(-E49*E87))/(((E21/3600)+E49)*EXP(((E21/3600)-E49))*E87)</f>
        <v>3.8985468704999048E-2</v>
      </c>
      <c r="F89" s="13">
        <f t="shared" si="247"/>
        <v>4.443618419739964E-3</v>
      </c>
      <c r="G89" s="44">
        <f t="shared" si="247"/>
        <v>4.443618419739964E-3</v>
      </c>
      <c r="H89" s="44">
        <f t="shared" si="247"/>
        <v>2.0678574117255807E-2</v>
      </c>
      <c r="I89" s="14">
        <f t="shared" si="247"/>
        <v>2.0678574117255807E-2</v>
      </c>
      <c r="J89" s="13" t="e">
        <f t="shared" si="247"/>
        <v>#DIV/0!</v>
      </c>
      <c r="K89" s="44">
        <f t="shared" si="247"/>
        <v>0.1547708980856595</v>
      </c>
      <c r="L89" s="44">
        <f t="shared" si="247"/>
        <v>2.5370776978518667E-2</v>
      </c>
      <c r="M89" s="14">
        <f t="shared" si="247"/>
        <v>2.5370776978518667E-2</v>
      </c>
      <c r="N89" s="13" t="e">
        <f t="shared" si="247"/>
        <v>#DIV/0!</v>
      </c>
      <c r="O89" s="44" t="e">
        <f t="shared" si="247"/>
        <v>#DIV/0!</v>
      </c>
      <c r="P89" s="44" t="e">
        <f t="shared" si="247"/>
        <v>#DIV/0!</v>
      </c>
      <c r="Q89" s="14" t="e">
        <f t="shared" si="247"/>
        <v>#DIV/0!</v>
      </c>
      <c r="R89" s="13" t="e">
        <f t="shared" si="247"/>
        <v>#DIV/0!</v>
      </c>
      <c r="S89" s="44" t="e">
        <f t="shared" si="247"/>
        <v>#DIV/0!</v>
      </c>
      <c r="T89" s="44" t="e">
        <f t="shared" si="247"/>
        <v>#DIV/0!</v>
      </c>
      <c r="U89" s="14" t="e">
        <f t="shared" si="247"/>
        <v>#DIV/0!</v>
      </c>
      <c r="V89" s="13" t="e">
        <f t="shared" si="247"/>
        <v>#DIV/0!</v>
      </c>
      <c r="W89" s="44" t="e">
        <f t="shared" si="247"/>
        <v>#DIV/0!</v>
      </c>
      <c r="X89" s="44" t="e">
        <f t="shared" si="247"/>
        <v>#DIV/0!</v>
      </c>
      <c r="Y89" s="14" t="e">
        <f t="shared" si="247"/>
        <v>#DIV/0!</v>
      </c>
      <c r="Z89" s="13" t="e">
        <f t="shared" si="247"/>
        <v>#DIV/0!</v>
      </c>
      <c r="AA89" s="44" t="e">
        <f t="shared" si="247"/>
        <v>#DIV/0!</v>
      </c>
      <c r="AB89" s="44" t="e">
        <f t="shared" si="247"/>
        <v>#DIV/0!</v>
      </c>
      <c r="AC89" s="14" t="e">
        <f t="shared" si="247"/>
        <v>#DIV/0!</v>
      </c>
      <c r="AD89" s="13" t="e">
        <f t="shared" si="247"/>
        <v>#DIV/0!</v>
      </c>
      <c r="AE89" s="44" t="e">
        <f t="shared" si="247"/>
        <v>#DIV/0!</v>
      </c>
      <c r="AF89" s="44" t="e">
        <f t="shared" si="247"/>
        <v>#DIV/0!</v>
      </c>
      <c r="AG89" s="14" t="e">
        <f t="shared" si="247"/>
        <v>#DIV/0!</v>
      </c>
      <c r="AH89" s="13" t="e">
        <f t="shared" si="247"/>
        <v>#DIV/0!</v>
      </c>
      <c r="AI89" s="44" t="e">
        <f t="shared" si="247"/>
        <v>#DIV/0!</v>
      </c>
      <c r="AJ89" s="44" t="e">
        <f t="shared" si="247"/>
        <v>#DIV/0!</v>
      </c>
      <c r="AK89" s="14" t="e">
        <f t="shared" ref="AK89:BP89" si="248">((AK21/3600)*EXP(AK87*AK21/3600) + AK49*EXP(-AK49*AK87))/(((AK21/3600)+AK49)*EXP(((AK21/3600)-AK49))*AK87)</f>
        <v>#DIV/0!</v>
      </c>
      <c r="AL89" s="13" t="e">
        <f t="shared" si="248"/>
        <v>#DIV/0!</v>
      </c>
      <c r="AM89" s="44" t="e">
        <f t="shared" si="248"/>
        <v>#DIV/0!</v>
      </c>
      <c r="AN89" s="44" t="e">
        <f t="shared" si="248"/>
        <v>#DIV/0!</v>
      </c>
      <c r="AO89" s="14" t="e">
        <f t="shared" si="248"/>
        <v>#DIV/0!</v>
      </c>
      <c r="AP89" s="13" t="e">
        <f t="shared" si="248"/>
        <v>#DIV/0!</v>
      </c>
      <c r="AQ89" s="44" t="e">
        <f t="shared" si="248"/>
        <v>#DIV/0!</v>
      </c>
      <c r="AR89" s="44" t="e">
        <f t="shared" si="248"/>
        <v>#DIV/0!</v>
      </c>
      <c r="AS89" s="14" t="e">
        <f t="shared" si="248"/>
        <v>#DIV/0!</v>
      </c>
      <c r="AT89" s="13" t="e">
        <f t="shared" si="248"/>
        <v>#DIV/0!</v>
      </c>
      <c r="AU89" s="44" t="e">
        <f t="shared" si="248"/>
        <v>#DIV/0!</v>
      </c>
      <c r="AV89" s="44" t="e">
        <f t="shared" si="248"/>
        <v>#DIV/0!</v>
      </c>
      <c r="AW89" s="14" t="e">
        <f t="shared" si="248"/>
        <v>#DIV/0!</v>
      </c>
      <c r="AX89" s="13" t="e">
        <f t="shared" si="248"/>
        <v>#DIV/0!</v>
      </c>
      <c r="AY89" s="44" t="e">
        <f t="shared" si="248"/>
        <v>#DIV/0!</v>
      </c>
      <c r="AZ89" s="44" t="e">
        <f t="shared" si="248"/>
        <v>#DIV/0!</v>
      </c>
      <c r="BA89" s="14" t="e">
        <f t="shared" si="248"/>
        <v>#DIV/0!</v>
      </c>
      <c r="BB89" s="13" t="e">
        <f t="shared" si="248"/>
        <v>#DIV/0!</v>
      </c>
      <c r="BC89" s="44" t="e">
        <f t="shared" si="248"/>
        <v>#DIV/0!</v>
      </c>
      <c r="BD89" s="44" t="e">
        <f t="shared" si="248"/>
        <v>#DIV/0!</v>
      </c>
      <c r="BE89" s="14" t="e">
        <f t="shared" si="248"/>
        <v>#DIV/0!</v>
      </c>
      <c r="BF89" s="13" t="e">
        <f t="shared" si="248"/>
        <v>#DIV/0!</v>
      </c>
      <c r="BG89" s="44" t="e">
        <f t="shared" si="248"/>
        <v>#DIV/0!</v>
      </c>
      <c r="BH89" s="44" t="e">
        <f t="shared" si="248"/>
        <v>#DIV/0!</v>
      </c>
      <c r="BI89" s="14" t="e">
        <f t="shared" si="248"/>
        <v>#DIV/0!</v>
      </c>
      <c r="BJ89" s="13" t="e">
        <f t="shared" si="248"/>
        <v>#DIV/0!</v>
      </c>
      <c r="BK89" s="44" t="e">
        <f t="shared" si="248"/>
        <v>#DIV/0!</v>
      </c>
      <c r="BL89" s="44" t="e">
        <f t="shared" si="248"/>
        <v>#DIV/0!</v>
      </c>
      <c r="BM89" s="14" t="e">
        <f t="shared" si="248"/>
        <v>#DIV/0!</v>
      </c>
      <c r="BN89" s="13" t="e">
        <f t="shared" si="248"/>
        <v>#DIV/0!</v>
      </c>
      <c r="BO89" s="44" t="e">
        <f t="shared" si="248"/>
        <v>#DIV/0!</v>
      </c>
      <c r="BP89" s="44" t="e">
        <f t="shared" si="248"/>
        <v>#DIV/0!</v>
      </c>
      <c r="BQ89" s="14" t="e">
        <f t="shared" ref="BQ89:CK89" si="249">((BQ21/3600)*EXP(BQ87*BQ21/3600) + BQ49*EXP(-BQ49*BQ87))/(((BQ21/3600)+BQ49)*EXP(((BQ21/3600)-BQ49))*BQ87)</f>
        <v>#DIV/0!</v>
      </c>
      <c r="BR89" s="13" t="e">
        <f t="shared" si="249"/>
        <v>#DIV/0!</v>
      </c>
      <c r="BS89" s="44" t="e">
        <f t="shared" si="249"/>
        <v>#DIV/0!</v>
      </c>
      <c r="BT89" s="44" t="e">
        <f t="shared" si="249"/>
        <v>#DIV/0!</v>
      </c>
      <c r="BU89" s="14" t="e">
        <f t="shared" si="249"/>
        <v>#DIV/0!</v>
      </c>
      <c r="BV89" s="13" t="e">
        <f t="shared" si="249"/>
        <v>#DIV/0!</v>
      </c>
      <c r="BW89" s="44" t="e">
        <f t="shared" si="249"/>
        <v>#DIV/0!</v>
      </c>
      <c r="BX89" s="44" t="e">
        <f t="shared" si="249"/>
        <v>#DIV/0!</v>
      </c>
      <c r="BY89" s="14" t="e">
        <f t="shared" si="249"/>
        <v>#DIV/0!</v>
      </c>
      <c r="BZ89" s="13" t="e">
        <f t="shared" si="249"/>
        <v>#DIV/0!</v>
      </c>
      <c r="CA89" s="44" t="e">
        <f t="shared" si="249"/>
        <v>#DIV/0!</v>
      </c>
      <c r="CB89" s="44" t="e">
        <f t="shared" si="249"/>
        <v>#DIV/0!</v>
      </c>
      <c r="CC89" s="14" t="e">
        <f t="shared" si="249"/>
        <v>#DIV/0!</v>
      </c>
      <c r="CD89" s="13" t="e">
        <f t="shared" si="249"/>
        <v>#DIV/0!</v>
      </c>
      <c r="CE89" s="44" t="e">
        <f t="shared" si="249"/>
        <v>#DIV/0!</v>
      </c>
      <c r="CF89" s="44" t="e">
        <f t="shared" si="249"/>
        <v>#DIV/0!</v>
      </c>
      <c r="CG89" s="14" t="e">
        <f t="shared" si="249"/>
        <v>#DIV/0!</v>
      </c>
      <c r="CH89" s="13" t="e">
        <f t="shared" si="249"/>
        <v>#DIV/0!</v>
      </c>
      <c r="CI89" s="44" t="e">
        <f t="shared" si="249"/>
        <v>#DIV/0!</v>
      </c>
      <c r="CJ89" s="44" t="e">
        <f t="shared" si="249"/>
        <v>#DIV/0!</v>
      </c>
      <c r="CK89" s="14" t="e">
        <f t="shared" si="249"/>
        <v>#DIV/0!</v>
      </c>
      <c r="CL89" s="49"/>
      <c r="CM89" s="28"/>
    </row>
    <row r="90" spans="2:91" ht="14.25" x14ac:dyDescent="0.25">
      <c r="B90" s="55"/>
      <c r="C90" s="10" t="s">
        <v>310</v>
      </c>
      <c r="D90" s="93" t="s">
        <v>410</v>
      </c>
      <c r="E90" s="125">
        <f t="shared" ref="E90:AJ90" si="250">E87+2*(E88-1)</f>
        <v>8.4</v>
      </c>
      <c r="F90" s="13">
        <f t="shared" si="250"/>
        <v>10.199999999999999</v>
      </c>
      <c r="G90" s="44">
        <f t="shared" si="250"/>
        <v>10.199999999999999</v>
      </c>
      <c r="H90" s="44">
        <f t="shared" si="250"/>
        <v>8.6</v>
      </c>
      <c r="I90" s="14">
        <f t="shared" si="250"/>
        <v>8.6</v>
      </c>
      <c r="J90" s="13" t="e">
        <f t="shared" si="250"/>
        <v>#DIV/0!</v>
      </c>
      <c r="K90" s="44">
        <f t="shared" si="250"/>
        <v>6.2</v>
      </c>
      <c r="L90" s="44">
        <f t="shared" si="250"/>
        <v>8.6</v>
      </c>
      <c r="M90" s="14">
        <f t="shared" si="250"/>
        <v>8.6</v>
      </c>
      <c r="N90" s="13" t="e">
        <f t="shared" si="250"/>
        <v>#DIV/0!</v>
      </c>
      <c r="O90" s="44" t="e">
        <f t="shared" si="250"/>
        <v>#DIV/0!</v>
      </c>
      <c r="P90" s="44" t="e">
        <f t="shared" si="250"/>
        <v>#DIV/0!</v>
      </c>
      <c r="Q90" s="14" t="e">
        <f t="shared" si="250"/>
        <v>#DIV/0!</v>
      </c>
      <c r="R90" s="13" t="e">
        <f t="shared" si="250"/>
        <v>#DIV/0!</v>
      </c>
      <c r="S90" s="44" t="e">
        <f t="shared" si="250"/>
        <v>#DIV/0!</v>
      </c>
      <c r="T90" s="44" t="e">
        <f t="shared" si="250"/>
        <v>#DIV/0!</v>
      </c>
      <c r="U90" s="14" t="e">
        <f t="shared" si="250"/>
        <v>#DIV/0!</v>
      </c>
      <c r="V90" s="13" t="e">
        <f t="shared" si="250"/>
        <v>#DIV/0!</v>
      </c>
      <c r="W90" s="44" t="e">
        <f t="shared" si="250"/>
        <v>#DIV/0!</v>
      </c>
      <c r="X90" s="44" t="e">
        <f t="shared" si="250"/>
        <v>#DIV/0!</v>
      </c>
      <c r="Y90" s="14" t="e">
        <f t="shared" si="250"/>
        <v>#DIV/0!</v>
      </c>
      <c r="Z90" s="13" t="e">
        <f t="shared" si="250"/>
        <v>#DIV/0!</v>
      </c>
      <c r="AA90" s="44" t="e">
        <f t="shared" si="250"/>
        <v>#DIV/0!</v>
      </c>
      <c r="AB90" s="44" t="e">
        <f t="shared" si="250"/>
        <v>#DIV/0!</v>
      </c>
      <c r="AC90" s="14" t="e">
        <f t="shared" si="250"/>
        <v>#DIV/0!</v>
      </c>
      <c r="AD90" s="13" t="e">
        <f t="shared" si="250"/>
        <v>#DIV/0!</v>
      </c>
      <c r="AE90" s="44" t="e">
        <f t="shared" si="250"/>
        <v>#DIV/0!</v>
      </c>
      <c r="AF90" s="44" t="e">
        <f t="shared" si="250"/>
        <v>#DIV/0!</v>
      </c>
      <c r="AG90" s="14" t="e">
        <f t="shared" si="250"/>
        <v>#DIV/0!</v>
      </c>
      <c r="AH90" s="13" t="e">
        <f t="shared" si="250"/>
        <v>#DIV/0!</v>
      </c>
      <c r="AI90" s="44" t="e">
        <f t="shared" si="250"/>
        <v>#DIV/0!</v>
      </c>
      <c r="AJ90" s="44" t="e">
        <f t="shared" si="250"/>
        <v>#DIV/0!</v>
      </c>
      <c r="AK90" s="14" t="e">
        <f t="shared" ref="AK90:BP90" si="251">AK87+2*(AK88-1)</f>
        <v>#DIV/0!</v>
      </c>
      <c r="AL90" s="13" t="e">
        <f t="shared" si="251"/>
        <v>#DIV/0!</v>
      </c>
      <c r="AM90" s="44" t="e">
        <f t="shared" si="251"/>
        <v>#DIV/0!</v>
      </c>
      <c r="AN90" s="44" t="e">
        <f t="shared" si="251"/>
        <v>#DIV/0!</v>
      </c>
      <c r="AO90" s="14" t="e">
        <f t="shared" si="251"/>
        <v>#DIV/0!</v>
      </c>
      <c r="AP90" s="13" t="e">
        <f t="shared" si="251"/>
        <v>#DIV/0!</v>
      </c>
      <c r="AQ90" s="44" t="e">
        <f t="shared" si="251"/>
        <v>#DIV/0!</v>
      </c>
      <c r="AR90" s="44" t="e">
        <f t="shared" si="251"/>
        <v>#DIV/0!</v>
      </c>
      <c r="AS90" s="14" t="e">
        <f t="shared" si="251"/>
        <v>#DIV/0!</v>
      </c>
      <c r="AT90" s="13" t="e">
        <f t="shared" si="251"/>
        <v>#DIV/0!</v>
      </c>
      <c r="AU90" s="44" t="e">
        <f t="shared" si="251"/>
        <v>#DIV/0!</v>
      </c>
      <c r="AV90" s="44" t="e">
        <f t="shared" si="251"/>
        <v>#DIV/0!</v>
      </c>
      <c r="AW90" s="14" t="e">
        <f t="shared" si="251"/>
        <v>#DIV/0!</v>
      </c>
      <c r="AX90" s="13" t="e">
        <f t="shared" si="251"/>
        <v>#DIV/0!</v>
      </c>
      <c r="AY90" s="44" t="e">
        <f t="shared" si="251"/>
        <v>#DIV/0!</v>
      </c>
      <c r="AZ90" s="44" t="e">
        <f t="shared" si="251"/>
        <v>#DIV/0!</v>
      </c>
      <c r="BA90" s="14" t="e">
        <f t="shared" si="251"/>
        <v>#DIV/0!</v>
      </c>
      <c r="BB90" s="13" t="e">
        <f t="shared" si="251"/>
        <v>#DIV/0!</v>
      </c>
      <c r="BC90" s="44" t="e">
        <f t="shared" si="251"/>
        <v>#DIV/0!</v>
      </c>
      <c r="BD90" s="44" t="e">
        <f t="shared" si="251"/>
        <v>#DIV/0!</v>
      </c>
      <c r="BE90" s="14" t="e">
        <f t="shared" si="251"/>
        <v>#DIV/0!</v>
      </c>
      <c r="BF90" s="13" t="e">
        <f t="shared" si="251"/>
        <v>#DIV/0!</v>
      </c>
      <c r="BG90" s="44" t="e">
        <f t="shared" si="251"/>
        <v>#DIV/0!</v>
      </c>
      <c r="BH90" s="44" t="e">
        <f t="shared" si="251"/>
        <v>#DIV/0!</v>
      </c>
      <c r="BI90" s="14" t="e">
        <f t="shared" si="251"/>
        <v>#DIV/0!</v>
      </c>
      <c r="BJ90" s="13" t="e">
        <f t="shared" si="251"/>
        <v>#DIV/0!</v>
      </c>
      <c r="BK90" s="44" t="e">
        <f t="shared" si="251"/>
        <v>#DIV/0!</v>
      </c>
      <c r="BL90" s="44" t="e">
        <f t="shared" si="251"/>
        <v>#DIV/0!</v>
      </c>
      <c r="BM90" s="14" t="e">
        <f t="shared" si="251"/>
        <v>#DIV/0!</v>
      </c>
      <c r="BN90" s="13" t="e">
        <f t="shared" si="251"/>
        <v>#DIV/0!</v>
      </c>
      <c r="BO90" s="44" t="e">
        <f t="shared" si="251"/>
        <v>#DIV/0!</v>
      </c>
      <c r="BP90" s="44" t="e">
        <f t="shared" si="251"/>
        <v>#DIV/0!</v>
      </c>
      <c r="BQ90" s="14" t="e">
        <f t="shared" ref="BQ90:CK90" si="252">BQ87+2*(BQ88-1)</f>
        <v>#DIV/0!</v>
      </c>
      <c r="BR90" s="13" t="e">
        <f t="shared" si="252"/>
        <v>#DIV/0!</v>
      </c>
      <c r="BS90" s="44" t="e">
        <f t="shared" si="252"/>
        <v>#DIV/0!</v>
      </c>
      <c r="BT90" s="44" t="e">
        <f t="shared" si="252"/>
        <v>#DIV/0!</v>
      </c>
      <c r="BU90" s="14" t="e">
        <f t="shared" si="252"/>
        <v>#DIV/0!</v>
      </c>
      <c r="BV90" s="13" t="e">
        <f t="shared" si="252"/>
        <v>#DIV/0!</v>
      </c>
      <c r="BW90" s="44" t="e">
        <f t="shared" si="252"/>
        <v>#DIV/0!</v>
      </c>
      <c r="BX90" s="44" t="e">
        <f t="shared" si="252"/>
        <v>#DIV/0!</v>
      </c>
      <c r="BY90" s="14" t="e">
        <f t="shared" si="252"/>
        <v>#DIV/0!</v>
      </c>
      <c r="BZ90" s="13" t="e">
        <f t="shared" si="252"/>
        <v>#DIV/0!</v>
      </c>
      <c r="CA90" s="44" t="e">
        <f t="shared" si="252"/>
        <v>#DIV/0!</v>
      </c>
      <c r="CB90" s="44" t="e">
        <f t="shared" si="252"/>
        <v>#DIV/0!</v>
      </c>
      <c r="CC90" s="14" t="e">
        <f t="shared" si="252"/>
        <v>#DIV/0!</v>
      </c>
      <c r="CD90" s="13" t="e">
        <f t="shared" si="252"/>
        <v>#DIV/0!</v>
      </c>
      <c r="CE90" s="44" t="e">
        <f t="shared" si="252"/>
        <v>#DIV/0!</v>
      </c>
      <c r="CF90" s="44" t="e">
        <f t="shared" si="252"/>
        <v>#DIV/0!</v>
      </c>
      <c r="CG90" s="14" t="e">
        <f t="shared" si="252"/>
        <v>#DIV/0!</v>
      </c>
      <c r="CH90" s="13" t="e">
        <f t="shared" si="252"/>
        <v>#DIV/0!</v>
      </c>
      <c r="CI90" s="44" t="e">
        <f t="shared" si="252"/>
        <v>#DIV/0!</v>
      </c>
      <c r="CJ90" s="44" t="e">
        <f t="shared" si="252"/>
        <v>#DIV/0!</v>
      </c>
      <c r="CK90" s="14" t="e">
        <f t="shared" si="252"/>
        <v>#DIV/0!</v>
      </c>
      <c r="CL90" s="49"/>
      <c r="CM90" s="28"/>
    </row>
    <row r="91" spans="2:91" ht="14.25" x14ac:dyDescent="0.25">
      <c r="B91" s="55"/>
      <c r="C91" s="10" t="s">
        <v>311</v>
      </c>
      <c r="D91" s="93" t="s">
        <v>408</v>
      </c>
      <c r="E91" s="125">
        <f t="shared" ref="E91:AJ91" si="253">1-EXP(-E90*E49)</f>
        <v>0.75340303605839354</v>
      </c>
      <c r="F91" s="13">
        <f t="shared" si="253"/>
        <v>0.98719176129993325</v>
      </c>
      <c r="G91" s="44">
        <f t="shared" si="253"/>
        <v>0.98719176129993325</v>
      </c>
      <c r="H91" s="44">
        <f t="shared" si="253"/>
        <v>0.88626554489290921</v>
      </c>
      <c r="I91" s="14">
        <f t="shared" si="253"/>
        <v>0.88626554489290921</v>
      </c>
      <c r="J91" s="13" t="e">
        <f t="shared" si="253"/>
        <v>#DIV/0!</v>
      </c>
      <c r="K91" s="44">
        <f t="shared" si="253"/>
        <v>9.0374426851779655E-2</v>
      </c>
      <c r="L91" s="44">
        <f t="shared" si="253"/>
        <v>0.851730278639104</v>
      </c>
      <c r="M91" s="14">
        <f t="shared" si="253"/>
        <v>0.851730278639104</v>
      </c>
      <c r="N91" s="13" t="e">
        <f t="shared" si="253"/>
        <v>#DIV/0!</v>
      </c>
      <c r="O91" s="44" t="e">
        <f t="shared" si="253"/>
        <v>#DIV/0!</v>
      </c>
      <c r="P91" s="44" t="e">
        <f t="shared" si="253"/>
        <v>#DIV/0!</v>
      </c>
      <c r="Q91" s="14" t="e">
        <f t="shared" si="253"/>
        <v>#DIV/0!</v>
      </c>
      <c r="R91" s="13" t="e">
        <f t="shared" si="253"/>
        <v>#DIV/0!</v>
      </c>
      <c r="S91" s="44" t="e">
        <f t="shared" si="253"/>
        <v>#DIV/0!</v>
      </c>
      <c r="T91" s="44" t="e">
        <f t="shared" si="253"/>
        <v>#DIV/0!</v>
      </c>
      <c r="U91" s="14" t="e">
        <f t="shared" si="253"/>
        <v>#DIV/0!</v>
      </c>
      <c r="V91" s="13" t="e">
        <f t="shared" si="253"/>
        <v>#DIV/0!</v>
      </c>
      <c r="W91" s="44" t="e">
        <f t="shared" si="253"/>
        <v>#DIV/0!</v>
      </c>
      <c r="X91" s="44" t="e">
        <f t="shared" si="253"/>
        <v>#DIV/0!</v>
      </c>
      <c r="Y91" s="14" t="e">
        <f t="shared" si="253"/>
        <v>#DIV/0!</v>
      </c>
      <c r="Z91" s="13" t="e">
        <f t="shared" si="253"/>
        <v>#DIV/0!</v>
      </c>
      <c r="AA91" s="44" t="e">
        <f t="shared" si="253"/>
        <v>#DIV/0!</v>
      </c>
      <c r="AB91" s="44" t="e">
        <f t="shared" si="253"/>
        <v>#DIV/0!</v>
      </c>
      <c r="AC91" s="14" t="e">
        <f t="shared" si="253"/>
        <v>#DIV/0!</v>
      </c>
      <c r="AD91" s="13" t="e">
        <f t="shared" si="253"/>
        <v>#DIV/0!</v>
      </c>
      <c r="AE91" s="44" t="e">
        <f t="shared" si="253"/>
        <v>#DIV/0!</v>
      </c>
      <c r="AF91" s="44" t="e">
        <f t="shared" si="253"/>
        <v>#DIV/0!</v>
      </c>
      <c r="AG91" s="14" t="e">
        <f t="shared" si="253"/>
        <v>#DIV/0!</v>
      </c>
      <c r="AH91" s="13" t="e">
        <f t="shared" si="253"/>
        <v>#DIV/0!</v>
      </c>
      <c r="AI91" s="44" t="e">
        <f t="shared" si="253"/>
        <v>#DIV/0!</v>
      </c>
      <c r="AJ91" s="44" t="e">
        <f t="shared" si="253"/>
        <v>#DIV/0!</v>
      </c>
      <c r="AK91" s="14" t="e">
        <f t="shared" ref="AK91:BP91" si="254">1-EXP(-AK90*AK49)</f>
        <v>#DIV/0!</v>
      </c>
      <c r="AL91" s="13" t="e">
        <f t="shared" si="254"/>
        <v>#DIV/0!</v>
      </c>
      <c r="AM91" s="44" t="e">
        <f t="shared" si="254"/>
        <v>#DIV/0!</v>
      </c>
      <c r="AN91" s="44" t="e">
        <f t="shared" si="254"/>
        <v>#DIV/0!</v>
      </c>
      <c r="AO91" s="14" t="e">
        <f t="shared" si="254"/>
        <v>#DIV/0!</v>
      </c>
      <c r="AP91" s="13" t="e">
        <f t="shared" si="254"/>
        <v>#DIV/0!</v>
      </c>
      <c r="AQ91" s="44" t="e">
        <f t="shared" si="254"/>
        <v>#DIV/0!</v>
      </c>
      <c r="AR91" s="44" t="e">
        <f t="shared" si="254"/>
        <v>#DIV/0!</v>
      </c>
      <c r="AS91" s="14" t="e">
        <f t="shared" si="254"/>
        <v>#DIV/0!</v>
      </c>
      <c r="AT91" s="13" t="e">
        <f t="shared" si="254"/>
        <v>#DIV/0!</v>
      </c>
      <c r="AU91" s="44" t="e">
        <f t="shared" si="254"/>
        <v>#DIV/0!</v>
      </c>
      <c r="AV91" s="44" t="e">
        <f t="shared" si="254"/>
        <v>#DIV/0!</v>
      </c>
      <c r="AW91" s="14" t="e">
        <f t="shared" si="254"/>
        <v>#DIV/0!</v>
      </c>
      <c r="AX91" s="13" t="e">
        <f t="shared" si="254"/>
        <v>#DIV/0!</v>
      </c>
      <c r="AY91" s="44" t="e">
        <f t="shared" si="254"/>
        <v>#DIV/0!</v>
      </c>
      <c r="AZ91" s="44" t="e">
        <f t="shared" si="254"/>
        <v>#DIV/0!</v>
      </c>
      <c r="BA91" s="14" t="e">
        <f t="shared" si="254"/>
        <v>#DIV/0!</v>
      </c>
      <c r="BB91" s="13" t="e">
        <f t="shared" si="254"/>
        <v>#DIV/0!</v>
      </c>
      <c r="BC91" s="44" t="e">
        <f t="shared" si="254"/>
        <v>#DIV/0!</v>
      </c>
      <c r="BD91" s="44" t="e">
        <f t="shared" si="254"/>
        <v>#DIV/0!</v>
      </c>
      <c r="BE91" s="14" t="e">
        <f t="shared" si="254"/>
        <v>#DIV/0!</v>
      </c>
      <c r="BF91" s="13" t="e">
        <f t="shared" si="254"/>
        <v>#DIV/0!</v>
      </c>
      <c r="BG91" s="44" t="e">
        <f t="shared" si="254"/>
        <v>#DIV/0!</v>
      </c>
      <c r="BH91" s="44" t="e">
        <f t="shared" si="254"/>
        <v>#DIV/0!</v>
      </c>
      <c r="BI91" s="14" t="e">
        <f t="shared" si="254"/>
        <v>#DIV/0!</v>
      </c>
      <c r="BJ91" s="13" t="e">
        <f t="shared" si="254"/>
        <v>#DIV/0!</v>
      </c>
      <c r="BK91" s="44" t="e">
        <f t="shared" si="254"/>
        <v>#DIV/0!</v>
      </c>
      <c r="BL91" s="44" t="e">
        <f t="shared" si="254"/>
        <v>#DIV/0!</v>
      </c>
      <c r="BM91" s="14" t="e">
        <f t="shared" si="254"/>
        <v>#DIV/0!</v>
      </c>
      <c r="BN91" s="13" t="e">
        <f t="shared" si="254"/>
        <v>#DIV/0!</v>
      </c>
      <c r="BO91" s="44" t="e">
        <f t="shared" si="254"/>
        <v>#DIV/0!</v>
      </c>
      <c r="BP91" s="44" t="e">
        <f t="shared" si="254"/>
        <v>#DIV/0!</v>
      </c>
      <c r="BQ91" s="14" t="e">
        <f t="shared" ref="BQ91:CK91" si="255">1-EXP(-BQ90*BQ49)</f>
        <v>#DIV/0!</v>
      </c>
      <c r="BR91" s="13" t="e">
        <f t="shared" si="255"/>
        <v>#DIV/0!</v>
      </c>
      <c r="BS91" s="44" t="e">
        <f t="shared" si="255"/>
        <v>#DIV/0!</v>
      </c>
      <c r="BT91" s="44" t="e">
        <f t="shared" si="255"/>
        <v>#DIV/0!</v>
      </c>
      <c r="BU91" s="14" t="e">
        <f t="shared" si="255"/>
        <v>#DIV/0!</v>
      </c>
      <c r="BV91" s="13" t="e">
        <f t="shared" si="255"/>
        <v>#DIV/0!</v>
      </c>
      <c r="BW91" s="44" t="e">
        <f t="shared" si="255"/>
        <v>#DIV/0!</v>
      </c>
      <c r="BX91" s="44" t="e">
        <f t="shared" si="255"/>
        <v>#DIV/0!</v>
      </c>
      <c r="BY91" s="14" t="e">
        <f t="shared" si="255"/>
        <v>#DIV/0!</v>
      </c>
      <c r="BZ91" s="13" t="e">
        <f t="shared" si="255"/>
        <v>#DIV/0!</v>
      </c>
      <c r="CA91" s="44" t="e">
        <f t="shared" si="255"/>
        <v>#DIV/0!</v>
      </c>
      <c r="CB91" s="44" t="e">
        <f t="shared" si="255"/>
        <v>#DIV/0!</v>
      </c>
      <c r="CC91" s="14" t="e">
        <f t="shared" si="255"/>
        <v>#DIV/0!</v>
      </c>
      <c r="CD91" s="13" t="e">
        <f t="shared" si="255"/>
        <v>#DIV/0!</v>
      </c>
      <c r="CE91" s="44" t="e">
        <f t="shared" si="255"/>
        <v>#DIV/0!</v>
      </c>
      <c r="CF91" s="44" t="e">
        <f t="shared" si="255"/>
        <v>#DIV/0!</v>
      </c>
      <c r="CG91" s="14" t="e">
        <f t="shared" si="255"/>
        <v>#DIV/0!</v>
      </c>
      <c r="CH91" s="13" t="e">
        <f t="shared" si="255"/>
        <v>#DIV/0!</v>
      </c>
      <c r="CI91" s="44" t="e">
        <f t="shared" si="255"/>
        <v>#DIV/0!</v>
      </c>
      <c r="CJ91" s="44" t="e">
        <f t="shared" si="255"/>
        <v>#DIV/0!</v>
      </c>
      <c r="CK91" s="14" t="e">
        <f t="shared" si="255"/>
        <v>#DIV/0!</v>
      </c>
      <c r="CL91" s="49"/>
      <c r="CM91" s="28"/>
    </row>
    <row r="92" spans="2:91" ht="14.25" x14ac:dyDescent="0.25">
      <c r="B92" s="55"/>
      <c r="C92" s="10" t="s">
        <v>312</v>
      </c>
      <c r="D92" s="93" t="s">
        <v>409</v>
      </c>
      <c r="E92" s="125">
        <f t="shared" ref="E92:AJ92" si="256">1-(1-E91)^E31</f>
        <v>1</v>
      </c>
      <c r="F92" s="13">
        <f t="shared" si="256"/>
        <v>1</v>
      </c>
      <c r="G92" s="44">
        <f t="shared" si="256"/>
        <v>1</v>
      </c>
      <c r="H92" s="44">
        <f t="shared" si="256"/>
        <v>1</v>
      </c>
      <c r="I92" s="14">
        <f t="shared" si="256"/>
        <v>1</v>
      </c>
      <c r="J92" s="13" t="e">
        <f t="shared" si="256"/>
        <v>#DIV/0!</v>
      </c>
      <c r="K92" s="44">
        <f t="shared" si="256"/>
        <v>0.95173801610286957</v>
      </c>
      <c r="L92" s="44">
        <f t="shared" si="256"/>
        <v>1</v>
      </c>
      <c r="M92" s="14">
        <f t="shared" si="256"/>
        <v>1</v>
      </c>
      <c r="N92" s="13" t="e">
        <f t="shared" si="256"/>
        <v>#DIV/0!</v>
      </c>
      <c r="O92" s="44" t="e">
        <f t="shared" si="256"/>
        <v>#DIV/0!</v>
      </c>
      <c r="P92" s="44" t="e">
        <f t="shared" si="256"/>
        <v>#DIV/0!</v>
      </c>
      <c r="Q92" s="14" t="e">
        <f t="shared" si="256"/>
        <v>#DIV/0!</v>
      </c>
      <c r="R92" s="13" t="e">
        <f t="shared" si="256"/>
        <v>#DIV/0!</v>
      </c>
      <c r="S92" s="44" t="e">
        <f t="shared" si="256"/>
        <v>#DIV/0!</v>
      </c>
      <c r="T92" s="44" t="e">
        <f t="shared" si="256"/>
        <v>#DIV/0!</v>
      </c>
      <c r="U92" s="14" t="e">
        <f t="shared" si="256"/>
        <v>#DIV/0!</v>
      </c>
      <c r="V92" s="13" t="e">
        <f t="shared" si="256"/>
        <v>#DIV/0!</v>
      </c>
      <c r="W92" s="44" t="e">
        <f t="shared" si="256"/>
        <v>#DIV/0!</v>
      </c>
      <c r="X92" s="44" t="e">
        <f t="shared" si="256"/>
        <v>#DIV/0!</v>
      </c>
      <c r="Y92" s="14" t="e">
        <f t="shared" si="256"/>
        <v>#DIV/0!</v>
      </c>
      <c r="Z92" s="13" t="e">
        <f t="shared" si="256"/>
        <v>#DIV/0!</v>
      </c>
      <c r="AA92" s="44" t="e">
        <f t="shared" si="256"/>
        <v>#DIV/0!</v>
      </c>
      <c r="AB92" s="44" t="e">
        <f t="shared" si="256"/>
        <v>#DIV/0!</v>
      </c>
      <c r="AC92" s="14" t="e">
        <f t="shared" si="256"/>
        <v>#DIV/0!</v>
      </c>
      <c r="AD92" s="13" t="e">
        <f t="shared" si="256"/>
        <v>#DIV/0!</v>
      </c>
      <c r="AE92" s="44" t="e">
        <f t="shared" si="256"/>
        <v>#DIV/0!</v>
      </c>
      <c r="AF92" s="44" t="e">
        <f t="shared" si="256"/>
        <v>#DIV/0!</v>
      </c>
      <c r="AG92" s="14" t="e">
        <f t="shared" si="256"/>
        <v>#DIV/0!</v>
      </c>
      <c r="AH92" s="13" t="e">
        <f t="shared" si="256"/>
        <v>#DIV/0!</v>
      </c>
      <c r="AI92" s="44" t="e">
        <f t="shared" si="256"/>
        <v>#DIV/0!</v>
      </c>
      <c r="AJ92" s="44" t="e">
        <f t="shared" si="256"/>
        <v>#DIV/0!</v>
      </c>
      <c r="AK92" s="14" t="e">
        <f t="shared" ref="AK92:BP92" si="257">1-(1-AK91)^AK31</f>
        <v>#DIV/0!</v>
      </c>
      <c r="AL92" s="13" t="e">
        <f t="shared" si="257"/>
        <v>#DIV/0!</v>
      </c>
      <c r="AM92" s="44" t="e">
        <f t="shared" si="257"/>
        <v>#DIV/0!</v>
      </c>
      <c r="AN92" s="44" t="e">
        <f t="shared" si="257"/>
        <v>#DIV/0!</v>
      </c>
      <c r="AO92" s="14" t="e">
        <f t="shared" si="257"/>
        <v>#DIV/0!</v>
      </c>
      <c r="AP92" s="13" t="e">
        <f t="shared" si="257"/>
        <v>#DIV/0!</v>
      </c>
      <c r="AQ92" s="44" t="e">
        <f t="shared" si="257"/>
        <v>#DIV/0!</v>
      </c>
      <c r="AR92" s="44" t="e">
        <f t="shared" si="257"/>
        <v>#DIV/0!</v>
      </c>
      <c r="AS92" s="14" t="e">
        <f t="shared" si="257"/>
        <v>#DIV/0!</v>
      </c>
      <c r="AT92" s="13" t="e">
        <f t="shared" si="257"/>
        <v>#DIV/0!</v>
      </c>
      <c r="AU92" s="44" t="e">
        <f t="shared" si="257"/>
        <v>#DIV/0!</v>
      </c>
      <c r="AV92" s="44" t="e">
        <f t="shared" si="257"/>
        <v>#DIV/0!</v>
      </c>
      <c r="AW92" s="14" t="e">
        <f t="shared" si="257"/>
        <v>#DIV/0!</v>
      </c>
      <c r="AX92" s="13" t="e">
        <f t="shared" si="257"/>
        <v>#DIV/0!</v>
      </c>
      <c r="AY92" s="44" t="e">
        <f t="shared" si="257"/>
        <v>#DIV/0!</v>
      </c>
      <c r="AZ92" s="44" t="e">
        <f t="shared" si="257"/>
        <v>#DIV/0!</v>
      </c>
      <c r="BA92" s="14" t="e">
        <f t="shared" si="257"/>
        <v>#DIV/0!</v>
      </c>
      <c r="BB92" s="13" t="e">
        <f t="shared" si="257"/>
        <v>#DIV/0!</v>
      </c>
      <c r="BC92" s="44" t="e">
        <f t="shared" si="257"/>
        <v>#DIV/0!</v>
      </c>
      <c r="BD92" s="44" t="e">
        <f t="shared" si="257"/>
        <v>#DIV/0!</v>
      </c>
      <c r="BE92" s="14" t="e">
        <f t="shared" si="257"/>
        <v>#DIV/0!</v>
      </c>
      <c r="BF92" s="13" t="e">
        <f t="shared" si="257"/>
        <v>#DIV/0!</v>
      </c>
      <c r="BG92" s="44" t="e">
        <f t="shared" si="257"/>
        <v>#DIV/0!</v>
      </c>
      <c r="BH92" s="44" t="e">
        <f t="shared" si="257"/>
        <v>#DIV/0!</v>
      </c>
      <c r="BI92" s="14" t="e">
        <f t="shared" si="257"/>
        <v>#DIV/0!</v>
      </c>
      <c r="BJ92" s="13" t="e">
        <f t="shared" si="257"/>
        <v>#DIV/0!</v>
      </c>
      <c r="BK92" s="44" t="e">
        <f t="shared" si="257"/>
        <v>#DIV/0!</v>
      </c>
      <c r="BL92" s="44" t="e">
        <f t="shared" si="257"/>
        <v>#DIV/0!</v>
      </c>
      <c r="BM92" s="14" t="e">
        <f t="shared" si="257"/>
        <v>#DIV/0!</v>
      </c>
      <c r="BN92" s="13" t="e">
        <f t="shared" si="257"/>
        <v>#DIV/0!</v>
      </c>
      <c r="BO92" s="44" t="e">
        <f t="shared" si="257"/>
        <v>#DIV/0!</v>
      </c>
      <c r="BP92" s="44" t="e">
        <f t="shared" si="257"/>
        <v>#DIV/0!</v>
      </c>
      <c r="BQ92" s="14" t="e">
        <f t="shared" ref="BQ92:CK92" si="258">1-(1-BQ91)^BQ31</f>
        <v>#DIV/0!</v>
      </c>
      <c r="BR92" s="13" t="e">
        <f t="shared" si="258"/>
        <v>#DIV/0!</v>
      </c>
      <c r="BS92" s="44" t="e">
        <f t="shared" si="258"/>
        <v>#DIV/0!</v>
      </c>
      <c r="BT92" s="44" t="e">
        <f t="shared" si="258"/>
        <v>#DIV/0!</v>
      </c>
      <c r="BU92" s="14" t="e">
        <f t="shared" si="258"/>
        <v>#DIV/0!</v>
      </c>
      <c r="BV92" s="13" t="e">
        <f t="shared" si="258"/>
        <v>#DIV/0!</v>
      </c>
      <c r="BW92" s="44" t="e">
        <f t="shared" si="258"/>
        <v>#DIV/0!</v>
      </c>
      <c r="BX92" s="44" t="e">
        <f t="shared" si="258"/>
        <v>#DIV/0!</v>
      </c>
      <c r="BY92" s="14" t="e">
        <f t="shared" si="258"/>
        <v>#DIV/0!</v>
      </c>
      <c r="BZ92" s="13" t="e">
        <f t="shared" si="258"/>
        <v>#DIV/0!</v>
      </c>
      <c r="CA92" s="44" t="e">
        <f t="shared" si="258"/>
        <v>#DIV/0!</v>
      </c>
      <c r="CB92" s="44" t="e">
        <f t="shared" si="258"/>
        <v>#DIV/0!</v>
      </c>
      <c r="CC92" s="14" t="e">
        <f t="shared" si="258"/>
        <v>#DIV/0!</v>
      </c>
      <c r="CD92" s="13" t="e">
        <f t="shared" si="258"/>
        <v>#DIV/0!</v>
      </c>
      <c r="CE92" s="44" t="e">
        <f t="shared" si="258"/>
        <v>#DIV/0!</v>
      </c>
      <c r="CF92" s="44" t="e">
        <f t="shared" si="258"/>
        <v>#DIV/0!</v>
      </c>
      <c r="CG92" s="14" t="e">
        <f t="shared" si="258"/>
        <v>#DIV/0!</v>
      </c>
      <c r="CH92" s="13" t="e">
        <f t="shared" si="258"/>
        <v>#DIV/0!</v>
      </c>
      <c r="CI92" s="44" t="e">
        <f t="shared" si="258"/>
        <v>#DIV/0!</v>
      </c>
      <c r="CJ92" s="44" t="e">
        <f t="shared" si="258"/>
        <v>#DIV/0!</v>
      </c>
      <c r="CK92" s="14" t="e">
        <f t="shared" si="258"/>
        <v>#DIV/0!</v>
      </c>
      <c r="CL92" s="49"/>
      <c r="CM92" s="28"/>
    </row>
    <row r="93" spans="2:91" ht="14.25" x14ac:dyDescent="0.25">
      <c r="B93" s="55"/>
      <c r="C93" s="10" t="s">
        <v>313</v>
      </c>
      <c r="D93" s="93" t="s">
        <v>411</v>
      </c>
      <c r="E93" s="125">
        <f t="shared" ref="E93:AJ93" si="259">(1/E49)*(EXP(E49*E90)-E49*E90-1)/E92</f>
        <v>9.9311998010680469</v>
      </c>
      <c r="F93" s="13">
        <f t="shared" si="259"/>
        <v>170.2090314159436</v>
      </c>
      <c r="G93" s="44">
        <f t="shared" si="259"/>
        <v>170.2090314159436</v>
      </c>
      <c r="H93" s="44">
        <f t="shared" si="259"/>
        <v>22.227117859951019</v>
      </c>
      <c r="I93" s="14">
        <f t="shared" si="259"/>
        <v>22.227117859951019</v>
      </c>
      <c r="J93" s="13" t="e">
        <f t="shared" si="259"/>
        <v>#DIV/0!</v>
      </c>
      <c r="K93" s="44">
        <f t="shared" si="259"/>
        <v>0.31850576205204179</v>
      </c>
      <c r="L93" s="44">
        <f t="shared" si="259"/>
        <v>17.282447189444994</v>
      </c>
      <c r="M93" s="14">
        <f t="shared" si="259"/>
        <v>17.282447189444994</v>
      </c>
      <c r="N93" s="13" t="e">
        <f t="shared" si="259"/>
        <v>#DIV/0!</v>
      </c>
      <c r="O93" s="44" t="e">
        <f t="shared" si="259"/>
        <v>#DIV/0!</v>
      </c>
      <c r="P93" s="44" t="e">
        <f t="shared" si="259"/>
        <v>#DIV/0!</v>
      </c>
      <c r="Q93" s="14" t="e">
        <f t="shared" si="259"/>
        <v>#DIV/0!</v>
      </c>
      <c r="R93" s="13" t="e">
        <f t="shared" si="259"/>
        <v>#DIV/0!</v>
      </c>
      <c r="S93" s="44" t="e">
        <f t="shared" si="259"/>
        <v>#DIV/0!</v>
      </c>
      <c r="T93" s="44" t="e">
        <f t="shared" si="259"/>
        <v>#DIV/0!</v>
      </c>
      <c r="U93" s="14" t="e">
        <f t="shared" si="259"/>
        <v>#DIV/0!</v>
      </c>
      <c r="V93" s="13" t="e">
        <f t="shared" si="259"/>
        <v>#DIV/0!</v>
      </c>
      <c r="W93" s="44" t="e">
        <f t="shared" si="259"/>
        <v>#DIV/0!</v>
      </c>
      <c r="X93" s="44" t="e">
        <f t="shared" si="259"/>
        <v>#DIV/0!</v>
      </c>
      <c r="Y93" s="14" t="e">
        <f t="shared" si="259"/>
        <v>#DIV/0!</v>
      </c>
      <c r="Z93" s="13" t="e">
        <f t="shared" si="259"/>
        <v>#DIV/0!</v>
      </c>
      <c r="AA93" s="44" t="e">
        <f t="shared" si="259"/>
        <v>#DIV/0!</v>
      </c>
      <c r="AB93" s="44" t="e">
        <f t="shared" si="259"/>
        <v>#DIV/0!</v>
      </c>
      <c r="AC93" s="14" t="e">
        <f t="shared" si="259"/>
        <v>#DIV/0!</v>
      </c>
      <c r="AD93" s="13" t="e">
        <f t="shared" si="259"/>
        <v>#DIV/0!</v>
      </c>
      <c r="AE93" s="44" t="e">
        <f t="shared" si="259"/>
        <v>#DIV/0!</v>
      </c>
      <c r="AF93" s="44" t="e">
        <f t="shared" si="259"/>
        <v>#DIV/0!</v>
      </c>
      <c r="AG93" s="14" t="e">
        <f t="shared" si="259"/>
        <v>#DIV/0!</v>
      </c>
      <c r="AH93" s="13" t="e">
        <f t="shared" si="259"/>
        <v>#DIV/0!</v>
      </c>
      <c r="AI93" s="44" t="e">
        <f t="shared" si="259"/>
        <v>#DIV/0!</v>
      </c>
      <c r="AJ93" s="44" t="e">
        <f t="shared" si="259"/>
        <v>#DIV/0!</v>
      </c>
      <c r="AK93" s="14" t="e">
        <f t="shared" ref="AK93:BP93" si="260">(1/AK49)*(EXP(AK49*AK90)-AK49*AK90-1)/AK92</f>
        <v>#DIV/0!</v>
      </c>
      <c r="AL93" s="13" t="e">
        <f t="shared" si="260"/>
        <v>#DIV/0!</v>
      </c>
      <c r="AM93" s="44" t="e">
        <f t="shared" si="260"/>
        <v>#DIV/0!</v>
      </c>
      <c r="AN93" s="44" t="e">
        <f t="shared" si="260"/>
        <v>#DIV/0!</v>
      </c>
      <c r="AO93" s="14" t="e">
        <f t="shared" si="260"/>
        <v>#DIV/0!</v>
      </c>
      <c r="AP93" s="13" t="e">
        <f t="shared" si="260"/>
        <v>#DIV/0!</v>
      </c>
      <c r="AQ93" s="44" t="e">
        <f t="shared" si="260"/>
        <v>#DIV/0!</v>
      </c>
      <c r="AR93" s="44" t="e">
        <f t="shared" si="260"/>
        <v>#DIV/0!</v>
      </c>
      <c r="AS93" s="14" t="e">
        <f t="shared" si="260"/>
        <v>#DIV/0!</v>
      </c>
      <c r="AT93" s="13" t="e">
        <f t="shared" si="260"/>
        <v>#DIV/0!</v>
      </c>
      <c r="AU93" s="44" t="e">
        <f t="shared" si="260"/>
        <v>#DIV/0!</v>
      </c>
      <c r="AV93" s="44" t="e">
        <f t="shared" si="260"/>
        <v>#DIV/0!</v>
      </c>
      <c r="AW93" s="14" t="e">
        <f t="shared" si="260"/>
        <v>#DIV/0!</v>
      </c>
      <c r="AX93" s="13" t="e">
        <f t="shared" si="260"/>
        <v>#DIV/0!</v>
      </c>
      <c r="AY93" s="44" t="e">
        <f t="shared" si="260"/>
        <v>#DIV/0!</v>
      </c>
      <c r="AZ93" s="44" t="e">
        <f t="shared" si="260"/>
        <v>#DIV/0!</v>
      </c>
      <c r="BA93" s="14" t="e">
        <f t="shared" si="260"/>
        <v>#DIV/0!</v>
      </c>
      <c r="BB93" s="13" t="e">
        <f t="shared" si="260"/>
        <v>#DIV/0!</v>
      </c>
      <c r="BC93" s="44" t="e">
        <f t="shared" si="260"/>
        <v>#DIV/0!</v>
      </c>
      <c r="BD93" s="44" t="e">
        <f t="shared" si="260"/>
        <v>#DIV/0!</v>
      </c>
      <c r="BE93" s="14" t="e">
        <f t="shared" si="260"/>
        <v>#DIV/0!</v>
      </c>
      <c r="BF93" s="13" t="e">
        <f t="shared" si="260"/>
        <v>#DIV/0!</v>
      </c>
      <c r="BG93" s="44" t="e">
        <f t="shared" si="260"/>
        <v>#DIV/0!</v>
      </c>
      <c r="BH93" s="44" t="e">
        <f t="shared" si="260"/>
        <v>#DIV/0!</v>
      </c>
      <c r="BI93" s="14" t="e">
        <f t="shared" si="260"/>
        <v>#DIV/0!</v>
      </c>
      <c r="BJ93" s="13" t="e">
        <f t="shared" si="260"/>
        <v>#DIV/0!</v>
      </c>
      <c r="BK93" s="44" t="e">
        <f t="shared" si="260"/>
        <v>#DIV/0!</v>
      </c>
      <c r="BL93" s="44" t="e">
        <f t="shared" si="260"/>
        <v>#DIV/0!</v>
      </c>
      <c r="BM93" s="14" t="e">
        <f t="shared" si="260"/>
        <v>#DIV/0!</v>
      </c>
      <c r="BN93" s="13" t="e">
        <f t="shared" si="260"/>
        <v>#DIV/0!</v>
      </c>
      <c r="BO93" s="44" t="e">
        <f t="shared" si="260"/>
        <v>#DIV/0!</v>
      </c>
      <c r="BP93" s="44" t="e">
        <f t="shared" si="260"/>
        <v>#DIV/0!</v>
      </c>
      <c r="BQ93" s="14" t="e">
        <f t="shared" ref="BQ93:CK93" si="261">(1/BQ49)*(EXP(BQ49*BQ90)-BQ49*BQ90-1)/BQ92</f>
        <v>#DIV/0!</v>
      </c>
      <c r="BR93" s="13" t="e">
        <f t="shared" si="261"/>
        <v>#DIV/0!</v>
      </c>
      <c r="BS93" s="44" t="e">
        <f t="shared" si="261"/>
        <v>#DIV/0!</v>
      </c>
      <c r="BT93" s="44" t="e">
        <f t="shared" si="261"/>
        <v>#DIV/0!</v>
      </c>
      <c r="BU93" s="14" t="e">
        <f t="shared" si="261"/>
        <v>#DIV/0!</v>
      </c>
      <c r="BV93" s="13" t="e">
        <f t="shared" si="261"/>
        <v>#DIV/0!</v>
      </c>
      <c r="BW93" s="44" t="e">
        <f t="shared" si="261"/>
        <v>#DIV/0!</v>
      </c>
      <c r="BX93" s="44" t="e">
        <f t="shared" si="261"/>
        <v>#DIV/0!</v>
      </c>
      <c r="BY93" s="14" t="e">
        <f t="shared" si="261"/>
        <v>#DIV/0!</v>
      </c>
      <c r="BZ93" s="13" t="e">
        <f t="shared" si="261"/>
        <v>#DIV/0!</v>
      </c>
      <c r="CA93" s="44" t="e">
        <f t="shared" si="261"/>
        <v>#DIV/0!</v>
      </c>
      <c r="CB93" s="44" t="e">
        <f t="shared" si="261"/>
        <v>#DIV/0!</v>
      </c>
      <c r="CC93" s="14" t="e">
        <f t="shared" si="261"/>
        <v>#DIV/0!</v>
      </c>
      <c r="CD93" s="13" t="e">
        <f t="shared" si="261"/>
        <v>#DIV/0!</v>
      </c>
      <c r="CE93" s="44" t="e">
        <f t="shared" si="261"/>
        <v>#DIV/0!</v>
      </c>
      <c r="CF93" s="44" t="e">
        <f t="shared" si="261"/>
        <v>#DIV/0!</v>
      </c>
      <c r="CG93" s="14" t="e">
        <f t="shared" si="261"/>
        <v>#DIV/0!</v>
      </c>
      <c r="CH93" s="13" t="e">
        <f t="shared" si="261"/>
        <v>#DIV/0!</v>
      </c>
      <c r="CI93" s="44" t="e">
        <f t="shared" si="261"/>
        <v>#DIV/0!</v>
      </c>
      <c r="CJ93" s="44" t="e">
        <f t="shared" si="261"/>
        <v>#DIV/0!</v>
      </c>
      <c r="CK93" s="14" t="e">
        <f t="shared" si="261"/>
        <v>#DIV/0!</v>
      </c>
      <c r="CL93" s="49"/>
      <c r="CM93" s="28"/>
    </row>
    <row r="94" spans="2:91" x14ac:dyDescent="0.25">
      <c r="B94" s="55"/>
      <c r="C94" s="10" t="s">
        <v>294</v>
      </c>
      <c r="D94" s="93" t="s">
        <v>412</v>
      </c>
      <c r="E94" s="125">
        <f t="shared" ref="E94:AJ94" si="262">((1/E49) - (E90+(1/E49))*EXP(-E49*E90))/(1-EXP(-E49*E90))</f>
        <v>3.2505891296289562</v>
      </c>
      <c r="F94" s="13">
        <f t="shared" si="262"/>
        <v>2.2083631455876866</v>
      </c>
      <c r="G94" s="44">
        <f t="shared" si="262"/>
        <v>2.2083631455876866</v>
      </c>
      <c r="H94" s="44">
        <f t="shared" si="262"/>
        <v>2.8524059780616677</v>
      </c>
      <c r="I94" s="14">
        <f t="shared" si="262"/>
        <v>2.8524059780616677</v>
      </c>
      <c r="J94" s="13" t="e">
        <f t="shared" si="262"/>
        <v>#DIV/0!</v>
      </c>
      <c r="K94" s="44">
        <f t="shared" si="262"/>
        <v>3.0510675019999689</v>
      </c>
      <c r="L94" s="44">
        <f t="shared" si="262"/>
        <v>3.008538845545937</v>
      </c>
      <c r="M94" s="14">
        <f t="shared" si="262"/>
        <v>3.008538845545937</v>
      </c>
      <c r="N94" s="13" t="e">
        <f t="shared" si="262"/>
        <v>#DIV/0!</v>
      </c>
      <c r="O94" s="44" t="e">
        <f t="shared" si="262"/>
        <v>#DIV/0!</v>
      </c>
      <c r="P94" s="44" t="e">
        <f t="shared" si="262"/>
        <v>#DIV/0!</v>
      </c>
      <c r="Q94" s="14" t="e">
        <f t="shared" si="262"/>
        <v>#DIV/0!</v>
      </c>
      <c r="R94" s="13" t="e">
        <f t="shared" si="262"/>
        <v>#DIV/0!</v>
      </c>
      <c r="S94" s="44" t="e">
        <f t="shared" si="262"/>
        <v>#DIV/0!</v>
      </c>
      <c r="T94" s="44" t="e">
        <f t="shared" si="262"/>
        <v>#DIV/0!</v>
      </c>
      <c r="U94" s="14" t="e">
        <f t="shared" si="262"/>
        <v>#DIV/0!</v>
      </c>
      <c r="V94" s="13" t="e">
        <f t="shared" si="262"/>
        <v>#DIV/0!</v>
      </c>
      <c r="W94" s="44" t="e">
        <f t="shared" si="262"/>
        <v>#DIV/0!</v>
      </c>
      <c r="X94" s="44" t="e">
        <f t="shared" si="262"/>
        <v>#DIV/0!</v>
      </c>
      <c r="Y94" s="14" t="e">
        <f t="shared" si="262"/>
        <v>#DIV/0!</v>
      </c>
      <c r="Z94" s="13" t="e">
        <f t="shared" si="262"/>
        <v>#DIV/0!</v>
      </c>
      <c r="AA94" s="44" t="e">
        <f t="shared" si="262"/>
        <v>#DIV/0!</v>
      </c>
      <c r="AB94" s="44" t="e">
        <f t="shared" si="262"/>
        <v>#DIV/0!</v>
      </c>
      <c r="AC94" s="14" t="e">
        <f t="shared" si="262"/>
        <v>#DIV/0!</v>
      </c>
      <c r="AD94" s="13" t="e">
        <f t="shared" si="262"/>
        <v>#DIV/0!</v>
      </c>
      <c r="AE94" s="44" t="e">
        <f t="shared" si="262"/>
        <v>#DIV/0!</v>
      </c>
      <c r="AF94" s="44" t="e">
        <f t="shared" si="262"/>
        <v>#DIV/0!</v>
      </c>
      <c r="AG94" s="14" t="e">
        <f t="shared" si="262"/>
        <v>#DIV/0!</v>
      </c>
      <c r="AH94" s="13" t="e">
        <f t="shared" si="262"/>
        <v>#DIV/0!</v>
      </c>
      <c r="AI94" s="44" t="e">
        <f t="shared" si="262"/>
        <v>#DIV/0!</v>
      </c>
      <c r="AJ94" s="44" t="e">
        <f t="shared" si="262"/>
        <v>#DIV/0!</v>
      </c>
      <c r="AK94" s="14" t="e">
        <f t="shared" ref="AK94:BP94" si="263">((1/AK49) - (AK90+(1/AK49))*EXP(-AK49*AK90))/(1-EXP(-AK49*AK90))</f>
        <v>#DIV/0!</v>
      </c>
      <c r="AL94" s="13" t="e">
        <f t="shared" si="263"/>
        <v>#DIV/0!</v>
      </c>
      <c r="AM94" s="44" t="e">
        <f t="shared" si="263"/>
        <v>#DIV/0!</v>
      </c>
      <c r="AN94" s="44" t="e">
        <f t="shared" si="263"/>
        <v>#DIV/0!</v>
      </c>
      <c r="AO94" s="14" t="e">
        <f t="shared" si="263"/>
        <v>#DIV/0!</v>
      </c>
      <c r="AP94" s="13" t="e">
        <f t="shared" si="263"/>
        <v>#DIV/0!</v>
      </c>
      <c r="AQ94" s="44" t="e">
        <f t="shared" si="263"/>
        <v>#DIV/0!</v>
      </c>
      <c r="AR94" s="44" t="e">
        <f t="shared" si="263"/>
        <v>#DIV/0!</v>
      </c>
      <c r="AS94" s="14" t="e">
        <f t="shared" si="263"/>
        <v>#DIV/0!</v>
      </c>
      <c r="AT94" s="13" t="e">
        <f t="shared" si="263"/>
        <v>#DIV/0!</v>
      </c>
      <c r="AU94" s="44" t="e">
        <f t="shared" si="263"/>
        <v>#DIV/0!</v>
      </c>
      <c r="AV94" s="44" t="e">
        <f t="shared" si="263"/>
        <v>#DIV/0!</v>
      </c>
      <c r="AW94" s="14" t="e">
        <f t="shared" si="263"/>
        <v>#DIV/0!</v>
      </c>
      <c r="AX94" s="13" t="e">
        <f t="shared" si="263"/>
        <v>#DIV/0!</v>
      </c>
      <c r="AY94" s="44" t="e">
        <f t="shared" si="263"/>
        <v>#DIV/0!</v>
      </c>
      <c r="AZ94" s="44" t="e">
        <f t="shared" si="263"/>
        <v>#DIV/0!</v>
      </c>
      <c r="BA94" s="14" t="e">
        <f t="shared" si="263"/>
        <v>#DIV/0!</v>
      </c>
      <c r="BB94" s="13" t="e">
        <f t="shared" si="263"/>
        <v>#DIV/0!</v>
      </c>
      <c r="BC94" s="44" t="e">
        <f t="shared" si="263"/>
        <v>#DIV/0!</v>
      </c>
      <c r="BD94" s="44" t="e">
        <f t="shared" si="263"/>
        <v>#DIV/0!</v>
      </c>
      <c r="BE94" s="14" t="e">
        <f t="shared" si="263"/>
        <v>#DIV/0!</v>
      </c>
      <c r="BF94" s="13" t="e">
        <f t="shared" si="263"/>
        <v>#DIV/0!</v>
      </c>
      <c r="BG94" s="44" t="e">
        <f t="shared" si="263"/>
        <v>#DIV/0!</v>
      </c>
      <c r="BH94" s="44" t="e">
        <f t="shared" si="263"/>
        <v>#DIV/0!</v>
      </c>
      <c r="BI94" s="14" t="e">
        <f t="shared" si="263"/>
        <v>#DIV/0!</v>
      </c>
      <c r="BJ94" s="13" t="e">
        <f t="shared" si="263"/>
        <v>#DIV/0!</v>
      </c>
      <c r="BK94" s="44" t="e">
        <f t="shared" si="263"/>
        <v>#DIV/0!</v>
      </c>
      <c r="BL94" s="44" t="e">
        <f t="shared" si="263"/>
        <v>#DIV/0!</v>
      </c>
      <c r="BM94" s="14" t="e">
        <f t="shared" si="263"/>
        <v>#DIV/0!</v>
      </c>
      <c r="BN94" s="13" t="e">
        <f t="shared" si="263"/>
        <v>#DIV/0!</v>
      </c>
      <c r="BO94" s="44" t="e">
        <f t="shared" si="263"/>
        <v>#DIV/0!</v>
      </c>
      <c r="BP94" s="44" t="e">
        <f t="shared" si="263"/>
        <v>#DIV/0!</v>
      </c>
      <c r="BQ94" s="14" t="e">
        <f t="shared" ref="BQ94:CK94" si="264">((1/BQ49) - (BQ90+(1/BQ49))*EXP(-BQ49*BQ90))/(1-EXP(-BQ49*BQ90))</f>
        <v>#DIV/0!</v>
      </c>
      <c r="BR94" s="13" t="e">
        <f t="shared" si="264"/>
        <v>#DIV/0!</v>
      </c>
      <c r="BS94" s="44" t="e">
        <f t="shared" si="264"/>
        <v>#DIV/0!</v>
      </c>
      <c r="BT94" s="44" t="e">
        <f t="shared" si="264"/>
        <v>#DIV/0!</v>
      </c>
      <c r="BU94" s="14" t="e">
        <f t="shared" si="264"/>
        <v>#DIV/0!</v>
      </c>
      <c r="BV94" s="13" t="e">
        <f t="shared" si="264"/>
        <v>#DIV/0!</v>
      </c>
      <c r="BW94" s="44" t="e">
        <f t="shared" si="264"/>
        <v>#DIV/0!</v>
      </c>
      <c r="BX94" s="44" t="e">
        <f t="shared" si="264"/>
        <v>#DIV/0!</v>
      </c>
      <c r="BY94" s="14" t="e">
        <f t="shared" si="264"/>
        <v>#DIV/0!</v>
      </c>
      <c r="BZ94" s="13" t="e">
        <f t="shared" si="264"/>
        <v>#DIV/0!</v>
      </c>
      <c r="CA94" s="44" t="e">
        <f t="shared" si="264"/>
        <v>#DIV/0!</v>
      </c>
      <c r="CB94" s="44" t="e">
        <f t="shared" si="264"/>
        <v>#DIV/0!</v>
      </c>
      <c r="CC94" s="14" t="e">
        <f t="shared" si="264"/>
        <v>#DIV/0!</v>
      </c>
      <c r="CD94" s="13" t="e">
        <f t="shared" si="264"/>
        <v>#DIV/0!</v>
      </c>
      <c r="CE94" s="44" t="e">
        <f t="shared" si="264"/>
        <v>#DIV/0!</v>
      </c>
      <c r="CF94" s="44" t="e">
        <f t="shared" si="264"/>
        <v>#DIV/0!</v>
      </c>
      <c r="CG94" s="14" t="e">
        <f t="shared" si="264"/>
        <v>#DIV/0!</v>
      </c>
      <c r="CH94" s="13" t="e">
        <f t="shared" si="264"/>
        <v>#DIV/0!</v>
      </c>
      <c r="CI94" s="44" t="e">
        <f t="shared" si="264"/>
        <v>#DIV/0!</v>
      </c>
      <c r="CJ94" s="44" t="e">
        <f t="shared" si="264"/>
        <v>#DIV/0!</v>
      </c>
      <c r="CK94" s="14" t="e">
        <f t="shared" si="264"/>
        <v>#DIV/0!</v>
      </c>
      <c r="CL94" s="49"/>
      <c r="CM94" s="28"/>
    </row>
    <row r="95" spans="2:91" x14ac:dyDescent="0.25">
      <c r="B95" s="55"/>
      <c r="C95" s="10" t="s">
        <v>293</v>
      </c>
      <c r="D95" s="93" t="s">
        <v>303</v>
      </c>
      <c r="E95" s="127">
        <f t="shared" ref="E95:AJ95" si="265">ROUND(1/EXP(-E49*E90),0)</f>
        <v>4</v>
      </c>
      <c r="F95" s="13">
        <f t="shared" si="265"/>
        <v>78</v>
      </c>
      <c r="G95" s="44">
        <f t="shared" si="265"/>
        <v>78</v>
      </c>
      <c r="H95" s="44">
        <f t="shared" si="265"/>
        <v>9</v>
      </c>
      <c r="I95" s="14">
        <f t="shared" si="265"/>
        <v>9</v>
      </c>
      <c r="J95" s="13" t="e">
        <f t="shared" si="265"/>
        <v>#DIV/0!</v>
      </c>
      <c r="K95" s="44">
        <f t="shared" si="265"/>
        <v>1</v>
      </c>
      <c r="L95" s="44">
        <f t="shared" si="265"/>
        <v>7</v>
      </c>
      <c r="M95" s="14">
        <f t="shared" si="265"/>
        <v>7</v>
      </c>
      <c r="N95" s="13" t="e">
        <f t="shared" si="265"/>
        <v>#DIV/0!</v>
      </c>
      <c r="O95" s="44" t="e">
        <f t="shared" si="265"/>
        <v>#DIV/0!</v>
      </c>
      <c r="P95" s="44" t="e">
        <f t="shared" si="265"/>
        <v>#DIV/0!</v>
      </c>
      <c r="Q95" s="14" t="e">
        <f t="shared" si="265"/>
        <v>#DIV/0!</v>
      </c>
      <c r="R95" s="13" t="e">
        <f t="shared" si="265"/>
        <v>#DIV/0!</v>
      </c>
      <c r="S95" s="44" t="e">
        <f t="shared" si="265"/>
        <v>#DIV/0!</v>
      </c>
      <c r="T95" s="44" t="e">
        <f t="shared" si="265"/>
        <v>#DIV/0!</v>
      </c>
      <c r="U95" s="14" t="e">
        <f t="shared" si="265"/>
        <v>#DIV/0!</v>
      </c>
      <c r="V95" s="13" t="e">
        <f t="shared" si="265"/>
        <v>#DIV/0!</v>
      </c>
      <c r="W95" s="44" t="e">
        <f t="shared" si="265"/>
        <v>#DIV/0!</v>
      </c>
      <c r="X95" s="44" t="e">
        <f t="shared" si="265"/>
        <v>#DIV/0!</v>
      </c>
      <c r="Y95" s="14" t="e">
        <f t="shared" si="265"/>
        <v>#DIV/0!</v>
      </c>
      <c r="Z95" s="13" t="e">
        <f t="shared" si="265"/>
        <v>#DIV/0!</v>
      </c>
      <c r="AA95" s="44" t="e">
        <f t="shared" si="265"/>
        <v>#DIV/0!</v>
      </c>
      <c r="AB95" s="44" t="e">
        <f t="shared" si="265"/>
        <v>#DIV/0!</v>
      </c>
      <c r="AC95" s="14" t="e">
        <f t="shared" si="265"/>
        <v>#DIV/0!</v>
      </c>
      <c r="AD95" s="13" t="e">
        <f t="shared" si="265"/>
        <v>#DIV/0!</v>
      </c>
      <c r="AE95" s="44" t="e">
        <f t="shared" si="265"/>
        <v>#DIV/0!</v>
      </c>
      <c r="AF95" s="44" t="e">
        <f t="shared" si="265"/>
        <v>#DIV/0!</v>
      </c>
      <c r="AG95" s="14" t="e">
        <f t="shared" si="265"/>
        <v>#DIV/0!</v>
      </c>
      <c r="AH95" s="13" t="e">
        <f t="shared" si="265"/>
        <v>#DIV/0!</v>
      </c>
      <c r="AI95" s="44" t="e">
        <f t="shared" si="265"/>
        <v>#DIV/0!</v>
      </c>
      <c r="AJ95" s="44" t="e">
        <f t="shared" si="265"/>
        <v>#DIV/0!</v>
      </c>
      <c r="AK95" s="14" t="e">
        <f t="shared" ref="AK95:BP95" si="266">ROUND(1/EXP(-AK49*AK90),0)</f>
        <v>#DIV/0!</v>
      </c>
      <c r="AL95" s="13" t="e">
        <f t="shared" si="266"/>
        <v>#DIV/0!</v>
      </c>
      <c r="AM95" s="44" t="e">
        <f t="shared" si="266"/>
        <v>#DIV/0!</v>
      </c>
      <c r="AN95" s="44" t="e">
        <f t="shared" si="266"/>
        <v>#DIV/0!</v>
      </c>
      <c r="AO95" s="14" t="e">
        <f t="shared" si="266"/>
        <v>#DIV/0!</v>
      </c>
      <c r="AP95" s="13" t="e">
        <f t="shared" si="266"/>
        <v>#DIV/0!</v>
      </c>
      <c r="AQ95" s="44" t="e">
        <f t="shared" si="266"/>
        <v>#DIV/0!</v>
      </c>
      <c r="AR95" s="44" t="e">
        <f t="shared" si="266"/>
        <v>#DIV/0!</v>
      </c>
      <c r="AS95" s="14" t="e">
        <f t="shared" si="266"/>
        <v>#DIV/0!</v>
      </c>
      <c r="AT95" s="13" t="e">
        <f t="shared" si="266"/>
        <v>#DIV/0!</v>
      </c>
      <c r="AU95" s="44" t="e">
        <f t="shared" si="266"/>
        <v>#DIV/0!</v>
      </c>
      <c r="AV95" s="44" t="e">
        <f t="shared" si="266"/>
        <v>#DIV/0!</v>
      </c>
      <c r="AW95" s="14" t="e">
        <f t="shared" si="266"/>
        <v>#DIV/0!</v>
      </c>
      <c r="AX95" s="13" t="e">
        <f t="shared" si="266"/>
        <v>#DIV/0!</v>
      </c>
      <c r="AY95" s="44" t="e">
        <f t="shared" si="266"/>
        <v>#DIV/0!</v>
      </c>
      <c r="AZ95" s="44" t="e">
        <f t="shared" si="266"/>
        <v>#DIV/0!</v>
      </c>
      <c r="BA95" s="14" t="e">
        <f t="shared" si="266"/>
        <v>#DIV/0!</v>
      </c>
      <c r="BB95" s="13" t="e">
        <f t="shared" si="266"/>
        <v>#DIV/0!</v>
      </c>
      <c r="BC95" s="44" t="e">
        <f t="shared" si="266"/>
        <v>#DIV/0!</v>
      </c>
      <c r="BD95" s="44" t="e">
        <f t="shared" si="266"/>
        <v>#DIV/0!</v>
      </c>
      <c r="BE95" s="14" t="e">
        <f t="shared" si="266"/>
        <v>#DIV/0!</v>
      </c>
      <c r="BF95" s="13" t="e">
        <f t="shared" si="266"/>
        <v>#DIV/0!</v>
      </c>
      <c r="BG95" s="44" t="e">
        <f t="shared" si="266"/>
        <v>#DIV/0!</v>
      </c>
      <c r="BH95" s="44" t="e">
        <f t="shared" si="266"/>
        <v>#DIV/0!</v>
      </c>
      <c r="BI95" s="14" t="e">
        <f t="shared" si="266"/>
        <v>#DIV/0!</v>
      </c>
      <c r="BJ95" s="13" t="e">
        <f t="shared" si="266"/>
        <v>#DIV/0!</v>
      </c>
      <c r="BK95" s="44" t="e">
        <f t="shared" si="266"/>
        <v>#DIV/0!</v>
      </c>
      <c r="BL95" s="44" t="e">
        <f t="shared" si="266"/>
        <v>#DIV/0!</v>
      </c>
      <c r="BM95" s="14" t="e">
        <f t="shared" si="266"/>
        <v>#DIV/0!</v>
      </c>
      <c r="BN95" s="13" t="e">
        <f t="shared" si="266"/>
        <v>#DIV/0!</v>
      </c>
      <c r="BO95" s="44" t="e">
        <f t="shared" si="266"/>
        <v>#DIV/0!</v>
      </c>
      <c r="BP95" s="44" t="e">
        <f t="shared" si="266"/>
        <v>#DIV/0!</v>
      </c>
      <c r="BQ95" s="14" t="e">
        <f t="shared" ref="BQ95:CK95" si="267">ROUND(1/EXP(-BQ49*BQ90),0)</f>
        <v>#DIV/0!</v>
      </c>
      <c r="BR95" s="13" t="e">
        <f t="shared" si="267"/>
        <v>#DIV/0!</v>
      </c>
      <c r="BS95" s="44" t="e">
        <f t="shared" si="267"/>
        <v>#DIV/0!</v>
      </c>
      <c r="BT95" s="44" t="e">
        <f t="shared" si="267"/>
        <v>#DIV/0!</v>
      </c>
      <c r="BU95" s="14" t="e">
        <f t="shared" si="267"/>
        <v>#DIV/0!</v>
      </c>
      <c r="BV95" s="13" t="e">
        <f t="shared" si="267"/>
        <v>#DIV/0!</v>
      </c>
      <c r="BW95" s="44" t="e">
        <f t="shared" si="267"/>
        <v>#DIV/0!</v>
      </c>
      <c r="BX95" s="44" t="e">
        <f t="shared" si="267"/>
        <v>#DIV/0!</v>
      </c>
      <c r="BY95" s="14" t="e">
        <f t="shared" si="267"/>
        <v>#DIV/0!</v>
      </c>
      <c r="BZ95" s="13" t="e">
        <f t="shared" si="267"/>
        <v>#DIV/0!</v>
      </c>
      <c r="CA95" s="44" t="e">
        <f t="shared" si="267"/>
        <v>#DIV/0!</v>
      </c>
      <c r="CB95" s="44" t="e">
        <f t="shared" si="267"/>
        <v>#DIV/0!</v>
      </c>
      <c r="CC95" s="14" t="e">
        <f t="shared" si="267"/>
        <v>#DIV/0!</v>
      </c>
      <c r="CD95" s="13" t="e">
        <f t="shared" si="267"/>
        <v>#DIV/0!</v>
      </c>
      <c r="CE95" s="44" t="e">
        <f t="shared" si="267"/>
        <v>#DIV/0!</v>
      </c>
      <c r="CF95" s="44" t="e">
        <f t="shared" si="267"/>
        <v>#DIV/0!</v>
      </c>
      <c r="CG95" s="14" t="e">
        <f t="shared" si="267"/>
        <v>#DIV/0!</v>
      </c>
      <c r="CH95" s="13" t="e">
        <f t="shared" si="267"/>
        <v>#DIV/0!</v>
      </c>
      <c r="CI95" s="44" t="e">
        <f t="shared" si="267"/>
        <v>#DIV/0!</v>
      </c>
      <c r="CJ95" s="44" t="e">
        <f t="shared" si="267"/>
        <v>#DIV/0!</v>
      </c>
      <c r="CK95" s="14" t="e">
        <f t="shared" si="267"/>
        <v>#DIV/0!</v>
      </c>
      <c r="CL95" s="49"/>
      <c r="CM95" s="28"/>
    </row>
    <row r="96" spans="2:91" ht="14.25" x14ac:dyDescent="0.25">
      <c r="B96" s="55"/>
      <c r="C96" s="10" t="s">
        <v>314</v>
      </c>
      <c r="D96" s="93" t="s">
        <v>413</v>
      </c>
      <c r="E96" s="125" t="e">
        <f t="shared" ref="E96:AJ96" ca="1" si="268">ONESTAGELEFT_BIKE_DELAY(E9,E95,E94,E91,E92,E38,E93)</f>
        <v>#NAME?</v>
      </c>
      <c r="F96" s="13" t="e">
        <f t="shared" ca="1" si="268"/>
        <v>#NAME?</v>
      </c>
      <c r="G96" s="44" t="e">
        <f t="shared" ca="1" si="268"/>
        <v>#NAME?</v>
      </c>
      <c r="H96" s="44" t="e">
        <f t="shared" ca="1" si="268"/>
        <v>#NAME?</v>
      </c>
      <c r="I96" s="14" t="e">
        <f t="shared" ca="1" si="268"/>
        <v>#NAME?</v>
      </c>
      <c r="J96" s="13" t="e">
        <f t="shared" ca="1" si="268"/>
        <v>#NAME?</v>
      </c>
      <c r="K96" s="44" t="e">
        <f t="shared" ca="1" si="268"/>
        <v>#NAME?</v>
      </c>
      <c r="L96" s="44" t="e">
        <f t="shared" ca="1" si="268"/>
        <v>#NAME?</v>
      </c>
      <c r="M96" s="14" t="e">
        <f t="shared" ca="1" si="268"/>
        <v>#NAME?</v>
      </c>
      <c r="N96" s="13" t="e">
        <f t="shared" ca="1" si="268"/>
        <v>#NAME?</v>
      </c>
      <c r="O96" s="44" t="e">
        <f t="shared" ca="1" si="268"/>
        <v>#NAME?</v>
      </c>
      <c r="P96" s="44" t="e">
        <f t="shared" ca="1" si="268"/>
        <v>#NAME?</v>
      </c>
      <c r="Q96" s="14" t="e">
        <f t="shared" ca="1" si="268"/>
        <v>#NAME?</v>
      </c>
      <c r="R96" s="13" t="e">
        <f t="shared" ca="1" si="268"/>
        <v>#NAME?</v>
      </c>
      <c r="S96" s="44" t="e">
        <f t="shared" ca="1" si="268"/>
        <v>#NAME?</v>
      </c>
      <c r="T96" s="44" t="e">
        <f t="shared" ca="1" si="268"/>
        <v>#NAME?</v>
      </c>
      <c r="U96" s="14" t="e">
        <f t="shared" ca="1" si="268"/>
        <v>#NAME?</v>
      </c>
      <c r="V96" s="13" t="e">
        <f t="shared" ca="1" si="268"/>
        <v>#NAME?</v>
      </c>
      <c r="W96" s="44" t="e">
        <f t="shared" ca="1" si="268"/>
        <v>#NAME?</v>
      </c>
      <c r="X96" s="44" t="e">
        <f t="shared" ca="1" si="268"/>
        <v>#NAME?</v>
      </c>
      <c r="Y96" s="14" t="e">
        <f t="shared" ca="1" si="268"/>
        <v>#NAME?</v>
      </c>
      <c r="Z96" s="13" t="e">
        <f t="shared" ca="1" si="268"/>
        <v>#NAME?</v>
      </c>
      <c r="AA96" s="44" t="e">
        <f t="shared" ca="1" si="268"/>
        <v>#NAME?</v>
      </c>
      <c r="AB96" s="44" t="e">
        <f t="shared" ca="1" si="268"/>
        <v>#NAME?</v>
      </c>
      <c r="AC96" s="14" t="e">
        <f t="shared" ca="1" si="268"/>
        <v>#NAME?</v>
      </c>
      <c r="AD96" s="13" t="e">
        <f t="shared" ca="1" si="268"/>
        <v>#NAME?</v>
      </c>
      <c r="AE96" s="44" t="e">
        <f t="shared" ca="1" si="268"/>
        <v>#NAME?</v>
      </c>
      <c r="AF96" s="44" t="e">
        <f t="shared" ca="1" si="268"/>
        <v>#NAME?</v>
      </c>
      <c r="AG96" s="14" t="e">
        <f t="shared" ca="1" si="268"/>
        <v>#NAME?</v>
      </c>
      <c r="AH96" s="13" t="e">
        <f t="shared" ca="1" si="268"/>
        <v>#NAME?</v>
      </c>
      <c r="AI96" s="44" t="e">
        <f t="shared" ca="1" si="268"/>
        <v>#NAME?</v>
      </c>
      <c r="AJ96" s="44" t="e">
        <f t="shared" ca="1" si="268"/>
        <v>#NAME?</v>
      </c>
      <c r="AK96" s="14" t="e">
        <f t="shared" ref="AK96:BP96" ca="1" si="269">ONESTAGELEFT_BIKE_DELAY(AK9,AK95,AK94,AK91,AK92,AK38,AK93)</f>
        <v>#NAME?</v>
      </c>
      <c r="AL96" s="13" t="e">
        <f t="shared" ca="1" si="269"/>
        <v>#NAME?</v>
      </c>
      <c r="AM96" s="44" t="e">
        <f t="shared" ca="1" si="269"/>
        <v>#NAME?</v>
      </c>
      <c r="AN96" s="44" t="e">
        <f t="shared" ca="1" si="269"/>
        <v>#NAME?</v>
      </c>
      <c r="AO96" s="14" t="e">
        <f t="shared" ca="1" si="269"/>
        <v>#NAME?</v>
      </c>
      <c r="AP96" s="13" t="e">
        <f t="shared" ca="1" si="269"/>
        <v>#NAME?</v>
      </c>
      <c r="AQ96" s="44" t="e">
        <f t="shared" ca="1" si="269"/>
        <v>#NAME?</v>
      </c>
      <c r="AR96" s="44" t="e">
        <f t="shared" ca="1" si="269"/>
        <v>#NAME?</v>
      </c>
      <c r="AS96" s="14" t="e">
        <f t="shared" ca="1" si="269"/>
        <v>#NAME?</v>
      </c>
      <c r="AT96" s="13" t="e">
        <f t="shared" ca="1" si="269"/>
        <v>#NAME?</v>
      </c>
      <c r="AU96" s="44" t="e">
        <f t="shared" ca="1" si="269"/>
        <v>#NAME?</v>
      </c>
      <c r="AV96" s="44" t="e">
        <f t="shared" ca="1" si="269"/>
        <v>#NAME?</v>
      </c>
      <c r="AW96" s="14" t="e">
        <f t="shared" ca="1" si="269"/>
        <v>#NAME?</v>
      </c>
      <c r="AX96" s="13" t="e">
        <f t="shared" ca="1" si="269"/>
        <v>#NAME?</v>
      </c>
      <c r="AY96" s="44" t="e">
        <f t="shared" ca="1" si="269"/>
        <v>#NAME?</v>
      </c>
      <c r="AZ96" s="44" t="e">
        <f t="shared" ca="1" si="269"/>
        <v>#NAME?</v>
      </c>
      <c r="BA96" s="14" t="e">
        <f t="shared" ca="1" si="269"/>
        <v>#NAME?</v>
      </c>
      <c r="BB96" s="13" t="e">
        <f t="shared" ca="1" si="269"/>
        <v>#NAME?</v>
      </c>
      <c r="BC96" s="44" t="e">
        <f t="shared" ca="1" si="269"/>
        <v>#NAME?</v>
      </c>
      <c r="BD96" s="44" t="e">
        <f t="shared" ca="1" si="269"/>
        <v>#NAME?</v>
      </c>
      <c r="BE96" s="14" t="e">
        <f t="shared" ca="1" si="269"/>
        <v>#NAME?</v>
      </c>
      <c r="BF96" s="13" t="e">
        <f t="shared" ca="1" si="269"/>
        <v>#NAME?</v>
      </c>
      <c r="BG96" s="44" t="e">
        <f t="shared" ca="1" si="269"/>
        <v>#NAME?</v>
      </c>
      <c r="BH96" s="44" t="e">
        <f t="shared" ca="1" si="269"/>
        <v>#NAME?</v>
      </c>
      <c r="BI96" s="14" t="e">
        <f t="shared" ca="1" si="269"/>
        <v>#NAME?</v>
      </c>
      <c r="BJ96" s="13" t="e">
        <f t="shared" ca="1" si="269"/>
        <v>#NAME?</v>
      </c>
      <c r="BK96" s="44" t="e">
        <f t="shared" ca="1" si="269"/>
        <v>#NAME?</v>
      </c>
      <c r="BL96" s="44" t="e">
        <f t="shared" ca="1" si="269"/>
        <v>#NAME?</v>
      </c>
      <c r="BM96" s="14" t="e">
        <f t="shared" ca="1" si="269"/>
        <v>#NAME?</v>
      </c>
      <c r="BN96" s="13" t="e">
        <f t="shared" ca="1" si="269"/>
        <v>#NAME?</v>
      </c>
      <c r="BO96" s="44" t="e">
        <f t="shared" ca="1" si="269"/>
        <v>#NAME?</v>
      </c>
      <c r="BP96" s="44" t="e">
        <f t="shared" ca="1" si="269"/>
        <v>#NAME?</v>
      </c>
      <c r="BQ96" s="14" t="e">
        <f t="shared" ref="BQ96:CK96" ca="1" si="270">ONESTAGELEFT_BIKE_DELAY(BQ9,BQ95,BQ94,BQ91,BQ92,BQ38,BQ93)</f>
        <v>#NAME?</v>
      </c>
      <c r="BR96" s="13" t="e">
        <f t="shared" ca="1" si="270"/>
        <v>#NAME?</v>
      </c>
      <c r="BS96" s="44" t="e">
        <f t="shared" ca="1" si="270"/>
        <v>#NAME?</v>
      </c>
      <c r="BT96" s="44" t="e">
        <f t="shared" ca="1" si="270"/>
        <v>#NAME?</v>
      </c>
      <c r="BU96" s="14" t="e">
        <f t="shared" ca="1" si="270"/>
        <v>#NAME?</v>
      </c>
      <c r="BV96" s="13" t="e">
        <f t="shared" ca="1" si="270"/>
        <v>#NAME?</v>
      </c>
      <c r="BW96" s="44" t="e">
        <f t="shared" ca="1" si="270"/>
        <v>#NAME?</v>
      </c>
      <c r="BX96" s="44" t="e">
        <f t="shared" ca="1" si="270"/>
        <v>#NAME?</v>
      </c>
      <c r="BY96" s="14" t="e">
        <f t="shared" ca="1" si="270"/>
        <v>#NAME?</v>
      </c>
      <c r="BZ96" s="13" t="e">
        <f t="shared" ca="1" si="270"/>
        <v>#NAME?</v>
      </c>
      <c r="CA96" s="44" t="e">
        <f t="shared" ca="1" si="270"/>
        <v>#NAME?</v>
      </c>
      <c r="CB96" s="44" t="e">
        <f t="shared" ca="1" si="270"/>
        <v>#NAME?</v>
      </c>
      <c r="CC96" s="14" t="e">
        <f t="shared" ca="1" si="270"/>
        <v>#NAME?</v>
      </c>
      <c r="CD96" s="13" t="e">
        <f t="shared" ca="1" si="270"/>
        <v>#NAME?</v>
      </c>
      <c r="CE96" s="44" t="e">
        <f t="shared" ca="1" si="270"/>
        <v>#NAME?</v>
      </c>
      <c r="CF96" s="44" t="e">
        <f t="shared" ca="1" si="270"/>
        <v>#NAME?</v>
      </c>
      <c r="CG96" s="14" t="e">
        <f t="shared" ca="1" si="270"/>
        <v>#NAME?</v>
      </c>
      <c r="CH96" s="13" t="e">
        <f t="shared" ca="1" si="270"/>
        <v>#NAME?</v>
      </c>
      <c r="CI96" s="44" t="e">
        <f t="shared" ca="1" si="270"/>
        <v>#NAME?</v>
      </c>
      <c r="CJ96" s="44" t="e">
        <f t="shared" ca="1" si="270"/>
        <v>#NAME?</v>
      </c>
      <c r="CK96" s="14" t="e">
        <f t="shared" ca="1" si="270"/>
        <v>#NAME?</v>
      </c>
      <c r="CL96" s="49"/>
      <c r="CM96" s="28"/>
    </row>
    <row r="97" spans="1:91" ht="14.25" x14ac:dyDescent="0.25">
      <c r="B97" s="55"/>
      <c r="C97" s="10" t="s">
        <v>315</v>
      </c>
      <c r="D97" s="93" t="s">
        <v>414</v>
      </c>
      <c r="E97" s="126">
        <f t="shared" ref="E97:AJ97" si="271">(E26)/2 + E27 + E41</f>
        <v>23</v>
      </c>
      <c r="F97" s="13">
        <f t="shared" si="271"/>
        <v>32.150000000000006</v>
      </c>
      <c r="G97" s="44">
        <f t="shared" si="271"/>
        <v>32.150000000000006</v>
      </c>
      <c r="H97" s="44">
        <f t="shared" si="271"/>
        <v>24.450000000000003</v>
      </c>
      <c r="I97" s="14">
        <f t="shared" si="271"/>
        <v>24.450000000000003</v>
      </c>
      <c r="J97" s="13">
        <f t="shared" si="271"/>
        <v>0</v>
      </c>
      <c r="K97" s="44">
        <f t="shared" si="271"/>
        <v>3</v>
      </c>
      <c r="L97" s="44">
        <f t="shared" si="271"/>
        <v>3</v>
      </c>
      <c r="M97" s="14">
        <f t="shared" si="271"/>
        <v>3</v>
      </c>
      <c r="N97" s="13">
        <f t="shared" si="271"/>
        <v>0</v>
      </c>
      <c r="O97" s="44">
        <f t="shared" si="271"/>
        <v>0</v>
      </c>
      <c r="P97" s="44">
        <f t="shared" si="271"/>
        <v>0</v>
      </c>
      <c r="Q97" s="14">
        <f t="shared" si="271"/>
        <v>0</v>
      </c>
      <c r="R97" s="13">
        <f t="shared" si="271"/>
        <v>0</v>
      </c>
      <c r="S97" s="44">
        <f t="shared" si="271"/>
        <v>0</v>
      </c>
      <c r="T97" s="44">
        <f t="shared" si="271"/>
        <v>0</v>
      </c>
      <c r="U97" s="14">
        <f t="shared" si="271"/>
        <v>0</v>
      </c>
      <c r="V97" s="13">
        <f t="shared" si="271"/>
        <v>0</v>
      </c>
      <c r="W97" s="44">
        <f t="shared" si="271"/>
        <v>0</v>
      </c>
      <c r="X97" s="44">
        <f t="shared" si="271"/>
        <v>0</v>
      </c>
      <c r="Y97" s="14">
        <f t="shared" si="271"/>
        <v>0</v>
      </c>
      <c r="Z97" s="13">
        <f t="shared" si="271"/>
        <v>0</v>
      </c>
      <c r="AA97" s="44">
        <f t="shared" si="271"/>
        <v>0</v>
      </c>
      <c r="AB97" s="44">
        <f t="shared" si="271"/>
        <v>0</v>
      </c>
      <c r="AC97" s="14">
        <f t="shared" si="271"/>
        <v>0</v>
      </c>
      <c r="AD97" s="13">
        <f t="shared" si="271"/>
        <v>0</v>
      </c>
      <c r="AE97" s="44">
        <f t="shared" si="271"/>
        <v>0</v>
      </c>
      <c r="AF97" s="44">
        <f t="shared" si="271"/>
        <v>0</v>
      </c>
      <c r="AG97" s="14">
        <f t="shared" si="271"/>
        <v>0</v>
      </c>
      <c r="AH97" s="13">
        <f t="shared" si="271"/>
        <v>0</v>
      </c>
      <c r="AI97" s="44">
        <f t="shared" si="271"/>
        <v>0</v>
      </c>
      <c r="AJ97" s="44">
        <f t="shared" si="271"/>
        <v>0</v>
      </c>
      <c r="AK97" s="14">
        <f t="shared" ref="AK97:BP97" si="272">(AK26)/2 + AK27 + AK41</f>
        <v>0</v>
      </c>
      <c r="AL97" s="13">
        <f t="shared" si="272"/>
        <v>0</v>
      </c>
      <c r="AM97" s="44">
        <f t="shared" si="272"/>
        <v>0</v>
      </c>
      <c r="AN97" s="44">
        <f t="shared" si="272"/>
        <v>0</v>
      </c>
      <c r="AO97" s="14">
        <f t="shared" si="272"/>
        <v>0</v>
      </c>
      <c r="AP97" s="13">
        <f t="shared" si="272"/>
        <v>0</v>
      </c>
      <c r="AQ97" s="44">
        <f t="shared" si="272"/>
        <v>0</v>
      </c>
      <c r="AR97" s="44">
        <f t="shared" si="272"/>
        <v>0</v>
      </c>
      <c r="AS97" s="14">
        <f t="shared" si="272"/>
        <v>0</v>
      </c>
      <c r="AT97" s="13">
        <f t="shared" si="272"/>
        <v>0</v>
      </c>
      <c r="AU97" s="44">
        <f t="shared" si="272"/>
        <v>0</v>
      </c>
      <c r="AV97" s="44">
        <f t="shared" si="272"/>
        <v>0</v>
      </c>
      <c r="AW97" s="14">
        <f t="shared" si="272"/>
        <v>0</v>
      </c>
      <c r="AX97" s="13">
        <f t="shared" si="272"/>
        <v>0</v>
      </c>
      <c r="AY97" s="44">
        <f t="shared" si="272"/>
        <v>0</v>
      </c>
      <c r="AZ97" s="44">
        <f t="shared" si="272"/>
        <v>0</v>
      </c>
      <c r="BA97" s="14">
        <f t="shared" si="272"/>
        <v>0</v>
      </c>
      <c r="BB97" s="13">
        <f t="shared" si="272"/>
        <v>0</v>
      </c>
      <c r="BC97" s="44">
        <f t="shared" si="272"/>
        <v>0</v>
      </c>
      <c r="BD97" s="44">
        <f t="shared" si="272"/>
        <v>0</v>
      </c>
      <c r="BE97" s="14">
        <f t="shared" si="272"/>
        <v>0</v>
      </c>
      <c r="BF97" s="13">
        <f t="shared" si="272"/>
        <v>0</v>
      </c>
      <c r="BG97" s="44">
        <f t="shared" si="272"/>
        <v>0</v>
      </c>
      <c r="BH97" s="44">
        <f t="shared" si="272"/>
        <v>0</v>
      </c>
      <c r="BI97" s="14">
        <f t="shared" si="272"/>
        <v>0</v>
      </c>
      <c r="BJ97" s="13">
        <f t="shared" si="272"/>
        <v>0</v>
      </c>
      <c r="BK97" s="44">
        <f t="shared" si="272"/>
        <v>0</v>
      </c>
      <c r="BL97" s="44">
        <f t="shared" si="272"/>
        <v>0</v>
      </c>
      <c r="BM97" s="14">
        <f t="shared" si="272"/>
        <v>0</v>
      </c>
      <c r="BN97" s="13">
        <f t="shared" si="272"/>
        <v>0</v>
      </c>
      <c r="BO97" s="44">
        <f t="shared" si="272"/>
        <v>0</v>
      </c>
      <c r="BP97" s="44">
        <f t="shared" si="272"/>
        <v>0</v>
      </c>
      <c r="BQ97" s="14">
        <f t="shared" ref="BQ97:CK97" si="273">(BQ26)/2 + BQ27 + BQ41</f>
        <v>0</v>
      </c>
      <c r="BR97" s="13">
        <f t="shared" si="273"/>
        <v>0</v>
      </c>
      <c r="BS97" s="44">
        <f t="shared" si="273"/>
        <v>0</v>
      </c>
      <c r="BT97" s="44">
        <f t="shared" si="273"/>
        <v>0</v>
      </c>
      <c r="BU97" s="14">
        <f t="shared" si="273"/>
        <v>0</v>
      </c>
      <c r="BV97" s="13">
        <f t="shared" si="273"/>
        <v>0</v>
      </c>
      <c r="BW97" s="44">
        <f t="shared" si="273"/>
        <v>0</v>
      </c>
      <c r="BX97" s="44">
        <f t="shared" si="273"/>
        <v>0</v>
      </c>
      <c r="BY97" s="14">
        <f t="shared" si="273"/>
        <v>0</v>
      </c>
      <c r="BZ97" s="13">
        <f t="shared" si="273"/>
        <v>0</v>
      </c>
      <c r="CA97" s="44">
        <f t="shared" si="273"/>
        <v>0</v>
      </c>
      <c r="CB97" s="44">
        <f t="shared" si="273"/>
        <v>0</v>
      </c>
      <c r="CC97" s="14">
        <f t="shared" si="273"/>
        <v>0</v>
      </c>
      <c r="CD97" s="13">
        <f t="shared" si="273"/>
        <v>0</v>
      </c>
      <c r="CE97" s="44">
        <f t="shared" si="273"/>
        <v>0</v>
      </c>
      <c r="CF97" s="44">
        <f t="shared" si="273"/>
        <v>0</v>
      </c>
      <c r="CG97" s="14">
        <f t="shared" si="273"/>
        <v>0</v>
      </c>
      <c r="CH97" s="13">
        <f t="shared" si="273"/>
        <v>0</v>
      </c>
      <c r="CI97" s="44">
        <f t="shared" si="273"/>
        <v>0</v>
      </c>
      <c r="CJ97" s="44">
        <f t="shared" si="273"/>
        <v>0</v>
      </c>
      <c r="CK97" s="14">
        <f t="shared" si="273"/>
        <v>0</v>
      </c>
      <c r="CL97" s="49"/>
      <c r="CM97" s="28"/>
    </row>
    <row r="98" spans="1:91" ht="14.25" x14ac:dyDescent="0.25">
      <c r="B98" s="55"/>
      <c r="C98" s="10" t="s">
        <v>331</v>
      </c>
      <c r="D98" s="93" t="s">
        <v>415</v>
      </c>
      <c r="E98" s="126">
        <f t="shared" ref="E98:AJ98" si="274">((E28-E26)/2)+E26+E27+2*E41</f>
        <v>76</v>
      </c>
      <c r="F98" s="13">
        <f t="shared" si="274"/>
        <v>82.649999999999991</v>
      </c>
      <c r="G98" s="44">
        <f t="shared" si="274"/>
        <v>82.649999999999991</v>
      </c>
      <c r="H98" s="44">
        <f t="shared" si="274"/>
        <v>74.95</v>
      </c>
      <c r="I98" s="14">
        <f t="shared" si="274"/>
        <v>74.95</v>
      </c>
      <c r="J98" s="13">
        <f t="shared" si="274"/>
        <v>0</v>
      </c>
      <c r="K98" s="44">
        <f t="shared" si="274"/>
        <v>6</v>
      </c>
      <c r="L98" s="44">
        <f t="shared" si="274"/>
        <v>6</v>
      </c>
      <c r="M98" s="14">
        <f t="shared" si="274"/>
        <v>6</v>
      </c>
      <c r="N98" s="13">
        <f t="shared" si="274"/>
        <v>0</v>
      </c>
      <c r="O98" s="44">
        <f t="shared" si="274"/>
        <v>0</v>
      </c>
      <c r="P98" s="44">
        <f t="shared" si="274"/>
        <v>0</v>
      </c>
      <c r="Q98" s="14">
        <f t="shared" si="274"/>
        <v>0</v>
      </c>
      <c r="R98" s="13">
        <f t="shared" si="274"/>
        <v>0</v>
      </c>
      <c r="S98" s="44">
        <f t="shared" si="274"/>
        <v>0</v>
      </c>
      <c r="T98" s="44">
        <f t="shared" si="274"/>
        <v>0</v>
      </c>
      <c r="U98" s="14">
        <f t="shared" si="274"/>
        <v>0</v>
      </c>
      <c r="V98" s="13">
        <f t="shared" si="274"/>
        <v>0</v>
      </c>
      <c r="W98" s="44">
        <f t="shared" si="274"/>
        <v>0</v>
      </c>
      <c r="X98" s="44">
        <f t="shared" si="274"/>
        <v>0</v>
      </c>
      <c r="Y98" s="14">
        <f t="shared" si="274"/>
        <v>0</v>
      </c>
      <c r="Z98" s="13">
        <f t="shared" si="274"/>
        <v>0</v>
      </c>
      <c r="AA98" s="44">
        <f t="shared" si="274"/>
        <v>0</v>
      </c>
      <c r="AB98" s="44">
        <f t="shared" si="274"/>
        <v>0</v>
      </c>
      <c r="AC98" s="14">
        <f t="shared" si="274"/>
        <v>0</v>
      </c>
      <c r="AD98" s="13">
        <f t="shared" si="274"/>
        <v>0</v>
      </c>
      <c r="AE98" s="44">
        <f t="shared" si="274"/>
        <v>0</v>
      </c>
      <c r="AF98" s="44">
        <f t="shared" si="274"/>
        <v>0</v>
      </c>
      <c r="AG98" s="14">
        <f t="shared" si="274"/>
        <v>0</v>
      </c>
      <c r="AH98" s="13">
        <f t="shared" si="274"/>
        <v>0</v>
      </c>
      <c r="AI98" s="44">
        <f t="shared" si="274"/>
        <v>0</v>
      </c>
      <c r="AJ98" s="44">
        <f t="shared" si="274"/>
        <v>0</v>
      </c>
      <c r="AK98" s="14">
        <f t="shared" ref="AK98:BP98" si="275">((AK28-AK26)/2)+AK26+AK27+2*AK41</f>
        <v>0</v>
      </c>
      <c r="AL98" s="13">
        <f t="shared" si="275"/>
        <v>0</v>
      </c>
      <c r="AM98" s="44">
        <f t="shared" si="275"/>
        <v>0</v>
      </c>
      <c r="AN98" s="44">
        <f t="shared" si="275"/>
        <v>0</v>
      </c>
      <c r="AO98" s="14">
        <f t="shared" si="275"/>
        <v>0</v>
      </c>
      <c r="AP98" s="13">
        <f t="shared" si="275"/>
        <v>0</v>
      </c>
      <c r="AQ98" s="44">
        <f t="shared" si="275"/>
        <v>0</v>
      </c>
      <c r="AR98" s="44">
        <f t="shared" si="275"/>
        <v>0</v>
      </c>
      <c r="AS98" s="14">
        <f t="shared" si="275"/>
        <v>0</v>
      </c>
      <c r="AT98" s="13">
        <f t="shared" si="275"/>
        <v>0</v>
      </c>
      <c r="AU98" s="44">
        <f t="shared" si="275"/>
        <v>0</v>
      </c>
      <c r="AV98" s="44">
        <f t="shared" si="275"/>
        <v>0</v>
      </c>
      <c r="AW98" s="14">
        <f t="shared" si="275"/>
        <v>0</v>
      </c>
      <c r="AX98" s="13">
        <f t="shared" si="275"/>
        <v>0</v>
      </c>
      <c r="AY98" s="44">
        <f t="shared" si="275"/>
        <v>0</v>
      </c>
      <c r="AZ98" s="44">
        <f t="shared" si="275"/>
        <v>0</v>
      </c>
      <c r="BA98" s="14">
        <f t="shared" si="275"/>
        <v>0</v>
      </c>
      <c r="BB98" s="13">
        <f t="shared" si="275"/>
        <v>0</v>
      </c>
      <c r="BC98" s="44">
        <f t="shared" si="275"/>
        <v>0</v>
      </c>
      <c r="BD98" s="44">
        <f t="shared" si="275"/>
        <v>0</v>
      </c>
      <c r="BE98" s="14">
        <f t="shared" si="275"/>
        <v>0</v>
      </c>
      <c r="BF98" s="13">
        <f t="shared" si="275"/>
        <v>0</v>
      </c>
      <c r="BG98" s="44">
        <f t="shared" si="275"/>
        <v>0</v>
      </c>
      <c r="BH98" s="44">
        <f t="shared" si="275"/>
        <v>0</v>
      </c>
      <c r="BI98" s="14">
        <f t="shared" si="275"/>
        <v>0</v>
      </c>
      <c r="BJ98" s="13">
        <f t="shared" si="275"/>
        <v>0</v>
      </c>
      <c r="BK98" s="44">
        <f t="shared" si="275"/>
        <v>0</v>
      </c>
      <c r="BL98" s="44">
        <f t="shared" si="275"/>
        <v>0</v>
      </c>
      <c r="BM98" s="14">
        <f t="shared" si="275"/>
        <v>0</v>
      </c>
      <c r="BN98" s="13">
        <f t="shared" si="275"/>
        <v>0</v>
      </c>
      <c r="BO98" s="44">
        <f t="shared" si="275"/>
        <v>0</v>
      </c>
      <c r="BP98" s="44">
        <f t="shared" si="275"/>
        <v>0</v>
      </c>
      <c r="BQ98" s="14">
        <f t="shared" ref="BQ98:CK98" si="276">((BQ28-BQ26)/2)+BQ26+BQ27+2*BQ41</f>
        <v>0</v>
      </c>
      <c r="BR98" s="13">
        <f t="shared" si="276"/>
        <v>0</v>
      </c>
      <c r="BS98" s="44">
        <f t="shared" si="276"/>
        <v>0</v>
      </c>
      <c r="BT98" s="44">
        <f t="shared" si="276"/>
        <v>0</v>
      </c>
      <c r="BU98" s="14">
        <f t="shared" si="276"/>
        <v>0</v>
      </c>
      <c r="BV98" s="13">
        <f t="shared" si="276"/>
        <v>0</v>
      </c>
      <c r="BW98" s="44">
        <f t="shared" si="276"/>
        <v>0</v>
      </c>
      <c r="BX98" s="44">
        <f t="shared" si="276"/>
        <v>0</v>
      </c>
      <c r="BY98" s="14">
        <f t="shared" si="276"/>
        <v>0</v>
      </c>
      <c r="BZ98" s="13">
        <f t="shared" si="276"/>
        <v>0</v>
      </c>
      <c r="CA98" s="44">
        <f t="shared" si="276"/>
        <v>0</v>
      </c>
      <c r="CB98" s="44">
        <f t="shared" si="276"/>
        <v>0</v>
      </c>
      <c r="CC98" s="14">
        <f t="shared" si="276"/>
        <v>0</v>
      </c>
      <c r="CD98" s="13">
        <f t="shared" si="276"/>
        <v>0</v>
      </c>
      <c r="CE98" s="44">
        <f t="shared" si="276"/>
        <v>0</v>
      </c>
      <c r="CF98" s="44">
        <f t="shared" si="276"/>
        <v>0</v>
      </c>
      <c r="CG98" s="14">
        <f t="shared" si="276"/>
        <v>0</v>
      </c>
      <c r="CH98" s="13">
        <f t="shared" si="276"/>
        <v>0</v>
      </c>
      <c r="CI98" s="44">
        <f t="shared" si="276"/>
        <v>0</v>
      </c>
      <c r="CJ98" s="44">
        <f t="shared" si="276"/>
        <v>0</v>
      </c>
      <c r="CK98" s="14">
        <f t="shared" si="276"/>
        <v>0</v>
      </c>
      <c r="CL98" s="49"/>
      <c r="CM98" s="28"/>
    </row>
    <row r="99" spans="1:91" ht="14.25" x14ac:dyDescent="0.25">
      <c r="B99" s="55"/>
      <c r="C99" s="10" t="s">
        <v>316</v>
      </c>
      <c r="D99" s="93" t="s">
        <v>416</v>
      </c>
      <c r="E99" s="126">
        <f t="shared" ref="E99:AJ99" si="277">(E26/E28)*E97+((E28-E26)/E28)*E98</f>
        <v>60.099999999999994</v>
      </c>
      <c r="F99" s="13">
        <f t="shared" si="277"/>
        <v>57.293684210526308</v>
      </c>
      <c r="G99" s="44">
        <f t="shared" si="277"/>
        <v>57.293684210526308</v>
      </c>
      <c r="H99" s="44">
        <f t="shared" si="277"/>
        <v>58.417894736842101</v>
      </c>
      <c r="I99" s="14">
        <f t="shared" si="277"/>
        <v>58.417894736842101</v>
      </c>
      <c r="J99" s="13" t="e">
        <f t="shared" si="277"/>
        <v>#DIV/0!</v>
      </c>
      <c r="K99" s="44" t="e">
        <f t="shared" si="277"/>
        <v>#DIV/0!</v>
      </c>
      <c r="L99" s="44" t="e">
        <f t="shared" si="277"/>
        <v>#DIV/0!</v>
      </c>
      <c r="M99" s="14" t="e">
        <f t="shared" si="277"/>
        <v>#DIV/0!</v>
      </c>
      <c r="N99" s="13" t="e">
        <f t="shared" si="277"/>
        <v>#DIV/0!</v>
      </c>
      <c r="O99" s="44" t="e">
        <f t="shared" si="277"/>
        <v>#DIV/0!</v>
      </c>
      <c r="P99" s="44" t="e">
        <f t="shared" si="277"/>
        <v>#DIV/0!</v>
      </c>
      <c r="Q99" s="14" t="e">
        <f t="shared" si="277"/>
        <v>#DIV/0!</v>
      </c>
      <c r="R99" s="13" t="e">
        <f t="shared" si="277"/>
        <v>#DIV/0!</v>
      </c>
      <c r="S99" s="44" t="e">
        <f t="shared" si="277"/>
        <v>#DIV/0!</v>
      </c>
      <c r="T99" s="44" t="e">
        <f t="shared" si="277"/>
        <v>#DIV/0!</v>
      </c>
      <c r="U99" s="14" t="e">
        <f t="shared" si="277"/>
        <v>#DIV/0!</v>
      </c>
      <c r="V99" s="13" t="e">
        <f t="shared" si="277"/>
        <v>#DIV/0!</v>
      </c>
      <c r="W99" s="44" t="e">
        <f t="shared" si="277"/>
        <v>#DIV/0!</v>
      </c>
      <c r="X99" s="44" t="e">
        <f t="shared" si="277"/>
        <v>#DIV/0!</v>
      </c>
      <c r="Y99" s="14" t="e">
        <f t="shared" si="277"/>
        <v>#DIV/0!</v>
      </c>
      <c r="Z99" s="13" t="e">
        <f t="shared" si="277"/>
        <v>#DIV/0!</v>
      </c>
      <c r="AA99" s="44" t="e">
        <f t="shared" si="277"/>
        <v>#DIV/0!</v>
      </c>
      <c r="AB99" s="44" t="e">
        <f t="shared" si="277"/>
        <v>#DIV/0!</v>
      </c>
      <c r="AC99" s="14" t="e">
        <f t="shared" si="277"/>
        <v>#DIV/0!</v>
      </c>
      <c r="AD99" s="13" t="e">
        <f t="shared" si="277"/>
        <v>#DIV/0!</v>
      </c>
      <c r="AE99" s="44" t="e">
        <f t="shared" si="277"/>
        <v>#DIV/0!</v>
      </c>
      <c r="AF99" s="44" t="e">
        <f t="shared" si="277"/>
        <v>#DIV/0!</v>
      </c>
      <c r="AG99" s="14" t="e">
        <f t="shared" si="277"/>
        <v>#DIV/0!</v>
      </c>
      <c r="AH99" s="13" t="e">
        <f t="shared" si="277"/>
        <v>#DIV/0!</v>
      </c>
      <c r="AI99" s="44" t="e">
        <f t="shared" si="277"/>
        <v>#DIV/0!</v>
      </c>
      <c r="AJ99" s="44" t="e">
        <f t="shared" si="277"/>
        <v>#DIV/0!</v>
      </c>
      <c r="AK99" s="14" t="e">
        <f t="shared" ref="AK99:BP99" si="278">(AK26/AK28)*AK97+((AK28-AK26)/AK28)*AK98</f>
        <v>#DIV/0!</v>
      </c>
      <c r="AL99" s="13" t="e">
        <f t="shared" si="278"/>
        <v>#DIV/0!</v>
      </c>
      <c r="AM99" s="44" t="e">
        <f t="shared" si="278"/>
        <v>#DIV/0!</v>
      </c>
      <c r="AN99" s="44" t="e">
        <f t="shared" si="278"/>
        <v>#DIV/0!</v>
      </c>
      <c r="AO99" s="14" t="e">
        <f t="shared" si="278"/>
        <v>#DIV/0!</v>
      </c>
      <c r="AP99" s="13" t="e">
        <f t="shared" si="278"/>
        <v>#DIV/0!</v>
      </c>
      <c r="AQ99" s="44" t="e">
        <f t="shared" si="278"/>
        <v>#DIV/0!</v>
      </c>
      <c r="AR99" s="44" t="e">
        <f t="shared" si="278"/>
        <v>#DIV/0!</v>
      </c>
      <c r="AS99" s="14" t="e">
        <f t="shared" si="278"/>
        <v>#DIV/0!</v>
      </c>
      <c r="AT99" s="13" t="e">
        <f t="shared" si="278"/>
        <v>#DIV/0!</v>
      </c>
      <c r="AU99" s="44" t="e">
        <f t="shared" si="278"/>
        <v>#DIV/0!</v>
      </c>
      <c r="AV99" s="44" t="e">
        <f t="shared" si="278"/>
        <v>#DIV/0!</v>
      </c>
      <c r="AW99" s="14" t="e">
        <f t="shared" si="278"/>
        <v>#DIV/0!</v>
      </c>
      <c r="AX99" s="13" t="e">
        <f t="shared" si="278"/>
        <v>#DIV/0!</v>
      </c>
      <c r="AY99" s="44" t="e">
        <f t="shared" si="278"/>
        <v>#DIV/0!</v>
      </c>
      <c r="AZ99" s="44" t="e">
        <f t="shared" si="278"/>
        <v>#DIV/0!</v>
      </c>
      <c r="BA99" s="14" t="e">
        <f t="shared" si="278"/>
        <v>#DIV/0!</v>
      </c>
      <c r="BB99" s="13" t="e">
        <f t="shared" si="278"/>
        <v>#DIV/0!</v>
      </c>
      <c r="BC99" s="44" t="e">
        <f t="shared" si="278"/>
        <v>#DIV/0!</v>
      </c>
      <c r="BD99" s="44" t="e">
        <f t="shared" si="278"/>
        <v>#DIV/0!</v>
      </c>
      <c r="BE99" s="14" t="e">
        <f t="shared" si="278"/>
        <v>#DIV/0!</v>
      </c>
      <c r="BF99" s="13" t="e">
        <f t="shared" si="278"/>
        <v>#DIV/0!</v>
      </c>
      <c r="BG99" s="44" t="e">
        <f t="shared" si="278"/>
        <v>#DIV/0!</v>
      </c>
      <c r="BH99" s="44" t="e">
        <f t="shared" si="278"/>
        <v>#DIV/0!</v>
      </c>
      <c r="BI99" s="14" t="e">
        <f t="shared" si="278"/>
        <v>#DIV/0!</v>
      </c>
      <c r="BJ99" s="13" t="e">
        <f t="shared" si="278"/>
        <v>#DIV/0!</v>
      </c>
      <c r="BK99" s="44" t="e">
        <f t="shared" si="278"/>
        <v>#DIV/0!</v>
      </c>
      <c r="BL99" s="44" t="e">
        <f t="shared" si="278"/>
        <v>#DIV/0!</v>
      </c>
      <c r="BM99" s="14" t="e">
        <f t="shared" si="278"/>
        <v>#DIV/0!</v>
      </c>
      <c r="BN99" s="13" t="e">
        <f t="shared" si="278"/>
        <v>#DIV/0!</v>
      </c>
      <c r="BO99" s="44" t="e">
        <f t="shared" si="278"/>
        <v>#DIV/0!</v>
      </c>
      <c r="BP99" s="44" t="e">
        <f t="shared" si="278"/>
        <v>#DIV/0!</v>
      </c>
      <c r="BQ99" s="14" t="e">
        <f t="shared" ref="BQ99:CK99" si="279">(BQ26/BQ28)*BQ97+((BQ28-BQ26)/BQ28)*BQ98</f>
        <v>#DIV/0!</v>
      </c>
      <c r="BR99" s="13" t="e">
        <f t="shared" si="279"/>
        <v>#DIV/0!</v>
      </c>
      <c r="BS99" s="44" t="e">
        <f t="shared" si="279"/>
        <v>#DIV/0!</v>
      </c>
      <c r="BT99" s="44" t="e">
        <f t="shared" si="279"/>
        <v>#DIV/0!</v>
      </c>
      <c r="BU99" s="14" t="e">
        <f t="shared" si="279"/>
        <v>#DIV/0!</v>
      </c>
      <c r="BV99" s="13" t="e">
        <f t="shared" si="279"/>
        <v>#DIV/0!</v>
      </c>
      <c r="BW99" s="44" t="e">
        <f t="shared" si="279"/>
        <v>#DIV/0!</v>
      </c>
      <c r="BX99" s="44" t="e">
        <f t="shared" si="279"/>
        <v>#DIV/0!</v>
      </c>
      <c r="BY99" s="14" t="e">
        <f t="shared" si="279"/>
        <v>#DIV/0!</v>
      </c>
      <c r="BZ99" s="13" t="e">
        <f t="shared" si="279"/>
        <v>#DIV/0!</v>
      </c>
      <c r="CA99" s="44" t="e">
        <f t="shared" si="279"/>
        <v>#DIV/0!</v>
      </c>
      <c r="CB99" s="44" t="e">
        <f t="shared" si="279"/>
        <v>#DIV/0!</v>
      </c>
      <c r="CC99" s="14" t="e">
        <f t="shared" si="279"/>
        <v>#DIV/0!</v>
      </c>
      <c r="CD99" s="13" t="e">
        <f t="shared" si="279"/>
        <v>#DIV/0!</v>
      </c>
      <c r="CE99" s="44" t="e">
        <f t="shared" si="279"/>
        <v>#DIV/0!</v>
      </c>
      <c r="CF99" s="44" t="e">
        <f t="shared" si="279"/>
        <v>#DIV/0!</v>
      </c>
      <c r="CG99" s="14" t="e">
        <f t="shared" si="279"/>
        <v>#DIV/0!</v>
      </c>
      <c r="CH99" s="13" t="e">
        <f t="shared" si="279"/>
        <v>#DIV/0!</v>
      </c>
      <c r="CI99" s="44" t="e">
        <f t="shared" si="279"/>
        <v>#DIV/0!</v>
      </c>
      <c r="CJ99" s="44" t="e">
        <f t="shared" si="279"/>
        <v>#DIV/0!</v>
      </c>
      <c r="CK99" s="14" t="e">
        <f t="shared" si="279"/>
        <v>#DIV/0!</v>
      </c>
      <c r="CL99" s="49"/>
      <c r="CM99" s="28"/>
    </row>
    <row r="100" spans="1:91" ht="14.25" x14ac:dyDescent="0.25">
      <c r="B100" s="55"/>
      <c r="C100" s="10" t="s">
        <v>307</v>
      </c>
      <c r="D100" s="93" t="s">
        <v>427</v>
      </c>
      <c r="E100" s="126">
        <f t="shared" ref="E100:AJ100" si="280">E73+(E22/E21)*((1-E24)*80 + E24*E99)</f>
        <v>38.782537713673364</v>
      </c>
      <c r="F100" s="13">
        <f t="shared" si="280"/>
        <v>25.713981080992141</v>
      </c>
      <c r="G100" s="44">
        <f t="shared" si="280"/>
        <v>25.725542662362823</v>
      </c>
      <c r="H100" s="44">
        <f t="shared" si="280"/>
        <v>35.778936621596387</v>
      </c>
      <c r="I100" s="14">
        <f t="shared" si="280"/>
        <v>35.715623919719825</v>
      </c>
      <c r="J100" s="13" t="e">
        <f t="shared" si="280"/>
        <v>#DIV/0!</v>
      </c>
      <c r="K100" s="44" t="e">
        <f t="shared" si="280"/>
        <v>#DIV/0!</v>
      </c>
      <c r="L100" s="44" t="e">
        <f t="shared" si="280"/>
        <v>#DIV/0!</v>
      </c>
      <c r="M100" s="14" t="e">
        <f t="shared" si="280"/>
        <v>#DIV/0!</v>
      </c>
      <c r="N100" s="13" t="e">
        <f t="shared" si="280"/>
        <v>#DIV/0!</v>
      </c>
      <c r="O100" s="44" t="e">
        <f t="shared" si="280"/>
        <v>#DIV/0!</v>
      </c>
      <c r="P100" s="44" t="e">
        <f t="shared" si="280"/>
        <v>#DIV/0!</v>
      </c>
      <c r="Q100" s="14" t="e">
        <f t="shared" si="280"/>
        <v>#DIV/0!</v>
      </c>
      <c r="R100" s="13" t="e">
        <f t="shared" si="280"/>
        <v>#DIV/0!</v>
      </c>
      <c r="S100" s="44" t="e">
        <f t="shared" si="280"/>
        <v>#DIV/0!</v>
      </c>
      <c r="T100" s="44" t="e">
        <f t="shared" si="280"/>
        <v>#DIV/0!</v>
      </c>
      <c r="U100" s="14" t="e">
        <f t="shared" si="280"/>
        <v>#DIV/0!</v>
      </c>
      <c r="V100" s="13" t="e">
        <f t="shared" si="280"/>
        <v>#DIV/0!</v>
      </c>
      <c r="W100" s="44" t="e">
        <f t="shared" si="280"/>
        <v>#DIV/0!</v>
      </c>
      <c r="X100" s="44" t="e">
        <f t="shared" si="280"/>
        <v>#DIV/0!</v>
      </c>
      <c r="Y100" s="14" t="e">
        <f t="shared" si="280"/>
        <v>#DIV/0!</v>
      </c>
      <c r="Z100" s="13" t="e">
        <f t="shared" si="280"/>
        <v>#DIV/0!</v>
      </c>
      <c r="AA100" s="44" t="e">
        <f t="shared" si="280"/>
        <v>#DIV/0!</v>
      </c>
      <c r="AB100" s="44" t="e">
        <f t="shared" si="280"/>
        <v>#DIV/0!</v>
      </c>
      <c r="AC100" s="14" t="e">
        <f t="shared" si="280"/>
        <v>#DIV/0!</v>
      </c>
      <c r="AD100" s="13" t="e">
        <f t="shared" si="280"/>
        <v>#DIV/0!</v>
      </c>
      <c r="AE100" s="44" t="e">
        <f t="shared" si="280"/>
        <v>#DIV/0!</v>
      </c>
      <c r="AF100" s="44" t="e">
        <f t="shared" si="280"/>
        <v>#DIV/0!</v>
      </c>
      <c r="AG100" s="14" t="e">
        <f t="shared" si="280"/>
        <v>#DIV/0!</v>
      </c>
      <c r="AH100" s="13" t="e">
        <f t="shared" si="280"/>
        <v>#DIV/0!</v>
      </c>
      <c r="AI100" s="44" t="e">
        <f t="shared" si="280"/>
        <v>#DIV/0!</v>
      </c>
      <c r="AJ100" s="44" t="e">
        <f t="shared" si="280"/>
        <v>#DIV/0!</v>
      </c>
      <c r="AK100" s="14" t="e">
        <f t="shared" ref="AK100:BP100" si="281">AK73+(AK22/AK21)*((1-AK24)*80 + AK24*AK99)</f>
        <v>#DIV/0!</v>
      </c>
      <c r="AL100" s="13" t="e">
        <f t="shared" si="281"/>
        <v>#DIV/0!</v>
      </c>
      <c r="AM100" s="44" t="e">
        <f t="shared" si="281"/>
        <v>#DIV/0!</v>
      </c>
      <c r="AN100" s="44" t="e">
        <f t="shared" si="281"/>
        <v>#DIV/0!</v>
      </c>
      <c r="AO100" s="14" t="e">
        <f t="shared" si="281"/>
        <v>#DIV/0!</v>
      </c>
      <c r="AP100" s="13" t="e">
        <f t="shared" si="281"/>
        <v>#DIV/0!</v>
      </c>
      <c r="AQ100" s="44" t="e">
        <f t="shared" si="281"/>
        <v>#DIV/0!</v>
      </c>
      <c r="AR100" s="44" t="e">
        <f t="shared" si="281"/>
        <v>#DIV/0!</v>
      </c>
      <c r="AS100" s="14" t="e">
        <f t="shared" si="281"/>
        <v>#DIV/0!</v>
      </c>
      <c r="AT100" s="13" t="e">
        <f t="shared" si="281"/>
        <v>#DIV/0!</v>
      </c>
      <c r="AU100" s="44" t="e">
        <f t="shared" si="281"/>
        <v>#DIV/0!</v>
      </c>
      <c r="AV100" s="44" t="e">
        <f t="shared" si="281"/>
        <v>#DIV/0!</v>
      </c>
      <c r="AW100" s="14" t="e">
        <f t="shared" si="281"/>
        <v>#DIV/0!</v>
      </c>
      <c r="AX100" s="13" t="e">
        <f t="shared" si="281"/>
        <v>#DIV/0!</v>
      </c>
      <c r="AY100" s="44" t="e">
        <f t="shared" si="281"/>
        <v>#DIV/0!</v>
      </c>
      <c r="AZ100" s="44" t="e">
        <f t="shared" si="281"/>
        <v>#DIV/0!</v>
      </c>
      <c r="BA100" s="14" t="e">
        <f t="shared" si="281"/>
        <v>#DIV/0!</v>
      </c>
      <c r="BB100" s="13" t="e">
        <f t="shared" si="281"/>
        <v>#DIV/0!</v>
      </c>
      <c r="BC100" s="44" t="e">
        <f t="shared" si="281"/>
        <v>#DIV/0!</v>
      </c>
      <c r="BD100" s="44" t="e">
        <f t="shared" si="281"/>
        <v>#DIV/0!</v>
      </c>
      <c r="BE100" s="14" t="e">
        <f t="shared" si="281"/>
        <v>#DIV/0!</v>
      </c>
      <c r="BF100" s="13" t="e">
        <f t="shared" si="281"/>
        <v>#DIV/0!</v>
      </c>
      <c r="BG100" s="44" t="e">
        <f t="shared" si="281"/>
        <v>#DIV/0!</v>
      </c>
      <c r="BH100" s="44" t="e">
        <f t="shared" si="281"/>
        <v>#DIV/0!</v>
      </c>
      <c r="BI100" s="14" t="e">
        <f t="shared" si="281"/>
        <v>#DIV/0!</v>
      </c>
      <c r="BJ100" s="13" t="e">
        <f t="shared" si="281"/>
        <v>#DIV/0!</v>
      </c>
      <c r="BK100" s="44" t="e">
        <f t="shared" si="281"/>
        <v>#DIV/0!</v>
      </c>
      <c r="BL100" s="44" t="e">
        <f t="shared" si="281"/>
        <v>#DIV/0!</v>
      </c>
      <c r="BM100" s="14" t="e">
        <f t="shared" si="281"/>
        <v>#DIV/0!</v>
      </c>
      <c r="BN100" s="13" t="e">
        <f t="shared" si="281"/>
        <v>#DIV/0!</v>
      </c>
      <c r="BO100" s="44" t="e">
        <f t="shared" si="281"/>
        <v>#DIV/0!</v>
      </c>
      <c r="BP100" s="44" t="e">
        <f t="shared" si="281"/>
        <v>#DIV/0!</v>
      </c>
      <c r="BQ100" s="14" t="e">
        <f t="shared" ref="BQ100:CK100" si="282">BQ73+(BQ22/BQ21)*((1-BQ24)*80 + BQ24*BQ99)</f>
        <v>#DIV/0!</v>
      </c>
      <c r="BR100" s="13" t="e">
        <f t="shared" si="282"/>
        <v>#DIV/0!</v>
      </c>
      <c r="BS100" s="44" t="e">
        <f t="shared" si="282"/>
        <v>#DIV/0!</v>
      </c>
      <c r="BT100" s="44" t="e">
        <f t="shared" si="282"/>
        <v>#DIV/0!</v>
      </c>
      <c r="BU100" s="14" t="e">
        <f t="shared" si="282"/>
        <v>#DIV/0!</v>
      </c>
      <c r="BV100" s="13" t="e">
        <f t="shared" si="282"/>
        <v>#DIV/0!</v>
      </c>
      <c r="BW100" s="44" t="e">
        <f t="shared" si="282"/>
        <v>#DIV/0!</v>
      </c>
      <c r="BX100" s="44" t="e">
        <f t="shared" si="282"/>
        <v>#DIV/0!</v>
      </c>
      <c r="BY100" s="14" t="e">
        <f t="shared" si="282"/>
        <v>#DIV/0!</v>
      </c>
      <c r="BZ100" s="13" t="e">
        <f t="shared" si="282"/>
        <v>#DIV/0!</v>
      </c>
      <c r="CA100" s="44" t="e">
        <f t="shared" si="282"/>
        <v>#DIV/0!</v>
      </c>
      <c r="CB100" s="44" t="e">
        <f t="shared" si="282"/>
        <v>#DIV/0!</v>
      </c>
      <c r="CC100" s="14" t="e">
        <f t="shared" si="282"/>
        <v>#DIV/0!</v>
      </c>
      <c r="CD100" s="13" t="e">
        <f t="shared" si="282"/>
        <v>#DIV/0!</v>
      </c>
      <c r="CE100" s="44" t="e">
        <f t="shared" si="282"/>
        <v>#DIV/0!</v>
      </c>
      <c r="CF100" s="44" t="e">
        <f t="shared" si="282"/>
        <v>#DIV/0!</v>
      </c>
      <c r="CG100" s="14" t="e">
        <f t="shared" si="282"/>
        <v>#DIV/0!</v>
      </c>
      <c r="CH100" s="13" t="e">
        <f t="shared" si="282"/>
        <v>#DIV/0!</v>
      </c>
      <c r="CI100" s="44" t="e">
        <f t="shared" si="282"/>
        <v>#DIV/0!</v>
      </c>
      <c r="CJ100" s="44" t="e">
        <f t="shared" si="282"/>
        <v>#DIV/0!</v>
      </c>
      <c r="CK100" s="14" t="e">
        <f t="shared" si="282"/>
        <v>#DIV/0!</v>
      </c>
      <c r="CL100" s="49"/>
      <c r="CM100" s="28"/>
    </row>
    <row r="101" spans="1:91" x14ac:dyDescent="0.25">
      <c r="B101" s="55"/>
      <c r="C101" s="208"/>
      <c r="D101" s="234"/>
      <c r="E101" s="126"/>
      <c r="F101" s="13"/>
      <c r="G101" s="44"/>
      <c r="H101" s="44"/>
      <c r="I101" s="14"/>
      <c r="J101" s="13"/>
      <c r="K101" s="44"/>
      <c r="L101" s="44"/>
      <c r="M101" s="14"/>
      <c r="N101" s="13"/>
      <c r="O101" s="44"/>
      <c r="P101" s="44"/>
      <c r="Q101" s="14"/>
      <c r="R101" s="13"/>
      <c r="S101" s="44"/>
      <c r="T101" s="44"/>
      <c r="U101" s="14"/>
      <c r="V101" s="13"/>
      <c r="W101" s="44"/>
      <c r="X101" s="44"/>
      <c r="Y101" s="14"/>
      <c r="Z101" s="13"/>
      <c r="AA101" s="44"/>
      <c r="AB101" s="44"/>
      <c r="AC101" s="14"/>
      <c r="AD101" s="13"/>
      <c r="AE101" s="44"/>
      <c r="AF101" s="44"/>
      <c r="AG101" s="14"/>
      <c r="AH101" s="13"/>
      <c r="AI101" s="44"/>
      <c r="AJ101" s="44"/>
      <c r="AK101" s="14"/>
      <c r="AL101" s="13"/>
      <c r="AM101" s="44"/>
      <c r="AN101" s="44"/>
      <c r="AO101" s="14"/>
      <c r="AP101" s="13"/>
      <c r="AQ101" s="44"/>
      <c r="AR101" s="44"/>
      <c r="AS101" s="14"/>
      <c r="AT101" s="13"/>
      <c r="AU101" s="44"/>
      <c r="AV101" s="44"/>
      <c r="AW101" s="14"/>
      <c r="AX101" s="13"/>
      <c r="AY101" s="44"/>
      <c r="AZ101" s="44"/>
      <c r="BA101" s="14"/>
      <c r="BB101" s="13"/>
      <c r="BC101" s="44"/>
      <c r="BD101" s="44"/>
      <c r="BE101" s="14"/>
      <c r="BF101" s="13"/>
      <c r="BG101" s="44"/>
      <c r="BH101" s="44"/>
      <c r="BI101" s="14"/>
      <c r="BJ101" s="13"/>
      <c r="BK101" s="44"/>
      <c r="BL101" s="44"/>
      <c r="BM101" s="14"/>
      <c r="BN101" s="13"/>
      <c r="BO101" s="44"/>
      <c r="BP101" s="44"/>
      <c r="BQ101" s="14"/>
      <c r="BR101" s="13"/>
      <c r="BS101" s="44"/>
      <c r="BT101" s="44"/>
      <c r="BU101" s="14"/>
      <c r="BV101" s="13"/>
      <c r="BW101" s="44"/>
      <c r="BX101" s="44"/>
      <c r="BY101" s="14"/>
      <c r="BZ101" s="13"/>
      <c r="CA101" s="44"/>
      <c r="CB101" s="44"/>
      <c r="CC101" s="14"/>
      <c r="CD101" s="13"/>
      <c r="CE101" s="44"/>
      <c r="CF101" s="44"/>
      <c r="CG101" s="14"/>
      <c r="CH101" s="13"/>
      <c r="CI101" s="44"/>
      <c r="CJ101" s="44"/>
      <c r="CK101" s="14"/>
      <c r="CL101" s="49"/>
      <c r="CM101" s="28"/>
    </row>
    <row r="102" spans="1:91" ht="14.25" x14ac:dyDescent="0.25">
      <c r="B102" s="55"/>
      <c r="C102" s="10" t="s">
        <v>442</v>
      </c>
      <c r="D102" s="93" t="s">
        <v>443</v>
      </c>
      <c r="E102" s="126">
        <f>E74</f>
        <v>0</v>
      </c>
      <c r="F102" s="13">
        <f t="shared" ref="F102:AK102" si="283">IF(F42="Signalized",F100,IF(F42="Stop - Two way",F85,IF(F42="Stop - All way",0,IF(F42="Free",0,"Control N/A!"))))</f>
        <v>25.713981080992141</v>
      </c>
      <c r="G102" s="44">
        <f t="shared" si="283"/>
        <v>25.725542662362823</v>
      </c>
      <c r="H102" s="44">
        <f t="shared" si="283"/>
        <v>35.778936621596387</v>
      </c>
      <c r="I102" s="14">
        <f t="shared" si="283"/>
        <v>35.715623919719825</v>
      </c>
      <c r="J102" s="13" t="str">
        <f t="shared" si="283"/>
        <v>Control N/A!</v>
      </c>
      <c r="K102" s="44" t="e">
        <f t="shared" ca="1" si="283"/>
        <v>#NAME?</v>
      </c>
      <c r="L102" s="44">
        <f t="shared" si="283"/>
        <v>0</v>
      </c>
      <c r="M102" s="14">
        <f t="shared" si="283"/>
        <v>0</v>
      </c>
      <c r="N102" s="13" t="str">
        <f t="shared" si="283"/>
        <v>Control N/A!</v>
      </c>
      <c r="O102" s="44" t="str">
        <f t="shared" si="283"/>
        <v>Control N/A!</v>
      </c>
      <c r="P102" s="44" t="str">
        <f t="shared" si="283"/>
        <v>Control N/A!</v>
      </c>
      <c r="Q102" s="14" t="str">
        <f t="shared" si="283"/>
        <v>Control N/A!</v>
      </c>
      <c r="R102" s="13" t="str">
        <f t="shared" si="283"/>
        <v>Control N/A!</v>
      </c>
      <c r="S102" s="44" t="str">
        <f t="shared" si="283"/>
        <v>Control N/A!</v>
      </c>
      <c r="T102" s="44" t="str">
        <f t="shared" si="283"/>
        <v>Control N/A!</v>
      </c>
      <c r="U102" s="14" t="str">
        <f t="shared" si="283"/>
        <v>Control N/A!</v>
      </c>
      <c r="V102" s="13" t="str">
        <f t="shared" si="283"/>
        <v>Control N/A!</v>
      </c>
      <c r="W102" s="44" t="str">
        <f t="shared" si="283"/>
        <v>Control N/A!</v>
      </c>
      <c r="X102" s="44" t="str">
        <f t="shared" si="283"/>
        <v>Control N/A!</v>
      </c>
      <c r="Y102" s="14" t="str">
        <f t="shared" si="283"/>
        <v>Control N/A!</v>
      </c>
      <c r="Z102" s="13" t="str">
        <f t="shared" si="283"/>
        <v>Control N/A!</v>
      </c>
      <c r="AA102" s="44" t="str">
        <f t="shared" si="283"/>
        <v>Control N/A!</v>
      </c>
      <c r="AB102" s="44" t="str">
        <f t="shared" si="283"/>
        <v>Control N/A!</v>
      </c>
      <c r="AC102" s="14" t="str">
        <f t="shared" si="283"/>
        <v>Control N/A!</v>
      </c>
      <c r="AD102" s="13" t="str">
        <f t="shared" si="283"/>
        <v>Control N/A!</v>
      </c>
      <c r="AE102" s="44" t="str">
        <f t="shared" si="283"/>
        <v>Control N/A!</v>
      </c>
      <c r="AF102" s="44" t="str">
        <f t="shared" si="283"/>
        <v>Control N/A!</v>
      </c>
      <c r="AG102" s="14" t="str">
        <f t="shared" si="283"/>
        <v>Control N/A!</v>
      </c>
      <c r="AH102" s="13" t="str">
        <f t="shared" si="283"/>
        <v>Control N/A!</v>
      </c>
      <c r="AI102" s="44" t="str">
        <f t="shared" si="283"/>
        <v>Control N/A!</v>
      </c>
      <c r="AJ102" s="44" t="str">
        <f t="shared" si="283"/>
        <v>Control N/A!</v>
      </c>
      <c r="AK102" s="14" t="str">
        <f t="shared" si="283"/>
        <v>Control N/A!</v>
      </c>
      <c r="AL102" s="13" t="str">
        <f t="shared" ref="AL102:BQ102" si="284">IF(AL42="Signalized",AL100,IF(AL42="Stop - Two way",AL85,IF(AL42="Stop - All way",0,IF(AL42="Free",0,"Control N/A!"))))</f>
        <v>Control N/A!</v>
      </c>
      <c r="AM102" s="44" t="str">
        <f t="shared" si="284"/>
        <v>Control N/A!</v>
      </c>
      <c r="AN102" s="44" t="str">
        <f t="shared" si="284"/>
        <v>Control N/A!</v>
      </c>
      <c r="AO102" s="14" t="str">
        <f t="shared" si="284"/>
        <v>Control N/A!</v>
      </c>
      <c r="AP102" s="13" t="str">
        <f t="shared" si="284"/>
        <v>Control N/A!</v>
      </c>
      <c r="AQ102" s="44" t="str">
        <f t="shared" si="284"/>
        <v>Control N/A!</v>
      </c>
      <c r="AR102" s="44" t="str">
        <f t="shared" si="284"/>
        <v>Control N/A!</v>
      </c>
      <c r="AS102" s="14" t="str">
        <f t="shared" si="284"/>
        <v>Control N/A!</v>
      </c>
      <c r="AT102" s="13" t="str">
        <f t="shared" si="284"/>
        <v>Control N/A!</v>
      </c>
      <c r="AU102" s="44" t="str">
        <f t="shared" si="284"/>
        <v>Control N/A!</v>
      </c>
      <c r="AV102" s="44" t="str">
        <f t="shared" si="284"/>
        <v>Control N/A!</v>
      </c>
      <c r="AW102" s="14" t="str">
        <f t="shared" si="284"/>
        <v>Control N/A!</v>
      </c>
      <c r="AX102" s="13" t="str">
        <f t="shared" si="284"/>
        <v>Control N/A!</v>
      </c>
      <c r="AY102" s="44" t="str">
        <f t="shared" si="284"/>
        <v>Control N/A!</v>
      </c>
      <c r="AZ102" s="44" t="str">
        <f t="shared" si="284"/>
        <v>Control N/A!</v>
      </c>
      <c r="BA102" s="14" t="str">
        <f t="shared" si="284"/>
        <v>Control N/A!</v>
      </c>
      <c r="BB102" s="13" t="str">
        <f t="shared" si="284"/>
        <v>Control N/A!</v>
      </c>
      <c r="BC102" s="44" t="str">
        <f t="shared" si="284"/>
        <v>Control N/A!</v>
      </c>
      <c r="BD102" s="44" t="str">
        <f t="shared" si="284"/>
        <v>Control N/A!</v>
      </c>
      <c r="BE102" s="14" t="str">
        <f t="shared" si="284"/>
        <v>Control N/A!</v>
      </c>
      <c r="BF102" s="13" t="str">
        <f t="shared" si="284"/>
        <v>Control N/A!</v>
      </c>
      <c r="BG102" s="44" t="str">
        <f t="shared" si="284"/>
        <v>Control N/A!</v>
      </c>
      <c r="BH102" s="44" t="str">
        <f t="shared" si="284"/>
        <v>Control N/A!</v>
      </c>
      <c r="BI102" s="14" t="str">
        <f t="shared" si="284"/>
        <v>Control N/A!</v>
      </c>
      <c r="BJ102" s="13" t="str">
        <f t="shared" si="284"/>
        <v>Control N/A!</v>
      </c>
      <c r="BK102" s="44" t="str">
        <f t="shared" si="284"/>
        <v>Control N/A!</v>
      </c>
      <c r="BL102" s="44" t="str">
        <f t="shared" si="284"/>
        <v>Control N/A!</v>
      </c>
      <c r="BM102" s="14" t="str">
        <f t="shared" si="284"/>
        <v>Control N/A!</v>
      </c>
      <c r="BN102" s="13" t="str">
        <f t="shared" si="284"/>
        <v>Control N/A!</v>
      </c>
      <c r="BO102" s="44" t="str">
        <f t="shared" si="284"/>
        <v>Control N/A!</v>
      </c>
      <c r="BP102" s="44" t="str">
        <f t="shared" si="284"/>
        <v>Control N/A!</v>
      </c>
      <c r="BQ102" s="14" t="str">
        <f t="shared" si="284"/>
        <v>Control N/A!</v>
      </c>
      <c r="BR102" s="13" t="str">
        <f t="shared" ref="BR102:CK102" si="285">IF(BR42="Signalized",BR100,IF(BR42="Stop - Two way",BR85,IF(BR42="Stop - All way",0,IF(BR42="Free",0,"Control N/A!"))))</f>
        <v>Control N/A!</v>
      </c>
      <c r="BS102" s="44" t="str">
        <f t="shared" si="285"/>
        <v>Control N/A!</v>
      </c>
      <c r="BT102" s="44" t="str">
        <f t="shared" si="285"/>
        <v>Control N/A!</v>
      </c>
      <c r="BU102" s="14" t="str">
        <f t="shared" si="285"/>
        <v>Control N/A!</v>
      </c>
      <c r="BV102" s="13" t="str">
        <f t="shared" si="285"/>
        <v>Control N/A!</v>
      </c>
      <c r="BW102" s="44" t="str">
        <f t="shared" si="285"/>
        <v>Control N/A!</v>
      </c>
      <c r="BX102" s="44" t="str">
        <f t="shared" si="285"/>
        <v>Control N/A!</v>
      </c>
      <c r="BY102" s="14" t="str">
        <f t="shared" si="285"/>
        <v>Control N/A!</v>
      </c>
      <c r="BZ102" s="13" t="str">
        <f t="shared" si="285"/>
        <v>Control N/A!</v>
      </c>
      <c r="CA102" s="44" t="str">
        <f t="shared" si="285"/>
        <v>Control N/A!</v>
      </c>
      <c r="CB102" s="44" t="str">
        <f t="shared" si="285"/>
        <v>Control N/A!</v>
      </c>
      <c r="CC102" s="14" t="str">
        <f t="shared" si="285"/>
        <v>Control N/A!</v>
      </c>
      <c r="CD102" s="13" t="str">
        <f t="shared" si="285"/>
        <v>Control N/A!</v>
      </c>
      <c r="CE102" s="44" t="str">
        <f t="shared" si="285"/>
        <v>Control N/A!</v>
      </c>
      <c r="CF102" s="44" t="str">
        <f t="shared" si="285"/>
        <v>Control N/A!</v>
      </c>
      <c r="CG102" s="14" t="str">
        <f t="shared" si="285"/>
        <v>Control N/A!</v>
      </c>
      <c r="CH102" s="13" t="str">
        <f t="shared" si="285"/>
        <v>Control N/A!</v>
      </c>
      <c r="CI102" s="44" t="str">
        <f t="shared" si="285"/>
        <v>Control N/A!</v>
      </c>
      <c r="CJ102" s="44" t="str">
        <f t="shared" si="285"/>
        <v>Control N/A!</v>
      </c>
      <c r="CK102" s="14" t="str">
        <f t="shared" si="285"/>
        <v>Control N/A!</v>
      </c>
      <c r="CL102" s="49"/>
      <c r="CM102" s="28"/>
    </row>
    <row r="103" spans="1:91" ht="14.25" x14ac:dyDescent="0.25">
      <c r="B103" s="55"/>
      <c r="C103" s="10" t="s">
        <v>109</v>
      </c>
      <c r="D103" s="93" t="s">
        <v>110</v>
      </c>
      <c r="E103" s="126">
        <f t="shared" ref="E103:AJ103" si="286">IF(AND(E43="Yes",(E37-1.5)&gt;0),E37-1.5,E37)</f>
        <v>0</v>
      </c>
      <c r="F103" s="13">
        <f t="shared" si="286"/>
        <v>0</v>
      </c>
      <c r="G103" s="44">
        <f t="shared" si="286"/>
        <v>0</v>
      </c>
      <c r="H103" s="44">
        <f t="shared" si="286"/>
        <v>0</v>
      </c>
      <c r="I103" s="14">
        <f t="shared" si="286"/>
        <v>0</v>
      </c>
      <c r="J103" s="13">
        <f t="shared" si="286"/>
        <v>0</v>
      </c>
      <c r="K103" s="44">
        <f t="shared" si="286"/>
        <v>0</v>
      </c>
      <c r="L103" s="44">
        <f t="shared" si="286"/>
        <v>0</v>
      </c>
      <c r="M103" s="14">
        <f t="shared" si="286"/>
        <v>0</v>
      </c>
      <c r="N103" s="13">
        <f t="shared" si="286"/>
        <v>0</v>
      </c>
      <c r="O103" s="44">
        <f t="shared" si="286"/>
        <v>0</v>
      </c>
      <c r="P103" s="44">
        <f t="shared" si="286"/>
        <v>0</v>
      </c>
      <c r="Q103" s="14">
        <f t="shared" si="286"/>
        <v>0</v>
      </c>
      <c r="R103" s="13">
        <f t="shared" si="286"/>
        <v>0</v>
      </c>
      <c r="S103" s="44">
        <f t="shared" si="286"/>
        <v>0</v>
      </c>
      <c r="T103" s="44">
        <f t="shared" si="286"/>
        <v>0</v>
      </c>
      <c r="U103" s="14">
        <f t="shared" si="286"/>
        <v>0</v>
      </c>
      <c r="V103" s="13">
        <f t="shared" si="286"/>
        <v>0</v>
      </c>
      <c r="W103" s="44">
        <f t="shared" si="286"/>
        <v>0</v>
      </c>
      <c r="X103" s="44">
        <f t="shared" si="286"/>
        <v>0</v>
      </c>
      <c r="Y103" s="14">
        <f t="shared" si="286"/>
        <v>0</v>
      </c>
      <c r="Z103" s="13">
        <f t="shared" si="286"/>
        <v>0</v>
      </c>
      <c r="AA103" s="44">
        <f t="shared" si="286"/>
        <v>0</v>
      </c>
      <c r="AB103" s="44">
        <f t="shared" si="286"/>
        <v>0</v>
      </c>
      <c r="AC103" s="14">
        <f t="shared" si="286"/>
        <v>0</v>
      </c>
      <c r="AD103" s="13">
        <f t="shared" si="286"/>
        <v>0</v>
      </c>
      <c r="AE103" s="44">
        <f t="shared" si="286"/>
        <v>0</v>
      </c>
      <c r="AF103" s="44">
        <f t="shared" si="286"/>
        <v>0</v>
      </c>
      <c r="AG103" s="14">
        <f t="shared" si="286"/>
        <v>0</v>
      </c>
      <c r="AH103" s="13">
        <f t="shared" si="286"/>
        <v>0</v>
      </c>
      <c r="AI103" s="44">
        <f t="shared" si="286"/>
        <v>0</v>
      </c>
      <c r="AJ103" s="44">
        <f t="shared" si="286"/>
        <v>0</v>
      </c>
      <c r="AK103" s="14">
        <f t="shared" ref="AK103:BP103" si="287">IF(AND(AK43="Yes",(AK37-1.5)&gt;0),AK37-1.5,AK37)</f>
        <v>0</v>
      </c>
      <c r="AL103" s="13">
        <f t="shared" si="287"/>
        <v>0</v>
      </c>
      <c r="AM103" s="44">
        <f t="shared" si="287"/>
        <v>0</v>
      </c>
      <c r="AN103" s="44">
        <f t="shared" si="287"/>
        <v>0</v>
      </c>
      <c r="AO103" s="14">
        <f t="shared" si="287"/>
        <v>0</v>
      </c>
      <c r="AP103" s="13">
        <f t="shared" si="287"/>
        <v>0</v>
      </c>
      <c r="AQ103" s="44">
        <f t="shared" si="287"/>
        <v>0</v>
      </c>
      <c r="AR103" s="44">
        <f t="shared" si="287"/>
        <v>0</v>
      </c>
      <c r="AS103" s="14">
        <f t="shared" si="287"/>
        <v>0</v>
      </c>
      <c r="AT103" s="13">
        <f t="shared" si="287"/>
        <v>0</v>
      </c>
      <c r="AU103" s="44">
        <f t="shared" si="287"/>
        <v>0</v>
      </c>
      <c r="AV103" s="44">
        <f t="shared" si="287"/>
        <v>0</v>
      </c>
      <c r="AW103" s="14">
        <f t="shared" si="287"/>
        <v>0</v>
      </c>
      <c r="AX103" s="13">
        <f t="shared" si="287"/>
        <v>0</v>
      </c>
      <c r="AY103" s="44">
        <f t="shared" si="287"/>
        <v>0</v>
      </c>
      <c r="AZ103" s="44">
        <f t="shared" si="287"/>
        <v>0</v>
      </c>
      <c r="BA103" s="14">
        <f t="shared" si="287"/>
        <v>0</v>
      </c>
      <c r="BB103" s="13">
        <f t="shared" si="287"/>
        <v>0</v>
      </c>
      <c r="BC103" s="44">
        <f t="shared" si="287"/>
        <v>0</v>
      </c>
      <c r="BD103" s="44">
        <f t="shared" si="287"/>
        <v>0</v>
      </c>
      <c r="BE103" s="14">
        <f t="shared" si="287"/>
        <v>0</v>
      </c>
      <c r="BF103" s="13">
        <f t="shared" si="287"/>
        <v>0</v>
      </c>
      <c r="BG103" s="44">
        <f t="shared" si="287"/>
        <v>0</v>
      </c>
      <c r="BH103" s="44">
        <f t="shared" si="287"/>
        <v>0</v>
      </c>
      <c r="BI103" s="14">
        <f t="shared" si="287"/>
        <v>0</v>
      </c>
      <c r="BJ103" s="13">
        <f t="shared" si="287"/>
        <v>0</v>
      </c>
      <c r="BK103" s="44">
        <f t="shared" si="287"/>
        <v>0</v>
      </c>
      <c r="BL103" s="44">
        <f t="shared" si="287"/>
        <v>0</v>
      </c>
      <c r="BM103" s="14">
        <f t="shared" si="287"/>
        <v>0</v>
      </c>
      <c r="BN103" s="13">
        <f t="shared" si="287"/>
        <v>0</v>
      </c>
      <c r="BO103" s="44">
        <f t="shared" si="287"/>
        <v>0</v>
      </c>
      <c r="BP103" s="44">
        <f t="shared" si="287"/>
        <v>0</v>
      </c>
      <c r="BQ103" s="14">
        <f t="shared" ref="BQ103:CK103" si="288">IF(AND(BQ43="Yes",(BQ37-1.5)&gt;0),BQ37-1.5,BQ37)</f>
        <v>0</v>
      </c>
      <c r="BR103" s="13">
        <f t="shared" si="288"/>
        <v>0</v>
      </c>
      <c r="BS103" s="44">
        <f t="shared" si="288"/>
        <v>0</v>
      </c>
      <c r="BT103" s="44">
        <f t="shared" si="288"/>
        <v>0</v>
      </c>
      <c r="BU103" s="14">
        <f t="shared" si="288"/>
        <v>0</v>
      </c>
      <c r="BV103" s="13">
        <f t="shared" si="288"/>
        <v>0</v>
      </c>
      <c r="BW103" s="44">
        <f t="shared" si="288"/>
        <v>0</v>
      </c>
      <c r="BX103" s="44">
        <f t="shared" si="288"/>
        <v>0</v>
      </c>
      <c r="BY103" s="14">
        <f t="shared" si="288"/>
        <v>0</v>
      </c>
      <c r="BZ103" s="13">
        <f t="shared" si="288"/>
        <v>0</v>
      </c>
      <c r="CA103" s="44">
        <f t="shared" si="288"/>
        <v>0</v>
      </c>
      <c r="CB103" s="44">
        <f t="shared" si="288"/>
        <v>0</v>
      </c>
      <c r="CC103" s="14">
        <f t="shared" si="288"/>
        <v>0</v>
      </c>
      <c r="CD103" s="13">
        <f t="shared" si="288"/>
        <v>0</v>
      </c>
      <c r="CE103" s="44">
        <f t="shared" si="288"/>
        <v>0</v>
      </c>
      <c r="CF103" s="44">
        <f t="shared" si="288"/>
        <v>0</v>
      </c>
      <c r="CG103" s="14">
        <f t="shared" si="288"/>
        <v>0</v>
      </c>
      <c r="CH103" s="13">
        <f t="shared" si="288"/>
        <v>0</v>
      </c>
      <c r="CI103" s="44">
        <f t="shared" si="288"/>
        <v>0</v>
      </c>
      <c r="CJ103" s="44">
        <f t="shared" si="288"/>
        <v>0</v>
      </c>
      <c r="CK103" s="14">
        <f t="shared" si="288"/>
        <v>0</v>
      </c>
      <c r="CL103" s="49"/>
      <c r="CM103" s="28"/>
    </row>
    <row r="104" spans="1:91" ht="14.25" x14ac:dyDescent="0.25">
      <c r="B104" s="55"/>
      <c r="C104" s="10" t="s">
        <v>175</v>
      </c>
      <c r="D104" s="93" t="s">
        <v>176</v>
      </c>
      <c r="E104" s="127">
        <f t="shared" ref="E104:AJ104" si="289">IF(E35&gt;0,0,1)</f>
        <v>0</v>
      </c>
      <c r="F104" s="42">
        <f t="shared" si="289"/>
        <v>0</v>
      </c>
      <c r="G104" s="45">
        <f t="shared" si="289"/>
        <v>0</v>
      </c>
      <c r="H104" s="45">
        <f t="shared" si="289"/>
        <v>0</v>
      </c>
      <c r="I104" s="94">
        <f t="shared" si="289"/>
        <v>0</v>
      </c>
      <c r="J104" s="172">
        <f t="shared" si="289"/>
        <v>1</v>
      </c>
      <c r="K104" s="173">
        <f t="shared" si="289"/>
        <v>0</v>
      </c>
      <c r="L104" s="173">
        <f t="shared" si="289"/>
        <v>0</v>
      </c>
      <c r="M104" s="174">
        <f t="shared" si="289"/>
        <v>0</v>
      </c>
      <c r="N104" s="172">
        <f t="shared" si="289"/>
        <v>1</v>
      </c>
      <c r="O104" s="173">
        <f t="shared" si="289"/>
        <v>1</v>
      </c>
      <c r="P104" s="173">
        <f t="shared" si="289"/>
        <v>1</v>
      </c>
      <c r="Q104" s="174">
        <f t="shared" si="289"/>
        <v>1</v>
      </c>
      <c r="R104" s="172">
        <f t="shared" si="289"/>
        <v>1</v>
      </c>
      <c r="S104" s="173">
        <f t="shared" si="289"/>
        <v>1</v>
      </c>
      <c r="T104" s="173">
        <f t="shared" si="289"/>
        <v>1</v>
      </c>
      <c r="U104" s="174">
        <f t="shared" si="289"/>
        <v>1</v>
      </c>
      <c r="V104" s="172">
        <f t="shared" si="289"/>
        <v>1</v>
      </c>
      <c r="W104" s="173">
        <f t="shared" si="289"/>
        <v>1</v>
      </c>
      <c r="X104" s="173">
        <f t="shared" si="289"/>
        <v>1</v>
      </c>
      <c r="Y104" s="174">
        <f t="shared" si="289"/>
        <v>1</v>
      </c>
      <c r="Z104" s="172">
        <f t="shared" si="289"/>
        <v>1</v>
      </c>
      <c r="AA104" s="173">
        <f t="shared" si="289"/>
        <v>1</v>
      </c>
      <c r="AB104" s="173">
        <f t="shared" si="289"/>
        <v>1</v>
      </c>
      <c r="AC104" s="174">
        <f t="shared" si="289"/>
        <v>1</v>
      </c>
      <c r="AD104" s="172">
        <f t="shared" si="289"/>
        <v>1</v>
      </c>
      <c r="AE104" s="173">
        <f t="shared" si="289"/>
        <v>1</v>
      </c>
      <c r="AF104" s="173">
        <f t="shared" si="289"/>
        <v>1</v>
      </c>
      <c r="AG104" s="174">
        <f t="shared" si="289"/>
        <v>1</v>
      </c>
      <c r="AH104" s="172">
        <f t="shared" si="289"/>
        <v>1</v>
      </c>
      <c r="AI104" s="173">
        <f t="shared" si="289"/>
        <v>1</v>
      </c>
      <c r="AJ104" s="173">
        <f t="shared" si="289"/>
        <v>1</v>
      </c>
      <c r="AK104" s="174">
        <f t="shared" ref="AK104:BP104" si="290">IF(AK35&gt;0,0,1)</f>
        <v>1</v>
      </c>
      <c r="AL104" s="172">
        <f t="shared" si="290"/>
        <v>1</v>
      </c>
      <c r="AM104" s="173">
        <f t="shared" si="290"/>
        <v>1</v>
      </c>
      <c r="AN104" s="173">
        <f t="shared" si="290"/>
        <v>1</v>
      </c>
      <c r="AO104" s="174">
        <f t="shared" si="290"/>
        <v>1</v>
      </c>
      <c r="AP104" s="172">
        <f t="shared" si="290"/>
        <v>1</v>
      </c>
      <c r="AQ104" s="173">
        <f t="shared" si="290"/>
        <v>1</v>
      </c>
      <c r="AR104" s="173">
        <f t="shared" si="290"/>
        <v>1</v>
      </c>
      <c r="AS104" s="174">
        <f t="shared" si="290"/>
        <v>1</v>
      </c>
      <c r="AT104" s="172">
        <f t="shared" si="290"/>
        <v>1</v>
      </c>
      <c r="AU104" s="173">
        <f t="shared" si="290"/>
        <v>1</v>
      </c>
      <c r="AV104" s="173">
        <f t="shared" si="290"/>
        <v>1</v>
      </c>
      <c r="AW104" s="174">
        <f t="shared" si="290"/>
        <v>1</v>
      </c>
      <c r="AX104" s="172">
        <f t="shared" si="290"/>
        <v>1</v>
      </c>
      <c r="AY104" s="173">
        <f t="shared" si="290"/>
        <v>1</v>
      </c>
      <c r="AZ104" s="173">
        <f t="shared" si="290"/>
        <v>1</v>
      </c>
      <c r="BA104" s="174">
        <f t="shared" si="290"/>
        <v>1</v>
      </c>
      <c r="BB104" s="172">
        <f t="shared" si="290"/>
        <v>1</v>
      </c>
      <c r="BC104" s="173">
        <f t="shared" si="290"/>
        <v>1</v>
      </c>
      <c r="BD104" s="173">
        <f t="shared" si="290"/>
        <v>1</v>
      </c>
      <c r="BE104" s="174">
        <f t="shared" si="290"/>
        <v>1</v>
      </c>
      <c r="BF104" s="172">
        <f t="shared" si="290"/>
        <v>1</v>
      </c>
      <c r="BG104" s="173">
        <f t="shared" si="290"/>
        <v>1</v>
      </c>
      <c r="BH104" s="173">
        <f t="shared" si="290"/>
        <v>1</v>
      </c>
      <c r="BI104" s="174">
        <f t="shared" si="290"/>
        <v>1</v>
      </c>
      <c r="BJ104" s="172">
        <f t="shared" si="290"/>
        <v>1</v>
      </c>
      <c r="BK104" s="173">
        <f t="shared" si="290"/>
        <v>1</v>
      </c>
      <c r="BL104" s="173">
        <f t="shared" si="290"/>
        <v>1</v>
      </c>
      <c r="BM104" s="174">
        <f t="shared" si="290"/>
        <v>1</v>
      </c>
      <c r="BN104" s="172">
        <f t="shared" si="290"/>
        <v>1</v>
      </c>
      <c r="BO104" s="173">
        <f t="shared" si="290"/>
        <v>1</v>
      </c>
      <c r="BP104" s="173">
        <f t="shared" si="290"/>
        <v>1</v>
      </c>
      <c r="BQ104" s="174">
        <f t="shared" ref="BQ104:CK104" si="291">IF(BQ35&gt;0,0,1)</f>
        <v>1</v>
      </c>
      <c r="BR104" s="172">
        <f t="shared" si="291"/>
        <v>1</v>
      </c>
      <c r="BS104" s="173">
        <f t="shared" si="291"/>
        <v>1</v>
      </c>
      <c r="BT104" s="173">
        <f t="shared" si="291"/>
        <v>1</v>
      </c>
      <c r="BU104" s="174">
        <f t="shared" si="291"/>
        <v>1</v>
      </c>
      <c r="BV104" s="172">
        <f t="shared" si="291"/>
        <v>1</v>
      </c>
      <c r="BW104" s="173">
        <f t="shared" si="291"/>
        <v>1</v>
      </c>
      <c r="BX104" s="173">
        <f t="shared" si="291"/>
        <v>1</v>
      </c>
      <c r="BY104" s="174">
        <f t="shared" si="291"/>
        <v>1</v>
      </c>
      <c r="BZ104" s="172">
        <f t="shared" si="291"/>
        <v>1</v>
      </c>
      <c r="CA104" s="173">
        <f t="shared" si="291"/>
        <v>1</v>
      </c>
      <c r="CB104" s="173">
        <f t="shared" si="291"/>
        <v>1</v>
      </c>
      <c r="CC104" s="174">
        <f t="shared" si="291"/>
        <v>1</v>
      </c>
      <c r="CD104" s="172">
        <f t="shared" si="291"/>
        <v>1</v>
      </c>
      <c r="CE104" s="173">
        <f t="shared" si="291"/>
        <v>1</v>
      </c>
      <c r="CF104" s="173">
        <f t="shared" si="291"/>
        <v>1</v>
      </c>
      <c r="CG104" s="174">
        <f t="shared" si="291"/>
        <v>1</v>
      </c>
      <c r="CH104" s="172">
        <f t="shared" si="291"/>
        <v>1</v>
      </c>
      <c r="CI104" s="173">
        <f t="shared" si="291"/>
        <v>1</v>
      </c>
      <c r="CJ104" s="173">
        <f t="shared" si="291"/>
        <v>1</v>
      </c>
      <c r="CK104" s="174">
        <f t="shared" si="291"/>
        <v>1</v>
      </c>
      <c r="CL104" s="49"/>
      <c r="CM104" s="28"/>
    </row>
    <row r="105" spans="1:91" ht="14.25" x14ac:dyDescent="0.25">
      <c r="B105" s="55"/>
      <c r="C105" s="10" t="s">
        <v>45</v>
      </c>
      <c r="D105" s="93" t="s">
        <v>107</v>
      </c>
      <c r="E105" s="124">
        <f t="shared" ref="E105:AJ105" si="292">E34+E33+E103+E104*E36</f>
        <v>18</v>
      </c>
      <c r="F105" s="10">
        <f t="shared" si="292"/>
        <v>12</v>
      </c>
      <c r="G105" s="71">
        <f t="shared" si="292"/>
        <v>12</v>
      </c>
      <c r="H105" s="71">
        <f t="shared" si="292"/>
        <v>12</v>
      </c>
      <c r="I105" s="75">
        <f t="shared" si="292"/>
        <v>12</v>
      </c>
      <c r="J105" s="10">
        <f t="shared" si="292"/>
        <v>0</v>
      </c>
      <c r="K105" s="166">
        <f t="shared" si="292"/>
        <v>10</v>
      </c>
      <c r="L105" s="166">
        <f t="shared" si="292"/>
        <v>12</v>
      </c>
      <c r="M105" s="170">
        <f t="shared" si="292"/>
        <v>12</v>
      </c>
      <c r="N105" s="10">
        <f t="shared" si="292"/>
        <v>0</v>
      </c>
      <c r="O105" s="166">
        <f t="shared" si="292"/>
        <v>0</v>
      </c>
      <c r="P105" s="166">
        <f t="shared" si="292"/>
        <v>0</v>
      </c>
      <c r="Q105" s="170">
        <f t="shared" si="292"/>
        <v>0</v>
      </c>
      <c r="R105" s="10">
        <f t="shared" si="292"/>
        <v>0</v>
      </c>
      <c r="S105" s="166">
        <f t="shared" si="292"/>
        <v>0</v>
      </c>
      <c r="T105" s="166">
        <f t="shared" si="292"/>
        <v>0</v>
      </c>
      <c r="U105" s="170">
        <f t="shared" si="292"/>
        <v>0</v>
      </c>
      <c r="V105" s="10">
        <f t="shared" si="292"/>
        <v>0</v>
      </c>
      <c r="W105" s="166">
        <f t="shared" si="292"/>
        <v>0</v>
      </c>
      <c r="X105" s="166">
        <f t="shared" si="292"/>
        <v>0</v>
      </c>
      <c r="Y105" s="170">
        <f t="shared" si="292"/>
        <v>0</v>
      </c>
      <c r="Z105" s="10">
        <f t="shared" si="292"/>
        <v>0</v>
      </c>
      <c r="AA105" s="166">
        <f t="shared" si="292"/>
        <v>0</v>
      </c>
      <c r="AB105" s="166">
        <f t="shared" si="292"/>
        <v>0</v>
      </c>
      <c r="AC105" s="170">
        <f t="shared" si="292"/>
        <v>0</v>
      </c>
      <c r="AD105" s="10">
        <f t="shared" si="292"/>
        <v>0</v>
      </c>
      <c r="AE105" s="166">
        <f t="shared" si="292"/>
        <v>0</v>
      </c>
      <c r="AF105" s="166">
        <f t="shared" si="292"/>
        <v>0</v>
      </c>
      <c r="AG105" s="170">
        <f t="shared" si="292"/>
        <v>0</v>
      </c>
      <c r="AH105" s="10">
        <f t="shared" si="292"/>
        <v>0</v>
      </c>
      <c r="AI105" s="166">
        <f t="shared" si="292"/>
        <v>0</v>
      </c>
      <c r="AJ105" s="166">
        <f t="shared" si="292"/>
        <v>0</v>
      </c>
      <c r="AK105" s="170">
        <f t="shared" ref="AK105:BP105" si="293">AK34+AK33+AK103+AK104*AK36</f>
        <v>0</v>
      </c>
      <c r="AL105" s="10">
        <f t="shared" si="293"/>
        <v>0</v>
      </c>
      <c r="AM105" s="166">
        <f t="shared" si="293"/>
        <v>0</v>
      </c>
      <c r="AN105" s="166">
        <f t="shared" si="293"/>
        <v>0</v>
      </c>
      <c r="AO105" s="170">
        <f t="shared" si="293"/>
        <v>0</v>
      </c>
      <c r="AP105" s="10">
        <f t="shared" si="293"/>
        <v>0</v>
      </c>
      <c r="AQ105" s="166">
        <f t="shared" si="293"/>
        <v>0</v>
      </c>
      <c r="AR105" s="166">
        <f t="shared" si="293"/>
        <v>0</v>
      </c>
      <c r="AS105" s="170">
        <f t="shared" si="293"/>
        <v>0</v>
      </c>
      <c r="AT105" s="10">
        <f t="shared" si="293"/>
        <v>0</v>
      </c>
      <c r="AU105" s="166">
        <f t="shared" si="293"/>
        <v>0</v>
      </c>
      <c r="AV105" s="166">
        <f t="shared" si="293"/>
        <v>0</v>
      </c>
      <c r="AW105" s="170">
        <f t="shared" si="293"/>
        <v>0</v>
      </c>
      <c r="AX105" s="10">
        <f t="shared" si="293"/>
        <v>0</v>
      </c>
      <c r="AY105" s="166">
        <f t="shared" si="293"/>
        <v>0</v>
      </c>
      <c r="AZ105" s="166">
        <f t="shared" si="293"/>
        <v>0</v>
      </c>
      <c r="BA105" s="170">
        <f t="shared" si="293"/>
        <v>0</v>
      </c>
      <c r="BB105" s="10">
        <f t="shared" si="293"/>
        <v>0</v>
      </c>
      <c r="BC105" s="166">
        <f t="shared" si="293"/>
        <v>0</v>
      </c>
      <c r="BD105" s="166">
        <f t="shared" si="293"/>
        <v>0</v>
      </c>
      <c r="BE105" s="170">
        <f t="shared" si="293"/>
        <v>0</v>
      </c>
      <c r="BF105" s="10">
        <f t="shared" si="293"/>
        <v>0</v>
      </c>
      <c r="BG105" s="166">
        <f t="shared" si="293"/>
        <v>0</v>
      </c>
      <c r="BH105" s="166">
        <f t="shared" si="293"/>
        <v>0</v>
      </c>
      <c r="BI105" s="170">
        <f t="shared" si="293"/>
        <v>0</v>
      </c>
      <c r="BJ105" s="10">
        <f t="shared" si="293"/>
        <v>0</v>
      </c>
      <c r="BK105" s="166">
        <f t="shared" si="293"/>
        <v>0</v>
      </c>
      <c r="BL105" s="166">
        <f t="shared" si="293"/>
        <v>0</v>
      </c>
      <c r="BM105" s="170">
        <f t="shared" si="293"/>
        <v>0</v>
      </c>
      <c r="BN105" s="10">
        <f t="shared" si="293"/>
        <v>0</v>
      </c>
      <c r="BO105" s="166">
        <f t="shared" si="293"/>
        <v>0</v>
      </c>
      <c r="BP105" s="166">
        <f t="shared" si="293"/>
        <v>0</v>
      </c>
      <c r="BQ105" s="170">
        <f t="shared" ref="BQ105:CK105" si="294">BQ34+BQ33+BQ103+BQ104*BQ36</f>
        <v>0</v>
      </c>
      <c r="BR105" s="10">
        <f t="shared" si="294"/>
        <v>0</v>
      </c>
      <c r="BS105" s="166">
        <f t="shared" si="294"/>
        <v>0</v>
      </c>
      <c r="BT105" s="166">
        <f t="shared" si="294"/>
        <v>0</v>
      </c>
      <c r="BU105" s="170">
        <f t="shared" si="294"/>
        <v>0</v>
      </c>
      <c r="BV105" s="10">
        <f t="shared" si="294"/>
        <v>0</v>
      </c>
      <c r="BW105" s="166">
        <f t="shared" si="294"/>
        <v>0</v>
      </c>
      <c r="BX105" s="166">
        <f t="shared" si="294"/>
        <v>0</v>
      </c>
      <c r="BY105" s="170">
        <f t="shared" si="294"/>
        <v>0</v>
      </c>
      <c r="BZ105" s="10">
        <f t="shared" si="294"/>
        <v>0</v>
      </c>
      <c r="CA105" s="166">
        <f t="shared" si="294"/>
        <v>0</v>
      </c>
      <c r="CB105" s="166">
        <f t="shared" si="294"/>
        <v>0</v>
      </c>
      <c r="CC105" s="170">
        <f t="shared" si="294"/>
        <v>0</v>
      </c>
      <c r="CD105" s="10">
        <f t="shared" si="294"/>
        <v>0</v>
      </c>
      <c r="CE105" s="166">
        <f t="shared" si="294"/>
        <v>0</v>
      </c>
      <c r="CF105" s="166">
        <f t="shared" si="294"/>
        <v>0</v>
      </c>
      <c r="CG105" s="170">
        <f t="shared" si="294"/>
        <v>0</v>
      </c>
      <c r="CH105" s="10">
        <f t="shared" si="294"/>
        <v>0</v>
      </c>
      <c r="CI105" s="166">
        <f t="shared" si="294"/>
        <v>0</v>
      </c>
      <c r="CJ105" s="166">
        <f t="shared" si="294"/>
        <v>0</v>
      </c>
      <c r="CK105" s="170">
        <f t="shared" si="294"/>
        <v>0</v>
      </c>
      <c r="CL105" s="49"/>
      <c r="CM105" s="28"/>
    </row>
    <row r="106" spans="1:91" ht="14.25" x14ac:dyDescent="0.25">
      <c r="B106" s="55"/>
      <c r="C106" s="10" t="s">
        <v>103</v>
      </c>
      <c r="D106" s="93" t="s">
        <v>39</v>
      </c>
      <c r="E106" s="125">
        <f t="shared" ref="E106:AJ106" si="295">0.0153*E31-0.2144*E105</f>
        <v>-3.0329999999999999</v>
      </c>
      <c r="F106" s="72">
        <f t="shared" si="295"/>
        <v>-1.4712000000000001</v>
      </c>
      <c r="G106" s="73">
        <f t="shared" si="295"/>
        <v>-1.4712000000000001</v>
      </c>
      <c r="H106" s="73">
        <f t="shared" si="295"/>
        <v>-1.716</v>
      </c>
      <c r="I106" s="74">
        <f t="shared" si="295"/>
        <v>-1.716</v>
      </c>
      <c r="J106" s="168">
        <f t="shared" si="295"/>
        <v>0</v>
      </c>
      <c r="K106" s="171">
        <f t="shared" si="295"/>
        <v>-1.6544000000000001</v>
      </c>
      <c r="L106" s="171">
        <f t="shared" si="295"/>
        <v>-1.716</v>
      </c>
      <c r="M106" s="169">
        <f t="shared" si="295"/>
        <v>-1.716</v>
      </c>
      <c r="N106" s="168">
        <f t="shared" si="295"/>
        <v>0</v>
      </c>
      <c r="O106" s="171">
        <f t="shared" si="295"/>
        <v>0</v>
      </c>
      <c r="P106" s="171">
        <f t="shared" si="295"/>
        <v>0</v>
      </c>
      <c r="Q106" s="169">
        <f t="shared" si="295"/>
        <v>0</v>
      </c>
      <c r="R106" s="168">
        <f t="shared" si="295"/>
        <v>0</v>
      </c>
      <c r="S106" s="171">
        <f t="shared" si="295"/>
        <v>0</v>
      </c>
      <c r="T106" s="171">
        <f t="shared" si="295"/>
        <v>0</v>
      </c>
      <c r="U106" s="169">
        <f t="shared" si="295"/>
        <v>0</v>
      </c>
      <c r="V106" s="168">
        <f t="shared" si="295"/>
        <v>0</v>
      </c>
      <c r="W106" s="171">
        <f t="shared" si="295"/>
        <v>0</v>
      </c>
      <c r="X106" s="171">
        <f t="shared" si="295"/>
        <v>0</v>
      </c>
      <c r="Y106" s="169">
        <f t="shared" si="295"/>
        <v>0</v>
      </c>
      <c r="Z106" s="168">
        <f t="shared" si="295"/>
        <v>0</v>
      </c>
      <c r="AA106" s="171">
        <f t="shared" si="295"/>
        <v>0</v>
      </c>
      <c r="AB106" s="171">
        <f t="shared" si="295"/>
        <v>0</v>
      </c>
      <c r="AC106" s="169">
        <f t="shared" si="295"/>
        <v>0</v>
      </c>
      <c r="AD106" s="168">
        <f t="shared" si="295"/>
        <v>0</v>
      </c>
      <c r="AE106" s="171">
        <f t="shared" si="295"/>
        <v>0</v>
      </c>
      <c r="AF106" s="171">
        <f t="shared" si="295"/>
        <v>0</v>
      </c>
      <c r="AG106" s="169">
        <f t="shared" si="295"/>
        <v>0</v>
      </c>
      <c r="AH106" s="168">
        <f t="shared" si="295"/>
        <v>0</v>
      </c>
      <c r="AI106" s="171">
        <f t="shared" si="295"/>
        <v>0</v>
      </c>
      <c r="AJ106" s="171">
        <f t="shared" si="295"/>
        <v>0</v>
      </c>
      <c r="AK106" s="169">
        <f t="shared" ref="AK106:BP106" si="296">0.0153*AK31-0.2144*AK105</f>
        <v>0</v>
      </c>
      <c r="AL106" s="168">
        <f t="shared" si="296"/>
        <v>0</v>
      </c>
      <c r="AM106" s="171">
        <f t="shared" si="296"/>
        <v>0</v>
      </c>
      <c r="AN106" s="171">
        <f t="shared" si="296"/>
        <v>0</v>
      </c>
      <c r="AO106" s="169">
        <f t="shared" si="296"/>
        <v>0</v>
      </c>
      <c r="AP106" s="168">
        <f t="shared" si="296"/>
        <v>0</v>
      </c>
      <c r="AQ106" s="171">
        <f t="shared" si="296"/>
        <v>0</v>
      </c>
      <c r="AR106" s="171">
        <f t="shared" si="296"/>
        <v>0</v>
      </c>
      <c r="AS106" s="169">
        <f t="shared" si="296"/>
        <v>0</v>
      </c>
      <c r="AT106" s="168">
        <f t="shared" si="296"/>
        <v>0</v>
      </c>
      <c r="AU106" s="171">
        <f t="shared" si="296"/>
        <v>0</v>
      </c>
      <c r="AV106" s="171">
        <f t="shared" si="296"/>
        <v>0</v>
      </c>
      <c r="AW106" s="169">
        <f t="shared" si="296"/>
        <v>0</v>
      </c>
      <c r="AX106" s="168">
        <f t="shared" si="296"/>
        <v>0</v>
      </c>
      <c r="AY106" s="171">
        <f t="shared" si="296"/>
        <v>0</v>
      </c>
      <c r="AZ106" s="171">
        <f t="shared" si="296"/>
        <v>0</v>
      </c>
      <c r="BA106" s="169">
        <f t="shared" si="296"/>
        <v>0</v>
      </c>
      <c r="BB106" s="168">
        <f t="shared" si="296"/>
        <v>0</v>
      </c>
      <c r="BC106" s="171">
        <f t="shared" si="296"/>
        <v>0</v>
      </c>
      <c r="BD106" s="171">
        <f t="shared" si="296"/>
        <v>0</v>
      </c>
      <c r="BE106" s="169">
        <f t="shared" si="296"/>
        <v>0</v>
      </c>
      <c r="BF106" s="168">
        <f t="shared" si="296"/>
        <v>0</v>
      </c>
      <c r="BG106" s="171">
        <f t="shared" si="296"/>
        <v>0</v>
      </c>
      <c r="BH106" s="171">
        <f t="shared" si="296"/>
        <v>0</v>
      </c>
      <c r="BI106" s="169">
        <f t="shared" si="296"/>
        <v>0</v>
      </c>
      <c r="BJ106" s="168">
        <f t="shared" si="296"/>
        <v>0</v>
      </c>
      <c r="BK106" s="171">
        <f t="shared" si="296"/>
        <v>0</v>
      </c>
      <c r="BL106" s="171">
        <f t="shared" si="296"/>
        <v>0</v>
      </c>
      <c r="BM106" s="169">
        <f t="shared" si="296"/>
        <v>0</v>
      </c>
      <c r="BN106" s="168">
        <f t="shared" si="296"/>
        <v>0</v>
      </c>
      <c r="BO106" s="171">
        <f t="shared" si="296"/>
        <v>0</v>
      </c>
      <c r="BP106" s="171">
        <f t="shared" si="296"/>
        <v>0</v>
      </c>
      <c r="BQ106" s="169">
        <f t="shared" ref="BQ106:CK106" si="297">0.0153*BQ31-0.2144*BQ105</f>
        <v>0</v>
      </c>
      <c r="BR106" s="168">
        <f t="shared" si="297"/>
        <v>0</v>
      </c>
      <c r="BS106" s="171">
        <f t="shared" si="297"/>
        <v>0</v>
      </c>
      <c r="BT106" s="171">
        <f t="shared" si="297"/>
        <v>0</v>
      </c>
      <c r="BU106" s="169">
        <f t="shared" si="297"/>
        <v>0</v>
      </c>
      <c r="BV106" s="168">
        <f t="shared" si="297"/>
        <v>0</v>
      </c>
      <c r="BW106" s="171">
        <f t="shared" si="297"/>
        <v>0</v>
      </c>
      <c r="BX106" s="171">
        <f t="shared" si="297"/>
        <v>0</v>
      </c>
      <c r="BY106" s="169">
        <f t="shared" si="297"/>
        <v>0</v>
      </c>
      <c r="BZ106" s="168">
        <f t="shared" si="297"/>
        <v>0</v>
      </c>
      <c r="CA106" s="171">
        <f t="shared" si="297"/>
        <v>0</v>
      </c>
      <c r="CB106" s="171">
        <f t="shared" si="297"/>
        <v>0</v>
      </c>
      <c r="CC106" s="169">
        <f t="shared" si="297"/>
        <v>0</v>
      </c>
      <c r="CD106" s="168">
        <f t="shared" si="297"/>
        <v>0</v>
      </c>
      <c r="CE106" s="171">
        <f t="shared" si="297"/>
        <v>0</v>
      </c>
      <c r="CF106" s="171">
        <f t="shared" si="297"/>
        <v>0</v>
      </c>
      <c r="CG106" s="169">
        <f t="shared" si="297"/>
        <v>0</v>
      </c>
      <c r="CH106" s="168">
        <f t="shared" si="297"/>
        <v>0</v>
      </c>
      <c r="CI106" s="171">
        <f t="shared" si="297"/>
        <v>0</v>
      </c>
      <c r="CJ106" s="171">
        <f t="shared" si="297"/>
        <v>0</v>
      </c>
      <c r="CK106" s="169">
        <f t="shared" si="297"/>
        <v>0</v>
      </c>
      <c r="CL106" s="49"/>
      <c r="CM106" s="28"/>
    </row>
    <row r="107" spans="1:91" ht="14.25" x14ac:dyDescent="0.25">
      <c r="B107" s="55"/>
      <c r="C107" s="10" t="s">
        <v>102</v>
      </c>
      <c r="D107" s="93" t="s">
        <v>33</v>
      </c>
      <c r="E107" s="125">
        <f t="shared" ref="E107:AJ107" si="298">0.0066*SUM(E13:E15)/(4*E11)</f>
        <v>0.495</v>
      </c>
      <c r="F107" s="72">
        <f t="shared" si="298"/>
        <v>0.53790000000000004</v>
      </c>
      <c r="G107" s="73">
        <f t="shared" si="298"/>
        <v>0.73094999999999999</v>
      </c>
      <c r="H107" s="73">
        <f t="shared" si="298"/>
        <v>0.46447499999999997</v>
      </c>
      <c r="I107" s="74">
        <f t="shared" si="298"/>
        <v>0.286275</v>
      </c>
      <c r="J107" s="168" t="e">
        <f t="shared" si="298"/>
        <v>#DIV/0!</v>
      </c>
      <c r="K107" s="171">
        <f t="shared" si="298"/>
        <v>9.0749999999999997E-2</v>
      </c>
      <c r="L107" s="171">
        <f t="shared" si="298"/>
        <v>0.27637499999999998</v>
      </c>
      <c r="M107" s="169">
        <f t="shared" si="298"/>
        <v>0.38279999999999997</v>
      </c>
      <c r="N107" s="168" t="e">
        <f t="shared" si="298"/>
        <v>#DIV/0!</v>
      </c>
      <c r="O107" s="171" t="e">
        <f t="shared" si="298"/>
        <v>#DIV/0!</v>
      </c>
      <c r="P107" s="171" t="e">
        <f t="shared" si="298"/>
        <v>#DIV/0!</v>
      </c>
      <c r="Q107" s="169" t="e">
        <f t="shared" si="298"/>
        <v>#DIV/0!</v>
      </c>
      <c r="R107" s="168" t="e">
        <f t="shared" si="298"/>
        <v>#DIV/0!</v>
      </c>
      <c r="S107" s="171" t="e">
        <f t="shared" si="298"/>
        <v>#DIV/0!</v>
      </c>
      <c r="T107" s="171" t="e">
        <f t="shared" si="298"/>
        <v>#DIV/0!</v>
      </c>
      <c r="U107" s="169" t="e">
        <f t="shared" si="298"/>
        <v>#DIV/0!</v>
      </c>
      <c r="V107" s="168" t="e">
        <f t="shared" si="298"/>
        <v>#DIV/0!</v>
      </c>
      <c r="W107" s="171" t="e">
        <f t="shared" si="298"/>
        <v>#DIV/0!</v>
      </c>
      <c r="X107" s="171" t="e">
        <f t="shared" si="298"/>
        <v>#DIV/0!</v>
      </c>
      <c r="Y107" s="169" t="e">
        <f t="shared" si="298"/>
        <v>#DIV/0!</v>
      </c>
      <c r="Z107" s="168" t="e">
        <f t="shared" si="298"/>
        <v>#DIV/0!</v>
      </c>
      <c r="AA107" s="171" t="e">
        <f t="shared" si="298"/>
        <v>#DIV/0!</v>
      </c>
      <c r="AB107" s="171" t="e">
        <f t="shared" si="298"/>
        <v>#DIV/0!</v>
      </c>
      <c r="AC107" s="169" t="e">
        <f t="shared" si="298"/>
        <v>#DIV/0!</v>
      </c>
      <c r="AD107" s="168" t="e">
        <f t="shared" si="298"/>
        <v>#DIV/0!</v>
      </c>
      <c r="AE107" s="171" t="e">
        <f t="shared" si="298"/>
        <v>#DIV/0!</v>
      </c>
      <c r="AF107" s="171" t="e">
        <f t="shared" si="298"/>
        <v>#DIV/0!</v>
      </c>
      <c r="AG107" s="169" t="e">
        <f t="shared" si="298"/>
        <v>#DIV/0!</v>
      </c>
      <c r="AH107" s="168" t="e">
        <f t="shared" si="298"/>
        <v>#DIV/0!</v>
      </c>
      <c r="AI107" s="171" t="e">
        <f t="shared" si="298"/>
        <v>#DIV/0!</v>
      </c>
      <c r="AJ107" s="171" t="e">
        <f t="shared" si="298"/>
        <v>#DIV/0!</v>
      </c>
      <c r="AK107" s="169" t="e">
        <f t="shared" ref="AK107:BP107" si="299">0.0066*SUM(AK13:AK15)/(4*AK11)</f>
        <v>#DIV/0!</v>
      </c>
      <c r="AL107" s="168" t="e">
        <f t="shared" si="299"/>
        <v>#DIV/0!</v>
      </c>
      <c r="AM107" s="171" t="e">
        <f t="shared" si="299"/>
        <v>#DIV/0!</v>
      </c>
      <c r="AN107" s="171" t="e">
        <f t="shared" si="299"/>
        <v>#DIV/0!</v>
      </c>
      <c r="AO107" s="169" t="e">
        <f t="shared" si="299"/>
        <v>#DIV/0!</v>
      </c>
      <c r="AP107" s="168" t="e">
        <f t="shared" si="299"/>
        <v>#DIV/0!</v>
      </c>
      <c r="AQ107" s="171" t="e">
        <f t="shared" si="299"/>
        <v>#DIV/0!</v>
      </c>
      <c r="AR107" s="171" t="e">
        <f t="shared" si="299"/>
        <v>#DIV/0!</v>
      </c>
      <c r="AS107" s="169" t="e">
        <f t="shared" si="299"/>
        <v>#DIV/0!</v>
      </c>
      <c r="AT107" s="168" t="e">
        <f t="shared" si="299"/>
        <v>#DIV/0!</v>
      </c>
      <c r="AU107" s="171" t="e">
        <f t="shared" si="299"/>
        <v>#DIV/0!</v>
      </c>
      <c r="AV107" s="171" t="e">
        <f t="shared" si="299"/>
        <v>#DIV/0!</v>
      </c>
      <c r="AW107" s="169" t="e">
        <f t="shared" si="299"/>
        <v>#DIV/0!</v>
      </c>
      <c r="AX107" s="168" t="e">
        <f t="shared" si="299"/>
        <v>#DIV/0!</v>
      </c>
      <c r="AY107" s="171" t="e">
        <f t="shared" si="299"/>
        <v>#DIV/0!</v>
      </c>
      <c r="AZ107" s="171" t="e">
        <f t="shared" si="299"/>
        <v>#DIV/0!</v>
      </c>
      <c r="BA107" s="169" t="e">
        <f t="shared" si="299"/>
        <v>#DIV/0!</v>
      </c>
      <c r="BB107" s="168" t="e">
        <f t="shared" si="299"/>
        <v>#DIV/0!</v>
      </c>
      <c r="BC107" s="171" t="e">
        <f t="shared" si="299"/>
        <v>#DIV/0!</v>
      </c>
      <c r="BD107" s="171" t="e">
        <f t="shared" si="299"/>
        <v>#DIV/0!</v>
      </c>
      <c r="BE107" s="169" t="e">
        <f t="shared" si="299"/>
        <v>#DIV/0!</v>
      </c>
      <c r="BF107" s="168" t="e">
        <f t="shared" si="299"/>
        <v>#DIV/0!</v>
      </c>
      <c r="BG107" s="171" t="e">
        <f t="shared" si="299"/>
        <v>#DIV/0!</v>
      </c>
      <c r="BH107" s="171" t="e">
        <f t="shared" si="299"/>
        <v>#DIV/0!</v>
      </c>
      <c r="BI107" s="169" t="e">
        <f t="shared" si="299"/>
        <v>#DIV/0!</v>
      </c>
      <c r="BJ107" s="168" t="e">
        <f t="shared" si="299"/>
        <v>#DIV/0!</v>
      </c>
      <c r="BK107" s="171" t="e">
        <f t="shared" si="299"/>
        <v>#DIV/0!</v>
      </c>
      <c r="BL107" s="171" t="e">
        <f t="shared" si="299"/>
        <v>#DIV/0!</v>
      </c>
      <c r="BM107" s="169" t="e">
        <f t="shared" si="299"/>
        <v>#DIV/0!</v>
      </c>
      <c r="BN107" s="168" t="e">
        <f t="shared" si="299"/>
        <v>#DIV/0!</v>
      </c>
      <c r="BO107" s="171" t="e">
        <f t="shared" si="299"/>
        <v>#DIV/0!</v>
      </c>
      <c r="BP107" s="171" t="e">
        <f t="shared" si="299"/>
        <v>#DIV/0!</v>
      </c>
      <c r="BQ107" s="169" t="e">
        <f t="shared" ref="BQ107:CK107" si="300">0.0066*SUM(BQ13:BQ15)/(4*BQ11)</f>
        <v>#DIV/0!</v>
      </c>
      <c r="BR107" s="168" t="e">
        <f t="shared" si="300"/>
        <v>#DIV/0!</v>
      </c>
      <c r="BS107" s="171" t="e">
        <f t="shared" si="300"/>
        <v>#DIV/0!</v>
      </c>
      <c r="BT107" s="171" t="e">
        <f t="shared" si="300"/>
        <v>#DIV/0!</v>
      </c>
      <c r="BU107" s="169" t="e">
        <f t="shared" si="300"/>
        <v>#DIV/0!</v>
      </c>
      <c r="BV107" s="168" t="e">
        <f t="shared" si="300"/>
        <v>#DIV/0!</v>
      </c>
      <c r="BW107" s="171" t="e">
        <f t="shared" si="300"/>
        <v>#DIV/0!</v>
      </c>
      <c r="BX107" s="171" t="e">
        <f t="shared" si="300"/>
        <v>#DIV/0!</v>
      </c>
      <c r="BY107" s="169" t="e">
        <f t="shared" si="300"/>
        <v>#DIV/0!</v>
      </c>
      <c r="BZ107" s="168" t="e">
        <f t="shared" si="300"/>
        <v>#DIV/0!</v>
      </c>
      <c r="CA107" s="171" t="e">
        <f t="shared" si="300"/>
        <v>#DIV/0!</v>
      </c>
      <c r="CB107" s="171" t="e">
        <f t="shared" si="300"/>
        <v>#DIV/0!</v>
      </c>
      <c r="CC107" s="169" t="e">
        <f t="shared" si="300"/>
        <v>#DIV/0!</v>
      </c>
      <c r="CD107" s="168" t="e">
        <f t="shared" si="300"/>
        <v>#DIV/0!</v>
      </c>
      <c r="CE107" s="171" t="e">
        <f t="shared" si="300"/>
        <v>#DIV/0!</v>
      </c>
      <c r="CF107" s="171" t="e">
        <f t="shared" si="300"/>
        <v>#DIV/0!</v>
      </c>
      <c r="CG107" s="169" t="e">
        <f t="shared" si="300"/>
        <v>#DIV/0!</v>
      </c>
      <c r="CH107" s="168" t="e">
        <f t="shared" si="300"/>
        <v>#DIV/0!</v>
      </c>
      <c r="CI107" s="171" t="e">
        <f t="shared" si="300"/>
        <v>#DIV/0!</v>
      </c>
      <c r="CJ107" s="171" t="e">
        <f t="shared" si="300"/>
        <v>#DIV/0!</v>
      </c>
      <c r="CK107" s="169" t="e">
        <f t="shared" si="300"/>
        <v>#DIV/0!</v>
      </c>
      <c r="CL107" s="49"/>
      <c r="CM107" s="28"/>
    </row>
    <row r="108" spans="1:91" ht="14.25" x14ac:dyDescent="0.25">
      <c r="B108" s="55"/>
      <c r="C108" s="10" t="s">
        <v>98</v>
      </c>
      <c r="D108" s="93" t="s">
        <v>219</v>
      </c>
      <c r="E108" s="125">
        <f t="shared" ref="E108:AJ108" si="301">IF(E9&gt;0,4.1324+E107+E106,0)</f>
        <v>1.5943999999999998</v>
      </c>
      <c r="F108" s="72">
        <f t="shared" si="301"/>
        <v>3.1990999999999992</v>
      </c>
      <c r="G108" s="73">
        <f t="shared" si="301"/>
        <v>3.3921499999999996</v>
      </c>
      <c r="H108" s="73">
        <f t="shared" si="301"/>
        <v>2.8808749999999996</v>
      </c>
      <c r="I108" s="74">
        <f t="shared" si="301"/>
        <v>2.7026749999999993</v>
      </c>
      <c r="J108" s="168">
        <f t="shared" si="301"/>
        <v>0</v>
      </c>
      <c r="K108" s="171">
        <f t="shared" si="301"/>
        <v>2.5687499999999996</v>
      </c>
      <c r="L108" s="171">
        <f t="shared" si="301"/>
        <v>2.6927749999999993</v>
      </c>
      <c r="M108" s="169">
        <f t="shared" si="301"/>
        <v>2.799199999999999</v>
      </c>
      <c r="N108" s="168">
        <f t="shared" si="301"/>
        <v>0</v>
      </c>
      <c r="O108" s="171">
        <f t="shared" si="301"/>
        <v>0</v>
      </c>
      <c r="P108" s="171">
        <f t="shared" si="301"/>
        <v>0</v>
      </c>
      <c r="Q108" s="169">
        <f t="shared" si="301"/>
        <v>0</v>
      </c>
      <c r="R108" s="168">
        <f t="shared" si="301"/>
        <v>0</v>
      </c>
      <c r="S108" s="171">
        <f t="shared" si="301"/>
        <v>0</v>
      </c>
      <c r="T108" s="171">
        <f t="shared" si="301"/>
        <v>0</v>
      </c>
      <c r="U108" s="169">
        <f t="shared" si="301"/>
        <v>0</v>
      </c>
      <c r="V108" s="168">
        <f t="shared" si="301"/>
        <v>0</v>
      </c>
      <c r="W108" s="171">
        <f t="shared" si="301"/>
        <v>0</v>
      </c>
      <c r="X108" s="171">
        <f t="shared" si="301"/>
        <v>0</v>
      </c>
      <c r="Y108" s="169">
        <f t="shared" si="301"/>
        <v>0</v>
      </c>
      <c r="Z108" s="168">
        <f t="shared" si="301"/>
        <v>0</v>
      </c>
      <c r="AA108" s="171">
        <f t="shared" si="301"/>
        <v>0</v>
      </c>
      <c r="AB108" s="171">
        <f t="shared" si="301"/>
        <v>0</v>
      </c>
      <c r="AC108" s="169">
        <f t="shared" si="301"/>
        <v>0</v>
      </c>
      <c r="AD108" s="168">
        <f t="shared" si="301"/>
        <v>0</v>
      </c>
      <c r="AE108" s="171">
        <f t="shared" si="301"/>
        <v>0</v>
      </c>
      <c r="AF108" s="171">
        <f t="shared" si="301"/>
        <v>0</v>
      </c>
      <c r="AG108" s="169">
        <f t="shared" si="301"/>
        <v>0</v>
      </c>
      <c r="AH108" s="168">
        <f t="shared" si="301"/>
        <v>0</v>
      </c>
      <c r="AI108" s="171">
        <f t="shared" si="301"/>
        <v>0</v>
      </c>
      <c r="AJ108" s="171">
        <f t="shared" si="301"/>
        <v>0</v>
      </c>
      <c r="AK108" s="169">
        <f t="shared" ref="AK108:BP108" si="302">IF(AK9&gt;0,4.1324+AK107+AK106,0)</f>
        <v>0</v>
      </c>
      <c r="AL108" s="168">
        <f t="shared" si="302"/>
        <v>0</v>
      </c>
      <c r="AM108" s="171">
        <f t="shared" si="302"/>
        <v>0</v>
      </c>
      <c r="AN108" s="171">
        <f t="shared" si="302"/>
        <v>0</v>
      </c>
      <c r="AO108" s="169">
        <f t="shared" si="302"/>
        <v>0</v>
      </c>
      <c r="AP108" s="168">
        <f t="shared" si="302"/>
        <v>0</v>
      </c>
      <c r="AQ108" s="171">
        <f t="shared" si="302"/>
        <v>0</v>
      </c>
      <c r="AR108" s="171">
        <f t="shared" si="302"/>
        <v>0</v>
      </c>
      <c r="AS108" s="169">
        <f t="shared" si="302"/>
        <v>0</v>
      </c>
      <c r="AT108" s="168">
        <f t="shared" si="302"/>
        <v>0</v>
      </c>
      <c r="AU108" s="171">
        <f t="shared" si="302"/>
        <v>0</v>
      </c>
      <c r="AV108" s="171">
        <f t="shared" si="302"/>
        <v>0</v>
      </c>
      <c r="AW108" s="169">
        <f t="shared" si="302"/>
        <v>0</v>
      </c>
      <c r="AX108" s="168">
        <f t="shared" si="302"/>
        <v>0</v>
      </c>
      <c r="AY108" s="171">
        <f t="shared" si="302"/>
        <v>0</v>
      </c>
      <c r="AZ108" s="171">
        <f t="shared" si="302"/>
        <v>0</v>
      </c>
      <c r="BA108" s="169">
        <f t="shared" si="302"/>
        <v>0</v>
      </c>
      <c r="BB108" s="168">
        <f t="shared" si="302"/>
        <v>0</v>
      </c>
      <c r="BC108" s="171">
        <f t="shared" si="302"/>
        <v>0</v>
      </c>
      <c r="BD108" s="171">
        <f t="shared" si="302"/>
        <v>0</v>
      </c>
      <c r="BE108" s="169">
        <f t="shared" si="302"/>
        <v>0</v>
      </c>
      <c r="BF108" s="168">
        <f t="shared" si="302"/>
        <v>0</v>
      </c>
      <c r="BG108" s="171">
        <f t="shared" si="302"/>
        <v>0</v>
      </c>
      <c r="BH108" s="171">
        <f t="shared" si="302"/>
        <v>0</v>
      </c>
      <c r="BI108" s="169">
        <f t="shared" si="302"/>
        <v>0</v>
      </c>
      <c r="BJ108" s="168">
        <f t="shared" si="302"/>
        <v>0</v>
      </c>
      <c r="BK108" s="171">
        <f t="shared" si="302"/>
        <v>0</v>
      </c>
      <c r="BL108" s="171">
        <f t="shared" si="302"/>
        <v>0</v>
      </c>
      <c r="BM108" s="169">
        <f t="shared" si="302"/>
        <v>0</v>
      </c>
      <c r="BN108" s="168">
        <f t="shared" si="302"/>
        <v>0</v>
      </c>
      <c r="BO108" s="171">
        <f t="shared" si="302"/>
        <v>0</v>
      </c>
      <c r="BP108" s="171">
        <f t="shared" si="302"/>
        <v>0</v>
      </c>
      <c r="BQ108" s="169">
        <f t="shared" ref="BQ108:CK108" si="303">IF(BQ9&gt;0,4.1324+BQ107+BQ106,0)</f>
        <v>0</v>
      </c>
      <c r="BR108" s="168">
        <f t="shared" si="303"/>
        <v>0</v>
      </c>
      <c r="BS108" s="171">
        <f t="shared" si="303"/>
        <v>0</v>
      </c>
      <c r="BT108" s="171">
        <f t="shared" si="303"/>
        <v>0</v>
      </c>
      <c r="BU108" s="169">
        <f t="shared" si="303"/>
        <v>0</v>
      </c>
      <c r="BV108" s="168">
        <f t="shared" si="303"/>
        <v>0</v>
      </c>
      <c r="BW108" s="171">
        <f t="shared" si="303"/>
        <v>0</v>
      </c>
      <c r="BX108" s="171">
        <f t="shared" si="303"/>
        <v>0</v>
      </c>
      <c r="BY108" s="169">
        <f t="shared" si="303"/>
        <v>0</v>
      </c>
      <c r="BZ108" s="168">
        <f t="shared" si="303"/>
        <v>0</v>
      </c>
      <c r="CA108" s="171">
        <f t="shared" si="303"/>
        <v>0</v>
      </c>
      <c r="CB108" s="171">
        <f t="shared" si="303"/>
        <v>0</v>
      </c>
      <c r="CC108" s="169">
        <f t="shared" si="303"/>
        <v>0</v>
      </c>
      <c r="CD108" s="168">
        <f t="shared" si="303"/>
        <v>0</v>
      </c>
      <c r="CE108" s="171">
        <f t="shared" si="303"/>
        <v>0</v>
      </c>
      <c r="CF108" s="171">
        <f t="shared" si="303"/>
        <v>0</v>
      </c>
      <c r="CG108" s="169">
        <f t="shared" si="303"/>
        <v>0</v>
      </c>
      <c r="CH108" s="168">
        <f t="shared" si="303"/>
        <v>0</v>
      </c>
      <c r="CI108" s="171">
        <f t="shared" si="303"/>
        <v>0</v>
      </c>
      <c r="CJ108" s="171">
        <f t="shared" si="303"/>
        <v>0</v>
      </c>
      <c r="CK108" s="169">
        <f t="shared" si="303"/>
        <v>0</v>
      </c>
      <c r="CL108" s="49"/>
      <c r="CM108" s="28"/>
    </row>
    <row r="109" spans="1:91" x14ac:dyDescent="0.25">
      <c r="B109" s="55"/>
      <c r="C109" s="10"/>
      <c r="D109" s="93" t="s">
        <v>51</v>
      </c>
      <c r="E109" s="124" t="str">
        <f>IF(E108&lt;=2,"A",IF(E108&lt;=2.75,"B",IF(E108&lt;=3.5,"C",IF(E108&lt;=4.25,"D",IF(E108&lt;=5,"E","F")))))</f>
        <v>A</v>
      </c>
      <c r="F109" s="10" t="str">
        <f t="shared" ref="F109" si="304">IF(F108&lt;=2,"A",IF(F108&lt;=2.75,"B",IF(F108&lt;=3.5,"C",IF(F108&lt;=4.25,"D",IF(F108&lt;=5,"E","F")))))</f>
        <v>C</v>
      </c>
      <c r="G109" s="71" t="str">
        <f t="shared" ref="G109:J109" si="305">IF(G108&lt;=2,"A",IF(G108&lt;=2.75,"B",IF(G108&lt;=3.5,"C",IF(G108&lt;=4.25,"D",IF(G108&lt;=5,"E","F")))))</f>
        <v>C</v>
      </c>
      <c r="H109" s="71" t="str">
        <f t="shared" si="305"/>
        <v>C</v>
      </c>
      <c r="I109" s="75" t="str">
        <f t="shared" si="305"/>
        <v>B</v>
      </c>
      <c r="J109" s="10" t="str">
        <f t="shared" si="305"/>
        <v>A</v>
      </c>
      <c r="K109" s="166" t="str">
        <f t="shared" ref="K109:N109" si="306">IF(K108&lt;=2,"A",IF(K108&lt;=2.75,"B",IF(K108&lt;=3.5,"C",IF(K108&lt;=4.25,"D",IF(K108&lt;=5,"E","F")))))</f>
        <v>B</v>
      </c>
      <c r="L109" s="166" t="str">
        <f t="shared" si="306"/>
        <v>B</v>
      </c>
      <c r="M109" s="170" t="str">
        <f t="shared" si="306"/>
        <v>C</v>
      </c>
      <c r="N109" s="10" t="str">
        <f t="shared" si="306"/>
        <v>A</v>
      </c>
      <c r="O109" s="166" t="str">
        <f t="shared" ref="O109:BZ109" si="307">IF(O108&lt;=2,"A",IF(O108&lt;=2.75,"B",IF(O108&lt;=3.5,"C",IF(O108&lt;=4.25,"D",IF(O108&lt;=5,"E","F")))))</f>
        <v>A</v>
      </c>
      <c r="P109" s="166" t="str">
        <f t="shared" si="307"/>
        <v>A</v>
      </c>
      <c r="Q109" s="170" t="str">
        <f t="shared" si="307"/>
        <v>A</v>
      </c>
      <c r="R109" s="10" t="str">
        <f t="shared" si="307"/>
        <v>A</v>
      </c>
      <c r="S109" s="166" t="str">
        <f t="shared" si="307"/>
        <v>A</v>
      </c>
      <c r="T109" s="166" t="str">
        <f t="shared" si="307"/>
        <v>A</v>
      </c>
      <c r="U109" s="170" t="str">
        <f t="shared" si="307"/>
        <v>A</v>
      </c>
      <c r="V109" s="10" t="str">
        <f t="shared" si="307"/>
        <v>A</v>
      </c>
      <c r="W109" s="166" t="str">
        <f t="shared" si="307"/>
        <v>A</v>
      </c>
      <c r="X109" s="166" t="str">
        <f t="shared" si="307"/>
        <v>A</v>
      </c>
      <c r="Y109" s="170" t="str">
        <f t="shared" si="307"/>
        <v>A</v>
      </c>
      <c r="Z109" s="10" t="str">
        <f t="shared" si="307"/>
        <v>A</v>
      </c>
      <c r="AA109" s="166" t="str">
        <f t="shared" si="307"/>
        <v>A</v>
      </c>
      <c r="AB109" s="166" t="str">
        <f t="shared" si="307"/>
        <v>A</v>
      </c>
      <c r="AC109" s="170" t="str">
        <f t="shared" si="307"/>
        <v>A</v>
      </c>
      <c r="AD109" s="10" t="str">
        <f t="shared" si="307"/>
        <v>A</v>
      </c>
      <c r="AE109" s="166" t="str">
        <f t="shared" si="307"/>
        <v>A</v>
      </c>
      <c r="AF109" s="166" t="str">
        <f t="shared" si="307"/>
        <v>A</v>
      </c>
      <c r="AG109" s="170" t="str">
        <f t="shared" si="307"/>
        <v>A</v>
      </c>
      <c r="AH109" s="10" t="str">
        <f t="shared" si="307"/>
        <v>A</v>
      </c>
      <c r="AI109" s="166" t="str">
        <f t="shared" si="307"/>
        <v>A</v>
      </c>
      <c r="AJ109" s="166" t="str">
        <f t="shared" si="307"/>
        <v>A</v>
      </c>
      <c r="AK109" s="170" t="str">
        <f t="shared" si="307"/>
        <v>A</v>
      </c>
      <c r="AL109" s="10" t="str">
        <f t="shared" si="307"/>
        <v>A</v>
      </c>
      <c r="AM109" s="166" t="str">
        <f t="shared" si="307"/>
        <v>A</v>
      </c>
      <c r="AN109" s="166" t="str">
        <f t="shared" si="307"/>
        <v>A</v>
      </c>
      <c r="AO109" s="170" t="str">
        <f t="shared" si="307"/>
        <v>A</v>
      </c>
      <c r="AP109" s="10" t="str">
        <f t="shared" si="307"/>
        <v>A</v>
      </c>
      <c r="AQ109" s="166" t="str">
        <f t="shared" si="307"/>
        <v>A</v>
      </c>
      <c r="AR109" s="166" t="str">
        <f t="shared" si="307"/>
        <v>A</v>
      </c>
      <c r="AS109" s="170" t="str">
        <f t="shared" si="307"/>
        <v>A</v>
      </c>
      <c r="AT109" s="10" t="str">
        <f t="shared" si="307"/>
        <v>A</v>
      </c>
      <c r="AU109" s="166" t="str">
        <f t="shared" si="307"/>
        <v>A</v>
      </c>
      <c r="AV109" s="166" t="str">
        <f t="shared" si="307"/>
        <v>A</v>
      </c>
      <c r="AW109" s="170" t="str">
        <f t="shared" si="307"/>
        <v>A</v>
      </c>
      <c r="AX109" s="10" t="str">
        <f t="shared" si="307"/>
        <v>A</v>
      </c>
      <c r="AY109" s="166" t="str">
        <f t="shared" si="307"/>
        <v>A</v>
      </c>
      <c r="AZ109" s="166" t="str">
        <f t="shared" si="307"/>
        <v>A</v>
      </c>
      <c r="BA109" s="170" t="str">
        <f t="shared" si="307"/>
        <v>A</v>
      </c>
      <c r="BB109" s="10" t="str">
        <f t="shared" si="307"/>
        <v>A</v>
      </c>
      <c r="BC109" s="166" t="str">
        <f t="shared" si="307"/>
        <v>A</v>
      </c>
      <c r="BD109" s="166" t="str">
        <f t="shared" si="307"/>
        <v>A</v>
      </c>
      <c r="BE109" s="170" t="str">
        <f t="shared" si="307"/>
        <v>A</v>
      </c>
      <c r="BF109" s="10" t="str">
        <f t="shared" si="307"/>
        <v>A</v>
      </c>
      <c r="BG109" s="166" t="str">
        <f t="shared" si="307"/>
        <v>A</v>
      </c>
      <c r="BH109" s="166" t="str">
        <f t="shared" si="307"/>
        <v>A</v>
      </c>
      <c r="BI109" s="170" t="str">
        <f t="shared" si="307"/>
        <v>A</v>
      </c>
      <c r="BJ109" s="10" t="str">
        <f t="shared" si="307"/>
        <v>A</v>
      </c>
      <c r="BK109" s="166" t="str">
        <f t="shared" si="307"/>
        <v>A</v>
      </c>
      <c r="BL109" s="166" t="str">
        <f t="shared" si="307"/>
        <v>A</v>
      </c>
      <c r="BM109" s="170" t="str">
        <f t="shared" si="307"/>
        <v>A</v>
      </c>
      <c r="BN109" s="10" t="str">
        <f t="shared" si="307"/>
        <v>A</v>
      </c>
      <c r="BO109" s="166" t="str">
        <f t="shared" si="307"/>
        <v>A</v>
      </c>
      <c r="BP109" s="166" t="str">
        <f t="shared" si="307"/>
        <v>A</v>
      </c>
      <c r="BQ109" s="170" t="str">
        <f t="shared" si="307"/>
        <v>A</v>
      </c>
      <c r="BR109" s="10" t="str">
        <f t="shared" si="307"/>
        <v>A</v>
      </c>
      <c r="BS109" s="166" t="str">
        <f t="shared" si="307"/>
        <v>A</v>
      </c>
      <c r="BT109" s="166" t="str">
        <f t="shared" si="307"/>
        <v>A</v>
      </c>
      <c r="BU109" s="170" t="str">
        <f t="shared" si="307"/>
        <v>A</v>
      </c>
      <c r="BV109" s="10" t="str">
        <f t="shared" si="307"/>
        <v>A</v>
      </c>
      <c r="BW109" s="166" t="str">
        <f t="shared" si="307"/>
        <v>A</v>
      </c>
      <c r="BX109" s="166" t="str">
        <f t="shared" si="307"/>
        <v>A</v>
      </c>
      <c r="BY109" s="170" t="str">
        <f t="shared" si="307"/>
        <v>A</v>
      </c>
      <c r="BZ109" s="10" t="str">
        <f t="shared" si="307"/>
        <v>A</v>
      </c>
      <c r="CA109" s="166" t="str">
        <f t="shared" ref="CA109:CK109" si="308">IF(CA108&lt;=2,"A",IF(CA108&lt;=2.75,"B",IF(CA108&lt;=3.5,"C",IF(CA108&lt;=4.25,"D",IF(CA108&lt;=5,"E","F")))))</f>
        <v>A</v>
      </c>
      <c r="CB109" s="166" t="str">
        <f t="shared" si="308"/>
        <v>A</v>
      </c>
      <c r="CC109" s="170" t="str">
        <f t="shared" si="308"/>
        <v>A</v>
      </c>
      <c r="CD109" s="10" t="str">
        <f t="shared" si="308"/>
        <v>A</v>
      </c>
      <c r="CE109" s="166" t="str">
        <f t="shared" si="308"/>
        <v>A</v>
      </c>
      <c r="CF109" s="166" t="str">
        <f t="shared" si="308"/>
        <v>A</v>
      </c>
      <c r="CG109" s="170" t="str">
        <f t="shared" si="308"/>
        <v>A</v>
      </c>
      <c r="CH109" s="10" t="str">
        <f t="shared" si="308"/>
        <v>A</v>
      </c>
      <c r="CI109" s="166" t="str">
        <f t="shared" si="308"/>
        <v>A</v>
      </c>
      <c r="CJ109" s="166" t="str">
        <f t="shared" si="308"/>
        <v>A</v>
      </c>
      <c r="CK109" s="170" t="str">
        <f t="shared" si="308"/>
        <v>A</v>
      </c>
      <c r="CL109" s="49"/>
      <c r="CM109" s="28"/>
    </row>
    <row r="110" spans="1:91" x14ac:dyDescent="0.25">
      <c r="B110" s="55"/>
      <c r="C110" s="10"/>
      <c r="D110" s="93" t="s">
        <v>178</v>
      </c>
      <c r="E110" s="131"/>
      <c r="F110" s="301">
        <f>F13*IF(F44="Yes",1,0)+G13*IF(G44="Yes",1,0)+H13*IF(H44="Yes",1,0)+I13*IF(I44="Yes",1,0)</f>
        <v>286</v>
      </c>
      <c r="G110" s="316"/>
      <c r="H110" s="316"/>
      <c r="I110" s="317"/>
      <c r="J110" s="301">
        <f>J13*IF(J44="Yes",1,0)+K13*IF(K44="Yes",1,0)+L13*IF(L44="Yes",1,0)+M13*IF(M44="Yes",1,0)</f>
        <v>20</v>
      </c>
      <c r="K110" s="316"/>
      <c r="L110" s="316"/>
      <c r="M110" s="317"/>
      <c r="N110" s="301">
        <f>N13*IF(N44="Yes",1,0)+O13*IF(O44="Yes",1,0)+P13*IF(P44="Yes",1,0)+Q13*IF(Q44="Yes",1,0)</f>
        <v>0</v>
      </c>
      <c r="O110" s="316"/>
      <c r="P110" s="316"/>
      <c r="Q110" s="317"/>
      <c r="R110" s="301">
        <f>R13*IF(R44="Yes",1,0)+S13*IF(S44="Yes",1,0)+T13*IF(T44="Yes",1,0)+U13*IF(U44="Yes",1,0)</f>
        <v>0</v>
      </c>
      <c r="S110" s="316"/>
      <c r="T110" s="316"/>
      <c r="U110" s="317"/>
      <c r="V110" s="301">
        <f>V13*IF(V44="Yes",1,0)+W13*IF(W44="Yes",1,0)+X13*IF(X44="Yes",1,0)+Y13*IF(Y44="Yes",1,0)</f>
        <v>0</v>
      </c>
      <c r="W110" s="316"/>
      <c r="X110" s="316"/>
      <c r="Y110" s="317"/>
      <c r="Z110" s="301">
        <f>Z13*IF(Z44="Yes",1,0)+AA13*IF(AA44="Yes",1,0)+AB13*IF(AB44="Yes",1,0)+AC13*IF(AC44="Yes",1,0)</f>
        <v>0</v>
      </c>
      <c r="AA110" s="316"/>
      <c r="AB110" s="316"/>
      <c r="AC110" s="317"/>
      <c r="AD110" s="301">
        <f>AD13*IF(AD44="Yes",1,0)+AE13*IF(AE44="Yes",1,0)+AF13*IF(AF44="Yes",1,0)+AG13*IF(AG44="Yes",1,0)</f>
        <v>0</v>
      </c>
      <c r="AE110" s="316"/>
      <c r="AF110" s="316"/>
      <c r="AG110" s="317"/>
      <c r="AH110" s="301">
        <f>AH13*IF(AH44="Yes",1,0)+AI13*IF(AI44="Yes",1,0)+AJ13*IF(AJ44="Yes",1,0)+AK13*IF(AK44="Yes",1,0)</f>
        <v>0</v>
      </c>
      <c r="AI110" s="316"/>
      <c r="AJ110" s="316"/>
      <c r="AK110" s="317"/>
      <c r="AL110" s="301">
        <f>AL13*IF(AL44="Yes",1,0)+AM13*IF(AM44="Yes",1,0)+AN13*IF(AN44="Yes",1,0)+AO13*IF(AO44="Yes",1,0)</f>
        <v>0</v>
      </c>
      <c r="AM110" s="316"/>
      <c r="AN110" s="316"/>
      <c r="AO110" s="317"/>
      <c r="AP110" s="301">
        <f>AP13*IF(AP44="Yes",1,0)+AQ13*IF(AQ44="Yes",1,0)+AR13*IF(AR44="Yes",1,0)+AS13*IF(AS44="Yes",1,0)</f>
        <v>0</v>
      </c>
      <c r="AQ110" s="316"/>
      <c r="AR110" s="316"/>
      <c r="AS110" s="317"/>
      <c r="AT110" s="301">
        <f>AT13*IF(AT44="Yes",1,0)+AU13*IF(AU44="Yes",1,0)+AV13*IF(AV44="Yes",1,0)+AW13*IF(AW44="Yes",1,0)</f>
        <v>0</v>
      </c>
      <c r="AU110" s="316"/>
      <c r="AV110" s="316"/>
      <c r="AW110" s="317"/>
      <c r="AX110" s="301">
        <f>AX13*IF(AX44="Yes",1,0)+AY13*IF(AY44="Yes",1,0)+AZ13*IF(AZ44="Yes",1,0)+BA13*IF(BA44="Yes",1,0)</f>
        <v>0</v>
      </c>
      <c r="AY110" s="316"/>
      <c r="AZ110" s="316"/>
      <c r="BA110" s="317"/>
      <c r="BB110" s="301">
        <f>BB13*IF(BB44="Yes",1,0)+BC13*IF(BC44="Yes",1,0)+BD13*IF(BD44="Yes",1,0)+BE13*IF(BE44="Yes",1,0)</f>
        <v>0</v>
      </c>
      <c r="BC110" s="316"/>
      <c r="BD110" s="316"/>
      <c r="BE110" s="317"/>
      <c r="BF110" s="301">
        <f>BF13*IF(BF44="Yes",1,0)+BG13*IF(BG44="Yes",1,0)+BH13*IF(BH44="Yes",1,0)+BI13*IF(BI44="Yes",1,0)</f>
        <v>0</v>
      </c>
      <c r="BG110" s="316"/>
      <c r="BH110" s="316"/>
      <c r="BI110" s="317"/>
      <c r="BJ110" s="301">
        <f>BJ13*IF(BJ44="Yes",1,0)+BK13*IF(BK44="Yes",1,0)+BL13*IF(BL44="Yes",1,0)+BM13*IF(BM44="Yes",1,0)</f>
        <v>0</v>
      </c>
      <c r="BK110" s="316"/>
      <c r="BL110" s="316"/>
      <c r="BM110" s="317"/>
      <c r="BN110" s="301">
        <f>BN13*IF(BN44="Yes",1,0)+BO13*IF(BO44="Yes",1,0)+BP13*IF(BP44="Yes",1,0)+BQ13*IF(BQ44="Yes",1,0)</f>
        <v>0</v>
      </c>
      <c r="BO110" s="316"/>
      <c r="BP110" s="316"/>
      <c r="BQ110" s="317"/>
      <c r="BR110" s="301">
        <f>BR13*IF(BR44="Yes",1,0)+BS13*IF(BS44="Yes",1,0)+BT13*IF(BT44="Yes",1,0)+BU13*IF(BU44="Yes",1,0)</f>
        <v>0</v>
      </c>
      <c r="BS110" s="316"/>
      <c r="BT110" s="316"/>
      <c r="BU110" s="317"/>
      <c r="BV110" s="301">
        <f>BV13*IF(BV44="Yes",1,0)+BW13*IF(BW44="Yes",1,0)+BX13*IF(BX44="Yes",1,0)+BY13*IF(BY44="Yes",1,0)</f>
        <v>0</v>
      </c>
      <c r="BW110" s="316"/>
      <c r="BX110" s="316"/>
      <c r="BY110" s="317"/>
      <c r="BZ110" s="301">
        <f>BZ13*IF(BZ44="Yes",1,0)+CA13*IF(CA44="Yes",1,0)+CB13*IF(CB44="Yes",1,0)+CC13*IF(CC44="Yes",1,0)</f>
        <v>0</v>
      </c>
      <c r="CA110" s="316"/>
      <c r="CB110" s="316"/>
      <c r="CC110" s="317"/>
      <c r="CD110" s="301">
        <f>CD13*IF(CD44="Yes",1,0)+CE13*IF(CE44="Yes",1,0)+CF13*IF(CF44="Yes",1,0)+CG13*IF(CG44="Yes",1,0)</f>
        <v>0</v>
      </c>
      <c r="CE110" s="316"/>
      <c r="CF110" s="316"/>
      <c r="CG110" s="317"/>
      <c r="CH110" s="301">
        <f>CH13*IF(CH44="Yes",1,0)+CI13*IF(CI44="Yes",1,0)+CJ13*IF(CJ44="Yes",1,0)+CK13*IF(CK44="Yes",1,0)</f>
        <v>0</v>
      </c>
      <c r="CI110" s="316"/>
      <c r="CJ110" s="316"/>
      <c r="CK110" s="317"/>
      <c r="CL110" s="49"/>
      <c r="CM110" s="28"/>
    </row>
    <row r="111" spans="1:91" ht="14.25" thickBot="1" x14ac:dyDescent="0.3">
      <c r="B111" s="55"/>
      <c r="C111" s="37"/>
      <c r="D111" s="60"/>
      <c r="E111" s="11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28"/>
    </row>
    <row r="112" spans="1:91" x14ac:dyDescent="0.25">
      <c r="A112" s="21"/>
      <c r="B112" s="57"/>
      <c r="C112" s="286" t="s">
        <v>49</v>
      </c>
      <c r="D112" s="304"/>
      <c r="E112" s="88"/>
      <c r="F112" s="286" t="str">
        <f>F3</f>
        <v>Intersection 1</v>
      </c>
      <c r="G112" s="287"/>
      <c r="H112" s="287"/>
      <c r="I112" s="304"/>
      <c r="J112" s="286" t="str">
        <f>J3</f>
        <v>Intersection 2</v>
      </c>
      <c r="K112" s="287"/>
      <c r="L112" s="287"/>
      <c r="M112" s="304"/>
      <c r="N112" s="286" t="str">
        <f>N3</f>
        <v>Intersection 3</v>
      </c>
      <c r="O112" s="287"/>
      <c r="P112" s="287"/>
      <c r="Q112" s="304"/>
      <c r="R112" s="286" t="str">
        <f>R3</f>
        <v>Intersection 4</v>
      </c>
      <c r="S112" s="287"/>
      <c r="T112" s="287"/>
      <c r="U112" s="304"/>
      <c r="V112" s="286" t="str">
        <f>V3</f>
        <v>Intersection 5</v>
      </c>
      <c r="W112" s="287"/>
      <c r="X112" s="287"/>
      <c r="Y112" s="304"/>
      <c r="Z112" s="286" t="str">
        <f>Z3</f>
        <v>Intersection 6</v>
      </c>
      <c r="AA112" s="287"/>
      <c r="AB112" s="287"/>
      <c r="AC112" s="304"/>
      <c r="AD112" s="286" t="str">
        <f>AD3</f>
        <v>Intersection 7</v>
      </c>
      <c r="AE112" s="287"/>
      <c r="AF112" s="287"/>
      <c r="AG112" s="304"/>
      <c r="AH112" s="286" t="str">
        <f>AH3</f>
        <v>Intersection 8</v>
      </c>
      <c r="AI112" s="287"/>
      <c r="AJ112" s="287"/>
      <c r="AK112" s="304"/>
      <c r="AL112" s="286" t="str">
        <f>AL3</f>
        <v>Intersection 9</v>
      </c>
      <c r="AM112" s="287"/>
      <c r="AN112" s="287"/>
      <c r="AO112" s="304"/>
      <c r="AP112" s="286" t="str">
        <f>AP3</f>
        <v>Intersection 10</v>
      </c>
      <c r="AQ112" s="287"/>
      <c r="AR112" s="287"/>
      <c r="AS112" s="304"/>
      <c r="AT112" s="286" t="str">
        <f>AT3</f>
        <v>Intersection 11</v>
      </c>
      <c r="AU112" s="287"/>
      <c r="AV112" s="287"/>
      <c r="AW112" s="304"/>
      <c r="AX112" s="286" t="str">
        <f>AX3</f>
        <v>Intersection 12</v>
      </c>
      <c r="AY112" s="287"/>
      <c r="AZ112" s="287"/>
      <c r="BA112" s="304"/>
      <c r="BB112" s="286" t="str">
        <f>BB3</f>
        <v>Intersection 13</v>
      </c>
      <c r="BC112" s="287"/>
      <c r="BD112" s="287"/>
      <c r="BE112" s="304"/>
      <c r="BF112" s="286" t="str">
        <f>BF3</f>
        <v>Intersection 14</v>
      </c>
      <c r="BG112" s="287"/>
      <c r="BH112" s="287"/>
      <c r="BI112" s="304"/>
      <c r="BJ112" s="286" t="str">
        <f>BJ3</f>
        <v>Intersection 15</v>
      </c>
      <c r="BK112" s="287"/>
      <c r="BL112" s="287"/>
      <c r="BM112" s="304"/>
      <c r="BN112" s="286" t="str">
        <f>BN3</f>
        <v>Intersection 16</v>
      </c>
      <c r="BO112" s="287"/>
      <c r="BP112" s="287"/>
      <c r="BQ112" s="304"/>
      <c r="BR112" s="286" t="str">
        <f>BR3</f>
        <v>Intersection 17</v>
      </c>
      <c r="BS112" s="287"/>
      <c r="BT112" s="287"/>
      <c r="BU112" s="304"/>
      <c r="BV112" s="286" t="str">
        <f>BV3</f>
        <v>Intersection 18</v>
      </c>
      <c r="BW112" s="287"/>
      <c r="BX112" s="287"/>
      <c r="BY112" s="304"/>
      <c r="BZ112" s="286" t="str">
        <f>BZ3</f>
        <v>Intersection 19</v>
      </c>
      <c r="CA112" s="287"/>
      <c r="CB112" s="287"/>
      <c r="CC112" s="304"/>
      <c r="CD112" s="286" t="str">
        <f>CD3</f>
        <v>Intersection 20</v>
      </c>
      <c r="CE112" s="287"/>
      <c r="CF112" s="287"/>
      <c r="CG112" s="304"/>
      <c r="CH112" s="286" t="str">
        <f>CH3</f>
        <v>Intersection 21</v>
      </c>
      <c r="CI112" s="287"/>
      <c r="CJ112" s="287"/>
      <c r="CK112" s="304"/>
      <c r="CL112" s="47" t="str">
        <f>CL3</f>
        <v>Total</v>
      </c>
      <c r="CM112" s="28"/>
    </row>
    <row r="113" spans="2:91" x14ac:dyDescent="0.25">
      <c r="B113" s="55"/>
      <c r="C113" s="4"/>
      <c r="D113" s="8" t="s">
        <v>50</v>
      </c>
      <c r="E113" s="115"/>
      <c r="F113" s="4"/>
      <c r="G113" s="19"/>
      <c r="H113" s="19"/>
      <c r="I113" s="5"/>
      <c r="J113" s="4"/>
      <c r="K113" s="19"/>
      <c r="L113" s="19"/>
      <c r="M113" s="5"/>
      <c r="N113" s="4"/>
      <c r="O113" s="19"/>
      <c r="P113" s="19"/>
      <c r="Q113" s="5"/>
      <c r="R113" s="4"/>
      <c r="S113" s="19"/>
      <c r="T113" s="19"/>
      <c r="U113" s="5"/>
      <c r="V113" s="4"/>
      <c r="W113" s="19"/>
      <c r="X113" s="19"/>
      <c r="Y113" s="5"/>
      <c r="Z113" s="4"/>
      <c r="AA113" s="19"/>
      <c r="AB113" s="19"/>
      <c r="AC113" s="5"/>
      <c r="AD113" s="4"/>
      <c r="AE113" s="19"/>
      <c r="AF113" s="19"/>
      <c r="AG113" s="5"/>
      <c r="AH113" s="4"/>
      <c r="AI113" s="19"/>
      <c r="AJ113" s="19"/>
      <c r="AK113" s="5"/>
      <c r="AL113" s="4"/>
      <c r="AM113" s="19"/>
      <c r="AN113" s="19"/>
      <c r="AO113" s="5"/>
      <c r="AP113" s="4"/>
      <c r="AQ113" s="19"/>
      <c r="AR113" s="19"/>
      <c r="AS113" s="5"/>
      <c r="AT113" s="4"/>
      <c r="AU113" s="19"/>
      <c r="AV113" s="19"/>
      <c r="AW113" s="5"/>
      <c r="AX113" s="4"/>
      <c r="AY113" s="19"/>
      <c r="AZ113" s="19"/>
      <c r="BA113" s="5"/>
      <c r="BB113" s="4"/>
      <c r="BC113" s="19"/>
      <c r="BD113" s="19"/>
      <c r="BE113" s="5"/>
      <c r="BF113" s="4"/>
      <c r="BG113" s="19"/>
      <c r="BH113" s="19"/>
      <c r="BI113" s="5"/>
      <c r="BJ113" s="4"/>
      <c r="BK113" s="19"/>
      <c r="BL113" s="19"/>
      <c r="BM113" s="5"/>
      <c r="BN113" s="4"/>
      <c r="BO113" s="19"/>
      <c r="BP113" s="19"/>
      <c r="BQ113" s="5"/>
      <c r="BR113" s="4"/>
      <c r="BS113" s="19"/>
      <c r="BT113" s="19"/>
      <c r="BU113" s="5"/>
      <c r="BV113" s="4"/>
      <c r="BW113" s="19"/>
      <c r="BX113" s="19"/>
      <c r="BY113" s="5"/>
      <c r="BZ113" s="4"/>
      <c r="CA113" s="19"/>
      <c r="CB113" s="19"/>
      <c r="CC113" s="5"/>
      <c r="CD113" s="4"/>
      <c r="CE113" s="19"/>
      <c r="CF113" s="19"/>
      <c r="CG113" s="5"/>
      <c r="CH113" s="4"/>
      <c r="CI113" s="19"/>
      <c r="CJ113" s="19"/>
      <c r="CK113" s="5"/>
      <c r="CL113" s="46"/>
      <c r="CM113" s="28"/>
    </row>
    <row r="114" spans="2:91" ht="14.25" x14ac:dyDescent="0.25">
      <c r="B114" s="55"/>
      <c r="C114" s="10" t="s">
        <v>222</v>
      </c>
      <c r="D114" s="11" t="s">
        <v>218</v>
      </c>
      <c r="E114" s="115"/>
      <c r="F114" s="299">
        <f>IF(SUM(F9:I9)=0,"",MAX(F66*IF(F44="Yes",1,0), G66*IF(G44="Yes",1,0), H66*IF(H44="Yes",1,0), I66*IF(I44="Yes",1,0)))</f>
        <v>2.8117855183883798</v>
      </c>
      <c r="G114" s="315"/>
      <c r="H114" s="315"/>
      <c r="I114" s="303"/>
      <c r="J114" s="299" t="e">
        <f ca="1">IF(SUM(J9:M9)=0,"",MAX(J66*IF(J44="Yes",1,0), K66*IF(K44="Yes",1,0), L66*IF(L44="Yes",1,0), M66*IF(M44="Yes",1,0)))</f>
        <v>#NAME?</v>
      </c>
      <c r="K114" s="315"/>
      <c r="L114" s="315"/>
      <c r="M114" s="303"/>
      <c r="N114" s="299" t="str">
        <f>IF(SUM(N9:Q9)=0,"",MAX(N66*IF(N44="Yes",1,0), O66*IF(O44="Yes",1,0), P66*IF(P44="Yes",1,0), Q66*IF(Q44="Yes",1,0)))</f>
        <v/>
      </c>
      <c r="O114" s="315"/>
      <c r="P114" s="315"/>
      <c r="Q114" s="303"/>
      <c r="R114" s="299" t="str">
        <f>IF(SUM(R9:U9)=0,"",MAX(R66*IF(R44="Yes",1,0), S66*IF(S44="Yes",1,0), T66*IF(T44="Yes",1,0), U66*IF(U44="Yes",1,0)))</f>
        <v/>
      </c>
      <c r="S114" s="315"/>
      <c r="T114" s="315"/>
      <c r="U114" s="303"/>
      <c r="V114" s="299" t="str">
        <f>IF(SUM(V9:Y9)=0,"",MAX(V66*IF(V44="Yes",1,0), W66*IF(W44="Yes",1,0), X66*IF(X44="Yes",1,0), Y66*IF(Y44="Yes",1,0)))</f>
        <v/>
      </c>
      <c r="W114" s="315"/>
      <c r="X114" s="315"/>
      <c r="Y114" s="303"/>
      <c r="Z114" s="299" t="str">
        <f>IF(SUM(Z9:AC9)=0,"",MAX(Z66*IF(Z44="Yes",1,0), AA66*IF(AA44="Yes",1,0), AB66*IF(AB44="Yes",1,0), AC66*IF(AC44="Yes",1,0)))</f>
        <v/>
      </c>
      <c r="AA114" s="315"/>
      <c r="AB114" s="315"/>
      <c r="AC114" s="303"/>
      <c r="AD114" s="299" t="str">
        <f>IF(SUM(AD9:AG9)=0,"",MAX(AD66*IF(AD44="Yes",1,0), AE66*IF(AE44="Yes",1,0), AF66*IF(AF44="Yes",1,0), AG66*IF(AG44="Yes",1,0)))</f>
        <v/>
      </c>
      <c r="AE114" s="315"/>
      <c r="AF114" s="315"/>
      <c r="AG114" s="303"/>
      <c r="AH114" s="299" t="str">
        <f>IF(SUM(AH9:AK9)=0,"",MAX(AH66*IF(AH44="Yes",1,0), AI66*IF(AI44="Yes",1,0), AJ66*IF(AJ44="Yes",1,0), AK66*IF(AK44="Yes",1,0)))</f>
        <v/>
      </c>
      <c r="AI114" s="315"/>
      <c r="AJ114" s="315"/>
      <c r="AK114" s="303"/>
      <c r="AL114" s="299" t="str">
        <f>IF(SUM(AL9:AO9)=0,"",MAX(AL66*IF(AL44="Yes",1,0), AM66*IF(AM44="Yes",1,0), AN66*IF(AN44="Yes",1,0), AO66*IF(AO44="Yes",1,0)))</f>
        <v/>
      </c>
      <c r="AM114" s="315"/>
      <c r="AN114" s="315"/>
      <c r="AO114" s="303"/>
      <c r="AP114" s="299" t="str">
        <f>IF(SUM(AP9:AS9)=0,"",MAX(AP66*IF(AP44="Yes",1,0), AQ66*IF(AQ44="Yes",1,0), AR66*IF(AR44="Yes",1,0), AS66*IF(AS44="Yes",1,0)))</f>
        <v/>
      </c>
      <c r="AQ114" s="315"/>
      <c r="AR114" s="315"/>
      <c r="AS114" s="303"/>
      <c r="AT114" s="299" t="str">
        <f>IF(SUM(AT9:AW9)=0,"",MAX(AT66*IF(AT44="Yes",1,0), AU66*IF(AU44="Yes",1,0), AV66*IF(AV44="Yes",1,0), AW66*IF(AW44="Yes",1,0)))</f>
        <v/>
      </c>
      <c r="AU114" s="315"/>
      <c r="AV114" s="315"/>
      <c r="AW114" s="303"/>
      <c r="AX114" s="299" t="str">
        <f>IF(SUM(AX9:BA9)=0,"",MAX(AX66*IF(AX44="Yes",1,0), AY66*IF(AY44="Yes",1,0), AZ66*IF(AZ44="Yes",1,0), BA66*IF(BA44="Yes",1,0)))</f>
        <v/>
      </c>
      <c r="AY114" s="315"/>
      <c r="AZ114" s="315"/>
      <c r="BA114" s="303"/>
      <c r="BB114" s="299" t="str">
        <f>IF(SUM(BB9:BE9)=0,"",MAX(BB66*IF(BB44="Yes",1,0), BC66*IF(BC44="Yes",1,0), BD66*IF(BD44="Yes",1,0), BE66*IF(BE44="Yes",1,0)))</f>
        <v/>
      </c>
      <c r="BC114" s="315"/>
      <c r="BD114" s="315"/>
      <c r="BE114" s="303"/>
      <c r="BF114" s="299" t="str">
        <f>IF(SUM(BF9:BI9)=0,"",MAX(BF66*IF(BF44="Yes",1,0), BG66*IF(BG44="Yes",1,0), BH66*IF(BH44="Yes",1,0), BI66*IF(BI44="Yes",1,0)))</f>
        <v/>
      </c>
      <c r="BG114" s="315"/>
      <c r="BH114" s="315"/>
      <c r="BI114" s="303"/>
      <c r="BJ114" s="299" t="str">
        <f>IF(SUM(BJ9:BM9)=0,"",MAX(BJ66*IF(BJ44="Yes",1,0), BK66*IF(BK44="Yes",1,0), BL66*IF(BL44="Yes",1,0), BM66*IF(BM44="Yes",1,0)))</f>
        <v/>
      </c>
      <c r="BK114" s="315"/>
      <c r="BL114" s="315"/>
      <c r="BM114" s="303"/>
      <c r="BN114" s="299" t="str">
        <f>IF(SUM(BN9:BQ9)=0,"",MAX(BN66*IF(BN44="Yes",1,0), BO66*IF(BO44="Yes",1,0), BP66*IF(BP44="Yes",1,0), BQ66*IF(BQ44="Yes",1,0)))</f>
        <v/>
      </c>
      <c r="BO114" s="315"/>
      <c r="BP114" s="315"/>
      <c r="BQ114" s="303"/>
      <c r="BR114" s="299" t="str">
        <f>IF(SUM(BR9:BU9)=0,"",MAX(BR66*IF(BR44="Yes",1,0), BS66*IF(BS44="Yes",1,0), BT66*IF(BT44="Yes",1,0), BU66*IF(BU44="Yes",1,0)))</f>
        <v/>
      </c>
      <c r="BS114" s="315"/>
      <c r="BT114" s="315"/>
      <c r="BU114" s="303"/>
      <c r="BV114" s="299" t="str">
        <f>IF(SUM(BV9:BY9)=0,"",MAX(BV66*IF(BV44="Yes",1,0), BW66*IF(BW44="Yes",1,0), BX66*IF(BX44="Yes",1,0), BY66*IF(BY44="Yes",1,0)))</f>
        <v/>
      </c>
      <c r="BW114" s="315"/>
      <c r="BX114" s="315"/>
      <c r="BY114" s="303"/>
      <c r="BZ114" s="299" t="str">
        <f>IF(SUM(BZ9:CC9)=0,"",MAX(BZ66*IF(BZ44="Yes",1,0), CA66*IF(CA44="Yes",1,0), CB66*IF(CB44="Yes",1,0), CC66*IF(CC44="Yes",1,0)))</f>
        <v/>
      </c>
      <c r="CA114" s="315"/>
      <c r="CB114" s="315"/>
      <c r="CC114" s="303"/>
      <c r="CD114" s="299" t="str">
        <f>IF(SUM(CD9:CG9)=0,"",MAX(CD66*IF(CD44="Yes",1,0), CE66*IF(CE44="Yes",1,0), CF66*IF(CF44="Yes",1,0), CG66*IF(CG44="Yes",1,0)))</f>
        <v/>
      </c>
      <c r="CE114" s="315"/>
      <c r="CF114" s="315"/>
      <c r="CG114" s="303"/>
      <c r="CH114" s="299" t="str">
        <f>IF(SUM(CH9:CK9)=0,"",MAX(CH66*IF(CH44="Yes",1,0), CI66*IF(CI44="Yes",1,0), CJ66*IF(CJ44="Yes",1,0), CK66*IF(CK44="Yes",1,0)))</f>
        <v/>
      </c>
      <c r="CI114" s="315"/>
      <c r="CJ114" s="315"/>
      <c r="CK114" s="303"/>
      <c r="CL114" s="67" t="e">
        <f ca="1">SUMPRODUCT(F114:CK114,F68:CK68)/SUM(F68:CK68)</f>
        <v>#NAME?</v>
      </c>
      <c r="CM114" s="28"/>
    </row>
    <row r="115" spans="2:91" x14ac:dyDescent="0.25">
      <c r="B115" s="55"/>
      <c r="C115" s="10"/>
      <c r="D115" s="11" t="s">
        <v>41</v>
      </c>
      <c r="E115" s="115"/>
      <c r="F115" s="289" t="str">
        <f>IF(F114="","",IF(F114&lt;=2,"A",IF(F114&lt;=2.75,"B",IF(F114&lt;=3.5,"C",IF(F114&lt;=4.25,"D",IF(F114&lt;=5,"E","F"))))))</f>
        <v>C</v>
      </c>
      <c r="G115" s="313"/>
      <c r="H115" s="313"/>
      <c r="I115" s="290"/>
      <c r="J115" s="289" t="e">
        <f t="shared" ref="J115" ca="1" si="309">IF(J114="","",IF(J114&lt;=2,"A",IF(J114&lt;=2.75,"B",IF(J114&lt;=3.5,"C",IF(J114&lt;=4.25,"D",IF(J114&lt;=5,"E","F"))))))</f>
        <v>#NAME?</v>
      </c>
      <c r="K115" s="313"/>
      <c r="L115" s="313"/>
      <c r="M115" s="290"/>
      <c r="N115" s="289" t="str">
        <f t="shared" ref="N115" si="310">IF(N114="","",IF(N114&lt;=2,"A",IF(N114&lt;=2.75,"B",IF(N114&lt;=3.5,"C",IF(N114&lt;=4.25,"D",IF(N114&lt;=5,"E","F"))))))</f>
        <v/>
      </c>
      <c r="O115" s="313"/>
      <c r="P115" s="313"/>
      <c r="Q115" s="290"/>
      <c r="R115" s="289" t="str">
        <f t="shared" ref="R115" si="311">IF(R114="","",IF(R114&lt;=2,"A",IF(R114&lt;=2.75,"B",IF(R114&lt;=3.5,"C",IF(R114&lt;=4.25,"D",IF(R114&lt;=5,"E","F"))))))</f>
        <v/>
      </c>
      <c r="S115" s="313"/>
      <c r="T115" s="313"/>
      <c r="U115" s="290"/>
      <c r="V115" s="289" t="str">
        <f t="shared" ref="V115" si="312">IF(V114="","",IF(V114&lt;=2,"A",IF(V114&lt;=2.75,"B",IF(V114&lt;=3.5,"C",IF(V114&lt;=4.25,"D",IF(V114&lt;=5,"E","F"))))))</f>
        <v/>
      </c>
      <c r="W115" s="313"/>
      <c r="X115" s="313"/>
      <c r="Y115" s="290"/>
      <c r="Z115" s="289" t="str">
        <f t="shared" ref="Z115" si="313">IF(Z114="","",IF(Z114&lt;=2,"A",IF(Z114&lt;=2.75,"B",IF(Z114&lt;=3.5,"C",IF(Z114&lt;=4.25,"D",IF(Z114&lt;=5,"E","F"))))))</f>
        <v/>
      </c>
      <c r="AA115" s="313"/>
      <c r="AB115" s="313"/>
      <c r="AC115" s="290"/>
      <c r="AD115" s="289" t="str">
        <f t="shared" ref="AD115" si="314">IF(AD114="","",IF(AD114&lt;=2,"A",IF(AD114&lt;=2.75,"B",IF(AD114&lt;=3.5,"C",IF(AD114&lt;=4.25,"D",IF(AD114&lt;=5,"E","F"))))))</f>
        <v/>
      </c>
      <c r="AE115" s="313"/>
      <c r="AF115" s="313"/>
      <c r="AG115" s="290"/>
      <c r="AH115" s="289" t="str">
        <f t="shared" ref="AH115" si="315">IF(AH114="","",IF(AH114&lt;=2,"A",IF(AH114&lt;=2.75,"B",IF(AH114&lt;=3.5,"C",IF(AH114&lt;=4.25,"D",IF(AH114&lt;=5,"E","F"))))))</f>
        <v/>
      </c>
      <c r="AI115" s="313"/>
      <c r="AJ115" s="313"/>
      <c r="AK115" s="290"/>
      <c r="AL115" s="289" t="str">
        <f t="shared" ref="AL115" si="316">IF(AL114="","",IF(AL114&lt;=2,"A",IF(AL114&lt;=2.75,"B",IF(AL114&lt;=3.5,"C",IF(AL114&lt;=4.25,"D",IF(AL114&lt;=5,"E","F"))))))</f>
        <v/>
      </c>
      <c r="AM115" s="313"/>
      <c r="AN115" s="313"/>
      <c r="AO115" s="290"/>
      <c r="AP115" s="289" t="str">
        <f t="shared" ref="AP115" si="317">IF(AP114="","",IF(AP114&lt;=2,"A",IF(AP114&lt;=2.75,"B",IF(AP114&lt;=3.5,"C",IF(AP114&lt;=4.25,"D",IF(AP114&lt;=5,"E","F"))))))</f>
        <v/>
      </c>
      <c r="AQ115" s="313"/>
      <c r="AR115" s="313"/>
      <c r="AS115" s="290"/>
      <c r="AT115" s="289" t="str">
        <f t="shared" ref="AT115" si="318">IF(AT114="","",IF(AT114&lt;=2,"A",IF(AT114&lt;=2.75,"B",IF(AT114&lt;=3.5,"C",IF(AT114&lt;=4.25,"D",IF(AT114&lt;=5,"E","F"))))))</f>
        <v/>
      </c>
      <c r="AU115" s="313"/>
      <c r="AV115" s="313"/>
      <c r="AW115" s="290"/>
      <c r="AX115" s="289" t="str">
        <f t="shared" ref="AX115" si="319">IF(AX114="","",IF(AX114&lt;=2,"A",IF(AX114&lt;=2.75,"B",IF(AX114&lt;=3.5,"C",IF(AX114&lt;=4.25,"D",IF(AX114&lt;=5,"E","F"))))))</f>
        <v/>
      </c>
      <c r="AY115" s="313"/>
      <c r="AZ115" s="313"/>
      <c r="BA115" s="290"/>
      <c r="BB115" s="289" t="str">
        <f t="shared" ref="BB115" si="320">IF(BB114="","",IF(BB114&lt;=2,"A",IF(BB114&lt;=2.75,"B",IF(BB114&lt;=3.5,"C",IF(BB114&lt;=4.25,"D",IF(BB114&lt;=5,"E","F"))))))</f>
        <v/>
      </c>
      <c r="BC115" s="313"/>
      <c r="BD115" s="313"/>
      <c r="BE115" s="290"/>
      <c r="BF115" s="289" t="str">
        <f t="shared" ref="BF115" si="321">IF(BF114="","",IF(BF114&lt;=2,"A",IF(BF114&lt;=2.75,"B",IF(BF114&lt;=3.5,"C",IF(BF114&lt;=4.25,"D",IF(BF114&lt;=5,"E","F"))))))</f>
        <v/>
      </c>
      <c r="BG115" s="313"/>
      <c r="BH115" s="313"/>
      <c r="BI115" s="290"/>
      <c r="BJ115" s="289" t="str">
        <f t="shared" ref="BJ115" si="322">IF(BJ114="","",IF(BJ114&lt;=2,"A",IF(BJ114&lt;=2.75,"B",IF(BJ114&lt;=3.5,"C",IF(BJ114&lt;=4.25,"D",IF(BJ114&lt;=5,"E","F"))))))</f>
        <v/>
      </c>
      <c r="BK115" s="313"/>
      <c r="BL115" s="313"/>
      <c r="BM115" s="290"/>
      <c r="BN115" s="289" t="str">
        <f t="shared" ref="BN115" si="323">IF(BN114="","",IF(BN114&lt;=2,"A",IF(BN114&lt;=2.75,"B",IF(BN114&lt;=3.5,"C",IF(BN114&lt;=4.25,"D",IF(BN114&lt;=5,"E","F"))))))</f>
        <v/>
      </c>
      <c r="BO115" s="313"/>
      <c r="BP115" s="313"/>
      <c r="BQ115" s="290"/>
      <c r="BR115" s="289" t="str">
        <f t="shared" ref="BR115" si="324">IF(BR114="","",IF(BR114&lt;=2,"A",IF(BR114&lt;=2.75,"B",IF(BR114&lt;=3.5,"C",IF(BR114&lt;=4.25,"D",IF(BR114&lt;=5,"E","F"))))))</f>
        <v/>
      </c>
      <c r="BS115" s="313"/>
      <c r="BT115" s="313"/>
      <c r="BU115" s="290"/>
      <c r="BV115" s="289" t="str">
        <f t="shared" ref="BV115" si="325">IF(BV114="","",IF(BV114&lt;=2,"A",IF(BV114&lt;=2.75,"B",IF(BV114&lt;=3.5,"C",IF(BV114&lt;=4.25,"D",IF(BV114&lt;=5,"E","F"))))))</f>
        <v/>
      </c>
      <c r="BW115" s="313"/>
      <c r="BX115" s="313"/>
      <c r="BY115" s="290"/>
      <c r="BZ115" s="289" t="str">
        <f t="shared" ref="BZ115" si="326">IF(BZ114="","",IF(BZ114&lt;=2,"A",IF(BZ114&lt;=2.75,"B",IF(BZ114&lt;=3.5,"C",IF(BZ114&lt;=4.25,"D",IF(BZ114&lt;=5,"E","F"))))))</f>
        <v/>
      </c>
      <c r="CA115" s="313"/>
      <c r="CB115" s="313"/>
      <c r="CC115" s="290"/>
      <c r="CD115" s="289" t="str">
        <f t="shared" ref="CD115" si="327">IF(CD114="","",IF(CD114&lt;=2,"A",IF(CD114&lt;=2.75,"B",IF(CD114&lt;=3.5,"C",IF(CD114&lt;=4.25,"D",IF(CD114&lt;=5,"E","F"))))))</f>
        <v/>
      </c>
      <c r="CE115" s="313"/>
      <c r="CF115" s="313"/>
      <c r="CG115" s="290"/>
      <c r="CH115" s="289" t="str">
        <f t="shared" ref="CH115" si="328">IF(CH114="","",IF(CH114&lt;=2,"A",IF(CH114&lt;=2.75,"B",IF(CH114&lt;=3.5,"C",IF(CH114&lt;=4.25,"D",IF(CH114&lt;=5,"E","F"))))))</f>
        <v/>
      </c>
      <c r="CI115" s="313"/>
      <c r="CJ115" s="313"/>
      <c r="CK115" s="290"/>
      <c r="CL115" s="68" t="e">
        <f ca="1">IF(CL114&lt;=2,"A",IF(CL114&lt;=2.75,"B",IF(CL114&lt;=3.5,"C",IF(CL114&lt;=4.25,"D",IF(CL114&lt;=5,"E","F")))))</f>
        <v>#NAME?</v>
      </c>
      <c r="CM115" s="28"/>
    </row>
    <row r="116" spans="2:91" x14ac:dyDescent="0.25">
      <c r="B116" s="55"/>
      <c r="C116" s="4"/>
      <c r="D116" s="8" t="s">
        <v>20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2:91" ht="14.25" x14ac:dyDescent="0.25">
      <c r="B117" s="55"/>
      <c r="C117" s="10" t="s">
        <v>223</v>
      </c>
      <c r="D117" s="11" t="s">
        <v>219</v>
      </c>
      <c r="E117" s="115"/>
      <c r="F117" s="299">
        <f>IF(SUM(F9:I9)=0,"",MAX(F108*IF(F44="Yes",1,0),G108*IF(G44="Yes",1,0),H108*IF(H44="Yes",1,0),I108*IF(I44="Yes",1,0)))</f>
        <v>3.3921499999999996</v>
      </c>
      <c r="G117" s="315"/>
      <c r="H117" s="315"/>
      <c r="I117" s="303"/>
      <c r="J117" s="299">
        <f>IF(SUM(J9:M9)=0,"",MAX(J108*IF(J44="Yes",1,0),K108*IF(K44="Yes",1,0),L108*IF(L44="Yes",1,0),M108*IF(M44="Yes",1,0)))</f>
        <v>2.799199999999999</v>
      </c>
      <c r="K117" s="315"/>
      <c r="L117" s="315"/>
      <c r="M117" s="303"/>
      <c r="N117" s="299" t="str">
        <f>IF(SUM(N9:Q9)=0,"",MAX(N108*IF(N44="Yes",1,0),O108*IF(O44="Yes",1,0),P108*IF(P44="Yes",1,0),Q108*IF(Q44="Yes",1,0)))</f>
        <v/>
      </c>
      <c r="O117" s="315"/>
      <c r="P117" s="315"/>
      <c r="Q117" s="303"/>
      <c r="R117" s="299" t="str">
        <f>IF(SUM(R9:U9)=0,"",MAX(R108*IF(R44="Yes",1,0),S108*IF(S44="Yes",1,0),T108*IF(T44="Yes",1,0),U108*IF(U44="Yes",1,0)))</f>
        <v/>
      </c>
      <c r="S117" s="315"/>
      <c r="T117" s="315"/>
      <c r="U117" s="303"/>
      <c r="V117" s="299" t="str">
        <f>IF(SUM(V9:Y9)=0,"",MAX(V108*IF(V44="Yes",1,0),W108*IF(W44="Yes",1,0),X108*IF(X44="Yes",1,0),Y108*IF(Y44="Yes",1,0)))</f>
        <v/>
      </c>
      <c r="W117" s="315"/>
      <c r="X117" s="315"/>
      <c r="Y117" s="303"/>
      <c r="Z117" s="299" t="str">
        <f>IF(SUM(Z9:AC9)=0,"",MAX(Z108*IF(Z44="Yes",1,0),AA108*IF(AA44="Yes",1,0),AB108*IF(AB44="Yes",1,0),AC108*IF(AC44="Yes",1,0)))</f>
        <v/>
      </c>
      <c r="AA117" s="315"/>
      <c r="AB117" s="315"/>
      <c r="AC117" s="303"/>
      <c r="AD117" s="299" t="str">
        <f>IF(SUM(AD9:AG9)=0,"",MAX(AD108*IF(AD44="Yes",1,0),AE108*IF(AE44="Yes",1,0),AF108*IF(AF44="Yes",1,0),AG108*IF(AG44="Yes",1,0)))</f>
        <v/>
      </c>
      <c r="AE117" s="315"/>
      <c r="AF117" s="315"/>
      <c r="AG117" s="303"/>
      <c r="AH117" s="299" t="str">
        <f>IF(SUM(AH9:AK9)=0,"",MAX(AH108*IF(AH44="Yes",1,0),AI108*IF(AI44="Yes",1,0),AJ108*IF(AJ44="Yes",1,0),AK108*IF(AK44="Yes",1,0)))</f>
        <v/>
      </c>
      <c r="AI117" s="315"/>
      <c r="AJ117" s="315"/>
      <c r="AK117" s="303"/>
      <c r="AL117" s="299" t="str">
        <f>IF(SUM(AL9:AO9)=0,"",MAX(AL108*IF(AL44="Yes",1,0),AM108*IF(AM44="Yes",1,0),AN108*IF(AN44="Yes",1,0),AO108*IF(AO44="Yes",1,0)))</f>
        <v/>
      </c>
      <c r="AM117" s="315"/>
      <c r="AN117" s="315"/>
      <c r="AO117" s="303"/>
      <c r="AP117" s="299" t="str">
        <f>IF(SUM(AP9:AS9)=0,"",MAX(AP108*IF(AP44="Yes",1,0),AQ108*IF(AQ44="Yes",1,0),AR108*IF(AR44="Yes",1,0),AS108*IF(AS44="Yes",1,0)))</f>
        <v/>
      </c>
      <c r="AQ117" s="315"/>
      <c r="AR117" s="315"/>
      <c r="AS117" s="303"/>
      <c r="AT117" s="299" t="str">
        <f>IF(SUM(AT9:AW9)=0,"",MAX(AT108*IF(AT44="Yes",1,0),AU108*IF(AU44="Yes",1,0),AV108*IF(AV44="Yes",1,0),AW108*IF(AW44="Yes",1,0)))</f>
        <v/>
      </c>
      <c r="AU117" s="315"/>
      <c r="AV117" s="315"/>
      <c r="AW117" s="303"/>
      <c r="AX117" s="299" t="str">
        <f>IF(SUM(AX9:BA9)=0,"",MAX(AX108*IF(AX44="Yes",1,0),AY108*IF(AY44="Yes",1,0),AZ108*IF(AZ44="Yes",1,0),BA108*IF(BA44="Yes",1,0)))</f>
        <v/>
      </c>
      <c r="AY117" s="315"/>
      <c r="AZ117" s="315"/>
      <c r="BA117" s="303"/>
      <c r="BB117" s="299" t="str">
        <f>IF(SUM(BB9:BE9)=0,"",MAX(BB108*IF(BB44="Yes",1,0),BC108*IF(BC44="Yes",1,0),BD108*IF(BD44="Yes",1,0),BE108*IF(BE44="Yes",1,0)))</f>
        <v/>
      </c>
      <c r="BC117" s="315"/>
      <c r="BD117" s="315"/>
      <c r="BE117" s="303"/>
      <c r="BF117" s="299" t="str">
        <f>IF(SUM(BF9:BI9)=0,"",MAX(BF108*IF(BF44="Yes",1,0),BG108*IF(BG44="Yes",1,0),BH108*IF(BH44="Yes",1,0),BI108*IF(BI44="Yes",1,0)))</f>
        <v/>
      </c>
      <c r="BG117" s="315"/>
      <c r="BH117" s="315"/>
      <c r="BI117" s="303"/>
      <c r="BJ117" s="299" t="str">
        <f>IF(SUM(BJ9:BM9)=0,"",MAX(BJ108*IF(BJ44="Yes",1,0),BK108*IF(BK44="Yes",1,0),BL108*IF(BL44="Yes",1,0),BM108*IF(BM44="Yes",1,0)))</f>
        <v/>
      </c>
      <c r="BK117" s="315"/>
      <c r="BL117" s="315"/>
      <c r="BM117" s="303"/>
      <c r="BN117" s="299" t="str">
        <f>IF(SUM(BN9:BQ9)=0,"",MAX(BN108*IF(BN44="Yes",1,0),BO108*IF(BO44="Yes",1,0),BP108*IF(BP44="Yes",1,0),BQ108*IF(BQ44="Yes",1,0)))</f>
        <v/>
      </c>
      <c r="BO117" s="315"/>
      <c r="BP117" s="315"/>
      <c r="BQ117" s="303"/>
      <c r="BR117" s="299" t="str">
        <f>IF(SUM(BR9:BU9)=0,"",MAX(BR108*IF(BR44="Yes",1,0),BS108*IF(BS44="Yes",1,0),BT108*IF(BT44="Yes",1,0),BU108*IF(BU44="Yes",1,0)))</f>
        <v/>
      </c>
      <c r="BS117" s="315"/>
      <c r="BT117" s="315"/>
      <c r="BU117" s="303"/>
      <c r="BV117" s="299" t="str">
        <f>IF(SUM(BV9:BY9)=0,"",MAX(BV108*IF(BV44="Yes",1,0),BW108*IF(BW44="Yes",1,0),BX108*IF(BX44="Yes",1,0),BY108*IF(BY44="Yes",1,0)))</f>
        <v/>
      </c>
      <c r="BW117" s="315"/>
      <c r="BX117" s="315"/>
      <c r="BY117" s="303"/>
      <c r="BZ117" s="299" t="str">
        <f>IF(SUM(BZ9:CC9)=0,"",MAX(BZ108*IF(BZ44="Yes",1,0),CA108*IF(CA44="Yes",1,0),CB108*IF(CB44="Yes",1,0),CC108*IF(CC44="Yes",1,0)))</f>
        <v/>
      </c>
      <c r="CA117" s="315"/>
      <c r="CB117" s="315"/>
      <c r="CC117" s="303"/>
      <c r="CD117" s="299" t="str">
        <f>IF(SUM(CD9:CG9)=0,"",MAX(CD108*IF(CD44="Yes",1,0),CE108*IF(CE44="Yes",1,0),CF108*IF(CF44="Yes",1,0),CG108*IF(CG44="Yes",1,0)))</f>
        <v/>
      </c>
      <c r="CE117" s="315"/>
      <c r="CF117" s="315"/>
      <c r="CG117" s="303"/>
      <c r="CH117" s="299" t="str">
        <f>IF(SUM(CH9:CK9)=0,"",MAX(CH108*IF(CH44="Yes",1,0),CI108*IF(CI44="Yes",1,0),CJ108*IF(CJ44="Yes",1,0),CK108*IF(CK44="Yes",1,0)))</f>
        <v/>
      </c>
      <c r="CI117" s="315"/>
      <c r="CJ117" s="315"/>
      <c r="CK117" s="303"/>
      <c r="CL117" s="67">
        <f>SUMPRODUCT(F117:CK117,F110:CK110)/SUM(F110:CK110)</f>
        <v>3.3533950980392153</v>
      </c>
      <c r="CM117" s="28"/>
    </row>
    <row r="118" spans="2:91" ht="14.25" thickBot="1" x14ac:dyDescent="0.3">
      <c r="B118" s="55"/>
      <c r="C118" s="10"/>
      <c r="D118" s="11" t="s">
        <v>51</v>
      </c>
      <c r="E118" s="115"/>
      <c r="F118" s="289" t="str">
        <f>IF(F117="","",IF(F117&lt;=2,"A",IF(F117&lt;=2.75,"B",IF(F117&lt;=3.5,"C",IF(F117&lt;=4.25,"D",IF(F117&lt;=5,"E","F"))))))</f>
        <v>C</v>
      </c>
      <c r="G118" s="313"/>
      <c r="H118" s="313"/>
      <c r="I118" s="290"/>
      <c r="J118" s="289" t="str">
        <f t="shared" ref="J118" si="329">IF(J117="","",IF(J117&lt;=2,"A",IF(J117&lt;=2.75,"B",IF(J117&lt;=3.5,"C",IF(J117&lt;=4.25,"D",IF(J117&lt;=5,"E","F"))))))</f>
        <v>C</v>
      </c>
      <c r="K118" s="313"/>
      <c r="L118" s="313"/>
      <c r="M118" s="290"/>
      <c r="N118" s="289" t="str">
        <f t="shared" ref="N118" si="330">IF(N117="","",IF(N117&lt;=2,"A",IF(N117&lt;=2.75,"B",IF(N117&lt;=3.5,"C",IF(N117&lt;=4.25,"D",IF(N117&lt;=5,"E","F"))))))</f>
        <v/>
      </c>
      <c r="O118" s="313"/>
      <c r="P118" s="313"/>
      <c r="Q118" s="290"/>
      <c r="R118" s="289" t="str">
        <f t="shared" ref="R118" si="331">IF(R117="","",IF(R117&lt;=2,"A",IF(R117&lt;=2.75,"B",IF(R117&lt;=3.5,"C",IF(R117&lt;=4.25,"D",IF(R117&lt;=5,"E","F"))))))</f>
        <v/>
      </c>
      <c r="S118" s="313"/>
      <c r="T118" s="313"/>
      <c r="U118" s="290"/>
      <c r="V118" s="289" t="str">
        <f t="shared" ref="V118" si="332">IF(V117="","",IF(V117&lt;=2,"A",IF(V117&lt;=2.75,"B",IF(V117&lt;=3.5,"C",IF(V117&lt;=4.25,"D",IF(V117&lt;=5,"E","F"))))))</f>
        <v/>
      </c>
      <c r="W118" s="313"/>
      <c r="X118" s="313"/>
      <c r="Y118" s="290"/>
      <c r="Z118" s="289" t="str">
        <f t="shared" ref="Z118" si="333">IF(Z117="","",IF(Z117&lt;=2,"A",IF(Z117&lt;=2.75,"B",IF(Z117&lt;=3.5,"C",IF(Z117&lt;=4.25,"D",IF(Z117&lt;=5,"E","F"))))))</f>
        <v/>
      </c>
      <c r="AA118" s="313"/>
      <c r="AB118" s="313"/>
      <c r="AC118" s="290"/>
      <c r="AD118" s="289" t="str">
        <f t="shared" ref="AD118" si="334">IF(AD117="","",IF(AD117&lt;=2,"A",IF(AD117&lt;=2.75,"B",IF(AD117&lt;=3.5,"C",IF(AD117&lt;=4.25,"D",IF(AD117&lt;=5,"E","F"))))))</f>
        <v/>
      </c>
      <c r="AE118" s="313"/>
      <c r="AF118" s="313"/>
      <c r="AG118" s="290"/>
      <c r="AH118" s="289" t="str">
        <f t="shared" ref="AH118" si="335">IF(AH117="","",IF(AH117&lt;=2,"A",IF(AH117&lt;=2.75,"B",IF(AH117&lt;=3.5,"C",IF(AH117&lt;=4.25,"D",IF(AH117&lt;=5,"E","F"))))))</f>
        <v/>
      </c>
      <c r="AI118" s="313"/>
      <c r="AJ118" s="313"/>
      <c r="AK118" s="290"/>
      <c r="AL118" s="289" t="str">
        <f t="shared" ref="AL118" si="336">IF(AL117="","",IF(AL117&lt;=2,"A",IF(AL117&lt;=2.75,"B",IF(AL117&lt;=3.5,"C",IF(AL117&lt;=4.25,"D",IF(AL117&lt;=5,"E","F"))))))</f>
        <v/>
      </c>
      <c r="AM118" s="313"/>
      <c r="AN118" s="313"/>
      <c r="AO118" s="290"/>
      <c r="AP118" s="289" t="str">
        <f t="shared" ref="AP118" si="337">IF(AP117="","",IF(AP117&lt;=2,"A",IF(AP117&lt;=2.75,"B",IF(AP117&lt;=3.5,"C",IF(AP117&lt;=4.25,"D",IF(AP117&lt;=5,"E","F"))))))</f>
        <v/>
      </c>
      <c r="AQ118" s="313"/>
      <c r="AR118" s="313"/>
      <c r="AS118" s="290"/>
      <c r="AT118" s="289" t="str">
        <f t="shared" ref="AT118" si="338">IF(AT117="","",IF(AT117&lt;=2,"A",IF(AT117&lt;=2.75,"B",IF(AT117&lt;=3.5,"C",IF(AT117&lt;=4.25,"D",IF(AT117&lt;=5,"E","F"))))))</f>
        <v/>
      </c>
      <c r="AU118" s="313"/>
      <c r="AV118" s="313"/>
      <c r="AW118" s="290"/>
      <c r="AX118" s="289" t="str">
        <f t="shared" ref="AX118" si="339">IF(AX117="","",IF(AX117&lt;=2,"A",IF(AX117&lt;=2.75,"B",IF(AX117&lt;=3.5,"C",IF(AX117&lt;=4.25,"D",IF(AX117&lt;=5,"E","F"))))))</f>
        <v/>
      </c>
      <c r="AY118" s="313"/>
      <c r="AZ118" s="313"/>
      <c r="BA118" s="290"/>
      <c r="BB118" s="289" t="str">
        <f t="shared" ref="BB118" si="340">IF(BB117="","",IF(BB117&lt;=2,"A",IF(BB117&lt;=2.75,"B",IF(BB117&lt;=3.5,"C",IF(BB117&lt;=4.25,"D",IF(BB117&lt;=5,"E","F"))))))</f>
        <v/>
      </c>
      <c r="BC118" s="313"/>
      <c r="BD118" s="313"/>
      <c r="BE118" s="290"/>
      <c r="BF118" s="289" t="str">
        <f t="shared" ref="BF118" si="341">IF(BF117="","",IF(BF117&lt;=2,"A",IF(BF117&lt;=2.75,"B",IF(BF117&lt;=3.5,"C",IF(BF117&lt;=4.25,"D",IF(BF117&lt;=5,"E","F"))))))</f>
        <v/>
      </c>
      <c r="BG118" s="313"/>
      <c r="BH118" s="313"/>
      <c r="BI118" s="290"/>
      <c r="BJ118" s="289" t="str">
        <f t="shared" ref="BJ118" si="342">IF(BJ117="","",IF(BJ117&lt;=2,"A",IF(BJ117&lt;=2.75,"B",IF(BJ117&lt;=3.5,"C",IF(BJ117&lt;=4.25,"D",IF(BJ117&lt;=5,"E","F"))))))</f>
        <v/>
      </c>
      <c r="BK118" s="313"/>
      <c r="BL118" s="313"/>
      <c r="BM118" s="290"/>
      <c r="BN118" s="289" t="str">
        <f t="shared" ref="BN118" si="343">IF(BN117="","",IF(BN117&lt;=2,"A",IF(BN117&lt;=2.75,"B",IF(BN117&lt;=3.5,"C",IF(BN117&lt;=4.25,"D",IF(BN117&lt;=5,"E","F"))))))</f>
        <v/>
      </c>
      <c r="BO118" s="313"/>
      <c r="BP118" s="313"/>
      <c r="BQ118" s="290"/>
      <c r="BR118" s="289" t="str">
        <f t="shared" ref="BR118" si="344">IF(BR117="","",IF(BR117&lt;=2,"A",IF(BR117&lt;=2.75,"B",IF(BR117&lt;=3.5,"C",IF(BR117&lt;=4.25,"D",IF(BR117&lt;=5,"E","F"))))))</f>
        <v/>
      </c>
      <c r="BS118" s="313"/>
      <c r="BT118" s="313"/>
      <c r="BU118" s="290"/>
      <c r="BV118" s="289" t="str">
        <f t="shared" ref="BV118" si="345">IF(BV117="","",IF(BV117&lt;=2,"A",IF(BV117&lt;=2.75,"B",IF(BV117&lt;=3.5,"C",IF(BV117&lt;=4.25,"D",IF(BV117&lt;=5,"E","F"))))))</f>
        <v/>
      </c>
      <c r="BW118" s="313"/>
      <c r="BX118" s="313"/>
      <c r="BY118" s="290"/>
      <c r="BZ118" s="289" t="str">
        <f t="shared" ref="BZ118" si="346">IF(BZ117="","",IF(BZ117&lt;=2,"A",IF(BZ117&lt;=2.75,"B",IF(BZ117&lt;=3.5,"C",IF(BZ117&lt;=4.25,"D",IF(BZ117&lt;=5,"E","F"))))))</f>
        <v/>
      </c>
      <c r="CA118" s="313"/>
      <c r="CB118" s="313"/>
      <c r="CC118" s="290"/>
      <c r="CD118" s="289" t="str">
        <f t="shared" ref="CD118" si="347">IF(CD117="","",IF(CD117&lt;=2,"A",IF(CD117&lt;=2.75,"B",IF(CD117&lt;=3.5,"C",IF(CD117&lt;=4.25,"D",IF(CD117&lt;=5,"E","F"))))))</f>
        <v/>
      </c>
      <c r="CE118" s="313"/>
      <c r="CF118" s="313"/>
      <c r="CG118" s="290"/>
      <c r="CH118" s="289" t="str">
        <f t="shared" ref="CH118" si="348">IF(CH117="","",IF(CH117&lt;=2,"A",IF(CH117&lt;=2.75,"B",IF(CH117&lt;=3.5,"C",IF(CH117&lt;=4.25,"D",IF(CH117&lt;=5,"E","F"))))))</f>
        <v/>
      </c>
      <c r="CI118" s="313"/>
      <c r="CJ118" s="313"/>
      <c r="CK118" s="290"/>
      <c r="CL118" s="69" t="str">
        <f>IF(CL117&lt;=2,"A",IF(CL117&lt;=2.75,"B",IF(CL117&lt;=3.5,"C",IF(CL117&lt;=4.25,"D",IF(CL117&lt;=5,"E","F")))))</f>
        <v>C</v>
      </c>
      <c r="CM118" s="28"/>
    </row>
    <row r="119" spans="2:91" ht="14.25" thickBot="1" x14ac:dyDescent="0.3">
      <c r="B119" s="63"/>
      <c r="C119" s="30"/>
      <c r="D119" s="64"/>
      <c r="E119" s="135"/>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1"/>
    </row>
    <row r="121" spans="2:91" ht="25.5" x14ac:dyDescent="0.25">
      <c r="C121" s="21" t="s">
        <v>207</v>
      </c>
      <c r="D121" s="142" t="s">
        <v>237</v>
      </c>
    </row>
    <row r="122" spans="2:91" ht="15.75" x14ac:dyDescent="0.25">
      <c r="C122" s="21" t="s">
        <v>208</v>
      </c>
      <c r="D122" s="20" t="s">
        <v>212</v>
      </c>
    </row>
    <row r="123" spans="2:91" ht="15.75" x14ac:dyDescent="0.25">
      <c r="C123" s="21" t="s">
        <v>209</v>
      </c>
      <c r="D123" s="20" t="s">
        <v>213</v>
      </c>
    </row>
  </sheetData>
  <mergeCells count="218">
    <mergeCell ref="C112:D112"/>
    <mergeCell ref="F112:I112"/>
    <mergeCell ref="J114:M114"/>
    <mergeCell ref="F114:I114"/>
    <mergeCell ref="F115:I115"/>
    <mergeCell ref="F117:I117"/>
    <mergeCell ref="F118:I118"/>
    <mergeCell ref="C3:D4"/>
    <mergeCell ref="F3:I3"/>
    <mergeCell ref="C7:D7"/>
    <mergeCell ref="F7:I7"/>
    <mergeCell ref="C46:D46"/>
    <mergeCell ref="F46:I46"/>
    <mergeCell ref="F68:I68"/>
    <mergeCell ref="F110:I110"/>
    <mergeCell ref="J115:M115"/>
    <mergeCell ref="J117:M117"/>
    <mergeCell ref="J118:M118"/>
    <mergeCell ref="E3:E4"/>
    <mergeCell ref="C74:D74"/>
    <mergeCell ref="C86:D86"/>
    <mergeCell ref="N3:Q3"/>
    <mergeCell ref="N7:Q7"/>
    <mergeCell ref="N46:Q46"/>
    <mergeCell ref="N68:Q68"/>
    <mergeCell ref="N110:Q110"/>
    <mergeCell ref="N112:Q112"/>
    <mergeCell ref="N114:Q114"/>
    <mergeCell ref="N115:Q115"/>
    <mergeCell ref="N117:Q117"/>
    <mergeCell ref="N118:Q118"/>
    <mergeCell ref="J3:M3"/>
    <mergeCell ref="J7:M7"/>
    <mergeCell ref="J46:M46"/>
    <mergeCell ref="J68:M68"/>
    <mergeCell ref="J110:M110"/>
    <mergeCell ref="J112:M112"/>
    <mergeCell ref="R118:U118"/>
    <mergeCell ref="V3:Y3"/>
    <mergeCell ref="V7:Y7"/>
    <mergeCell ref="V46:Y46"/>
    <mergeCell ref="V68:Y68"/>
    <mergeCell ref="V110:Y110"/>
    <mergeCell ref="V112:Y112"/>
    <mergeCell ref="V114:Y114"/>
    <mergeCell ref="V115:Y115"/>
    <mergeCell ref="V117:Y117"/>
    <mergeCell ref="V118:Y118"/>
    <mergeCell ref="R3:U3"/>
    <mergeCell ref="R7:U7"/>
    <mergeCell ref="R46:U46"/>
    <mergeCell ref="R68:U68"/>
    <mergeCell ref="R110:U110"/>
    <mergeCell ref="R112:U112"/>
    <mergeCell ref="R114:U114"/>
    <mergeCell ref="R115:U115"/>
    <mergeCell ref="R117:U117"/>
    <mergeCell ref="Z118:AC118"/>
    <mergeCell ref="AD3:AG3"/>
    <mergeCell ref="AD7:AG7"/>
    <mergeCell ref="AD46:AG46"/>
    <mergeCell ref="AD68:AG68"/>
    <mergeCell ref="AD110:AG110"/>
    <mergeCell ref="AD112:AG112"/>
    <mergeCell ref="AD114:AG114"/>
    <mergeCell ref="AD115:AG115"/>
    <mergeCell ref="AD117:AG117"/>
    <mergeCell ref="AD118:AG118"/>
    <mergeCell ref="Z3:AC3"/>
    <mergeCell ref="Z7:AC7"/>
    <mergeCell ref="Z46:AC46"/>
    <mergeCell ref="Z68:AC68"/>
    <mergeCell ref="Z110:AC110"/>
    <mergeCell ref="Z112:AC112"/>
    <mergeCell ref="Z114:AC114"/>
    <mergeCell ref="Z115:AC115"/>
    <mergeCell ref="Z117:AC117"/>
    <mergeCell ref="AH118:AK118"/>
    <mergeCell ref="AL3:AO3"/>
    <mergeCell ref="AL7:AO7"/>
    <mergeCell ref="AL46:AO46"/>
    <mergeCell ref="AL68:AO68"/>
    <mergeCell ref="AL110:AO110"/>
    <mergeCell ref="AL112:AO112"/>
    <mergeCell ref="AL114:AO114"/>
    <mergeCell ref="AL115:AO115"/>
    <mergeCell ref="AL117:AO117"/>
    <mergeCell ref="AL118:AO118"/>
    <mergeCell ref="AH3:AK3"/>
    <mergeCell ref="AH7:AK7"/>
    <mergeCell ref="AH46:AK46"/>
    <mergeCell ref="AH68:AK68"/>
    <mergeCell ref="AH110:AK110"/>
    <mergeCell ref="AH112:AK112"/>
    <mergeCell ref="AH114:AK114"/>
    <mergeCell ref="AH115:AK115"/>
    <mergeCell ref="AH117:AK117"/>
    <mergeCell ref="AP118:AS118"/>
    <mergeCell ref="AT3:AW3"/>
    <mergeCell ref="AT7:AW7"/>
    <mergeCell ref="AT46:AW46"/>
    <mergeCell ref="AT68:AW68"/>
    <mergeCell ref="AT110:AW110"/>
    <mergeCell ref="AT112:AW112"/>
    <mergeCell ref="AT114:AW114"/>
    <mergeCell ref="AT115:AW115"/>
    <mergeCell ref="AT117:AW117"/>
    <mergeCell ref="AT118:AW118"/>
    <mergeCell ref="AP3:AS3"/>
    <mergeCell ref="AP7:AS7"/>
    <mergeCell ref="AP46:AS46"/>
    <mergeCell ref="AP68:AS68"/>
    <mergeCell ref="AP110:AS110"/>
    <mergeCell ref="AP112:AS112"/>
    <mergeCell ref="AP114:AS114"/>
    <mergeCell ref="AP115:AS115"/>
    <mergeCell ref="AP117:AS117"/>
    <mergeCell ref="AX118:BA118"/>
    <mergeCell ref="BB3:BE3"/>
    <mergeCell ref="BB7:BE7"/>
    <mergeCell ref="BB46:BE46"/>
    <mergeCell ref="BB68:BE68"/>
    <mergeCell ref="BB110:BE110"/>
    <mergeCell ref="BB112:BE112"/>
    <mergeCell ref="BB114:BE114"/>
    <mergeCell ref="BB115:BE115"/>
    <mergeCell ref="BB117:BE117"/>
    <mergeCell ref="BB118:BE118"/>
    <mergeCell ref="AX3:BA3"/>
    <mergeCell ref="AX7:BA7"/>
    <mergeCell ref="AX46:BA46"/>
    <mergeCell ref="AX68:BA68"/>
    <mergeCell ref="AX110:BA110"/>
    <mergeCell ref="AX112:BA112"/>
    <mergeCell ref="AX114:BA114"/>
    <mergeCell ref="AX115:BA115"/>
    <mergeCell ref="AX117:BA117"/>
    <mergeCell ref="BF118:BI118"/>
    <mergeCell ref="BJ3:BM3"/>
    <mergeCell ref="BJ7:BM7"/>
    <mergeCell ref="BJ46:BM46"/>
    <mergeCell ref="BJ68:BM68"/>
    <mergeCell ref="BJ110:BM110"/>
    <mergeCell ref="BJ112:BM112"/>
    <mergeCell ref="BJ114:BM114"/>
    <mergeCell ref="BJ115:BM115"/>
    <mergeCell ref="BJ117:BM117"/>
    <mergeCell ref="BJ118:BM118"/>
    <mergeCell ref="BF3:BI3"/>
    <mergeCell ref="BF7:BI7"/>
    <mergeCell ref="BF46:BI46"/>
    <mergeCell ref="BF68:BI68"/>
    <mergeCell ref="BF110:BI110"/>
    <mergeCell ref="BF112:BI112"/>
    <mergeCell ref="BF114:BI114"/>
    <mergeCell ref="BF115:BI115"/>
    <mergeCell ref="BF117:BI117"/>
    <mergeCell ref="BN118:BQ118"/>
    <mergeCell ref="BR3:BU3"/>
    <mergeCell ref="BR7:BU7"/>
    <mergeCell ref="BR46:BU46"/>
    <mergeCell ref="BR68:BU68"/>
    <mergeCell ref="BR110:BU110"/>
    <mergeCell ref="BR112:BU112"/>
    <mergeCell ref="BR114:BU114"/>
    <mergeCell ref="BR115:BU115"/>
    <mergeCell ref="BR117:BU117"/>
    <mergeCell ref="BR118:BU118"/>
    <mergeCell ref="BN3:BQ3"/>
    <mergeCell ref="BN7:BQ7"/>
    <mergeCell ref="BN46:BQ46"/>
    <mergeCell ref="BN68:BQ68"/>
    <mergeCell ref="BN110:BQ110"/>
    <mergeCell ref="BN112:BQ112"/>
    <mergeCell ref="BN114:BQ114"/>
    <mergeCell ref="BN115:BQ115"/>
    <mergeCell ref="BN117:BQ117"/>
    <mergeCell ref="BV118:BY118"/>
    <mergeCell ref="BZ3:CC3"/>
    <mergeCell ref="BZ7:CC7"/>
    <mergeCell ref="BZ46:CC46"/>
    <mergeCell ref="BZ68:CC68"/>
    <mergeCell ref="BZ110:CC110"/>
    <mergeCell ref="BZ112:CC112"/>
    <mergeCell ref="BZ114:CC114"/>
    <mergeCell ref="BZ115:CC115"/>
    <mergeCell ref="BZ117:CC117"/>
    <mergeCell ref="BZ118:CC118"/>
    <mergeCell ref="BV3:BY3"/>
    <mergeCell ref="BV7:BY7"/>
    <mergeCell ref="BV46:BY46"/>
    <mergeCell ref="BV68:BY68"/>
    <mergeCell ref="BV110:BY110"/>
    <mergeCell ref="BV112:BY112"/>
    <mergeCell ref="BV114:BY114"/>
    <mergeCell ref="BV115:BY115"/>
    <mergeCell ref="BV117:BY117"/>
    <mergeCell ref="CH118:CK118"/>
    <mergeCell ref="CL3:CL5"/>
    <mergeCell ref="CD114:CG114"/>
    <mergeCell ref="CD115:CG115"/>
    <mergeCell ref="CD117:CG117"/>
    <mergeCell ref="CD118:CG118"/>
    <mergeCell ref="CH3:CK3"/>
    <mergeCell ref="CH7:CK7"/>
    <mergeCell ref="CH46:CK46"/>
    <mergeCell ref="CH68:CK68"/>
    <mergeCell ref="CH110:CK110"/>
    <mergeCell ref="CH112:CK112"/>
    <mergeCell ref="CD3:CG3"/>
    <mergeCell ref="CD7:CG7"/>
    <mergeCell ref="CD46:CG46"/>
    <mergeCell ref="CD68:CG68"/>
    <mergeCell ref="CD110:CG110"/>
    <mergeCell ref="CD112:CG112"/>
    <mergeCell ref="CH114:CK114"/>
    <mergeCell ref="CH115:CK115"/>
    <mergeCell ref="CH117:CK117"/>
  </mergeCells>
  <dataValidations count="4">
    <dataValidation type="list" allowBlank="1" showInputMessage="1" showErrorMessage="1" sqref="E43:CK44"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2" xr:uid="{AB79CDA3-FCBB-483B-8A3D-CE3BB4F5D7D4}">
      <formula1>"Signalized, Stop, Free"</formula1>
    </dataValidation>
    <dataValidation type="list" allowBlank="1" showInputMessage="1" showErrorMessage="1" sqref="F42:CK42"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318" t="s">
        <v>248</v>
      </c>
      <c r="C2" s="319"/>
      <c r="D2" s="318" t="s">
        <v>249</v>
      </c>
      <c r="E2" s="319"/>
    </row>
    <row r="3" spans="2:5" x14ac:dyDescent="0.25">
      <c r="B3" s="4"/>
      <c r="C3" s="8" t="s">
        <v>115</v>
      </c>
      <c r="D3" s="4"/>
      <c r="E3" s="8" t="s">
        <v>115</v>
      </c>
    </row>
    <row r="4" spans="2:5" x14ac:dyDescent="0.25">
      <c r="B4" s="151"/>
      <c r="C4" s="152" t="s">
        <v>88</v>
      </c>
      <c r="D4" s="153" t="s">
        <v>146</v>
      </c>
      <c r="E4" s="152" t="s">
        <v>147</v>
      </c>
    </row>
    <row r="5" spans="2:5" x14ac:dyDescent="0.25">
      <c r="B5" s="153" t="s">
        <v>122</v>
      </c>
      <c r="C5" s="152" t="s">
        <v>17</v>
      </c>
      <c r="D5" s="153" t="s">
        <v>117</v>
      </c>
      <c r="E5" s="152" t="s">
        <v>174</v>
      </c>
    </row>
    <row r="6" spans="2:5" x14ac:dyDescent="0.25">
      <c r="B6" s="153" t="s">
        <v>108</v>
      </c>
      <c r="C6" s="152" t="s">
        <v>90</v>
      </c>
      <c r="D6" s="153" t="s">
        <v>148</v>
      </c>
      <c r="E6" s="152" t="s">
        <v>149</v>
      </c>
    </row>
    <row r="7" spans="2:5" x14ac:dyDescent="0.25">
      <c r="B7" s="153" t="s">
        <v>31</v>
      </c>
      <c r="C7" s="152" t="s">
        <v>18</v>
      </c>
      <c r="D7" s="153" t="s">
        <v>153</v>
      </c>
      <c r="E7" s="152" t="s">
        <v>250</v>
      </c>
    </row>
    <row r="8" spans="2:5" x14ac:dyDescent="0.25">
      <c r="B8" s="153" t="s">
        <v>117</v>
      </c>
      <c r="C8" s="152" t="s">
        <v>118</v>
      </c>
      <c r="D8" s="153" t="s">
        <v>152</v>
      </c>
      <c r="E8" s="152" t="s">
        <v>157</v>
      </c>
    </row>
    <row r="9" spans="2:5" x14ac:dyDescent="0.25">
      <c r="B9" s="153" t="s">
        <v>25</v>
      </c>
      <c r="C9" s="152" t="s">
        <v>251</v>
      </c>
      <c r="D9" s="153" t="s">
        <v>170</v>
      </c>
      <c r="E9" s="152" t="s">
        <v>158</v>
      </c>
    </row>
    <row r="10" spans="2:5" x14ac:dyDescent="0.25">
      <c r="B10" s="153" t="s">
        <v>26</v>
      </c>
      <c r="C10" s="152" t="s">
        <v>11</v>
      </c>
      <c r="D10" s="153" t="s">
        <v>252</v>
      </c>
      <c r="E10" s="152" t="s">
        <v>154</v>
      </c>
    </row>
    <row r="11" spans="2:5" x14ac:dyDescent="0.25">
      <c r="B11" s="153" t="s">
        <v>28</v>
      </c>
      <c r="C11" s="152" t="s">
        <v>15</v>
      </c>
      <c r="D11" s="153" t="s">
        <v>155</v>
      </c>
      <c r="E11" s="152" t="s">
        <v>156</v>
      </c>
    </row>
    <row r="12" spans="2:5" x14ac:dyDescent="0.25">
      <c r="B12" s="153" t="s">
        <v>29</v>
      </c>
      <c r="C12" s="152" t="s">
        <v>22</v>
      </c>
      <c r="D12" s="153" t="s">
        <v>159</v>
      </c>
      <c r="E12" s="152" t="s">
        <v>160</v>
      </c>
    </row>
    <row r="13" spans="2:5" x14ac:dyDescent="0.25">
      <c r="B13" s="153" t="s">
        <v>30</v>
      </c>
      <c r="C13" s="152" t="s">
        <v>16</v>
      </c>
      <c r="D13" s="153" t="s">
        <v>161</v>
      </c>
      <c r="E13" s="152" t="s">
        <v>162</v>
      </c>
    </row>
    <row r="14" spans="2:5" x14ac:dyDescent="0.25">
      <c r="B14" s="153" t="s">
        <v>27</v>
      </c>
      <c r="C14" s="152" t="s">
        <v>14</v>
      </c>
      <c r="D14" s="153" t="s">
        <v>163</v>
      </c>
      <c r="E14" s="152" t="s">
        <v>165</v>
      </c>
    </row>
    <row r="15" spans="2:5" x14ac:dyDescent="0.25">
      <c r="B15" s="153" t="s">
        <v>121</v>
      </c>
      <c r="C15" s="152" t="s">
        <v>23</v>
      </c>
      <c r="D15" s="153" t="s">
        <v>171</v>
      </c>
      <c r="E15" s="152" t="s">
        <v>172</v>
      </c>
    </row>
    <row r="16" spans="2:5" x14ac:dyDescent="0.25">
      <c r="B16" s="153" t="s">
        <v>116</v>
      </c>
      <c r="C16" s="152" t="s">
        <v>91</v>
      </c>
      <c r="D16" s="153" t="s">
        <v>28</v>
      </c>
      <c r="E16" s="152" t="s">
        <v>15</v>
      </c>
    </row>
    <row r="17" spans="2:5" x14ac:dyDescent="0.25">
      <c r="B17" s="153"/>
      <c r="C17" s="152" t="s">
        <v>253</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173</v>
      </c>
      <c r="D20" s="153" t="s">
        <v>29</v>
      </c>
      <c r="E20" s="152" t="s">
        <v>22</v>
      </c>
    </row>
    <row r="21" spans="2:5" x14ac:dyDescent="0.25">
      <c r="B21" s="4"/>
      <c r="C21" s="8" t="s">
        <v>21</v>
      </c>
      <c r="D21" s="154"/>
      <c r="E21" s="155" t="s">
        <v>173</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254</v>
      </c>
      <c r="C2" s="157" t="s">
        <v>255</v>
      </c>
      <c r="D2" s="157" t="s">
        <v>256</v>
      </c>
    </row>
    <row r="3" spans="2:4" ht="25.5" x14ac:dyDescent="0.25">
      <c r="B3" s="159" t="s">
        <v>257</v>
      </c>
      <c r="C3" s="160" t="s">
        <v>258</v>
      </c>
      <c r="D3" s="161" t="s">
        <v>259</v>
      </c>
    </row>
    <row r="4" spans="2:4" ht="38.25" x14ac:dyDescent="0.25">
      <c r="B4" s="159" t="s">
        <v>260</v>
      </c>
      <c r="C4" s="160" t="s">
        <v>261</v>
      </c>
      <c r="D4" s="161" t="s">
        <v>259</v>
      </c>
    </row>
    <row r="5" spans="2:4" ht="38.25" x14ac:dyDescent="0.25">
      <c r="B5" s="159" t="s">
        <v>262</v>
      </c>
      <c r="C5" s="160" t="s">
        <v>263</v>
      </c>
      <c r="D5" s="160" t="s">
        <v>264</v>
      </c>
    </row>
    <row r="6" spans="2:4" ht="51" x14ac:dyDescent="0.25">
      <c r="B6" s="159" t="s">
        <v>265</v>
      </c>
      <c r="C6" s="160" t="s">
        <v>266</v>
      </c>
      <c r="D6" s="160" t="s">
        <v>267</v>
      </c>
    </row>
    <row r="7" spans="2:4" ht="38.1" customHeight="1" x14ac:dyDescent="0.25">
      <c r="B7" s="159" t="s">
        <v>268</v>
      </c>
      <c r="C7" s="160" t="s">
        <v>269</v>
      </c>
      <c r="D7" s="160" t="s">
        <v>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 Sensitivity</vt:lpstr>
      <vt:lpstr>Sheet1</vt:lpstr>
      <vt:lpstr>Intersections</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2020-04-04T01:57:17Z</dcterms:modified>
</cp:coreProperties>
</file>