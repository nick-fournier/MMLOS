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excel\"/>
    </mc:Choice>
  </mc:AlternateContent>
  <xr:revisionPtr revIDLastSave="0" documentId="13_ncr:1_{3C3BE39B-429D-4B42-955A-B5C6438D1B68}" xr6:coauthVersionLast="45" xr6:coauthVersionMax="45" xr10:uidLastSave="{00000000-0000-0000-0000-000000000000}"/>
  <bookViews>
    <workbookView xWindow="-120" yWindow="-120" windowWidth="29040" windowHeight="15840" tabRatio="769" activeTab="3" xr2:uid="{00000000-000D-0000-FFFF-FFFF00000000}"/>
  </bookViews>
  <sheets>
    <sheet name="Report" sheetId="9" r:id="rId1"/>
    <sheet name="Segments" sheetId="11" r:id="rId2"/>
    <sheet name="Links" sheetId="2" r:id="rId3"/>
    <sheet name="Intersections" sheetId="3" r:id="rId4"/>
    <sheet name="Variables" sheetId="4" r:id="rId5"/>
    <sheet name="Pavement Condition Rating" sheetId="5" r:id="rId6"/>
    <sheet name="Sheet4" sheetId="12" r:id="rId7"/>
    <sheet name="Sheet5" sheetId="13" r:id="rId8"/>
  </sheets>
  <functionGroups builtInGroupCount="19">
    <functionGroup name=""/>
  </functionGroups>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D64" i="3" l="1"/>
  <c r="AD65" i="3" s="1"/>
  <c r="AD66" i="3" s="1"/>
  <c r="AK26" i="3" l="1"/>
  <c r="AJ26" i="3"/>
  <c r="AI26" i="3"/>
  <c r="AH26" i="3"/>
  <c r="AC26" i="3"/>
  <c r="AC29" i="3" s="1"/>
  <c r="AB26" i="3"/>
  <c r="AB29" i="3" s="1"/>
  <c r="Z26" i="3"/>
  <c r="V29" i="3"/>
  <c r="Y26" i="3"/>
  <c r="Y29" i="3" s="1"/>
  <c r="X26" i="3"/>
  <c r="X29" i="3" s="1"/>
  <c r="V26" i="3"/>
  <c r="Q26" i="3"/>
  <c r="P26" i="3"/>
  <c r="O26" i="3"/>
  <c r="N26" i="3"/>
  <c r="N29" i="3" s="1"/>
  <c r="F29" i="3"/>
  <c r="G26" i="3"/>
  <c r="F26" i="3"/>
  <c r="I28" i="3"/>
  <c r="H28" i="3"/>
  <c r="G28" i="3"/>
  <c r="Y16" i="3"/>
  <c r="V13" i="3"/>
  <c r="AK33" i="3"/>
  <c r="AJ33" i="3"/>
  <c r="AK32" i="3"/>
  <c r="AJ32" i="3"/>
  <c r="AI32" i="3"/>
  <c r="AH32" i="3"/>
  <c r="AK16" i="3"/>
  <c r="AI17" i="3" s="1"/>
  <c r="AJ16" i="3"/>
  <c r="AH17" i="3" s="1"/>
  <c r="AI16" i="3"/>
  <c r="AJ17" i="3" s="1"/>
  <c r="AH16" i="3"/>
  <c r="AK17" i="3" s="1"/>
  <c r="AK10" i="3"/>
  <c r="AJ10" i="3"/>
  <c r="AI10" i="3"/>
  <c r="AH10" i="3"/>
  <c r="M32" i="3"/>
  <c r="U32" i="3"/>
  <c r="Y32" i="3"/>
  <c r="AC32" i="3"/>
  <c r="AG32" i="3"/>
  <c r="AD32" i="3"/>
  <c r="AG37" i="3"/>
  <c r="AF37" i="3"/>
  <c r="AD37" i="3"/>
  <c r="AF32" i="3"/>
  <c r="AG16" i="3"/>
  <c r="AF16" i="3"/>
  <c r="AD17" i="3" s="1"/>
  <c r="AD16" i="3"/>
  <c r="AG17" i="3" s="1"/>
  <c r="AG10" i="3"/>
  <c r="AF10" i="3"/>
  <c r="AD10" i="3"/>
  <c r="AC37" i="3"/>
  <c r="AB37" i="3"/>
  <c r="Z37" i="3"/>
  <c r="AB32" i="3"/>
  <c r="Z32" i="3"/>
  <c r="Z29" i="3"/>
  <c r="AC16" i="3"/>
  <c r="AB16" i="3"/>
  <c r="Z17" i="3" s="1"/>
  <c r="Z16" i="3"/>
  <c r="AC17" i="3" s="1"/>
  <c r="AC10" i="3"/>
  <c r="AB10" i="3"/>
  <c r="Z10" i="3"/>
  <c r="X10" i="3"/>
  <c r="V10" i="3"/>
  <c r="Y37" i="3"/>
  <c r="X37" i="3"/>
  <c r="V37" i="3"/>
  <c r="X32" i="3"/>
  <c r="V32" i="3"/>
  <c r="X16" i="3"/>
  <c r="V17" i="3" s="1"/>
  <c r="V16" i="3"/>
  <c r="X17" i="3" s="1"/>
  <c r="Y10" i="3"/>
  <c r="U37" i="3"/>
  <c r="T37" i="3"/>
  <c r="R37" i="3"/>
  <c r="U36" i="3"/>
  <c r="T36" i="3"/>
  <c r="U35" i="3"/>
  <c r="T35" i="3"/>
  <c r="U34" i="3"/>
  <c r="T34" i="3"/>
  <c r="T32" i="3"/>
  <c r="R32" i="3"/>
  <c r="U16" i="3"/>
  <c r="T16" i="3"/>
  <c r="R17" i="3" s="1"/>
  <c r="R16" i="3"/>
  <c r="U17" i="3" s="1"/>
  <c r="U10" i="3"/>
  <c r="T10" i="3"/>
  <c r="R10" i="3"/>
  <c r="Q35" i="3"/>
  <c r="Q34" i="3"/>
  <c r="Q33" i="3"/>
  <c r="P35" i="3"/>
  <c r="P34" i="3"/>
  <c r="P33" i="3"/>
  <c r="O35" i="3"/>
  <c r="N35" i="3"/>
  <c r="O34" i="3"/>
  <c r="N34" i="3"/>
  <c r="Q29" i="3"/>
  <c r="P29" i="3"/>
  <c r="O29" i="3"/>
  <c r="Q32" i="3"/>
  <c r="P32" i="3"/>
  <c r="O32" i="3"/>
  <c r="N32" i="3"/>
  <c r="Q16" i="3"/>
  <c r="O17" i="3" s="1"/>
  <c r="P16" i="3"/>
  <c r="N17" i="3" s="1"/>
  <c r="O16" i="3"/>
  <c r="P17" i="3" s="1"/>
  <c r="N16" i="3"/>
  <c r="Q17" i="3" s="1"/>
  <c r="Q10" i="3"/>
  <c r="P10" i="3"/>
  <c r="O10" i="3"/>
  <c r="N10" i="3"/>
  <c r="J37" i="3"/>
  <c r="L32" i="3"/>
  <c r="K32" i="3"/>
  <c r="J32" i="3"/>
  <c r="I29" i="3"/>
  <c r="H29" i="3"/>
  <c r="G29" i="3"/>
  <c r="M16" i="3"/>
  <c r="L16" i="3"/>
  <c r="J17" i="3" s="1"/>
  <c r="J16" i="3"/>
  <c r="M17" i="3" s="1"/>
  <c r="L10" i="3"/>
  <c r="J10" i="3"/>
  <c r="M10" i="3"/>
  <c r="I10" i="3"/>
  <c r="H10" i="3"/>
  <c r="G10" i="3"/>
  <c r="F10" i="3"/>
  <c r="I37" i="3"/>
  <c r="H37" i="3"/>
  <c r="I36" i="3"/>
  <c r="H36" i="3"/>
  <c r="I35" i="3"/>
  <c r="H35" i="3"/>
  <c r="I34" i="3"/>
  <c r="H34" i="3"/>
  <c r="I33" i="3"/>
  <c r="H33" i="3"/>
  <c r="I32" i="3"/>
  <c r="H32" i="3"/>
  <c r="G32" i="3"/>
  <c r="F32" i="3"/>
  <c r="H16" i="3"/>
  <c r="L17" i="3" l="1"/>
  <c r="Y17" i="3"/>
  <c r="AF17" i="3"/>
  <c r="AB17" i="3"/>
  <c r="T17" i="3"/>
  <c r="I8" i="11"/>
  <c r="G11" i="11"/>
  <c r="H11" i="11"/>
  <c r="G12" i="11"/>
  <c r="H12" i="11"/>
  <c r="G13" i="11"/>
  <c r="H13" i="11"/>
  <c r="E8" i="11"/>
  <c r="G16" i="3"/>
  <c r="F16" i="3"/>
  <c r="F17" i="3"/>
  <c r="Q9" i="13" l="1"/>
  <c r="Q10" i="13" s="1"/>
  <c r="Q11" i="13" s="1"/>
  <c r="Q12" i="13" s="1"/>
  <c r="Q13" i="13" s="1"/>
  <c r="Q14" i="13" s="1"/>
  <c r="R14" i="13" s="1"/>
  <c r="S14" i="13" s="1"/>
  <c r="Q8" i="13"/>
  <c r="R8" i="13" s="1"/>
  <c r="S8" i="13" s="1"/>
  <c r="G7" i="13"/>
  <c r="H7" i="13" s="1"/>
  <c r="AQ53" i="11"/>
  <c r="AO53" i="11"/>
  <c r="AM53" i="11"/>
  <c r="AK53" i="11"/>
  <c r="AI53" i="11"/>
  <c r="AG53" i="11"/>
  <c r="AE53" i="11"/>
  <c r="AC53" i="11"/>
  <c r="AA53" i="11"/>
  <c r="Y53" i="11"/>
  <c r="W53" i="11"/>
  <c r="U53" i="11"/>
  <c r="S53" i="11"/>
  <c r="Q53" i="11"/>
  <c r="O53" i="11"/>
  <c r="M53" i="11"/>
  <c r="K53" i="11"/>
  <c r="I53" i="11"/>
  <c r="G53" i="11"/>
  <c r="E53" i="11"/>
  <c r="CK64" i="3"/>
  <c r="CK65" i="3" s="1"/>
  <c r="CJ64" i="3"/>
  <c r="CJ65" i="3" s="1"/>
  <c r="CI64" i="3"/>
  <c r="CH64" i="3"/>
  <c r="CH65" i="3" s="1"/>
  <c r="CG64" i="3"/>
  <c r="CG65" i="3" s="1"/>
  <c r="CF64" i="3"/>
  <c r="CF65" i="3" s="1"/>
  <c r="CE64" i="3"/>
  <c r="CD64" i="3"/>
  <c r="CD65" i="3" s="1"/>
  <c r="CC64" i="3"/>
  <c r="CB64" i="3"/>
  <c r="CA64" i="3"/>
  <c r="BZ64" i="3"/>
  <c r="BY64" i="3"/>
  <c r="BY65" i="3" s="1"/>
  <c r="BX64" i="3"/>
  <c r="BX65" i="3" s="1"/>
  <c r="BW64" i="3"/>
  <c r="BV64" i="3"/>
  <c r="BU64" i="3"/>
  <c r="BU65" i="3" s="1"/>
  <c r="BT64" i="3"/>
  <c r="BT65" i="3" s="1"/>
  <c r="BS64" i="3"/>
  <c r="BR64" i="3"/>
  <c r="BR65" i="3" s="1"/>
  <c r="BQ64" i="3"/>
  <c r="BP64" i="3"/>
  <c r="BP65" i="3" s="1"/>
  <c r="BO64" i="3"/>
  <c r="BN64" i="3"/>
  <c r="BN65" i="3" s="1"/>
  <c r="BM64" i="3"/>
  <c r="BM65" i="3" s="1"/>
  <c r="BL64" i="3"/>
  <c r="BL65" i="3" s="1"/>
  <c r="BK64" i="3"/>
  <c r="BK65" i="3" s="1"/>
  <c r="BJ64" i="3"/>
  <c r="BJ65" i="3" s="1"/>
  <c r="BI64" i="3"/>
  <c r="BI65" i="3" s="1"/>
  <c r="BH64" i="3"/>
  <c r="BH65" i="3" s="1"/>
  <c r="BG64" i="3"/>
  <c r="BF64" i="3"/>
  <c r="BF65" i="3" s="1"/>
  <c r="BE64" i="3"/>
  <c r="BD64" i="3"/>
  <c r="BD65" i="3" s="1"/>
  <c r="BC64" i="3"/>
  <c r="BC65" i="3" s="1"/>
  <c r="BB64" i="3"/>
  <c r="BB65" i="3" s="1"/>
  <c r="BA64" i="3"/>
  <c r="AZ64" i="3"/>
  <c r="AY64" i="3"/>
  <c r="AX64" i="3"/>
  <c r="AX65" i="3" s="1"/>
  <c r="AW64" i="3"/>
  <c r="AW65" i="3" s="1"/>
  <c r="AV64" i="3"/>
  <c r="AV65" i="3" s="1"/>
  <c r="AU64" i="3"/>
  <c r="AU65" i="3" s="1"/>
  <c r="AT64" i="3"/>
  <c r="AS64" i="3"/>
  <c r="AS65" i="3" s="1"/>
  <c r="AR64" i="3"/>
  <c r="AR65" i="3" s="1"/>
  <c r="AQ64" i="3"/>
  <c r="AP64" i="3"/>
  <c r="AP65" i="3" s="1"/>
  <c r="AO64" i="3"/>
  <c r="AO65" i="3" s="1"/>
  <c r="AN64" i="3"/>
  <c r="AN65" i="3" s="1"/>
  <c r="AM64" i="3"/>
  <c r="AM65" i="3" s="1"/>
  <c r="AL64" i="3"/>
  <c r="AL65" i="3" s="1"/>
  <c r="AE64" i="3"/>
  <c r="AE65" i="3" s="1"/>
  <c r="AA64" i="3"/>
  <c r="AA65" i="3" s="1"/>
  <c r="W64" i="3"/>
  <c r="W65" i="3" s="1"/>
  <c r="S64" i="3"/>
  <c r="S65" i="3" s="1"/>
  <c r="R64" i="3"/>
  <c r="R65" i="3" s="1"/>
  <c r="K64" i="3"/>
  <c r="K65" i="3" s="1"/>
  <c r="J64" i="3"/>
  <c r="CH117" i="3"/>
  <c r="CH118" i="3" s="1"/>
  <c r="CH114" i="3"/>
  <c r="CH115" i="3" s="1"/>
  <c r="CH112" i="3"/>
  <c r="CH110" i="3"/>
  <c r="CK108" i="3"/>
  <c r="CK109" i="3" s="1"/>
  <c r="CJ108" i="3"/>
  <c r="CJ109" i="3" s="1"/>
  <c r="CI108" i="3"/>
  <c r="CI109" i="3" s="1"/>
  <c r="CH108" i="3"/>
  <c r="CH109" i="3" s="1"/>
  <c r="CK107" i="3"/>
  <c r="CJ107" i="3"/>
  <c r="CI107" i="3"/>
  <c r="CH107" i="3"/>
  <c r="CK104" i="3"/>
  <c r="CJ104" i="3"/>
  <c r="CI104" i="3"/>
  <c r="CH104" i="3"/>
  <c r="CK103" i="3"/>
  <c r="CK105" i="3" s="1"/>
  <c r="CK106" i="3" s="1"/>
  <c r="CJ103" i="3"/>
  <c r="CJ105" i="3" s="1"/>
  <c r="CJ106" i="3" s="1"/>
  <c r="CI103" i="3"/>
  <c r="CI105" i="3" s="1"/>
  <c r="CI106" i="3" s="1"/>
  <c r="CH103" i="3"/>
  <c r="CH105" i="3" s="1"/>
  <c r="CH106" i="3" s="1"/>
  <c r="CK102" i="3"/>
  <c r="CJ102" i="3"/>
  <c r="CI102" i="3"/>
  <c r="CH102" i="3"/>
  <c r="CK98" i="3"/>
  <c r="CJ98" i="3"/>
  <c r="CI98" i="3"/>
  <c r="CH98" i="3"/>
  <c r="CK97" i="3"/>
  <c r="CK99" i="3" s="1"/>
  <c r="CJ97" i="3"/>
  <c r="CJ99" i="3" s="1"/>
  <c r="CI97" i="3"/>
  <c r="CI99" i="3" s="1"/>
  <c r="CH97" i="3"/>
  <c r="CH99" i="3" s="1"/>
  <c r="CK88" i="3"/>
  <c r="CJ88" i="3"/>
  <c r="CI88" i="3"/>
  <c r="CH88" i="3"/>
  <c r="CK87" i="3"/>
  <c r="CK90" i="3" s="1"/>
  <c r="CJ87" i="3"/>
  <c r="CJ90" i="3" s="1"/>
  <c r="CI87" i="3"/>
  <c r="CI90" i="3" s="1"/>
  <c r="CH87" i="3"/>
  <c r="CH90" i="3" s="1"/>
  <c r="CK77" i="3"/>
  <c r="CJ77" i="3"/>
  <c r="CI77" i="3"/>
  <c r="CH77" i="3"/>
  <c r="CK76" i="3"/>
  <c r="CJ76" i="3"/>
  <c r="CJ83" i="3" s="1"/>
  <c r="CI76" i="3"/>
  <c r="CH76" i="3"/>
  <c r="CK75" i="3"/>
  <c r="CK79" i="3" s="1"/>
  <c r="CK80" i="3" s="1"/>
  <c r="CK81" i="3" s="1"/>
  <c r="CJ75" i="3"/>
  <c r="CJ78" i="3" s="1"/>
  <c r="CI75" i="3"/>
  <c r="CI79" i="3" s="1"/>
  <c r="CI80" i="3" s="1"/>
  <c r="CI81" i="3" s="1"/>
  <c r="CH75" i="3"/>
  <c r="CH79" i="3" s="1"/>
  <c r="CH80" i="3" s="1"/>
  <c r="CH81" i="3" s="1"/>
  <c r="CK70" i="3"/>
  <c r="CK72" i="3" s="1"/>
  <c r="CK73" i="3" s="1"/>
  <c r="CK100" i="3" s="1"/>
  <c r="CJ70" i="3"/>
  <c r="CJ72" i="3" s="1"/>
  <c r="CJ73" i="3" s="1"/>
  <c r="CJ100" i="3" s="1"/>
  <c r="CI70" i="3"/>
  <c r="CI72" i="3" s="1"/>
  <c r="CI73" i="3" s="1"/>
  <c r="CI100" i="3" s="1"/>
  <c r="CH70" i="3"/>
  <c r="CH72" i="3" s="1"/>
  <c r="CH73" i="3" s="1"/>
  <c r="CH100" i="3" s="1"/>
  <c r="CD117" i="3"/>
  <c r="CD118" i="3" s="1"/>
  <c r="CD114" i="3"/>
  <c r="CD115" i="3" s="1"/>
  <c r="CD112" i="3"/>
  <c r="CD110" i="3"/>
  <c r="CG108" i="3"/>
  <c r="CG109" i="3" s="1"/>
  <c r="CF108" i="3"/>
  <c r="CF109" i="3" s="1"/>
  <c r="CE108" i="3"/>
  <c r="CE109" i="3" s="1"/>
  <c r="CD108" i="3"/>
  <c r="CD109" i="3" s="1"/>
  <c r="CG107" i="3"/>
  <c r="CF107" i="3"/>
  <c r="CE107" i="3"/>
  <c r="CD107" i="3"/>
  <c r="CG104" i="3"/>
  <c r="CF104" i="3"/>
  <c r="CE104" i="3"/>
  <c r="CD104" i="3"/>
  <c r="CG103" i="3"/>
  <c r="CG105" i="3" s="1"/>
  <c r="CG106" i="3" s="1"/>
  <c r="CF103" i="3"/>
  <c r="CF105" i="3" s="1"/>
  <c r="CF106" i="3" s="1"/>
  <c r="CE103" i="3"/>
  <c r="CE105" i="3" s="1"/>
  <c r="CE106" i="3" s="1"/>
  <c r="CD103" i="3"/>
  <c r="CD105" i="3" s="1"/>
  <c r="CD106" i="3" s="1"/>
  <c r="CG102" i="3"/>
  <c r="CF102" i="3"/>
  <c r="CE102" i="3"/>
  <c r="CD102" i="3"/>
  <c r="CG98" i="3"/>
  <c r="CF98" i="3"/>
  <c r="CE98" i="3"/>
  <c r="CD98" i="3"/>
  <c r="CG97" i="3"/>
  <c r="CG99" i="3" s="1"/>
  <c r="CF97" i="3"/>
  <c r="CF99" i="3" s="1"/>
  <c r="CE97" i="3"/>
  <c r="CE99" i="3" s="1"/>
  <c r="CD97" i="3"/>
  <c r="CD99" i="3" s="1"/>
  <c r="CG88" i="3"/>
  <c r="CF88" i="3"/>
  <c r="CE88" i="3"/>
  <c r="CD88" i="3"/>
  <c r="CG87" i="3"/>
  <c r="CG90" i="3" s="1"/>
  <c r="CF87" i="3"/>
  <c r="CF90" i="3" s="1"/>
  <c r="CE87" i="3"/>
  <c r="CE90" i="3" s="1"/>
  <c r="CD87" i="3"/>
  <c r="CD90" i="3" s="1"/>
  <c r="CG77" i="3"/>
  <c r="CF77" i="3"/>
  <c r="CE77" i="3"/>
  <c r="CD77" i="3"/>
  <c r="CG76" i="3"/>
  <c r="CF76" i="3"/>
  <c r="CE76" i="3"/>
  <c r="CD76" i="3"/>
  <c r="CG75" i="3"/>
  <c r="CG79" i="3" s="1"/>
  <c r="CG80" i="3" s="1"/>
  <c r="CG81" i="3" s="1"/>
  <c r="CF75" i="3"/>
  <c r="CF78" i="3" s="1"/>
  <c r="CE75" i="3"/>
  <c r="CE79" i="3" s="1"/>
  <c r="CE80" i="3" s="1"/>
  <c r="CE81" i="3" s="1"/>
  <c r="CD75" i="3"/>
  <c r="CD79" i="3" s="1"/>
  <c r="CD80" i="3" s="1"/>
  <c r="CD81" i="3" s="1"/>
  <c r="CG70" i="3"/>
  <c r="CG72" i="3" s="1"/>
  <c r="CG73" i="3" s="1"/>
  <c r="CG100" i="3" s="1"/>
  <c r="CF70" i="3"/>
  <c r="CF72" i="3" s="1"/>
  <c r="CF73" i="3" s="1"/>
  <c r="CF100" i="3" s="1"/>
  <c r="CE70" i="3"/>
  <c r="CE72" i="3" s="1"/>
  <c r="CE73" i="3" s="1"/>
  <c r="CE100" i="3" s="1"/>
  <c r="CD70" i="3"/>
  <c r="CD72" i="3" s="1"/>
  <c r="CD73" i="3" s="1"/>
  <c r="CD100" i="3" s="1"/>
  <c r="BZ117" i="3"/>
  <c r="BZ118" i="3" s="1"/>
  <c r="BZ114" i="3"/>
  <c r="BZ115" i="3" s="1"/>
  <c r="BZ112" i="3"/>
  <c r="BZ110" i="3"/>
  <c r="CC108" i="3"/>
  <c r="CC109" i="3" s="1"/>
  <c r="CB108" i="3"/>
  <c r="CB109" i="3" s="1"/>
  <c r="CA108" i="3"/>
  <c r="CA109" i="3" s="1"/>
  <c r="BZ108" i="3"/>
  <c r="BZ109" i="3" s="1"/>
  <c r="CC107" i="3"/>
  <c r="CB107" i="3"/>
  <c r="CA107" i="3"/>
  <c r="BZ107" i="3"/>
  <c r="CC104" i="3"/>
  <c r="CB104" i="3"/>
  <c r="CA104" i="3"/>
  <c r="BZ104" i="3"/>
  <c r="CC103" i="3"/>
  <c r="CC105" i="3" s="1"/>
  <c r="CC106" i="3" s="1"/>
  <c r="CB103" i="3"/>
  <c r="CB105" i="3" s="1"/>
  <c r="CB106" i="3" s="1"/>
  <c r="CA103" i="3"/>
  <c r="CA105" i="3" s="1"/>
  <c r="CA106" i="3" s="1"/>
  <c r="BZ103" i="3"/>
  <c r="BZ105" i="3" s="1"/>
  <c r="BZ106" i="3" s="1"/>
  <c r="CC102" i="3"/>
  <c r="CB102" i="3"/>
  <c r="CA102" i="3"/>
  <c r="BZ102" i="3"/>
  <c r="CC98" i="3"/>
  <c r="CB98" i="3"/>
  <c r="CA98" i="3"/>
  <c r="BZ98" i="3"/>
  <c r="CC97" i="3"/>
  <c r="CC99" i="3" s="1"/>
  <c r="CB97" i="3"/>
  <c r="CB99" i="3" s="1"/>
  <c r="CA97" i="3"/>
  <c r="CA99" i="3" s="1"/>
  <c r="BZ97" i="3"/>
  <c r="BZ99" i="3" s="1"/>
  <c r="CC88" i="3"/>
  <c r="CB88" i="3"/>
  <c r="CA88" i="3"/>
  <c r="BZ88" i="3"/>
  <c r="CC87" i="3"/>
  <c r="CC90" i="3" s="1"/>
  <c r="CB87" i="3"/>
  <c r="CA87" i="3"/>
  <c r="CA90" i="3" s="1"/>
  <c r="BZ87" i="3"/>
  <c r="BZ90" i="3" s="1"/>
  <c r="CC77" i="3"/>
  <c r="CB77" i="3"/>
  <c r="CA77" i="3"/>
  <c r="BZ77" i="3"/>
  <c r="CC76" i="3"/>
  <c r="CB76" i="3"/>
  <c r="CA76" i="3"/>
  <c r="BZ76" i="3"/>
  <c r="CC75" i="3"/>
  <c r="CC79" i="3" s="1"/>
  <c r="CC80" i="3" s="1"/>
  <c r="CC81" i="3" s="1"/>
  <c r="CB75" i="3"/>
  <c r="CB79" i="3" s="1"/>
  <c r="CB80" i="3" s="1"/>
  <c r="CB81" i="3" s="1"/>
  <c r="CA75" i="3"/>
  <c r="CA79" i="3" s="1"/>
  <c r="CA80" i="3" s="1"/>
  <c r="CA81" i="3" s="1"/>
  <c r="BZ75" i="3"/>
  <c r="BZ79" i="3" s="1"/>
  <c r="BZ80" i="3" s="1"/>
  <c r="BZ81" i="3" s="1"/>
  <c r="CC70" i="3"/>
  <c r="CC72" i="3" s="1"/>
  <c r="CC73" i="3" s="1"/>
  <c r="CC100" i="3" s="1"/>
  <c r="CB70" i="3"/>
  <c r="CB72" i="3" s="1"/>
  <c r="CB73" i="3" s="1"/>
  <c r="CB100" i="3" s="1"/>
  <c r="CA70" i="3"/>
  <c r="CA72" i="3" s="1"/>
  <c r="CA73" i="3" s="1"/>
  <c r="CA100" i="3" s="1"/>
  <c r="BZ70" i="3"/>
  <c r="BZ72" i="3" s="1"/>
  <c r="BZ73" i="3" s="1"/>
  <c r="BZ100" i="3" s="1"/>
  <c r="BV117" i="3"/>
  <c r="BV118" i="3" s="1"/>
  <c r="BV114" i="3"/>
  <c r="BV115" i="3" s="1"/>
  <c r="BV112" i="3"/>
  <c r="BV110" i="3"/>
  <c r="BY108" i="3"/>
  <c r="BY109" i="3" s="1"/>
  <c r="BX108" i="3"/>
  <c r="BX109" i="3" s="1"/>
  <c r="BW108" i="3"/>
  <c r="BW109" i="3" s="1"/>
  <c r="BV108" i="3"/>
  <c r="BV109" i="3" s="1"/>
  <c r="BY107" i="3"/>
  <c r="BX107" i="3"/>
  <c r="BW107" i="3"/>
  <c r="BV107" i="3"/>
  <c r="BY104" i="3"/>
  <c r="BX104" i="3"/>
  <c r="BW104" i="3"/>
  <c r="BV104" i="3"/>
  <c r="BY103" i="3"/>
  <c r="BY105" i="3" s="1"/>
  <c r="BY106" i="3" s="1"/>
  <c r="BX103" i="3"/>
  <c r="BX105" i="3" s="1"/>
  <c r="BX106" i="3" s="1"/>
  <c r="BW103" i="3"/>
  <c r="BW105" i="3" s="1"/>
  <c r="BW106" i="3" s="1"/>
  <c r="BV103" i="3"/>
  <c r="BV105" i="3" s="1"/>
  <c r="BV106" i="3" s="1"/>
  <c r="BY102" i="3"/>
  <c r="BX102" i="3"/>
  <c r="BW102" i="3"/>
  <c r="BV102" i="3"/>
  <c r="BY98" i="3"/>
  <c r="BX98" i="3"/>
  <c r="BW98" i="3"/>
  <c r="BV98" i="3"/>
  <c r="BY97" i="3"/>
  <c r="BY99" i="3" s="1"/>
  <c r="BX97" i="3"/>
  <c r="BX99" i="3" s="1"/>
  <c r="BW97" i="3"/>
  <c r="BW99" i="3" s="1"/>
  <c r="BV97" i="3"/>
  <c r="BV99" i="3" s="1"/>
  <c r="BY88" i="3"/>
  <c r="BX88" i="3"/>
  <c r="BW88" i="3"/>
  <c r="BV88" i="3"/>
  <c r="BY87" i="3"/>
  <c r="BY90" i="3" s="1"/>
  <c r="BX87" i="3"/>
  <c r="BX90" i="3" s="1"/>
  <c r="BW87" i="3"/>
  <c r="BW90" i="3" s="1"/>
  <c r="BV87" i="3"/>
  <c r="BV90" i="3" s="1"/>
  <c r="BY77" i="3"/>
  <c r="BX77" i="3"/>
  <c r="BW77" i="3"/>
  <c r="BV77" i="3"/>
  <c r="BY76" i="3"/>
  <c r="BX76" i="3"/>
  <c r="BW76" i="3"/>
  <c r="BV76" i="3"/>
  <c r="BY75" i="3"/>
  <c r="BY79" i="3" s="1"/>
  <c r="BY80" i="3" s="1"/>
  <c r="BY81" i="3" s="1"/>
  <c r="BX75" i="3"/>
  <c r="BX78" i="3" s="1"/>
  <c r="BW75" i="3"/>
  <c r="BW79" i="3" s="1"/>
  <c r="BW80" i="3" s="1"/>
  <c r="BW81" i="3" s="1"/>
  <c r="BV75" i="3"/>
  <c r="BV79" i="3" s="1"/>
  <c r="BV80" i="3" s="1"/>
  <c r="BV81" i="3" s="1"/>
  <c r="BY70" i="3"/>
  <c r="BY72" i="3" s="1"/>
  <c r="BY73" i="3" s="1"/>
  <c r="BY100" i="3" s="1"/>
  <c r="BX70" i="3"/>
  <c r="BX72" i="3" s="1"/>
  <c r="BX73" i="3" s="1"/>
  <c r="BX100" i="3" s="1"/>
  <c r="BW70" i="3"/>
  <c r="BW72" i="3" s="1"/>
  <c r="BW73" i="3" s="1"/>
  <c r="BW100" i="3" s="1"/>
  <c r="BV70" i="3"/>
  <c r="BV72" i="3" s="1"/>
  <c r="BV73" i="3" s="1"/>
  <c r="BV100" i="3" s="1"/>
  <c r="BR117" i="3"/>
  <c r="BR118" i="3" s="1"/>
  <c r="BR114" i="3"/>
  <c r="BR115" i="3" s="1"/>
  <c r="BR112" i="3"/>
  <c r="BR110" i="3"/>
  <c r="BU108" i="3"/>
  <c r="BU109" i="3" s="1"/>
  <c r="BT108" i="3"/>
  <c r="BT109" i="3" s="1"/>
  <c r="BS108" i="3"/>
  <c r="BS109" i="3" s="1"/>
  <c r="BR108" i="3"/>
  <c r="BR109" i="3" s="1"/>
  <c r="BU107" i="3"/>
  <c r="BT107" i="3"/>
  <c r="BS107" i="3"/>
  <c r="BR107" i="3"/>
  <c r="BU104" i="3"/>
  <c r="BT104" i="3"/>
  <c r="BS104" i="3"/>
  <c r="BR104" i="3"/>
  <c r="BU103" i="3"/>
  <c r="BU105" i="3" s="1"/>
  <c r="BU106" i="3" s="1"/>
  <c r="BT103" i="3"/>
  <c r="BT105" i="3" s="1"/>
  <c r="BT106" i="3" s="1"/>
  <c r="BS103" i="3"/>
  <c r="BS105" i="3" s="1"/>
  <c r="BS106" i="3" s="1"/>
  <c r="BR103" i="3"/>
  <c r="BR105" i="3" s="1"/>
  <c r="BR106" i="3" s="1"/>
  <c r="BU102" i="3"/>
  <c r="BT102" i="3"/>
  <c r="BS102" i="3"/>
  <c r="BR102" i="3"/>
  <c r="BU98" i="3"/>
  <c r="BT98" i="3"/>
  <c r="BS98" i="3"/>
  <c r="BR98" i="3"/>
  <c r="BU97" i="3"/>
  <c r="BU99" i="3" s="1"/>
  <c r="BT97" i="3"/>
  <c r="BT99" i="3" s="1"/>
  <c r="BS97" i="3"/>
  <c r="BS99" i="3" s="1"/>
  <c r="BR97" i="3"/>
  <c r="BR99" i="3" s="1"/>
  <c r="BU88" i="3"/>
  <c r="BT88" i="3"/>
  <c r="BS88" i="3"/>
  <c r="BR88" i="3"/>
  <c r="BU87" i="3"/>
  <c r="BU90" i="3" s="1"/>
  <c r="BT87" i="3"/>
  <c r="BS87" i="3"/>
  <c r="BS90" i="3" s="1"/>
  <c r="BR87" i="3"/>
  <c r="BR90" i="3" s="1"/>
  <c r="BU77" i="3"/>
  <c r="BT77" i="3"/>
  <c r="BS77" i="3"/>
  <c r="BR77" i="3"/>
  <c r="BU76" i="3"/>
  <c r="BU83" i="3" s="1"/>
  <c r="BT76" i="3"/>
  <c r="BS76" i="3"/>
  <c r="BR76" i="3"/>
  <c r="BU75" i="3"/>
  <c r="BU78" i="3" s="1"/>
  <c r="BT75" i="3"/>
  <c r="BT79" i="3" s="1"/>
  <c r="BT80" i="3" s="1"/>
  <c r="BT81" i="3" s="1"/>
  <c r="BS75" i="3"/>
  <c r="BS79" i="3" s="1"/>
  <c r="BS80" i="3" s="1"/>
  <c r="BS81" i="3" s="1"/>
  <c r="BR75" i="3"/>
  <c r="BR79" i="3" s="1"/>
  <c r="BR80" i="3" s="1"/>
  <c r="BR81" i="3" s="1"/>
  <c r="BU70" i="3"/>
  <c r="BU72" i="3" s="1"/>
  <c r="BU73" i="3" s="1"/>
  <c r="BU100" i="3" s="1"/>
  <c r="BT70" i="3"/>
  <c r="BT72" i="3" s="1"/>
  <c r="BT73" i="3" s="1"/>
  <c r="BT100" i="3" s="1"/>
  <c r="BS70" i="3"/>
  <c r="BS72" i="3" s="1"/>
  <c r="BS73" i="3" s="1"/>
  <c r="BS100" i="3" s="1"/>
  <c r="BR70" i="3"/>
  <c r="BR72" i="3" s="1"/>
  <c r="BR73" i="3" s="1"/>
  <c r="BR100" i="3" s="1"/>
  <c r="BN117" i="3"/>
  <c r="BN118" i="3" s="1"/>
  <c r="BN114" i="3"/>
  <c r="BN115" i="3" s="1"/>
  <c r="BN112" i="3"/>
  <c r="BN110" i="3"/>
  <c r="BQ108" i="3"/>
  <c r="BQ109" i="3" s="1"/>
  <c r="BP108" i="3"/>
  <c r="BP109" i="3" s="1"/>
  <c r="BO108" i="3"/>
  <c r="BO109" i="3" s="1"/>
  <c r="BN108" i="3"/>
  <c r="BN109" i="3" s="1"/>
  <c r="BQ107" i="3"/>
  <c r="BP107" i="3"/>
  <c r="BO107" i="3"/>
  <c r="BN107" i="3"/>
  <c r="BQ104" i="3"/>
  <c r="BP104" i="3"/>
  <c r="BO104" i="3"/>
  <c r="BN104" i="3"/>
  <c r="BQ103" i="3"/>
  <c r="BQ105" i="3" s="1"/>
  <c r="BQ106" i="3" s="1"/>
  <c r="BP103" i="3"/>
  <c r="BP105" i="3" s="1"/>
  <c r="BP106" i="3" s="1"/>
  <c r="BO103" i="3"/>
  <c r="BO105" i="3" s="1"/>
  <c r="BO106" i="3" s="1"/>
  <c r="BN103" i="3"/>
  <c r="BN105" i="3" s="1"/>
  <c r="BN106" i="3" s="1"/>
  <c r="BQ102" i="3"/>
  <c r="BP102" i="3"/>
  <c r="BO102" i="3"/>
  <c r="BN102" i="3"/>
  <c r="BQ98" i="3"/>
  <c r="BP98" i="3"/>
  <c r="BO98" i="3"/>
  <c r="BN98" i="3"/>
  <c r="BQ97" i="3"/>
  <c r="BQ99" i="3" s="1"/>
  <c r="BP97" i="3"/>
  <c r="BO97" i="3"/>
  <c r="BN97" i="3"/>
  <c r="BQ88" i="3"/>
  <c r="BP88" i="3"/>
  <c r="BO88" i="3"/>
  <c r="BN88" i="3"/>
  <c r="BQ87" i="3"/>
  <c r="BQ90" i="3" s="1"/>
  <c r="BP87" i="3"/>
  <c r="BP90" i="3" s="1"/>
  <c r="BO87" i="3"/>
  <c r="BO90" i="3" s="1"/>
  <c r="BN87" i="3"/>
  <c r="BN90" i="3" s="1"/>
  <c r="BQ77" i="3"/>
  <c r="BP77" i="3"/>
  <c r="BO77" i="3"/>
  <c r="BN77" i="3"/>
  <c r="BQ76" i="3"/>
  <c r="BP76" i="3"/>
  <c r="BO76" i="3"/>
  <c r="BN76" i="3"/>
  <c r="BQ75" i="3"/>
  <c r="BQ79" i="3" s="1"/>
  <c r="BQ80" i="3" s="1"/>
  <c r="BQ81" i="3" s="1"/>
  <c r="BP75" i="3"/>
  <c r="BP79" i="3" s="1"/>
  <c r="BP80" i="3" s="1"/>
  <c r="BP81" i="3" s="1"/>
  <c r="BO75" i="3"/>
  <c r="BO79" i="3" s="1"/>
  <c r="BO80" i="3" s="1"/>
  <c r="BO81" i="3" s="1"/>
  <c r="BN75" i="3"/>
  <c r="BN79" i="3" s="1"/>
  <c r="BN80" i="3" s="1"/>
  <c r="BN81" i="3" s="1"/>
  <c r="BQ70" i="3"/>
  <c r="BQ72" i="3" s="1"/>
  <c r="BQ73" i="3" s="1"/>
  <c r="BQ100" i="3" s="1"/>
  <c r="BP70" i="3"/>
  <c r="BP72" i="3" s="1"/>
  <c r="BP73" i="3" s="1"/>
  <c r="BO70" i="3"/>
  <c r="BO72" i="3" s="1"/>
  <c r="BO73" i="3" s="1"/>
  <c r="BN70" i="3"/>
  <c r="BN72" i="3" s="1"/>
  <c r="BN73" i="3" s="1"/>
  <c r="BJ118" i="3"/>
  <c r="BJ117" i="3"/>
  <c r="AE31" i="11" s="1"/>
  <c r="BJ114" i="3"/>
  <c r="BJ115" i="3" s="1"/>
  <c r="BJ112" i="3"/>
  <c r="BJ110" i="3"/>
  <c r="BL109" i="3"/>
  <c r="BM108" i="3"/>
  <c r="BM109" i="3" s="1"/>
  <c r="BL108" i="3"/>
  <c r="BK108" i="3"/>
  <c r="BK109" i="3" s="1"/>
  <c r="BJ108" i="3"/>
  <c r="BJ109" i="3" s="1"/>
  <c r="BM107" i="3"/>
  <c r="BL107" i="3"/>
  <c r="BK107" i="3"/>
  <c r="BJ107" i="3"/>
  <c r="BM104" i="3"/>
  <c r="BL104" i="3"/>
  <c r="BK104" i="3"/>
  <c r="BJ104" i="3"/>
  <c r="BM103" i="3"/>
  <c r="BM105" i="3" s="1"/>
  <c r="BM106" i="3" s="1"/>
  <c r="BL103" i="3"/>
  <c r="BL105" i="3" s="1"/>
  <c r="BL106" i="3" s="1"/>
  <c r="BK103" i="3"/>
  <c r="BK105" i="3" s="1"/>
  <c r="BK106" i="3" s="1"/>
  <c r="BJ103" i="3"/>
  <c r="BJ105" i="3" s="1"/>
  <c r="BJ106" i="3" s="1"/>
  <c r="BM102" i="3"/>
  <c r="BL102" i="3"/>
  <c r="BK102" i="3"/>
  <c r="BJ102" i="3"/>
  <c r="BM98" i="3"/>
  <c r="BL98" i="3"/>
  <c r="BK98" i="3"/>
  <c r="BJ98" i="3"/>
  <c r="BM97" i="3"/>
  <c r="BL97" i="3"/>
  <c r="BL99" i="3" s="1"/>
  <c r="BK97" i="3"/>
  <c r="BK99" i="3" s="1"/>
  <c r="BJ97" i="3"/>
  <c r="BJ99" i="3" s="1"/>
  <c r="BM88" i="3"/>
  <c r="BL88" i="3"/>
  <c r="BK88" i="3"/>
  <c r="BJ88" i="3"/>
  <c r="BM87" i="3"/>
  <c r="BM90" i="3" s="1"/>
  <c r="BL87" i="3"/>
  <c r="BL90" i="3" s="1"/>
  <c r="BK87" i="3"/>
  <c r="BK90" i="3" s="1"/>
  <c r="BJ87" i="3"/>
  <c r="BJ90" i="3" s="1"/>
  <c r="BM77" i="3"/>
  <c r="BL77" i="3"/>
  <c r="BK77" i="3"/>
  <c r="BJ77" i="3"/>
  <c r="BM76" i="3"/>
  <c r="BL76" i="3"/>
  <c r="BK76" i="3"/>
  <c r="BJ76" i="3"/>
  <c r="BM75" i="3"/>
  <c r="BM79" i="3" s="1"/>
  <c r="BM80" i="3" s="1"/>
  <c r="BM81" i="3" s="1"/>
  <c r="BL75" i="3"/>
  <c r="BL78" i="3" s="1"/>
  <c r="BK75" i="3"/>
  <c r="BK79" i="3" s="1"/>
  <c r="BK80" i="3" s="1"/>
  <c r="BK81" i="3" s="1"/>
  <c r="BJ75" i="3"/>
  <c r="BJ79" i="3" s="1"/>
  <c r="BJ80" i="3" s="1"/>
  <c r="BJ81" i="3" s="1"/>
  <c r="BM70" i="3"/>
  <c r="BM72" i="3" s="1"/>
  <c r="BM73" i="3" s="1"/>
  <c r="BL70" i="3"/>
  <c r="BL72" i="3" s="1"/>
  <c r="BL73" i="3" s="1"/>
  <c r="BL100" i="3" s="1"/>
  <c r="BK70" i="3"/>
  <c r="BK72" i="3" s="1"/>
  <c r="BK73" i="3" s="1"/>
  <c r="BK100" i="3" s="1"/>
  <c r="BJ70" i="3"/>
  <c r="BJ72" i="3" s="1"/>
  <c r="BJ73" i="3" s="1"/>
  <c r="BJ100" i="3" s="1"/>
  <c r="BF117" i="3"/>
  <c r="BF118" i="3" s="1"/>
  <c r="BF114" i="3"/>
  <c r="BF115" i="3" s="1"/>
  <c r="BF112" i="3"/>
  <c r="BF110" i="3"/>
  <c r="BI108" i="3"/>
  <c r="BI109" i="3" s="1"/>
  <c r="BH108" i="3"/>
  <c r="BH109" i="3" s="1"/>
  <c r="BG108" i="3"/>
  <c r="BG109" i="3" s="1"/>
  <c r="BF108" i="3"/>
  <c r="BF109" i="3" s="1"/>
  <c r="BI107" i="3"/>
  <c r="BH107" i="3"/>
  <c r="BG107" i="3"/>
  <c r="BF107" i="3"/>
  <c r="BI104" i="3"/>
  <c r="BH104" i="3"/>
  <c r="BG104" i="3"/>
  <c r="BF104" i="3"/>
  <c r="BI103" i="3"/>
  <c r="BI105" i="3" s="1"/>
  <c r="BI106" i="3" s="1"/>
  <c r="BH103" i="3"/>
  <c r="BH105" i="3" s="1"/>
  <c r="BH106" i="3" s="1"/>
  <c r="BG103" i="3"/>
  <c r="BG105" i="3" s="1"/>
  <c r="BG106" i="3" s="1"/>
  <c r="BF103" i="3"/>
  <c r="BF105" i="3" s="1"/>
  <c r="BF106" i="3" s="1"/>
  <c r="BI102" i="3"/>
  <c r="BH102" i="3"/>
  <c r="BG102" i="3"/>
  <c r="BF102" i="3"/>
  <c r="BI98" i="3"/>
  <c r="BH98" i="3"/>
  <c r="BG98" i="3"/>
  <c r="BF98" i="3"/>
  <c r="BI97" i="3"/>
  <c r="BH97" i="3"/>
  <c r="BH99" i="3" s="1"/>
  <c r="BG97" i="3"/>
  <c r="BG99" i="3" s="1"/>
  <c r="BF97" i="3"/>
  <c r="BF99" i="3" s="1"/>
  <c r="BI88" i="3"/>
  <c r="BH88" i="3"/>
  <c r="BG88" i="3"/>
  <c r="BF88" i="3"/>
  <c r="BI87" i="3"/>
  <c r="BI90" i="3" s="1"/>
  <c r="BH87" i="3"/>
  <c r="BH90" i="3" s="1"/>
  <c r="BG87" i="3"/>
  <c r="BG90" i="3" s="1"/>
  <c r="BF87" i="3"/>
  <c r="BF90" i="3" s="1"/>
  <c r="BI77" i="3"/>
  <c r="BH77" i="3"/>
  <c r="BG77" i="3"/>
  <c r="BF77" i="3"/>
  <c r="BI76" i="3"/>
  <c r="BH76" i="3"/>
  <c r="BH83" i="3" s="1"/>
  <c r="BG76" i="3"/>
  <c r="BF76" i="3"/>
  <c r="BI75" i="3"/>
  <c r="BI79" i="3" s="1"/>
  <c r="BI80" i="3" s="1"/>
  <c r="BI81" i="3" s="1"/>
  <c r="BH75" i="3"/>
  <c r="BH79" i="3" s="1"/>
  <c r="BH80" i="3" s="1"/>
  <c r="BH81" i="3" s="1"/>
  <c r="BG75" i="3"/>
  <c r="BG79" i="3" s="1"/>
  <c r="BG80" i="3" s="1"/>
  <c r="BG81" i="3" s="1"/>
  <c r="BF75" i="3"/>
  <c r="BF79" i="3" s="1"/>
  <c r="BF80" i="3" s="1"/>
  <c r="BF81" i="3" s="1"/>
  <c r="BI70" i="3"/>
  <c r="BI72" i="3" s="1"/>
  <c r="BI73" i="3" s="1"/>
  <c r="BH70" i="3"/>
  <c r="BH72" i="3" s="1"/>
  <c r="BH73" i="3" s="1"/>
  <c r="BH100" i="3" s="1"/>
  <c r="BG70" i="3"/>
  <c r="BG72" i="3" s="1"/>
  <c r="BG73" i="3" s="1"/>
  <c r="BG100" i="3" s="1"/>
  <c r="BF70" i="3"/>
  <c r="BF72" i="3" s="1"/>
  <c r="BF73" i="3" s="1"/>
  <c r="BF100" i="3" s="1"/>
  <c r="BB117" i="3"/>
  <c r="BB118" i="3" s="1"/>
  <c r="BB114" i="3"/>
  <c r="BB115" i="3" s="1"/>
  <c r="BB112" i="3"/>
  <c r="BB110" i="3"/>
  <c r="BE108" i="3"/>
  <c r="BE109" i="3" s="1"/>
  <c r="BD108" i="3"/>
  <c r="BD109" i="3" s="1"/>
  <c r="BC108" i="3"/>
  <c r="BC109" i="3" s="1"/>
  <c r="BB108" i="3"/>
  <c r="BB109" i="3" s="1"/>
  <c r="BE107" i="3"/>
  <c r="BD107" i="3"/>
  <c r="BC107" i="3"/>
  <c r="BB107" i="3"/>
  <c r="BE104" i="3"/>
  <c r="BD104" i="3"/>
  <c r="BC104" i="3"/>
  <c r="BB104" i="3"/>
  <c r="BE103" i="3"/>
  <c r="BE105" i="3" s="1"/>
  <c r="BE106" i="3" s="1"/>
  <c r="BD103" i="3"/>
  <c r="BD105" i="3" s="1"/>
  <c r="BD106" i="3" s="1"/>
  <c r="BC103" i="3"/>
  <c r="BC105" i="3" s="1"/>
  <c r="BC106" i="3" s="1"/>
  <c r="BB103" i="3"/>
  <c r="BB105" i="3" s="1"/>
  <c r="BB106" i="3" s="1"/>
  <c r="BE102" i="3"/>
  <c r="BD102" i="3"/>
  <c r="BC102" i="3"/>
  <c r="BB102" i="3"/>
  <c r="BE98" i="3"/>
  <c r="BD98" i="3"/>
  <c r="BC98" i="3"/>
  <c r="BB98" i="3"/>
  <c r="BE97" i="3"/>
  <c r="BD97" i="3"/>
  <c r="BD99" i="3" s="1"/>
  <c r="BC97" i="3"/>
  <c r="BC99" i="3" s="1"/>
  <c r="BB97" i="3"/>
  <c r="BB99" i="3" s="1"/>
  <c r="BE88" i="3"/>
  <c r="BD88" i="3"/>
  <c r="BC88" i="3"/>
  <c r="BB88" i="3"/>
  <c r="BE87" i="3"/>
  <c r="BE90" i="3" s="1"/>
  <c r="BD87" i="3"/>
  <c r="BD90" i="3" s="1"/>
  <c r="BC87" i="3"/>
  <c r="BC90" i="3" s="1"/>
  <c r="BB87" i="3"/>
  <c r="BB90" i="3" s="1"/>
  <c r="BE77" i="3"/>
  <c r="BD77" i="3"/>
  <c r="BC77" i="3"/>
  <c r="BB77" i="3"/>
  <c r="BE76" i="3"/>
  <c r="BD76" i="3"/>
  <c r="BC76" i="3"/>
  <c r="BB76" i="3"/>
  <c r="BE75" i="3"/>
  <c r="BE79" i="3" s="1"/>
  <c r="BE80" i="3" s="1"/>
  <c r="BE81" i="3" s="1"/>
  <c r="BD75" i="3"/>
  <c r="BD79" i="3" s="1"/>
  <c r="BD80" i="3" s="1"/>
  <c r="BD81" i="3" s="1"/>
  <c r="BC75" i="3"/>
  <c r="BC79" i="3" s="1"/>
  <c r="BC80" i="3" s="1"/>
  <c r="BC81" i="3" s="1"/>
  <c r="BB75" i="3"/>
  <c r="BB79" i="3" s="1"/>
  <c r="BB80" i="3" s="1"/>
  <c r="BB81" i="3" s="1"/>
  <c r="BE70" i="3"/>
  <c r="BE72" i="3" s="1"/>
  <c r="BE73" i="3" s="1"/>
  <c r="BD70" i="3"/>
  <c r="BD72" i="3" s="1"/>
  <c r="BD73" i="3" s="1"/>
  <c r="BD100" i="3" s="1"/>
  <c r="BC70" i="3"/>
  <c r="BC72" i="3" s="1"/>
  <c r="BC73" i="3" s="1"/>
  <c r="BC100" i="3" s="1"/>
  <c r="BB70" i="3"/>
  <c r="BB72" i="3" s="1"/>
  <c r="BB73" i="3" s="1"/>
  <c r="BB100" i="3" s="1"/>
  <c r="AX117" i="3"/>
  <c r="AX118" i="3" s="1"/>
  <c r="AX114" i="3"/>
  <c r="AX115" i="3" s="1"/>
  <c r="AX112" i="3"/>
  <c r="AX110" i="3"/>
  <c r="BA108" i="3"/>
  <c r="BA109" i="3" s="1"/>
  <c r="AZ108" i="3"/>
  <c r="AZ109" i="3" s="1"/>
  <c r="AY108" i="3"/>
  <c r="AY109" i="3" s="1"/>
  <c r="AX108" i="3"/>
  <c r="AX109" i="3" s="1"/>
  <c r="BA107" i="3"/>
  <c r="AZ107" i="3"/>
  <c r="AY107" i="3"/>
  <c r="AX107" i="3"/>
  <c r="BA104" i="3"/>
  <c r="AZ104" i="3"/>
  <c r="AY104" i="3"/>
  <c r="AX104" i="3"/>
  <c r="BA103" i="3"/>
  <c r="BA105" i="3" s="1"/>
  <c r="BA106" i="3" s="1"/>
  <c r="AZ103" i="3"/>
  <c r="AZ105" i="3" s="1"/>
  <c r="AZ106" i="3" s="1"/>
  <c r="AY103" i="3"/>
  <c r="AY105" i="3" s="1"/>
  <c r="AY106" i="3" s="1"/>
  <c r="AX103" i="3"/>
  <c r="AX105" i="3" s="1"/>
  <c r="AX106" i="3" s="1"/>
  <c r="BA102" i="3"/>
  <c r="AZ102" i="3"/>
  <c r="AY102" i="3"/>
  <c r="AX102" i="3"/>
  <c r="BA98" i="3"/>
  <c r="AZ98" i="3"/>
  <c r="AY98" i="3"/>
  <c r="AX98" i="3"/>
  <c r="BA97" i="3"/>
  <c r="AZ97" i="3"/>
  <c r="AZ99" i="3" s="1"/>
  <c r="AY97" i="3"/>
  <c r="AY99" i="3" s="1"/>
  <c r="AX97" i="3"/>
  <c r="AX99" i="3" s="1"/>
  <c r="BA88" i="3"/>
  <c r="AZ88" i="3"/>
  <c r="AY88" i="3"/>
  <c r="AX88" i="3"/>
  <c r="BA87" i="3"/>
  <c r="BA90" i="3" s="1"/>
  <c r="AZ87" i="3"/>
  <c r="AY87" i="3"/>
  <c r="AY90" i="3" s="1"/>
  <c r="AX87" i="3"/>
  <c r="AX90" i="3" s="1"/>
  <c r="BA77" i="3"/>
  <c r="AZ77" i="3"/>
  <c r="AY77" i="3"/>
  <c r="AX77" i="3"/>
  <c r="BA76" i="3"/>
  <c r="AZ76" i="3"/>
  <c r="AY76" i="3"/>
  <c r="AX76" i="3"/>
  <c r="BA75" i="3"/>
  <c r="BA79" i="3" s="1"/>
  <c r="BA80" i="3" s="1"/>
  <c r="BA81" i="3" s="1"/>
  <c r="AZ75" i="3"/>
  <c r="AZ79" i="3" s="1"/>
  <c r="AZ80" i="3" s="1"/>
  <c r="AZ81" i="3" s="1"/>
  <c r="AY75" i="3"/>
  <c r="AY79" i="3" s="1"/>
  <c r="AY80" i="3" s="1"/>
  <c r="AY81" i="3" s="1"/>
  <c r="AX75" i="3"/>
  <c r="AX79" i="3" s="1"/>
  <c r="AX80" i="3" s="1"/>
  <c r="AX81" i="3" s="1"/>
  <c r="BA70" i="3"/>
  <c r="BA72" i="3" s="1"/>
  <c r="BA73" i="3" s="1"/>
  <c r="AZ70" i="3"/>
  <c r="AZ72" i="3" s="1"/>
  <c r="AZ73" i="3" s="1"/>
  <c r="AZ100" i="3" s="1"/>
  <c r="AY70" i="3"/>
  <c r="AY72" i="3" s="1"/>
  <c r="AY73" i="3" s="1"/>
  <c r="AY100" i="3" s="1"/>
  <c r="AX70" i="3"/>
  <c r="AX72" i="3" s="1"/>
  <c r="AX73" i="3" s="1"/>
  <c r="AX100" i="3" s="1"/>
  <c r="AT117" i="3"/>
  <c r="W31" i="11" s="1"/>
  <c r="AT114" i="3"/>
  <c r="AT115" i="3" s="1"/>
  <c r="AT112" i="3"/>
  <c r="AT110" i="3"/>
  <c r="AW108" i="3"/>
  <c r="AW109" i="3" s="1"/>
  <c r="AV108" i="3"/>
  <c r="AV109" i="3" s="1"/>
  <c r="AU108" i="3"/>
  <c r="AU109" i="3" s="1"/>
  <c r="AT108" i="3"/>
  <c r="AT109" i="3" s="1"/>
  <c r="AW107" i="3"/>
  <c r="AV107" i="3"/>
  <c r="AU107" i="3"/>
  <c r="AT107" i="3"/>
  <c r="AW104" i="3"/>
  <c r="AV104" i="3"/>
  <c r="AU104" i="3"/>
  <c r="AT104" i="3"/>
  <c r="AW103" i="3"/>
  <c r="AW105" i="3" s="1"/>
  <c r="AW106" i="3" s="1"/>
  <c r="AV103" i="3"/>
  <c r="AV105" i="3" s="1"/>
  <c r="AV106" i="3" s="1"/>
  <c r="AU103" i="3"/>
  <c r="AU105" i="3" s="1"/>
  <c r="AU106" i="3" s="1"/>
  <c r="AT103" i="3"/>
  <c r="AT105" i="3" s="1"/>
  <c r="AT106" i="3" s="1"/>
  <c r="AW102" i="3"/>
  <c r="AV102" i="3"/>
  <c r="AU102" i="3"/>
  <c r="AT102" i="3"/>
  <c r="AW98" i="3"/>
  <c r="AV98" i="3"/>
  <c r="AU98" i="3"/>
  <c r="AT98" i="3"/>
  <c r="AW97" i="3"/>
  <c r="AW99" i="3" s="1"/>
  <c r="AV97" i="3"/>
  <c r="AV99" i="3" s="1"/>
  <c r="AU97" i="3"/>
  <c r="AU99" i="3" s="1"/>
  <c r="AT97" i="3"/>
  <c r="AW88" i="3"/>
  <c r="AV88" i="3"/>
  <c r="AU88" i="3"/>
  <c r="AT88" i="3"/>
  <c r="AW87" i="3"/>
  <c r="AW90" i="3" s="1"/>
  <c r="AV87" i="3"/>
  <c r="AU87" i="3"/>
  <c r="AU90" i="3" s="1"/>
  <c r="AT87" i="3"/>
  <c r="AT90" i="3" s="1"/>
  <c r="AW77" i="3"/>
  <c r="AV77" i="3"/>
  <c r="AU77" i="3"/>
  <c r="AT77" i="3"/>
  <c r="AW76" i="3"/>
  <c r="AV76" i="3"/>
  <c r="AU76" i="3"/>
  <c r="AT76" i="3"/>
  <c r="AW75" i="3"/>
  <c r="AW79" i="3" s="1"/>
  <c r="AW80" i="3" s="1"/>
  <c r="AW81" i="3" s="1"/>
  <c r="AV75" i="3"/>
  <c r="AV78" i="3" s="1"/>
  <c r="AU75" i="3"/>
  <c r="AU79" i="3" s="1"/>
  <c r="AU80" i="3" s="1"/>
  <c r="AU81" i="3" s="1"/>
  <c r="AT75" i="3"/>
  <c r="AT79" i="3" s="1"/>
  <c r="AT80" i="3" s="1"/>
  <c r="AT81" i="3" s="1"/>
  <c r="AW70" i="3"/>
  <c r="AW72" i="3" s="1"/>
  <c r="AW73" i="3" s="1"/>
  <c r="AW100" i="3" s="1"/>
  <c r="AV70" i="3"/>
  <c r="AV72" i="3" s="1"/>
  <c r="AV73" i="3" s="1"/>
  <c r="AV100" i="3" s="1"/>
  <c r="AU70" i="3"/>
  <c r="AU72" i="3" s="1"/>
  <c r="AU73" i="3" s="1"/>
  <c r="AU100" i="3" s="1"/>
  <c r="AT70" i="3"/>
  <c r="AT72" i="3" s="1"/>
  <c r="AT73" i="3" s="1"/>
  <c r="AP117" i="3"/>
  <c r="AP118" i="3" s="1"/>
  <c r="AP114" i="3"/>
  <c r="AP115" i="3" s="1"/>
  <c r="AP112" i="3"/>
  <c r="AP110" i="3"/>
  <c r="AS108" i="3"/>
  <c r="AS109" i="3" s="1"/>
  <c r="AR108" i="3"/>
  <c r="AR109" i="3" s="1"/>
  <c r="AQ108" i="3"/>
  <c r="AQ109" i="3" s="1"/>
  <c r="AP108" i="3"/>
  <c r="AP109" i="3" s="1"/>
  <c r="AS107" i="3"/>
  <c r="AR107" i="3"/>
  <c r="AQ107" i="3"/>
  <c r="AP107" i="3"/>
  <c r="AS104" i="3"/>
  <c r="AR104" i="3"/>
  <c r="AQ104" i="3"/>
  <c r="AP104" i="3"/>
  <c r="AS103" i="3"/>
  <c r="AS105" i="3" s="1"/>
  <c r="AS106" i="3" s="1"/>
  <c r="AR103" i="3"/>
  <c r="AR105" i="3" s="1"/>
  <c r="AR106" i="3" s="1"/>
  <c r="AQ103" i="3"/>
  <c r="AQ105" i="3" s="1"/>
  <c r="AQ106" i="3" s="1"/>
  <c r="AP103" i="3"/>
  <c r="AP105" i="3" s="1"/>
  <c r="AP106" i="3" s="1"/>
  <c r="AS102" i="3"/>
  <c r="AR102" i="3"/>
  <c r="AQ102" i="3"/>
  <c r="AP102" i="3"/>
  <c r="AS98" i="3"/>
  <c r="AR98" i="3"/>
  <c r="AQ98" i="3"/>
  <c r="AP98" i="3"/>
  <c r="AS97" i="3"/>
  <c r="AS99" i="3" s="1"/>
  <c r="AR97" i="3"/>
  <c r="AR99" i="3" s="1"/>
  <c r="AQ97" i="3"/>
  <c r="AQ99" i="3" s="1"/>
  <c r="AP97" i="3"/>
  <c r="AS88" i="3"/>
  <c r="AR88" i="3"/>
  <c r="AQ88" i="3"/>
  <c r="AP88" i="3"/>
  <c r="AS87" i="3"/>
  <c r="AS90" i="3" s="1"/>
  <c r="AR87" i="3"/>
  <c r="AR90" i="3" s="1"/>
  <c r="AQ87" i="3"/>
  <c r="AQ90" i="3" s="1"/>
  <c r="AP87" i="3"/>
  <c r="AP90" i="3" s="1"/>
  <c r="AS77" i="3"/>
  <c r="AR77" i="3"/>
  <c r="AQ77" i="3"/>
  <c r="AP77" i="3"/>
  <c r="AS76" i="3"/>
  <c r="AR76" i="3"/>
  <c r="AR83" i="3" s="1"/>
  <c r="AQ76" i="3"/>
  <c r="AP76" i="3"/>
  <c r="AS75" i="3"/>
  <c r="AS79" i="3" s="1"/>
  <c r="AS80" i="3" s="1"/>
  <c r="AS81" i="3" s="1"/>
  <c r="AR75" i="3"/>
  <c r="AR78" i="3" s="1"/>
  <c r="AQ75" i="3"/>
  <c r="AQ79" i="3" s="1"/>
  <c r="AQ80" i="3" s="1"/>
  <c r="AQ81" i="3" s="1"/>
  <c r="AP75" i="3"/>
  <c r="AP79" i="3" s="1"/>
  <c r="AP80" i="3" s="1"/>
  <c r="AP81" i="3" s="1"/>
  <c r="AS70" i="3"/>
  <c r="AS72" i="3" s="1"/>
  <c r="AS73" i="3" s="1"/>
  <c r="AS100" i="3" s="1"/>
  <c r="AR29" i="11" s="1"/>
  <c r="AR70" i="3"/>
  <c r="AR72" i="3" s="1"/>
  <c r="AR73" i="3" s="1"/>
  <c r="AR100" i="3" s="1"/>
  <c r="AQ29" i="11" s="1"/>
  <c r="AQ70" i="3"/>
  <c r="AQ72" i="3" s="1"/>
  <c r="AQ73" i="3" s="1"/>
  <c r="AQ100" i="3" s="1"/>
  <c r="AP29" i="11" s="1"/>
  <c r="AP70" i="3"/>
  <c r="AP72" i="3" s="1"/>
  <c r="AP73" i="3" s="1"/>
  <c r="AL117" i="3"/>
  <c r="AL118" i="3" s="1"/>
  <c r="AL114" i="3"/>
  <c r="AL115" i="3" s="1"/>
  <c r="AL112" i="3"/>
  <c r="AL110" i="3"/>
  <c r="AO108" i="3"/>
  <c r="AO109" i="3" s="1"/>
  <c r="AN108" i="3"/>
  <c r="AN109" i="3" s="1"/>
  <c r="AM108" i="3"/>
  <c r="AM109" i="3" s="1"/>
  <c r="AL108" i="3"/>
  <c r="AL109" i="3" s="1"/>
  <c r="AO107" i="3"/>
  <c r="AN107" i="3"/>
  <c r="AM107" i="3"/>
  <c r="AL107" i="3"/>
  <c r="AO104" i="3"/>
  <c r="AN104" i="3"/>
  <c r="AM104" i="3"/>
  <c r="AL104" i="3"/>
  <c r="AO103" i="3"/>
  <c r="AO105" i="3" s="1"/>
  <c r="AO106" i="3" s="1"/>
  <c r="AN103" i="3"/>
  <c r="AN105" i="3" s="1"/>
  <c r="AN106" i="3" s="1"/>
  <c r="AM103" i="3"/>
  <c r="AM105" i="3" s="1"/>
  <c r="AM106" i="3" s="1"/>
  <c r="AL103" i="3"/>
  <c r="AL105" i="3" s="1"/>
  <c r="AL106" i="3" s="1"/>
  <c r="AO102" i="3"/>
  <c r="AN102" i="3"/>
  <c r="AM102" i="3"/>
  <c r="AL102" i="3"/>
  <c r="AO98" i="3"/>
  <c r="AN98" i="3"/>
  <c r="AM98" i="3"/>
  <c r="AL98" i="3"/>
  <c r="AO97" i="3"/>
  <c r="AO99" i="3" s="1"/>
  <c r="AN97" i="3"/>
  <c r="AN99" i="3" s="1"/>
  <c r="AM97" i="3"/>
  <c r="AM99" i="3" s="1"/>
  <c r="AL97" i="3"/>
  <c r="AL99" i="3" s="1"/>
  <c r="AO88" i="3"/>
  <c r="AN88" i="3"/>
  <c r="AM88" i="3"/>
  <c r="AL88" i="3"/>
  <c r="AO87" i="3"/>
  <c r="AO90" i="3" s="1"/>
  <c r="AN87" i="3"/>
  <c r="AN90" i="3" s="1"/>
  <c r="AM87" i="3"/>
  <c r="AM90" i="3" s="1"/>
  <c r="AL87" i="3"/>
  <c r="AL90" i="3" s="1"/>
  <c r="AO77" i="3"/>
  <c r="AN77" i="3"/>
  <c r="AM77" i="3"/>
  <c r="AL77" i="3"/>
  <c r="AO76" i="3"/>
  <c r="AN76" i="3"/>
  <c r="AM76" i="3"/>
  <c r="AL76" i="3"/>
  <c r="AO75" i="3"/>
  <c r="AO79" i="3" s="1"/>
  <c r="AO80" i="3" s="1"/>
  <c r="AO81" i="3" s="1"/>
  <c r="AN75" i="3"/>
  <c r="AN78" i="3" s="1"/>
  <c r="AM75" i="3"/>
  <c r="AM79" i="3" s="1"/>
  <c r="AM80" i="3" s="1"/>
  <c r="AM81" i="3" s="1"/>
  <c r="AL75" i="3"/>
  <c r="AL79" i="3" s="1"/>
  <c r="AL80" i="3" s="1"/>
  <c r="AL81" i="3" s="1"/>
  <c r="AO70" i="3"/>
  <c r="AO72" i="3" s="1"/>
  <c r="AO73" i="3" s="1"/>
  <c r="AO100" i="3" s="1"/>
  <c r="AN29" i="11" s="1"/>
  <c r="AN70" i="3"/>
  <c r="AN72" i="3" s="1"/>
  <c r="AN73" i="3" s="1"/>
  <c r="AN100" i="3" s="1"/>
  <c r="AM29" i="11" s="1"/>
  <c r="AM70" i="3"/>
  <c r="AM72" i="3" s="1"/>
  <c r="AM73" i="3" s="1"/>
  <c r="AM100" i="3" s="1"/>
  <c r="AL29" i="11" s="1"/>
  <c r="AL70" i="3"/>
  <c r="AL72" i="3" s="1"/>
  <c r="AL73" i="3" s="1"/>
  <c r="AL100" i="3" s="1"/>
  <c r="AK29" i="11" s="1"/>
  <c r="AH112" i="3"/>
  <c r="AH110" i="3"/>
  <c r="AK107" i="3"/>
  <c r="AJ107" i="3"/>
  <c r="AI107" i="3"/>
  <c r="AH107" i="3"/>
  <c r="AK104" i="3"/>
  <c r="AJ104" i="3"/>
  <c r="AI104" i="3"/>
  <c r="AH104" i="3"/>
  <c r="AK103" i="3"/>
  <c r="AK105" i="3" s="1"/>
  <c r="AK106" i="3" s="1"/>
  <c r="AJ103" i="3"/>
  <c r="AI103" i="3"/>
  <c r="AH103" i="3"/>
  <c r="AJ98" i="3"/>
  <c r="AI98" i="3"/>
  <c r="AH98" i="3"/>
  <c r="AJ97" i="3"/>
  <c r="AI97" i="3"/>
  <c r="AH97" i="3"/>
  <c r="AK88" i="3"/>
  <c r="AJ88" i="3"/>
  <c r="AI88" i="3"/>
  <c r="AK87" i="3"/>
  <c r="AJ87" i="3"/>
  <c r="AI87" i="3"/>
  <c r="AH87" i="3"/>
  <c r="AK77" i="3"/>
  <c r="AJ77" i="3"/>
  <c r="AI77" i="3"/>
  <c r="AK76" i="3"/>
  <c r="AJ76" i="3"/>
  <c r="AI76" i="3"/>
  <c r="AH76" i="3"/>
  <c r="AK75" i="3"/>
  <c r="AJ75" i="3"/>
  <c r="AI75" i="3"/>
  <c r="AH75" i="3"/>
  <c r="AK70" i="3"/>
  <c r="AJ70" i="3"/>
  <c r="AJ72" i="3" s="1"/>
  <c r="AJ73" i="3" s="1"/>
  <c r="AI70" i="3"/>
  <c r="AI72" i="3" s="1"/>
  <c r="AI73" i="3" s="1"/>
  <c r="AH70" i="3"/>
  <c r="AH72" i="3" s="1"/>
  <c r="AH73" i="3" s="1"/>
  <c r="AD112" i="3"/>
  <c r="AD110" i="3"/>
  <c r="AE108" i="3"/>
  <c r="AE109" i="3" s="1"/>
  <c r="AG107" i="3"/>
  <c r="AF107" i="3"/>
  <c r="AE107" i="3"/>
  <c r="AD107" i="3"/>
  <c r="AG104" i="3"/>
  <c r="AF104" i="3"/>
  <c r="AE104" i="3"/>
  <c r="AD104" i="3"/>
  <c r="AG103" i="3"/>
  <c r="AG105" i="3" s="1"/>
  <c r="AG106" i="3" s="1"/>
  <c r="AF103" i="3"/>
  <c r="AF105" i="3" s="1"/>
  <c r="AF106" i="3" s="1"/>
  <c r="AF108" i="3" s="1"/>
  <c r="AF109" i="3" s="1"/>
  <c r="AE103" i="3"/>
  <c r="AD103" i="3"/>
  <c r="AE102" i="3"/>
  <c r="AG98" i="3"/>
  <c r="AF98" i="3"/>
  <c r="AE98" i="3"/>
  <c r="AD98" i="3"/>
  <c r="AG97" i="3"/>
  <c r="AF97" i="3"/>
  <c r="AE97" i="3"/>
  <c r="AE99" i="3" s="1"/>
  <c r="AD97" i="3"/>
  <c r="AD99" i="3" s="1"/>
  <c r="AE88" i="3"/>
  <c r="AD88" i="3"/>
  <c r="AG87" i="3"/>
  <c r="AF87" i="3"/>
  <c r="AE87" i="3"/>
  <c r="AE90" i="3" s="1"/>
  <c r="AD87" i="3"/>
  <c r="AD90" i="3" s="1"/>
  <c r="AE77" i="3"/>
  <c r="AD77" i="3"/>
  <c r="AG76" i="3"/>
  <c r="AF76" i="3"/>
  <c r="AE76" i="3"/>
  <c r="AD76" i="3"/>
  <c r="AG75" i="3"/>
  <c r="AF75" i="3"/>
  <c r="AE75" i="3"/>
  <c r="AE79" i="3" s="1"/>
  <c r="AD75" i="3"/>
  <c r="AD79" i="3" s="1"/>
  <c r="AG70" i="3"/>
  <c r="AG72" i="3" s="1"/>
  <c r="AG73" i="3" s="1"/>
  <c r="AF70" i="3"/>
  <c r="AF72" i="3" s="1"/>
  <c r="AF73" i="3" s="1"/>
  <c r="AE70" i="3"/>
  <c r="AE72" i="3" s="1"/>
  <c r="AE73" i="3" s="1"/>
  <c r="AD70" i="3"/>
  <c r="AD72" i="3" s="1"/>
  <c r="AD73" i="3" s="1"/>
  <c r="Z112" i="3"/>
  <c r="Z110" i="3"/>
  <c r="AA108" i="3"/>
  <c r="AA109" i="3" s="1"/>
  <c r="AC107" i="3"/>
  <c r="AB107" i="3"/>
  <c r="AA107" i="3"/>
  <c r="Z107" i="3"/>
  <c r="AC104" i="3"/>
  <c r="AB104" i="3"/>
  <c r="AA104" i="3"/>
  <c r="Z104" i="3"/>
  <c r="AC103" i="3"/>
  <c r="AC105" i="3" s="1"/>
  <c r="AC106" i="3" s="1"/>
  <c r="AB103" i="3"/>
  <c r="AA103" i="3"/>
  <c r="Z103" i="3"/>
  <c r="Z105" i="3" s="1"/>
  <c r="Z106" i="3" s="1"/>
  <c r="AA102" i="3"/>
  <c r="AC98" i="3"/>
  <c r="AB98" i="3"/>
  <c r="AA98" i="3"/>
  <c r="Z98" i="3"/>
  <c r="AC97" i="3"/>
  <c r="AB97" i="3"/>
  <c r="AA97" i="3"/>
  <c r="Z97" i="3"/>
  <c r="AA88" i="3"/>
  <c r="Z88" i="3"/>
  <c r="AC87" i="3"/>
  <c r="AB87" i="3"/>
  <c r="AA87" i="3"/>
  <c r="Z87" i="3"/>
  <c r="AA77" i="3"/>
  <c r="Z77" i="3"/>
  <c r="AC76" i="3"/>
  <c r="AB76" i="3"/>
  <c r="AA76" i="3"/>
  <c r="Z76" i="3"/>
  <c r="AC75" i="3"/>
  <c r="AB75" i="3"/>
  <c r="AA75" i="3"/>
  <c r="AA79" i="3" s="1"/>
  <c r="AA80" i="3" s="1"/>
  <c r="AA81" i="3" s="1"/>
  <c r="Z75" i="3"/>
  <c r="AC70" i="3"/>
  <c r="AC72" i="3" s="1"/>
  <c r="AC73" i="3" s="1"/>
  <c r="AB70" i="3"/>
  <c r="AB72" i="3" s="1"/>
  <c r="AB73" i="3" s="1"/>
  <c r="AA70" i="3"/>
  <c r="AA72" i="3" s="1"/>
  <c r="AA73" i="3" s="1"/>
  <c r="Z70" i="3"/>
  <c r="Z72" i="3" s="1"/>
  <c r="Z73" i="3" s="1"/>
  <c r="V112" i="3"/>
  <c r="V110" i="3"/>
  <c r="W108" i="3"/>
  <c r="W109" i="3" s="1"/>
  <c r="Y107" i="3"/>
  <c r="X107" i="3"/>
  <c r="W107" i="3"/>
  <c r="V107" i="3"/>
  <c r="Y104" i="3"/>
  <c r="X104" i="3"/>
  <c r="W104" i="3"/>
  <c r="V104" i="3"/>
  <c r="Y103" i="3"/>
  <c r="Y105" i="3" s="1"/>
  <c r="Y106" i="3" s="1"/>
  <c r="X103" i="3"/>
  <c r="X105" i="3" s="1"/>
  <c r="X106" i="3" s="1"/>
  <c r="W103" i="3"/>
  <c r="W105" i="3" s="1"/>
  <c r="W106" i="3" s="1"/>
  <c r="V103" i="3"/>
  <c r="V105" i="3" s="1"/>
  <c r="V106" i="3" s="1"/>
  <c r="W102" i="3"/>
  <c r="Y98" i="3"/>
  <c r="X98" i="3"/>
  <c r="W98" i="3"/>
  <c r="V98" i="3"/>
  <c r="Y97" i="3"/>
  <c r="X97" i="3"/>
  <c r="W97" i="3"/>
  <c r="V97" i="3"/>
  <c r="W88" i="3"/>
  <c r="V88" i="3"/>
  <c r="Y87" i="3"/>
  <c r="X87" i="3"/>
  <c r="W87" i="3"/>
  <c r="V87" i="3"/>
  <c r="W77" i="3"/>
  <c r="V77" i="3"/>
  <c r="Y76" i="3"/>
  <c r="X76" i="3"/>
  <c r="W76" i="3"/>
  <c r="V76" i="3"/>
  <c r="Y75" i="3"/>
  <c r="X75" i="3"/>
  <c r="W75" i="3"/>
  <c r="W78" i="3" s="1"/>
  <c r="V75" i="3"/>
  <c r="V79" i="3" s="1"/>
  <c r="Y70" i="3"/>
  <c r="Y72" i="3" s="1"/>
  <c r="Y73" i="3" s="1"/>
  <c r="X70" i="3"/>
  <c r="X72" i="3" s="1"/>
  <c r="X73" i="3" s="1"/>
  <c r="W70" i="3"/>
  <c r="W72" i="3" s="1"/>
  <c r="W73" i="3" s="1"/>
  <c r="V70" i="3"/>
  <c r="V72" i="3" s="1"/>
  <c r="V73" i="3" s="1"/>
  <c r="R112" i="3"/>
  <c r="R110" i="3"/>
  <c r="S108" i="3"/>
  <c r="S109" i="3" s="1"/>
  <c r="U107" i="3"/>
  <c r="T107" i="3"/>
  <c r="S107" i="3"/>
  <c r="R107" i="3"/>
  <c r="U104" i="3"/>
  <c r="T104" i="3"/>
  <c r="S104" i="3"/>
  <c r="R104" i="3"/>
  <c r="U103" i="3"/>
  <c r="T103" i="3"/>
  <c r="T105" i="3" s="1"/>
  <c r="T106" i="3" s="1"/>
  <c r="S103" i="3"/>
  <c r="R103" i="3"/>
  <c r="U102" i="3"/>
  <c r="T102" i="3"/>
  <c r="S102" i="3"/>
  <c r="U98" i="3"/>
  <c r="T98" i="3"/>
  <c r="S98" i="3"/>
  <c r="R98" i="3"/>
  <c r="U97" i="3"/>
  <c r="U99" i="3" s="1"/>
  <c r="T97" i="3"/>
  <c r="S97" i="3"/>
  <c r="R97" i="3"/>
  <c r="S88" i="3"/>
  <c r="R88" i="3"/>
  <c r="U87" i="3"/>
  <c r="T87" i="3"/>
  <c r="S87" i="3"/>
  <c r="R87" i="3"/>
  <c r="S77" i="3"/>
  <c r="R77" i="3"/>
  <c r="U76" i="3"/>
  <c r="T76" i="3"/>
  <c r="S76" i="3"/>
  <c r="R76" i="3"/>
  <c r="U75" i="3"/>
  <c r="T75" i="3"/>
  <c r="S75" i="3"/>
  <c r="S79" i="3" s="1"/>
  <c r="S80" i="3" s="1"/>
  <c r="S81" i="3" s="1"/>
  <c r="R75" i="3"/>
  <c r="U70" i="3"/>
  <c r="U72" i="3" s="1"/>
  <c r="U73" i="3" s="1"/>
  <c r="T70" i="3"/>
  <c r="T72" i="3" s="1"/>
  <c r="T73" i="3" s="1"/>
  <c r="S70" i="3"/>
  <c r="S72" i="3" s="1"/>
  <c r="S73" i="3" s="1"/>
  <c r="R70" i="3"/>
  <c r="R72" i="3" s="1"/>
  <c r="R73" i="3" s="1"/>
  <c r="N112" i="3"/>
  <c r="N110" i="3"/>
  <c r="Q107" i="3"/>
  <c r="P107" i="3"/>
  <c r="O107" i="3"/>
  <c r="N107" i="3"/>
  <c r="Q104" i="3"/>
  <c r="P104" i="3"/>
  <c r="O104" i="3"/>
  <c r="N104" i="3"/>
  <c r="Q103" i="3"/>
  <c r="P103" i="3"/>
  <c r="P105" i="3" s="1"/>
  <c r="P106" i="3" s="1"/>
  <c r="O103" i="3"/>
  <c r="O105" i="3" s="1"/>
  <c r="O106" i="3" s="1"/>
  <c r="N103" i="3"/>
  <c r="N105" i="3" s="1"/>
  <c r="N106" i="3" s="1"/>
  <c r="Q98" i="3"/>
  <c r="P98" i="3"/>
  <c r="O98" i="3"/>
  <c r="N98" i="3"/>
  <c r="Q97" i="3"/>
  <c r="P97" i="3"/>
  <c r="O97" i="3"/>
  <c r="N97" i="3"/>
  <c r="O88" i="3"/>
  <c r="Q87" i="3"/>
  <c r="P87" i="3"/>
  <c r="O87" i="3"/>
  <c r="N87" i="3"/>
  <c r="O77" i="3"/>
  <c r="Q76" i="3"/>
  <c r="P76" i="3"/>
  <c r="O76" i="3"/>
  <c r="N76" i="3"/>
  <c r="Q75" i="3"/>
  <c r="P75" i="3"/>
  <c r="O75" i="3"/>
  <c r="N75" i="3"/>
  <c r="Q70" i="3"/>
  <c r="Q72" i="3" s="1"/>
  <c r="Q73" i="3" s="1"/>
  <c r="P70" i="3"/>
  <c r="P72" i="3" s="1"/>
  <c r="P73" i="3" s="1"/>
  <c r="O70" i="3"/>
  <c r="O72" i="3" s="1"/>
  <c r="O73" i="3" s="1"/>
  <c r="N70" i="3"/>
  <c r="N72" i="3" s="1"/>
  <c r="N73" i="3" s="1"/>
  <c r="CH68" i="3"/>
  <c r="CK66" i="3"/>
  <c r="CK67" i="3" s="1"/>
  <c r="CJ66" i="3"/>
  <c r="CJ67" i="3" s="1"/>
  <c r="CI66" i="3"/>
  <c r="CI67" i="3" s="1"/>
  <c r="CH66" i="3"/>
  <c r="CH67" i="3" s="1"/>
  <c r="CI65" i="3"/>
  <c r="CK63" i="3"/>
  <c r="CJ63" i="3"/>
  <c r="CI63" i="3"/>
  <c r="CH63" i="3"/>
  <c r="CK60" i="3"/>
  <c r="CK62" i="3" s="1"/>
  <c r="CJ60" i="3"/>
  <c r="CJ62" i="3" s="1"/>
  <c r="CI60" i="3"/>
  <c r="CI62" i="3" s="1"/>
  <c r="CH60" i="3"/>
  <c r="CH62" i="3" s="1"/>
  <c r="CK59" i="3"/>
  <c r="CJ59" i="3"/>
  <c r="CI59" i="3"/>
  <c r="CH59" i="3"/>
  <c r="CK57" i="3"/>
  <c r="CJ57" i="3"/>
  <c r="CI57" i="3"/>
  <c r="CH57" i="3"/>
  <c r="CK56" i="3"/>
  <c r="CJ56" i="3"/>
  <c r="CI56" i="3"/>
  <c r="CH56" i="3"/>
  <c r="CK50" i="3"/>
  <c r="CJ50" i="3"/>
  <c r="CI50" i="3"/>
  <c r="CH50" i="3"/>
  <c r="CK49" i="3"/>
  <c r="CJ49" i="3"/>
  <c r="CI49" i="3"/>
  <c r="CH49" i="3"/>
  <c r="CH58" i="3" s="1"/>
  <c r="CK48" i="3"/>
  <c r="CJ48" i="3"/>
  <c r="CI48" i="3"/>
  <c r="CH48" i="3"/>
  <c r="CD68" i="3"/>
  <c r="AQ9" i="11" s="1"/>
  <c r="CG66" i="3"/>
  <c r="CG67" i="3" s="1"/>
  <c r="CF66" i="3"/>
  <c r="CF67" i="3" s="1"/>
  <c r="CE66" i="3"/>
  <c r="CE67" i="3" s="1"/>
  <c r="CD66" i="3"/>
  <c r="CD67" i="3" s="1"/>
  <c r="CE65" i="3"/>
  <c r="CG63" i="3"/>
  <c r="CF63" i="3"/>
  <c r="CE63" i="3"/>
  <c r="CD63" i="3"/>
  <c r="CG60" i="3"/>
  <c r="CG62" i="3" s="1"/>
  <c r="CF60" i="3"/>
  <c r="CF62" i="3" s="1"/>
  <c r="CE60" i="3"/>
  <c r="CE62" i="3" s="1"/>
  <c r="CD60" i="3"/>
  <c r="CD62" i="3" s="1"/>
  <c r="CG59" i="3"/>
  <c r="CF59" i="3"/>
  <c r="CE59" i="3"/>
  <c r="CD59" i="3"/>
  <c r="CG57" i="3"/>
  <c r="CF57" i="3"/>
  <c r="CE57" i="3"/>
  <c r="CD57" i="3"/>
  <c r="CG56" i="3"/>
  <c r="CF56" i="3"/>
  <c r="CE56" i="3"/>
  <c r="CD56" i="3"/>
  <c r="CG50" i="3"/>
  <c r="CF50" i="3"/>
  <c r="CE50" i="3"/>
  <c r="CD50" i="3"/>
  <c r="CG49" i="3"/>
  <c r="CF49" i="3"/>
  <c r="CE49" i="3"/>
  <c r="CD49" i="3"/>
  <c r="CD58" i="3" s="1"/>
  <c r="CG48" i="3"/>
  <c r="CF48" i="3"/>
  <c r="CE48" i="3"/>
  <c r="CD48" i="3"/>
  <c r="BZ68" i="3"/>
  <c r="AO9" i="11" s="1"/>
  <c r="CC66" i="3"/>
  <c r="CC67" i="3" s="1"/>
  <c r="CB66" i="3"/>
  <c r="CB67" i="3" s="1"/>
  <c r="CA66" i="3"/>
  <c r="CA67" i="3" s="1"/>
  <c r="BZ66" i="3"/>
  <c r="BZ67" i="3" s="1"/>
  <c r="CC65" i="3"/>
  <c r="CB65" i="3"/>
  <c r="CA65" i="3"/>
  <c r="BZ65" i="3"/>
  <c r="CC63" i="3"/>
  <c r="CB63" i="3"/>
  <c r="CA63" i="3"/>
  <c r="BZ63" i="3"/>
  <c r="CC60" i="3"/>
  <c r="CC62" i="3" s="1"/>
  <c r="CB60" i="3"/>
  <c r="CB62" i="3" s="1"/>
  <c r="CA60" i="3"/>
  <c r="CA62" i="3" s="1"/>
  <c r="BZ60" i="3"/>
  <c r="BZ62" i="3" s="1"/>
  <c r="CC59" i="3"/>
  <c r="CB59" i="3"/>
  <c r="CA59" i="3"/>
  <c r="BZ59" i="3"/>
  <c r="CC57" i="3"/>
  <c r="CB57" i="3"/>
  <c r="CA57" i="3"/>
  <c r="BZ57" i="3"/>
  <c r="CC56" i="3"/>
  <c r="CB56" i="3"/>
  <c r="CA56" i="3"/>
  <c r="BZ56" i="3"/>
  <c r="CC50" i="3"/>
  <c r="CB50" i="3"/>
  <c r="CA50" i="3"/>
  <c r="BZ50" i="3"/>
  <c r="CC49" i="3"/>
  <c r="CB49" i="3"/>
  <c r="CA49" i="3"/>
  <c r="BZ49" i="3"/>
  <c r="BZ58" i="3" s="1"/>
  <c r="CC48" i="3"/>
  <c r="CB48" i="3"/>
  <c r="CA48" i="3"/>
  <c r="BZ48" i="3"/>
  <c r="BV68" i="3"/>
  <c r="AM9" i="11" s="1"/>
  <c r="BY66" i="3"/>
  <c r="BY67" i="3" s="1"/>
  <c r="BX66" i="3"/>
  <c r="BX67" i="3" s="1"/>
  <c r="BW66" i="3"/>
  <c r="BW67" i="3" s="1"/>
  <c r="BV66" i="3"/>
  <c r="BV67" i="3" s="1"/>
  <c r="BW65" i="3"/>
  <c r="BV65" i="3"/>
  <c r="BY63" i="3"/>
  <c r="BX63" i="3"/>
  <c r="BW63" i="3"/>
  <c r="BV63" i="3"/>
  <c r="BY60" i="3"/>
  <c r="BY62" i="3" s="1"/>
  <c r="BX60" i="3"/>
  <c r="BX62" i="3" s="1"/>
  <c r="BW60" i="3"/>
  <c r="BW61" i="3" s="1"/>
  <c r="BV60" i="3"/>
  <c r="BV62" i="3" s="1"/>
  <c r="BY59" i="3"/>
  <c r="BX59" i="3"/>
  <c r="BW59" i="3"/>
  <c r="BV59" i="3"/>
  <c r="BY57" i="3"/>
  <c r="BX57" i="3"/>
  <c r="BW57" i="3"/>
  <c r="BV57" i="3"/>
  <c r="BY56" i="3"/>
  <c r="BX56" i="3"/>
  <c r="BW56" i="3"/>
  <c r="BV56" i="3"/>
  <c r="BY50" i="3"/>
  <c r="BX50" i="3"/>
  <c r="BW50" i="3"/>
  <c r="BV50" i="3"/>
  <c r="BY49" i="3"/>
  <c r="BX49" i="3"/>
  <c r="BW49" i="3"/>
  <c r="BV49" i="3"/>
  <c r="BV58" i="3" s="1"/>
  <c r="BY48" i="3"/>
  <c r="BX48" i="3"/>
  <c r="BW48" i="3"/>
  <c r="BV48" i="3"/>
  <c r="BR68" i="3"/>
  <c r="AK9" i="11" s="1"/>
  <c r="BU66" i="3"/>
  <c r="BU67" i="3" s="1"/>
  <c r="BT66" i="3"/>
  <c r="BT67" i="3" s="1"/>
  <c r="BS66" i="3"/>
  <c r="BS67" i="3" s="1"/>
  <c r="BR66" i="3"/>
  <c r="BR67" i="3" s="1"/>
  <c r="BS65" i="3"/>
  <c r="BU63" i="3"/>
  <c r="BT63" i="3"/>
  <c r="BS63" i="3"/>
  <c r="BR63" i="3"/>
  <c r="BU60" i="3"/>
  <c r="BU62" i="3" s="1"/>
  <c r="BT60" i="3"/>
  <c r="BT62" i="3" s="1"/>
  <c r="BS60" i="3"/>
  <c r="BS62" i="3" s="1"/>
  <c r="BR60" i="3"/>
  <c r="BR62" i="3" s="1"/>
  <c r="BU59" i="3"/>
  <c r="BT59" i="3"/>
  <c r="BS59" i="3"/>
  <c r="BR59" i="3"/>
  <c r="BU57" i="3"/>
  <c r="BT57" i="3"/>
  <c r="BS57" i="3"/>
  <c r="BR57" i="3"/>
  <c r="BU56" i="3"/>
  <c r="BT56" i="3"/>
  <c r="BS56" i="3"/>
  <c r="BR56" i="3"/>
  <c r="BU50" i="3"/>
  <c r="BT50" i="3"/>
  <c r="BS50" i="3"/>
  <c r="BR50" i="3"/>
  <c r="BU49" i="3"/>
  <c r="BT49" i="3"/>
  <c r="BS49" i="3"/>
  <c r="BR49" i="3"/>
  <c r="BR58" i="3" s="1"/>
  <c r="BU48" i="3"/>
  <c r="BT48" i="3"/>
  <c r="BS48" i="3"/>
  <c r="BR48" i="3"/>
  <c r="BN68" i="3"/>
  <c r="AI9" i="11" s="1"/>
  <c r="BQ66" i="3"/>
  <c r="BQ67" i="3" s="1"/>
  <c r="BP66" i="3"/>
  <c r="BP67" i="3" s="1"/>
  <c r="BO66" i="3"/>
  <c r="BO67" i="3" s="1"/>
  <c r="BN66" i="3"/>
  <c r="BN67" i="3" s="1"/>
  <c r="BQ65" i="3"/>
  <c r="BO65" i="3"/>
  <c r="BQ63" i="3"/>
  <c r="BP63" i="3"/>
  <c r="BO63" i="3"/>
  <c r="BN63" i="3"/>
  <c r="BQ60" i="3"/>
  <c r="BQ62" i="3" s="1"/>
  <c r="BP60" i="3"/>
  <c r="BP62" i="3" s="1"/>
  <c r="BO60" i="3"/>
  <c r="BO62" i="3" s="1"/>
  <c r="BN60" i="3"/>
  <c r="BN61" i="3" s="1"/>
  <c r="BQ59" i="3"/>
  <c r="BP59" i="3"/>
  <c r="BO59" i="3"/>
  <c r="BN59" i="3"/>
  <c r="BQ57" i="3"/>
  <c r="BP57" i="3"/>
  <c r="BO57" i="3"/>
  <c r="BN57" i="3"/>
  <c r="BQ56" i="3"/>
  <c r="BP56" i="3"/>
  <c r="BO56" i="3"/>
  <c r="BN56" i="3"/>
  <c r="BQ50" i="3"/>
  <c r="BP50" i="3"/>
  <c r="BO50" i="3"/>
  <c r="BN50" i="3"/>
  <c r="BQ49" i="3"/>
  <c r="BP49" i="3"/>
  <c r="BO49" i="3"/>
  <c r="BN49" i="3"/>
  <c r="BN58" i="3" s="1"/>
  <c r="BQ48" i="3"/>
  <c r="BP48" i="3"/>
  <c r="BO48" i="3"/>
  <c r="BN48" i="3"/>
  <c r="BJ68" i="3"/>
  <c r="AG9" i="11" s="1"/>
  <c r="BM66" i="3"/>
  <c r="BM67" i="3" s="1"/>
  <c r="BL66" i="3"/>
  <c r="BL67" i="3" s="1"/>
  <c r="BK66" i="3"/>
  <c r="BK67" i="3" s="1"/>
  <c r="BJ66" i="3"/>
  <c r="BJ67" i="3" s="1"/>
  <c r="BM63" i="3"/>
  <c r="BL63" i="3"/>
  <c r="BK63" i="3"/>
  <c r="BJ63" i="3"/>
  <c r="BM60" i="3"/>
  <c r="BM62" i="3" s="1"/>
  <c r="BL60" i="3"/>
  <c r="BL62" i="3" s="1"/>
  <c r="BK60" i="3"/>
  <c r="BK62" i="3" s="1"/>
  <c r="BJ60" i="3"/>
  <c r="BJ62" i="3" s="1"/>
  <c r="BM59" i="3"/>
  <c r="BL59" i="3"/>
  <c r="BK59" i="3"/>
  <c r="BJ59" i="3"/>
  <c r="BM57" i="3"/>
  <c r="BL57" i="3"/>
  <c r="BK57" i="3"/>
  <c r="BJ57" i="3"/>
  <c r="BM56" i="3"/>
  <c r="BL56" i="3"/>
  <c r="BK56" i="3"/>
  <c r="BJ56" i="3"/>
  <c r="BM50" i="3"/>
  <c r="BL50" i="3"/>
  <c r="BK50" i="3"/>
  <c r="BJ50" i="3"/>
  <c r="BM49" i="3"/>
  <c r="BL49" i="3"/>
  <c r="BK49" i="3"/>
  <c r="BJ49" i="3"/>
  <c r="BJ58" i="3" s="1"/>
  <c r="BM48" i="3"/>
  <c r="BL48" i="3"/>
  <c r="BK48" i="3"/>
  <c r="BJ48" i="3"/>
  <c r="BF68" i="3"/>
  <c r="AE9" i="11" s="1"/>
  <c r="BI66" i="3"/>
  <c r="BI67" i="3" s="1"/>
  <c r="BH66" i="3"/>
  <c r="BH67" i="3" s="1"/>
  <c r="BG66" i="3"/>
  <c r="BG67" i="3" s="1"/>
  <c r="BF66" i="3"/>
  <c r="BF67" i="3" s="1"/>
  <c r="BG65" i="3"/>
  <c r="BI63" i="3"/>
  <c r="BH63" i="3"/>
  <c r="BG63" i="3"/>
  <c r="BF63" i="3"/>
  <c r="BI60" i="3"/>
  <c r="BI62" i="3" s="1"/>
  <c r="BH60" i="3"/>
  <c r="BH62" i="3" s="1"/>
  <c r="BG60" i="3"/>
  <c r="BG62" i="3" s="1"/>
  <c r="BF60" i="3"/>
  <c r="BF62" i="3" s="1"/>
  <c r="BI59" i="3"/>
  <c r="BH59" i="3"/>
  <c r="BG59" i="3"/>
  <c r="BF59" i="3"/>
  <c r="BI57" i="3"/>
  <c r="BH57" i="3"/>
  <c r="BG57" i="3"/>
  <c r="BF57" i="3"/>
  <c r="BI56" i="3"/>
  <c r="BH56" i="3"/>
  <c r="BG56" i="3"/>
  <c r="BF56" i="3"/>
  <c r="BI50" i="3"/>
  <c r="BH50" i="3"/>
  <c r="BG50" i="3"/>
  <c r="BF50" i="3"/>
  <c r="BI49" i="3"/>
  <c r="BH49" i="3"/>
  <c r="BG49" i="3"/>
  <c r="BF49" i="3"/>
  <c r="BF58" i="3" s="1"/>
  <c r="BI48" i="3"/>
  <c r="BH48" i="3"/>
  <c r="BG48" i="3"/>
  <c r="BF48" i="3"/>
  <c r="BB68" i="3"/>
  <c r="AC9" i="11" s="1"/>
  <c r="BE66" i="3"/>
  <c r="BE67" i="3" s="1"/>
  <c r="BD66" i="3"/>
  <c r="BD67" i="3" s="1"/>
  <c r="BC66" i="3"/>
  <c r="BC67" i="3" s="1"/>
  <c r="BB66" i="3"/>
  <c r="BB67" i="3" s="1"/>
  <c r="BE65" i="3"/>
  <c r="BE63" i="3"/>
  <c r="BD63" i="3"/>
  <c r="BC63" i="3"/>
  <c r="BB63" i="3"/>
  <c r="BE60" i="3"/>
  <c r="BE62" i="3" s="1"/>
  <c r="BD60" i="3"/>
  <c r="BD62" i="3" s="1"/>
  <c r="BC60" i="3"/>
  <c r="BC62" i="3" s="1"/>
  <c r="BB60" i="3"/>
  <c r="BB62" i="3" s="1"/>
  <c r="BE59" i="3"/>
  <c r="BD59" i="3"/>
  <c r="BC59" i="3"/>
  <c r="BB59" i="3"/>
  <c r="BE57" i="3"/>
  <c r="BD57" i="3"/>
  <c r="BC57" i="3"/>
  <c r="BB57" i="3"/>
  <c r="BE56" i="3"/>
  <c r="BD56" i="3"/>
  <c r="BC56" i="3"/>
  <c r="BB56" i="3"/>
  <c r="BE50" i="3"/>
  <c r="BD50" i="3"/>
  <c r="BC50" i="3"/>
  <c r="BB50" i="3"/>
  <c r="BE49" i="3"/>
  <c r="BD49" i="3"/>
  <c r="BC49" i="3"/>
  <c r="BB49" i="3"/>
  <c r="BB58" i="3" s="1"/>
  <c r="BE48" i="3"/>
  <c r="BD48" i="3"/>
  <c r="BC48" i="3"/>
  <c r="BB48" i="3"/>
  <c r="AX68" i="3"/>
  <c r="AA9" i="11" s="1"/>
  <c r="BA66" i="3"/>
  <c r="BA67" i="3" s="1"/>
  <c r="AZ66" i="3"/>
  <c r="AZ67" i="3" s="1"/>
  <c r="AY66" i="3"/>
  <c r="AY67" i="3" s="1"/>
  <c r="AX66" i="3"/>
  <c r="AX67" i="3" s="1"/>
  <c r="AY65" i="3"/>
  <c r="BA65" i="3"/>
  <c r="AZ65" i="3"/>
  <c r="BA63" i="3"/>
  <c r="AZ63" i="3"/>
  <c r="AY63" i="3"/>
  <c r="AX63" i="3"/>
  <c r="BA60" i="3"/>
  <c r="BA62" i="3" s="1"/>
  <c r="AZ60" i="3"/>
  <c r="AZ62" i="3" s="1"/>
  <c r="AY60" i="3"/>
  <c r="AY62" i="3" s="1"/>
  <c r="AX60" i="3"/>
  <c r="AX62" i="3" s="1"/>
  <c r="BA59" i="3"/>
  <c r="AZ59" i="3"/>
  <c r="AY59" i="3"/>
  <c r="AX59" i="3"/>
  <c r="BA57" i="3"/>
  <c r="AZ57" i="3"/>
  <c r="AY57" i="3"/>
  <c r="AX57" i="3"/>
  <c r="BA56" i="3"/>
  <c r="AZ56" i="3"/>
  <c r="AY56" i="3"/>
  <c r="AX56" i="3"/>
  <c r="BA50" i="3"/>
  <c r="AZ50" i="3"/>
  <c r="AY50" i="3"/>
  <c r="AX50" i="3"/>
  <c r="BA49" i="3"/>
  <c r="AZ49" i="3"/>
  <c r="AY49" i="3"/>
  <c r="AX49" i="3"/>
  <c r="AX58" i="3" s="1"/>
  <c r="BA48" i="3"/>
  <c r="AZ48" i="3"/>
  <c r="AY48" i="3"/>
  <c r="AX48" i="3"/>
  <c r="AT68" i="3"/>
  <c r="Y9" i="11" s="1"/>
  <c r="AW66" i="3"/>
  <c r="AW67" i="3" s="1"/>
  <c r="AV66" i="3"/>
  <c r="AV67" i="3" s="1"/>
  <c r="AU66" i="3"/>
  <c r="AU67" i="3" s="1"/>
  <c r="AT66" i="3"/>
  <c r="AT67" i="3" s="1"/>
  <c r="AT65" i="3"/>
  <c r="AW63" i="3"/>
  <c r="AV63" i="3"/>
  <c r="AU63" i="3"/>
  <c r="AT63" i="3"/>
  <c r="AW60" i="3"/>
  <c r="AW62" i="3" s="1"/>
  <c r="AV60" i="3"/>
  <c r="AV62" i="3" s="1"/>
  <c r="AU60" i="3"/>
  <c r="AU61" i="3" s="1"/>
  <c r="AT60" i="3"/>
  <c r="AT62" i="3" s="1"/>
  <c r="AW59" i="3"/>
  <c r="AV59" i="3"/>
  <c r="AU59" i="3"/>
  <c r="AT59" i="3"/>
  <c r="AW57" i="3"/>
  <c r="AV57" i="3"/>
  <c r="AU57" i="3"/>
  <c r="AT57" i="3"/>
  <c r="AW56" i="3"/>
  <c r="AV56" i="3"/>
  <c r="AU56" i="3"/>
  <c r="AT56" i="3"/>
  <c r="AW50" i="3"/>
  <c r="AV50" i="3"/>
  <c r="AU50" i="3"/>
  <c r="AT50" i="3"/>
  <c r="AW49" i="3"/>
  <c r="AV49" i="3"/>
  <c r="AU49" i="3"/>
  <c r="AT49" i="3"/>
  <c r="AT58" i="3" s="1"/>
  <c r="AW48" i="3"/>
  <c r="AV48" i="3"/>
  <c r="AU48" i="3"/>
  <c r="AT48" i="3"/>
  <c r="AP68" i="3"/>
  <c r="W9" i="11" s="1"/>
  <c r="AS66" i="3"/>
  <c r="AS67" i="3" s="1"/>
  <c r="AR66" i="3"/>
  <c r="AR67" i="3" s="1"/>
  <c r="AQ66" i="3"/>
  <c r="AQ67" i="3" s="1"/>
  <c r="AP66" i="3"/>
  <c r="AP67" i="3" s="1"/>
  <c r="AQ65" i="3"/>
  <c r="AS63" i="3"/>
  <c r="AR63" i="3"/>
  <c r="AQ63" i="3"/>
  <c r="AP63" i="3"/>
  <c r="AS60" i="3"/>
  <c r="AS62" i="3" s="1"/>
  <c r="AR60" i="3"/>
  <c r="AR62" i="3" s="1"/>
  <c r="AQ60" i="3"/>
  <c r="AQ62" i="3" s="1"/>
  <c r="AP60" i="3"/>
  <c r="AP62" i="3" s="1"/>
  <c r="AS59" i="3"/>
  <c r="AR59" i="3"/>
  <c r="AQ59" i="3"/>
  <c r="AP59" i="3"/>
  <c r="AS57" i="3"/>
  <c r="AR57" i="3"/>
  <c r="AQ57" i="3"/>
  <c r="AP57" i="3"/>
  <c r="AS56" i="3"/>
  <c r="AR56" i="3"/>
  <c r="AQ56" i="3"/>
  <c r="AP56" i="3"/>
  <c r="AS50" i="3"/>
  <c r="AR50" i="3"/>
  <c r="AQ50" i="3"/>
  <c r="AP50" i="3"/>
  <c r="AS49" i="3"/>
  <c r="AR49" i="3"/>
  <c r="AQ49" i="3"/>
  <c r="AP49" i="3"/>
  <c r="AP58" i="3" s="1"/>
  <c r="AS48" i="3"/>
  <c r="AR48" i="3"/>
  <c r="AQ48" i="3"/>
  <c r="AP48" i="3"/>
  <c r="AL68" i="3"/>
  <c r="U9" i="11" s="1"/>
  <c r="AO66" i="3"/>
  <c r="AO67" i="3" s="1"/>
  <c r="AN66" i="3"/>
  <c r="AN67" i="3" s="1"/>
  <c r="AM66" i="3"/>
  <c r="AM67" i="3" s="1"/>
  <c r="AL66" i="3"/>
  <c r="AL67" i="3" s="1"/>
  <c r="AO63" i="3"/>
  <c r="AN63" i="3"/>
  <c r="AM63" i="3"/>
  <c r="AL63" i="3"/>
  <c r="AO60" i="3"/>
  <c r="AO62" i="3" s="1"/>
  <c r="AN60" i="3"/>
  <c r="AN62" i="3" s="1"/>
  <c r="AM60" i="3"/>
  <c r="AM62" i="3" s="1"/>
  <c r="AL60" i="3"/>
  <c r="AL62" i="3" s="1"/>
  <c r="AO59" i="3"/>
  <c r="AN59" i="3"/>
  <c r="AM59" i="3"/>
  <c r="AL59" i="3"/>
  <c r="AO57" i="3"/>
  <c r="AN57" i="3"/>
  <c r="AM57" i="3"/>
  <c r="AL57" i="3"/>
  <c r="AO56" i="3"/>
  <c r="AN56" i="3"/>
  <c r="AM56" i="3"/>
  <c r="AL56" i="3"/>
  <c r="AO50" i="3"/>
  <c r="AN50" i="3"/>
  <c r="AM50" i="3"/>
  <c r="AL50" i="3"/>
  <c r="AO49" i="3"/>
  <c r="AN49" i="3"/>
  <c r="AM49" i="3"/>
  <c r="AL49" i="3"/>
  <c r="AL58" i="3" s="1"/>
  <c r="AO48" i="3"/>
  <c r="AN48" i="3"/>
  <c r="AM48" i="3"/>
  <c r="AL48" i="3"/>
  <c r="AH68" i="3"/>
  <c r="S9" i="11" s="1"/>
  <c r="AK63" i="3"/>
  <c r="AK64" i="3" s="1"/>
  <c r="AK65" i="3" s="1"/>
  <c r="AJ63" i="3"/>
  <c r="AJ64" i="3" s="1"/>
  <c r="AJ65" i="3" s="1"/>
  <c r="AI63" i="3"/>
  <c r="AI64" i="3" s="1"/>
  <c r="AI65" i="3" s="1"/>
  <c r="AH63" i="3"/>
  <c r="AH64" i="3" s="1"/>
  <c r="AH65" i="3" s="1"/>
  <c r="AK60" i="3"/>
  <c r="AK62" i="3" s="1"/>
  <c r="AJ60" i="3"/>
  <c r="AJ62" i="3" s="1"/>
  <c r="AI60" i="3"/>
  <c r="AI62" i="3" s="1"/>
  <c r="AH60" i="3"/>
  <c r="AH62" i="3" s="1"/>
  <c r="AK59" i="3"/>
  <c r="AJ59" i="3"/>
  <c r="AI59" i="3"/>
  <c r="AH59" i="3"/>
  <c r="AK57" i="3"/>
  <c r="AJ57" i="3"/>
  <c r="AI57" i="3"/>
  <c r="AH57" i="3"/>
  <c r="AK56" i="3"/>
  <c r="AJ56" i="3"/>
  <c r="AI56" i="3"/>
  <c r="AH56" i="3"/>
  <c r="AK50" i="3"/>
  <c r="AJ50" i="3"/>
  <c r="AI50" i="3"/>
  <c r="AH50" i="3"/>
  <c r="AK49" i="3"/>
  <c r="AJ49" i="3"/>
  <c r="AI49" i="3"/>
  <c r="AH49" i="3"/>
  <c r="AH58" i="3" s="1"/>
  <c r="AK48" i="3"/>
  <c r="AJ48" i="3"/>
  <c r="AI48" i="3"/>
  <c r="AH48" i="3"/>
  <c r="AD68" i="3"/>
  <c r="Q9" i="11" s="1"/>
  <c r="AE66" i="3"/>
  <c r="AE67" i="3" s="1"/>
  <c r="AG63" i="3"/>
  <c r="AF63" i="3"/>
  <c r="AE63" i="3"/>
  <c r="AD63" i="3"/>
  <c r="AG60" i="3"/>
  <c r="AG62" i="3" s="1"/>
  <c r="AF60" i="3"/>
  <c r="AF62" i="3" s="1"/>
  <c r="AE60" i="3"/>
  <c r="AE62" i="3" s="1"/>
  <c r="AD60" i="3"/>
  <c r="AD62" i="3" s="1"/>
  <c r="AG59" i="3"/>
  <c r="AF59" i="3"/>
  <c r="AE59" i="3"/>
  <c r="AD59" i="3"/>
  <c r="AE57" i="3"/>
  <c r="AD57" i="3"/>
  <c r="AE56" i="3"/>
  <c r="AD56" i="3"/>
  <c r="AG50" i="3"/>
  <c r="AF50" i="3"/>
  <c r="AE50" i="3"/>
  <c r="AD50" i="3"/>
  <c r="AG49" i="3"/>
  <c r="AF49" i="3"/>
  <c r="AE49" i="3"/>
  <c r="AD49" i="3"/>
  <c r="AD58" i="3" s="1"/>
  <c r="AG48" i="3"/>
  <c r="AF48" i="3"/>
  <c r="AE48" i="3"/>
  <c r="AD48" i="3"/>
  <c r="Z68" i="3"/>
  <c r="O9" i="11" s="1"/>
  <c r="AA66" i="3"/>
  <c r="AA67" i="3" s="1"/>
  <c r="AC63" i="3"/>
  <c r="AB63" i="3"/>
  <c r="AA63" i="3"/>
  <c r="Z63" i="3"/>
  <c r="Z64" i="3" s="1"/>
  <c r="Z65" i="3" s="1"/>
  <c r="AC60" i="3"/>
  <c r="AC62" i="3" s="1"/>
  <c r="AB60" i="3"/>
  <c r="AB62" i="3" s="1"/>
  <c r="AA60" i="3"/>
  <c r="AA62" i="3" s="1"/>
  <c r="Z60" i="3"/>
  <c r="Z62" i="3" s="1"/>
  <c r="AC59" i="3"/>
  <c r="AB59" i="3"/>
  <c r="AA59" i="3"/>
  <c r="Z59" i="3"/>
  <c r="AB57" i="3"/>
  <c r="AA57" i="3"/>
  <c r="Z57" i="3"/>
  <c r="AA56" i="3"/>
  <c r="Z56" i="3"/>
  <c r="AC50" i="3"/>
  <c r="AB50" i="3"/>
  <c r="AA50" i="3"/>
  <c r="Z50" i="3"/>
  <c r="AC49" i="3"/>
  <c r="AB49" i="3"/>
  <c r="AA49" i="3"/>
  <c r="Z49" i="3"/>
  <c r="Z58" i="3" s="1"/>
  <c r="AC48" i="3"/>
  <c r="AB48" i="3"/>
  <c r="AA48" i="3"/>
  <c r="Z48" i="3"/>
  <c r="V68" i="3"/>
  <c r="M9" i="11" s="1"/>
  <c r="W66" i="3"/>
  <c r="W67" i="3" s="1"/>
  <c r="Y63" i="3"/>
  <c r="X63" i="3"/>
  <c r="W63" i="3"/>
  <c r="V63" i="3"/>
  <c r="V64" i="3" s="1"/>
  <c r="V65" i="3" s="1"/>
  <c r="Y60" i="3"/>
  <c r="Y62" i="3" s="1"/>
  <c r="X60" i="3"/>
  <c r="X62" i="3" s="1"/>
  <c r="W60" i="3"/>
  <c r="W62" i="3" s="1"/>
  <c r="V60" i="3"/>
  <c r="V62" i="3" s="1"/>
  <c r="Y59" i="3"/>
  <c r="X59" i="3"/>
  <c r="W59" i="3"/>
  <c r="V59" i="3"/>
  <c r="W57" i="3"/>
  <c r="V57" i="3"/>
  <c r="W56" i="3"/>
  <c r="V56" i="3"/>
  <c r="Y50" i="3"/>
  <c r="X50" i="3"/>
  <c r="W50" i="3"/>
  <c r="V50" i="3"/>
  <c r="Y49" i="3"/>
  <c r="X49" i="3"/>
  <c r="W49" i="3"/>
  <c r="V49" i="3"/>
  <c r="V58" i="3" s="1"/>
  <c r="Y48" i="3"/>
  <c r="X48" i="3"/>
  <c r="W48" i="3"/>
  <c r="V48" i="3"/>
  <c r="R68" i="3"/>
  <c r="K9" i="11" s="1"/>
  <c r="S66" i="3"/>
  <c r="S67" i="3" s="1"/>
  <c r="U63" i="3"/>
  <c r="T63" i="3"/>
  <c r="S63" i="3"/>
  <c r="R63" i="3"/>
  <c r="U60" i="3"/>
  <c r="U62" i="3" s="1"/>
  <c r="T60" i="3"/>
  <c r="T62" i="3" s="1"/>
  <c r="S60" i="3"/>
  <c r="S62" i="3" s="1"/>
  <c r="R60" i="3"/>
  <c r="R62" i="3" s="1"/>
  <c r="U59" i="3"/>
  <c r="T59" i="3"/>
  <c r="S59" i="3"/>
  <c r="R59" i="3"/>
  <c r="S57" i="3"/>
  <c r="R57" i="3"/>
  <c r="S56" i="3"/>
  <c r="R56" i="3"/>
  <c r="U50" i="3"/>
  <c r="T50" i="3"/>
  <c r="S50" i="3"/>
  <c r="R50" i="3"/>
  <c r="U49" i="3"/>
  <c r="T49" i="3"/>
  <c r="S49" i="3"/>
  <c r="R49" i="3"/>
  <c r="R58" i="3" s="1"/>
  <c r="U48" i="3"/>
  <c r="T48" i="3"/>
  <c r="S48" i="3"/>
  <c r="R48" i="3"/>
  <c r="N68" i="3"/>
  <c r="I9" i="11" s="1"/>
  <c r="Q63" i="3"/>
  <c r="Q64" i="3" s="1"/>
  <c r="Q65" i="3" s="1"/>
  <c r="P63" i="3"/>
  <c r="P64" i="3" s="1"/>
  <c r="P65" i="3" s="1"/>
  <c r="O63" i="3"/>
  <c r="O64" i="3" s="1"/>
  <c r="O65" i="3" s="1"/>
  <c r="N63" i="3"/>
  <c r="N64" i="3" s="1"/>
  <c r="N65" i="3" s="1"/>
  <c r="Q60" i="3"/>
  <c r="Q62" i="3" s="1"/>
  <c r="P60" i="3"/>
  <c r="P62" i="3" s="1"/>
  <c r="O60" i="3"/>
  <c r="O61" i="3" s="1"/>
  <c r="N60" i="3"/>
  <c r="N62" i="3" s="1"/>
  <c r="Q59" i="3"/>
  <c r="P59" i="3"/>
  <c r="O59" i="3"/>
  <c r="N59" i="3"/>
  <c r="Q57" i="3"/>
  <c r="P57" i="3"/>
  <c r="O57" i="3"/>
  <c r="N57" i="3"/>
  <c r="Q56" i="3"/>
  <c r="P56" i="3"/>
  <c r="O56" i="3"/>
  <c r="N56" i="3"/>
  <c r="Q50" i="3"/>
  <c r="P50" i="3"/>
  <c r="O50" i="3"/>
  <c r="N50" i="3"/>
  <c r="Q49" i="3"/>
  <c r="P49" i="3"/>
  <c r="O49" i="3"/>
  <c r="N49" i="3"/>
  <c r="N58" i="3" s="1"/>
  <c r="Q48" i="3"/>
  <c r="P48" i="3"/>
  <c r="O48" i="3"/>
  <c r="N48" i="3"/>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E38" i="11"/>
  <c r="F8" i="13"/>
  <c r="F9" i="13" s="1"/>
  <c r="F13" i="12"/>
  <c r="F14" i="12" s="1"/>
  <c r="F12" i="12"/>
  <c r="I10" i="12"/>
  <c r="L10" i="12" s="1"/>
  <c r="H15" i="12"/>
  <c r="J15" i="12" s="1"/>
  <c r="H13" i="12"/>
  <c r="J13" i="12" s="1"/>
  <c r="L13" i="12" s="1"/>
  <c r="G13" i="12"/>
  <c r="I13" i="12" s="1"/>
  <c r="J11" i="12"/>
  <c r="I11" i="12"/>
  <c r="L11" i="12" s="1"/>
  <c r="G12" i="12"/>
  <c r="G14" i="12" s="1"/>
  <c r="G16" i="12" s="1"/>
  <c r="G18" i="12" s="1"/>
  <c r="G20" i="12" s="1"/>
  <c r="G22" i="12" s="1"/>
  <c r="G24" i="12" s="1"/>
  <c r="G26" i="12" s="1"/>
  <c r="G28" i="12" s="1"/>
  <c r="G30" i="12" s="1"/>
  <c r="G32" i="12" s="1"/>
  <c r="G34" i="12" s="1"/>
  <c r="G36" i="12" s="1"/>
  <c r="G38" i="12" s="1"/>
  <c r="I38" i="12" s="1"/>
  <c r="L38" i="12" s="1"/>
  <c r="J10" i="12"/>
  <c r="H12" i="12"/>
  <c r="H14" i="12" s="1"/>
  <c r="H16" i="12" s="1"/>
  <c r="H18" i="12" s="1"/>
  <c r="H20" i="12" s="1"/>
  <c r="H22" i="12" s="1"/>
  <c r="H24" i="12" s="1"/>
  <c r="H26" i="12" s="1"/>
  <c r="H28" i="12" s="1"/>
  <c r="H30" i="12" s="1"/>
  <c r="H32" i="12" s="1"/>
  <c r="H34" i="12" s="1"/>
  <c r="H36" i="12" s="1"/>
  <c r="H38" i="12" s="1"/>
  <c r="J38" i="12" s="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S8" i="11"/>
  <c r="R13" i="11"/>
  <c r="Q13" i="11"/>
  <c r="R12" i="11"/>
  <c r="Q12" i="11"/>
  <c r="R11" i="11"/>
  <c r="Q11" i="11"/>
  <c r="R10" i="11"/>
  <c r="Q10" i="11"/>
  <c r="Q8" i="11"/>
  <c r="P13" i="11"/>
  <c r="O13" i="11"/>
  <c r="P12" i="11"/>
  <c r="O12" i="11"/>
  <c r="P11" i="11"/>
  <c r="O11" i="11"/>
  <c r="P10" i="11"/>
  <c r="O10" i="11"/>
  <c r="O8" i="11"/>
  <c r="N13" i="11"/>
  <c r="M13" i="11"/>
  <c r="N12" i="11"/>
  <c r="M12" i="11"/>
  <c r="N11" i="11"/>
  <c r="M11" i="11"/>
  <c r="N10" i="11"/>
  <c r="M10" i="11"/>
  <c r="M8" i="11"/>
  <c r="L13" i="11"/>
  <c r="K13" i="11"/>
  <c r="L12" i="11"/>
  <c r="K12" i="11"/>
  <c r="L11" i="11"/>
  <c r="K11" i="11"/>
  <c r="L10" i="11"/>
  <c r="L16" i="11" s="1"/>
  <c r="K10" i="11"/>
  <c r="K8" i="11"/>
  <c r="J13" i="11"/>
  <c r="I13" i="11"/>
  <c r="J12" i="11"/>
  <c r="I12" i="11"/>
  <c r="J11" i="11"/>
  <c r="I11" i="11"/>
  <c r="J10" i="11"/>
  <c r="J16" i="11" s="1"/>
  <c r="I10" i="11"/>
  <c r="G15" i="11"/>
  <c r="H15" i="11"/>
  <c r="H10" i="11"/>
  <c r="H16" i="11" s="1"/>
  <c r="G10" i="11"/>
  <c r="F10" i="11"/>
  <c r="F16" i="11" s="1"/>
  <c r="E10" i="11"/>
  <c r="E16" i="11" s="1"/>
  <c r="F13" i="11"/>
  <c r="F12" i="11"/>
  <c r="E13" i="11"/>
  <c r="E12" i="11"/>
  <c r="F11" i="11"/>
  <c r="E11" i="11"/>
  <c r="AO20" i="11"/>
  <c r="AQ20" i="11"/>
  <c r="AM20" i="11"/>
  <c r="AH20" i="11"/>
  <c r="AF20" i="11"/>
  <c r="AA20" i="11"/>
  <c r="V20" i="11"/>
  <c r="T20" i="11"/>
  <c r="O20" i="11"/>
  <c r="J20" i="11"/>
  <c r="AO19" i="11"/>
  <c r="AE20" i="11"/>
  <c r="AR20" i="11"/>
  <c r="Z20" i="11"/>
  <c r="N20" i="11"/>
  <c r="AK20" i="11"/>
  <c r="Q20" i="11"/>
  <c r="AP20" i="11"/>
  <c r="AI20" i="11"/>
  <c r="AD20" i="11"/>
  <c r="W20" i="11"/>
  <c r="R20" i="11"/>
  <c r="S20" i="11"/>
  <c r="K20" i="11"/>
  <c r="I20" i="11"/>
  <c r="AN20" i="11"/>
  <c r="AG20" i="11"/>
  <c r="AB20" i="11"/>
  <c r="P20" i="11"/>
  <c r="AJ20" i="11"/>
  <c r="AC20" i="11"/>
  <c r="Y20" i="11"/>
  <c r="M20" i="11"/>
  <c r="AL20" i="11"/>
  <c r="U20" i="11"/>
  <c r="H20" i="11"/>
  <c r="X20" i="11"/>
  <c r="L20" i="11"/>
  <c r="G20" i="11"/>
  <c r="T57" i="3" l="1"/>
  <c r="W58" i="3"/>
  <c r="AE58" i="3"/>
  <c r="AN58" i="3"/>
  <c r="AN52" i="3"/>
  <c r="AN51" i="3" s="1"/>
  <c r="AN53" i="3" s="1"/>
  <c r="AN54" i="3" s="1"/>
  <c r="AN55" i="3" s="1"/>
  <c r="AS58" i="3"/>
  <c r="AS52" i="3"/>
  <c r="AS51" i="3" s="1"/>
  <c r="AS53" i="3" s="1"/>
  <c r="AS54" i="3" s="1"/>
  <c r="AS55" i="3" s="1"/>
  <c r="AT52" i="3"/>
  <c r="AT51" i="3" s="1"/>
  <c r="AT53" i="3" s="1"/>
  <c r="AT54" i="3" s="1"/>
  <c r="AT55" i="3" s="1"/>
  <c r="AU62" i="3"/>
  <c r="AX53" i="3"/>
  <c r="AX54" i="3" s="1"/>
  <c r="AX55" i="3" s="1"/>
  <c r="AX52" i="3"/>
  <c r="AX51" i="3" s="1"/>
  <c r="BB52" i="3"/>
  <c r="BB51" i="3" s="1"/>
  <c r="BB53" i="3" s="1"/>
  <c r="BB54" i="3" s="1"/>
  <c r="BB55" i="3" s="1"/>
  <c r="BG53" i="3"/>
  <c r="BG54" i="3" s="1"/>
  <c r="BG55" i="3" s="1"/>
  <c r="BG58" i="3"/>
  <c r="BG52" i="3"/>
  <c r="BG51" i="3" s="1"/>
  <c r="BL58" i="3"/>
  <c r="BL52" i="3"/>
  <c r="BL51" i="3" s="1"/>
  <c r="BL53" i="3" s="1"/>
  <c r="BL54" i="3" s="1"/>
  <c r="BL55" i="3" s="1"/>
  <c r="BN52" i="3"/>
  <c r="BN51" i="3" s="1"/>
  <c r="BN53" i="3" s="1"/>
  <c r="BN54" i="3" s="1"/>
  <c r="BN55" i="3" s="1"/>
  <c r="BS53" i="3"/>
  <c r="BS54" i="3" s="1"/>
  <c r="BS55" i="3" s="1"/>
  <c r="BS58" i="3"/>
  <c r="BS52" i="3"/>
  <c r="BS51" i="3" s="1"/>
  <c r="BX58" i="3"/>
  <c r="BX52" i="3"/>
  <c r="BX51" i="3" s="1"/>
  <c r="BX53" i="3" s="1"/>
  <c r="BX54" i="3" s="1"/>
  <c r="BX55" i="3" s="1"/>
  <c r="CB58" i="3"/>
  <c r="CB52" i="3"/>
  <c r="CB51" i="3" s="1"/>
  <c r="CB53" i="3" s="1"/>
  <c r="CB54" i="3" s="1"/>
  <c r="CB55" i="3" s="1"/>
  <c r="CD53" i="3"/>
  <c r="CD54" i="3" s="1"/>
  <c r="CD55" i="3" s="1"/>
  <c r="CD52" i="3"/>
  <c r="CD51" i="3" s="1"/>
  <c r="CI58" i="3"/>
  <c r="CI52" i="3"/>
  <c r="CI51" i="3" s="1"/>
  <c r="CI53" i="3" s="1"/>
  <c r="CI54" i="3" s="1"/>
  <c r="CI55" i="3" s="1"/>
  <c r="AZ89" i="3"/>
  <c r="AK31" i="11"/>
  <c r="AC31" i="11"/>
  <c r="U31" i="11"/>
  <c r="R13" i="13"/>
  <c r="S13" i="13" s="1"/>
  <c r="R9" i="13"/>
  <c r="S9" i="13" s="1"/>
  <c r="AF58" i="3"/>
  <c r="AO53" i="3"/>
  <c r="AO54" i="3" s="1"/>
  <c r="AO55" i="3" s="1"/>
  <c r="AO58" i="3"/>
  <c r="AO52" i="3"/>
  <c r="AO51" i="3" s="1"/>
  <c r="AP53" i="3"/>
  <c r="AP54" i="3" s="1"/>
  <c r="AP55" i="3" s="1"/>
  <c r="AP52" i="3"/>
  <c r="AP51" i="3" s="1"/>
  <c r="AU58" i="3"/>
  <c r="AU52" i="3"/>
  <c r="AU51" i="3" s="1"/>
  <c r="AU53" i="3" s="1"/>
  <c r="AU54" i="3" s="1"/>
  <c r="AU55" i="3" s="1"/>
  <c r="AY58" i="3"/>
  <c r="AY52" i="3"/>
  <c r="AY51" i="3" s="1"/>
  <c r="BC58" i="3"/>
  <c r="BC52" i="3"/>
  <c r="BC51" i="3" s="1"/>
  <c r="BC53" i="3" s="1"/>
  <c r="BC54" i="3" s="1"/>
  <c r="BC55" i="3" s="1"/>
  <c r="BH58" i="3"/>
  <c r="BH52" i="3"/>
  <c r="BH51" i="3" s="1"/>
  <c r="BH53" i="3" s="1"/>
  <c r="BH54" i="3" s="1"/>
  <c r="BH55" i="3" s="1"/>
  <c r="BM53" i="3"/>
  <c r="BM54" i="3" s="1"/>
  <c r="BM55" i="3" s="1"/>
  <c r="BM58" i="3"/>
  <c r="BM52" i="3"/>
  <c r="BM51" i="3" s="1"/>
  <c r="BO58" i="3"/>
  <c r="BO52" i="3"/>
  <c r="BO51" i="3" s="1"/>
  <c r="BT58" i="3"/>
  <c r="BT52" i="3"/>
  <c r="BT51" i="3" s="1"/>
  <c r="BT53" i="3" s="1"/>
  <c r="BT54" i="3" s="1"/>
  <c r="BT55" i="3" s="1"/>
  <c r="BY53" i="3"/>
  <c r="BY54" i="3" s="1"/>
  <c r="BY55" i="3" s="1"/>
  <c r="BY58" i="3"/>
  <c r="BY52" i="3"/>
  <c r="BY51" i="3" s="1"/>
  <c r="CC53" i="3"/>
  <c r="CC54" i="3" s="1"/>
  <c r="CC55" i="3" s="1"/>
  <c r="CC58" i="3"/>
  <c r="CC52" i="3"/>
  <c r="CC51" i="3" s="1"/>
  <c r="CE58" i="3"/>
  <c r="CE52" i="3"/>
  <c r="CE51" i="3" s="1"/>
  <c r="CE53" i="3" s="1"/>
  <c r="CE54" i="3" s="1"/>
  <c r="CE55" i="3" s="1"/>
  <c r="CJ58" i="3"/>
  <c r="CJ52" i="3"/>
  <c r="CJ51" i="3" s="1"/>
  <c r="AT118" i="3"/>
  <c r="AQ31" i="11"/>
  <c r="AI31" i="11"/>
  <c r="AA31" i="11"/>
  <c r="S31" i="11"/>
  <c r="Q15" i="13"/>
  <c r="R12" i="13"/>
  <c r="S12" i="13" s="1"/>
  <c r="AL53" i="3"/>
  <c r="AL54" i="3" s="1"/>
  <c r="AL55" i="3" s="1"/>
  <c r="AL52" i="3"/>
  <c r="AL51" i="3" s="1"/>
  <c r="AQ58" i="3"/>
  <c r="AQ52" i="3"/>
  <c r="AQ51" i="3" s="1"/>
  <c r="AV58" i="3"/>
  <c r="AV52" i="3"/>
  <c r="AV51" i="3" s="1"/>
  <c r="AZ58" i="3"/>
  <c r="AZ52" i="3"/>
  <c r="AZ51" i="3" s="1"/>
  <c r="AZ53" i="3" s="1"/>
  <c r="AZ54" i="3" s="1"/>
  <c r="AZ55" i="3" s="1"/>
  <c r="BD53" i="3"/>
  <c r="BD54" i="3" s="1"/>
  <c r="BD55" i="3" s="1"/>
  <c r="BD58" i="3"/>
  <c r="BD52" i="3"/>
  <c r="BD51" i="3" s="1"/>
  <c r="BI53" i="3"/>
  <c r="BI54" i="3" s="1"/>
  <c r="BI55" i="3" s="1"/>
  <c r="BI58" i="3"/>
  <c r="BI52" i="3"/>
  <c r="BI51" i="3" s="1"/>
  <c r="BJ52" i="3"/>
  <c r="BJ51" i="3" s="1"/>
  <c r="BJ53" i="3" s="1"/>
  <c r="BJ54" i="3" s="1"/>
  <c r="BJ55" i="3" s="1"/>
  <c r="BP53" i="3"/>
  <c r="BP54" i="3" s="1"/>
  <c r="BP55" i="3" s="1"/>
  <c r="BP58" i="3"/>
  <c r="BP52" i="3"/>
  <c r="BP51" i="3" s="1"/>
  <c r="BU53" i="3"/>
  <c r="BU54" i="3" s="1"/>
  <c r="BU55" i="3" s="1"/>
  <c r="BU58" i="3"/>
  <c r="BU52" i="3"/>
  <c r="BU51" i="3" s="1"/>
  <c r="BV52" i="3"/>
  <c r="BV51" i="3" s="1"/>
  <c r="BV53" i="3" s="1"/>
  <c r="BV54" i="3" s="1"/>
  <c r="BV55" i="3" s="1"/>
  <c r="BZ53" i="3"/>
  <c r="BZ54" i="3" s="1"/>
  <c r="BZ55" i="3" s="1"/>
  <c r="BZ52" i="3"/>
  <c r="BZ51" i="3" s="1"/>
  <c r="CF58" i="3"/>
  <c r="CF52" i="3"/>
  <c r="CF51" i="3" s="1"/>
  <c r="CF53" i="3" s="1"/>
  <c r="CF54" i="3" s="1"/>
  <c r="CF55" i="3" s="1"/>
  <c r="CK58" i="3"/>
  <c r="CK52" i="3"/>
  <c r="CK51" i="3" s="1"/>
  <c r="CK53" i="3" s="1"/>
  <c r="CK54" i="3" s="1"/>
  <c r="CK55" i="3" s="1"/>
  <c r="AV89" i="3"/>
  <c r="BT89" i="3"/>
  <c r="CB89" i="3"/>
  <c r="AO31" i="11"/>
  <c r="AG31" i="11"/>
  <c r="Y31" i="11"/>
  <c r="R11" i="13"/>
  <c r="S11" i="13" s="1"/>
  <c r="AM53" i="3"/>
  <c r="AM54" i="3" s="1"/>
  <c r="AM55" i="3" s="1"/>
  <c r="AM58" i="3"/>
  <c r="AM52" i="3"/>
  <c r="AM51" i="3" s="1"/>
  <c r="AR53" i="3"/>
  <c r="AR54" i="3" s="1"/>
  <c r="AR55" i="3" s="1"/>
  <c r="AR58" i="3"/>
  <c r="AR52" i="3"/>
  <c r="AR51" i="3" s="1"/>
  <c r="AW58" i="3"/>
  <c r="AW52" i="3"/>
  <c r="AW51" i="3" s="1"/>
  <c r="AW53" i="3" s="1"/>
  <c r="AW54" i="3" s="1"/>
  <c r="AW55" i="3" s="1"/>
  <c r="BA58" i="3"/>
  <c r="BA52" i="3"/>
  <c r="BA51" i="3" s="1"/>
  <c r="BA53" i="3" s="1"/>
  <c r="BA54" i="3" s="1"/>
  <c r="BA55" i="3" s="1"/>
  <c r="BE53" i="3"/>
  <c r="BE54" i="3" s="1"/>
  <c r="BE55" i="3" s="1"/>
  <c r="BE58" i="3"/>
  <c r="BE52" i="3"/>
  <c r="BE51" i="3" s="1"/>
  <c r="BF53" i="3"/>
  <c r="BF54" i="3" s="1"/>
  <c r="BF55" i="3" s="1"/>
  <c r="BF52" i="3"/>
  <c r="BF51" i="3" s="1"/>
  <c r="BK58" i="3"/>
  <c r="BK52" i="3"/>
  <c r="BK51" i="3" s="1"/>
  <c r="BQ53" i="3"/>
  <c r="BQ54" i="3" s="1"/>
  <c r="BQ55" i="3" s="1"/>
  <c r="BQ58" i="3"/>
  <c r="BQ52" i="3"/>
  <c r="BQ51" i="3" s="1"/>
  <c r="BR52" i="3"/>
  <c r="BR51" i="3" s="1"/>
  <c r="BR53" i="3" s="1"/>
  <c r="BR54" i="3" s="1"/>
  <c r="BR55" i="3" s="1"/>
  <c r="BW53" i="3"/>
  <c r="BW54" i="3" s="1"/>
  <c r="BW55" i="3" s="1"/>
  <c r="BW58" i="3"/>
  <c r="BW52" i="3"/>
  <c r="BW51" i="3" s="1"/>
  <c r="CA53" i="3"/>
  <c r="CA54" i="3" s="1"/>
  <c r="CA55" i="3" s="1"/>
  <c r="CA58" i="3"/>
  <c r="CA52" i="3"/>
  <c r="CA51" i="3" s="1"/>
  <c r="CG58" i="3"/>
  <c r="CG52" i="3"/>
  <c r="CG51" i="3" s="1"/>
  <c r="CG53" i="3" s="1"/>
  <c r="CG54" i="3" s="1"/>
  <c r="CG55" i="3" s="1"/>
  <c r="CH53" i="3"/>
  <c r="CH54" i="3" s="1"/>
  <c r="CH55" i="3" s="1"/>
  <c r="CH52" i="3"/>
  <c r="CH51" i="3" s="1"/>
  <c r="AM31" i="11"/>
  <c r="R10" i="13"/>
  <c r="S10" i="13" s="1"/>
  <c r="AH99" i="3"/>
  <c r="Z99" i="3"/>
  <c r="AF99" i="3"/>
  <c r="AF100" i="3" s="1"/>
  <c r="BN99" i="3"/>
  <c r="BN100" i="3" s="1"/>
  <c r="BA99" i="3"/>
  <c r="BA100" i="3" s="1"/>
  <c r="BE99" i="3"/>
  <c r="BE100" i="3" s="1"/>
  <c r="BI100" i="3"/>
  <c r="BI99" i="3"/>
  <c r="BM99" i="3"/>
  <c r="BM100" i="3" s="1"/>
  <c r="BO99" i="3"/>
  <c r="BO100" i="3" s="1"/>
  <c r="W23" i="11"/>
  <c r="W41" i="11" s="1"/>
  <c r="L17" i="11"/>
  <c r="AB99" i="3"/>
  <c r="AB100" i="3" s="1"/>
  <c r="AB102" i="3" s="1"/>
  <c r="BP99" i="3"/>
  <c r="BP100" i="3" s="1"/>
  <c r="AP100" i="3"/>
  <c r="AO29" i="11" s="1"/>
  <c r="AP99" i="3"/>
  <c r="AT99" i="3"/>
  <c r="AT100" i="3" s="1"/>
  <c r="AH100" i="3"/>
  <c r="AG29" i="11" s="1"/>
  <c r="AD100" i="3"/>
  <c r="AC29" i="11" s="1"/>
  <c r="AE100" i="3"/>
  <c r="AD29" i="11" s="1"/>
  <c r="AC99" i="3"/>
  <c r="Z100" i="3"/>
  <c r="U100" i="3"/>
  <c r="T29" i="11" s="1"/>
  <c r="AI79" i="3"/>
  <c r="AI80" i="3" s="1"/>
  <c r="AI81" i="3" s="1"/>
  <c r="AC57" i="3"/>
  <c r="Z79" i="3"/>
  <c r="V80" i="3"/>
  <c r="V81" i="3" s="1"/>
  <c r="X78" i="3"/>
  <c r="X77" i="3" s="1"/>
  <c r="R79" i="3"/>
  <c r="R80" i="3" s="1"/>
  <c r="R81" i="3" s="1"/>
  <c r="AJ105" i="3"/>
  <c r="AJ106" i="3" s="1"/>
  <c r="AI105" i="3"/>
  <c r="AI106" i="3" s="1"/>
  <c r="AK108" i="3"/>
  <c r="AK109" i="3" s="1"/>
  <c r="AK79" i="3"/>
  <c r="AK80" i="3" s="1"/>
  <c r="AK81" i="3" s="1"/>
  <c r="AJ108" i="3"/>
  <c r="AJ109" i="3" s="1"/>
  <c r="AI108" i="3"/>
  <c r="AI109" i="3" s="1"/>
  <c r="AJ79" i="3"/>
  <c r="AJ80" i="3" s="1"/>
  <c r="AJ81" i="3" s="1"/>
  <c r="AI90" i="3"/>
  <c r="AI94" i="3" s="1"/>
  <c r="AI99" i="3"/>
  <c r="AI100" i="3" s="1"/>
  <c r="AI58" i="3"/>
  <c r="AJ89" i="3"/>
  <c r="AJ99" i="3"/>
  <c r="AJ100" i="3" s="1"/>
  <c r="AJ58" i="3"/>
  <c r="AK90" i="3"/>
  <c r="AK94" i="3" s="1"/>
  <c r="AK52" i="3"/>
  <c r="AK51" i="3" s="1"/>
  <c r="AK53" i="3" s="1"/>
  <c r="AK54" i="3" s="1"/>
  <c r="AK55" i="3" s="1"/>
  <c r="AK58" i="3"/>
  <c r="AH105" i="3"/>
  <c r="AH106" i="3" s="1"/>
  <c r="AH108" i="3" s="1"/>
  <c r="AH52" i="3"/>
  <c r="AH51" i="3" s="1"/>
  <c r="AH53" i="3" s="1"/>
  <c r="AH54" i="3" s="1"/>
  <c r="AH55" i="3" s="1"/>
  <c r="AI52" i="3"/>
  <c r="AI51" i="3" s="1"/>
  <c r="AJ52" i="3"/>
  <c r="AJ51" i="3" s="1"/>
  <c r="AJ53" i="3" s="1"/>
  <c r="AJ54" i="3" s="1"/>
  <c r="AJ55" i="3" s="1"/>
  <c r="AG108" i="3"/>
  <c r="AG109" i="3" s="1"/>
  <c r="AG58" i="3"/>
  <c r="AD52" i="3"/>
  <c r="AD51" i="3" s="1"/>
  <c r="AD53" i="3" s="1"/>
  <c r="AD54" i="3" s="1"/>
  <c r="AD55" i="3" s="1"/>
  <c r="AF89" i="3"/>
  <c r="AF88" i="3" s="1"/>
  <c r="AF90" i="3" s="1"/>
  <c r="AE52" i="3"/>
  <c r="AE51" i="3" s="1"/>
  <c r="AE53" i="3" s="1"/>
  <c r="AE54" i="3" s="1"/>
  <c r="AE55" i="3" s="1"/>
  <c r="AG99" i="3"/>
  <c r="AG100" i="3" s="1"/>
  <c r="AF52" i="3"/>
  <c r="AF51" i="3" s="1"/>
  <c r="AF53" i="3" s="1"/>
  <c r="AF57" i="3"/>
  <c r="AD80" i="3"/>
  <c r="AD81" i="3" s="1"/>
  <c r="AD105" i="3"/>
  <c r="AD106" i="3" s="1"/>
  <c r="AD108" i="3" s="1"/>
  <c r="AG52" i="3"/>
  <c r="AG51" i="3" s="1"/>
  <c r="AG53" i="3" s="1"/>
  <c r="AG57" i="3"/>
  <c r="AE80" i="3"/>
  <c r="AE81" i="3" s="1"/>
  <c r="AE105" i="3"/>
  <c r="AE106" i="3" s="1"/>
  <c r="AF78" i="3"/>
  <c r="AF77" i="3" s="1"/>
  <c r="AF79" i="3" s="1"/>
  <c r="AF80" i="3" s="1"/>
  <c r="AF81" i="3" s="1"/>
  <c r="AF82" i="3" s="1"/>
  <c r="AC108" i="3"/>
  <c r="AC109" i="3" s="1"/>
  <c r="Z90" i="3"/>
  <c r="Z108" i="3"/>
  <c r="Z109" i="3" s="1"/>
  <c r="Z80" i="3"/>
  <c r="Z81" i="3" s="1"/>
  <c r="Z82" i="3" s="1"/>
  <c r="AA58" i="3"/>
  <c r="AB52" i="3"/>
  <c r="AB51" i="3" s="1"/>
  <c r="AB53" i="3" s="1"/>
  <c r="AB54" i="3" s="1"/>
  <c r="AB55" i="3" s="1"/>
  <c r="AC100" i="3"/>
  <c r="AB58" i="3"/>
  <c r="AA105" i="3"/>
  <c r="AA106" i="3" s="1"/>
  <c r="AC58" i="3"/>
  <c r="AB105" i="3"/>
  <c r="AB106" i="3" s="1"/>
  <c r="AB108" i="3" s="1"/>
  <c r="AB109" i="3" s="1"/>
  <c r="AC52" i="3"/>
  <c r="AC51" i="3" s="1"/>
  <c r="AC53" i="3" s="1"/>
  <c r="AC54" i="3" s="1"/>
  <c r="AC55" i="3" s="1"/>
  <c r="Z52" i="3"/>
  <c r="Z51" i="3" s="1"/>
  <c r="Z53" i="3" s="1"/>
  <c r="Z54" i="3" s="1"/>
  <c r="Z55" i="3" s="1"/>
  <c r="AA52" i="3"/>
  <c r="AA51" i="3" s="1"/>
  <c r="AA53" i="3" s="1"/>
  <c r="AA54" i="3" s="1"/>
  <c r="AA55" i="3" s="1"/>
  <c r="AA90" i="3"/>
  <c r="AA83" i="3" s="1"/>
  <c r="AA99" i="3"/>
  <c r="AA100" i="3" s="1"/>
  <c r="Z29" i="11" s="1"/>
  <c r="X108" i="3"/>
  <c r="X109" i="3" s="1"/>
  <c r="Y108" i="3"/>
  <c r="Y109" i="3" s="1"/>
  <c r="V108" i="3"/>
  <c r="V109" i="3" s="1"/>
  <c r="X58" i="3"/>
  <c r="Y58" i="3"/>
  <c r="V52" i="3"/>
  <c r="V51" i="3" s="1"/>
  <c r="W52" i="3"/>
  <c r="W51" i="3" s="1"/>
  <c r="W53" i="3" s="1"/>
  <c r="W54" i="3" s="1"/>
  <c r="W55" i="3" s="1"/>
  <c r="V90" i="3"/>
  <c r="V91" i="3" s="1"/>
  <c r="V92" i="3" s="1"/>
  <c r="V93" i="3" s="1"/>
  <c r="V99" i="3"/>
  <c r="V100" i="3" s="1"/>
  <c r="X52" i="3"/>
  <c r="X51" i="3" s="1"/>
  <c r="X53" i="3" s="1"/>
  <c r="X54" i="3" s="1"/>
  <c r="X55" i="3" s="1"/>
  <c r="X57" i="3"/>
  <c r="W89" i="3"/>
  <c r="W99" i="3"/>
  <c r="W100" i="3" s="1"/>
  <c r="V29" i="11" s="1"/>
  <c r="Y52" i="3"/>
  <c r="Y51" i="3" s="1"/>
  <c r="Y53" i="3" s="1"/>
  <c r="Y57" i="3"/>
  <c r="X99" i="3"/>
  <c r="X100" i="3" s="1"/>
  <c r="X102" i="3" s="1"/>
  <c r="Y99" i="3"/>
  <c r="Y100" i="3" s="1"/>
  <c r="Y102" i="3" s="1"/>
  <c r="R105" i="3"/>
  <c r="R106" i="3" s="1"/>
  <c r="T108" i="3"/>
  <c r="T109" i="3" s="1"/>
  <c r="S105" i="3"/>
  <c r="S106" i="3" s="1"/>
  <c r="R108" i="3"/>
  <c r="R109" i="3" s="1"/>
  <c r="T52" i="3"/>
  <c r="T51" i="3" s="1"/>
  <c r="T53" i="3" s="1"/>
  <c r="U52" i="3"/>
  <c r="U51" i="3" s="1"/>
  <c r="U53" i="3" s="1"/>
  <c r="U57" i="3"/>
  <c r="S58" i="3"/>
  <c r="U105" i="3"/>
  <c r="U106" i="3" s="1"/>
  <c r="U108" i="3" s="1"/>
  <c r="U109" i="3" s="1"/>
  <c r="T58" i="3"/>
  <c r="R90" i="3"/>
  <c r="R83" i="3" s="1"/>
  <c r="R99" i="3"/>
  <c r="R100" i="3" s="1"/>
  <c r="Q29" i="11" s="1"/>
  <c r="U58" i="3"/>
  <c r="S90" i="3"/>
  <c r="S95" i="3" s="1"/>
  <c r="S99" i="3"/>
  <c r="S100" i="3" s="1"/>
  <c r="R29" i="11" s="1"/>
  <c r="S52" i="3"/>
  <c r="S51" i="3" s="1"/>
  <c r="S53" i="3" s="1"/>
  <c r="S54" i="3" s="1"/>
  <c r="S55" i="3" s="1"/>
  <c r="R52" i="3"/>
  <c r="R51" i="3" s="1"/>
  <c r="R53" i="3" s="1"/>
  <c r="R54" i="3" s="1"/>
  <c r="R55" i="3" s="1"/>
  <c r="T99" i="3"/>
  <c r="T100" i="3" s="1"/>
  <c r="S29" i="11" s="1"/>
  <c r="Q105" i="3"/>
  <c r="Q106" i="3" s="1"/>
  <c r="Q108" i="3" s="1"/>
  <c r="Q109" i="3" s="1"/>
  <c r="Q58" i="3"/>
  <c r="P108" i="3"/>
  <c r="P109" i="3" s="1"/>
  <c r="P58" i="3"/>
  <c r="O108" i="3"/>
  <c r="O109" i="3" s="1"/>
  <c r="N108" i="3"/>
  <c r="N109" i="3" s="1"/>
  <c r="O79" i="3"/>
  <c r="O84" i="3" s="1"/>
  <c r="N52" i="3"/>
  <c r="N51" i="3" s="1"/>
  <c r="N53" i="3" s="1"/>
  <c r="N54" i="3" s="1"/>
  <c r="N55" i="3" s="1"/>
  <c r="O52" i="3"/>
  <c r="O51" i="3" s="1"/>
  <c r="O53" i="3" s="1"/>
  <c r="O54" i="3" s="1"/>
  <c r="O55" i="3" s="1"/>
  <c r="N99" i="3"/>
  <c r="N100" i="3" s="1"/>
  <c r="J17" i="11"/>
  <c r="P52" i="3"/>
  <c r="P51" i="3" s="1"/>
  <c r="P53" i="3" s="1"/>
  <c r="P54" i="3" s="1"/>
  <c r="P55" i="3" s="1"/>
  <c r="O90" i="3"/>
  <c r="O95" i="3" s="1"/>
  <c r="O99" i="3"/>
  <c r="O100" i="3" s="1"/>
  <c r="Q52" i="3"/>
  <c r="Q51" i="3" s="1"/>
  <c r="Q53" i="3" s="1"/>
  <c r="Q54" i="3" s="1"/>
  <c r="Q55" i="3" s="1"/>
  <c r="P99" i="3"/>
  <c r="P100" i="3" s="1"/>
  <c r="Q99" i="3"/>
  <c r="Q100" i="3" s="1"/>
  <c r="O58" i="3"/>
  <c r="H17" i="11"/>
  <c r="AK47" i="11"/>
  <c r="AK48" i="11" s="1"/>
  <c r="Q16" i="11"/>
  <c r="Q17" i="11" s="1"/>
  <c r="U40" i="11"/>
  <c r="AM42" i="11"/>
  <c r="I18" i="11"/>
  <c r="K16" i="11"/>
  <c r="K17" i="11" s="1"/>
  <c r="AG16" i="11"/>
  <c r="AG17" i="11" s="1"/>
  <c r="AC40" i="11"/>
  <c r="Y18" i="11"/>
  <c r="I16" i="11"/>
  <c r="I17" i="11" s="1"/>
  <c r="N16" i="11"/>
  <c r="N17" i="11" s="1"/>
  <c r="O16" i="11"/>
  <c r="O17"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P16" i="11"/>
  <c r="P17" i="11" s="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AC18" i="11"/>
  <c r="G16" i="11"/>
  <c r="G17" i="11" s="1"/>
  <c r="Y16" i="11"/>
  <c r="Y17" i="11" s="1"/>
  <c r="AB24" i="11"/>
  <c r="AB25" i="11" s="1"/>
  <c r="AR24" i="11"/>
  <c r="AR25" i="11" s="1"/>
  <c r="W42" i="11"/>
  <c r="U46" i="11"/>
  <c r="AC47"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U18" i="11"/>
  <c r="AK18" i="1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R16" i="11"/>
  <c r="R17" i="11" s="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AG18" i="11"/>
  <c r="M16" i="11"/>
  <c r="M17" i="11" s="1"/>
  <c r="AF24" i="11"/>
  <c r="AF25" i="11" s="1"/>
  <c r="AE42" i="11"/>
  <c r="U47" i="11"/>
  <c r="AK45" i="11"/>
  <c r="AO47" i="11"/>
  <c r="R24" i="9"/>
  <c r="S24" i="9" s="1"/>
  <c r="AQ23" i="11"/>
  <c r="AQ41" i="11" s="1"/>
  <c r="AO23" i="11"/>
  <c r="AO41" i="11" s="1"/>
  <c r="AM23" i="11"/>
  <c r="AM41" i="11" s="1"/>
  <c r="AK23" i="11"/>
  <c r="AK41" i="11" s="1"/>
  <c r="AI23" i="11"/>
  <c r="AI41" i="11" s="1"/>
  <c r="AG23" i="11"/>
  <c r="AG41" i="11" s="1"/>
  <c r="AE23" i="11"/>
  <c r="AE41" i="11" s="1"/>
  <c r="AC23" i="11"/>
  <c r="AC41" i="11" s="1"/>
  <c r="AA23" i="11"/>
  <c r="AA41" i="11" s="1"/>
  <c r="Y23" i="11"/>
  <c r="Y41" i="11" s="1"/>
  <c r="U23" i="11"/>
  <c r="U41" i="11" s="1"/>
  <c r="CH84" i="3"/>
  <c r="CI84" i="3"/>
  <c r="CI95" i="3"/>
  <c r="CI94" i="3"/>
  <c r="CI91" i="3"/>
  <c r="CI92" i="3" s="1"/>
  <c r="CI93" i="3" s="1"/>
  <c r="CJ95" i="3"/>
  <c r="CJ93" i="3"/>
  <c r="CJ94" i="3"/>
  <c r="CJ91" i="3"/>
  <c r="CJ92" i="3" s="1"/>
  <c r="CH95" i="3"/>
  <c r="CH94" i="3"/>
  <c r="CH91" i="3"/>
  <c r="CH92" i="3" s="1"/>
  <c r="CH93" i="3" s="1"/>
  <c r="CK84" i="3"/>
  <c r="CK95" i="3"/>
  <c r="CK94" i="3"/>
  <c r="CK91" i="3"/>
  <c r="CK92" i="3" s="1"/>
  <c r="CK93" i="3" s="1"/>
  <c r="CJ79" i="3"/>
  <c r="CJ80" i="3" s="1"/>
  <c r="CJ81" i="3" s="1"/>
  <c r="CJ82" i="3" s="1"/>
  <c r="CK78" i="3"/>
  <c r="CK82" i="3"/>
  <c r="CK83" i="3"/>
  <c r="CK89" i="3"/>
  <c r="CJ89" i="3"/>
  <c r="CH78" i="3"/>
  <c r="CH82" i="3"/>
  <c r="CH83" i="3"/>
  <c r="CH89" i="3"/>
  <c r="CI78" i="3"/>
  <c r="CI82" i="3"/>
  <c r="CI83" i="3"/>
  <c r="CI89" i="3"/>
  <c r="CD84" i="3"/>
  <c r="CE84" i="3"/>
  <c r="CE95" i="3"/>
  <c r="CE94" i="3"/>
  <c r="CE91" i="3"/>
  <c r="CE92" i="3" s="1"/>
  <c r="CE93" i="3" s="1"/>
  <c r="CF95" i="3"/>
  <c r="CF91" i="3"/>
  <c r="CF92" i="3" s="1"/>
  <c r="CF93" i="3" s="1"/>
  <c r="CF94" i="3"/>
  <c r="CD95" i="3"/>
  <c r="CD94" i="3"/>
  <c r="CD91" i="3"/>
  <c r="CD92" i="3" s="1"/>
  <c r="CD93" i="3" s="1"/>
  <c r="CG84" i="3"/>
  <c r="CG95" i="3"/>
  <c r="CG94" i="3"/>
  <c r="CG91" i="3"/>
  <c r="CG92" i="3" s="1"/>
  <c r="CG93" i="3" s="1"/>
  <c r="CF79" i="3"/>
  <c r="CF80" i="3" s="1"/>
  <c r="CF81" i="3" s="1"/>
  <c r="CF83" i="3"/>
  <c r="CF89" i="3"/>
  <c r="CG78" i="3"/>
  <c r="CG82" i="3"/>
  <c r="CG83" i="3"/>
  <c r="CG89" i="3"/>
  <c r="CD78" i="3"/>
  <c r="CD82" i="3"/>
  <c r="CD83" i="3"/>
  <c r="CD89" i="3"/>
  <c r="CF82" i="3"/>
  <c r="CE78" i="3"/>
  <c r="CE82" i="3"/>
  <c r="CE83" i="3"/>
  <c r="CE89" i="3"/>
  <c r="CA84" i="3"/>
  <c r="CC84" i="3"/>
  <c r="CC95" i="3"/>
  <c r="CC94" i="3"/>
  <c r="CC91" i="3"/>
  <c r="CC92" i="3" s="1"/>
  <c r="CC93" i="3" s="1"/>
  <c r="CA95" i="3"/>
  <c r="CA94" i="3"/>
  <c r="CA91" i="3"/>
  <c r="CA92" i="3" s="1"/>
  <c r="CA93" i="3" s="1"/>
  <c r="BZ84" i="3"/>
  <c r="BZ95" i="3"/>
  <c r="BZ94" i="3"/>
  <c r="BZ91" i="3"/>
  <c r="BZ92" i="3" s="1"/>
  <c r="BZ93" i="3" s="1"/>
  <c r="CB82" i="3"/>
  <c r="CB84" i="3"/>
  <c r="CC78" i="3"/>
  <c r="CC82" i="3"/>
  <c r="CC83" i="3"/>
  <c r="CC89" i="3"/>
  <c r="CB78" i="3"/>
  <c r="CB90" i="3"/>
  <c r="CB83" i="3" s="1"/>
  <c r="BZ78" i="3"/>
  <c r="BZ82" i="3"/>
  <c r="BZ83" i="3"/>
  <c r="BZ89" i="3"/>
  <c r="CA78" i="3"/>
  <c r="CA82" i="3"/>
  <c r="CA83" i="3"/>
  <c r="CA89" i="3"/>
  <c r="BW84" i="3"/>
  <c r="BW95" i="3"/>
  <c r="BW94" i="3"/>
  <c r="BW93" i="3"/>
  <c r="BW91" i="3"/>
  <c r="BW92" i="3" s="1"/>
  <c r="BV84" i="3"/>
  <c r="BX95" i="3"/>
  <c r="BX91" i="3"/>
  <c r="BX92" i="3" s="1"/>
  <c r="BX94" i="3"/>
  <c r="BX93" i="3"/>
  <c r="BV95" i="3"/>
  <c r="BV94" i="3"/>
  <c r="BV91" i="3"/>
  <c r="BV92" i="3" s="1"/>
  <c r="BV93" i="3" s="1"/>
  <c r="BY84" i="3"/>
  <c r="BY95" i="3"/>
  <c r="BY94" i="3"/>
  <c r="BY91" i="3"/>
  <c r="BY92" i="3" s="1"/>
  <c r="BY93" i="3" s="1"/>
  <c r="BX79" i="3"/>
  <c r="BX80" i="3" s="1"/>
  <c r="BX81" i="3" s="1"/>
  <c r="BX82" i="3" s="1"/>
  <c r="BX89" i="3"/>
  <c r="BY78" i="3"/>
  <c r="BY82" i="3"/>
  <c r="BY83" i="3"/>
  <c r="BY89" i="3"/>
  <c r="BX83" i="3"/>
  <c r="BV78" i="3"/>
  <c r="BV82" i="3"/>
  <c r="BV83" i="3"/>
  <c r="BV89" i="3"/>
  <c r="BW78" i="3"/>
  <c r="BW82" i="3"/>
  <c r="BW83" i="3"/>
  <c r="BW89" i="3"/>
  <c r="BR84" i="3"/>
  <c r="BR95" i="3"/>
  <c r="BR94" i="3"/>
  <c r="BR91" i="3"/>
  <c r="BR92" i="3" s="1"/>
  <c r="BR93" i="3" s="1"/>
  <c r="BT84" i="3"/>
  <c r="BS84" i="3"/>
  <c r="BS95" i="3"/>
  <c r="BS94" i="3"/>
  <c r="BS91" i="3"/>
  <c r="BS92" i="3" s="1"/>
  <c r="BS93" i="3" s="1"/>
  <c r="BU91" i="3"/>
  <c r="BU92" i="3" s="1"/>
  <c r="BU93" i="3" s="1"/>
  <c r="BU95" i="3"/>
  <c r="BU94" i="3"/>
  <c r="BT90" i="3"/>
  <c r="BU79" i="3"/>
  <c r="BU80" i="3" s="1"/>
  <c r="BU81" i="3" s="1"/>
  <c r="BU82" i="3" s="1"/>
  <c r="BU84" i="3"/>
  <c r="BU89" i="3"/>
  <c r="BR78" i="3"/>
  <c r="BR82" i="3"/>
  <c r="BR83" i="3"/>
  <c r="BR89" i="3"/>
  <c r="BT78" i="3"/>
  <c r="BT82" i="3"/>
  <c r="BS78" i="3"/>
  <c r="BS82" i="3"/>
  <c r="BS83" i="3"/>
  <c r="BS89" i="3"/>
  <c r="BN84" i="3"/>
  <c r="BO84" i="3"/>
  <c r="BO95" i="3"/>
  <c r="BO94" i="3"/>
  <c r="BO91" i="3"/>
  <c r="BO92" i="3" s="1"/>
  <c r="BO93" i="3" s="1"/>
  <c r="BP82" i="3"/>
  <c r="BP95" i="3"/>
  <c r="BP91" i="3"/>
  <c r="BP92" i="3" s="1"/>
  <c r="BP93" i="3" s="1"/>
  <c r="BP94" i="3"/>
  <c r="BN95" i="3"/>
  <c r="BN94" i="3"/>
  <c r="BN91" i="3"/>
  <c r="BN92" i="3" s="1"/>
  <c r="BN93" i="3" s="1"/>
  <c r="BQ84" i="3"/>
  <c r="BQ95" i="3"/>
  <c r="BQ94" i="3"/>
  <c r="BQ91" i="3"/>
  <c r="BQ92" i="3" s="1"/>
  <c r="BQ93" i="3" s="1"/>
  <c r="BP84" i="3"/>
  <c r="BQ78" i="3"/>
  <c r="BQ82" i="3"/>
  <c r="BQ83" i="3"/>
  <c r="BQ89" i="3"/>
  <c r="BP78" i="3"/>
  <c r="BP83" i="3"/>
  <c r="BN78" i="3"/>
  <c r="BN82" i="3"/>
  <c r="BN83" i="3"/>
  <c r="BN89" i="3"/>
  <c r="BP89" i="3"/>
  <c r="BO78" i="3"/>
  <c r="BO82" i="3"/>
  <c r="BO83" i="3"/>
  <c r="BO89" i="3"/>
  <c r="BM84" i="3"/>
  <c r="BM95" i="3"/>
  <c r="BM94" i="3"/>
  <c r="BM91" i="3"/>
  <c r="BM92" i="3" s="1"/>
  <c r="BM93" i="3" s="1"/>
  <c r="BJ84" i="3"/>
  <c r="BJ95" i="3"/>
  <c r="BJ94" i="3"/>
  <c r="BJ91" i="3"/>
  <c r="BJ92" i="3" s="1"/>
  <c r="BJ93" i="3" s="1"/>
  <c r="BL95" i="3"/>
  <c r="BL94" i="3"/>
  <c r="BL91" i="3"/>
  <c r="BL92" i="3" s="1"/>
  <c r="BL93" i="3" s="1"/>
  <c r="BK84" i="3"/>
  <c r="BK95" i="3"/>
  <c r="BK94" i="3"/>
  <c r="BK91" i="3"/>
  <c r="BK92" i="3" s="1"/>
  <c r="BK93" i="3" s="1"/>
  <c r="BL79" i="3"/>
  <c r="BL80" i="3" s="1"/>
  <c r="BL81" i="3" s="1"/>
  <c r="BL82" i="3" s="1"/>
  <c r="BL83" i="3"/>
  <c r="BM78" i="3"/>
  <c r="BM82" i="3"/>
  <c r="BM83" i="3"/>
  <c r="BM89" i="3"/>
  <c r="BL89" i="3"/>
  <c r="BJ78" i="3"/>
  <c r="BJ82" i="3"/>
  <c r="BJ83" i="3"/>
  <c r="BJ89" i="3"/>
  <c r="BK78" i="3"/>
  <c r="BK82" i="3"/>
  <c r="BK83" i="3"/>
  <c r="BK89" i="3"/>
  <c r="BG84" i="3"/>
  <c r="BG95" i="3"/>
  <c r="BG94" i="3"/>
  <c r="BG93" i="3"/>
  <c r="BG91" i="3"/>
  <c r="BG92" i="3" s="1"/>
  <c r="BF84" i="3"/>
  <c r="BH95" i="3"/>
  <c r="BH94" i="3"/>
  <c r="BH91" i="3"/>
  <c r="BH92" i="3" s="1"/>
  <c r="BH93" i="3" s="1"/>
  <c r="BF95" i="3"/>
  <c r="BF94" i="3"/>
  <c r="BF91" i="3"/>
  <c r="BF92" i="3" s="1"/>
  <c r="BF93" i="3" s="1"/>
  <c r="BI84" i="3"/>
  <c r="BI95" i="3"/>
  <c r="BI94" i="3"/>
  <c r="BI91" i="3"/>
  <c r="BI92" i="3" s="1"/>
  <c r="BI93" i="3" s="1"/>
  <c r="BH78" i="3"/>
  <c r="BH82" i="3"/>
  <c r="BH84" i="3"/>
  <c r="BH89" i="3"/>
  <c r="BI78" i="3"/>
  <c r="BI82" i="3"/>
  <c r="BI83" i="3"/>
  <c r="BI89" i="3"/>
  <c r="BF78" i="3"/>
  <c r="BF82" i="3"/>
  <c r="BF83" i="3"/>
  <c r="BF89" i="3"/>
  <c r="BG78" i="3"/>
  <c r="BG82" i="3"/>
  <c r="BG83" i="3"/>
  <c r="BG89" i="3"/>
  <c r="BB84" i="3"/>
  <c r="BB95" i="3"/>
  <c r="BB94" i="3"/>
  <c r="BB93" i="3"/>
  <c r="BB91" i="3"/>
  <c r="BB92" i="3" s="1"/>
  <c r="BC84" i="3"/>
  <c r="BC95" i="3"/>
  <c r="BC94" i="3"/>
  <c r="BC91" i="3"/>
  <c r="BC92" i="3" s="1"/>
  <c r="BC93" i="3" s="1"/>
  <c r="BD84" i="3"/>
  <c r="BD95" i="3"/>
  <c r="BD94" i="3"/>
  <c r="BD91" i="3"/>
  <c r="BD92" i="3" s="1"/>
  <c r="BD93" i="3" s="1"/>
  <c r="BE84" i="3"/>
  <c r="BE95" i="3"/>
  <c r="BE94" i="3"/>
  <c r="BE91" i="3"/>
  <c r="BE92" i="3" s="1"/>
  <c r="BE93" i="3" s="1"/>
  <c r="BD78" i="3"/>
  <c r="BD82" i="3"/>
  <c r="BD83" i="3"/>
  <c r="BD89" i="3"/>
  <c r="BE78" i="3"/>
  <c r="BE82" i="3"/>
  <c r="BE83" i="3"/>
  <c r="BE89" i="3"/>
  <c r="BB78" i="3"/>
  <c r="BB82" i="3"/>
  <c r="BB83" i="3"/>
  <c r="BB89" i="3"/>
  <c r="BC78" i="3"/>
  <c r="BC82" i="3"/>
  <c r="BC83" i="3"/>
  <c r="BC89" i="3"/>
  <c r="AX95" i="3"/>
  <c r="AX94" i="3"/>
  <c r="AX91" i="3"/>
  <c r="AX92" i="3" s="1"/>
  <c r="AX93" i="3" s="1"/>
  <c r="AY84" i="3"/>
  <c r="AY95" i="3"/>
  <c r="AY94" i="3"/>
  <c r="AY91" i="3"/>
  <c r="AY92" i="3" s="1"/>
  <c r="AY93" i="3" s="1"/>
  <c r="AZ84" i="3"/>
  <c r="AX84" i="3"/>
  <c r="BA84" i="3"/>
  <c r="BA95" i="3"/>
  <c r="BA94" i="3"/>
  <c r="BA91" i="3"/>
  <c r="BA92" i="3" s="1"/>
  <c r="BA93" i="3" s="1"/>
  <c r="AZ78" i="3"/>
  <c r="AZ90" i="3"/>
  <c r="AZ83" i="3" s="1"/>
  <c r="BA78" i="3"/>
  <c r="BA82" i="3"/>
  <c r="BA83" i="3"/>
  <c r="BA89" i="3"/>
  <c r="AZ82" i="3"/>
  <c r="AX78" i="3"/>
  <c r="AX82" i="3"/>
  <c r="AX83" i="3"/>
  <c r="AX89" i="3"/>
  <c r="AY78" i="3"/>
  <c r="AY82" i="3"/>
  <c r="AY83" i="3"/>
  <c r="AY89" i="3"/>
  <c r="AW84" i="3"/>
  <c r="AW95" i="3"/>
  <c r="AW94" i="3"/>
  <c r="AW91" i="3"/>
  <c r="AW92" i="3" s="1"/>
  <c r="AW93" i="3" s="1"/>
  <c r="AT84" i="3"/>
  <c r="AT95" i="3"/>
  <c r="AT94" i="3"/>
  <c r="AT91" i="3"/>
  <c r="AT92" i="3" s="1"/>
  <c r="AT93" i="3" s="1"/>
  <c r="AU84" i="3"/>
  <c r="AU95" i="3"/>
  <c r="AU94" i="3"/>
  <c r="AU91" i="3"/>
  <c r="AU92" i="3" s="1"/>
  <c r="AU93" i="3" s="1"/>
  <c r="AV79" i="3"/>
  <c r="AV80" i="3" s="1"/>
  <c r="AV81" i="3" s="1"/>
  <c r="AV90" i="3"/>
  <c r="AW78" i="3"/>
  <c r="AW82" i="3"/>
  <c r="AW83" i="3"/>
  <c r="AW89" i="3"/>
  <c r="AV82" i="3"/>
  <c r="AV83" i="3"/>
  <c r="AT78" i="3"/>
  <c r="AT82" i="3"/>
  <c r="AT83" i="3"/>
  <c r="AT89" i="3"/>
  <c r="AU78" i="3"/>
  <c r="AU82" i="3"/>
  <c r="AU83" i="3"/>
  <c r="AU89" i="3"/>
  <c r="AP84" i="3"/>
  <c r="AQ84" i="3"/>
  <c r="AQ95" i="3"/>
  <c r="AQ94" i="3"/>
  <c r="AQ91" i="3"/>
  <c r="AQ92" i="3" s="1"/>
  <c r="AQ93" i="3" s="1"/>
  <c r="AP95" i="3"/>
  <c r="AP94" i="3"/>
  <c r="AP91" i="3"/>
  <c r="AP92" i="3" s="1"/>
  <c r="AP93" i="3" s="1"/>
  <c r="AR94" i="3"/>
  <c r="AR91" i="3"/>
  <c r="AR92" i="3" s="1"/>
  <c r="AR93" i="3" s="1"/>
  <c r="AR95" i="3"/>
  <c r="AS84" i="3"/>
  <c r="AS95" i="3"/>
  <c r="AS94" i="3"/>
  <c r="AS91" i="3"/>
  <c r="AS92" i="3" s="1"/>
  <c r="AS93" i="3" s="1"/>
  <c r="AR79" i="3"/>
  <c r="AR80" i="3" s="1"/>
  <c r="AR81" i="3" s="1"/>
  <c r="AR82" i="3" s="1"/>
  <c r="AR89" i="3"/>
  <c r="AS78" i="3"/>
  <c r="AS82" i="3"/>
  <c r="AS83" i="3"/>
  <c r="AS89" i="3"/>
  <c r="AP78" i="3"/>
  <c r="AP82" i="3"/>
  <c r="AP83" i="3"/>
  <c r="AP89" i="3"/>
  <c r="AQ78" i="3"/>
  <c r="AQ82" i="3"/>
  <c r="AQ83" i="3"/>
  <c r="AQ89" i="3"/>
  <c r="AM84" i="3"/>
  <c r="AM95" i="3"/>
  <c r="AM94" i="3"/>
  <c r="AM91" i="3"/>
  <c r="AM92" i="3" s="1"/>
  <c r="AM93" i="3" s="1"/>
  <c r="AL84" i="3"/>
  <c r="AN84" i="3"/>
  <c r="AN95" i="3"/>
  <c r="AN94" i="3"/>
  <c r="AN91" i="3"/>
  <c r="AN92" i="3" s="1"/>
  <c r="AN93" i="3" s="1"/>
  <c r="AL95" i="3"/>
  <c r="AL94" i="3"/>
  <c r="AL91" i="3"/>
  <c r="AL92" i="3" s="1"/>
  <c r="AL93" i="3" s="1"/>
  <c r="AO84" i="3"/>
  <c r="AO94" i="3"/>
  <c r="AO95" i="3"/>
  <c r="AO91" i="3"/>
  <c r="AO92" i="3" s="1"/>
  <c r="AO93" i="3" s="1"/>
  <c r="AN79" i="3"/>
  <c r="AN80" i="3" s="1"/>
  <c r="AN81" i="3" s="1"/>
  <c r="AN89" i="3"/>
  <c r="AO78" i="3"/>
  <c r="AO82" i="3"/>
  <c r="AO83" i="3"/>
  <c r="AO89" i="3"/>
  <c r="AN83" i="3"/>
  <c r="AL78" i="3"/>
  <c r="AL82" i="3"/>
  <c r="AL83" i="3"/>
  <c r="AL89" i="3"/>
  <c r="AN82" i="3"/>
  <c r="AM78" i="3"/>
  <c r="AM82" i="3"/>
  <c r="AM83" i="3"/>
  <c r="AM89" i="3"/>
  <c r="AI84" i="3"/>
  <c r="AI95" i="3"/>
  <c r="AK84" i="3"/>
  <c r="AJ78" i="3"/>
  <c r="AJ84" i="3"/>
  <c r="AK78" i="3"/>
  <c r="AK82" i="3"/>
  <c r="AK83" i="3"/>
  <c r="AK89" i="3"/>
  <c r="AJ82" i="3"/>
  <c r="AJ90" i="3"/>
  <c r="AH78" i="3"/>
  <c r="AH77" i="3" s="1"/>
  <c r="AH79" i="3" s="1"/>
  <c r="AH89" i="3"/>
  <c r="AH88" i="3" s="1"/>
  <c r="AH90" i="3" s="1"/>
  <c r="AH95" i="3" s="1"/>
  <c r="AI78" i="3"/>
  <c r="AI82" i="3"/>
  <c r="AI89" i="3"/>
  <c r="AD84" i="3"/>
  <c r="AE84" i="3"/>
  <c r="AE95" i="3"/>
  <c r="AE94" i="3"/>
  <c r="AE91" i="3"/>
  <c r="AE92" i="3" s="1"/>
  <c r="AE93" i="3" s="1"/>
  <c r="AD95" i="3"/>
  <c r="AD94" i="3"/>
  <c r="AD91" i="3"/>
  <c r="AD92" i="3" s="1"/>
  <c r="AD93" i="3" s="1"/>
  <c r="AG78" i="3"/>
  <c r="AG77" i="3" s="1"/>
  <c r="AG79" i="3" s="1"/>
  <c r="AG89" i="3"/>
  <c r="AG88" i="3" s="1"/>
  <c r="AG90" i="3" s="1"/>
  <c r="AG83" i="3" s="1"/>
  <c r="AD78" i="3"/>
  <c r="AD82" i="3"/>
  <c r="AD83" i="3"/>
  <c r="AD89" i="3"/>
  <c r="AE78" i="3"/>
  <c r="AE82" i="3"/>
  <c r="AE83" i="3"/>
  <c r="AE89" i="3"/>
  <c r="AA84" i="3"/>
  <c r="Z84" i="3"/>
  <c r="Z95" i="3"/>
  <c r="Z94" i="3"/>
  <c r="Z91" i="3"/>
  <c r="Z92" i="3" s="1"/>
  <c r="Z93" i="3" s="1"/>
  <c r="AB78" i="3"/>
  <c r="AB77" i="3" s="1"/>
  <c r="AB79" i="3" s="1"/>
  <c r="AB80" i="3" s="1"/>
  <c r="AB81" i="3" s="1"/>
  <c r="AB82" i="3" s="1"/>
  <c r="AB89" i="3"/>
  <c r="AB88" i="3" s="1"/>
  <c r="AB90" i="3" s="1"/>
  <c r="AB95" i="3" s="1"/>
  <c r="AC78" i="3"/>
  <c r="AC77" i="3" s="1"/>
  <c r="AC79" i="3" s="1"/>
  <c r="AC89" i="3"/>
  <c r="AC88" i="3" s="1"/>
  <c r="AC90" i="3" s="1"/>
  <c r="Z78" i="3"/>
  <c r="Z83" i="3"/>
  <c r="Z89" i="3"/>
  <c r="AA78" i="3"/>
  <c r="AA82" i="3"/>
  <c r="AA89" i="3"/>
  <c r="V84" i="3"/>
  <c r="W79" i="3"/>
  <c r="W80" i="3" s="1"/>
  <c r="W81" i="3" s="1"/>
  <c r="W82" i="3" s="1"/>
  <c r="W90" i="3"/>
  <c r="W83" i="3" s="1"/>
  <c r="X79" i="3"/>
  <c r="X80" i="3" s="1"/>
  <c r="X81" i="3" s="1"/>
  <c r="X82" i="3" s="1"/>
  <c r="X89" i="3"/>
  <c r="X88" i="3" s="1"/>
  <c r="X90" i="3" s="1"/>
  <c r="Y78" i="3"/>
  <c r="Y77" i="3" s="1"/>
  <c r="Y79" i="3" s="1"/>
  <c r="Y89" i="3"/>
  <c r="Y88" i="3" s="1"/>
  <c r="Y90" i="3" s="1"/>
  <c r="V78" i="3"/>
  <c r="V82" i="3"/>
  <c r="V89" i="3"/>
  <c r="R84" i="3"/>
  <c r="S84" i="3"/>
  <c r="T78" i="3"/>
  <c r="T77" i="3" s="1"/>
  <c r="T79" i="3" s="1"/>
  <c r="T80" i="3" s="1"/>
  <c r="T81" i="3" s="1"/>
  <c r="T82" i="3" s="1"/>
  <c r="T89" i="3"/>
  <c r="T88" i="3" s="1"/>
  <c r="T90" i="3" s="1"/>
  <c r="T94" i="3" s="1"/>
  <c r="U78" i="3"/>
  <c r="U77" i="3" s="1"/>
  <c r="U79" i="3" s="1"/>
  <c r="U89" i="3"/>
  <c r="U88" i="3" s="1"/>
  <c r="U90" i="3" s="1"/>
  <c r="R78" i="3"/>
  <c r="R82" i="3"/>
  <c r="R89" i="3"/>
  <c r="S78" i="3"/>
  <c r="S82" i="3"/>
  <c r="S89" i="3"/>
  <c r="P78" i="3"/>
  <c r="P77" i="3" s="1"/>
  <c r="P79" i="3" s="1"/>
  <c r="P89" i="3"/>
  <c r="P88" i="3" s="1"/>
  <c r="P90" i="3" s="1"/>
  <c r="P83" i="3" s="1"/>
  <c r="Q78" i="3"/>
  <c r="Q77" i="3" s="1"/>
  <c r="Q79" i="3" s="1"/>
  <c r="Q89" i="3"/>
  <c r="Q88" i="3" s="1"/>
  <c r="Q90" i="3" s="1"/>
  <c r="Q95" i="3" s="1"/>
  <c r="N78" i="3"/>
  <c r="N77" i="3" s="1"/>
  <c r="N79" i="3" s="1"/>
  <c r="N89" i="3"/>
  <c r="N88" i="3" s="1"/>
  <c r="N90" i="3" s="1"/>
  <c r="N95" i="3" s="1"/>
  <c r="O78" i="3"/>
  <c r="O89" i="3"/>
  <c r="CJ53" i="3"/>
  <c r="CJ54" i="3" s="1"/>
  <c r="CJ55" i="3" s="1"/>
  <c r="CI61" i="3"/>
  <c r="CJ61" i="3"/>
  <c r="CK61" i="3"/>
  <c r="CH61" i="3"/>
  <c r="CE61" i="3"/>
  <c r="CF61" i="3"/>
  <c r="CG61" i="3"/>
  <c r="CD61" i="3"/>
  <c r="AO21" i="11"/>
  <c r="CA61" i="3"/>
  <c r="CB61" i="3"/>
  <c r="CC61" i="3"/>
  <c r="BZ61" i="3"/>
  <c r="BW62" i="3"/>
  <c r="BX61" i="3"/>
  <c r="BY61" i="3"/>
  <c r="BV61" i="3"/>
  <c r="BS61" i="3"/>
  <c r="BT61" i="3"/>
  <c r="BU61" i="3"/>
  <c r="BR61" i="3"/>
  <c r="BO53" i="3"/>
  <c r="BO54" i="3" s="1"/>
  <c r="BO55" i="3" s="1"/>
  <c r="BN62" i="3"/>
  <c r="BO61" i="3"/>
  <c r="BP61" i="3"/>
  <c r="BQ61" i="3"/>
  <c r="BK53" i="3"/>
  <c r="BK54" i="3" s="1"/>
  <c r="BK55" i="3" s="1"/>
  <c r="BL61" i="3"/>
  <c r="BM61" i="3"/>
  <c r="BK61" i="3"/>
  <c r="BJ61" i="3"/>
  <c r="BG61" i="3"/>
  <c r="BH61" i="3"/>
  <c r="BI61" i="3"/>
  <c r="BF61" i="3"/>
  <c r="BD61" i="3"/>
  <c r="BE61" i="3"/>
  <c r="BC61" i="3"/>
  <c r="BB61" i="3"/>
  <c r="AY53" i="3"/>
  <c r="AY54" i="3" s="1"/>
  <c r="AY55" i="3" s="1"/>
  <c r="AY61" i="3"/>
  <c r="AZ61" i="3"/>
  <c r="BA61" i="3"/>
  <c r="AX61" i="3"/>
  <c r="AV53" i="3"/>
  <c r="AV54" i="3" s="1"/>
  <c r="AV55" i="3" s="1"/>
  <c r="AV61" i="3"/>
  <c r="AW61" i="3"/>
  <c r="AT61" i="3"/>
  <c r="AQ53" i="3"/>
  <c r="AQ54" i="3" s="1"/>
  <c r="AQ55" i="3" s="1"/>
  <c r="AS61" i="3"/>
  <c r="AQ61" i="3"/>
  <c r="AR61" i="3"/>
  <c r="AP61" i="3"/>
  <c r="AM61" i="3"/>
  <c r="AN61" i="3"/>
  <c r="AO61" i="3"/>
  <c r="AL61" i="3"/>
  <c r="AI53" i="3"/>
  <c r="AI54" i="3" s="1"/>
  <c r="AI55" i="3" s="1"/>
  <c r="AI61" i="3"/>
  <c r="AI66" i="3" s="1"/>
  <c r="AI67" i="3" s="1"/>
  <c r="AJ61" i="3"/>
  <c r="AJ66" i="3" s="1"/>
  <c r="AJ67" i="3" s="1"/>
  <c r="AK61" i="3"/>
  <c r="AK66" i="3" s="1"/>
  <c r="AK67" i="3" s="1"/>
  <c r="AH61" i="3"/>
  <c r="AH66" i="3" s="1"/>
  <c r="AF61" i="3"/>
  <c r="AE61" i="3"/>
  <c r="AG61" i="3"/>
  <c r="AD61" i="3"/>
  <c r="AA61" i="3"/>
  <c r="AB61" i="3"/>
  <c r="AC61" i="3"/>
  <c r="Z61" i="3"/>
  <c r="Z66" i="3" s="1"/>
  <c r="V53" i="3"/>
  <c r="V54" i="3" s="1"/>
  <c r="V55" i="3" s="1"/>
  <c r="W61" i="3"/>
  <c r="X61" i="3"/>
  <c r="Y61" i="3"/>
  <c r="V61" i="3"/>
  <c r="V66" i="3" s="1"/>
  <c r="S61" i="3"/>
  <c r="T61" i="3"/>
  <c r="U61" i="3"/>
  <c r="R61" i="3"/>
  <c r="R66" i="3" s="1"/>
  <c r="O62" i="3"/>
  <c r="O66" i="3" s="1"/>
  <c r="O67" i="3" s="1"/>
  <c r="P61" i="3"/>
  <c r="P66" i="3" s="1"/>
  <c r="P67" i="3" s="1"/>
  <c r="Q61" i="3"/>
  <c r="Q66" i="3" s="1"/>
  <c r="Q67" i="3" s="1"/>
  <c r="N61" i="3"/>
  <c r="N66" i="3" s="1"/>
  <c r="F10" i="13"/>
  <c r="G9" i="13"/>
  <c r="H9" i="13" s="1"/>
  <c r="G8" i="13"/>
  <c r="H8" i="13" s="1"/>
  <c r="G40" i="12"/>
  <c r="I40" i="12" s="1"/>
  <c r="F15" i="12"/>
  <c r="H40" i="12"/>
  <c r="H42" i="12" s="1"/>
  <c r="J42" i="12" s="1"/>
  <c r="G15" i="12"/>
  <c r="H17" i="12"/>
  <c r="H44" i="12"/>
  <c r="I28" i="12"/>
  <c r="I12" i="12"/>
  <c r="J26" i="12"/>
  <c r="I26" i="12"/>
  <c r="L26" i="12" s="1"/>
  <c r="J24" i="12"/>
  <c r="I36" i="12"/>
  <c r="L36" i="12" s="1"/>
  <c r="I20" i="12"/>
  <c r="J34" i="12"/>
  <c r="J18" i="12"/>
  <c r="I34" i="12"/>
  <c r="L34" i="12" s="1"/>
  <c r="I18" i="12"/>
  <c r="J32" i="12"/>
  <c r="J16" i="12"/>
  <c r="I32" i="12"/>
  <c r="L32" i="12" s="1"/>
  <c r="I24" i="12"/>
  <c r="L24" i="12" s="1"/>
  <c r="I16" i="12"/>
  <c r="L16" i="12" s="1"/>
  <c r="J30" i="12"/>
  <c r="J22" i="12"/>
  <c r="J14" i="12"/>
  <c r="I30" i="12"/>
  <c r="L30" i="12" s="1"/>
  <c r="I22" i="12"/>
  <c r="I14" i="12"/>
  <c r="L14" i="12" s="1"/>
  <c r="J36" i="12"/>
  <c r="J28" i="12"/>
  <c r="J20" i="12"/>
  <c r="J12" i="12"/>
  <c r="F61" i="2"/>
  <c r="E27" i="11" s="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E49" i="2" s="1"/>
  <c r="F48" i="2"/>
  <c r="F49" i="2" s="1"/>
  <c r="G48" i="2"/>
  <c r="G49" i="2" s="1"/>
  <c r="H48" i="2"/>
  <c r="H49" i="2" s="1"/>
  <c r="I48" i="2"/>
  <c r="I49" i="2" s="1"/>
  <c r="J48" i="2"/>
  <c r="J49" i="2" s="1"/>
  <c r="K48" i="2"/>
  <c r="K49" i="2" s="1"/>
  <c r="L48" i="2"/>
  <c r="M48" i="2"/>
  <c r="M49" i="2" s="1"/>
  <c r="N48" i="2"/>
  <c r="N49" i="2" s="1"/>
  <c r="O48" i="2"/>
  <c r="P48" i="2"/>
  <c r="Q48" i="2"/>
  <c r="R48" i="2"/>
  <c r="R49" i="2" s="1"/>
  <c r="S48" i="2"/>
  <c r="S49" i="2" s="1"/>
  <c r="T48" i="2"/>
  <c r="U48" i="2"/>
  <c r="V48" i="2"/>
  <c r="V49" i="2" s="1"/>
  <c r="W48" i="2"/>
  <c r="W49" i="2" s="1"/>
  <c r="X48" i="2"/>
  <c r="Y48" i="2"/>
  <c r="Y49" i="2" s="1"/>
  <c r="Z48" i="2"/>
  <c r="Z49" i="2" s="1"/>
  <c r="AA48" i="2"/>
  <c r="AB48" i="2"/>
  <c r="AC48" i="2"/>
  <c r="AD48" i="2"/>
  <c r="AD49" i="2" s="1"/>
  <c r="AE48" i="2"/>
  <c r="AE49" i="2" s="1"/>
  <c r="AF48" i="2"/>
  <c r="AG48" i="2"/>
  <c r="AG49" i="2" s="1"/>
  <c r="AH48" i="2"/>
  <c r="AH49" i="2" s="1"/>
  <c r="AI48" i="2"/>
  <c r="AJ48" i="2"/>
  <c r="AK48" i="2"/>
  <c r="AL48" i="2"/>
  <c r="AL49" i="2" s="1"/>
  <c r="AM48" i="2"/>
  <c r="AM49" i="2" s="1"/>
  <c r="AN48" i="2"/>
  <c r="AO48" i="2"/>
  <c r="AO49" i="2" s="1"/>
  <c r="AP48" i="2"/>
  <c r="AP49" i="2" s="1"/>
  <c r="AQ48" i="2"/>
  <c r="AR48" i="2"/>
  <c r="AS48" i="2"/>
  <c r="L49" i="2"/>
  <c r="O49" i="2"/>
  <c r="P49" i="2"/>
  <c r="Q49" i="2"/>
  <c r="T49" i="2"/>
  <c r="U49" i="2"/>
  <c r="X49" i="2"/>
  <c r="AA49" i="2"/>
  <c r="AB49" i="2"/>
  <c r="AC49" i="2"/>
  <c r="AF49" i="2"/>
  <c r="AI49" i="2"/>
  <c r="AJ49" i="2"/>
  <c r="AK49" i="2"/>
  <c r="AN49" i="2"/>
  <c r="AQ49" i="2"/>
  <c r="AR49" i="2"/>
  <c r="AS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CJ96" i="3"/>
  <c r="CF96" i="3"/>
  <c r="CF85" i="3"/>
  <c r="CC85" i="3"/>
  <c r="CA96" i="3"/>
  <c r="BW96" i="3"/>
  <c r="BW85" i="3"/>
  <c r="BU85" i="3"/>
  <c r="BU96" i="3"/>
  <c r="BQ85" i="3"/>
  <c r="BQ96" i="3"/>
  <c r="BK85" i="3"/>
  <c r="BH85" i="3"/>
  <c r="BG96" i="3"/>
  <c r="BC96" i="3"/>
  <c r="BB85" i="3"/>
  <c r="AX85" i="3"/>
  <c r="AX96" i="3"/>
  <c r="AT85" i="3"/>
  <c r="AU96" i="3"/>
  <c r="AQ96" i="3"/>
  <c r="AO85" i="3"/>
  <c r="AL85" i="3"/>
  <c r="Y19" i="11"/>
  <c r="AF19" i="11"/>
  <c r="W19" i="11"/>
  <c r="AJ19" i="11"/>
  <c r="AL19" i="11"/>
  <c r="U19" i="11"/>
  <c r="T19" i="11"/>
  <c r="AE96" i="3"/>
  <c r="AA85" i="3"/>
  <c r="J19" i="11"/>
  <c r="I19" i="11"/>
  <c r="CK85" i="3"/>
  <c r="CI96" i="3"/>
  <c r="CG85" i="3"/>
  <c r="CE96" i="3"/>
  <c r="BZ85" i="3"/>
  <c r="CB85" i="3"/>
  <c r="BX85" i="3"/>
  <c r="BV96" i="3"/>
  <c r="BR85" i="3"/>
  <c r="BN85" i="3"/>
  <c r="BO96" i="3"/>
  <c r="BJ85" i="3"/>
  <c r="BJ96" i="3"/>
  <c r="BI85" i="3"/>
  <c r="BH96" i="3"/>
  <c r="BB96" i="3"/>
  <c r="BC85" i="3"/>
  <c r="AY85" i="3"/>
  <c r="BA96" i="3"/>
  <c r="AU85" i="3"/>
  <c r="AS85" i="3"/>
  <c r="AR96" i="3"/>
  <c r="AM85" i="3"/>
  <c r="AL96" i="3"/>
  <c r="V19" i="11"/>
  <c r="AI19" i="11"/>
  <c r="AN19" i="11"/>
  <c r="AM19" i="11"/>
  <c r="AA19" i="11"/>
  <c r="AE19" i="11"/>
  <c r="S19" i="11"/>
  <c r="AD96" i="3"/>
  <c r="S85" i="3"/>
  <c r="CH85" i="3"/>
  <c r="CK96" i="3"/>
  <c r="CD85" i="3"/>
  <c r="CD96" i="3"/>
  <c r="CA85" i="3"/>
  <c r="BZ96" i="3"/>
  <c r="BY85" i="3"/>
  <c r="BY96" i="3"/>
  <c r="BR96" i="3"/>
  <c r="BP85" i="3"/>
  <c r="BP96" i="3"/>
  <c r="BM96" i="3"/>
  <c r="BL96" i="3"/>
  <c r="BF85" i="3"/>
  <c r="BI96" i="3"/>
  <c r="BD85" i="3"/>
  <c r="BD96" i="3"/>
  <c r="BA85" i="3"/>
  <c r="AZ85" i="3"/>
  <c r="AW96" i="3"/>
  <c r="AP85" i="3"/>
  <c r="AS96" i="3"/>
  <c r="AM96" i="3"/>
  <c r="AO96" i="3"/>
  <c r="AQ19" i="11"/>
  <c r="AP19" i="11"/>
  <c r="AG19" i="11"/>
  <c r="AB19" i="11"/>
  <c r="AR19" i="11"/>
  <c r="AK19" i="11"/>
  <c r="AD85" i="3"/>
  <c r="Z96" i="3"/>
  <c r="R85" i="3"/>
  <c r="S96" i="3"/>
  <c r="CI85" i="3"/>
  <c r="CH96" i="3"/>
  <c r="CE85" i="3"/>
  <c r="CG96" i="3"/>
  <c r="CC96" i="3"/>
  <c r="BV85" i="3"/>
  <c r="BX96" i="3"/>
  <c r="BS85" i="3"/>
  <c r="BS96" i="3"/>
  <c r="BO85" i="3"/>
  <c r="BN96" i="3"/>
  <c r="BM85" i="3"/>
  <c r="BK96" i="3"/>
  <c r="BG85" i="3"/>
  <c r="BF96" i="3"/>
  <c r="BE85" i="3"/>
  <c r="BE96" i="3"/>
  <c r="AY96" i="3"/>
  <c r="AW85" i="3"/>
  <c r="AT96" i="3"/>
  <c r="AQ85" i="3"/>
  <c r="AP96" i="3"/>
  <c r="AN85" i="3"/>
  <c r="AN96" i="3"/>
  <c r="X19" i="11"/>
  <c r="AH19" i="11"/>
  <c r="AD19" i="11"/>
  <c r="Z19" i="11"/>
  <c r="AC19" i="11"/>
  <c r="AK85" i="3"/>
  <c r="AE85" i="3"/>
  <c r="Z85" i="3"/>
  <c r="AF29" i="11" l="1"/>
  <c r="AG102" i="3"/>
  <c r="AE29" i="11"/>
  <c r="AF102" i="3"/>
  <c r="Q80" i="3"/>
  <c r="Q81" i="3" s="1"/>
  <c r="Q82" i="3" s="1"/>
  <c r="Q84" i="3"/>
  <c r="N84" i="3"/>
  <c r="N80" i="3"/>
  <c r="N81" i="3" s="1"/>
  <c r="N82" i="3" s="1"/>
  <c r="L18" i="12"/>
  <c r="L20" i="12"/>
  <c r="G42" i="12"/>
  <c r="V117" i="3"/>
  <c r="L12" i="12"/>
  <c r="CF84" i="3"/>
  <c r="AB29" i="11"/>
  <c r="AC102" i="3"/>
  <c r="Q16" i="13"/>
  <c r="R15" i="13"/>
  <c r="S15" i="13" s="1"/>
  <c r="L22" i="12"/>
  <c r="L28" i="12"/>
  <c r="U29" i="11"/>
  <c r="BX84" i="3"/>
  <c r="AH102" i="3"/>
  <c r="W29" i="11"/>
  <c r="AA29" i="11"/>
  <c r="AA91" i="3"/>
  <c r="AA92" i="3" s="1"/>
  <c r="AA93" i="3" s="1"/>
  <c r="AA95" i="3"/>
  <c r="AA94" i="3"/>
  <c r="Y29" i="11"/>
  <c r="X29" i="11"/>
  <c r="AK95" i="3"/>
  <c r="U91" i="3"/>
  <c r="U92" i="3" s="1"/>
  <c r="U93" i="3" s="1"/>
  <c r="U95" i="3"/>
  <c r="U83" i="3"/>
  <c r="U94" i="3"/>
  <c r="T91" i="3"/>
  <c r="T92" i="3" s="1"/>
  <c r="T93" i="3" s="1"/>
  <c r="T95" i="3"/>
  <c r="T83" i="3"/>
  <c r="T84" i="3"/>
  <c r="AH80" i="3"/>
  <c r="AH81" i="3" s="1"/>
  <c r="AH82" i="3" s="1"/>
  <c r="AH84" i="3"/>
  <c r="AI29" i="11"/>
  <c r="AJ102" i="3"/>
  <c r="AH29" i="11"/>
  <c r="AI102" i="3"/>
  <c r="AH83" i="3"/>
  <c r="AH94" i="3"/>
  <c r="AH91" i="3"/>
  <c r="AH92" i="3" s="1"/>
  <c r="AH93" i="3" s="1"/>
  <c r="AH109" i="3"/>
  <c r="AH117" i="3"/>
  <c r="AH67" i="3"/>
  <c r="AH114" i="3"/>
  <c r="AK91" i="3"/>
  <c r="AK92" i="3" s="1"/>
  <c r="AK93" i="3" s="1"/>
  <c r="AI91" i="3"/>
  <c r="AI92" i="3" s="1"/>
  <c r="AI93" i="3" s="1"/>
  <c r="AI83" i="3"/>
  <c r="U84" i="3"/>
  <c r="U80" i="3"/>
  <c r="U81" i="3" s="1"/>
  <c r="U82" i="3" s="1"/>
  <c r="AD102" i="3"/>
  <c r="AD67" i="3"/>
  <c r="AG80" i="3"/>
  <c r="AG81" i="3" s="1"/>
  <c r="AG82" i="3" s="1"/>
  <c r="AG84" i="3"/>
  <c r="AF54" i="3"/>
  <c r="AF55" i="3" s="1"/>
  <c r="AF56" i="3"/>
  <c r="AG54" i="3"/>
  <c r="AG55" i="3" s="1"/>
  <c r="AG56" i="3" s="1"/>
  <c r="AG91" i="3"/>
  <c r="AG92" i="3" s="1"/>
  <c r="AG93" i="3" s="1"/>
  <c r="AF84" i="3"/>
  <c r="AG95" i="3"/>
  <c r="AG94" i="3"/>
  <c r="AD109" i="3"/>
  <c r="AD117" i="3"/>
  <c r="N14" i="9" s="1"/>
  <c r="O14" i="9" s="1"/>
  <c r="Z102" i="3"/>
  <c r="AC83" i="3"/>
  <c r="AC95" i="3"/>
  <c r="AC94" i="3"/>
  <c r="AC91" i="3"/>
  <c r="AC92" i="3" s="1"/>
  <c r="AC93" i="3" s="1"/>
  <c r="AC80" i="3"/>
  <c r="AC81" i="3" s="1"/>
  <c r="AC82" i="3" s="1"/>
  <c r="AC84" i="3"/>
  <c r="AB84" i="3"/>
  <c r="AB91" i="3"/>
  <c r="AB92" i="3" s="1"/>
  <c r="AB93" i="3" s="1"/>
  <c r="AB83" i="3"/>
  <c r="AB56" i="3"/>
  <c r="AB94" i="3"/>
  <c r="Z67" i="3"/>
  <c r="AC56" i="3"/>
  <c r="Z117" i="3"/>
  <c r="Y94" i="3"/>
  <c r="Y95" i="3"/>
  <c r="V95" i="3"/>
  <c r="V94" i="3"/>
  <c r="Y80" i="3"/>
  <c r="Y81" i="3" s="1"/>
  <c r="Y82" i="3" s="1"/>
  <c r="Y84" i="3"/>
  <c r="X95" i="3"/>
  <c r="X83" i="3"/>
  <c r="X94" i="3"/>
  <c r="X91" i="3"/>
  <c r="X92" i="3" s="1"/>
  <c r="X93" i="3" s="1"/>
  <c r="Y54" i="3"/>
  <c r="Y55" i="3" s="1"/>
  <c r="Y56" i="3" s="1"/>
  <c r="V67" i="3"/>
  <c r="X56" i="3"/>
  <c r="V83" i="3"/>
  <c r="V118" i="3"/>
  <c r="K31" i="11"/>
  <c r="K46" i="11" s="1"/>
  <c r="Y91" i="3"/>
  <c r="Y92" i="3" s="1"/>
  <c r="Y93" i="3" s="1"/>
  <c r="Y83" i="3"/>
  <c r="R91" i="3"/>
  <c r="R92" i="3" s="1"/>
  <c r="R93" i="3" s="1"/>
  <c r="R94" i="3"/>
  <c r="R95" i="3"/>
  <c r="O80" i="3"/>
  <c r="O81" i="3" s="1"/>
  <c r="O82" i="3" s="1"/>
  <c r="R102" i="3"/>
  <c r="U54" i="3"/>
  <c r="U55" i="3" s="1"/>
  <c r="U56" i="3" s="1"/>
  <c r="R67" i="3"/>
  <c r="T54" i="3"/>
  <c r="T55" i="3" s="1"/>
  <c r="T56" i="3" s="1"/>
  <c r="S91" i="3"/>
  <c r="S92" i="3" s="1"/>
  <c r="S93" i="3" s="1"/>
  <c r="S83" i="3"/>
  <c r="S94" i="3"/>
  <c r="R117" i="3"/>
  <c r="R118" i="3" s="1"/>
  <c r="O91" i="3"/>
  <c r="O92" i="3" s="1"/>
  <c r="O93" i="3" s="1"/>
  <c r="O94" i="3"/>
  <c r="O83" i="3"/>
  <c r="N83" i="3"/>
  <c r="N117" i="3"/>
  <c r="N118" i="3" s="1"/>
  <c r="Q83" i="3"/>
  <c r="Q91" i="3"/>
  <c r="Q92" i="3" s="1"/>
  <c r="Q93" i="3" s="1"/>
  <c r="Q94" i="3"/>
  <c r="N91" i="3"/>
  <c r="N92" i="3" s="1"/>
  <c r="N93" i="3" s="1"/>
  <c r="N94" i="3"/>
  <c r="P102" i="3"/>
  <c r="O29" i="11"/>
  <c r="M29" i="11"/>
  <c r="N102" i="3"/>
  <c r="P80" i="3"/>
  <c r="P81" i="3" s="1"/>
  <c r="P82" i="3" s="1"/>
  <c r="P84" i="3"/>
  <c r="N29" i="11"/>
  <c r="O102" i="3"/>
  <c r="N67" i="3"/>
  <c r="N114" i="3"/>
  <c r="P91" i="3"/>
  <c r="P92" i="3" s="1"/>
  <c r="P93" i="3" s="1"/>
  <c r="P94" i="3"/>
  <c r="P95" i="3"/>
  <c r="Q102" i="3"/>
  <c r="P29" i="11"/>
  <c r="Y21" i="11"/>
  <c r="I21" i="11"/>
  <c r="AK21" i="11"/>
  <c r="AI21" i="11"/>
  <c r="U21" i="11"/>
  <c r="AL21" i="11"/>
  <c r="T21" i="11"/>
  <c r="J21" i="11"/>
  <c r="AF21" i="11"/>
  <c r="AG21" i="11"/>
  <c r="AQ21" i="11"/>
  <c r="AH21" i="11"/>
  <c r="AM21" i="11"/>
  <c r="AJ21" i="11"/>
  <c r="AC21" i="11"/>
  <c r="Z21" i="11"/>
  <c r="AD21" i="11"/>
  <c r="AN21" i="11"/>
  <c r="V21" i="11"/>
  <c r="AA21" i="11"/>
  <c r="AP21" i="11"/>
  <c r="S21" i="11"/>
  <c r="AE21" i="11"/>
  <c r="AR21" i="11"/>
  <c r="AB21" i="11"/>
  <c r="X21" i="11"/>
  <c r="W21" i="1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AK43" i="11"/>
  <c r="P24" i="9"/>
  <c r="Q24" i="9" s="1"/>
  <c r="AO43" i="11"/>
  <c r="Q26" i="9"/>
  <c r="AG43" i="11"/>
  <c r="P22" i="9"/>
  <c r="Q22" i="9" s="1"/>
  <c r="AA43" i="11"/>
  <c r="P19" i="9"/>
  <c r="Q19" i="9" s="1"/>
  <c r="Y43" i="11"/>
  <c r="P18" i="9"/>
  <c r="Q18" i="9" s="1"/>
  <c r="CJ84" i="3"/>
  <c r="CB94" i="3"/>
  <c r="CB95" i="3"/>
  <c r="CB91" i="3"/>
  <c r="CB92" i="3" s="1"/>
  <c r="CB93" i="3" s="1"/>
  <c r="BT95" i="3"/>
  <c r="BT94" i="3"/>
  <c r="BT91" i="3"/>
  <c r="BT92" i="3" s="1"/>
  <c r="BT93" i="3" s="1"/>
  <c r="BT83" i="3"/>
  <c r="BL84" i="3"/>
  <c r="AZ94" i="3"/>
  <c r="AZ91" i="3"/>
  <c r="AZ92" i="3" s="1"/>
  <c r="AZ93" i="3" s="1"/>
  <c r="AZ95" i="3"/>
  <c r="AV95" i="3"/>
  <c r="AV94" i="3"/>
  <c r="AV91" i="3"/>
  <c r="AV92" i="3" s="1"/>
  <c r="AV93" i="3" s="1"/>
  <c r="AV84" i="3"/>
  <c r="AR84" i="3"/>
  <c r="AJ94" i="3"/>
  <c r="AJ95" i="3"/>
  <c r="AJ91" i="3"/>
  <c r="AJ92" i="3" s="1"/>
  <c r="AJ93" i="3" s="1"/>
  <c r="AJ83" i="3"/>
  <c r="AF95" i="3"/>
  <c r="AF94" i="3"/>
  <c r="AF91" i="3"/>
  <c r="AF92" i="3" s="1"/>
  <c r="AF93" i="3" s="1"/>
  <c r="AF83" i="3"/>
  <c r="W95" i="3"/>
  <c r="W94" i="3"/>
  <c r="W91" i="3"/>
  <c r="W92" i="3" s="1"/>
  <c r="W93" i="3"/>
  <c r="X84" i="3"/>
  <c r="W84" i="3"/>
  <c r="G10" i="13"/>
  <c r="H10" i="13" s="1"/>
  <c r="F11" i="13"/>
  <c r="I15" i="12"/>
  <c r="L15" i="12" s="1"/>
  <c r="G17" i="12"/>
  <c r="J40" i="12"/>
  <c r="L40" i="12" s="1"/>
  <c r="F17" i="12"/>
  <c r="F16" i="12"/>
  <c r="J17" i="12"/>
  <c r="H19" i="12"/>
  <c r="G44" i="12"/>
  <c r="I42" i="12"/>
  <c r="L42" i="12" s="1"/>
  <c r="J44" i="12"/>
  <c r="H46" i="12"/>
  <c r="AS38" i="11"/>
  <c r="AQ38" i="11"/>
  <c r="AO38" i="11"/>
  <c r="AM38" i="11"/>
  <c r="AK38" i="11"/>
  <c r="AI38" i="11"/>
  <c r="AG38" i="11"/>
  <c r="AE38" i="11"/>
  <c r="AC38" i="11"/>
  <c r="AA38" i="11"/>
  <c r="Y38" i="11"/>
  <c r="W38" i="11"/>
  <c r="U38" i="11"/>
  <c r="S38" i="11"/>
  <c r="Q38" i="11"/>
  <c r="O38" i="11"/>
  <c r="M38" i="11"/>
  <c r="K38" i="11"/>
  <c r="I38" i="11"/>
  <c r="G38" i="11"/>
  <c r="M76" i="3"/>
  <c r="J76" i="3"/>
  <c r="E76" i="3"/>
  <c r="H17" i="3"/>
  <c r="H76" i="3" s="1"/>
  <c r="J110" i="3"/>
  <c r="M107" i="3"/>
  <c r="L107" i="3"/>
  <c r="K107" i="3"/>
  <c r="J107" i="3"/>
  <c r="M104" i="3"/>
  <c r="L104" i="3"/>
  <c r="K104" i="3"/>
  <c r="J104" i="3"/>
  <c r="M103" i="3"/>
  <c r="L103" i="3"/>
  <c r="K103" i="3"/>
  <c r="K105" i="3" s="1"/>
  <c r="K106" i="3" s="1"/>
  <c r="J103" i="3"/>
  <c r="M102" i="3"/>
  <c r="L102" i="3"/>
  <c r="M98" i="3"/>
  <c r="L98" i="3"/>
  <c r="K98" i="3"/>
  <c r="J98" i="3"/>
  <c r="M97" i="3"/>
  <c r="L97" i="3"/>
  <c r="K97" i="3"/>
  <c r="J97" i="3"/>
  <c r="J99" i="3" s="1"/>
  <c r="K88" i="3"/>
  <c r="J88" i="3"/>
  <c r="M87" i="3"/>
  <c r="L87" i="3"/>
  <c r="K87" i="3"/>
  <c r="J87" i="3"/>
  <c r="K77" i="3"/>
  <c r="J77" i="3"/>
  <c r="M75" i="3"/>
  <c r="L75" i="3"/>
  <c r="K75" i="3"/>
  <c r="J75" i="3"/>
  <c r="M70" i="3"/>
  <c r="M72" i="3" s="1"/>
  <c r="M73" i="3" s="1"/>
  <c r="L70" i="3"/>
  <c r="L72" i="3" s="1"/>
  <c r="L73" i="3" s="1"/>
  <c r="K70" i="3"/>
  <c r="K72" i="3" s="1"/>
  <c r="K73" i="3" s="1"/>
  <c r="J70" i="3"/>
  <c r="J72" i="3" s="1"/>
  <c r="J73" i="3" s="1"/>
  <c r="E102" i="3"/>
  <c r="I75" i="3"/>
  <c r="H75" i="3"/>
  <c r="G77" i="3"/>
  <c r="G75" i="3"/>
  <c r="F77" i="3"/>
  <c r="F75" i="3"/>
  <c r="E75" i="3"/>
  <c r="F88" i="3"/>
  <c r="E87" i="3"/>
  <c r="E48" i="3"/>
  <c r="F48" i="3"/>
  <c r="F63" i="3"/>
  <c r="F64" i="3" s="1"/>
  <c r="E17" i="11" s="1"/>
  <c r="F60" i="3"/>
  <c r="F62" i="3" s="1"/>
  <c r="F59" i="3"/>
  <c r="F57" i="3"/>
  <c r="F56" i="3"/>
  <c r="G88" i="3"/>
  <c r="E64" i="3"/>
  <c r="I17" i="3"/>
  <c r="I76" i="3" s="1"/>
  <c r="I107" i="3"/>
  <c r="I104" i="3"/>
  <c r="I103" i="3"/>
  <c r="I98" i="3"/>
  <c r="I97" i="3"/>
  <c r="I87" i="3"/>
  <c r="I70" i="3"/>
  <c r="I72" i="3" s="1"/>
  <c r="I73" i="3" s="1"/>
  <c r="H107" i="3"/>
  <c r="H104" i="3"/>
  <c r="H103" i="3"/>
  <c r="H98" i="3"/>
  <c r="H97" i="3"/>
  <c r="H87" i="3"/>
  <c r="H70" i="3"/>
  <c r="H72" i="3" s="1"/>
  <c r="H73" i="3" s="1"/>
  <c r="G107" i="3"/>
  <c r="G104" i="3"/>
  <c r="G103" i="3"/>
  <c r="G98" i="3"/>
  <c r="G97" i="3"/>
  <c r="G87" i="3"/>
  <c r="G70" i="3"/>
  <c r="G72" i="3" s="1"/>
  <c r="G73" i="3" s="1"/>
  <c r="E70" i="3"/>
  <c r="E72" i="3" s="1"/>
  <c r="E73" i="3" s="1"/>
  <c r="F70" i="3"/>
  <c r="F72" i="3" s="1"/>
  <c r="F73" i="3" s="1"/>
  <c r="F98" i="3"/>
  <c r="F97" i="3"/>
  <c r="F87" i="3"/>
  <c r="AS61" i="2"/>
  <c r="AR27" i="11" s="1"/>
  <c r="AR61" i="2"/>
  <c r="AQ27" i="11" s="1"/>
  <c r="AQ61" i="2"/>
  <c r="AP27" i="11" s="1"/>
  <c r="AP61" i="2"/>
  <c r="AO27" i="11" s="1"/>
  <c r="AO61" i="2"/>
  <c r="AN27" i="11" s="1"/>
  <c r="AN61" i="2"/>
  <c r="AM27" i="11" s="1"/>
  <c r="AM61" i="2"/>
  <c r="AL27" i="11" s="1"/>
  <c r="AL61" i="2"/>
  <c r="AK27" i="11" s="1"/>
  <c r="AK61" i="2"/>
  <c r="AJ27" i="11" s="1"/>
  <c r="AJ61" i="2"/>
  <c r="AI27" i="11" s="1"/>
  <c r="AI61" i="2"/>
  <c r="AH27" i="11" s="1"/>
  <c r="AH61" i="2"/>
  <c r="AG27" i="11" s="1"/>
  <c r="AG61" i="2"/>
  <c r="AF27" i="11" s="1"/>
  <c r="AF61" i="2"/>
  <c r="AE27" i="11" s="1"/>
  <c r="AE61" i="2"/>
  <c r="AD27" i="11" s="1"/>
  <c r="AD61" i="2"/>
  <c r="AC27" i="11" s="1"/>
  <c r="AC61" i="2"/>
  <c r="AB27" i="11" s="1"/>
  <c r="AB61" i="2"/>
  <c r="AA27" i="11" s="1"/>
  <c r="AA61" i="2"/>
  <c r="Z27" i="11" s="1"/>
  <c r="Z61" i="2"/>
  <c r="Y27" i="11" s="1"/>
  <c r="Y61" i="2"/>
  <c r="X27" i="11" s="1"/>
  <c r="X61" i="2"/>
  <c r="W27" i="11" s="1"/>
  <c r="W61" i="2"/>
  <c r="V27" i="11" s="1"/>
  <c r="V61" i="2"/>
  <c r="U27" i="11" s="1"/>
  <c r="U61" i="2"/>
  <c r="T27" i="11" s="1"/>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28" i="11" s="1"/>
  <c r="AR62" i="2"/>
  <c r="AQ28" i="11" s="1"/>
  <c r="AQ62" i="2"/>
  <c r="AP28" i="11" s="1"/>
  <c r="AP62" i="2"/>
  <c r="AO28" i="11" s="1"/>
  <c r="AO62" i="2"/>
  <c r="AN28" i="11" s="1"/>
  <c r="AN62" i="2"/>
  <c r="AM28" i="11" s="1"/>
  <c r="AM62" i="2"/>
  <c r="AL28" i="11" s="1"/>
  <c r="AL62" i="2"/>
  <c r="AK28" i="11" s="1"/>
  <c r="AK62" i="2"/>
  <c r="AJ28" i="11" s="1"/>
  <c r="AJ62" i="2"/>
  <c r="AI28" i="11" s="1"/>
  <c r="AI62" i="2"/>
  <c r="AH28" i="11" s="1"/>
  <c r="AH62" i="2"/>
  <c r="AG28" i="11" s="1"/>
  <c r="AG62" i="2"/>
  <c r="AF28" i="11" s="1"/>
  <c r="AF62" i="2"/>
  <c r="AE28" i="11" s="1"/>
  <c r="AE62" i="2"/>
  <c r="AD28" i="11" s="1"/>
  <c r="AD62" i="2"/>
  <c r="AC28" i="11" s="1"/>
  <c r="AC62" i="2"/>
  <c r="AB28" i="11" s="1"/>
  <c r="AB62" i="2"/>
  <c r="AA28" i="11" s="1"/>
  <c r="AA62" i="2"/>
  <c r="Z28" i="11" s="1"/>
  <c r="Z62" i="2"/>
  <c r="Y28" i="11" s="1"/>
  <c r="Y62" i="2"/>
  <c r="X28" i="11" s="1"/>
  <c r="X62" i="2"/>
  <c r="W28" i="11" s="1"/>
  <c r="W62" i="2"/>
  <c r="V28" i="11" s="1"/>
  <c r="V62" i="2"/>
  <c r="U28" i="11" s="1"/>
  <c r="U62" i="2"/>
  <c r="T28" i="11" s="1"/>
  <c r="T62" i="2"/>
  <c r="S28" i="11" s="1"/>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2" i="9"/>
  <c r="O12"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T97" i="2"/>
  <c r="T98" i="2" s="1"/>
  <c r="V97" i="2"/>
  <c r="V98" i="2" s="1"/>
  <c r="X97" i="2"/>
  <c r="X98" i="2" s="1"/>
  <c r="Z97" i="2"/>
  <c r="I18" i="9" s="1"/>
  <c r="J18" i="9" s="1"/>
  <c r="AB97" i="2"/>
  <c r="I19" i="9" s="1"/>
  <c r="J19" i="9" s="1"/>
  <c r="AD97" i="2"/>
  <c r="AD98" i="2" s="1"/>
  <c r="AF97" i="2"/>
  <c r="AF98" i="2" s="1"/>
  <c r="AH97" i="2"/>
  <c r="AH98" i="2" s="1"/>
  <c r="AJ97" i="2"/>
  <c r="AJ98" i="2" s="1"/>
  <c r="AL97" i="2"/>
  <c r="AL98" i="2" s="1"/>
  <c r="AN97" i="2"/>
  <c r="I25" i="9" s="1"/>
  <c r="J25" i="9" s="1"/>
  <c r="AP97" i="2"/>
  <c r="AP98" i="2" s="1"/>
  <c r="AR97" i="2"/>
  <c r="AR98" i="2" s="1"/>
  <c r="Z98" i="2"/>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I23" i="9"/>
  <c r="J23" i="9" s="1"/>
  <c r="I22" i="9"/>
  <c r="J22" i="9" s="1"/>
  <c r="G22" i="9"/>
  <c r="H22" i="9" s="1"/>
  <c r="E15" i="9"/>
  <c r="F15" i="9" s="1"/>
  <c r="E98" i="3"/>
  <c r="E97" i="3"/>
  <c r="K56" i="3"/>
  <c r="E49" i="3"/>
  <c r="AF64" i="3"/>
  <c r="AG64" i="3"/>
  <c r="AC64" i="3"/>
  <c r="AB64" i="3"/>
  <c r="X64" i="3"/>
  <c r="Y64" i="3"/>
  <c r="CJ85" i="3"/>
  <c r="BL85" i="3"/>
  <c r="AR85" i="3"/>
  <c r="T96" i="3"/>
  <c r="AJ96" i="3"/>
  <c r="AI96" i="3"/>
  <c r="AF85" i="3"/>
  <c r="AC85" i="3"/>
  <c r="AB85" i="3"/>
  <c r="Y96" i="3"/>
  <c r="R96" i="3"/>
  <c r="O85" i="3"/>
  <c r="N96" i="3"/>
  <c r="V96" i="3"/>
  <c r="X96" i="3"/>
  <c r="T64" i="3"/>
  <c r="BT96" i="3"/>
  <c r="AK96" i="3"/>
  <c r="AG96" i="3"/>
  <c r="O96" i="3"/>
  <c r="CB96" i="3"/>
  <c r="AZ96" i="3"/>
  <c r="J104" i="2"/>
  <c r="T85" i="3"/>
  <c r="AI85" i="3"/>
  <c r="U85" i="3"/>
  <c r="AG85" i="3"/>
  <c r="AB96" i="3"/>
  <c r="AC96" i="3"/>
  <c r="V85" i="3"/>
  <c r="W96" i="3"/>
  <c r="U64" i="3"/>
  <c r="N85" i="3"/>
  <c r="P96" i="3"/>
  <c r="BT85" i="3"/>
  <c r="AV85" i="3"/>
  <c r="AA96" i="3"/>
  <c r="AH85" i="3"/>
  <c r="AJ85" i="3"/>
  <c r="AF96" i="3"/>
  <c r="W85" i="3"/>
  <c r="Q85" i="3"/>
  <c r="P85" i="3"/>
  <c r="U96" i="3"/>
  <c r="AV96" i="3"/>
  <c r="AH96" i="3"/>
  <c r="Y85" i="3"/>
  <c r="X85" i="3"/>
  <c r="Q96" i="3"/>
  <c r="Q17" i="13" l="1"/>
  <c r="R16" i="13"/>
  <c r="S16" i="13" s="1"/>
  <c r="M99" i="3"/>
  <c r="M100" i="3" s="1"/>
  <c r="L29" i="11" s="1"/>
  <c r="L99" i="3"/>
  <c r="L100" i="3" s="1"/>
  <c r="K29" i="11" s="1"/>
  <c r="AH118" i="3"/>
  <c r="Q31" i="11"/>
  <c r="Q46" i="11" s="1"/>
  <c r="AH115" i="3"/>
  <c r="S23" i="11"/>
  <c r="S41" i="11" s="1"/>
  <c r="AG65" i="3"/>
  <c r="AG66" i="3" s="1"/>
  <c r="AG67" i="3" s="1"/>
  <c r="R18" i="11"/>
  <c r="AF65" i="3"/>
  <c r="AF66" i="3" s="1"/>
  <c r="Q18" i="11"/>
  <c r="AD118" i="3"/>
  <c r="O31" i="11"/>
  <c r="O46" i="11" s="1"/>
  <c r="AB65" i="3"/>
  <c r="AB66" i="3" s="1"/>
  <c r="O18" i="11"/>
  <c r="AC65" i="3"/>
  <c r="AC66" i="3" s="1"/>
  <c r="AC67" i="3" s="1"/>
  <c r="P18" i="11"/>
  <c r="Z118" i="3"/>
  <c r="M31" i="11"/>
  <c r="M46" i="11" s="1"/>
  <c r="N13" i="9"/>
  <c r="O13" i="9" s="1"/>
  <c r="Y65" i="3"/>
  <c r="Y66" i="3" s="1"/>
  <c r="Y67" i="3" s="1"/>
  <c r="N18" i="11"/>
  <c r="X65" i="3"/>
  <c r="X66" i="3" s="1"/>
  <c r="M18" i="11"/>
  <c r="V102" i="3"/>
  <c r="N11" i="9"/>
  <c r="O11" i="9" s="1"/>
  <c r="J105" i="3"/>
  <c r="J106" i="3" s="1"/>
  <c r="J108" i="3" s="1"/>
  <c r="J109" i="3" s="1"/>
  <c r="T65" i="3"/>
  <c r="T66" i="3" s="1"/>
  <c r="K18" i="11"/>
  <c r="U65" i="3"/>
  <c r="U66" i="3" s="1"/>
  <c r="U67" i="3" s="1"/>
  <c r="L18" i="11"/>
  <c r="I31" i="11"/>
  <c r="I46" i="11" s="1"/>
  <c r="N115" i="3"/>
  <c r="I23" i="11"/>
  <c r="I41" i="11" s="1"/>
  <c r="L105" i="3"/>
  <c r="L106" i="3" s="1"/>
  <c r="L108" i="3" s="1"/>
  <c r="L109" i="3" s="1"/>
  <c r="M105" i="3"/>
  <c r="M106" i="3" s="1"/>
  <c r="M108" i="3" s="1"/>
  <c r="M109" i="3" s="1"/>
  <c r="J100" i="3"/>
  <c r="I29" i="11" s="1"/>
  <c r="K99" i="3"/>
  <c r="K100" i="3" s="1"/>
  <c r="J29" i="11" s="1"/>
  <c r="J79" i="3"/>
  <c r="J80" i="3" s="1"/>
  <c r="J81" i="3" s="1"/>
  <c r="J90" i="3"/>
  <c r="J83" i="3" s="1"/>
  <c r="K90" i="3"/>
  <c r="AM43" i="11"/>
  <c r="P25" i="9"/>
  <c r="Q25" i="9" s="1"/>
  <c r="AC43" i="11"/>
  <c r="P20" i="9"/>
  <c r="Q20" i="9" s="1"/>
  <c r="AI43" i="11"/>
  <c r="P23" i="9"/>
  <c r="Q23" i="9" s="1"/>
  <c r="U43" i="11"/>
  <c r="P16" i="9"/>
  <c r="Q16" i="9" s="1"/>
  <c r="W43" i="11"/>
  <c r="P17" i="9"/>
  <c r="Q17" i="9" s="1"/>
  <c r="S43" i="11"/>
  <c r="P15" i="9"/>
  <c r="Q15" i="9" s="1"/>
  <c r="L26" i="9"/>
  <c r="M26" i="9" s="1"/>
  <c r="L25" i="9"/>
  <c r="M25" i="9" s="1"/>
  <c r="L24" i="9"/>
  <c r="M24" i="9" s="1"/>
  <c r="L23" i="9"/>
  <c r="M23" i="9" s="1"/>
  <c r="L19" i="9"/>
  <c r="M19" i="9" s="1"/>
  <c r="L18" i="9"/>
  <c r="M18" i="9" s="1"/>
  <c r="L17" i="9"/>
  <c r="M17" i="9" s="1"/>
  <c r="L16" i="9"/>
  <c r="M16" i="9" s="1"/>
  <c r="G11" i="13"/>
  <c r="H11" i="13" s="1"/>
  <c r="F12" i="13"/>
  <c r="F18" i="12"/>
  <c r="F19" i="12"/>
  <c r="I17" i="12"/>
  <c r="L17" i="12" s="1"/>
  <c r="G19" i="12"/>
  <c r="J19" i="12"/>
  <c r="H21" i="12"/>
  <c r="G46" i="12"/>
  <c r="I44" i="12"/>
  <c r="L44" i="12" s="1"/>
  <c r="J46" i="12"/>
  <c r="H48" i="12"/>
  <c r="L28" i="9"/>
  <c r="M28" i="9" s="1"/>
  <c r="L21" i="9"/>
  <c r="M21" i="9" s="1"/>
  <c r="F99" i="3"/>
  <c r="F100" i="3" s="1"/>
  <c r="G105" i="3"/>
  <c r="G106" i="3" s="1"/>
  <c r="I99" i="3"/>
  <c r="I100" i="3" s="1"/>
  <c r="F65" i="3"/>
  <c r="K108" i="3"/>
  <c r="K109" i="3" s="1"/>
  <c r="K79" i="3"/>
  <c r="M78" i="3"/>
  <c r="M77" i="3" s="1"/>
  <c r="M79" i="3" s="1"/>
  <c r="M80" i="3" s="1"/>
  <c r="M81" i="3" s="1"/>
  <c r="J78" i="3"/>
  <c r="G79" i="3"/>
  <c r="E78" i="3"/>
  <c r="E77" i="3" s="1"/>
  <c r="E79" i="3" s="1"/>
  <c r="E89" i="3"/>
  <c r="E88" i="3" s="1"/>
  <c r="E90" i="3" s="1"/>
  <c r="E83" i="3" s="1"/>
  <c r="G108" i="3"/>
  <c r="F79" i="3"/>
  <c r="L20" i="9"/>
  <c r="M20" i="9" s="1"/>
  <c r="H99" i="3"/>
  <c r="H100" i="3" s="1"/>
  <c r="F61" i="3"/>
  <c r="E99" i="3"/>
  <c r="E100" i="3" s="1"/>
  <c r="G99" i="3"/>
  <c r="G100" i="3" s="1"/>
  <c r="L27" i="9"/>
  <c r="M27" i="9" s="1"/>
  <c r="N10" i="9"/>
  <c r="O10" i="9" s="1"/>
  <c r="H105" i="3"/>
  <c r="H106" i="3" s="1"/>
  <c r="H108" i="3" s="1"/>
  <c r="H109" i="3" s="1"/>
  <c r="I105" i="3"/>
  <c r="I106" i="3" s="1"/>
  <c r="I108" i="3" s="1"/>
  <c r="I109" i="3" s="1"/>
  <c r="L10" i="9"/>
  <c r="M10" i="9" s="1"/>
  <c r="L15" i="9"/>
  <c r="M15" i="9" s="1"/>
  <c r="G17" i="9"/>
  <c r="H17" i="9" s="1"/>
  <c r="AB92" i="2"/>
  <c r="E24" i="9"/>
  <c r="F24" i="9" s="1"/>
  <c r="I27" i="9"/>
  <c r="J27" i="9" s="1"/>
  <c r="AB98" i="2"/>
  <c r="G23" i="9"/>
  <c r="H23" i="9" s="1"/>
  <c r="E26" i="9"/>
  <c r="F26" i="9" s="1"/>
  <c r="G27" i="9"/>
  <c r="H27" i="9" s="1"/>
  <c r="I15" i="9"/>
  <c r="J15" i="9" s="1"/>
  <c r="Z92" i="2"/>
  <c r="G16" i="9"/>
  <c r="H16" i="9" s="1"/>
  <c r="AL95" i="2"/>
  <c r="E27" i="9"/>
  <c r="F27" i="9" s="1"/>
  <c r="AN92" i="2"/>
  <c r="G20" i="9"/>
  <c r="H20" i="9" s="1"/>
  <c r="AJ92" i="2"/>
  <c r="I26" i="9"/>
  <c r="J26" i="9" s="1"/>
  <c r="X92" i="2"/>
  <c r="I21" i="9"/>
  <c r="J21" i="9" s="1"/>
  <c r="K35" i="9"/>
  <c r="K36" i="9" s="1"/>
  <c r="K37" i="9"/>
  <c r="K38" i="9" s="1"/>
  <c r="I40" i="9"/>
  <c r="K40" i="9" s="1"/>
  <c r="L22" i="9"/>
  <c r="M22" i="9" s="1"/>
  <c r="I17" i="9"/>
  <c r="J17" i="9" s="1"/>
  <c r="AN98" i="2"/>
  <c r="AN95" i="2"/>
  <c r="AF95" i="2"/>
  <c r="E16" i="9"/>
  <c r="F16" i="9" s="1"/>
  <c r="I16" i="9"/>
  <c r="J16" i="9" s="1"/>
  <c r="I20" i="9"/>
  <c r="J20" i="9" s="1"/>
  <c r="I24" i="9"/>
  <c r="J24" i="9" s="1"/>
  <c r="G15" i="9"/>
  <c r="H15" i="9" s="1"/>
  <c r="G19" i="9"/>
  <c r="H19" i="9" s="1"/>
  <c r="G26" i="9"/>
  <c r="H26" i="9" s="1"/>
  <c r="E22" i="9"/>
  <c r="F22" i="9" s="1"/>
  <c r="E21" i="9"/>
  <c r="F21" i="9" s="1"/>
  <c r="E20" i="9"/>
  <c r="F20" i="9" s="1"/>
  <c r="P19" i="11"/>
  <c r="K19" i="11"/>
  <c r="N19" i="11"/>
  <c r="Q19" i="11"/>
  <c r="R19" i="11"/>
  <c r="O19" i="11"/>
  <c r="L19" i="11"/>
  <c r="M19" i="11"/>
  <c r="Q18" i="13" l="1"/>
  <c r="R17" i="13"/>
  <c r="S17" i="13" s="1"/>
  <c r="R21" i="11"/>
  <c r="Q21" i="11"/>
  <c r="AF67" i="3"/>
  <c r="AD114" i="3"/>
  <c r="L14" i="9" s="1"/>
  <c r="P21" i="11"/>
  <c r="O21" i="11"/>
  <c r="AB67" i="3"/>
  <c r="Z114" i="3"/>
  <c r="M21" i="11"/>
  <c r="N21" i="11"/>
  <c r="X67" i="3"/>
  <c r="V114" i="3"/>
  <c r="K21" i="11"/>
  <c r="L21" i="11"/>
  <c r="T67" i="3"/>
  <c r="R114" i="3"/>
  <c r="J84" i="3"/>
  <c r="M84" i="3"/>
  <c r="I102" i="3"/>
  <c r="H29" i="11"/>
  <c r="H102" i="3"/>
  <c r="G29" i="11"/>
  <c r="G102" i="3"/>
  <c r="F29" i="11"/>
  <c r="F102" i="3"/>
  <c r="E29" i="11"/>
  <c r="AE43" i="11"/>
  <c r="P21" i="9"/>
  <c r="Q21" i="9" s="1"/>
  <c r="F13" i="13"/>
  <c r="G13" i="13" s="1"/>
  <c r="H13" i="13" s="1"/>
  <c r="G12" i="13"/>
  <c r="H12" i="13" s="1"/>
  <c r="J21" i="12"/>
  <c r="H23" i="12"/>
  <c r="F20" i="12"/>
  <c r="F21" i="12"/>
  <c r="I19" i="12"/>
  <c r="L19" i="12" s="1"/>
  <c r="G21" i="12"/>
  <c r="G48" i="12"/>
  <c r="I46" i="12"/>
  <c r="L46" i="12" s="1"/>
  <c r="J48" i="12"/>
  <c r="H50" i="12"/>
  <c r="E84" i="3"/>
  <c r="E80" i="3"/>
  <c r="E81" i="3" s="1"/>
  <c r="E82" i="3" s="1"/>
  <c r="E91" i="3"/>
  <c r="J117" i="3"/>
  <c r="F90" i="3"/>
  <c r="G90" i="3"/>
  <c r="G109" i="3"/>
  <c r="E107" i="3"/>
  <c r="E57" i="3"/>
  <c r="G57" i="3"/>
  <c r="H57" i="3"/>
  <c r="I57" i="3"/>
  <c r="K57" i="3"/>
  <c r="J57" i="3"/>
  <c r="E85" i="3"/>
  <c r="Q19" i="13" l="1"/>
  <c r="R18" i="13"/>
  <c r="S18" i="13" s="1"/>
  <c r="AD115" i="3"/>
  <c r="Q23" i="11"/>
  <c r="Q41" i="11" s="1"/>
  <c r="M14" i="9"/>
  <c r="Z115" i="3"/>
  <c r="O23" i="11"/>
  <c r="O41" i="11" s="1"/>
  <c r="L13" i="9"/>
  <c r="M13" i="9" s="1"/>
  <c r="V115" i="3"/>
  <c r="M23" i="11"/>
  <c r="M41" i="11" s="1"/>
  <c r="L12" i="9"/>
  <c r="M12" i="9" s="1"/>
  <c r="R115" i="3"/>
  <c r="K23" i="11"/>
  <c r="K41" i="11" s="1"/>
  <c r="L11" i="9"/>
  <c r="M11" i="9" s="1"/>
  <c r="J118" i="3"/>
  <c r="G31" i="11"/>
  <c r="G46" i="11" s="1"/>
  <c r="I21" i="12"/>
  <c r="L21" i="12" s="1"/>
  <c r="G23" i="12"/>
  <c r="J23" i="12"/>
  <c r="H25" i="12"/>
  <c r="F22" i="12"/>
  <c r="F23" i="12"/>
  <c r="G50" i="12"/>
  <c r="I48" i="12"/>
  <c r="L48" i="12" s="1"/>
  <c r="J50" i="12"/>
  <c r="N9" i="9"/>
  <c r="O9" i="9" s="1"/>
  <c r="E94" i="3"/>
  <c r="E95" i="3"/>
  <c r="E92" i="3"/>
  <c r="E93" i="3" s="1"/>
  <c r="L76" i="3"/>
  <c r="M50" i="3"/>
  <c r="L50" i="3"/>
  <c r="J65" i="3"/>
  <c r="K76" i="3"/>
  <c r="M60" i="3"/>
  <c r="M61" i="3" s="1"/>
  <c r="L60" i="3"/>
  <c r="L61" i="3" s="1"/>
  <c r="K60" i="3"/>
  <c r="K61" i="3" s="1"/>
  <c r="J60" i="3"/>
  <c r="J61" i="3" s="1"/>
  <c r="M59" i="3"/>
  <c r="L59" i="3"/>
  <c r="K59" i="3"/>
  <c r="J59" i="3"/>
  <c r="J49" i="3"/>
  <c r="M48" i="3"/>
  <c r="L48" i="3"/>
  <c r="J56" i="3"/>
  <c r="K48" i="3"/>
  <c r="K50" i="3"/>
  <c r="J48" i="3"/>
  <c r="J50" i="3"/>
  <c r="I56" i="3"/>
  <c r="H56" i="3"/>
  <c r="G56" i="3"/>
  <c r="E56" i="3"/>
  <c r="E50" i="3"/>
  <c r="F49" i="3"/>
  <c r="F58" i="3" s="1"/>
  <c r="F50" i="3"/>
  <c r="I63" i="3"/>
  <c r="H63" i="3"/>
  <c r="H64" i="3" s="1"/>
  <c r="G63" i="3"/>
  <c r="G64" i="3" s="1"/>
  <c r="F17" i="11" s="1"/>
  <c r="J63" i="3"/>
  <c r="E59" i="3"/>
  <c r="E60" i="3"/>
  <c r="E62" i="3" s="1"/>
  <c r="E63" i="3"/>
  <c r="I16" i="3"/>
  <c r="F76" i="3"/>
  <c r="I48" i="3"/>
  <c r="I50" i="3"/>
  <c r="G48" i="3"/>
  <c r="G50" i="3"/>
  <c r="H50" i="3"/>
  <c r="H48" i="3"/>
  <c r="G59" i="3"/>
  <c r="G60" i="3"/>
  <c r="G62" i="3" s="1"/>
  <c r="K63" i="3"/>
  <c r="L63" i="3"/>
  <c r="M63" i="3"/>
  <c r="H59" i="3"/>
  <c r="H60" i="3"/>
  <c r="H62" i="3" s="1"/>
  <c r="I59" i="3"/>
  <c r="I60" i="3"/>
  <c r="I61" i="3" s="1"/>
  <c r="F68" i="3"/>
  <c r="E9" i="11" s="1"/>
  <c r="J68" i="3"/>
  <c r="G9" i="11" s="1"/>
  <c r="E57" i="2"/>
  <c r="F107" i="3"/>
  <c r="F103" i="3"/>
  <c r="F104" i="3"/>
  <c r="F66" i="2"/>
  <c r="F65" i="2"/>
  <c r="G63" i="2"/>
  <c r="G64" i="2" s="1"/>
  <c r="G66" i="2"/>
  <c r="G65" i="2"/>
  <c r="CL112" i="3"/>
  <c r="F110" i="3"/>
  <c r="E68" i="2"/>
  <c r="AS68" i="2"/>
  <c r="AR68" i="2"/>
  <c r="AQ68" i="2"/>
  <c r="AP68" i="2"/>
  <c r="AO68" i="2"/>
  <c r="AN68" i="2"/>
  <c r="AM68" i="2"/>
  <c r="AL68" i="2"/>
  <c r="AK68" i="2"/>
  <c r="AJ68" i="2"/>
  <c r="AI68" i="2"/>
  <c r="AH68" i="2"/>
  <c r="AG68" i="2"/>
  <c r="AF68" i="2"/>
  <c r="AE68" i="2"/>
  <c r="AD68" i="2"/>
  <c r="AC68" i="2"/>
  <c r="AB68" i="2"/>
  <c r="AA68" i="2"/>
  <c r="Z68" i="2"/>
  <c r="Y68" i="2"/>
  <c r="X68" i="2"/>
  <c r="W68" i="2"/>
  <c r="V68" i="2"/>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3" i="3"/>
  <c r="E104" i="3"/>
  <c r="T57" i="2"/>
  <c r="S22" i="11" s="1"/>
  <c r="U57" i="2"/>
  <c r="T22" i="11" s="1"/>
  <c r="V57" i="2"/>
  <c r="U22" i="11" s="1"/>
  <c r="W57" i="2"/>
  <c r="V22" i="11" s="1"/>
  <c r="X57" i="2"/>
  <c r="W22" i="11" s="1"/>
  <c r="Y57" i="2"/>
  <c r="X22" i="11" s="1"/>
  <c r="Z57" i="2"/>
  <c r="Y22" i="11" s="1"/>
  <c r="AA57" i="2"/>
  <c r="Z22" i="11" s="1"/>
  <c r="AB57" i="2"/>
  <c r="AA22" i="11" s="1"/>
  <c r="AC57" i="2"/>
  <c r="AB22" i="11" s="1"/>
  <c r="AD57" i="2"/>
  <c r="AC22" i="11" s="1"/>
  <c r="AE57" i="2"/>
  <c r="AD22" i="11" s="1"/>
  <c r="AF57" i="2"/>
  <c r="AE22" i="11" s="1"/>
  <c r="AG57" i="2"/>
  <c r="AF22" i="11" s="1"/>
  <c r="AH57" i="2"/>
  <c r="AG22" i="11" s="1"/>
  <c r="AI57" i="2"/>
  <c r="AH22" i="11" s="1"/>
  <c r="AJ57" i="2"/>
  <c r="AI22" i="11" s="1"/>
  <c r="AK57" i="2"/>
  <c r="AJ22" i="11" s="1"/>
  <c r="AL57" i="2"/>
  <c r="AK22" i="11" s="1"/>
  <c r="AM57" i="2"/>
  <c r="AL22" i="11" s="1"/>
  <c r="AN57" i="2"/>
  <c r="AM22" i="11" s="1"/>
  <c r="AO57" i="2"/>
  <c r="AN22" i="11" s="1"/>
  <c r="AP57" i="2"/>
  <c r="AO22" i="11" s="1"/>
  <c r="AQ57" i="2"/>
  <c r="AP22" i="11" s="1"/>
  <c r="AR57" i="2"/>
  <c r="AQ22" i="11" s="1"/>
  <c r="AS57" i="2"/>
  <c r="AR22" i="11" s="1"/>
  <c r="E77" i="2"/>
  <c r="E78" i="2" s="1"/>
  <c r="E83" i="2"/>
  <c r="E79" i="2"/>
  <c r="E81" i="2"/>
  <c r="E80" i="2"/>
  <c r="E86" i="2"/>
  <c r="E87" i="2" s="1"/>
  <c r="E66" i="2"/>
  <c r="E65" i="2"/>
  <c r="E60" i="2"/>
  <c r="E74" i="2"/>
  <c r="E75" i="2" s="1"/>
  <c r="AP69" i="2"/>
  <c r="AP70" i="2" s="1"/>
  <c r="AN71" i="2"/>
  <c r="AH71" i="2"/>
  <c r="AB71" i="2"/>
  <c r="AB69" i="2"/>
  <c r="AB70" i="2" s="1"/>
  <c r="V71" i="2"/>
  <c r="V69" i="2"/>
  <c r="V70" i="2" s="1"/>
  <c r="G60" i="2"/>
  <c r="H77" i="2"/>
  <c r="H78" i="2" s="1"/>
  <c r="H83" i="2"/>
  <c r="H79" i="2"/>
  <c r="H81" i="2"/>
  <c r="H80" i="2"/>
  <c r="H66" i="2"/>
  <c r="H65" i="2"/>
  <c r="H60" i="2"/>
  <c r="AR86" i="2"/>
  <c r="AS86" i="2"/>
  <c r="AP86" i="2"/>
  <c r="AQ86" i="2"/>
  <c r="AN86" i="2"/>
  <c r="AO86" i="2"/>
  <c r="AL86" i="2"/>
  <c r="AM86" i="2"/>
  <c r="AJ86" i="2"/>
  <c r="AK86" i="2"/>
  <c r="AH86" i="2"/>
  <c r="AI86" i="2"/>
  <c r="AF86" i="2"/>
  <c r="AG86" i="2"/>
  <c r="AD86" i="2"/>
  <c r="AE86" i="2"/>
  <c r="AB86" i="2"/>
  <c r="AC86" i="2"/>
  <c r="Z86" i="2"/>
  <c r="AA86" i="2"/>
  <c r="X86" i="2"/>
  <c r="Y86" i="2"/>
  <c r="V86" i="2"/>
  <c r="W86" i="2"/>
  <c r="T86" i="2"/>
  <c r="U86" i="2"/>
  <c r="AR74" i="2"/>
  <c r="AS74" i="2"/>
  <c r="AP74" i="2"/>
  <c r="AQ74" i="2"/>
  <c r="AN74" i="2"/>
  <c r="AO74" i="2"/>
  <c r="AL74" i="2"/>
  <c r="AM74" i="2"/>
  <c r="AJ74" i="2"/>
  <c r="AK74" i="2"/>
  <c r="AH74" i="2"/>
  <c r="AI74" i="2"/>
  <c r="AF74" i="2"/>
  <c r="AG74" i="2"/>
  <c r="AD74" i="2"/>
  <c r="AE74" i="2"/>
  <c r="AB74" i="2"/>
  <c r="AC74" i="2"/>
  <c r="Z74" i="2"/>
  <c r="AA74" i="2"/>
  <c r="X74" i="2"/>
  <c r="Y74" i="2"/>
  <c r="V74" i="2"/>
  <c r="W74" i="2"/>
  <c r="T74" i="2"/>
  <c r="U74" i="2"/>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2" i="3"/>
  <c r="F112" i="3"/>
  <c r="AT89" i="2"/>
  <c r="AL89" i="2"/>
  <c r="AN89" i="2"/>
  <c r="AP89" i="2"/>
  <c r="AR89" i="2"/>
  <c r="AF89" i="2"/>
  <c r="AH89" i="2"/>
  <c r="AJ89" i="2"/>
  <c r="X89" i="2"/>
  <c r="Z89" i="2"/>
  <c r="AB89" i="2"/>
  <c r="AD89" i="2"/>
  <c r="T89" i="2"/>
  <c r="V89" i="2"/>
  <c r="L89" i="2"/>
  <c r="N89" i="2"/>
  <c r="P89" i="2"/>
  <c r="R89" i="2"/>
  <c r="H89" i="2"/>
  <c r="J89" i="2"/>
  <c r="F89" i="2"/>
  <c r="E96" i="3"/>
  <c r="U75" i="2" l="1"/>
  <c r="T30" i="11"/>
  <c r="T32" i="11" s="1"/>
  <c r="T33" i="11" s="1"/>
  <c r="Y75" i="2"/>
  <c r="X30" i="11"/>
  <c r="X32" i="11" s="1"/>
  <c r="X33" i="11" s="1"/>
  <c r="AC75" i="2"/>
  <c r="AB30" i="11"/>
  <c r="AB32" i="11" s="1"/>
  <c r="AB33" i="11" s="1"/>
  <c r="AG75" i="2"/>
  <c r="AF30" i="11"/>
  <c r="AF32" i="11" s="1"/>
  <c r="AF33" i="11" s="1"/>
  <c r="AK75" i="2"/>
  <c r="AJ30" i="11"/>
  <c r="AJ32" i="11" s="1"/>
  <c r="AJ33" i="11" s="1"/>
  <c r="AO75" i="2"/>
  <c r="AN30" i="11"/>
  <c r="AN32" i="11" s="1"/>
  <c r="AN33" i="11" s="1"/>
  <c r="AS75" i="2"/>
  <c r="AR30" i="11"/>
  <c r="AR32" i="11" s="1"/>
  <c r="AR33" i="11" s="1"/>
  <c r="W87" i="2"/>
  <c r="V35" i="11"/>
  <c r="V36" i="11" s="1"/>
  <c r="AA87" i="2"/>
  <c r="Z35" i="11"/>
  <c r="Z36" i="11" s="1"/>
  <c r="AE87" i="2"/>
  <c r="AD35" i="11"/>
  <c r="AD36" i="11" s="1"/>
  <c r="AI87" i="2"/>
  <c r="AH35" i="11"/>
  <c r="AH36" i="11" s="1"/>
  <c r="AM87" i="2"/>
  <c r="AL35" i="11"/>
  <c r="AL36" i="11" s="1"/>
  <c r="AQ87" i="2"/>
  <c r="AP35" i="11"/>
  <c r="AP36" i="11" s="1"/>
  <c r="T75" i="2"/>
  <c r="S30" i="11"/>
  <c r="S32" i="11" s="1"/>
  <c r="S33" i="11" s="1"/>
  <c r="X75" i="2"/>
  <c r="W30" i="11"/>
  <c r="W32" i="11" s="1"/>
  <c r="W33" i="11" s="1"/>
  <c r="AB75" i="2"/>
  <c r="AA30" i="11"/>
  <c r="AA32" i="11" s="1"/>
  <c r="AA33" i="11" s="1"/>
  <c r="AF75" i="2"/>
  <c r="AE30" i="11"/>
  <c r="AE32" i="11" s="1"/>
  <c r="AE33" i="11" s="1"/>
  <c r="AJ75" i="2"/>
  <c r="AI30" i="11"/>
  <c r="AI32" i="11" s="1"/>
  <c r="AI33" i="11" s="1"/>
  <c r="AN75" i="2"/>
  <c r="AM30" i="11"/>
  <c r="AM32" i="11" s="1"/>
  <c r="AM33" i="11" s="1"/>
  <c r="AR75" i="2"/>
  <c r="AQ30" i="11"/>
  <c r="AQ32" i="11" s="1"/>
  <c r="AQ33" i="11" s="1"/>
  <c r="V87" i="2"/>
  <c r="U35" i="11"/>
  <c r="U36" i="11" s="1"/>
  <c r="Z87" i="2"/>
  <c r="Y35" i="11"/>
  <c r="Y36" i="11" s="1"/>
  <c r="AD87" i="2"/>
  <c r="AC35" i="11"/>
  <c r="AC36" i="11" s="1"/>
  <c r="AH87" i="2"/>
  <c r="AG35" i="11"/>
  <c r="AG36" i="11" s="1"/>
  <c r="AL87" i="2"/>
  <c r="AK35" i="11"/>
  <c r="AK36" i="11" s="1"/>
  <c r="AP87" i="2"/>
  <c r="AO35" i="11"/>
  <c r="AO36" i="11" s="1"/>
  <c r="W75" i="2"/>
  <c r="V30" i="11"/>
  <c r="V32" i="11" s="1"/>
  <c r="V33" i="11" s="1"/>
  <c r="AA75" i="2"/>
  <c r="Z30" i="11"/>
  <c r="Z32" i="11" s="1"/>
  <c r="Z33" i="11" s="1"/>
  <c r="AE75" i="2"/>
  <c r="AD30" i="11"/>
  <c r="AD32" i="11" s="1"/>
  <c r="AD33" i="11" s="1"/>
  <c r="AI75" i="2"/>
  <c r="AH30" i="11"/>
  <c r="AH32" i="11" s="1"/>
  <c r="AH33" i="11" s="1"/>
  <c r="AM75" i="2"/>
  <c r="AL30" i="11"/>
  <c r="AL32" i="11" s="1"/>
  <c r="AL33" i="11" s="1"/>
  <c r="AQ75" i="2"/>
  <c r="AP30" i="11"/>
  <c r="AP32" i="11" s="1"/>
  <c r="AP33" i="11" s="1"/>
  <c r="U87" i="2"/>
  <c r="T35" i="11"/>
  <c r="T36" i="11" s="1"/>
  <c r="Y87" i="2"/>
  <c r="X35" i="11"/>
  <c r="X36" i="11" s="1"/>
  <c r="AC87" i="2"/>
  <c r="AB35" i="11"/>
  <c r="AB36" i="11" s="1"/>
  <c r="AG87" i="2"/>
  <c r="AF35" i="11"/>
  <c r="AF36" i="11" s="1"/>
  <c r="AK87" i="2"/>
  <c r="AJ35" i="11"/>
  <c r="AJ36" i="11" s="1"/>
  <c r="AO87" i="2"/>
  <c r="AN35" i="11"/>
  <c r="AN36" i="11" s="1"/>
  <c r="AS87" i="2"/>
  <c r="AR35" i="11"/>
  <c r="AR36" i="11" s="1"/>
  <c r="G17" i="3"/>
  <c r="G76" i="3" s="1"/>
  <c r="V75" i="2"/>
  <c r="U30" i="11"/>
  <c r="U32" i="11" s="1"/>
  <c r="U33" i="11" s="1"/>
  <c r="Z75" i="2"/>
  <c r="Y30" i="11"/>
  <c r="Y32" i="11" s="1"/>
  <c r="Y33" i="11" s="1"/>
  <c r="AD75" i="2"/>
  <c r="AC30" i="11"/>
  <c r="AC32" i="11" s="1"/>
  <c r="AC33" i="11" s="1"/>
  <c r="AH75" i="2"/>
  <c r="AG30" i="11"/>
  <c r="AG32" i="11" s="1"/>
  <c r="AG33" i="11" s="1"/>
  <c r="AL75" i="2"/>
  <c r="AK30" i="11"/>
  <c r="AK32" i="11" s="1"/>
  <c r="AK33" i="11" s="1"/>
  <c r="AP75" i="2"/>
  <c r="AO30" i="11"/>
  <c r="AO32" i="11" s="1"/>
  <c r="AO33" i="11" s="1"/>
  <c r="X87" i="2"/>
  <c r="W35" i="11"/>
  <c r="W36" i="11" s="1"/>
  <c r="AB87" i="2"/>
  <c r="AA35" i="11"/>
  <c r="AA36" i="11" s="1"/>
  <c r="AF87" i="2"/>
  <c r="AE35" i="11"/>
  <c r="AE36" i="11" s="1"/>
  <c r="AJ87" i="2"/>
  <c r="AI35" i="11"/>
  <c r="AI36" i="11" s="1"/>
  <c r="AN87" i="2"/>
  <c r="AM35" i="11"/>
  <c r="AM36" i="11" s="1"/>
  <c r="AR87" i="2"/>
  <c r="AQ35" i="11"/>
  <c r="AQ36" i="11" s="1"/>
  <c r="Q20" i="13"/>
  <c r="R19" i="13"/>
  <c r="S19" i="13" s="1"/>
  <c r="G56" i="2"/>
  <c r="F15" i="11" s="1"/>
  <c r="I64" i="3"/>
  <c r="F18" i="11" s="1"/>
  <c r="E18" i="11"/>
  <c r="F56" i="2"/>
  <c r="E15" i="11" s="1"/>
  <c r="L62" i="3"/>
  <c r="T87" i="2"/>
  <c r="S35" i="11"/>
  <c r="S36" i="11" s="1"/>
  <c r="F14" i="13"/>
  <c r="G14" i="13" s="1"/>
  <c r="H14" i="13" s="1"/>
  <c r="H27" i="12"/>
  <c r="J25" i="12"/>
  <c r="F24" i="12"/>
  <c r="F25" i="12"/>
  <c r="I23" i="12"/>
  <c r="L23" i="12" s="1"/>
  <c r="G25" i="12"/>
  <c r="I50" i="12"/>
  <c r="L50" i="12" s="1"/>
  <c r="J95" i="3"/>
  <c r="J82" i="3"/>
  <c r="J94" i="3"/>
  <c r="J91" i="3"/>
  <c r="J92" i="3" s="1"/>
  <c r="J93" i="3" s="1"/>
  <c r="J89" i="3"/>
  <c r="M62" i="3"/>
  <c r="F78" i="3"/>
  <c r="F80" i="3"/>
  <c r="F81" i="3" s="1"/>
  <c r="F82" i="3" s="1"/>
  <c r="F84" i="3"/>
  <c r="F91" i="3"/>
  <c r="F92" i="3" s="1"/>
  <c r="F93" i="3" s="1"/>
  <c r="L80" i="3"/>
  <c r="L81" i="3" s="1"/>
  <c r="L78" i="3"/>
  <c r="L77" i="3" s="1"/>
  <c r="L79" i="3" s="1"/>
  <c r="L84" i="3" s="1"/>
  <c r="K78" i="3"/>
  <c r="K83" i="3"/>
  <c r="K80" i="3"/>
  <c r="K81" i="3" s="1"/>
  <c r="K84" i="3"/>
  <c r="F83"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M57" i="2" s="1"/>
  <c r="Q52" i="2"/>
  <c r="Q53" i="2"/>
  <c r="U71" i="2"/>
  <c r="U53" i="2"/>
  <c r="U52" i="2"/>
  <c r="Y52" i="2"/>
  <c r="Y53" i="2"/>
  <c r="AC53" i="2"/>
  <c r="AC52" i="2"/>
  <c r="AG53" i="2"/>
  <c r="AG52" i="2"/>
  <c r="AK52" i="2"/>
  <c r="AK53" i="2"/>
  <c r="AO53" i="2"/>
  <c r="AO52" i="2"/>
  <c r="AS53" i="2"/>
  <c r="AS52" i="2"/>
  <c r="G69" i="2"/>
  <c r="G70" i="2" s="1"/>
  <c r="G52" i="2"/>
  <c r="G53" i="2"/>
  <c r="K52" i="2"/>
  <c r="K53" i="2"/>
  <c r="S52" i="2"/>
  <c r="S53" i="2"/>
  <c r="W52" i="2"/>
  <c r="W53" i="2"/>
  <c r="AA52" i="2"/>
  <c r="AA53" i="2"/>
  <c r="AE52" i="2"/>
  <c r="AE53" i="2"/>
  <c r="AI52" i="2"/>
  <c r="AI53" i="2"/>
  <c r="AM52" i="2"/>
  <c r="AM53" i="2"/>
  <c r="AQ52" i="2"/>
  <c r="AQ53" i="2"/>
  <c r="AE69" i="2"/>
  <c r="AE70" i="2" s="1"/>
  <c r="F71" i="2"/>
  <c r="F53" i="2"/>
  <c r="F52" i="2"/>
  <c r="J53" i="2"/>
  <c r="J52" i="2"/>
  <c r="N53" i="2"/>
  <c r="N52" i="2"/>
  <c r="R53" i="2"/>
  <c r="R52" i="2"/>
  <c r="V53" i="2"/>
  <c r="V52" i="2"/>
  <c r="V54" i="2" s="1"/>
  <c r="Z53" i="2"/>
  <c r="Z52" i="2"/>
  <c r="AD53" i="2"/>
  <c r="AD52" i="2"/>
  <c r="AD54" i="2" s="1"/>
  <c r="AH53" i="2"/>
  <c r="AH52" i="2"/>
  <c r="AL71" i="2"/>
  <c r="AL53" i="2"/>
  <c r="AL52" i="2"/>
  <c r="AP71" i="2"/>
  <c r="AP53" i="2"/>
  <c r="AP52" i="2"/>
  <c r="AP54" i="2" s="1"/>
  <c r="E69" i="2"/>
  <c r="E70" i="2" s="1"/>
  <c r="E53" i="2"/>
  <c r="E52" i="2"/>
  <c r="AQ58" i="2"/>
  <c r="AI58" i="2"/>
  <c r="AA58" i="2"/>
  <c r="W58" i="2"/>
  <c r="AL58" i="2"/>
  <c r="AD58" i="2"/>
  <c r="V58" i="2"/>
  <c r="AE58" i="2"/>
  <c r="I71" i="2"/>
  <c r="AL69" i="2"/>
  <c r="AL70" i="2" s="1"/>
  <c r="AL72" i="2" s="1"/>
  <c r="AL73" i="2" s="1"/>
  <c r="AS58" i="2"/>
  <c r="AO58" i="2"/>
  <c r="AK58" i="2"/>
  <c r="AG58" i="2"/>
  <c r="AC58" i="2"/>
  <c r="Y58" i="2"/>
  <c r="U58" i="2"/>
  <c r="AM58" i="2"/>
  <c r="AP58" i="2"/>
  <c r="AH58" i="2"/>
  <c r="Z58" i="2"/>
  <c r="E71" i="2"/>
  <c r="AR58" i="2"/>
  <c r="AN58" i="2"/>
  <c r="AJ58" i="2"/>
  <c r="AF58" i="2"/>
  <c r="AB58" i="2"/>
  <c r="X58" i="2"/>
  <c r="T58" i="2"/>
  <c r="E58" i="2"/>
  <c r="I49" i="3"/>
  <c r="I89" i="3" s="1"/>
  <c r="I88" i="3" s="1"/>
  <c r="I90" i="3" s="1"/>
  <c r="M49" i="3"/>
  <c r="L49" i="3"/>
  <c r="L58" i="3" s="1"/>
  <c r="H78" i="3"/>
  <c r="H77" i="3" s="1"/>
  <c r="H79" i="3" s="1"/>
  <c r="H80" i="3" s="1"/>
  <c r="H81" i="3" s="1"/>
  <c r="K49" i="3"/>
  <c r="K52" i="3" s="1"/>
  <c r="K51" i="3" s="1"/>
  <c r="K53" i="3" s="1"/>
  <c r="K54" i="3" s="1"/>
  <c r="K55" i="3" s="1"/>
  <c r="H49" i="3"/>
  <c r="G49" i="3"/>
  <c r="G58" i="3" s="1"/>
  <c r="J58" i="3"/>
  <c r="F89" i="3"/>
  <c r="F95" i="3"/>
  <c r="F94" i="3"/>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5" i="3"/>
  <c r="I65"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D85"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F72" i="2" s="1"/>
  <c r="F73"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M69" i="2"/>
  <c r="M70" i="2" s="1"/>
  <c r="U69" i="2"/>
  <c r="U70" i="2" s="1"/>
  <c r="U72" i="2" s="1"/>
  <c r="U73" i="2" s="1"/>
  <c r="AO71" i="2"/>
  <c r="AO69" i="2"/>
  <c r="AO70" i="2" s="1"/>
  <c r="AP72" i="2"/>
  <c r="AP73" i="2" s="1"/>
  <c r="G71" i="2"/>
  <c r="AA71" i="2"/>
  <c r="AE71" i="2"/>
  <c r="AI71" i="2"/>
  <c r="AM71" i="2"/>
  <c r="AQ71" i="2"/>
  <c r="H28" i="9"/>
  <c r="E61" i="3"/>
  <c r="J52" i="3"/>
  <c r="J51" i="3" s="1"/>
  <c r="J53" i="3" s="1"/>
  <c r="J54" i="3" s="1"/>
  <c r="J55" i="3" s="1"/>
  <c r="E65" i="3"/>
  <c r="H61" i="3"/>
  <c r="J62" i="3"/>
  <c r="J66" i="3" s="1"/>
  <c r="J67" i="3" s="1"/>
  <c r="I62" i="3"/>
  <c r="F105" i="3"/>
  <c r="F106" i="3" s="1"/>
  <c r="F108" i="3" s="1"/>
  <c r="F117" i="3" s="1"/>
  <c r="E31" i="11" s="1"/>
  <c r="E46" i="11" s="1"/>
  <c r="AS46" i="11" s="1"/>
  <c r="E105" i="3"/>
  <c r="E106" i="3" s="1"/>
  <c r="E108" i="3" s="1"/>
  <c r="E109" i="3" s="1"/>
  <c r="E58" i="3"/>
  <c r="K62" i="3"/>
  <c r="K66" i="3" s="1"/>
  <c r="F52" i="3"/>
  <c r="F51" i="3" s="1"/>
  <c r="F53" i="3" s="1"/>
  <c r="F54" i="3" s="1"/>
  <c r="F55" i="3" s="1"/>
  <c r="E52" i="3"/>
  <c r="E51" i="3" s="1"/>
  <c r="E53" i="3" s="1"/>
  <c r="E54" i="3" s="1"/>
  <c r="E55" i="3" s="1"/>
  <c r="G61" i="3"/>
  <c r="L57" i="3"/>
  <c r="F20" i="11"/>
  <c r="F96" i="3"/>
  <c r="F19" i="11"/>
  <c r="F85" i="3"/>
  <c r="E20" i="11"/>
  <c r="E19" i="11"/>
  <c r="J96" i="3"/>
  <c r="J85" i="3"/>
  <c r="G78" i="3" l="1"/>
  <c r="G83" i="3"/>
  <c r="G84" i="3"/>
  <c r="G80" i="3"/>
  <c r="G81" i="3" s="1"/>
  <c r="H84" i="3"/>
  <c r="AL54" i="2"/>
  <c r="AM54" i="2"/>
  <c r="AE54" i="2"/>
  <c r="W54" i="2"/>
  <c r="AS54" i="2"/>
  <c r="AC54" i="2"/>
  <c r="U54" i="2"/>
  <c r="AO54" i="2"/>
  <c r="Q21" i="13"/>
  <c r="R20" i="13"/>
  <c r="S20" i="13" s="1"/>
  <c r="J102" i="3"/>
  <c r="E21" i="11"/>
  <c r="Q54" i="2"/>
  <c r="Q57" i="2" s="1"/>
  <c r="Q58" i="2" s="1"/>
  <c r="N54" i="2"/>
  <c r="N57" i="2" s="1"/>
  <c r="K54" i="2"/>
  <c r="K57" i="2" s="1"/>
  <c r="E54" i="2"/>
  <c r="I72" i="2"/>
  <c r="I73" i="2" s="1"/>
  <c r="I54" i="2"/>
  <c r="I57" i="2" s="1"/>
  <c r="H22" i="11" s="1"/>
  <c r="I58" i="3"/>
  <c r="I91" i="3"/>
  <c r="I92" i="3" s="1"/>
  <c r="I93" i="3" s="1"/>
  <c r="L22" i="11"/>
  <c r="L24" i="11" s="1"/>
  <c r="L25" i="11" s="1"/>
  <c r="M86" i="2"/>
  <c r="M58" i="2"/>
  <c r="I74" i="2"/>
  <c r="H30" i="11" s="1"/>
  <c r="H32" i="11" s="1"/>
  <c r="H33" i="11" s="1"/>
  <c r="J22" i="11"/>
  <c r="J24" i="11" s="1"/>
  <c r="J25" i="11" s="1"/>
  <c r="K86" i="2"/>
  <c r="K58" i="2"/>
  <c r="F74" i="2"/>
  <c r="E30" i="11" s="1"/>
  <c r="E32" i="11" s="1"/>
  <c r="G72" i="2"/>
  <c r="G73" i="2" s="1"/>
  <c r="F15" i="13"/>
  <c r="G15" i="13" s="1"/>
  <c r="H15" i="13" s="1"/>
  <c r="F26" i="12"/>
  <c r="F27" i="12"/>
  <c r="I25" i="12"/>
  <c r="L25" i="12" s="1"/>
  <c r="G27" i="12"/>
  <c r="J27" i="12"/>
  <c r="H29" i="12"/>
  <c r="K58" i="3"/>
  <c r="L82" i="3"/>
  <c r="I52" i="3"/>
  <c r="I51" i="3" s="1"/>
  <c r="I53" i="3" s="1"/>
  <c r="I54" i="3" s="1"/>
  <c r="I55" i="3" s="1"/>
  <c r="I95" i="3"/>
  <c r="I94" i="3"/>
  <c r="F21" i="11"/>
  <c r="K82" i="3"/>
  <c r="M95" i="3"/>
  <c r="M94" i="3"/>
  <c r="M89" i="3"/>
  <c r="M88" i="3" s="1"/>
  <c r="M90" i="3" s="1"/>
  <c r="M83" i="3" s="1"/>
  <c r="M91" i="3"/>
  <c r="M92" i="3" s="1"/>
  <c r="M93" i="3" s="1"/>
  <c r="M82" i="3"/>
  <c r="E66" i="3"/>
  <c r="E67" i="3" s="1"/>
  <c r="K95" i="3"/>
  <c r="K91" i="3"/>
  <c r="K92" i="3" s="1"/>
  <c r="K93" i="3" s="1"/>
  <c r="K89" i="3"/>
  <c r="K94" i="3"/>
  <c r="M57" i="3"/>
  <c r="M58" i="3"/>
  <c r="H52" i="3"/>
  <c r="H51" i="3" s="1"/>
  <c r="H53" i="3" s="1"/>
  <c r="H54" i="3" s="1"/>
  <c r="H55" i="3" s="1"/>
  <c r="H82" i="3"/>
  <c r="L89" i="3"/>
  <c r="L88" i="3" s="1"/>
  <c r="L90" i="3" s="1"/>
  <c r="L83" i="3" s="1"/>
  <c r="L91" i="3"/>
  <c r="L92" i="3" s="1"/>
  <c r="L93" i="3" s="1"/>
  <c r="L95" i="3"/>
  <c r="E72" i="2"/>
  <c r="E73" i="2" s="1"/>
  <c r="F54" i="2"/>
  <c r="F57" i="2" s="1"/>
  <c r="E22" i="11" s="1"/>
  <c r="W72" i="2"/>
  <c r="W73" i="2" s="1"/>
  <c r="AG54" i="2"/>
  <c r="AK54" i="2"/>
  <c r="AR54" i="2"/>
  <c r="AJ54" i="2"/>
  <c r="AB54" i="2"/>
  <c r="T54" i="2"/>
  <c r="L54" i="2"/>
  <c r="L57" i="2" s="1"/>
  <c r="L91" i="2" s="1"/>
  <c r="AQ72" i="2"/>
  <c r="AQ73" i="2" s="1"/>
  <c r="AQ54" i="2"/>
  <c r="AI54" i="2"/>
  <c r="AA54" i="2"/>
  <c r="S54" i="2"/>
  <c r="S57" i="2" s="1"/>
  <c r="G54" i="2"/>
  <c r="G57" i="2" s="1"/>
  <c r="AE72" i="2"/>
  <c r="AE73" i="2" s="1"/>
  <c r="AF72" i="2"/>
  <c r="AF73" i="2" s="1"/>
  <c r="L72" i="2"/>
  <c r="L73" i="2" s="1"/>
  <c r="L74" i="2" s="1"/>
  <c r="R72" i="2"/>
  <c r="R73" i="2" s="1"/>
  <c r="R74" i="2" s="1"/>
  <c r="R94" i="2" s="1"/>
  <c r="AH54" i="2"/>
  <c r="Z54" i="2"/>
  <c r="R54" i="2"/>
  <c r="R57" i="2" s="1"/>
  <c r="R91" i="2" s="1"/>
  <c r="J54" i="2"/>
  <c r="J57" i="2" s="1"/>
  <c r="J91" i="2" s="1"/>
  <c r="Y54" i="2"/>
  <c r="O54" i="2"/>
  <c r="O57" i="2" s="1"/>
  <c r="AN54" i="2"/>
  <c r="AF54" i="2"/>
  <c r="X54" i="2"/>
  <c r="P54" i="2"/>
  <c r="P57" i="2" s="1"/>
  <c r="P91" i="2" s="1"/>
  <c r="H54" i="2"/>
  <c r="H57" i="2" s="1"/>
  <c r="M52" i="3"/>
  <c r="M51" i="3" s="1"/>
  <c r="M53" i="3" s="1"/>
  <c r="M54" i="3" s="1"/>
  <c r="M55" i="3" s="1"/>
  <c r="I78" i="3"/>
  <c r="I77" i="3" s="1"/>
  <c r="I79" i="3" s="1"/>
  <c r="I80" i="3" s="1"/>
  <c r="I81" i="3" s="1"/>
  <c r="I82" i="3" s="1"/>
  <c r="I83" i="3"/>
  <c r="I84" i="3"/>
  <c r="L52" i="3"/>
  <c r="L51" i="3" s="1"/>
  <c r="L53" i="3" s="1"/>
  <c r="L54" i="3" s="1"/>
  <c r="L55" i="3" s="1"/>
  <c r="G82" i="3"/>
  <c r="H58" i="3"/>
  <c r="G89" i="3"/>
  <c r="G91" i="3"/>
  <c r="G92" i="3" s="1"/>
  <c r="G93" i="3" s="1"/>
  <c r="G94" i="3"/>
  <c r="G52" i="3"/>
  <c r="G51" i="3" s="1"/>
  <c r="G53" i="3" s="1"/>
  <c r="G54" i="3" s="1"/>
  <c r="G55" i="3" s="1"/>
  <c r="G95" i="3"/>
  <c r="H89" i="3"/>
  <c r="H88" i="3" s="1"/>
  <c r="H90" i="3" s="1"/>
  <c r="H83" i="3" s="1"/>
  <c r="H95" i="3"/>
  <c r="H66" i="3"/>
  <c r="H67" i="3" s="1"/>
  <c r="G65" i="3"/>
  <c r="G66" i="3" s="1"/>
  <c r="G67" i="3" s="1"/>
  <c r="F66" i="3"/>
  <c r="N8" i="9"/>
  <c r="O8" i="9" s="1"/>
  <c r="F118" i="3"/>
  <c r="AM72" i="2"/>
  <c r="AM73" i="2" s="1"/>
  <c r="M72" i="2"/>
  <c r="M73" i="2" s="1"/>
  <c r="M74" i="2" s="1"/>
  <c r="AD72" i="2"/>
  <c r="AD73" i="2" s="1"/>
  <c r="O72" i="2"/>
  <c r="O73" i="2" s="1"/>
  <c r="O74" i="2" s="1"/>
  <c r="S72" i="2"/>
  <c r="S73" i="2" s="1"/>
  <c r="S74" i="2" s="1"/>
  <c r="J72" i="2"/>
  <c r="J73" i="2" s="1"/>
  <c r="J74" i="2" s="1"/>
  <c r="H72" i="2"/>
  <c r="H73" i="2" s="1"/>
  <c r="H74" i="2" s="1"/>
  <c r="Q72" i="2"/>
  <c r="Q73" i="2" s="1"/>
  <c r="Q74" i="2" s="1"/>
  <c r="AR72" i="2"/>
  <c r="AR73" i="2" s="1"/>
  <c r="T72" i="2"/>
  <c r="T73" i="2" s="1"/>
  <c r="AI72" i="2"/>
  <c r="AI73" i="2" s="1"/>
  <c r="Y72" i="2"/>
  <c r="Y73" i="2" s="1"/>
  <c r="P72" i="2"/>
  <c r="P73" i="2" s="1"/>
  <c r="P74" i="2" s="1"/>
  <c r="AC72" i="2"/>
  <c r="AC73" i="2" s="1"/>
  <c r="X72" i="2"/>
  <c r="X73" i="2" s="1"/>
  <c r="I66" i="3"/>
  <c r="I67" i="3" s="1"/>
  <c r="AK72" i="2"/>
  <c r="AK73" i="2" s="1"/>
  <c r="AJ72" i="2"/>
  <c r="AJ73" i="2" s="1"/>
  <c r="K72" i="2"/>
  <c r="K73" i="2" s="1"/>
  <c r="K74" i="2" s="1"/>
  <c r="G74" i="2"/>
  <c r="N72" i="2"/>
  <c r="N73" i="2" s="1"/>
  <c r="N74" i="2" s="1"/>
  <c r="AA72" i="2"/>
  <c r="AA73" i="2" s="1"/>
  <c r="AG72" i="2"/>
  <c r="AG73" i="2" s="1"/>
  <c r="Z72" i="2"/>
  <c r="Z73" i="2" s="1"/>
  <c r="AO72" i="2"/>
  <c r="AO73" i="2" s="1"/>
  <c r="AS72" i="2"/>
  <c r="AS73" i="2" s="1"/>
  <c r="K67" i="3"/>
  <c r="F109" i="3"/>
  <c r="I85" i="3"/>
  <c r="L96" i="3"/>
  <c r="L85" i="3"/>
  <c r="H96" i="3"/>
  <c r="I96" i="3"/>
  <c r="K96" i="3"/>
  <c r="G96" i="3"/>
  <c r="M85" i="3"/>
  <c r="G85" i="3"/>
  <c r="H85" i="3"/>
  <c r="K85" i="3"/>
  <c r="M96" i="3"/>
  <c r="J94" i="2" l="1"/>
  <c r="E13" i="9"/>
  <c r="F13" i="9" s="1"/>
  <c r="P92" i="2"/>
  <c r="L92" i="2"/>
  <c r="E11" i="9"/>
  <c r="F11" i="9" s="1"/>
  <c r="H91" i="3"/>
  <c r="H92" i="3" s="1"/>
  <c r="H93" i="3" s="1"/>
  <c r="L94" i="3"/>
  <c r="N58" i="2"/>
  <c r="N91" i="2"/>
  <c r="Q22" i="13"/>
  <c r="R21" i="13"/>
  <c r="S21" i="13" s="1"/>
  <c r="J92" i="2"/>
  <c r="E10" i="9"/>
  <c r="F10" i="9" s="1"/>
  <c r="H94" i="3"/>
  <c r="R92" i="2"/>
  <c r="E14" i="9"/>
  <c r="F14" i="9" s="1"/>
  <c r="L56" i="3"/>
  <c r="R95" i="2"/>
  <c r="G14" i="9"/>
  <c r="H14" i="9" s="1"/>
  <c r="P94" i="2"/>
  <c r="P95" i="2" s="1"/>
  <c r="N94" i="2"/>
  <c r="N95" i="2" s="1"/>
  <c r="G13" i="9"/>
  <c r="H13" i="9" s="1"/>
  <c r="G12" i="9"/>
  <c r="H12" i="9" s="1"/>
  <c r="L94" i="2"/>
  <c r="L95" i="2" s="1"/>
  <c r="J95" i="2"/>
  <c r="G10" i="9"/>
  <c r="H10" i="9" s="1"/>
  <c r="P22" i="11"/>
  <c r="P24" i="11" s="1"/>
  <c r="P25" i="11" s="1"/>
  <c r="Q86" i="2"/>
  <c r="Q87" i="2" s="1"/>
  <c r="N86" i="2"/>
  <c r="M22" i="11"/>
  <c r="I75" i="2"/>
  <c r="I58" i="2"/>
  <c r="I86" i="2"/>
  <c r="I87" i="2" s="1"/>
  <c r="F75" i="2"/>
  <c r="S75" i="2"/>
  <c r="R30" i="11"/>
  <c r="R32" i="11" s="1"/>
  <c r="R33" i="11" s="1"/>
  <c r="R22" i="11"/>
  <c r="R24" i="11" s="1"/>
  <c r="R25" i="11" s="1"/>
  <c r="S86" i="2"/>
  <c r="S58" i="2"/>
  <c r="Q22" i="11"/>
  <c r="R86" i="2"/>
  <c r="R58" i="2"/>
  <c r="R75" i="2"/>
  <c r="Q30" i="11"/>
  <c r="Q75" i="2"/>
  <c r="P30" i="11"/>
  <c r="P32" i="11" s="1"/>
  <c r="P33" i="11" s="1"/>
  <c r="O22" i="11"/>
  <c r="P86" i="2"/>
  <c r="P97" i="2" s="1"/>
  <c r="P58" i="2"/>
  <c r="P75" i="2"/>
  <c r="O30" i="11"/>
  <c r="N22" i="11"/>
  <c r="N24" i="11" s="1"/>
  <c r="N25" i="11" s="1"/>
  <c r="O86" i="2"/>
  <c r="O58" i="2"/>
  <c r="O75" i="2"/>
  <c r="N30" i="11"/>
  <c r="N32" i="11" s="1"/>
  <c r="N33" i="11" s="1"/>
  <c r="N75" i="2"/>
  <c r="M30" i="11"/>
  <c r="M75" i="2"/>
  <c r="L30" i="11"/>
  <c r="L32" i="11" s="1"/>
  <c r="L33" i="11" s="1"/>
  <c r="M87" i="2"/>
  <c r="L35" i="11"/>
  <c r="L36" i="11" s="1"/>
  <c r="K22" i="11"/>
  <c r="L86" i="2"/>
  <c r="L97" i="2" s="1"/>
  <c r="L58" i="2"/>
  <c r="L75" i="2"/>
  <c r="K30" i="11"/>
  <c r="K75" i="2"/>
  <c r="J30" i="11"/>
  <c r="J32" i="11" s="1"/>
  <c r="J33" i="11" s="1"/>
  <c r="K87" i="2"/>
  <c r="J35" i="11"/>
  <c r="J36" i="11" s="1"/>
  <c r="I22" i="11"/>
  <c r="J86" i="2"/>
  <c r="J97" i="2" s="1"/>
  <c r="J58" i="2"/>
  <c r="J75" i="2"/>
  <c r="I30" i="11"/>
  <c r="H75" i="2"/>
  <c r="G30" i="11"/>
  <c r="H94" i="2"/>
  <c r="G22" i="11"/>
  <c r="H91" i="2"/>
  <c r="H86" i="2"/>
  <c r="H58" i="2"/>
  <c r="G75" i="2"/>
  <c r="F30" i="11"/>
  <c r="E33" i="11"/>
  <c r="F67" i="3"/>
  <c r="F114" i="3"/>
  <c r="F16" i="13"/>
  <c r="G16" i="13" s="1"/>
  <c r="H16" i="13" s="1"/>
  <c r="I27" i="12"/>
  <c r="L27" i="12" s="1"/>
  <c r="G29" i="12"/>
  <c r="J29" i="12"/>
  <c r="H31" i="12"/>
  <c r="F28" i="12"/>
  <c r="F29" i="12"/>
  <c r="M56" i="3"/>
  <c r="K102" i="3"/>
  <c r="F58" i="2"/>
  <c r="F91" i="2"/>
  <c r="F22" i="11"/>
  <c r="F86" i="2"/>
  <c r="F94" i="2"/>
  <c r="F95" i="2" s="1"/>
  <c r="G58" i="2"/>
  <c r="G86" i="2"/>
  <c r="CL117" i="3"/>
  <c r="M64" i="3"/>
  <c r="L64" i="3"/>
  <c r="O40" i="11" l="1"/>
  <c r="O24" i="11"/>
  <c r="M40" i="11"/>
  <c r="M24" i="11"/>
  <c r="R97" i="2"/>
  <c r="Q23" i="13"/>
  <c r="R22" i="13"/>
  <c r="S22" i="13" s="1"/>
  <c r="K40" i="11"/>
  <c r="K24" i="11"/>
  <c r="I40" i="11"/>
  <c r="I24" i="11"/>
  <c r="Q40" i="11"/>
  <c r="Q24" i="11"/>
  <c r="N92" i="2"/>
  <c r="E12" i="9"/>
  <c r="F12" i="9" s="1"/>
  <c r="H18" i="11"/>
  <c r="M65" i="3"/>
  <c r="M66" i="3" s="1"/>
  <c r="M67" i="3" s="1"/>
  <c r="G18" i="11"/>
  <c r="L65" i="3"/>
  <c r="L66" i="3" s="1"/>
  <c r="Q32" i="11"/>
  <c r="Q33" i="11" s="1"/>
  <c r="Q45" i="11"/>
  <c r="O32" i="11"/>
  <c r="O47" i="11" s="1"/>
  <c r="O45" i="11"/>
  <c r="M32" i="11"/>
  <c r="M33" i="11" s="1"/>
  <c r="M45" i="11"/>
  <c r="G11" i="9"/>
  <c r="H11" i="9" s="1"/>
  <c r="K32" i="11"/>
  <c r="K33" i="11" s="1"/>
  <c r="K45" i="11"/>
  <c r="I32" i="11"/>
  <c r="I33" i="11" s="1"/>
  <c r="I45" i="11"/>
  <c r="R98" i="2"/>
  <c r="I14" i="9"/>
  <c r="J14" i="9" s="1"/>
  <c r="P98" i="2"/>
  <c r="I13" i="9"/>
  <c r="J13" i="9" s="1"/>
  <c r="N87" i="2"/>
  <c r="N97" i="2"/>
  <c r="L98" i="2"/>
  <c r="I11" i="9"/>
  <c r="J11" i="9" s="1"/>
  <c r="I10" i="9"/>
  <c r="J10" i="9" s="1"/>
  <c r="J98" i="2"/>
  <c r="H97" i="2"/>
  <c r="H35" i="11"/>
  <c r="H36" i="11" s="1"/>
  <c r="P35" i="11"/>
  <c r="P36" i="11" s="1"/>
  <c r="M35" i="11"/>
  <c r="M36" i="11" s="1"/>
  <c r="G32" i="11"/>
  <c r="G45" i="11"/>
  <c r="G40" i="11"/>
  <c r="F97" i="2"/>
  <c r="E50" i="11" s="1"/>
  <c r="AS50" i="11" s="1"/>
  <c r="AS53" i="11" s="1"/>
  <c r="N29" i="9"/>
  <c r="O29" i="9" s="1"/>
  <c r="S87" i="2"/>
  <c r="R35" i="11"/>
  <c r="R36" i="11" s="1"/>
  <c r="R87" i="2"/>
  <c r="Q35" i="11"/>
  <c r="Q36" i="11" s="1"/>
  <c r="P87" i="2"/>
  <c r="O35" i="11"/>
  <c r="O36" i="11" s="1"/>
  <c r="O87" i="2"/>
  <c r="N35" i="11"/>
  <c r="N36" i="11" s="1"/>
  <c r="L87" i="2"/>
  <c r="K35" i="11"/>
  <c r="K36" i="11" s="1"/>
  <c r="J87" i="2"/>
  <c r="I35" i="11"/>
  <c r="I36" i="11" s="1"/>
  <c r="AT91" i="2"/>
  <c r="H87" i="2"/>
  <c r="G35" i="11"/>
  <c r="G36" i="11" s="1"/>
  <c r="H95" i="2"/>
  <c r="G9" i="9"/>
  <c r="H9" i="9" s="1"/>
  <c r="H92" i="2"/>
  <c r="E9" i="9"/>
  <c r="F9" i="9" s="1"/>
  <c r="F32" i="11"/>
  <c r="E45" i="11"/>
  <c r="G8" i="9"/>
  <c r="H8" i="9" s="1"/>
  <c r="G87" i="2"/>
  <c r="F35" i="11"/>
  <c r="F36" i="11" s="1"/>
  <c r="F87" i="2"/>
  <c r="E35" i="11"/>
  <c r="E36" i="11" s="1"/>
  <c r="E40" i="11"/>
  <c r="E23" i="11"/>
  <c r="E41" i="11" s="1"/>
  <c r="L8" i="9"/>
  <c r="M8" i="9" s="1"/>
  <c r="F17" i="13"/>
  <c r="G17" i="13" s="1"/>
  <c r="H17" i="13" s="1"/>
  <c r="I29" i="12"/>
  <c r="L29" i="12" s="1"/>
  <c r="G31" i="12"/>
  <c r="F31" i="12"/>
  <c r="F30" i="12"/>
  <c r="J31" i="12"/>
  <c r="H33" i="12"/>
  <c r="AT94" i="2"/>
  <c r="G29" i="9" s="1"/>
  <c r="H29" i="9" s="1"/>
  <c r="F115" i="3"/>
  <c r="E8" i="9"/>
  <c r="F8" i="9" s="1"/>
  <c r="F92" i="2"/>
  <c r="CL118" i="3"/>
  <c r="G19" i="11"/>
  <c r="H19" i="11"/>
  <c r="I25" i="11" l="1"/>
  <c r="I42" i="11"/>
  <c r="M42" i="11"/>
  <c r="M25" i="11"/>
  <c r="Q24" i="13"/>
  <c r="R23" i="13"/>
  <c r="S23" i="13" s="1"/>
  <c r="O25" i="11"/>
  <c r="O42" i="11"/>
  <c r="Q42" i="11"/>
  <c r="Q25" i="11"/>
  <c r="K25" i="11"/>
  <c r="K42" i="11"/>
  <c r="M47" i="11"/>
  <c r="R12" i="9" s="1"/>
  <c r="S12" i="9" s="1"/>
  <c r="Q47" i="11"/>
  <c r="Q48" i="11" s="1"/>
  <c r="O33" i="11"/>
  <c r="J114" i="3"/>
  <c r="G23" i="11" s="1"/>
  <c r="G41" i="11" s="1"/>
  <c r="AS41" i="11" s="1"/>
  <c r="K47" i="11"/>
  <c r="K48" i="11" s="1"/>
  <c r="L67" i="3"/>
  <c r="H21" i="11"/>
  <c r="G21" i="11"/>
  <c r="I47" i="11"/>
  <c r="I48" i="11" s="1"/>
  <c r="AS45" i="11"/>
  <c r="AS47" i="11" s="1"/>
  <c r="AS48" i="11" s="1"/>
  <c r="N98" i="2"/>
  <c r="I12" i="9"/>
  <c r="J12" i="9" s="1"/>
  <c r="H98" i="2"/>
  <c r="I9" i="9"/>
  <c r="J9" i="9" s="1"/>
  <c r="O48" i="11"/>
  <c r="R13" i="9"/>
  <c r="S13" i="9" s="1"/>
  <c r="G33" i="11"/>
  <c r="G47" i="11"/>
  <c r="AS40" i="11"/>
  <c r="AT97" i="2"/>
  <c r="AT98" i="2" s="1"/>
  <c r="F98" i="2"/>
  <c r="I8" i="9"/>
  <c r="J8" i="9" s="1"/>
  <c r="E24" i="11"/>
  <c r="E25" i="11" s="1"/>
  <c r="F33" i="11"/>
  <c r="E47" i="11"/>
  <c r="F24" i="11"/>
  <c r="F25" i="11" s="1"/>
  <c r="F18" i="13"/>
  <c r="G18" i="13" s="1"/>
  <c r="H18" i="13" s="1"/>
  <c r="J33" i="12"/>
  <c r="H35" i="12"/>
  <c r="I31" i="12"/>
  <c r="L31" i="12" s="1"/>
  <c r="G33" i="12"/>
  <c r="F32" i="12"/>
  <c r="F33" i="12"/>
  <c r="AT95" i="2"/>
  <c r="J28" i="9"/>
  <c r="E29" i="9"/>
  <c r="F29" i="9" s="1"/>
  <c r="AT92" i="2"/>
  <c r="K43" i="11" l="1"/>
  <c r="P11" i="9"/>
  <c r="Q11" i="9" s="1"/>
  <c r="O43" i="11"/>
  <c r="P13" i="9"/>
  <c r="Q13" i="9" s="1"/>
  <c r="P12" i="9"/>
  <c r="Q12" i="9" s="1"/>
  <c r="M43" i="11"/>
  <c r="I43" i="11"/>
  <c r="P10" i="9"/>
  <c r="Q10" i="9" s="1"/>
  <c r="P14" i="9"/>
  <c r="Q14" i="9" s="1"/>
  <c r="Q43" i="11"/>
  <c r="Q25" i="13"/>
  <c r="R24" i="13"/>
  <c r="S24" i="13" s="1"/>
  <c r="M48" i="11"/>
  <c r="R14" i="9"/>
  <c r="S14" i="9" s="1"/>
  <c r="CL114" i="3"/>
  <c r="L29" i="9" s="1"/>
  <c r="M29" i="9" s="1"/>
  <c r="G24" i="11"/>
  <c r="G25" i="11" s="1"/>
  <c r="R11" i="9"/>
  <c r="S11" i="9" s="1"/>
  <c r="H24" i="11"/>
  <c r="H25" i="11" s="1"/>
  <c r="J115" i="3"/>
  <c r="L9" i="9"/>
  <c r="M9" i="9" s="1"/>
  <c r="R10" i="9"/>
  <c r="S10" i="9" s="1"/>
  <c r="R29" i="9"/>
  <c r="S29" i="9" s="1"/>
  <c r="R9" i="9"/>
  <c r="S9" i="9" s="1"/>
  <c r="G48" i="11"/>
  <c r="AS42" i="11"/>
  <c r="AS43" i="11" s="1"/>
  <c r="I29" i="9"/>
  <c r="J29" i="9" s="1"/>
  <c r="E48" i="11"/>
  <c r="R8" i="9"/>
  <c r="S8" i="9" s="1"/>
  <c r="E42" i="11"/>
  <c r="F19" i="13"/>
  <c r="G19" i="13" s="1"/>
  <c r="H19" i="13" s="1"/>
  <c r="I33" i="12"/>
  <c r="L33" i="12" s="1"/>
  <c r="G35" i="12"/>
  <c r="J35" i="12"/>
  <c r="H37" i="12"/>
  <c r="F35" i="12"/>
  <c r="F34" i="12"/>
  <c r="Q26" i="13" l="1"/>
  <c r="R25" i="13"/>
  <c r="S25" i="13" s="1"/>
  <c r="CL115" i="3"/>
  <c r="G42" i="11"/>
  <c r="P9" i="9" s="1"/>
  <c r="Q9" i="9" s="1"/>
  <c r="P29" i="9"/>
  <c r="Q29" i="9" s="1"/>
  <c r="P8" i="9"/>
  <c r="Q8" i="9" s="1"/>
  <c r="E43" i="11"/>
  <c r="F20" i="13"/>
  <c r="G20" i="13" s="1"/>
  <c r="H20" i="13" s="1"/>
  <c r="F37" i="12"/>
  <c r="F36" i="12"/>
  <c r="I35" i="12"/>
  <c r="L35" i="12" s="1"/>
  <c r="G37" i="12"/>
  <c r="H39" i="12"/>
  <c r="J37" i="12"/>
  <c r="Q27" i="13" l="1"/>
  <c r="R27" i="13" s="1"/>
  <c r="S27" i="13" s="1"/>
  <c r="R26" i="13"/>
  <c r="S26" i="13" s="1"/>
  <c r="G43" i="11"/>
  <c r="F21" i="13"/>
  <c r="G21" i="13" s="1"/>
  <c r="H21" i="13" s="1"/>
  <c r="I37" i="12"/>
  <c r="L37" i="12" s="1"/>
  <c r="G39" i="12"/>
  <c r="H41" i="12"/>
  <c r="J39" i="12"/>
  <c r="F38" i="12"/>
  <c r="F39" i="12"/>
  <c r="F22" i="13" l="1"/>
  <c r="G22" i="13" s="1"/>
  <c r="H22" i="13" s="1"/>
  <c r="J41" i="12"/>
  <c r="H43" i="12"/>
  <c r="F40" i="12"/>
  <c r="F41" i="12"/>
  <c r="G41" i="12"/>
  <c r="I39" i="12"/>
  <c r="L39" i="12" s="1"/>
  <c r="F23" i="13" l="1"/>
  <c r="G23" i="13" s="1"/>
  <c r="H23" i="13" s="1"/>
  <c r="F42" i="12"/>
  <c r="F43" i="12"/>
  <c r="J43" i="12"/>
  <c r="H45" i="12"/>
  <c r="G43" i="12"/>
  <c r="I41" i="12"/>
  <c r="L41" i="12" s="1"/>
  <c r="F24" i="13" l="1"/>
  <c r="G24" i="13" s="1"/>
  <c r="H24" i="13" s="1"/>
  <c r="J45" i="12"/>
  <c r="H47" i="12"/>
  <c r="F44" i="12"/>
  <c r="F45" i="12"/>
  <c r="G45" i="12"/>
  <c r="I43" i="12"/>
  <c r="L43" i="12" s="1"/>
  <c r="F25" i="13" l="1"/>
  <c r="G25" i="13" s="1"/>
  <c r="H25" i="13" s="1"/>
  <c r="J47" i="12"/>
  <c r="H49" i="12"/>
  <c r="G47" i="12"/>
  <c r="I45" i="12"/>
  <c r="L45" i="12" s="1"/>
  <c r="F47" i="12"/>
  <c r="F46" i="12"/>
  <c r="F26" i="13" l="1"/>
  <c r="G26" i="13" s="1"/>
  <c r="H26" i="13" s="1"/>
  <c r="F49" i="12"/>
  <c r="F48" i="12"/>
  <c r="G49" i="12"/>
  <c r="I47" i="12"/>
  <c r="L47" i="12" s="1"/>
  <c r="H51" i="12"/>
  <c r="J49" i="12"/>
  <c r="F27" i="13" l="1"/>
  <c r="G27" i="13" s="1"/>
  <c r="H27" i="13" s="1"/>
  <c r="J51" i="12"/>
  <c r="G51" i="12"/>
  <c r="C23" i="12" s="1"/>
  <c r="I49" i="12"/>
  <c r="L49" i="12" s="1"/>
  <c r="C32" i="12"/>
  <c r="C15" i="12"/>
  <c r="C30" i="12"/>
  <c r="C34" i="12"/>
  <c r="C12" i="12"/>
  <c r="C42" i="12"/>
  <c r="C36" i="12"/>
  <c r="C49" i="12"/>
  <c r="C51" i="12"/>
  <c r="F50" i="12"/>
  <c r="F51" i="12"/>
  <c r="F28" i="13" l="1"/>
  <c r="G28" i="13" s="1"/>
  <c r="H28" i="13" s="1"/>
  <c r="C38" i="12"/>
  <c r="C18" i="12"/>
  <c r="C19" i="12"/>
  <c r="I51" i="12"/>
  <c r="L51" i="12" s="1"/>
  <c r="C53" i="12"/>
  <c r="C58" i="12"/>
  <c r="C72" i="12"/>
  <c r="C56" i="12"/>
  <c r="C65" i="12"/>
  <c r="C67" i="12"/>
  <c r="C85" i="12"/>
  <c r="C91" i="12"/>
  <c r="C79" i="12"/>
  <c r="C75" i="12"/>
  <c r="C106" i="12"/>
  <c r="C74" i="12"/>
  <c r="C100" i="12"/>
  <c r="C98" i="12"/>
  <c r="C82" i="12"/>
  <c r="C88" i="12"/>
  <c r="C96" i="12"/>
  <c r="C68" i="12"/>
  <c r="C89" i="12"/>
  <c r="C55" i="12"/>
  <c r="C104" i="12"/>
  <c r="C71" i="12"/>
  <c r="C109" i="12"/>
  <c r="C92" i="12"/>
  <c r="C97" i="12"/>
  <c r="C64" i="12"/>
  <c r="C60" i="12"/>
  <c r="C99" i="12"/>
  <c r="C66" i="12"/>
  <c r="C73" i="12"/>
  <c r="C87" i="12"/>
  <c r="C69" i="12"/>
  <c r="C108" i="12"/>
  <c r="C103" i="12"/>
  <c r="C84" i="12"/>
  <c r="C101" i="12"/>
  <c r="C105" i="12"/>
  <c r="C76" i="12"/>
  <c r="C95" i="12"/>
  <c r="C107" i="12"/>
  <c r="C63" i="12"/>
  <c r="C61" i="12"/>
  <c r="C62" i="12"/>
  <c r="C83" i="12"/>
  <c r="C80" i="12"/>
  <c r="C59" i="12"/>
  <c r="C94" i="12"/>
  <c r="C77" i="12"/>
  <c r="C70" i="12"/>
  <c r="C10" i="12"/>
  <c r="C93" i="12"/>
  <c r="C54" i="12"/>
  <c r="C81" i="12"/>
  <c r="C90" i="12"/>
  <c r="C102" i="12"/>
  <c r="C86" i="12"/>
  <c r="C78" i="12"/>
  <c r="C57" i="12"/>
  <c r="C45" i="12"/>
  <c r="C13" i="12"/>
  <c r="C43" i="12"/>
  <c r="C39" i="12"/>
  <c r="C24" i="12"/>
  <c r="C50" i="12"/>
  <c r="C46" i="12"/>
  <c r="C41" i="12"/>
  <c r="C28" i="12"/>
  <c r="C26" i="12"/>
  <c r="C31" i="12"/>
  <c r="C33" i="12"/>
  <c r="C44" i="12"/>
  <c r="C16" i="12"/>
  <c r="C40" i="12"/>
  <c r="C27" i="12"/>
  <c r="C17" i="12"/>
  <c r="C37" i="12"/>
  <c r="C25" i="12"/>
  <c r="C21" i="12"/>
  <c r="C20" i="12"/>
  <c r="C29" i="12"/>
  <c r="C48" i="12"/>
  <c r="C14" i="12"/>
  <c r="C47" i="12"/>
  <c r="C35" i="12"/>
  <c r="C11" i="12"/>
  <c r="C22" i="12"/>
  <c r="C52" i="12"/>
  <c r="F29" i="13" l="1"/>
  <c r="G29" i="13" s="1"/>
  <c r="H29" i="13" s="1"/>
  <c r="F30" i="13" l="1"/>
  <c r="G30" i="13" s="1"/>
  <c r="H30" i="13" s="1"/>
  <c r="F31" i="13" l="1"/>
  <c r="G31" i="13" s="1"/>
  <c r="H31" i="13" s="1"/>
  <c r="C94" i="13" l="1"/>
  <c r="C29" i="13"/>
  <c r="C54" i="13"/>
  <c r="C100" i="13"/>
  <c r="C96" i="13"/>
  <c r="C70" i="13"/>
  <c r="C98" i="13"/>
  <c r="C45" i="13"/>
  <c r="C20" i="13"/>
  <c r="C78" i="13"/>
  <c r="C97" i="13"/>
  <c r="C72" i="13"/>
  <c r="C84" i="13"/>
  <c r="C13" i="13"/>
  <c r="C38" i="13"/>
  <c r="C33" i="13"/>
  <c r="C82" i="13"/>
  <c r="C93" i="13"/>
  <c r="C17" i="13"/>
  <c r="C85" i="13"/>
  <c r="C50" i="13"/>
  <c r="C40" i="13"/>
  <c r="C69" i="13"/>
  <c r="C22" i="13"/>
  <c r="C77" i="13"/>
  <c r="C61" i="13"/>
  <c r="C56" i="13"/>
  <c r="C101" i="13"/>
  <c r="C58" i="13"/>
  <c r="C62" i="13"/>
  <c r="C18" i="13"/>
  <c r="C8" i="13"/>
  <c r="C42" i="13"/>
  <c r="C83" i="13"/>
  <c r="C63" i="13"/>
  <c r="C32" i="13"/>
  <c r="C91" i="13"/>
  <c r="C52" i="13"/>
  <c r="C80" i="13"/>
  <c r="C24" i="13"/>
  <c r="C67" i="13"/>
  <c r="C49" i="13"/>
  <c r="C75" i="13"/>
  <c r="C14" i="13"/>
  <c r="C92" i="13"/>
  <c r="C10" i="13"/>
  <c r="C46" i="13"/>
  <c r="C99" i="13"/>
  <c r="C48" i="13"/>
  <c r="C12" i="13"/>
  <c r="C55" i="13"/>
  <c r="C64" i="13"/>
  <c r="C27" i="13"/>
  <c r="C88" i="13"/>
  <c r="C30" i="13"/>
  <c r="C81" i="13"/>
  <c r="C37" i="13"/>
  <c r="C39" i="13"/>
  <c r="C104" i="13"/>
  <c r="C34" i="13"/>
  <c r="C47" i="13"/>
  <c r="C66" i="13"/>
  <c r="C102" i="13"/>
  <c r="C79" i="13"/>
  <c r="C60" i="13"/>
  <c r="C68" i="13"/>
  <c r="C43" i="13"/>
  <c r="C36" i="13"/>
  <c r="C86" i="13"/>
  <c r="C44" i="13"/>
  <c r="C16" i="13"/>
  <c r="C65" i="13"/>
  <c r="C95" i="13"/>
  <c r="C25" i="13"/>
  <c r="C21" i="13"/>
  <c r="C89" i="13"/>
  <c r="C57" i="13"/>
  <c r="C53" i="13"/>
  <c r="C23" i="13"/>
  <c r="C28" i="13"/>
  <c r="C41" i="13"/>
  <c r="C26" i="13"/>
  <c r="C15" i="13"/>
  <c r="C87" i="13"/>
  <c r="C9" i="13"/>
  <c r="C19" i="13"/>
  <c r="C74" i="13"/>
  <c r="C103" i="13"/>
  <c r="C73" i="13"/>
  <c r="C11" i="13"/>
  <c r="C51" i="13"/>
  <c r="C31" i="13"/>
  <c r="C90" i="13"/>
  <c r="C71" i="13"/>
  <c r="C59" i="13"/>
  <c r="C35" i="13"/>
  <c r="C76" i="13"/>
  <c r="C7" i="13"/>
  <c r="AQ43" i="11"/>
  <c r="Q27" i="9"/>
  <c r="AK72" i="3" l="1"/>
  <c r="AK73" i="3" s="1"/>
  <c r="AK97" i="3"/>
  <c r="AK99" i="3" s="1"/>
  <c r="AK98" i="3"/>
  <c r="AK100" i="3" l="1"/>
  <c r="AK102" i="3"/>
  <c r="AJ2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50" authorId="0" shapeId="0" xr:uid="{2B325E65-A84D-4AC4-8C96-089586149EE9}">
      <text>
        <r>
          <rPr>
            <sz val="12"/>
            <color indexed="81"/>
            <rFont val="Times New Roman"/>
            <family val="1"/>
          </rPr>
          <t>Edited in V3</t>
        </r>
        <r>
          <rPr>
            <sz val="10"/>
            <color indexed="81"/>
            <rFont val="Calibri"/>
            <family val="2"/>
          </rPr>
          <t xml:space="preserve">
</t>
        </r>
      </text>
    </comment>
    <comment ref="D51" authorId="0" shapeId="0" xr:uid="{74C268A3-B538-4BB2-AF30-1A3E0FAE73AD}">
      <text>
        <r>
          <rPr>
            <sz val="12"/>
            <color indexed="81"/>
            <rFont val="Times New Roman"/>
            <family val="1"/>
          </rPr>
          <t>Edited in V3</t>
        </r>
        <r>
          <rPr>
            <sz val="10"/>
            <color indexed="81"/>
            <rFont val="Calibri"/>
            <family val="2"/>
          </rPr>
          <t xml:space="preserve">
</t>
        </r>
      </text>
    </comment>
    <comment ref="D52" authorId="0"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tc={0E3395E6-1C09-D04A-824C-44CD71497391}</author>
    <author>Microsoft Office User</author>
  </authors>
  <commentList>
    <comment ref="N18" authorId="0" shapeId="0" xr:uid="{0E3395E6-1C09-D04A-824C-44CD71497391}">
      <text>
        <t>[Threaded comment]
Your version of Excel allows you to read this threaded comment; however, any edits to it will get removed if the file is opened in a newer version of Excel. Learn more: https://go.microsoft.com/fwlink/?linkid=870924
Comment:
    bikelane + 2 ft buffer</t>
      </text>
    </comment>
    <comment ref="D20" authorId="1" shapeId="0" xr:uid="{00000000-0006-0000-0100-000001000000}">
      <text>
        <r>
          <rPr>
            <sz val="14"/>
            <color rgb="FF000000"/>
            <rFont val="Times New Roman"/>
            <family val="1"/>
          </rPr>
          <t>Includes the curb width if present.</t>
        </r>
      </text>
    </comment>
    <comment ref="D24" authorId="1" shapeId="0" xr:uid="{00000000-0006-0000-0100-000002000000}">
      <text>
        <r>
          <rPr>
            <sz val="14"/>
            <color rgb="FF000000"/>
            <rFont val="Times New Roman"/>
            <family val="1"/>
          </rPr>
          <t>Included in Annex 1, showed at the end of this sheet.</t>
        </r>
      </text>
    </comment>
    <comment ref="D30" authorId="1" shapeId="0" xr:uid="{00000000-0006-0000-0100-000003000000}">
      <text>
        <r>
          <rPr>
            <sz val="12"/>
            <color rgb="FF000000"/>
            <rFont val="Times New Roman"/>
            <family val="1"/>
          </rPr>
          <t>Added in V2</t>
        </r>
      </text>
    </comment>
    <comment ref="D31" authorId="1" shapeId="0" xr:uid="{00000000-0006-0000-0100-000004000000}">
      <text>
        <r>
          <rPr>
            <sz val="12"/>
            <color rgb="FF000000"/>
            <rFont val="Times New Roman"/>
            <family val="1"/>
          </rPr>
          <t>Added in V3</t>
        </r>
      </text>
    </comment>
    <comment ref="D32" authorId="1" shapeId="0" xr:uid="{00000000-0006-0000-0100-000005000000}">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8" authorId="1"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1" shapeId="0" xr:uid="{00000000-0006-0000-0100-000007000000}">
      <text>
        <r>
          <rPr>
            <sz val="12"/>
            <color indexed="81"/>
            <rFont val="Times New Roman"/>
            <family val="1"/>
          </rPr>
          <t>Added in V3</t>
        </r>
      </text>
    </comment>
    <comment ref="D50" authorId="1" shapeId="0" xr:uid="{00000000-0006-0000-0100-000008000000}">
      <text>
        <r>
          <rPr>
            <sz val="12"/>
            <color indexed="81"/>
            <rFont val="Times New Roman"/>
            <family val="1"/>
          </rPr>
          <t>Added in V3</t>
        </r>
      </text>
    </comment>
    <comment ref="D52" authorId="1" shapeId="0" xr:uid="{00000000-0006-0000-0100-000009000000}">
      <text>
        <r>
          <rPr>
            <sz val="12"/>
            <color indexed="81"/>
            <rFont val="Times New Roman"/>
            <family val="1"/>
          </rPr>
          <t>Edited in V3</t>
        </r>
      </text>
    </comment>
    <comment ref="D53" authorId="1" shapeId="0" xr:uid="{00000000-0006-0000-0100-00000A000000}">
      <text>
        <r>
          <rPr>
            <sz val="12"/>
            <color indexed="81"/>
            <rFont val="Times New Roman"/>
            <family val="1"/>
          </rPr>
          <t>Edited in V3</t>
        </r>
      </text>
    </comment>
    <comment ref="D54" authorId="1" shapeId="0" xr:uid="{00000000-0006-0000-0100-00000B000000}">
      <text>
        <r>
          <rPr>
            <sz val="12"/>
            <color indexed="81"/>
            <rFont val="Times New Roman"/>
            <family val="1"/>
          </rPr>
          <t>Edited in V3</t>
        </r>
      </text>
    </comment>
    <comment ref="D73" authorId="1"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1"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rgb="FF000000"/>
            <rFont val="Times New Roman"/>
            <family val="1"/>
          </rPr>
          <t>Updated in V3</t>
        </r>
        <r>
          <rPr>
            <sz val="10"/>
            <color rgb="FF000000"/>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9"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00000000-0006-0000-0200-000005000000}">
      <text>
        <r>
          <rPr>
            <sz val="12"/>
            <color indexed="81"/>
            <rFont val="Times New Roman"/>
            <family val="1"/>
          </rPr>
          <t>Added in V3</t>
        </r>
      </text>
    </comment>
  </commentList>
</comments>
</file>

<file path=xl/sharedStrings.xml><?xml version="1.0" encoding="utf-8"?>
<sst xmlns="http://schemas.openxmlformats.org/spreadsheetml/2006/main" count="1518" uniqueCount="666">
  <si>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</si>
  <si>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</si>
  <si>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</si>
  <si>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</si>
  <si>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</si>
  <si>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</si>
  <si>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</si>
  <si>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</si>
  <si>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</si>
  <si>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</si>
  <si>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</si>
  <si>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</si>
  <si>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</si>
  <si>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</si>
  <si>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</si>
  <si>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</si>
  <si>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</si>
  <si>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</si>
  <si>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</si>
  <si>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</si>
  <si>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</si>
  <si>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</si>
  <si>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</si>
  <si>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</si>
  <si>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</si>
  <si>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</si>
  <si>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</si>
  <si>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</si>
  <si>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</si>
  <si>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</si>
  <si>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</si>
  <si>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</si>
  <si>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</si>
  <si>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</si>
  <si>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</si>
  <si>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</si>
  <si>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</si>
  <si>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</si>
  <si>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</si>
  <si>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</si>
  <si>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</si>
  <si>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</si>
  <si>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</si>
  <si>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</si>
  <si>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</si>
  <si>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</si>
  <si>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</si>
  <si>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</si>
  <si>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</si>
  <si>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</si>
  <si>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</si>
  <si>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</si>
  <si>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</si>
  <si>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</si>
  <si>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</si>
  <si>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</si>
  <si>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</si>
  <si>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</si>
  <si>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</si>
  <si>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</si>
  <si>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</si>
  <si>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</si>
  <si>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</si>
  <si>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</si>
  <si>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</si>
  <si>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</si>
  <si>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</si>
  <si>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</si>
  <si>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</si>
  <si>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</si>
  <si>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</si>
  <si>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</si>
  <si>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</si>
  <si>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</si>
  <si>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</si>
  <si>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</si>
  <si>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</si>
  <si>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</si>
  <si>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</si>
  <si>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</si>
  <si>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</si>
  <si>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</si>
  <si>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</si>
  <si>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</si>
  <si>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</si>
  <si>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</si>
  <si>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</si>
  <si>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</si>
  <si>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</si>
  <si>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</si>
  <si>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</si>
  <si>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</si>
  <si>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</si>
  <si>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</si>
  <si>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</si>
  <si>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</si>
  <si>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</si>
  <si>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</si>
  <si>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</si>
  <si>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</si>
  <si>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</si>
  <si>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</si>
  <si>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</si>
  <si>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</si>
  <si>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</si>
  <si>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</si>
  <si>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</si>
  <si>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</si>
  <si>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</si>
  <si>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</si>
  <si>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</si>
  <si>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</si>
  <si>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</si>
  <si>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</si>
  <si>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</si>
  <si>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</si>
  <si>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</si>
  <si>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</si>
  <si>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</si>
  <si>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</si>
  <si>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</si>
  <si>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</si>
  <si>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</si>
  <si>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</si>
  <si>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</si>
  <si>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</si>
  <si>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</si>
  <si>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</si>
  <si>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</si>
  <si>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</si>
  <si>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</si>
  <si>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</si>
  <si>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</si>
  <si>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</si>
  <si>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</si>
  <si>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</si>
  <si>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</si>
  <si>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</si>
  <si>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</si>
  <si>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</si>
  <si>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</si>
  <si>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</si>
  <si>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</si>
  <si>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</si>
  <si>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</si>
  <si>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</si>
  <si>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</si>
  <si>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</si>
  <si>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</si>
  <si>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</si>
  <si>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</si>
  <si>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</si>
  <si>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</si>
  <si>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</si>
  <si>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</si>
  <si>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</si>
  <si>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</si>
  <si>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</si>
  <si>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</si>
  <si>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</si>
  <si>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</si>
  <si>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</si>
  <si>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</si>
  <si>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</si>
  <si>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</si>
  <si>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</si>
  <si>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</si>
  <si>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</si>
  <si>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</si>
  <si>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</si>
  <si>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</si>
  <si>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</si>
  <si>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</si>
  <si>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</si>
  <si>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</si>
  <si>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</si>
  <si>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</si>
  <si>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</si>
  <si>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</si>
  <si>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</si>
  <si>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</si>
  <si>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</si>
  <si>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</si>
  <si>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</si>
  <si>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</si>
  <si>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</si>
  <si>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</si>
  <si>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</si>
  <si>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</si>
  <si>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</si>
  <si>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</si>
  <si>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</si>
  <si>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</si>
  <si>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</si>
  <si>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</si>
  <si>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</si>
  <si>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</si>
  <si>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</si>
  <si>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</si>
  <si>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</si>
  <si>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</si>
  <si>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</si>
  <si>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</si>
  <si>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</si>
  <si>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</si>
  <si>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</si>
  <si>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</si>
  <si>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</si>
  <si>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</si>
  <si>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</si>
  <si>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</si>
  <si>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</si>
  <si>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</si>
  <si>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</si>
  <si>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</si>
  <si>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</si>
  <si>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</si>
  <si>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</si>
  <si>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</si>
  <si>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</si>
  <si>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</si>
  <si>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</si>
  <si>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</si>
  <si>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</si>
  <si>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</si>
  <si>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</si>
  <si>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</si>
  <si>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</si>
  <si>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</si>
  <si>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</si>
  <si>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</si>
  <si>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</si>
  <si>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</si>
  <si>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</si>
  <si>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</si>
  <si>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</si>
  <si>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</si>
  <si>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</si>
  <si>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</si>
  <si>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</si>
  <si>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</si>
  <si>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</si>
  <si>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</si>
  <si>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</si>
  <si>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</si>
  <si>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</si>
  <si>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</si>
  <si>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</si>
  <si>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</si>
  <si>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</si>
  <si>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</si>
  <si>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</si>
  <si>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</si>
  <si>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</si>
  <si>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</si>
  <si>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</si>
  <si>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</si>
  <si>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</si>
  <si>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</si>
  <si>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</si>
  <si>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</si>
  <si>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</si>
  <si>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</si>
  <si>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</si>
  <si>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</si>
  <si>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</si>
  <si>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</si>
  <si>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</si>
  <si>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</si>
  <si>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</si>
  <si>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</si>
  <si>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</si>
  <si>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</si>
  <si>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</si>
  <si>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</si>
  <si>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</si>
  <si>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</si>
  <si>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</si>
  <si>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</si>
  <si>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</si>
  <si>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</si>
  <si>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</si>
  <si>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</si>
  <si>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</si>
  <si>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</si>
  <si>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</si>
  <si>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</si>
  <si>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</si>
  <si>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</si>
  <si>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</si>
  <si>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</si>
  <si>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</si>
  <si>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</si>
  <si>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</si>
  <si>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</si>
  <si>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</si>
  <si>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</si>
  <si>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</si>
  <si>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</si>
  <si>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</si>
  <si>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</si>
  <si>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</si>
  <si>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</si>
  <si>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</si>
  <si>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</si>
  <si>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</si>
  <si>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</si>
  <si>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</si>
  <si>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</si>
  <si>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</si>
  <si>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</si>
  <si>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</si>
  <si>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</si>
  <si>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</si>
  <si>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</si>
  <si>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</si>
  <si>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</si>
  <si>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</si>
  <si>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</si>
  <si>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Start-up and clearance time (s)</t>
  </si>
  <si>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</si>
  <si>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</si>
  <si>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</si>
  <si>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</si>
  <si>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</si>
  <si>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Y</t>
  </si>
  <si>
    <t>AR</t>
  </si>
  <si>
    <t>R</t>
  </si>
  <si>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</si>
  <si>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</si>
  <si>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</si>
  <si>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</si>
  <si>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</si>
  <si>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</si>
  <si>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</si>
  <si>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</si>
  <si>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</si>
  <si>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</si>
  <si>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G</t>
  </si>
  <si>
    <t>I</t>
  </si>
  <si>
    <t>K</t>
  </si>
  <si>
    <t>F</t>
  </si>
  <si>
    <t>H</t>
  </si>
  <si>
    <t>J</t>
  </si>
  <si>
    <t>L</t>
  </si>
  <si>
    <t>M</t>
  </si>
  <si>
    <t>O</t>
  </si>
  <si>
    <t>P</t>
  </si>
  <si>
    <t>Q</t>
  </si>
  <si>
    <t>T</t>
  </si>
  <si>
    <t>U</t>
  </si>
  <si>
    <t>V</t>
  </si>
  <si>
    <t>X</t>
  </si>
  <si>
    <t>Z</t>
  </si>
  <si>
    <t>AB</t>
  </si>
  <si>
    <t>AA</t>
  </si>
  <si>
    <t>BB</t>
  </si>
  <si>
    <t>CC</t>
  </si>
  <si>
    <t>AC</t>
  </si>
  <si>
    <t>AD</t>
  </si>
  <si>
    <t>AE</t>
  </si>
  <si>
    <t>AF</t>
  </si>
  <si>
    <t>AG</t>
  </si>
  <si>
    <t>AH</t>
  </si>
  <si>
    <t>AI</t>
  </si>
  <si>
    <t>AJ</t>
  </si>
  <si>
    <t>AK</t>
  </si>
  <si>
    <t>AL</t>
  </si>
  <si>
    <t>AM</t>
  </si>
  <si>
    <t>AN</t>
  </si>
  <si>
    <t>AO</t>
  </si>
  <si>
    <t>AP</t>
  </si>
  <si>
    <t>AQ</t>
  </si>
  <si>
    <t>AS</t>
  </si>
  <si>
    <t>AT</t>
  </si>
  <si>
    <t>AU</t>
  </si>
  <si>
    <t>AV</t>
  </si>
  <si>
    <t>AW</t>
  </si>
  <si>
    <t>AX</t>
  </si>
  <si>
    <t>AY</t>
  </si>
  <si>
    <t>AZ</t>
  </si>
  <si>
    <t>BA</t>
  </si>
  <si>
    <t>CA</t>
  </si>
  <si>
    <t>CB</t>
  </si>
  <si>
    <t>BC</t>
  </si>
  <si>
    <t>BD</t>
  </si>
  <si>
    <t>CD</t>
  </si>
  <si>
    <t>BE</t>
  </si>
  <si>
    <t>CE</t>
  </si>
  <si>
    <t>BF</t>
  </si>
  <si>
    <t>CF</t>
  </si>
  <si>
    <t>BG</t>
  </si>
  <si>
    <t>CG</t>
  </si>
  <si>
    <t>BH</t>
  </si>
  <si>
    <t>CH</t>
  </si>
  <si>
    <t>BI</t>
  </si>
  <si>
    <t>CI</t>
  </si>
  <si>
    <t>BJ</t>
  </si>
  <si>
    <t>CJ</t>
  </si>
  <si>
    <t>BK</t>
  </si>
  <si>
    <t>CK</t>
  </si>
  <si>
    <t>BL</t>
  </si>
  <si>
    <t>CL</t>
  </si>
  <si>
    <t>BM</t>
  </si>
  <si>
    <t>CM</t>
  </si>
  <si>
    <t>BN</t>
  </si>
  <si>
    <t>CN</t>
  </si>
  <si>
    <t>BO</t>
  </si>
  <si>
    <t>CO</t>
  </si>
  <si>
    <t>BP</t>
  </si>
  <si>
    <t>CP</t>
  </si>
  <si>
    <t>BQ</t>
  </si>
  <si>
    <t>CQ</t>
  </si>
  <si>
    <t>BR</t>
  </si>
  <si>
    <t>CR</t>
  </si>
  <si>
    <t>BS</t>
  </si>
  <si>
    <t>CS</t>
  </si>
  <si>
    <t>BT</t>
  </si>
  <si>
    <t>CT</t>
  </si>
  <si>
    <t>BU</t>
  </si>
  <si>
    <t>CU</t>
  </si>
  <si>
    <t>BV</t>
  </si>
  <si>
    <t>CV</t>
  </si>
  <si>
    <t>BX</t>
  </si>
  <si>
    <t>CX</t>
  </si>
  <si>
    <t>BY</t>
  </si>
  <si>
    <t>CY</t>
  </si>
  <si>
    <t>BZ</t>
  </si>
  <si>
    <t>CZ</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</si>
  <si>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</si>
  <si>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</si>
  <si>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</si>
  <si>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</si>
  <si>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</si>
  <si>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</si>
  <si>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</si>
  <si>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</si>
  <si>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</si>
  <si>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</si>
  <si>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</si>
  <si>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</si>
  <si>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</si>
  <si>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</si>
  <si>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</si>
  <si>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</si>
  <si>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</si>
  <si>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</si>
  <si>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</si>
  <si>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</si>
  <si>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</si>
  <si>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</si>
  <si>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</si>
  <si>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</si>
  <si>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</si>
  <si>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</si>
  <si>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</si>
  <si>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</si>
  <si>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</si>
  <si>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</si>
  <si>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</si>
  <si>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</si>
  <si>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9 (9-10)</t>
  </si>
  <si>
    <t>10 (10-11)</t>
  </si>
  <si>
    <t>11 (11-12)</t>
  </si>
  <si>
    <t>12 (12-13)</t>
  </si>
  <si>
    <t>13 (13-14)</t>
  </si>
  <si>
    <t>14 (14-15)</t>
  </si>
  <si>
    <t>15 (15-16)</t>
  </si>
  <si>
    <t>16 (16-17)</t>
  </si>
  <si>
    <t>17 (17-18)</t>
  </si>
  <si>
    <t>18 (18-19)</t>
  </si>
  <si>
    <t>19 (19-20)</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</si>
  <si>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</si>
  <si>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</si>
  <si>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</si>
  <si>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</si>
  <si>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</si>
  <si>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</si>
  <si>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</si>
  <si>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</si>
  <si>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</si>
  <si>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</si>
  <si>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</si>
  <si>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</si>
  <si>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</si>
  <si>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</si>
  <si>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</si>
  <si>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</si>
  <si>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</si>
  <si>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</si>
  <si>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</si>
  <si>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</si>
  <si>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</si>
  <si>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</si>
  <si>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</si>
  <si>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</si>
  <si>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</si>
  <si>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</si>
  <si>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</si>
  <si>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</si>
  <si>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</si>
  <si>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</si>
  <si>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</si>
  <si>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</si>
  <si>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</si>
  <si>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</si>
  <si>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</si>
  <si>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</si>
  <si>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</si>
  <si>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</si>
  <si>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</si>
  <si>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</si>
  <si>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</si>
  <si>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</si>
  <si>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</si>
  <si>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</si>
  <si>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</si>
  <si>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</si>
  <si>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</si>
  <si>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</si>
  <si>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</si>
  <si>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</si>
  <si>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</si>
  <si>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</si>
  <si>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</si>
  <si>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</si>
  <si>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</si>
  <si>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</si>
  <si>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</si>
  <si>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</si>
  <si>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</si>
  <si>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</si>
  <si>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</si>
  <si>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</si>
  <si>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</si>
  <si>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</si>
  <si>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</si>
  <si>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</si>
  <si>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</si>
  <si>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</si>
  <si>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</si>
  <si>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</si>
  <si>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</si>
  <si>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</si>
  <si>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</si>
  <si>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</si>
  <si>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</si>
  <si>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</si>
  <si>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</si>
  <si>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</si>
  <si>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=INDEX(Intersections!F64:I64,1,MATCH(E15,Intersections!F5:I5,0))</t>
  </si>
  <si>
    <t>BW</t>
  </si>
  <si>
    <t>CW</t>
  </si>
  <si>
    <t>#</t>
  </si>
  <si>
    <t>In Seq?</t>
  </si>
  <si>
    <t>Start</t>
  </si>
  <si>
    <t>End</t>
  </si>
  <si>
    <t>Seg#</t>
  </si>
  <si>
    <t>=INDEX(Intersections!F64:I64,1,MATCH(LEFT(E9,1),Intersections!F5:I5,0))</t>
  </si>
  <si>
    <t>dpp</t>
  </si>
  <si>
    <t>dp</t>
  </si>
  <si>
    <t>=INDEX(Intersections!F64:I64,1,MATCH(LEFT(F9,1),Intersections!F5:I5,0))</t>
  </si>
  <si>
    <t>=INDEX(Intersections!J64:M64,1,MATCH(LEFT(G9,1),Intersections!J5:M5,0))</t>
  </si>
  <si>
    <t>=INDEX(Intersections!J64:M64,1,MATCH(LEFT(H9,1),Intersections!J5:M5,0))</t>
  </si>
  <si>
    <t>=INDEX(Intersections!N64:Q64,1,MATCH(LEFT(I9,1),Intersections!N5:Q5,0))</t>
  </si>
  <si>
    <t>=INDEX(Intersections!N64:Q64,1,MATCH(LEFT(J9,1),Intersections!N5:Q5,0))</t>
  </si>
  <si>
    <t>=INDEX(Intersections!R64:U64,1,MATCH(LEFT(K9,1),Intersections!R5:U5,0))</t>
  </si>
  <si>
    <t>=INDEX(Intersections!R64:U64,1,MATCH(LEFT(L9,1),Intersections!R5:U5,0))</t>
  </si>
  <si>
    <t>=INDEX(Intersections!V64:Y64,1,MATCH(LEFT(M9,1),Intersections!V5:Y5,0))</t>
  </si>
  <si>
    <t>=INDEX(Intersections!V64:Y64,1,MATCH(LEFT(N9,1),Intersections!V5:Y5,0))</t>
  </si>
  <si>
    <t>=INDEX(Intersections!Z64:AC64,1,MATCH(LEFT(O9,1),Intersections!Z5:AC5,0))</t>
  </si>
  <si>
    <t>=INDEX(Intersections!Z64:AC64,1,MATCH(LEFT(P9,1),Intersections!Z5:AC5,0))</t>
  </si>
  <si>
    <t>=INDEX(Intersections!AD64:AG64,1,MATCH(LEFT(Q9,1),Intersections!AD5:AG5,0))</t>
  </si>
  <si>
    <t>=INDEX(Intersections!AD64:AG64,1,MATCH(LEFT(R9,1),Intersections!AD5:AG5,0))</t>
  </si>
  <si>
    <t>=INDEX(Intersections!AH64:AK64,1,MATCH(LEFT(S9,1),Intersections!AH5:AK5,0))</t>
  </si>
  <si>
    <t>=INDEX(Intersections!AH64:AK64,1,MATCH(LEFT(T9,1),Intersections!AH5:AK5,0))</t>
  </si>
  <si>
    <t>=INDEX(Intersections!AL64:AO64,1,MATCH(LEFT(U9,1),Intersections!AL5:AO5,0))</t>
  </si>
  <si>
    <t>=INDEX(Intersections!AL64:AO64,1,MATCH(LEFT(V9,1),Intersections!AL5:AO5,0))</t>
  </si>
  <si>
    <t>=INDEX(Intersections!AP64:AS64,1,MATCH(LEFT(W9,1),Intersections!AP5:AS5,0))</t>
  </si>
  <si>
    <t>=INDEX(Intersections!AP64:AS64,1,MATCH(LEFT(X9,1),Intersections!AP5:AS5,0))</t>
  </si>
  <si>
    <t>=INDEX(Intersections!AT64:AW64,1,MATCH(LEFT(Y9,1),Intersections!AT5:AW5,0))</t>
  </si>
  <si>
    <t>=INDEX(Intersections!AT64:AW64,1,MATCH(LEFT(Z9,1),Intersections!AT5:AW5,0))</t>
  </si>
  <si>
    <t>=INDEX(Intersections!AX64:BA64,1,MATCH(LEFT(AA9,1),Intersections!AX5:BA5,0))</t>
  </si>
  <si>
    <t>=INDEX(Intersections!AX64:BA64,1,MATCH(LEFT(AB9,1),Intersections!AX5:BA5,0))</t>
  </si>
  <si>
    <t>=INDEX(Intersections!BB64:BE64,1,MATCH(LEFT(AC9,1),Intersections!BB5:BE5,0))</t>
  </si>
  <si>
    <t>=INDEX(Intersections!BB64:BE64,1,MATCH(LEFT(AD9,1),Intersections!BB5:BE5,0))</t>
  </si>
  <si>
    <t>=INDEX(Intersections!BF64:BI64,1,MATCH(LEFT(AE9,1),Intersections!BF5:BI5,0))</t>
  </si>
  <si>
    <t>=INDEX(Intersections!BF64:BI64,1,MATCH(LEFT(AF9,1),Intersections!BF5:BI5,0))</t>
  </si>
  <si>
    <t>=INDEX(Intersections!BJ64:BM64,1,MATCH(LEFT(AG9,1),Intersections!BJ5:BM5,0))</t>
  </si>
  <si>
    <t>=INDEX(Intersections!BJ64:BM64,1,MATCH(LEFT(AH9,1),Intersections!BJ5:BM5,0))</t>
  </si>
  <si>
    <t>=INDEX(Intersections!BN64:BQ64,1,MATCH(LEFT(AI9,1),Intersections!BN5:BQ5,0))</t>
  </si>
  <si>
    <t>=INDEX(Intersections!BN64:BQ64,1,MATCH(LEFT(AJ9,1),Intersections!BN5:BQ5,0))</t>
  </si>
  <si>
    <t>=INDEX(Intersections!BR64:BU64,1,MATCH(LEFT(AK9,1),Intersections!BR5:BU5,0))</t>
  </si>
  <si>
    <t>=INDEX(Intersections!BR64:BU64,1,MATCH(LEFT(AL9,1),Intersections!BR5:BU5,0))</t>
  </si>
  <si>
    <t>=INDEX(Intersections!BV64:BY64,1,MATCH(LEFT(AM9,1),Intersections!BV5:BY5,0))</t>
  </si>
  <si>
    <t>=INDEX(Intersections!BV64:BY64,1,MATCH(LEFT(AN9,1),Intersections!BV5:BY5,0))</t>
  </si>
  <si>
    <t>=INDEX(Intersections!BZ64:CC64,1,MATCH(LEFT(AO9,1),Intersections!BZ5:CC5,0))</t>
  </si>
  <si>
    <t>=INDEX(Intersections!BZ64:CC64,1,MATCH(LEFT(AP9,1),Intersections!BZ5:CC5,0))</t>
  </si>
  <si>
    <t>=INDEX(Intersections!CD64:CG64,1,MATCH(LEFT(AQ9,1),Intersections!CD5:CG5,0))</t>
  </si>
  <si>
    <t>=INDEX(Intersections!CD64:CG64,1,MATCH(LEFT(AR9,1),Intersections!CD5:CG5,0))</t>
  </si>
  <si>
    <t>=INDEX(Intersections!CH64:CK64,1,MATCH(LEFT(AS9,1),Intersections!CH5:CK5,0))</t>
  </si>
  <si>
    <t>=INDEX(Intersections!CH64:CK64,1,MATCH(LEFT(AT9,1),Intersections!CH5:CK5,0))</t>
  </si>
  <si>
    <t>=Segments!G46</t>
  </si>
  <si>
    <t>=Segments!I46</t>
  </si>
  <si>
    <t>=Segments!K46</t>
  </si>
  <si>
    <t>=Segments!M46</t>
  </si>
  <si>
    <t>=Segments!O46</t>
  </si>
  <si>
    <t>=Segments!Q46</t>
  </si>
  <si>
    <t>=Segments!S46</t>
  </si>
  <si>
    <t>=Segments!U46</t>
  </si>
  <si>
    <t>=Segments!W46</t>
  </si>
  <si>
    <t>=Segments!Y46</t>
  </si>
  <si>
    <t>=Segments!AA46</t>
  </si>
  <si>
    <t>=Segments!AC46</t>
  </si>
  <si>
    <t>=Segments!AE46</t>
  </si>
  <si>
    <t>=Segments!AG46</t>
  </si>
  <si>
    <t>=Segments!AI46</t>
  </si>
  <si>
    <t>=Segments!AK46</t>
  </si>
  <si>
    <t>=Segments!AM46</t>
  </si>
  <si>
    <t>=Segments!AO46</t>
  </si>
  <si>
    <t>=Segments!AQ46</t>
  </si>
  <si>
    <t>=Segments!AS46</t>
  </si>
  <si>
    <t>=Intersections!F68</t>
  </si>
  <si>
    <t>=Intersections!J68</t>
  </si>
  <si>
    <t>=Intersections!N68</t>
  </si>
  <si>
    <t>=Intersections!R68</t>
  </si>
  <si>
    <t>=Intersections!V68</t>
  </si>
  <si>
    <t>=Intersections!Z68</t>
  </si>
  <si>
    <t>=Intersections!AD68</t>
  </si>
  <si>
    <t>=Intersections!AH68</t>
  </si>
  <si>
    <t>=Intersections!AL68</t>
  </si>
  <si>
    <t>=Intersections!AP68</t>
  </si>
  <si>
    <t>=Intersections!AT68</t>
  </si>
  <si>
    <t>=Intersections!AX68</t>
  </si>
  <si>
    <t>=Intersections!BB68</t>
  </si>
  <si>
    <t>=Intersections!BF68</t>
  </si>
  <si>
    <t>=Intersections!BJ68</t>
  </si>
  <si>
    <t>=Intersections!BN68</t>
  </si>
  <si>
    <t>=Intersections!BR68</t>
  </si>
  <si>
    <t>=Intersections!BV68</t>
  </si>
  <si>
    <t>=Intersections!BZ68</t>
  </si>
  <si>
    <t>=Intersections!CD68</t>
  </si>
  <si>
    <t>=Intersections!CH68</t>
  </si>
  <si>
    <t>=Intersections!CL68</t>
  </si>
  <si>
    <t>=Intersections!CP68</t>
  </si>
  <si>
    <t>=Intersections!CT68</t>
  </si>
  <si>
    <t>=Intersections!CX68</t>
  </si>
  <si>
    <t>Shattuck-Walnut</t>
  </si>
  <si>
    <t>Walnut-Oxford</t>
  </si>
  <si>
    <t>Oxford-Spruce</t>
  </si>
  <si>
    <t>Spruce-Arch/Le Conte</t>
  </si>
  <si>
    <t>Arch/Le Conte-Euclid</t>
  </si>
  <si>
    <t>Euclid-Le Roy</t>
  </si>
  <si>
    <t>Le Roy-La Loma</t>
  </si>
  <si>
    <t>Shattuck -- West ; Peidmont -- East</t>
  </si>
  <si>
    <t>Bike lane -- 5ft</t>
  </si>
  <si>
    <t>0.0 if N/A  Parking</t>
  </si>
  <si>
    <t>No if no parking</t>
  </si>
  <si>
    <t>Intersection 1 (Shattuck)</t>
  </si>
  <si>
    <t>Intersection 2 (Walnut)</t>
  </si>
  <si>
    <t>Intersection 3 (Oxford)</t>
  </si>
  <si>
    <t>Intersection 4 (Spruce)</t>
  </si>
  <si>
    <t>Intersection 5 (Arch, Le Conte)</t>
  </si>
  <si>
    <t>Intersection 6 (Euclid)</t>
  </si>
  <si>
    <t>Intersection 7 (Le Roy)</t>
  </si>
  <si>
    <t>Intersection 8 (La Loma)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</si>
</sst>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sz val="14"/>
      <color rgb="FF000000"/>
      <name val="Times New Roman"/>
      <family val="1"/>
    </font>
    <font>
      <sz val="12"/>
      <color rgb="FF000000"/>
      <name val="Times New Roman"/>
      <family val="1"/>
    </font>
    <font>
      <sz val="10"/>
      <color rgb="FF000000"/>
      <name val="Times New Roman"/>
      <family val="1"/>
    </font>
    <font>
      <sz val="10"/>
      <color rgb="FF000000"/>
      <name val="Calibri"/>
      <family val="2"/>
    </font>
  </fonts>
  <fills count="13">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FF0000"/>
        <bgColor indexed="64"/>
      </patternFill>
    </fill>
    <fill>
      <patternFill patternType="solid">
        <fgColor rgb="FFE2EFDA"/>
        <bgColor rgb="FF000000"/>
      </patternFill>
    </fill>
    <fill>
      <patternFill patternType="solid">
        <fgColor theme="0" tint="-0.249977111117893"/>
        <bgColor indexed="64"/>
      </patternFill>
    </fill>
  </fills>
  <borders count="2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318">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0" fillId="0" borderId="0" xfId="0" applyNumberFormat="1"/>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0" fontId="0" fillId="0" borderId="0" xfId="0" applyAlignment="1">
      <alignment horizont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0" fillId="0" borderId="0" xfId="0" quotePrefix="1"/>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0" fillId="0" borderId="0" xfId="0" applyAlignment="1">
      <alignment wrapText="1"/>
    </xf>
    <xf numFmtId="0" fontId="0" fillId="0" borderId="0" xfId="0" applyAlignment="1">
      <alignment horizontal="center" wrapText="1"/>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1" fontId="3" fillId="10" borderId="1" xfId="1" applyNumberFormat="1" applyFont="1" applyFill="1" applyBorder="1" applyAlignment="1">
      <alignment horizontal="center" vertical="center"/>
    </xf>
    <xf numFmtId="1" fontId="3" fillId="10" borderId="0" xfId="1" applyNumberFormat="1" applyFont="1" applyFill="1" applyBorder="1" applyAlignment="1">
      <alignment horizontal="center" vertical="center"/>
    </xf>
    <xf numFmtId="1" fontId="3" fillId="10" borderId="3" xfId="1" applyNumberFormat="1" applyFont="1" applyFill="1" applyBorder="1" applyAlignment="1">
      <alignment horizontal="center" vertical="center"/>
    </xf>
    <xf numFmtId="0" fontId="34" fillId="11" borderId="1" xfId="0" applyFont="1" applyFill="1" applyBorder="1" applyAlignment="1">
      <alignment horizontal="center" vertical="center"/>
    </xf>
    <xf numFmtId="0" fontId="34" fillId="11" borderId="3" xfId="0" applyFont="1" applyFill="1" applyBorder="1" applyAlignment="1">
      <alignment horizontal="center" vertical="center"/>
    </xf>
    <xf numFmtId="9" fontId="34" fillId="11" borderId="1" xfId="0" applyNumberFormat="1" applyFont="1" applyFill="1" applyBorder="1" applyAlignment="1">
      <alignment horizontal="center" vertical="center"/>
    </xf>
    <xf numFmtId="9" fontId="34" fillId="11" borderId="3" xfId="0" applyNumberFormat="1" applyFont="1" applyFill="1" applyBorder="1" applyAlignment="1">
      <alignment horizontal="center" vertical="center"/>
    </xf>
    <xf numFmtId="164" fontId="31" fillId="2" borderId="1" xfId="1" applyNumberFormat="1" applyFont="1" applyFill="1" applyBorder="1" applyAlignment="1">
      <alignment horizontal="center" vertical="center"/>
    </xf>
    <xf numFmtId="1" fontId="3" fillId="12" borderId="1" xfId="1" applyNumberFormat="1" applyFont="1" applyFill="1" applyBorder="1" applyAlignment="1">
      <alignment horizontal="center" vertical="center"/>
    </xf>
    <xf numFmtId="1" fontId="3" fillId="12" borderId="0" xfId="1" applyNumberFormat="1" applyFont="1" applyFill="1" applyBorder="1" applyAlignment="1">
      <alignment horizontal="center" vertical="center"/>
    </xf>
    <xf numFmtId="1" fontId="3" fillId="12" borderId="3" xfId="1" applyNumberFormat="1" applyFont="1" applyFill="1" applyBorder="1" applyAlignment="1">
      <alignment horizontal="center" vertical="center"/>
    </xf>
    <xf numFmtId="0" fontId="3" fillId="2" borderId="0" xfId="0" applyFont="1" applyFill="1" applyAlignment="1">
      <alignment horizontal="center"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10" borderId="1" xfId="0" applyNumberFormat="1" applyFont="1" applyFill="1" applyBorder="1" applyAlignment="1">
      <alignment horizontal="center" vertical="center"/>
    </xf>
    <xf numFmtId="0" fontId="3" fillId="10" borderId="3"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5" fillId="3" borderId="3"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6" borderId="0" xfId="0" applyFont="1" applyFill="1" applyAlignment="1">
      <alignment horizontal="left" vertical="center" wrapText="1"/>
    </xf>
    <xf numFmtId="0" fontId="21" fillId="6" borderId="0" xfId="0" applyFont="1" applyFill="1" applyAlignment="1">
      <alignment horizontal="center" vertical="center"/>
    </xf>
    <xf numFmtId="0" fontId="14" fillId="3" borderId="1"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0" fontId="0" fillId="0" borderId="0" xfId="0" applyAlignment="1">
      <alignment horizontal="center" wrapText="1"/>
    </xf>
    <xf numFmtId="2" fontId="0" fillId="0" borderId="0" xfId="0" applyNumberFormat="1" applyAlignment="1">
      <alignment horizontal="center" wrapText="1"/>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4</xdr:col>
      <xdr:colOff>106334</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581025</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my Huang" id="{8EC583E6-9280-5C44-8085-B3CE4CF73D09}" userId="S::amyhuang89@berkeley.edu::72a25d0b-feb4-420a-843a-dc0c7d98683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18" dT="2020-03-16T08:35:37.75" personId="{8EC583E6-9280-5C44-8085-B3CE4CF73D09}" id="{0E3395E6-1C09-D04A-824C-44CD71497391}">
    <text>bikelane + 2 ft buffer</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zoomScaleNormal="100" workbookViewId="0">
      <selection activeCell="U16" sqref="U16"/>
    </sheetView>
  </sheetViews>
  <sheetFormatPr defaultColWidth="9" defaultRowHeight="15.75" x14ac:dyDescent="0.25"/>
  <cols>
    <col min="1" max="1" width="2.125" style="185" customWidth="1"/>
    <col min="2" max="2" width="9" style="185"/>
    <col min="3" max="3" width="4.375" style="187" bestFit="1" customWidth="1"/>
    <col min="4" max="4" width="15.875" style="187" bestFit="1" customWidth="1"/>
    <col min="5" max="5" width="10.375" style="185" bestFit="1" customWidth="1"/>
    <col min="6" max="6" width="10.375" style="185" customWidth="1"/>
    <col min="7" max="20" width="9" style="185"/>
    <col min="21" max="21" width="5.5" style="185" customWidth="1"/>
    <col min="22" max="22" width="6.375" style="185" bestFit="1" customWidth="1"/>
    <col min="23" max="23" width="9.625" style="185" bestFit="1" customWidth="1"/>
    <col min="24" max="16384" width="9" style="185"/>
  </cols>
  <sheetData>
    <row r="1" spans="2:28" ht="16.5" thickBot="1" x14ac:dyDescent="0.3"/>
    <row r="2" spans="2:28" x14ac:dyDescent="0.25">
      <c r="B2" s="191"/>
      <c r="C2" s="192"/>
      <c r="D2" s="192"/>
      <c r="E2" s="193"/>
      <c r="F2" s="193"/>
      <c r="G2" s="193"/>
      <c r="H2" s="193"/>
      <c r="I2" s="193"/>
      <c r="J2" s="193"/>
      <c r="K2" s="193"/>
      <c r="L2" s="193"/>
      <c r="M2" s="193"/>
      <c r="N2" s="193"/>
      <c r="O2" s="193"/>
      <c r="P2" s="193"/>
      <c r="Q2" s="193"/>
      <c r="R2" s="193"/>
      <c r="S2" s="193"/>
      <c r="T2" s="194"/>
    </row>
    <row r="3" spans="2:28" x14ac:dyDescent="0.25">
      <c r="B3" s="195"/>
      <c r="C3" s="189"/>
      <c r="D3" s="189"/>
      <c r="E3" s="186"/>
      <c r="F3" s="186"/>
      <c r="G3" s="291" t="s">
        <v>192</v>
      </c>
      <c r="H3" s="291"/>
      <c r="I3" s="291"/>
      <c r="J3" s="291"/>
      <c r="K3" s="291"/>
      <c r="L3" s="291"/>
      <c r="M3" s="186"/>
      <c r="N3" s="186"/>
      <c r="O3" s="186"/>
      <c r="P3" s="186"/>
      <c r="Q3" s="186"/>
      <c r="R3" s="186"/>
      <c r="S3" s="186"/>
      <c r="T3" s="196"/>
    </row>
    <row r="4" spans="2:28" x14ac:dyDescent="0.25">
      <c r="B4" s="195"/>
      <c r="C4" s="189"/>
      <c r="D4" s="189"/>
      <c r="E4" s="186"/>
      <c r="F4" s="186"/>
      <c r="G4" s="186"/>
      <c r="H4" s="186"/>
      <c r="I4" s="186"/>
      <c r="J4" s="186"/>
      <c r="K4" s="186"/>
      <c r="L4" s="186"/>
      <c r="M4" s="186"/>
      <c r="N4" s="186"/>
      <c r="O4" s="186"/>
      <c r="P4" s="186"/>
      <c r="Q4" s="186"/>
      <c r="R4" s="186"/>
      <c r="S4" s="186"/>
      <c r="T4" s="196"/>
    </row>
    <row r="5" spans="2:28" x14ac:dyDescent="0.25">
      <c r="B5" s="195"/>
      <c r="C5" s="201"/>
      <c r="D5" s="201"/>
      <c r="E5" s="292" t="s">
        <v>332</v>
      </c>
      <c r="F5" s="289"/>
      <c r="G5" s="289"/>
      <c r="H5" s="289"/>
      <c r="I5" s="289"/>
      <c r="J5" s="289"/>
      <c r="K5" s="289" t="s">
        <v>333</v>
      </c>
      <c r="L5" s="289"/>
      <c r="M5" s="289"/>
      <c r="N5" s="289"/>
      <c r="O5" s="290"/>
      <c r="P5" s="276" t="s">
        <v>193</v>
      </c>
      <c r="Q5" s="277"/>
      <c r="R5" s="277"/>
      <c r="S5" s="277"/>
      <c r="T5" s="196"/>
    </row>
    <row r="6" spans="2:28" ht="16.5" thickBot="1" x14ac:dyDescent="0.3">
      <c r="B6" s="195"/>
      <c r="C6" s="203"/>
      <c r="D6" s="203" t="s">
        <v>444</v>
      </c>
      <c r="E6" s="292" t="s">
        <v>69</v>
      </c>
      <c r="F6" s="289"/>
      <c r="G6" s="289" t="s">
        <v>70</v>
      </c>
      <c r="H6" s="289"/>
      <c r="I6" s="289" t="s">
        <v>63</v>
      </c>
      <c r="J6" s="290"/>
      <c r="K6" s="222"/>
      <c r="L6" s="289" t="s">
        <v>69</v>
      </c>
      <c r="M6" s="289"/>
      <c r="N6" s="289" t="s">
        <v>70</v>
      </c>
      <c r="O6" s="290"/>
      <c r="P6" s="289" t="s">
        <v>69</v>
      </c>
      <c r="Q6" s="289"/>
      <c r="R6" s="289" t="s">
        <v>70</v>
      </c>
      <c r="S6" s="290"/>
      <c r="T6" s="196"/>
    </row>
    <row r="7" spans="2:28" ht="27.75" thickBot="1" x14ac:dyDescent="0.3">
      <c r="B7" s="195"/>
      <c r="C7" s="216" t="s">
        <v>334</v>
      </c>
      <c r="D7" s="216"/>
      <c r="E7" s="217" t="s">
        <v>432</v>
      </c>
      <c r="F7" s="218" t="s">
        <v>335</v>
      </c>
      <c r="G7" s="219" t="s">
        <v>336</v>
      </c>
      <c r="H7" s="219" t="s">
        <v>335</v>
      </c>
      <c r="I7" s="218" t="s">
        <v>433</v>
      </c>
      <c r="J7" s="220" t="s">
        <v>335</v>
      </c>
      <c r="K7" s="221" t="s">
        <v>472</v>
      </c>
      <c r="L7" s="219" t="s">
        <v>435</v>
      </c>
      <c r="M7" s="219" t="s">
        <v>335</v>
      </c>
      <c r="N7" s="218" t="s">
        <v>434</v>
      </c>
      <c r="O7" s="220" t="s">
        <v>335</v>
      </c>
      <c r="P7" s="223" t="s">
        <v>473</v>
      </c>
      <c r="Q7" s="219" t="s">
        <v>335</v>
      </c>
      <c r="R7" s="218" t="s">
        <v>436</v>
      </c>
      <c r="S7" s="220" t="s">
        <v>335</v>
      </c>
      <c r="T7" s="196"/>
      <c r="V7" s="183" t="s">
        <v>430</v>
      </c>
      <c r="W7" s="184" t="s">
        <v>429</v>
      </c>
    </row>
    <row r="8" spans="2:28" x14ac:dyDescent="0.25">
      <c r="B8" s="195"/>
      <c r="C8" s="109">
        <v>1</v>
      </c>
      <c r="D8" s="109" t="s">
        <v>450</v>
      </c>
      <c r="E8" s="179">
        <f>Links!F91</f>
        <v>1.4003964760236025</v>
      </c>
      <c r="F8" s="180" t="str">
        <f t="shared" ref="F8:F29" si="0">IF(E8="","",IF(E8&lt;=$W$8,$V$8,IF(E8&lt;=$W$9,$V$9,IF(E8&lt;=$W$10,$V$10,IF(E8&lt;=$W$11,$V$11,IF(E8&lt;=$W$12,$V$12,$V$13))))))</f>
        <v>A</v>
      </c>
      <c r="G8" s="172">
        <f>Links!F94</f>
        <v>4.0161952421554714</v>
      </c>
      <c r="H8" s="172" t="str">
        <f t="shared" ref="H8:H29" si="1">IF(G8="","",IF(G8&lt;=$W$8,$V$8,IF(G8&lt;=$W$9,$V$9,IF(G8&lt;=$W$10,$V$10,IF(G8&lt;=$W$11,$V$11,IF(G8&lt;=$W$12,$V$12,$V$13))))))</f>
        <v>D</v>
      </c>
      <c r="I8" s="180">
        <f>Links!F97</f>
        <v>1.7658449627305508</v>
      </c>
      <c r="J8" s="202" t="str">
        <f t="shared" ref="J8:J29" si="2">IF(I8="","",IF(I8&lt;=$W$8,$V$8,IF(I8&lt;=$W$9,$V$9,IF(I8&lt;=$W$10,$V$10,IF(I8&lt;=$W$11,$V$11,IF(I8&lt;=$W$12,$V$12,$V$13))))))</f>
        <v>A</v>
      </c>
      <c r="K8" s="215" t="s">
        <v>453</v>
      </c>
      <c r="L8" s="172">
        <f>Intersections!F114</f>
        <v>2.8023711156342199</v>
      </c>
      <c r="M8" s="172" t="str">
        <f t="shared" ref="M8:M29" si="3">IF(L8="-","-",IF(L8&lt;=$W$8,$V$8,IF(L8&lt;=$W$9,$V$9,IF(L8&lt;=$W$10,$V$10,IF(L8&lt;=$W$11,$V$11,IF(L8&lt;=$W$12,$V$12,$V$13))))))</f>
        <v>C</v>
      </c>
      <c r="N8" s="180">
        <f>Intersections!F117</f>
        <v>2.7107749999999995</v>
      </c>
      <c r="O8" s="202" t="str">
        <f t="shared" ref="O8:O29" si="4">IF(N8="","",IF(N8&lt;=$W$8,$V$8,IF(N8&lt;=$W$9,$V$9,IF(N8&lt;=$W$10,$V$10,IF(N8&lt;=$W$11,$V$11,IF(N8&lt;=$W$12,$V$12,$V$13))))))</f>
        <v>B</v>
      </c>
      <c r="P8" s="169">
        <f>Segments!E42</f>
        <v>1.9879214647546111</v>
      </c>
      <c r="Q8" s="172" t="str">
        <f>IF(P8="","",IF(P8&lt;=$W$8,$V$8,IF(P8&lt;=$W$9,$V$9,IF(P8&lt;=$W$10,$V$10,IF(P8&lt;=$W$11,$V$11,IF(P8&lt;=$W$12,$V$12,$V$13))))))</f>
        <v>A</v>
      </c>
      <c r="R8" s="180">
        <f>Segments!E47</f>
        <v>2.9499031452189706</v>
      </c>
      <c r="S8" s="202" t="str">
        <f>IF(R8="","",IF(R8&lt;=$W$8,$V$8,IF(R8&lt;=$W$9,$V$9,IF(R8&lt;=$W$10,$V$10,IF(R8&lt;=$W$11,$V$11,IF(R8&lt;=$W$12,$V$12,$V$13))))))</f>
        <v>C</v>
      </c>
      <c r="T8" s="196"/>
      <c r="V8" s="211" t="s">
        <v>331</v>
      </c>
      <c r="W8" s="182">
        <v>2</v>
      </c>
      <c r="AB8" s="188"/>
    </row>
    <row r="9" spans="2:28" x14ac:dyDescent="0.25">
      <c r="B9" s="195"/>
      <c r="C9" s="109">
        <v>2</v>
      </c>
      <c r="D9" s="109" t="s">
        <v>451</v>
      </c>
      <c r="E9" s="179">
        <f>Links!H91</f>
        <v>1.514146476023603</v>
      </c>
      <c r="F9" s="180" t="str">
        <f t="shared" si="0"/>
        <v>A</v>
      </c>
      <c r="G9" s="172">
        <f>Links!H94</f>
        <v>4.0877220914732444</v>
      </c>
      <c r="H9" s="172" t="str">
        <f t="shared" si="1"/>
        <v>D</v>
      </c>
      <c r="I9" s="180">
        <f>Links!H97</f>
        <v>1.7829074627305508</v>
      </c>
      <c r="J9" s="202" t="str">
        <f t="shared" si="2"/>
        <v>A</v>
      </c>
      <c r="K9" s="215" t="s">
        <v>454</v>
      </c>
      <c r="L9" s="172">
        <f>Intersections!J114</f>
        <v>2.1235729316016991</v>
      </c>
      <c r="M9" s="172" t="str">
        <f t="shared" si="3"/>
        <v>B</v>
      </c>
      <c r="N9" s="180">
        <f>Intersections!J117</f>
        <v>2.2087249999999994</v>
      </c>
      <c r="O9" s="202" t="str">
        <f t="shared" si="4"/>
        <v>B</v>
      </c>
      <c r="P9" s="169" t="e">
        <f>Segments!G42</f>
        <v>#VALUE!</v>
      </c>
      <c r="Q9" s="172" t="e">
        <f t="shared" ref="Q9:Q27" si="5">IF(P9="","",IF(P9&lt;=$W$8,$V$8,IF(P9&lt;=$W$9,$V$9,IF(P9&lt;=$W$10,$V$10,IF(P9&lt;=$W$11,$V$11,IF(P9&lt;=$W$12,$V$12,$V$13))))))</f>
        <v>#VALUE!</v>
      </c>
      <c r="R9" s="180" t="e">
        <f>Segments!G47</f>
        <v>#DIV/0!</v>
      </c>
      <c r="S9" s="202" t="e">
        <f>IF(R9="","",IF(R9&lt;=$W$8,$V$8,IF(R9&lt;=$W$9,$V$9,IF(R9&lt;=$W$10,$V$10,IF(R9&lt;=$W$11,$V$11,IF(R9&lt;=$W$12,$V$12,$V$13))))))</f>
        <v>#DIV/0!</v>
      </c>
      <c r="T9" s="196"/>
      <c r="V9" s="211" t="s">
        <v>330</v>
      </c>
      <c r="W9" s="182">
        <v>2.75</v>
      </c>
    </row>
    <row r="10" spans="2:28" x14ac:dyDescent="0.25">
      <c r="B10" s="195"/>
      <c r="C10" s="109">
        <v>3</v>
      </c>
      <c r="D10" s="109" t="s">
        <v>452</v>
      </c>
      <c r="E10" s="179">
        <f>Links!J91</f>
        <v>2.0178958466638228</v>
      </c>
      <c r="F10" s="180" t="str">
        <f t="shared" si="0"/>
        <v>B</v>
      </c>
      <c r="G10" s="172">
        <f>Links!J94</f>
        <v>4.3456421891764423</v>
      </c>
      <c r="H10" s="172" t="str">
        <f t="shared" si="1"/>
        <v>E</v>
      </c>
      <c r="I10" s="180">
        <f>Links!J97</f>
        <v>1.8584698683265839</v>
      </c>
      <c r="J10" s="202" t="str">
        <f t="shared" si="2"/>
        <v>A</v>
      </c>
      <c r="K10" s="215" t="s">
        <v>455</v>
      </c>
      <c r="L10" s="172">
        <f>Intersections!N114</f>
        <v>2.4097444022034544</v>
      </c>
      <c r="M10" s="172" t="str">
        <f t="shared" si="3"/>
        <v>B</v>
      </c>
      <c r="N10" s="180">
        <f>Intersections!N117</f>
        <v>3.2047249999999998</v>
      </c>
      <c r="O10" s="202" t="str">
        <f t="shared" si="4"/>
        <v>C</v>
      </c>
      <c r="P10" s="169">
        <f>Segments!I42</f>
        <v>1.8247074557866352</v>
      </c>
      <c r="Q10" s="172" t="str">
        <f t="shared" si="5"/>
        <v>A</v>
      </c>
      <c r="R10" s="180" t="e">
        <f>Segments!I47</f>
        <v>#DIV/0!</v>
      </c>
      <c r="S10" s="202" t="e">
        <f t="shared" ref="S10" si="6">IF(R10="","",IF(R10&lt;=$W$8,$V$8,IF(R10&lt;=$W$9,$V$9,IF(R10&lt;=$W$10,$V$10,IF(R10&lt;=$W$11,$V$11,IF(R10&lt;=$W$12,$V$12,$V$13))))))</f>
        <v>#DIV/0!</v>
      </c>
      <c r="T10" s="196"/>
      <c r="V10" s="211" t="s">
        <v>160</v>
      </c>
      <c r="W10" s="182">
        <v>3.5</v>
      </c>
    </row>
    <row r="11" spans="2:28" x14ac:dyDescent="0.25">
      <c r="B11" s="195"/>
      <c r="C11" s="109">
        <v>4</v>
      </c>
      <c r="D11" s="109" t="s">
        <v>449</v>
      </c>
      <c r="E11" s="179">
        <f>Links!L91</f>
        <v>2.0906414342001698</v>
      </c>
      <c r="F11" s="180" t="str">
        <f t="shared" si="0"/>
        <v>B</v>
      </c>
      <c r="G11" s="172">
        <f>Links!L94</f>
        <v>4.0490137569543307</v>
      </c>
      <c r="H11" s="172" t="str">
        <f t="shared" si="1"/>
        <v>D</v>
      </c>
      <c r="I11" s="180">
        <f>Links!L97</f>
        <v>1.8693817064570357</v>
      </c>
      <c r="J11" s="202" t="str">
        <f t="shared" si="2"/>
        <v>A</v>
      </c>
      <c r="K11" s="215" t="s">
        <v>456</v>
      </c>
      <c r="L11" s="172">
        <f>Intersections!R114</f>
        <v>2.2501490583568136</v>
      </c>
      <c r="M11" s="172" t="str">
        <f t="shared" si="3"/>
        <v>B</v>
      </c>
      <c r="N11" s="180">
        <f>Intersections!R117</f>
        <v>2.0597749999999992</v>
      </c>
      <c r="O11" s="202" t="str">
        <f t="shared" si="4"/>
        <v>B</v>
      </c>
      <c r="P11" s="169" t="e">
        <f>Segments!K42</f>
        <v>#VALUE!</v>
      </c>
      <c r="Q11" s="172" t="e">
        <f t="shared" si="5"/>
        <v>#VALUE!</v>
      </c>
      <c r="R11" s="180" t="e">
        <f>Segments!K47</f>
        <v>#DIV/0!</v>
      </c>
      <c r="S11" s="202" t="e">
        <f t="shared" ref="S11" si="7">IF(R11="","",IF(R11&lt;=$W$8,$V$8,IF(R11&lt;=$W$9,$V$9,IF(R11&lt;=$W$10,$V$10,IF(R11&lt;=$W$11,$V$11,IF(R11&lt;=$W$12,$V$12,$V$13))))))</f>
        <v>#DIV/0!</v>
      </c>
      <c r="T11" s="196"/>
      <c r="V11" s="211" t="s">
        <v>337</v>
      </c>
      <c r="W11" s="182">
        <v>4.25</v>
      </c>
    </row>
    <row r="12" spans="2:28" x14ac:dyDescent="0.25">
      <c r="B12" s="195"/>
      <c r="C12" s="109">
        <v>5</v>
      </c>
      <c r="D12" s="109" t="s">
        <v>445</v>
      </c>
      <c r="E12" s="179">
        <f>Links!N91</f>
        <v>1.8296513252853428</v>
      </c>
      <c r="F12" s="180" t="str">
        <f t="shared" si="0"/>
        <v>A</v>
      </c>
      <c r="G12" s="172">
        <f>Links!N94</f>
        <v>4.2210550268287879</v>
      </c>
      <c r="H12" s="172" t="str">
        <f t="shared" si="1"/>
        <v>D</v>
      </c>
      <c r="I12" s="180">
        <f>Links!N97</f>
        <v>1.8302331901198117</v>
      </c>
      <c r="J12" s="202" t="str">
        <f t="shared" si="2"/>
        <v>A</v>
      </c>
      <c r="K12" s="215" t="s">
        <v>457</v>
      </c>
      <c r="L12" s="172">
        <f>Intersections!V114</f>
        <v>2.176378994406754</v>
      </c>
      <c r="M12" s="172" t="str">
        <f t="shared" si="3"/>
        <v>B</v>
      </c>
      <c r="N12" s="180">
        <f>Intersections!V117</f>
        <v>2.7701750000000001</v>
      </c>
      <c r="O12" s="202" t="str">
        <f t="shared" si="4"/>
        <v>C</v>
      </c>
      <c r="P12" s="169" t="e">
        <f>Segments!M42</f>
        <v>#VALUE!</v>
      </c>
      <c r="Q12" s="172" t="e">
        <f t="shared" si="5"/>
        <v>#VALUE!</v>
      </c>
      <c r="R12" s="180">
        <f>Segments!M47</f>
        <v>3.1107076523391228</v>
      </c>
      <c r="S12" s="202" t="str">
        <f t="shared" ref="S12" si="8">IF(R12="","",IF(R12&lt;=$W$8,$V$8,IF(R12&lt;=$W$9,$V$9,IF(R12&lt;=$W$10,$V$10,IF(R12&lt;=$W$11,$V$11,IF(R12&lt;=$W$12,$V$12,$V$13))))))</f>
        <v>C</v>
      </c>
      <c r="T12" s="196"/>
      <c r="V12" s="211" t="s">
        <v>231</v>
      </c>
      <c r="W12" s="182">
        <v>5</v>
      </c>
    </row>
    <row r="13" spans="2:28" ht="16.5" thickBot="1" x14ac:dyDescent="0.3">
      <c r="B13" s="195"/>
      <c r="C13" s="109">
        <v>6</v>
      </c>
      <c r="D13" s="109" t="s">
        <v>446</v>
      </c>
      <c r="E13" s="179">
        <f>Links!P91</f>
        <v>1.6124653316123219</v>
      </c>
      <c r="F13" s="180" t="str">
        <f t="shared" si="0"/>
        <v>A</v>
      </c>
      <c r="G13" s="172">
        <f>Links!P94</f>
        <v>4.1905335237873569</v>
      </c>
      <c r="H13" s="172" t="str">
        <f t="shared" si="1"/>
        <v>D</v>
      </c>
      <c r="I13" s="180">
        <f>Links!P97</f>
        <v>1.7976552910688586</v>
      </c>
      <c r="J13" s="202" t="str">
        <f t="shared" si="2"/>
        <v>A</v>
      </c>
      <c r="K13" s="215" t="s">
        <v>458</v>
      </c>
      <c r="L13" s="172">
        <f>Intersections!Z114</f>
        <v>2.1324011176786235</v>
      </c>
      <c r="M13" s="172" t="str">
        <f t="shared" si="3"/>
        <v>B</v>
      </c>
      <c r="N13" s="180">
        <f>Intersections!Z117</f>
        <v>2.2171999999999992</v>
      </c>
      <c r="O13" s="202" t="str">
        <f t="shared" si="4"/>
        <v>B</v>
      </c>
      <c r="P13" s="169" t="e">
        <f>Segments!O42</f>
        <v>#VALUE!</v>
      </c>
      <c r="Q13" s="172" t="e">
        <f t="shared" si="5"/>
        <v>#VALUE!</v>
      </c>
      <c r="R13" s="180" t="e">
        <f>Segments!O47</f>
        <v>#DIV/0!</v>
      </c>
      <c r="S13" s="202" t="e">
        <f t="shared" ref="S13" si="9">IF(R13="","",IF(R13&lt;=$W$8,$V$8,IF(R13&lt;=$W$9,$V$9,IF(R13&lt;=$W$10,$V$10,IF(R13&lt;=$W$11,$V$11,IF(R13&lt;=$W$12,$V$12,$V$13))))))</f>
        <v>#DIV/0!</v>
      </c>
      <c r="T13" s="196"/>
      <c r="V13" s="212" t="s">
        <v>341</v>
      </c>
      <c r="W13" s="213" t="s">
        <v>509</v>
      </c>
    </row>
    <row r="14" spans="2:28" x14ac:dyDescent="0.25">
      <c r="B14" s="195"/>
      <c r="C14" s="109">
        <v>7</v>
      </c>
      <c r="D14" s="109" t="s">
        <v>447</v>
      </c>
      <c r="E14" s="179">
        <f>Links!R91</f>
        <v>1.621565331612322</v>
      </c>
      <c r="F14" s="180" t="str">
        <f t="shared" si="0"/>
        <v>A</v>
      </c>
      <c r="G14" s="172">
        <f>Links!R94</f>
        <v>4.1952608307630443</v>
      </c>
      <c r="H14" s="172" t="str">
        <f t="shared" si="1"/>
        <v>D</v>
      </c>
      <c r="I14" s="180">
        <f>Links!R97</f>
        <v>1.7990202910688586</v>
      </c>
      <c r="J14" s="202" t="str">
        <f t="shared" si="2"/>
        <v>A</v>
      </c>
      <c r="K14" s="215" t="s">
        <v>459</v>
      </c>
      <c r="L14" s="172">
        <f>Intersections!AD114</f>
        <v>1.9911370140366187</v>
      </c>
      <c r="M14" s="172" t="str">
        <f t="shared" si="3"/>
        <v>A</v>
      </c>
      <c r="N14" s="180">
        <f>Intersections!AD117</f>
        <v>2.3857249999999994</v>
      </c>
      <c r="O14" s="202" t="str">
        <f t="shared" si="4"/>
        <v>B</v>
      </c>
      <c r="P14" s="169" t="e">
        <f>Segments!Q42</f>
        <v>#VALUE!</v>
      </c>
      <c r="Q14" s="172" t="e">
        <f t="shared" si="5"/>
        <v>#VALUE!</v>
      </c>
      <c r="R14" s="180" t="e">
        <f>Segments!Q47</f>
        <v>#DIV/0!</v>
      </c>
      <c r="S14" s="202" t="e">
        <f t="shared" ref="S14" si="10">IF(R14="","",IF(R14&lt;=$W$8,$V$8,IF(R14&lt;=$W$9,$V$9,IF(R14&lt;=$W$10,$V$10,IF(R14&lt;=$W$11,$V$11,IF(R14&lt;=$W$12,$V$12,$V$13))))))</f>
        <v>#DIV/0!</v>
      </c>
      <c r="T14" s="196"/>
    </row>
    <row r="15" spans="2:28" x14ac:dyDescent="0.25">
      <c r="B15" s="195"/>
      <c r="C15" s="109">
        <v>8</v>
      </c>
      <c r="D15" s="109" t="s">
        <v>448</v>
      </c>
      <c r="E15" s="179" t="str">
        <f>Links!T91</f>
        <v/>
      </c>
      <c r="F15" s="180" t="str">
        <f t="shared" si="0"/>
        <v/>
      </c>
      <c r="G15" s="172" t="str">
        <f>Links!T94</f>
        <v/>
      </c>
      <c r="H15" s="172" t="str">
        <f t="shared" si="1"/>
        <v/>
      </c>
      <c r="I15" s="180" t="str">
        <f>Links!T97</f>
        <v/>
      </c>
      <c r="J15" s="202" t="str">
        <f t="shared" si="2"/>
        <v/>
      </c>
      <c r="K15" s="215" t="s">
        <v>460</v>
      </c>
      <c r="L15" s="172" t="e">
        <f>Intersections!AH114</f>
        <v>#REF!</v>
      </c>
      <c r="M15" s="172" t="e">
        <f t="shared" si="3"/>
        <v>#REF!</v>
      </c>
      <c r="N15" s="180">
        <f>Intersections!AH117</f>
        <v>2.5933249999999997</v>
      </c>
      <c r="O15" s="202" t="str">
        <f t="shared" si="4"/>
        <v>B</v>
      </c>
      <c r="P15" s="169" t="str">
        <f>Segments!S42</f>
        <v/>
      </c>
      <c r="Q15" s="172" t="str">
        <f t="shared" si="5"/>
        <v/>
      </c>
      <c r="R15" s="180" t="str">
        <f>Segments!S47</f>
        <v/>
      </c>
      <c r="S15" s="202" t="str">
        <f t="shared" ref="S15" si="11">IF(R15="","",IF(R15&lt;=$W$8,$V$8,IF(R15&lt;=$W$9,$V$9,IF(R15&lt;=$W$10,$V$10,IF(R15&lt;=$W$11,$V$11,IF(R15&lt;=$W$12,$V$12,$V$13))))))</f>
        <v/>
      </c>
      <c r="T15" s="196"/>
    </row>
    <row r="16" spans="2:28" x14ac:dyDescent="0.25">
      <c r="B16" s="195"/>
      <c r="C16" s="109">
        <v>9</v>
      </c>
      <c r="D16" s="109"/>
      <c r="E16" s="179" t="str">
        <f>Links!V91</f>
        <v/>
      </c>
      <c r="F16" s="180" t="str">
        <f t="shared" si="0"/>
        <v/>
      </c>
      <c r="G16" s="172" t="str">
        <f>Links!V94</f>
        <v/>
      </c>
      <c r="H16" s="172" t="str">
        <f t="shared" si="1"/>
        <v/>
      </c>
      <c r="I16" s="180" t="str">
        <f>Links!V97</f>
        <v/>
      </c>
      <c r="J16" s="202" t="str">
        <f t="shared" si="2"/>
        <v/>
      </c>
      <c r="K16" s="215" t="s">
        <v>461</v>
      </c>
      <c r="L16" s="172" t="str">
        <f>Intersections!AL114</f>
        <v/>
      </c>
      <c r="M16" s="172" t="str">
        <f t="shared" si="3"/>
        <v>F</v>
      </c>
      <c r="N16" s="180" t="str">
        <f>Intersections!AL117</f>
        <v/>
      </c>
      <c r="O16" s="202" t="str">
        <f t="shared" si="4"/>
        <v/>
      </c>
      <c r="P16" s="169" t="str">
        <f>Segments!U42</f>
        <v/>
      </c>
      <c r="Q16" s="172" t="str">
        <f t="shared" si="5"/>
        <v/>
      </c>
      <c r="R16" s="180" t="str">
        <f>Segments!U47</f>
        <v/>
      </c>
      <c r="S16" s="202" t="str">
        <f t="shared" ref="S16" si="12">IF(R16="","",IF(R16&lt;=$W$8,$V$8,IF(R16&lt;=$W$9,$V$9,IF(R16&lt;=$W$10,$V$10,IF(R16&lt;=$W$11,$V$11,IF(R16&lt;=$W$12,$V$12,$V$13))))))</f>
        <v/>
      </c>
      <c r="T16" s="196"/>
    </row>
    <row r="17" spans="2:24" x14ac:dyDescent="0.25">
      <c r="B17" s="195"/>
      <c r="C17" s="109">
        <v>10</v>
      </c>
      <c r="D17" s="109"/>
      <c r="E17" s="179" t="str">
        <f>Links!X91</f>
        <v/>
      </c>
      <c r="F17" s="180" t="str">
        <f t="shared" si="0"/>
        <v/>
      </c>
      <c r="G17" s="172" t="str">
        <f>Links!X94</f>
        <v/>
      </c>
      <c r="H17" s="172" t="str">
        <f t="shared" si="1"/>
        <v/>
      </c>
      <c r="I17" s="180" t="str">
        <f>Links!X97</f>
        <v/>
      </c>
      <c r="J17" s="202" t="str">
        <f t="shared" si="2"/>
        <v/>
      </c>
      <c r="K17" s="215" t="s">
        <v>462</v>
      </c>
      <c r="L17" s="172" t="str">
        <f>Intersections!AP114</f>
        <v/>
      </c>
      <c r="M17" s="172" t="str">
        <f t="shared" si="3"/>
        <v>F</v>
      </c>
      <c r="N17" s="180" t="str">
        <f>Intersections!AP117</f>
        <v/>
      </c>
      <c r="O17" s="202" t="str">
        <f t="shared" si="4"/>
        <v/>
      </c>
      <c r="P17" s="169" t="str">
        <f>Segments!W42</f>
        <v/>
      </c>
      <c r="Q17" s="172" t="str">
        <f t="shared" si="5"/>
        <v/>
      </c>
      <c r="R17" s="180" t="str">
        <f>Segments!W47</f>
        <v/>
      </c>
      <c r="S17" s="202" t="str">
        <f t="shared" ref="S17" si="13">IF(R17="","",IF(R17&lt;=$W$8,$V$8,IF(R17&lt;=$W$9,$V$9,IF(R17&lt;=$W$10,$V$10,IF(R17&lt;=$W$11,$V$11,IF(R17&lt;=$W$12,$V$12,$V$13))))))</f>
        <v/>
      </c>
      <c r="T17" s="196"/>
    </row>
    <row r="18" spans="2:24" x14ac:dyDescent="0.25">
      <c r="B18" s="195"/>
      <c r="C18" s="109">
        <v>11</v>
      </c>
      <c r="D18" s="109"/>
      <c r="E18" s="179" t="str">
        <f>Links!Z91</f>
        <v/>
      </c>
      <c r="F18" s="180" t="str">
        <f t="shared" si="0"/>
        <v/>
      </c>
      <c r="G18" s="172" t="str">
        <f>Links!Z94</f>
        <v/>
      </c>
      <c r="H18" s="172" t="str">
        <f t="shared" si="1"/>
        <v/>
      </c>
      <c r="I18" s="180" t="str">
        <f>Links!Z97</f>
        <v/>
      </c>
      <c r="J18" s="202" t="str">
        <f t="shared" si="2"/>
        <v/>
      </c>
      <c r="K18" s="215" t="s">
        <v>463</v>
      </c>
      <c r="L18" s="172" t="str">
        <f>Intersections!AT114</f>
        <v/>
      </c>
      <c r="M18" s="172" t="str">
        <f t="shared" si="3"/>
        <v>F</v>
      </c>
      <c r="N18" s="180" t="str">
        <f>Intersections!AT117</f>
        <v/>
      </c>
      <c r="O18" s="202" t="str">
        <f t="shared" si="4"/>
        <v/>
      </c>
      <c r="P18" s="169" t="str">
        <f>Segments!Y42</f>
        <v/>
      </c>
      <c r="Q18" s="172" t="str">
        <f t="shared" si="5"/>
        <v/>
      </c>
      <c r="R18" s="180" t="str">
        <f>Segments!Y47</f>
        <v/>
      </c>
      <c r="S18" s="202" t="str">
        <f t="shared" ref="S18" si="14">IF(R18="","",IF(R18&lt;=$W$8,$V$8,IF(R18&lt;=$W$9,$V$9,IF(R18&lt;=$W$10,$V$10,IF(R18&lt;=$W$11,$V$11,IF(R18&lt;=$W$12,$V$12,$V$13))))))</f>
        <v/>
      </c>
      <c r="T18" s="196"/>
    </row>
    <row r="19" spans="2:24" x14ac:dyDescent="0.25">
      <c r="B19" s="195"/>
      <c r="C19" s="109">
        <v>12</v>
      </c>
      <c r="D19" s="109"/>
      <c r="E19" s="179" t="str">
        <f>Links!AB91</f>
        <v/>
      </c>
      <c r="F19" s="180" t="str">
        <f t="shared" si="0"/>
        <v/>
      </c>
      <c r="G19" s="172" t="str">
        <f>Links!AB94</f>
        <v/>
      </c>
      <c r="H19" s="172" t="str">
        <f t="shared" si="1"/>
        <v/>
      </c>
      <c r="I19" s="180" t="str">
        <f>Links!AB97</f>
        <v/>
      </c>
      <c r="J19" s="202" t="str">
        <f t="shared" si="2"/>
        <v/>
      </c>
      <c r="K19" s="215" t="s">
        <v>464</v>
      </c>
      <c r="L19" s="172" t="str">
        <f>Intersections!AX114</f>
        <v/>
      </c>
      <c r="M19" s="172" t="str">
        <f t="shared" si="3"/>
        <v>F</v>
      </c>
      <c r="N19" s="180" t="str">
        <f>Intersections!AX117</f>
        <v/>
      </c>
      <c r="O19" s="202" t="str">
        <f t="shared" si="4"/>
        <v/>
      </c>
      <c r="P19" s="169" t="str">
        <f>Segments!AA42</f>
        <v/>
      </c>
      <c r="Q19" s="172" t="str">
        <f t="shared" si="5"/>
        <v/>
      </c>
      <c r="R19" s="180" t="str">
        <f>Segments!AA47</f>
        <v/>
      </c>
      <c r="S19" s="202" t="str">
        <f t="shared" ref="S19" si="15">IF(R19="","",IF(R19&lt;=$W$8,$V$8,IF(R19&lt;=$W$9,$V$9,IF(R19&lt;=$W$10,$V$10,IF(R19&lt;=$W$11,$V$11,IF(R19&lt;=$W$12,$V$12,$V$13))))))</f>
        <v/>
      </c>
      <c r="T19" s="196"/>
    </row>
    <row r="20" spans="2:24" x14ac:dyDescent="0.25">
      <c r="B20" s="195"/>
      <c r="C20" s="109">
        <v>13</v>
      </c>
      <c r="D20" s="109"/>
      <c r="E20" s="179" t="str">
        <f>Links!AD91</f>
        <v/>
      </c>
      <c r="F20" s="180" t="str">
        <f t="shared" si="0"/>
        <v/>
      </c>
      <c r="G20" s="172" t="str">
        <f>Links!AD94</f>
        <v/>
      </c>
      <c r="H20" s="172" t="str">
        <f t="shared" si="1"/>
        <v/>
      </c>
      <c r="I20" s="180" t="str">
        <f>Links!AD97</f>
        <v/>
      </c>
      <c r="J20" s="202" t="str">
        <f t="shared" si="2"/>
        <v/>
      </c>
      <c r="K20" s="215" t="s">
        <v>465</v>
      </c>
      <c r="L20" s="172" t="str">
        <f>Intersections!BB114</f>
        <v/>
      </c>
      <c r="M20" s="172" t="str">
        <f t="shared" si="3"/>
        <v>F</v>
      </c>
      <c r="N20" s="180" t="str">
        <f>Intersections!BB117</f>
        <v/>
      </c>
      <c r="O20" s="202" t="str">
        <f t="shared" si="4"/>
        <v/>
      </c>
      <c r="P20" s="169" t="str">
        <f>Segments!AC42</f>
        <v/>
      </c>
      <c r="Q20" s="172" t="str">
        <f t="shared" si="5"/>
        <v/>
      </c>
      <c r="R20" s="180" t="str">
        <f>Segments!AC47</f>
        <v/>
      </c>
      <c r="S20" s="202" t="str">
        <f t="shared" ref="S20" si="16">IF(R20="","",IF(R20&lt;=$W$8,$V$8,IF(R20&lt;=$W$9,$V$9,IF(R20&lt;=$W$10,$V$10,IF(R20&lt;=$W$11,$V$11,IF(R20&lt;=$W$12,$V$12,$V$13))))))</f>
        <v/>
      </c>
      <c r="T20" s="196"/>
    </row>
    <row r="21" spans="2:24" x14ac:dyDescent="0.25">
      <c r="B21" s="195"/>
      <c r="C21" s="109">
        <v>14</v>
      </c>
      <c r="D21" s="109"/>
      <c r="E21" s="179" t="str">
        <f>Links!AF91</f>
        <v/>
      </c>
      <c r="F21" s="180" t="str">
        <f t="shared" si="0"/>
        <v/>
      </c>
      <c r="G21" s="172" t="str">
        <f>Links!AF94</f>
        <v/>
      </c>
      <c r="H21" s="172" t="str">
        <f t="shared" si="1"/>
        <v/>
      </c>
      <c r="I21" s="180" t="str">
        <f>Links!AF97</f>
        <v/>
      </c>
      <c r="J21" s="202" t="str">
        <f t="shared" si="2"/>
        <v/>
      </c>
      <c r="K21" s="215" t="s">
        <v>466</v>
      </c>
      <c r="L21" s="172" t="str">
        <f>Intersections!BF114</f>
        <v/>
      </c>
      <c r="M21" s="172" t="str">
        <f t="shared" si="3"/>
        <v>F</v>
      </c>
      <c r="N21" s="180" t="str">
        <f>Intersections!BF117</f>
        <v/>
      </c>
      <c r="O21" s="202" t="str">
        <f t="shared" si="4"/>
        <v/>
      </c>
      <c r="P21" s="169" t="str">
        <f>Segments!AE42</f>
        <v/>
      </c>
      <c r="Q21" s="172" t="str">
        <f t="shared" si="5"/>
        <v/>
      </c>
      <c r="R21" s="180" t="str">
        <f>Segments!AE47</f>
        <v/>
      </c>
      <c r="S21" s="202" t="str">
        <f t="shared" ref="S21" si="17">IF(R21="","",IF(R21&lt;=$W$8,$V$8,IF(R21&lt;=$W$9,$V$9,IF(R21&lt;=$W$10,$V$10,IF(R21&lt;=$W$11,$V$11,IF(R21&lt;=$W$12,$V$12,$V$13))))))</f>
        <v/>
      </c>
      <c r="T21" s="196"/>
    </row>
    <row r="22" spans="2:24" x14ac:dyDescent="0.25">
      <c r="B22" s="195"/>
      <c r="C22" s="109">
        <v>15</v>
      </c>
      <c r="D22" s="109"/>
      <c r="E22" s="179" t="str">
        <f>Links!AH91</f>
        <v/>
      </c>
      <c r="F22" s="180" t="str">
        <f t="shared" si="0"/>
        <v/>
      </c>
      <c r="G22" s="172" t="str">
        <f>Links!AH94</f>
        <v/>
      </c>
      <c r="H22" s="172" t="str">
        <f t="shared" si="1"/>
        <v/>
      </c>
      <c r="I22" s="180" t="str">
        <f>Links!AH97</f>
        <v/>
      </c>
      <c r="J22" s="202" t="str">
        <f t="shared" si="2"/>
        <v/>
      </c>
      <c r="K22" s="215" t="s">
        <v>467</v>
      </c>
      <c r="L22" s="172" t="str">
        <f>Intersections!BJ114</f>
        <v/>
      </c>
      <c r="M22" s="172" t="str">
        <f t="shared" si="3"/>
        <v>F</v>
      </c>
      <c r="N22" s="180" t="str">
        <f>Intersections!BJ117</f>
        <v/>
      </c>
      <c r="O22" s="202" t="str">
        <f t="shared" si="4"/>
        <v/>
      </c>
      <c r="P22" s="169" t="str">
        <f>Segments!AG42</f>
        <v/>
      </c>
      <c r="Q22" s="172" t="str">
        <f t="shared" si="5"/>
        <v/>
      </c>
      <c r="R22" s="180" t="str">
        <f>Segments!AG47</f>
        <v/>
      </c>
      <c r="S22" s="202" t="str">
        <f t="shared" ref="S22" si="18">IF(R22="","",IF(R22&lt;=$W$8,$V$8,IF(R22&lt;=$W$9,$V$9,IF(R22&lt;=$W$10,$V$10,IF(R22&lt;=$W$11,$V$11,IF(R22&lt;=$W$12,$V$12,$V$13))))))</f>
        <v/>
      </c>
      <c r="T22" s="196"/>
    </row>
    <row r="23" spans="2:24" x14ac:dyDescent="0.25">
      <c r="B23" s="195"/>
      <c r="C23" s="109">
        <v>16</v>
      </c>
      <c r="D23" s="109"/>
      <c r="E23" s="179" t="str">
        <f>Links!AJ91</f>
        <v/>
      </c>
      <c r="F23" s="180" t="str">
        <f t="shared" si="0"/>
        <v/>
      </c>
      <c r="G23" s="172" t="str">
        <f>Links!AJ94</f>
        <v/>
      </c>
      <c r="H23" s="172" t="str">
        <f t="shared" si="1"/>
        <v/>
      </c>
      <c r="I23" s="180" t="str">
        <f>Links!AJ97</f>
        <v/>
      </c>
      <c r="J23" s="202" t="str">
        <f t="shared" si="2"/>
        <v/>
      </c>
      <c r="K23" s="215" t="s">
        <v>468</v>
      </c>
      <c r="L23" s="172" t="str">
        <f>Intersections!BN114</f>
        <v/>
      </c>
      <c r="M23" s="172" t="str">
        <f t="shared" si="3"/>
        <v>F</v>
      </c>
      <c r="N23" s="180" t="str">
        <f>Intersections!BN117</f>
        <v/>
      </c>
      <c r="O23" s="202" t="str">
        <f t="shared" si="4"/>
        <v/>
      </c>
      <c r="P23" s="169" t="str">
        <f>Segments!AI42</f>
        <v/>
      </c>
      <c r="Q23" s="172" t="str">
        <f t="shared" si="5"/>
        <v/>
      </c>
      <c r="R23" s="180" t="str">
        <f>Segments!AI47</f>
        <v/>
      </c>
      <c r="S23" s="202" t="str">
        <f t="shared" ref="S23" si="19">IF(R23="","",IF(R23&lt;=$W$8,$V$8,IF(R23&lt;=$W$9,$V$9,IF(R23&lt;=$W$10,$V$10,IF(R23&lt;=$W$11,$V$11,IF(R23&lt;=$W$12,$V$12,$V$13))))))</f>
        <v/>
      </c>
      <c r="T23" s="196"/>
      <c r="U23" s="186"/>
      <c r="W23" s="186"/>
      <c r="X23" s="186"/>
    </row>
    <row r="24" spans="2:24" x14ac:dyDescent="0.25">
      <c r="B24" s="195"/>
      <c r="C24" s="109">
        <v>17</v>
      </c>
      <c r="D24" s="109"/>
      <c r="E24" s="179" t="str">
        <f>Links!AL91</f>
        <v/>
      </c>
      <c r="F24" s="180" t="str">
        <f t="shared" si="0"/>
        <v/>
      </c>
      <c r="G24" s="172" t="str">
        <f>Links!AL94</f>
        <v/>
      </c>
      <c r="H24" s="172" t="str">
        <f t="shared" si="1"/>
        <v/>
      </c>
      <c r="I24" s="180" t="str">
        <f>Links!AL97</f>
        <v/>
      </c>
      <c r="J24" s="202" t="str">
        <f t="shared" si="2"/>
        <v/>
      </c>
      <c r="K24" s="215" t="s">
        <v>469</v>
      </c>
      <c r="L24" s="172" t="str">
        <f>Intersections!BR114</f>
        <v/>
      </c>
      <c r="M24" s="172" t="str">
        <f t="shared" si="3"/>
        <v>F</v>
      </c>
      <c r="N24" s="180" t="str">
        <f>Intersections!BR117</f>
        <v/>
      </c>
      <c r="O24" s="202" t="str">
        <f t="shared" si="4"/>
        <v/>
      </c>
      <c r="P24" s="169" t="str">
        <f>Segments!AK42</f>
        <v/>
      </c>
      <c r="Q24" s="172" t="str">
        <f t="shared" si="5"/>
        <v/>
      </c>
      <c r="R24" s="180" t="str">
        <f>Segments!AK47</f>
        <v/>
      </c>
      <c r="S24" s="202" t="str">
        <f t="shared" ref="S24" si="20">IF(R24="","",IF(R24&lt;=$W$8,$V$8,IF(R24&lt;=$W$9,$V$9,IF(R24&lt;=$W$10,$V$10,IF(R24&lt;=$W$11,$V$11,IF(R24&lt;=$W$12,$V$12,$V$13))))))</f>
        <v/>
      </c>
      <c r="T24" s="196"/>
      <c r="U24" s="186"/>
      <c r="W24" s="186"/>
      <c r="X24" s="186"/>
    </row>
    <row r="25" spans="2:24" x14ac:dyDescent="0.25">
      <c r="B25" s="195"/>
      <c r="C25" s="109">
        <v>18</v>
      </c>
      <c r="D25" s="109"/>
      <c r="E25" s="179" t="str">
        <f>Links!AN91</f>
        <v/>
      </c>
      <c r="F25" s="180" t="str">
        <f t="shared" si="0"/>
        <v/>
      </c>
      <c r="G25" s="172" t="str">
        <f>Links!AN94</f>
        <v/>
      </c>
      <c r="H25" s="172" t="str">
        <f t="shared" si="1"/>
        <v/>
      </c>
      <c r="I25" s="180" t="str">
        <f>Links!AN97</f>
        <v/>
      </c>
      <c r="J25" s="202" t="str">
        <f t="shared" si="2"/>
        <v/>
      </c>
      <c r="K25" s="215" t="s">
        <v>470</v>
      </c>
      <c r="L25" s="172" t="str">
        <f>Intersections!BV114</f>
        <v/>
      </c>
      <c r="M25" s="172" t="str">
        <f t="shared" si="3"/>
        <v>F</v>
      </c>
      <c r="N25" s="180" t="str">
        <f>Intersections!BV117</f>
        <v/>
      </c>
      <c r="O25" s="202" t="str">
        <f t="shared" si="4"/>
        <v/>
      </c>
      <c r="P25" s="169" t="str">
        <f>Segments!AM42</f>
        <v/>
      </c>
      <c r="Q25" s="172" t="str">
        <f t="shared" si="5"/>
        <v/>
      </c>
      <c r="R25" s="180" t="str">
        <f>Segments!AM47</f>
        <v/>
      </c>
      <c r="S25" s="202" t="str">
        <f t="shared" ref="S25" si="21">IF(R25="","",IF(R25&lt;=$W$8,$V$8,IF(R25&lt;=$W$9,$V$9,IF(R25&lt;=$W$10,$V$10,IF(R25&lt;=$W$11,$V$11,IF(R25&lt;=$W$12,$V$12,$V$13))))))</f>
        <v/>
      </c>
      <c r="T25" s="196"/>
      <c r="U25" s="186"/>
      <c r="W25" s="186"/>
      <c r="X25" s="186"/>
    </row>
    <row r="26" spans="2:24" x14ac:dyDescent="0.25">
      <c r="B26" s="195"/>
      <c r="C26" s="109">
        <v>19</v>
      </c>
      <c r="D26" s="109"/>
      <c r="E26" s="179" t="str">
        <f>Links!AP91</f>
        <v/>
      </c>
      <c r="F26" s="180" t="str">
        <f t="shared" si="0"/>
        <v/>
      </c>
      <c r="G26" s="172" t="str">
        <f>Links!AP94</f>
        <v/>
      </c>
      <c r="H26" s="172" t="str">
        <f t="shared" si="1"/>
        <v/>
      </c>
      <c r="I26" s="180" t="str">
        <f>Links!AP97</f>
        <v/>
      </c>
      <c r="J26" s="202" t="str">
        <f t="shared" si="2"/>
        <v/>
      </c>
      <c r="K26" s="215" t="s">
        <v>471</v>
      </c>
      <c r="L26" s="172" t="str">
        <f>Intersections!BZ114</f>
        <v/>
      </c>
      <c r="M26" s="172" t="str">
        <f t="shared" si="3"/>
        <v>F</v>
      </c>
      <c r="N26" s="180" t="str">
        <f>Intersections!BZ117</f>
        <v/>
      </c>
      <c r="O26" s="202" t="str">
        <f t="shared" si="4"/>
        <v/>
      </c>
      <c r="P26" s="169" t="str">
        <f>Segments!AO42</f>
        <v/>
      </c>
      <c r="Q26" s="172" t="str">
        <f t="shared" si="5"/>
        <v/>
      </c>
      <c r="R26" s="180" t="str">
        <f>Segments!AO47</f>
        <v/>
      </c>
      <c r="S26" s="202" t="str">
        <f t="shared" ref="S26" si="22">IF(R26="","",IF(R26&lt;=$W$8,$V$8,IF(R26&lt;=$W$9,$V$9,IF(R26&lt;=$W$10,$V$10,IF(R26&lt;=$W$11,$V$11,IF(R26&lt;=$W$12,$V$12,$V$13))))))</f>
        <v/>
      </c>
      <c r="T26" s="196"/>
      <c r="U26" s="186"/>
      <c r="W26" s="186"/>
      <c r="X26" s="186"/>
    </row>
    <row r="27" spans="2:24" x14ac:dyDescent="0.25">
      <c r="B27" s="195"/>
      <c r="C27" s="109">
        <v>20</v>
      </c>
      <c r="D27" s="109"/>
      <c r="E27" s="179" t="str">
        <f>Links!AR91</f>
        <v/>
      </c>
      <c r="F27" s="180" t="str">
        <f t="shared" si="0"/>
        <v/>
      </c>
      <c r="G27" s="172" t="str">
        <f>Links!AR94</f>
        <v/>
      </c>
      <c r="H27" s="172" t="str">
        <f t="shared" si="1"/>
        <v/>
      </c>
      <c r="I27" s="180" t="str">
        <f>Links!AR97</f>
        <v/>
      </c>
      <c r="J27" s="202" t="str">
        <f t="shared" si="2"/>
        <v/>
      </c>
      <c r="K27" s="109"/>
      <c r="L27" s="172" t="str">
        <f>Intersections!CD114</f>
        <v/>
      </c>
      <c r="M27" s="172" t="str">
        <f t="shared" si="3"/>
        <v>F</v>
      </c>
      <c r="N27" s="180" t="str">
        <f>Intersections!CD117</f>
        <v/>
      </c>
      <c r="O27" s="202" t="str">
        <f t="shared" si="4"/>
        <v/>
      </c>
      <c r="P27" s="169" t="str">
        <f>Segments!AQ40</f>
        <v/>
      </c>
      <c r="Q27" s="172" t="str">
        <f t="shared" si="5"/>
        <v/>
      </c>
      <c r="R27" s="180" t="str">
        <f>Segments!AQ47</f>
        <v/>
      </c>
      <c r="S27" s="202" t="str">
        <f t="shared" ref="S27" si="23">IF(R27="","",IF(R27&lt;=$W$8,$V$8,IF(R27&lt;=$W$9,$V$9,IF(R27&lt;=$W$10,$V$10,IF(R27&lt;=$W$11,$V$11,IF(R27&lt;=$W$12,$V$12,$V$13))))))</f>
        <v/>
      </c>
      <c r="T27" s="196"/>
      <c r="U27" s="186"/>
      <c r="W27" s="186"/>
      <c r="X27" s="186"/>
    </row>
    <row r="28" spans="2:24" x14ac:dyDescent="0.25">
      <c r="B28" s="195"/>
      <c r="C28" s="109">
        <v>21</v>
      </c>
      <c r="D28" s="109"/>
      <c r="E28" s="179"/>
      <c r="F28" s="180" t="str">
        <f t="shared" si="0"/>
        <v/>
      </c>
      <c r="G28" s="172"/>
      <c r="H28" s="172" t="str">
        <f t="shared" si="1"/>
        <v/>
      </c>
      <c r="I28" s="180"/>
      <c r="J28" s="202" t="str">
        <f t="shared" si="2"/>
        <v/>
      </c>
      <c r="K28" s="109"/>
      <c r="L28" s="172" t="str">
        <f>Intersections!CH114</f>
        <v/>
      </c>
      <c r="M28" s="172" t="str">
        <f t="shared" si="3"/>
        <v>F</v>
      </c>
      <c r="N28" s="180" t="str">
        <f>Intersections!CH117</f>
        <v/>
      </c>
      <c r="O28" s="202" t="str">
        <f t="shared" si="4"/>
        <v/>
      </c>
      <c r="P28" s="169" t="s">
        <v>97</v>
      </c>
      <c r="Q28" s="172" t="s">
        <v>97</v>
      </c>
      <c r="R28" s="180" t="s">
        <v>97</v>
      </c>
      <c r="S28" s="202" t="s">
        <v>97</v>
      </c>
      <c r="T28" s="196"/>
      <c r="U28" s="186"/>
      <c r="W28" s="186"/>
      <c r="X28" s="186"/>
    </row>
    <row r="29" spans="2:24" x14ac:dyDescent="0.25">
      <c r="B29" s="195"/>
      <c r="C29" s="255" t="s">
        <v>191</v>
      </c>
      <c r="D29" s="255"/>
      <c r="E29" s="256">
        <f>Links!AT91</f>
        <v>1.7590082275291121</v>
      </c>
      <c r="F29" s="257" t="str">
        <f t="shared" si="0"/>
        <v>A</v>
      </c>
      <c r="G29" s="260">
        <f>Links!AT94</f>
        <v>4.1685202148654499</v>
      </c>
      <c r="H29" s="260" t="str">
        <f t="shared" si="1"/>
        <v>D</v>
      </c>
      <c r="I29" s="257">
        <f>Links!AT97</f>
        <v>1.819636725456377</v>
      </c>
      <c r="J29" s="258" t="str">
        <f t="shared" si="2"/>
        <v>A</v>
      </c>
      <c r="K29" s="255" t="s">
        <v>191</v>
      </c>
      <c r="L29" s="260" t="e">
        <f>Intersections!CL114</f>
        <v>#REF!</v>
      </c>
      <c r="M29" s="261" t="e">
        <f t="shared" si="3"/>
        <v>#REF!</v>
      </c>
      <c r="N29" s="257">
        <f>Intersections!CL117</f>
        <v>2.7501651338366502</v>
      </c>
      <c r="O29" s="259" t="str">
        <f t="shared" si="4"/>
        <v>C</v>
      </c>
      <c r="P29" s="262" t="e">
        <f>Segments!AS42</f>
        <v>#REF!</v>
      </c>
      <c r="Q29" s="263" t="e">
        <f>IF(P29="","",IF(P29&lt;=$W$8,$V$8,IF(P29&lt;=$W$9,$V$9,IF(P29&lt;=$W$10,$V$10,IF(P29&lt;=$W$11,$V$11,IF(P29&lt;=$W$12,$V$12,$V$13))))))</f>
        <v>#REF!</v>
      </c>
      <c r="R29" s="257">
        <f>Segments!AS47</f>
        <v>3.4254201477590804</v>
      </c>
      <c r="S29" s="259" t="str">
        <f>IF(R29="","",IF(R29&lt;=$W$8,$V$8,IF(R29&lt;=$W$9,$V$9,IF(R29&lt;=$W$10,$V$10,IF(R29&lt;=$W$11,$V$11,IF(R29&lt;=$W$12,$V$12,$V$13))))))</f>
        <v>C</v>
      </c>
      <c r="T29" s="196"/>
      <c r="U29" s="186"/>
      <c r="W29" s="186"/>
      <c r="X29" s="186"/>
    </row>
    <row r="30" spans="2:24" ht="16.5" thickBot="1" x14ac:dyDescent="0.3">
      <c r="B30" s="197"/>
      <c r="C30" s="198"/>
      <c r="D30" s="198"/>
      <c r="E30" s="199"/>
      <c r="F30" s="199"/>
      <c r="G30" s="199"/>
      <c r="H30" s="199"/>
      <c r="I30" s="199"/>
      <c r="J30" s="199"/>
      <c r="K30" s="199"/>
      <c r="L30" s="199"/>
      <c r="M30" s="199"/>
      <c r="N30" s="199"/>
      <c r="O30" s="199"/>
      <c r="P30" s="199"/>
      <c r="Q30" s="199"/>
      <c r="R30" s="199"/>
      <c r="S30" s="199"/>
      <c r="T30" s="200"/>
      <c r="U30" s="186"/>
      <c r="W30" s="186"/>
      <c r="X30" s="186"/>
    </row>
    <row r="31" spans="2:24" ht="16.5" thickBot="1" x14ac:dyDescent="0.3"/>
    <row r="32" spans="2:24" x14ac:dyDescent="0.25">
      <c r="F32" s="24"/>
      <c r="G32" s="25"/>
      <c r="H32" s="25"/>
      <c r="I32" s="25"/>
      <c r="J32" s="25"/>
      <c r="K32" s="25"/>
      <c r="L32" s="26"/>
    </row>
    <row r="33" spans="6:12" x14ac:dyDescent="0.25">
      <c r="F33" s="27"/>
      <c r="G33" s="278" t="s">
        <v>71</v>
      </c>
      <c r="H33" s="279"/>
      <c r="I33" s="278" t="s">
        <v>68</v>
      </c>
      <c r="J33" s="279"/>
      <c r="K33" s="282"/>
      <c r="L33" s="28"/>
    </row>
    <row r="34" spans="6:12" x14ac:dyDescent="0.25">
      <c r="F34" s="27"/>
      <c r="G34" s="280"/>
      <c r="H34" s="281"/>
      <c r="I34" s="32" t="s">
        <v>95</v>
      </c>
      <c r="J34" s="33" t="s">
        <v>96</v>
      </c>
      <c r="K34" s="34" t="s">
        <v>193</v>
      </c>
      <c r="L34" s="28"/>
    </row>
    <row r="35" spans="6:12" ht="17.25" customHeight="1" x14ac:dyDescent="0.25">
      <c r="F35" s="27"/>
      <c r="G35" s="283" t="s">
        <v>69</v>
      </c>
      <c r="H35" s="36" t="s">
        <v>72</v>
      </c>
      <c r="I35" s="169">
        <f>Links!AU119</f>
        <v>0</v>
      </c>
      <c r="J35" s="172">
        <f>Intersections!CM142</f>
        <v>0</v>
      </c>
      <c r="K35" s="66">
        <f>I35*I47+J35*J47</f>
        <v>0</v>
      </c>
      <c r="L35" s="28"/>
    </row>
    <row r="36" spans="6:12" x14ac:dyDescent="0.25">
      <c r="F36" s="27"/>
      <c r="G36" s="283"/>
      <c r="H36" s="36" t="s">
        <v>73</v>
      </c>
      <c r="I36" s="10" t="str">
        <f>IF(I35&lt;=2,"A",IF(I35&lt;=2.75,"B",IF(I35&lt;=3.5,"C",IF(I35&lt;=4.25,"D",IF(I35&lt;=5,"E","F")))))</f>
        <v>A</v>
      </c>
      <c r="J36" s="167" t="str">
        <f>IF(J35&lt;=2,"A",IF(J35&lt;=2.75,"B",IF(J35&lt;=3.5,"C",IF(J35&lt;=4.25,"D",IF(J35&lt;=5,"E","F")))))</f>
        <v>A</v>
      </c>
      <c r="K36" s="35" t="str">
        <f>IF(K35&lt;=2,"A",IF(K35&lt;=2.75,"B",IF(K35&lt;=3.5,"C",IF(K35&lt;=4.25,"D",IF(K35&lt;=5,"E","F")))))</f>
        <v>A</v>
      </c>
      <c r="L36" s="28"/>
    </row>
    <row r="37" spans="6:12" x14ac:dyDescent="0.25">
      <c r="F37" s="27"/>
      <c r="G37" s="283" t="s">
        <v>70</v>
      </c>
      <c r="H37" s="36" t="s">
        <v>72</v>
      </c>
      <c r="I37" s="169">
        <f>Links!AU122</f>
        <v>0</v>
      </c>
      <c r="J37" s="172">
        <f>Intersections!CM145</f>
        <v>0</v>
      </c>
      <c r="K37" s="66">
        <f>I37*I48+J37*J48</f>
        <v>0</v>
      </c>
      <c r="L37" s="28"/>
    </row>
    <row r="38" spans="6:12" x14ac:dyDescent="0.25">
      <c r="F38" s="27"/>
      <c r="G38" s="283"/>
      <c r="H38" s="36" t="s">
        <v>73</v>
      </c>
      <c r="I38" s="10" t="str">
        <f>IF(I37&lt;=2,"A",IF(I37&lt;=2.75,"B",IF(I37&lt;=3.5,"C",IF(I37&lt;=4.25,"D",IF(I37&lt;=5,"E","F")))))</f>
        <v>A</v>
      </c>
      <c r="J38" s="167" t="str">
        <f>IF(J37&lt;=2,"A",IF(J37&lt;=2.75,"B",IF(J37&lt;=3.5,"C",IF(J37&lt;=4.25,"D",IF(J37&lt;=5,"E","F")))))</f>
        <v>A</v>
      </c>
      <c r="K38" s="35" t="str">
        <f>IF(K37&lt;=2,"A",IF(K37&lt;=2.75,"B",IF(K37&lt;=3.5,"C",IF(K37&lt;=4.25,"D",IF(K37&lt;=5,"E","F")))))</f>
        <v>A</v>
      </c>
      <c r="L38" s="28"/>
    </row>
    <row r="39" spans="6:12" x14ac:dyDescent="0.25">
      <c r="F39" s="27"/>
      <c r="G39" s="283" t="s">
        <v>63</v>
      </c>
      <c r="H39" s="36" t="s">
        <v>72</v>
      </c>
      <c r="I39" s="169">
        <f>Links!AU125</f>
        <v>0</v>
      </c>
      <c r="J39" s="287" t="s">
        <v>97</v>
      </c>
      <c r="K39" s="66">
        <f>I39</f>
        <v>0</v>
      </c>
      <c r="L39" s="28"/>
    </row>
    <row r="40" spans="6:12" x14ac:dyDescent="0.25">
      <c r="F40" s="27"/>
      <c r="G40" s="285"/>
      <c r="H40" s="204" t="s">
        <v>73</v>
      </c>
      <c r="I40" s="205" t="str">
        <f>IF(I39&lt;=2,"A",IF(I39&lt;=2.75,"B",IF(I39&lt;=3.5,"C",IF(I39&lt;=4.25,"D",IF(I39&lt;=5,"E","F")))))</f>
        <v>A</v>
      </c>
      <c r="J40" s="288"/>
      <c r="K40" s="206"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278" t="s">
        <v>71</v>
      </c>
      <c r="H45" s="279"/>
      <c r="I45" s="278" t="s">
        <v>194</v>
      </c>
      <c r="J45" s="279"/>
      <c r="K45" s="282"/>
      <c r="L45" s="28"/>
    </row>
    <row r="46" spans="6:12" x14ac:dyDescent="0.25">
      <c r="F46" s="27"/>
      <c r="G46" s="280"/>
      <c r="H46" s="281"/>
      <c r="I46" s="32" t="s">
        <v>95</v>
      </c>
      <c r="J46" s="33" t="s">
        <v>96</v>
      </c>
      <c r="K46" s="2" t="s">
        <v>191</v>
      </c>
      <c r="L46" s="28"/>
    </row>
    <row r="47" spans="6:12" x14ac:dyDescent="0.25">
      <c r="F47" s="27"/>
      <c r="G47" s="283" t="s">
        <v>69</v>
      </c>
      <c r="H47" s="284"/>
      <c r="I47" s="103">
        <v>0.7</v>
      </c>
      <c r="J47" s="104">
        <v>0.3</v>
      </c>
      <c r="K47" s="207">
        <f>I47+J47</f>
        <v>1</v>
      </c>
      <c r="L47" s="28"/>
    </row>
    <row r="48" spans="6:12" x14ac:dyDescent="0.25">
      <c r="F48" s="27"/>
      <c r="G48" s="285" t="s">
        <v>70</v>
      </c>
      <c r="H48" s="286"/>
      <c r="I48" s="208">
        <v>0.8</v>
      </c>
      <c r="J48" s="209">
        <v>0.2</v>
      </c>
      <c r="K48" s="210">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90" t="s">
        <v>431</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87"/>
      <c r="O55" s="187"/>
    </row>
  </sheetData>
  <mergeCells count="21">
    <mergeCell ref="G3:L3"/>
    <mergeCell ref="E5:J5"/>
    <mergeCell ref="L6:M6"/>
    <mergeCell ref="G6:H6"/>
    <mergeCell ref="K5:O5"/>
    <mergeCell ref="E6:F6"/>
    <mergeCell ref="N6:O6"/>
    <mergeCell ref="I6:J6"/>
    <mergeCell ref="P5:S5"/>
    <mergeCell ref="G45:H46"/>
    <mergeCell ref="I45:K45"/>
    <mergeCell ref="G47:H47"/>
    <mergeCell ref="G48:H48"/>
    <mergeCell ref="G33:H34"/>
    <mergeCell ref="I33:K33"/>
    <mergeCell ref="G35:G36"/>
    <mergeCell ref="G37:G38"/>
    <mergeCell ref="G39:G40"/>
    <mergeCell ref="J39:J40"/>
    <mergeCell ref="P6:Q6"/>
    <mergeCell ref="R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30" sqref="E30"/>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280" t="s">
        <v>68</v>
      </c>
      <c r="D3" s="301"/>
      <c r="E3" s="280" t="s">
        <v>532</v>
      </c>
      <c r="F3" s="301"/>
      <c r="G3" s="280" t="s">
        <v>123</v>
      </c>
      <c r="H3" s="301"/>
      <c r="I3" s="280" t="s">
        <v>124</v>
      </c>
      <c r="J3" s="301"/>
      <c r="K3" s="280" t="s">
        <v>125</v>
      </c>
      <c r="L3" s="301"/>
      <c r="M3" s="280" t="s">
        <v>126</v>
      </c>
      <c r="N3" s="301"/>
      <c r="O3" s="280" t="s">
        <v>127</v>
      </c>
      <c r="P3" s="301"/>
      <c r="Q3" s="280" t="s">
        <v>128</v>
      </c>
      <c r="R3" s="301"/>
      <c r="S3" s="280" t="s">
        <v>129</v>
      </c>
      <c r="T3" s="301"/>
      <c r="U3" s="280" t="s">
        <v>130</v>
      </c>
      <c r="V3" s="301"/>
      <c r="W3" s="280" t="s">
        <v>131</v>
      </c>
      <c r="X3" s="301"/>
      <c r="Y3" s="280" t="s">
        <v>132</v>
      </c>
      <c r="Z3" s="301"/>
      <c r="AA3" s="280" t="s">
        <v>133</v>
      </c>
      <c r="AB3" s="301"/>
      <c r="AC3" s="280" t="s">
        <v>134</v>
      </c>
      <c r="AD3" s="301"/>
      <c r="AE3" s="280" t="s">
        <v>135</v>
      </c>
      <c r="AF3" s="301"/>
      <c r="AG3" s="280" t="s">
        <v>136</v>
      </c>
      <c r="AH3" s="301"/>
      <c r="AI3" s="280" t="s">
        <v>137</v>
      </c>
      <c r="AJ3" s="301"/>
      <c r="AK3" s="280" t="s">
        <v>138</v>
      </c>
      <c r="AL3" s="301"/>
      <c r="AM3" s="280" t="s">
        <v>139</v>
      </c>
      <c r="AN3" s="301"/>
      <c r="AO3" s="280" t="s">
        <v>140</v>
      </c>
      <c r="AP3" s="301"/>
      <c r="AQ3" s="280" t="s">
        <v>141</v>
      </c>
      <c r="AR3" s="301"/>
      <c r="AS3" s="305" t="s">
        <v>191</v>
      </c>
      <c r="AT3" s="56"/>
    </row>
    <row r="4" spans="1:46" s="21" customFormat="1" ht="13.5" x14ac:dyDescent="0.25">
      <c r="B4" s="57"/>
      <c r="C4" s="280"/>
      <c r="D4" s="301"/>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05"/>
      <c r="AT4" s="58"/>
    </row>
    <row r="5" spans="1:46" s="21" customFormat="1" ht="15.75" customHeight="1" x14ac:dyDescent="0.25">
      <c r="B5" s="57"/>
      <c r="C5" s="276" t="s">
        <v>65</v>
      </c>
      <c r="D5" s="300"/>
      <c r="E5" s="203" t="str">
        <f>Links!F8</f>
        <v>EB</v>
      </c>
      <c r="F5" s="239" t="str">
        <f>Links!G8</f>
        <v>WB</v>
      </c>
      <c r="G5" s="203" t="str">
        <f>Links!H8</f>
        <v>EB</v>
      </c>
      <c r="H5" s="239" t="str">
        <f>Links!I8</f>
        <v>WB</v>
      </c>
      <c r="I5" s="203" t="str">
        <f>Links!J8</f>
        <v>EB</v>
      </c>
      <c r="J5" s="239" t="str">
        <f>Links!K8</f>
        <v>WB</v>
      </c>
      <c r="K5" s="203" t="str">
        <f>Links!L8</f>
        <v>EB</v>
      </c>
      <c r="L5" s="239" t="str">
        <f>Links!M8</f>
        <v>WB</v>
      </c>
      <c r="M5" s="203" t="str">
        <f>Links!N8</f>
        <v>EB</v>
      </c>
      <c r="N5" s="239" t="str">
        <f>Links!O8</f>
        <v>WB</v>
      </c>
      <c r="O5" s="203" t="str">
        <f>Links!P8</f>
        <v>EB</v>
      </c>
      <c r="P5" s="239" t="str">
        <f>Links!Q8</f>
        <v>WB</v>
      </c>
      <c r="Q5" s="203" t="str">
        <f>Links!R8</f>
        <v>EB</v>
      </c>
      <c r="R5" s="239" t="str">
        <f>Links!S8</f>
        <v>WB</v>
      </c>
      <c r="S5" s="203">
        <f>Links!T8</f>
        <v>0</v>
      </c>
      <c r="T5" s="239">
        <f>Links!U8</f>
        <v>0</v>
      </c>
      <c r="U5" s="203">
        <f>Links!V8</f>
        <v>0</v>
      </c>
      <c r="V5" s="239">
        <f>Links!W8</f>
        <v>0</v>
      </c>
      <c r="W5" s="203">
        <f>Links!X8</f>
        <v>0</v>
      </c>
      <c r="X5" s="239">
        <f>Links!Y8</f>
        <v>0</v>
      </c>
      <c r="Y5" s="203">
        <f>Links!Z8</f>
        <v>0</v>
      </c>
      <c r="Z5" s="239">
        <f>Links!AA8</f>
        <v>0</v>
      </c>
      <c r="AA5" s="203">
        <f>Links!AB8</f>
        <v>0</v>
      </c>
      <c r="AB5" s="239">
        <f>Links!AC8</f>
        <v>0</v>
      </c>
      <c r="AC5" s="203">
        <f>Links!AD8</f>
        <v>0</v>
      </c>
      <c r="AD5" s="239">
        <f>Links!AE8</f>
        <v>0</v>
      </c>
      <c r="AE5" s="203">
        <f>Links!AF8</f>
        <v>0</v>
      </c>
      <c r="AF5" s="239">
        <f>Links!AG8</f>
        <v>0</v>
      </c>
      <c r="AG5" s="203">
        <f>Links!AH8</f>
        <v>0</v>
      </c>
      <c r="AH5" s="239">
        <f>Links!AI8</f>
        <v>0</v>
      </c>
      <c r="AI5" s="203">
        <f>Links!AJ8</f>
        <v>0</v>
      </c>
      <c r="AJ5" s="239">
        <f>Links!AK8</f>
        <v>0</v>
      </c>
      <c r="AK5" s="203">
        <f>Links!AL8</f>
        <v>0</v>
      </c>
      <c r="AL5" s="239">
        <f>Links!AM8</f>
        <v>0</v>
      </c>
      <c r="AM5" s="203">
        <f>Links!AN8</f>
        <v>0</v>
      </c>
      <c r="AN5" s="239">
        <f>Links!AO8</f>
        <v>0</v>
      </c>
      <c r="AO5" s="203">
        <f>Links!AP8</f>
        <v>0</v>
      </c>
      <c r="AP5" s="239">
        <f>Links!AQ8</f>
        <v>0</v>
      </c>
      <c r="AQ5" s="203">
        <f>Links!AR8</f>
        <v>0</v>
      </c>
      <c r="AR5" s="239">
        <f>Links!AS8</f>
        <v>0</v>
      </c>
      <c r="AS5" s="50"/>
      <c r="AT5" s="58"/>
    </row>
    <row r="6" spans="1:46" s="22" customFormat="1" x14ac:dyDescent="0.25">
      <c r="B6" s="61"/>
      <c r="C6" s="280" t="s">
        <v>533</v>
      </c>
      <c r="D6" s="301"/>
      <c r="E6" s="176"/>
      <c r="F6" s="177"/>
      <c r="G6" s="280"/>
      <c r="H6" s="301"/>
      <c r="I6" s="280"/>
      <c r="J6" s="301"/>
      <c r="K6" s="280"/>
      <c r="L6" s="301"/>
      <c r="M6" s="280"/>
      <c r="N6" s="301"/>
      <c r="O6" s="280"/>
      <c r="P6" s="301"/>
      <c r="Q6" s="280"/>
      <c r="R6" s="301"/>
      <c r="S6" s="280"/>
      <c r="T6" s="301"/>
      <c r="U6" s="280"/>
      <c r="V6" s="301"/>
      <c r="W6" s="280"/>
      <c r="X6" s="301"/>
      <c r="Y6" s="280"/>
      <c r="Z6" s="301"/>
      <c r="AA6" s="280"/>
      <c r="AB6" s="301"/>
      <c r="AC6" s="280"/>
      <c r="AD6" s="301"/>
      <c r="AE6" s="280"/>
      <c r="AF6" s="301"/>
      <c r="AG6" s="280"/>
      <c r="AH6" s="301"/>
      <c r="AI6" s="280"/>
      <c r="AJ6" s="301"/>
      <c r="AK6" s="280"/>
      <c r="AL6" s="301"/>
      <c r="AM6" s="280"/>
      <c r="AN6" s="301"/>
      <c r="AO6" s="280"/>
      <c r="AP6" s="301"/>
      <c r="AQ6" s="280"/>
      <c r="AR6" s="301"/>
      <c r="AS6" s="50"/>
      <c r="AT6" s="62"/>
    </row>
    <row r="7" spans="1:46" x14ac:dyDescent="0.25">
      <c r="B7" s="55"/>
      <c r="C7" s="4"/>
      <c r="D7" s="8" t="s">
        <v>548</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5" customFormat="1" x14ac:dyDescent="0.25">
      <c r="B8" s="246"/>
      <c r="C8" s="241"/>
      <c r="D8" s="247" t="s">
        <v>88</v>
      </c>
      <c r="E8" s="302">
        <f>Links!F7</f>
        <v>240</v>
      </c>
      <c r="F8" s="294"/>
      <c r="G8" s="302">
        <v>240</v>
      </c>
      <c r="H8" s="294"/>
      <c r="I8" s="302">
        <f>Links!J7</f>
        <v>200</v>
      </c>
      <c r="J8" s="294"/>
      <c r="K8" s="302">
        <f>Links!L7</f>
        <v>400</v>
      </c>
      <c r="L8" s="294"/>
      <c r="M8" s="302">
        <f>Links!N7</f>
        <v>1000</v>
      </c>
      <c r="N8" s="294"/>
      <c r="O8" s="302">
        <f>Links!P7</f>
        <v>475</v>
      </c>
      <c r="P8" s="294"/>
      <c r="Q8" s="302">
        <f>Links!R7</f>
        <v>260</v>
      </c>
      <c r="R8" s="294"/>
      <c r="S8" s="302">
        <f>Links!T7</f>
        <v>0</v>
      </c>
      <c r="T8" s="294"/>
      <c r="U8" s="302">
        <f>Links!V7</f>
        <v>0</v>
      </c>
      <c r="V8" s="294"/>
      <c r="W8" s="302">
        <f>Links!X7</f>
        <v>0</v>
      </c>
      <c r="X8" s="294"/>
      <c r="Y8" s="302">
        <f>Links!Z7</f>
        <v>0</v>
      </c>
      <c r="Z8" s="294"/>
      <c r="AA8" s="302">
        <f>Links!AB7</f>
        <v>0</v>
      </c>
      <c r="AB8" s="294"/>
      <c r="AC8" s="302">
        <f>Links!AD7</f>
        <v>0</v>
      </c>
      <c r="AD8" s="294"/>
      <c r="AE8" s="302">
        <f>Links!AF7</f>
        <v>0</v>
      </c>
      <c r="AF8" s="294"/>
      <c r="AG8" s="302">
        <f>Links!AH7</f>
        <v>0</v>
      </c>
      <c r="AH8" s="294"/>
      <c r="AI8" s="302">
        <f>Links!AJ7</f>
        <v>0</v>
      </c>
      <c r="AJ8" s="294"/>
      <c r="AK8" s="302">
        <f>Links!AL7</f>
        <v>0</v>
      </c>
      <c r="AL8" s="294"/>
      <c r="AM8" s="302">
        <f>Links!AN7</f>
        <v>0</v>
      </c>
      <c r="AN8" s="294"/>
      <c r="AO8" s="302">
        <f>Links!AP7</f>
        <v>0</v>
      </c>
      <c r="AP8" s="294"/>
      <c r="AQ8" s="302">
        <f>Links!AR7</f>
        <v>0</v>
      </c>
      <c r="AR8" s="294"/>
      <c r="AS8" s="248"/>
      <c r="AT8" s="249"/>
    </row>
    <row r="9" spans="1:46" s="245" customFormat="1" x14ac:dyDescent="0.25">
      <c r="B9" s="246"/>
      <c r="C9" s="241"/>
      <c r="D9" s="93" t="s">
        <v>176</v>
      </c>
      <c r="E9" s="293">
        <f>Intersections!F68</f>
        <v>1048</v>
      </c>
      <c r="F9" s="294"/>
      <c r="G9" s="297">
        <f>Intersections!J68</f>
        <v>0</v>
      </c>
      <c r="H9" s="298"/>
      <c r="I9" s="293">
        <f>Intersections!N68</f>
        <v>0</v>
      </c>
      <c r="J9" s="294"/>
      <c r="K9" s="293">
        <f>Intersections!R68</f>
        <v>40</v>
      </c>
      <c r="L9" s="294"/>
      <c r="M9" s="293">
        <f>Intersections!V68</f>
        <v>40</v>
      </c>
      <c r="N9" s="294"/>
      <c r="O9" s="293">
        <f>Intersections!Z68</f>
        <v>40</v>
      </c>
      <c r="P9" s="294"/>
      <c r="Q9" s="293">
        <f>Intersections!AD68</f>
        <v>40</v>
      </c>
      <c r="R9" s="294"/>
      <c r="S9" s="293">
        <f>Intersections!AH68</f>
        <v>0</v>
      </c>
      <c r="T9" s="294"/>
      <c r="U9" s="293">
        <f>Intersections!AL68</f>
        <v>0</v>
      </c>
      <c r="V9" s="294"/>
      <c r="W9" s="293">
        <f>Intersections!AP68</f>
        <v>0</v>
      </c>
      <c r="X9" s="294"/>
      <c r="Y9" s="293">
        <f>Intersections!AT68</f>
        <v>0</v>
      </c>
      <c r="Z9" s="294"/>
      <c r="AA9" s="293">
        <f>Intersections!AX68</f>
        <v>0</v>
      </c>
      <c r="AB9" s="294"/>
      <c r="AC9" s="293">
        <f>Intersections!BB68</f>
        <v>0</v>
      </c>
      <c r="AD9" s="294"/>
      <c r="AE9" s="293">
        <f>Intersections!BF68</f>
        <v>0</v>
      </c>
      <c r="AF9" s="294"/>
      <c r="AG9" s="293">
        <f>Intersections!BJ68</f>
        <v>0</v>
      </c>
      <c r="AH9" s="294"/>
      <c r="AI9" s="293">
        <f>Intersections!BN68</f>
        <v>0</v>
      </c>
      <c r="AJ9" s="294"/>
      <c r="AK9" s="293">
        <f>Intersections!BR68</f>
        <v>0</v>
      </c>
      <c r="AL9" s="294"/>
      <c r="AM9" s="293">
        <f>Intersections!BV68</f>
        <v>0</v>
      </c>
      <c r="AN9" s="294"/>
      <c r="AO9" s="293">
        <f>Intersections!BZ68</f>
        <v>0</v>
      </c>
      <c r="AP9" s="294"/>
      <c r="AQ9" s="293">
        <f>Intersections!CD68</f>
        <v>0</v>
      </c>
      <c r="AR9" s="294"/>
      <c r="AS9" s="248"/>
      <c r="AT9" s="249"/>
    </row>
    <row r="10" spans="1:46" s="245" customFormat="1" x14ac:dyDescent="0.25">
      <c r="B10" s="246"/>
      <c r="C10" s="241"/>
      <c r="D10" s="247" t="s">
        <v>65</v>
      </c>
      <c r="E10" s="241" t="str">
        <f>Links!F8</f>
        <v>EB</v>
      </c>
      <c r="F10" s="242" t="str">
        <f>Links!G8</f>
        <v>WB</v>
      </c>
      <c r="G10" s="241" t="str">
        <f>Links!H8</f>
        <v>EB</v>
      </c>
      <c r="H10" s="242" t="str">
        <f>Links!I8</f>
        <v>WB</v>
      </c>
      <c r="I10" s="241" t="str">
        <f>Links!J8</f>
        <v>EB</v>
      </c>
      <c r="J10" s="242" t="str">
        <f>Links!K8</f>
        <v>WB</v>
      </c>
      <c r="K10" s="241" t="str">
        <f>Links!L8</f>
        <v>EB</v>
      </c>
      <c r="L10" s="242" t="str">
        <f>Links!M8</f>
        <v>WB</v>
      </c>
      <c r="M10" s="241" t="str">
        <f>Links!N8</f>
        <v>EB</v>
      </c>
      <c r="N10" s="242" t="str">
        <f>Links!O8</f>
        <v>WB</v>
      </c>
      <c r="O10" s="241" t="str">
        <f>Links!P8</f>
        <v>EB</v>
      </c>
      <c r="P10" s="242" t="str">
        <f>Links!Q8</f>
        <v>WB</v>
      </c>
      <c r="Q10" s="241" t="str">
        <f>Links!R8</f>
        <v>EB</v>
      </c>
      <c r="R10" s="242" t="str">
        <f>Links!S8</f>
        <v>WB</v>
      </c>
      <c r="S10" s="241">
        <f>Links!T8</f>
        <v>0</v>
      </c>
      <c r="T10" s="242">
        <f>Links!U8</f>
        <v>0</v>
      </c>
      <c r="U10" s="241">
        <f>Links!V8</f>
        <v>0</v>
      </c>
      <c r="V10" s="242">
        <f>Links!W8</f>
        <v>0</v>
      </c>
      <c r="W10" s="241">
        <f>Links!X8</f>
        <v>0</v>
      </c>
      <c r="X10" s="242">
        <f>Links!Y8</f>
        <v>0</v>
      </c>
      <c r="Y10" s="241">
        <f>Links!Z8</f>
        <v>0</v>
      </c>
      <c r="Z10" s="242">
        <f>Links!AA8</f>
        <v>0</v>
      </c>
      <c r="AA10" s="241">
        <f>Links!AB8</f>
        <v>0</v>
      </c>
      <c r="AB10" s="242">
        <f>Links!AC8</f>
        <v>0</v>
      </c>
      <c r="AC10" s="241">
        <f>Links!AD8</f>
        <v>0</v>
      </c>
      <c r="AD10" s="242">
        <f>Links!AE8</f>
        <v>0</v>
      </c>
      <c r="AE10" s="241">
        <f>Links!AF8</f>
        <v>0</v>
      </c>
      <c r="AF10" s="242">
        <f>Links!AG8</f>
        <v>0</v>
      </c>
      <c r="AG10" s="241">
        <f>Links!AH8</f>
        <v>0</v>
      </c>
      <c r="AH10" s="242">
        <f>Links!AI8</f>
        <v>0</v>
      </c>
      <c r="AI10" s="241">
        <f>Links!AJ8</f>
        <v>0</v>
      </c>
      <c r="AJ10" s="242">
        <f>Links!AK8</f>
        <v>0</v>
      </c>
      <c r="AK10" s="241">
        <f>Links!AL8</f>
        <v>0</v>
      </c>
      <c r="AL10" s="242">
        <f>Links!AM8</f>
        <v>0</v>
      </c>
      <c r="AM10" s="241">
        <f>Links!AN8</f>
        <v>0</v>
      </c>
      <c r="AN10" s="242">
        <f>Links!AO8</f>
        <v>0</v>
      </c>
      <c r="AO10" s="241">
        <f>Links!AP8</f>
        <v>0</v>
      </c>
      <c r="AP10" s="242">
        <f>Links!AQ8</f>
        <v>0</v>
      </c>
      <c r="AQ10" s="241">
        <f>Links!AR8</f>
        <v>0</v>
      </c>
      <c r="AR10" s="242">
        <f>Links!AS8</f>
        <v>0</v>
      </c>
      <c r="AS10" s="248"/>
      <c r="AT10" s="249"/>
    </row>
    <row r="11" spans="1:46" s="250" customFormat="1" ht="14.25" x14ac:dyDescent="0.25">
      <c r="B11" s="251"/>
      <c r="C11" s="252" t="s">
        <v>475</v>
      </c>
      <c r="D11" s="247" t="s">
        <v>476</v>
      </c>
      <c r="E11" s="241">
        <f>Links!F25</f>
        <v>0.35</v>
      </c>
      <c r="F11" s="242">
        <f>Links!G25</f>
        <v>0.35</v>
      </c>
      <c r="G11" s="169">
        <f>Links!H25</f>
        <v>0.35</v>
      </c>
      <c r="H11" s="242">
        <f>Links!I25</f>
        <v>0.35</v>
      </c>
      <c r="I11" s="241">
        <f>Links!J25</f>
        <v>0.35</v>
      </c>
      <c r="J11" s="242">
        <f>Links!K25</f>
        <v>0.35</v>
      </c>
      <c r="K11" s="241">
        <f>Links!L25</f>
        <v>0.35</v>
      </c>
      <c r="L11" s="242">
        <f>Links!M25</f>
        <v>0.35</v>
      </c>
      <c r="M11" s="241">
        <f>Links!N25</f>
        <v>0.35</v>
      </c>
      <c r="N11" s="242">
        <f>Links!O25</f>
        <v>0.35</v>
      </c>
      <c r="O11" s="241">
        <f>Links!P25</f>
        <v>0.35</v>
      </c>
      <c r="P11" s="242">
        <f>Links!Q25</f>
        <v>0.35</v>
      </c>
      <c r="Q11" s="241">
        <f>Links!R25</f>
        <v>0.35</v>
      </c>
      <c r="R11" s="242">
        <f>Links!S25</f>
        <v>0.35</v>
      </c>
      <c r="S11" s="241">
        <f>Links!T25</f>
        <v>0</v>
      </c>
      <c r="T11" s="242">
        <f>Links!U25</f>
        <v>0</v>
      </c>
      <c r="U11" s="241">
        <f>Links!V25</f>
        <v>0</v>
      </c>
      <c r="V11" s="242">
        <f>Links!W25</f>
        <v>0</v>
      </c>
      <c r="W11" s="241">
        <f>Links!X25</f>
        <v>0</v>
      </c>
      <c r="X11" s="242">
        <f>Links!Y25</f>
        <v>0</v>
      </c>
      <c r="Y11" s="241">
        <f>Links!Z25</f>
        <v>0</v>
      </c>
      <c r="Z11" s="242">
        <f>Links!AA25</f>
        <v>0</v>
      </c>
      <c r="AA11" s="241">
        <f>Links!AB25</f>
        <v>0</v>
      </c>
      <c r="AB11" s="242">
        <f>Links!AC25</f>
        <v>0</v>
      </c>
      <c r="AC11" s="241">
        <f>Links!AD25</f>
        <v>0</v>
      </c>
      <c r="AD11" s="242">
        <f>Links!AE25</f>
        <v>0</v>
      </c>
      <c r="AE11" s="241">
        <f>Links!AF25</f>
        <v>0</v>
      </c>
      <c r="AF11" s="242">
        <f>Links!AG25</f>
        <v>0</v>
      </c>
      <c r="AG11" s="241">
        <f>Links!AH25</f>
        <v>0</v>
      </c>
      <c r="AH11" s="242">
        <f>Links!AI25</f>
        <v>0</v>
      </c>
      <c r="AI11" s="241">
        <f>Links!AJ25</f>
        <v>0</v>
      </c>
      <c r="AJ11" s="242">
        <f>Links!AK25</f>
        <v>0</v>
      </c>
      <c r="AK11" s="241">
        <f>Links!AL25</f>
        <v>0</v>
      </c>
      <c r="AL11" s="242">
        <f>Links!AM25</f>
        <v>0</v>
      </c>
      <c r="AM11" s="241">
        <f>Links!AN25</f>
        <v>0</v>
      </c>
      <c r="AN11" s="242">
        <f>Links!AO25</f>
        <v>0</v>
      </c>
      <c r="AO11" s="241">
        <f>Links!AP25</f>
        <v>0</v>
      </c>
      <c r="AP11" s="242">
        <f>Links!AQ25</f>
        <v>0</v>
      </c>
      <c r="AQ11" s="241">
        <f>Links!AR25</f>
        <v>0</v>
      </c>
      <c r="AR11" s="242">
        <f>Links!AS25</f>
        <v>0</v>
      </c>
      <c r="AS11" s="253"/>
      <c r="AT11" s="254"/>
    </row>
    <row r="12" spans="1:46" s="250" customFormat="1" ht="14.25" x14ac:dyDescent="0.25">
      <c r="B12" s="251"/>
      <c r="C12" s="241" t="s">
        <v>316</v>
      </c>
      <c r="D12" s="247" t="s">
        <v>484</v>
      </c>
      <c r="E12" s="241">
        <f>Links!F14</f>
        <v>3.3</v>
      </c>
      <c r="F12" s="242">
        <f>Links!G14</f>
        <v>3.3</v>
      </c>
      <c r="G12" s="241">
        <f>Links!H14</f>
        <v>3.3</v>
      </c>
      <c r="H12" s="242">
        <f>Links!I14</f>
        <v>3.3</v>
      </c>
      <c r="I12" s="241">
        <f>Links!J14</f>
        <v>3.3</v>
      </c>
      <c r="J12" s="242">
        <f>Links!K14</f>
        <v>3.3</v>
      </c>
      <c r="K12" s="241">
        <f>Links!L14</f>
        <v>3.3</v>
      </c>
      <c r="L12" s="242">
        <f>Links!M14</f>
        <v>3.3</v>
      </c>
      <c r="M12" s="241">
        <f>Links!N14</f>
        <v>3.3</v>
      </c>
      <c r="N12" s="242">
        <f>Links!O14</f>
        <v>3.3</v>
      </c>
      <c r="O12" s="241">
        <f>Links!P14</f>
        <v>3.3</v>
      </c>
      <c r="P12" s="242">
        <f>Links!Q14</f>
        <v>3.3</v>
      </c>
      <c r="Q12" s="241">
        <f>Links!R14</f>
        <v>3.3</v>
      </c>
      <c r="R12" s="242">
        <f>Links!S14</f>
        <v>3.3</v>
      </c>
      <c r="S12" s="241">
        <f>Links!T14</f>
        <v>0</v>
      </c>
      <c r="T12" s="242">
        <f>Links!U14</f>
        <v>0</v>
      </c>
      <c r="U12" s="241">
        <f>Links!V14</f>
        <v>0</v>
      </c>
      <c r="V12" s="242">
        <f>Links!W14</f>
        <v>0</v>
      </c>
      <c r="W12" s="241">
        <f>Links!X14</f>
        <v>0</v>
      </c>
      <c r="X12" s="242">
        <f>Links!Y14</f>
        <v>0</v>
      </c>
      <c r="Y12" s="241">
        <f>Links!Z14</f>
        <v>0</v>
      </c>
      <c r="Z12" s="242">
        <f>Links!AA14</f>
        <v>0</v>
      </c>
      <c r="AA12" s="241">
        <f>Links!AB14</f>
        <v>0</v>
      </c>
      <c r="AB12" s="242">
        <f>Links!AC14</f>
        <v>0</v>
      </c>
      <c r="AC12" s="241">
        <f>Links!AD14</f>
        <v>0</v>
      </c>
      <c r="AD12" s="242">
        <f>Links!AE14</f>
        <v>0</v>
      </c>
      <c r="AE12" s="241">
        <f>Links!AF14</f>
        <v>0</v>
      </c>
      <c r="AF12" s="242">
        <f>Links!AG14</f>
        <v>0</v>
      </c>
      <c r="AG12" s="241">
        <f>Links!AH14</f>
        <v>0</v>
      </c>
      <c r="AH12" s="242">
        <f>Links!AI14</f>
        <v>0</v>
      </c>
      <c r="AI12" s="241">
        <f>Links!AJ14</f>
        <v>0</v>
      </c>
      <c r="AJ12" s="242">
        <f>Links!AK14</f>
        <v>0</v>
      </c>
      <c r="AK12" s="241">
        <f>Links!AL14</f>
        <v>0</v>
      </c>
      <c r="AL12" s="242">
        <f>Links!AM14</f>
        <v>0</v>
      </c>
      <c r="AM12" s="241">
        <f>Links!AN14</f>
        <v>0</v>
      </c>
      <c r="AN12" s="242">
        <f>Links!AO14</f>
        <v>0</v>
      </c>
      <c r="AO12" s="241">
        <f>Links!AP14</f>
        <v>0</v>
      </c>
      <c r="AP12" s="242">
        <f>Links!AQ14</f>
        <v>0</v>
      </c>
      <c r="AQ12" s="241">
        <f>Links!AR14</f>
        <v>0</v>
      </c>
      <c r="AR12" s="242">
        <f>Links!AS14</f>
        <v>0</v>
      </c>
      <c r="AS12" s="253"/>
      <c r="AT12" s="254"/>
    </row>
    <row r="13" spans="1:46" s="250" customFormat="1" ht="14.25" x14ac:dyDescent="0.25">
      <c r="B13" s="251"/>
      <c r="C13" s="241" t="s">
        <v>443</v>
      </c>
      <c r="D13" s="247" t="s">
        <v>474</v>
      </c>
      <c r="E13" s="241">
        <f>Links!F15</f>
        <v>10</v>
      </c>
      <c r="F13" s="242">
        <f>Links!G15</f>
        <v>10</v>
      </c>
      <c r="G13" s="241">
        <f>Links!H15</f>
        <v>10</v>
      </c>
      <c r="H13" s="242">
        <f>Links!I15</f>
        <v>10</v>
      </c>
      <c r="I13" s="241">
        <f>Links!J15</f>
        <v>10</v>
      </c>
      <c r="J13" s="242">
        <f>Links!K15</f>
        <v>10</v>
      </c>
      <c r="K13" s="241">
        <f>Links!L15</f>
        <v>10</v>
      </c>
      <c r="L13" s="242">
        <f>Links!M15</f>
        <v>10</v>
      </c>
      <c r="M13" s="241">
        <f>Links!N15</f>
        <v>10</v>
      </c>
      <c r="N13" s="242">
        <f>Links!O15</f>
        <v>10</v>
      </c>
      <c r="O13" s="241">
        <f>Links!P15</f>
        <v>10</v>
      </c>
      <c r="P13" s="242">
        <f>Links!Q15</f>
        <v>10</v>
      </c>
      <c r="Q13" s="241">
        <f>Links!R15</f>
        <v>10</v>
      </c>
      <c r="R13" s="242">
        <f>Links!S15</f>
        <v>10</v>
      </c>
      <c r="S13" s="241">
        <f>Links!T15</f>
        <v>0</v>
      </c>
      <c r="T13" s="242">
        <f>Links!U15</f>
        <v>0</v>
      </c>
      <c r="U13" s="241">
        <f>Links!V15</f>
        <v>0</v>
      </c>
      <c r="V13" s="242">
        <f>Links!W15</f>
        <v>0</v>
      </c>
      <c r="W13" s="241">
        <f>Links!X15</f>
        <v>0</v>
      </c>
      <c r="X13" s="242">
        <f>Links!Y15</f>
        <v>0</v>
      </c>
      <c r="Y13" s="241">
        <f>Links!Z15</f>
        <v>0</v>
      </c>
      <c r="Z13" s="242">
        <f>Links!AA15</f>
        <v>0</v>
      </c>
      <c r="AA13" s="241">
        <f>Links!AB15</f>
        <v>0</v>
      </c>
      <c r="AB13" s="242">
        <f>Links!AC15</f>
        <v>0</v>
      </c>
      <c r="AC13" s="241">
        <f>Links!AD15</f>
        <v>0</v>
      </c>
      <c r="AD13" s="242">
        <f>Links!AE15</f>
        <v>0</v>
      </c>
      <c r="AE13" s="241">
        <f>Links!AF15</f>
        <v>0</v>
      </c>
      <c r="AF13" s="242">
        <f>Links!AG15</f>
        <v>0</v>
      </c>
      <c r="AG13" s="241">
        <f>Links!AH15</f>
        <v>0</v>
      </c>
      <c r="AH13" s="242">
        <f>Links!AI15</f>
        <v>0</v>
      </c>
      <c r="AI13" s="241">
        <f>Links!AJ15</f>
        <v>0</v>
      </c>
      <c r="AJ13" s="242">
        <f>Links!AK15</f>
        <v>0</v>
      </c>
      <c r="AK13" s="241">
        <f>Links!AL15</f>
        <v>0</v>
      </c>
      <c r="AL13" s="242">
        <f>Links!AM15</f>
        <v>0</v>
      </c>
      <c r="AM13" s="241">
        <f>Links!AN15</f>
        <v>0</v>
      </c>
      <c r="AN13" s="242">
        <f>Links!AO15</f>
        <v>0</v>
      </c>
      <c r="AO13" s="241">
        <f>Links!AP15</f>
        <v>0</v>
      </c>
      <c r="AP13" s="242">
        <f>Links!AQ15</f>
        <v>0</v>
      </c>
      <c r="AQ13" s="241">
        <f>Links!AR15</f>
        <v>0</v>
      </c>
      <c r="AR13" s="242">
        <f>Links!AS15</f>
        <v>0</v>
      </c>
      <c r="AS13" s="253"/>
      <c r="AT13" s="254"/>
    </row>
    <row r="14" spans="1:46" ht="15.75" x14ac:dyDescent="0.25">
      <c r="B14" s="55"/>
      <c r="C14" s="4"/>
      <c r="D14" s="8" t="s">
        <v>196</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534</v>
      </c>
      <c r="D15" s="11" t="s">
        <v>535</v>
      </c>
      <c r="E15" s="169">
        <f>Links!F56</f>
        <v>28.962681818181821</v>
      </c>
      <c r="F15" s="170">
        <f>Links!G56</f>
        <v>28.962681818181821</v>
      </c>
      <c r="G15" s="169">
        <f>Links!H56</f>
        <v>0</v>
      </c>
      <c r="H15" s="170">
        <f>Links!I56</f>
        <v>0</v>
      </c>
      <c r="I15" s="169">
        <f>Links!J56</f>
        <v>0</v>
      </c>
      <c r="J15" s="170">
        <f>Links!K56</f>
        <v>0</v>
      </c>
      <c r="K15" s="169">
        <f>Links!L56</f>
        <v>0</v>
      </c>
      <c r="L15" s="170">
        <f>Links!M56</f>
        <v>0</v>
      </c>
      <c r="M15" s="169">
        <f>Links!N56</f>
        <v>0</v>
      </c>
      <c r="N15" s="170">
        <f>Links!O56</f>
        <v>0</v>
      </c>
      <c r="O15" s="169">
        <f>Links!P56</f>
        <v>0</v>
      </c>
      <c r="P15" s="170">
        <f>Links!Q56</f>
        <v>0</v>
      </c>
      <c r="Q15" s="169">
        <f>Links!R56</f>
        <v>0</v>
      </c>
      <c r="R15" s="170">
        <f>Links!S56</f>
        <v>0</v>
      </c>
      <c r="S15" s="169">
        <f>Links!T56</f>
        <v>0</v>
      </c>
      <c r="T15" s="170">
        <f>Links!U56</f>
        <v>0</v>
      </c>
      <c r="U15" s="169">
        <f>Links!V56</f>
        <v>0</v>
      </c>
      <c r="V15" s="170">
        <f>Links!W56</f>
        <v>0</v>
      </c>
      <c r="W15" s="169">
        <f>Links!X56</f>
        <v>0</v>
      </c>
      <c r="X15" s="170">
        <f>Links!Y56</f>
        <v>0</v>
      </c>
      <c r="Y15" s="169">
        <f>Links!Z56</f>
        <v>0</v>
      </c>
      <c r="Z15" s="170">
        <f>Links!AA56</f>
        <v>0</v>
      </c>
      <c r="AA15" s="169">
        <f>Links!AB56</f>
        <v>0</v>
      </c>
      <c r="AB15" s="170">
        <f>Links!AC56</f>
        <v>0</v>
      </c>
      <c r="AC15" s="169">
        <f>Links!AD56</f>
        <v>0</v>
      </c>
      <c r="AD15" s="170">
        <f>Links!AE56</f>
        <v>0</v>
      </c>
      <c r="AE15" s="169">
        <f>Links!AF56</f>
        <v>0</v>
      </c>
      <c r="AF15" s="170">
        <f>Links!AG56</f>
        <v>0</v>
      </c>
      <c r="AG15" s="169">
        <f>Links!AH56</f>
        <v>0</v>
      </c>
      <c r="AH15" s="170">
        <f>Links!AI56</f>
        <v>0</v>
      </c>
      <c r="AI15" s="169">
        <f>Links!AJ56</f>
        <v>0</v>
      </c>
      <c r="AJ15" s="170">
        <f>Links!AK56</f>
        <v>0</v>
      </c>
      <c r="AK15" s="169">
        <f>Links!AL56</f>
        <v>0</v>
      </c>
      <c r="AL15" s="170">
        <f>Links!AM56</f>
        <v>0</v>
      </c>
      <c r="AM15" s="169">
        <f>Links!AN56</f>
        <v>0</v>
      </c>
      <c r="AN15" s="170">
        <f>Links!AO56</f>
        <v>0</v>
      </c>
      <c r="AO15" s="169">
        <f>Links!AP56</f>
        <v>0</v>
      </c>
      <c r="AP15" s="170">
        <f>Links!AQ56</f>
        <v>0</v>
      </c>
      <c r="AQ15" s="169">
        <f>Links!AR56</f>
        <v>0</v>
      </c>
      <c r="AR15" s="170">
        <f>Links!AS56</f>
        <v>0</v>
      </c>
      <c r="AS15" s="51"/>
      <c r="AT15" s="56"/>
    </row>
    <row r="16" spans="1:46" x14ac:dyDescent="0.25">
      <c r="B16" s="55"/>
      <c r="C16" s="10" t="s">
        <v>97</v>
      </c>
      <c r="D16" s="11" t="s">
        <v>549</v>
      </c>
      <c r="E16" s="169" t="str">
        <f t="shared" ref="E16:AR16" si="0">IF(E10="EB","S",IF(E10="WB","N",IF(E10="NB","E",IF(E10="SB","W","-"))))</f>
        <v>S</v>
      </c>
      <c r="F16" s="170" t="str">
        <f t="shared" si="0"/>
        <v>N</v>
      </c>
      <c r="G16" s="169" t="str">
        <f t="shared" si="0"/>
        <v>S</v>
      </c>
      <c r="H16" s="170" t="str">
        <f t="shared" si="0"/>
        <v>N</v>
      </c>
      <c r="I16" s="169" t="str">
        <f t="shared" si="0"/>
        <v>S</v>
      </c>
      <c r="J16" s="170" t="str">
        <f t="shared" si="0"/>
        <v>N</v>
      </c>
      <c r="K16" s="169" t="str">
        <f t="shared" si="0"/>
        <v>S</v>
      </c>
      <c r="L16" s="170" t="str">
        <f t="shared" si="0"/>
        <v>N</v>
      </c>
      <c r="M16" s="169" t="str">
        <f t="shared" si="0"/>
        <v>S</v>
      </c>
      <c r="N16" s="170" t="str">
        <f t="shared" si="0"/>
        <v>N</v>
      </c>
      <c r="O16" s="169" t="str">
        <f t="shared" si="0"/>
        <v>S</v>
      </c>
      <c r="P16" s="170" t="str">
        <f t="shared" si="0"/>
        <v>N</v>
      </c>
      <c r="Q16" s="169" t="str">
        <f t="shared" si="0"/>
        <v>S</v>
      </c>
      <c r="R16" s="170" t="str">
        <f t="shared" si="0"/>
        <v>N</v>
      </c>
      <c r="S16" s="169" t="str">
        <f t="shared" si="0"/>
        <v>-</v>
      </c>
      <c r="T16" s="170" t="str">
        <f t="shared" si="0"/>
        <v>-</v>
      </c>
      <c r="U16" s="169" t="str">
        <f t="shared" si="0"/>
        <v>-</v>
      </c>
      <c r="V16" s="170" t="str">
        <f t="shared" si="0"/>
        <v>-</v>
      </c>
      <c r="W16" s="169" t="str">
        <f t="shared" si="0"/>
        <v>-</v>
      </c>
      <c r="X16" s="170" t="str">
        <f t="shared" si="0"/>
        <v>-</v>
      </c>
      <c r="Y16" s="169" t="str">
        <f t="shared" si="0"/>
        <v>-</v>
      </c>
      <c r="Z16" s="170" t="str">
        <f t="shared" si="0"/>
        <v>-</v>
      </c>
      <c r="AA16" s="169" t="str">
        <f t="shared" si="0"/>
        <v>-</v>
      </c>
      <c r="AB16" s="170" t="str">
        <f t="shared" si="0"/>
        <v>-</v>
      </c>
      <c r="AC16" s="169" t="str">
        <f t="shared" si="0"/>
        <v>-</v>
      </c>
      <c r="AD16" s="170" t="str">
        <f t="shared" si="0"/>
        <v>-</v>
      </c>
      <c r="AE16" s="169" t="str">
        <f t="shared" si="0"/>
        <v>-</v>
      </c>
      <c r="AF16" s="170" t="str">
        <f t="shared" si="0"/>
        <v>-</v>
      </c>
      <c r="AG16" s="169" t="str">
        <f t="shared" si="0"/>
        <v>-</v>
      </c>
      <c r="AH16" s="170" t="str">
        <f t="shared" si="0"/>
        <v>-</v>
      </c>
      <c r="AI16" s="169" t="str">
        <f t="shared" si="0"/>
        <v>-</v>
      </c>
      <c r="AJ16" s="170" t="str">
        <f t="shared" si="0"/>
        <v>-</v>
      </c>
      <c r="AK16" s="169" t="str">
        <f t="shared" si="0"/>
        <v>-</v>
      </c>
      <c r="AL16" s="170" t="str">
        <f t="shared" si="0"/>
        <v>-</v>
      </c>
      <c r="AM16" s="169" t="str">
        <f t="shared" si="0"/>
        <v>-</v>
      </c>
      <c r="AN16" s="170" t="str">
        <f t="shared" si="0"/>
        <v>-</v>
      </c>
      <c r="AO16" s="169" t="str">
        <f t="shared" si="0"/>
        <v>-</v>
      </c>
      <c r="AP16" s="170" t="str">
        <f t="shared" si="0"/>
        <v>-</v>
      </c>
      <c r="AQ16" s="169" t="str">
        <f t="shared" si="0"/>
        <v>-</v>
      </c>
      <c r="AR16" s="170" t="str">
        <f t="shared" si="0"/>
        <v>-</v>
      </c>
      <c r="AS16" s="51"/>
      <c r="AT16" s="56"/>
    </row>
    <row r="17" spans="2:46" ht="14.25" x14ac:dyDescent="0.25">
      <c r="B17" s="55"/>
      <c r="C17" s="10" t="s">
        <v>538</v>
      </c>
      <c r="D17" s="11" t="s">
        <v>539</v>
      </c>
      <c r="E17" s="169">
        <f>INDEX(Intersections!F64:I64,1,MATCH(E16,Intersections!F5:I5,0))</f>
        <v>16.380499999999998</v>
      </c>
      <c r="F17" s="170">
        <f>INDEX(Intersections!F64:I64,1,MATCH(F16,Intersections!F5:I5,0))</f>
        <v>16.380499999999998</v>
      </c>
      <c r="G17" s="169">
        <f>INDEX(Intersections!J64:M64,1,MATCH(G16,Intersections!J5:M5,0))</f>
        <v>1</v>
      </c>
      <c r="H17" s="170" t="str">
        <f>INDEX(Intersections!J64:M64,1,MATCH(H16,Intersections!J5:M5,0))</f>
        <v>Control N/A!</v>
      </c>
      <c r="I17" s="169">
        <f>INDEX(Intersections!N64:Q64,1,MATCH(I16,Intersections!N5:Q5,0))</f>
        <v>21.355555555555554</v>
      </c>
      <c r="J17" s="170">
        <f>INDEX(Intersections!N64:Q64,1,MATCH(J16,Intersections!N5:Q5,0))</f>
        <v>21.355555555555554</v>
      </c>
      <c r="K17" s="169">
        <f>INDEX(Intersections!R64:U64,1,MATCH(K16,Intersections!R5:U5,0))</f>
        <v>1</v>
      </c>
      <c r="L17" s="170" t="str">
        <f>INDEX(Intersections!R64:U64,1,MATCH(L16,Intersections!R5:U5,0))</f>
        <v>Control N/A!</v>
      </c>
      <c r="M17" s="169">
        <f>INDEX(Intersections!V64:Y64,1,MATCH(M16,Intersections!V5:Y5,0))</f>
        <v>25.224637681159422</v>
      </c>
      <c r="N17" s="170" t="str">
        <f>INDEX(Intersections!V64:Y64,1,MATCH(N16,Intersections!V5:Y5,0))</f>
        <v>Control N/A!</v>
      </c>
      <c r="O17" s="169">
        <f>INDEX(Intersections!Z64:AC64,1,MATCH(O16,Intersections!Z5:AC5,0))</f>
        <v>11.76</v>
      </c>
      <c r="P17" s="170" t="str">
        <f>INDEX(Intersections!Z64:AC64,1,MATCH(P16,Intersections!Z5:AC5,0))</f>
        <v>Control N/A!</v>
      </c>
      <c r="Q17" s="169">
        <f>INDEX(Intersections!AD64:AG64,1,MATCH(Q16,Intersections!AD5:AG5,0))</f>
        <v>25.137931034482758</v>
      </c>
      <c r="R17" s="170" t="str">
        <f>INDEX(Intersections!AD64:AG64,1,MATCH(R16,Intersections!AD5:AG5,0))</f>
        <v>Control N/A!</v>
      </c>
      <c r="S17" s="169" t="e">
        <f>INDEX(Intersections!AH64:AK64,1,MATCH(S16,Intersections!AH5:AK5,0))</f>
        <v>#N/A</v>
      </c>
      <c r="T17" s="170" t="e">
        <f>INDEX(Intersections!AH64:AK64,1,MATCH(T16,Intersections!AH5:AK5,0))</f>
        <v>#N/A</v>
      </c>
      <c r="U17" s="169" t="e">
        <f>INDEX(Intersections!AL64:AO64,1,MATCH(U16,Intersections!AL5:AO5,0))</f>
        <v>#N/A</v>
      </c>
      <c r="V17" s="170" t="e">
        <f>INDEX(Intersections!AL64:AO64,1,MATCH(V16,Intersections!AL5:AO5,0))</f>
        <v>#N/A</v>
      </c>
      <c r="W17" s="169" t="e">
        <f>INDEX(Intersections!AP64:AS64,1,MATCH(W16,Intersections!AP5:AS5,0))</f>
        <v>#N/A</v>
      </c>
      <c r="X17" s="170" t="e">
        <f>INDEX(Intersections!AP64:AS64,1,MATCH(X16,Intersections!AP5:AS5,0))</f>
        <v>#N/A</v>
      </c>
      <c r="Y17" s="169" t="e">
        <f>INDEX(Intersections!AT64:AW64,1,MATCH(Y16,Intersections!AT5:AW5,0))</f>
        <v>#N/A</v>
      </c>
      <c r="Z17" s="170" t="e">
        <f>INDEX(Intersections!AT64:AW64,1,MATCH(Z16,Intersections!AT5:AW5,0))</f>
        <v>#N/A</v>
      </c>
      <c r="AA17" s="169" t="e">
        <f>INDEX(Intersections!AX64:BA64,1,MATCH(AA16,Intersections!AX5:BA5,0))</f>
        <v>#N/A</v>
      </c>
      <c r="AB17" s="170" t="e">
        <f>INDEX(Intersections!AX64:BA64,1,MATCH(AB16,Intersections!AX5:BA5,0))</f>
        <v>#N/A</v>
      </c>
      <c r="AC17" s="169" t="e">
        <f>INDEX(Intersections!BB64:BE64,1,MATCH(AC16,Intersections!BB5:BE5,0))</f>
        <v>#N/A</v>
      </c>
      <c r="AD17" s="170" t="e">
        <f>INDEX(Intersections!BB64:BE64,1,MATCH(AD16,Intersections!BB5:BE5,0))</f>
        <v>#N/A</v>
      </c>
      <c r="AE17" s="169" t="e">
        <f>INDEX(Intersections!BF64:BI64,1,MATCH(AE16,Intersections!BF5:BI5,0))</f>
        <v>#N/A</v>
      </c>
      <c r="AF17" s="170" t="e">
        <f>INDEX(Intersections!BF64:BI64,1,MATCH(AF16,Intersections!BF5:BI5,0))</f>
        <v>#N/A</v>
      </c>
      <c r="AG17" s="169" t="e">
        <f>INDEX(Intersections!BJ64:BM64,1,MATCH(AG16,Intersections!BJ5:BM5,0))</f>
        <v>#N/A</v>
      </c>
      <c r="AH17" s="170" t="e">
        <f>INDEX(Intersections!BJ64:BM64,1,MATCH(AH16,Intersections!BJ5:BM5,0))</f>
        <v>#N/A</v>
      </c>
      <c r="AI17" s="169" t="e">
        <f>INDEX(Intersections!BN64:BQ64,1,MATCH(AI16,Intersections!BN5:BQ5,0))</f>
        <v>#N/A</v>
      </c>
      <c r="AJ17" s="170" t="e">
        <f>INDEX(Intersections!BN64:BQ64,1,MATCH(AJ16,Intersections!BN5:BQ5,0))</f>
        <v>#N/A</v>
      </c>
      <c r="AK17" s="169" t="e">
        <f>INDEX(Intersections!BR64:BU64,1,MATCH(AK16,Intersections!BR5:BU5,0))</f>
        <v>#N/A</v>
      </c>
      <c r="AL17" s="170" t="e">
        <f>INDEX(Intersections!BR64:BU64,1,MATCH(AL16,Intersections!BR5:BU5,0))</f>
        <v>#N/A</v>
      </c>
      <c r="AM17" s="169" t="e">
        <f>INDEX(Intersections!BV64:BY64,1,MATCH(AM16,Intersections!BV5:BY5,0))</f>
        <v>#N/A</v>
      </c>
      <c r="AN17" s="170" t="e">
        <f>INDEX(Intersections!BV64:BY64,1,MATCH(AN16,Intersections!BV5:BY5,0))</f>
        <v>#N/A</v>
      </c>
      <c r="AO17" s="169" t="e">
        <f>INDEX(Intersections!BZ64:CC64,1,MATCH(AO16,Intersections!BZ5:CC5,0))</f>
        <v>#N/A</v>
      </c>
      <c r="AP17" s="170" t="e">
        <f>INDEX(Intersections!BZ64:CC64,1,MATCH(AP16,Intersections!BZ5:CC5,0))</f>
        <v>#N/A</v>
      </c>
      <c r="AQ17" s="169" t="e">
        <f>INDEX(Intersections!CD64:CG64,1,MATCH(AQ16,Intersections!CD5:CG5,0))</f>
        <v>#N/A</v>
      </c>
      <c r="AR17" s="170" t="e">
        <f>INDEX(Intersections!CD64:CG64,1,MATCH(AR16,Intersections!CD5:CG5,0))</f>
        <v>#N/A</v>
      </c>
      <c r="AS17" s="51"/>
      <c r="AT17" s="56"/>
    </row>
    <row r="18" spans="2:46" ht="14.25" x14ac:dyDescent="0.25">
      <c r="B18" s="55"/>
      <c r="C18" s="10" t="s">
        <v>546</v>
      </c>
      <c r="D18" s="11" t="s">
        <v>547</v>
      </c>
      <c r="E18" s="169">
        <f>INDEX(Intersections!F64:I64,1,MATCH(LEFT(E10,1),Intersections!F5:I5,0))</f>
        <v>16.744499999999999</v>
      </c>
      <c r="F18" s="170">
        <f>INDEX(Intersections!F64:I64,1,MATCH(LEFT(F10,1),Intersections!F5:I5,0))</f>
        <v>16.744499999999999</v>
      </c>
      <c r="G18" s="169">
        <f>INDEX(Intersections!J64:M64,1,MATCH(LEFT(G10,1),Intersections!J5:M5,0))</f>
        <v>68.545461380368764</v>
      </c>
      <c r="H18" s="170">
        <f>INDEX(Intersections!J64:M64,1,MATCH(LEFT(H10,1),Intersections!J5:M5,0))</f>
        <v>68.545461380368764</v>
      </c>
      <c r="I18" s="169">
        <f>INDEX(Intersections!N64:Q64,1,MATCH(LEFT(I10,1),Intersections!N5:Q5,0))</f>
        <v>18.05</v>
      </c>
      <c r="J18" s="170">
        <f>INDEX(Intersections!N64:Q64,1,MATCH(LEFT(J10,1),Intersections!N5:Q5,0))</f>
        <v>5</v>
      </c>
      <c r="K18" s="169">
        <f>INDEX(Intersections!R64:U64,1,MATCH(LEFT(K10,1),Intersections!R5:U5,0))</f>
        <v>5.2833747265598143</v>
      </c>
      <c r="L18" s="170">
        <f>INDEX(Intersections!R64:U64,1,MATCH(LEFT(L10,1),Intersections!R5:U5,0))</f>
        <v>5.2406067857845127</v>
      </c>
      <c r="M18" s="241">
        <f>INDEX(Intersections!V64:Y64,1,MATCH(LEFT(M10,1),Intersections!V5:Y5,0))</f>
        <v>7.8913043478260869</v>
      </c>
      <c r="N18" s="242">
        <f>INDEX(Intersections!V64:Y64,1,MATCH(LEFT(N10,1),Intersections!V5:Y5,0))</f>
        <v>15.333333333333334</v>
      </c>
      <c r="O18" s="241">
        <f>INDEX(Intersections!Z64:AC64,1,MATCH(LEFT(O10,1),Intersections!Z5:AC5,0))</f>
        <v>10.666666666666666</v>
      </c>
      <c r="P18" s="242">
        <f>INDEX(Intersections!Z64:AC64,1,MATCH(LEFT(P10,1),Intersections!Z5:AC5,0))</f>
        <v>18.726666666666667</v>
      </c>
      <c r="Q18" s="169">
        <f>INDEX(Intersections!AD64:AG64,1,MATCH(LEFT(Q10,1),Intersections!AD5:AG5,0))</f>
        <v>25.137931034482758</v>
      </c>
      <c r="R18" s="170">
        <f>INDEX(Intersections!AD64:AG64,1,MATCH(LEFT(R10,1),Intersections!AD5:AG5,0))</f>
        <v>25.137931034482758</v>
      </c>
      <c r="S18" s="169" t="e">
        <f>INDEX(Intersections!AH64:AK64,1,MATCH(LEFT(S10,1),Intersections!AH5:AK5,0))</f>
        <v>#N/A</v>
      </c>
      <c r="T18" s="170" t="e">
        <f>INDEX(Intersections!AH64:AK64,1,MATCH(LEFT(T10,1),Intersections!AH5:AK5,0))</f>
        <v>#N/A</v>
      </c>
      <c r="U18" s="169" t="e">
        <f>INDEX(Intersections!AL64:AO64,1,MATCH(LEFT(U10,1),Intersections!AL5:AO5,0))</f>
        <v>#N/A</v>
      </c>
      <c r="V18" s="170" t="e">
        <f>INDEX(Intersections!AL64:AO64,1,MATCH(LEFT(V10,1),Intersections!AL5:AO5,0))</f>
        <v>#N/A</v>
      </c>
      <c r="W18" s="169" t="e">
        <f>INDEX(Intersections!AP64:AS64,1,MATCH(LEFT(W10,1),Intersections!AP5:AS5,0))</f>
        <v>#N/A</v>
      </c>
      <c r="X18" s="170" t="e">
        <f>INDEX(Intersections!AP64:AS64,1,MATCH(LEFT(X10,1),Intersections!AP5:AS5,0))</f>
        <v>#N/A</v>
      </c>
      <c r="Y18" s="169" t="e">
        <f>INDEX(Intersections!AT64:AW64,1,MATCH(LEFT(Y10,1),Intersections!AT5:AW5,0))</f>
        <v>#N/A</v>
      </c>
      <c r="Z18" s="170" t="e">
        <f>INDEX(Intersections!AT64:AW64,1,MATCH(LEFT(Z10,1),Intersections!AT5:AW5,0))</f>
        <v>#N/A</v>
      </c>
      <c r="AA18" s="169" t="e">
        <f>INDEX(Intersections!AX64:BA64,1,MATCH(LEFT(AA10,1),Intersections!AX5:BA5,0))</f>
        <v>#N/A</v>
      </c>
      <c r="AB18" s="170" t="e">
        <f>INDEX(Intersections!AX64:BA64,1,MATCH(LEFT(AB10,1),Intersections!AX5:BA5,0))</f>
        <v>#N/A</v>
      </c>
      <c r="AC18" s="169" t="e">
        <f>INDEX(Intersections!BB64:BE64,1,MATCH(LEFT(AC10,1),Intersections!BB5:BE5,0))</f>
        <v>#N/A</v>
      </c>
      <c r="AD18" s="170" t="e">
        <f>INDEX(Intersections!BB64:BE64,1,MATCH(LEFT(AD10,1),Intersections!BB5:BE5,0))</f>
        <v>#N/A</v>
      </c>
      <c r="AE18" s="169" t="e">
        <f>INDEX(Intersections!BF64:BI64,1,MATCH(LEFT(AE10,1),Intersections!BF5:BI5,0))</f>
        <v>#N/A</v>
      </c>
      <c r="AF18" s="170" t="e">
        <f>INDEX(Intersections!BF64:BI64,1,MATCH(LEFT(AF10,1),Intersections!BF5:BI5,0))</f>
        <v>#N/A</v>
      </c>
      <c r="AG18" s="169" t="e">
        <f>INDEX(Intersections!BJ64:BM64,1,MATCH(LEFT(AG10,1),Intersections!BJ5:BM5,0))</f>
        <v>#N/A</v>
      </c>
      <c r="AH18" s="170" t="e">
        <f>INDEX(Intersections!BJ64:BM64,1,MATCH(LEFT(AH10,1),Intersections!BJ5:BM5,0))</f>
        <v>#N/A</v>
      </c>
      <c r="AI18" s="169" t="e">
        <f>INDEX(Intersections!BN64:BQ64,1,MATCH(LEFT(AI10,1),Intersections!BN5:BQ5,0))</f>
        <v>#N/A</v>
      </c>
      <c r="AJ18" s="170" t="e">
        <f>INDEX(Intersections!BN64:BQ64,1,MATCH(LEFT(AJ10,1),Intersections!BN5:BQ5,0))</f>
        <v>#N/A</v>
      </c>
      <c r="AK18" s="169" t="e">
        <f>INDEX(Intersections!BR64:BU64,1,MATCH(LEFT(AK10,1),Intersections!BR5:BU5,0))</f>
        <v>#N/A</v>
      </c>
      <c r="AL18" s="170" t="e">
        <f>INDEX(Intersections!BR64:BU64,1,MATCH(LEFT(AL10,1),Intersections!BR5:BU5,0))</f>
        <v>#N/A</v>
      </c>
      <c r="AM18" s="169" t="e">
        <f>INDEX(Intersections!BV64:BY64,1,MATCH(LEFT(AM10,1),Intersections!BV5:BY5,0))</f>
        <v>#N/A</v>
      </c>
      <c r="AN18" s="170" t="e">
        <f>INDEX(Intersections!BV64:BY64,1,MATCH(LEFT(AN10,1),Intersections!BV5:BY5,0))</f>
        <v>#N/A</v>
      </c>
      <c r="AO18" s="169" t="e">
        <f>INDEX(Intersections!BZ64:CC64,1,MATCH(LEFT(AO10,1),Intersections!BZ5:CC5,0))</f>
        <v>#N/A</v>
      </c>
      <c r="AP18" s="170" t="e">
        <f>INDEX(Intersections!BZ64:CC64,1,MATCH(LEFT(AP10,1),Intersections!BZ5:CC5,0))</f>
        <v>#N/A</v>
      </c>
      <c r="AQ18" s="169" t="e">
        <f>INDEX(Intersections!CD64:CG64,1,MATCH(LEFT(AQ10,1),Intersections!CD5:CG5,0))</f>
        <v>#N/A</v>
      </c>
      <c r="AR18" s="170" t="e">
        <f>INDEX(Intersections!CD64:CG64,1,MATCH(LEFT(AR10,1),Intersections!CD5:CG5,0))</f>
        <v>#N/A</v>
      </c>
      <c r="AS18" s="51"/>
      <c r="AT18" s="56"/>
    </row>
    <row r="19" spans="2:46" ht="14.25" x14ac:dyDescent="0.25">
      <c r="B19" s="55"/>
      <c r="C19" s="10" t="s">
        <v>478</v>
      </c>
      <c r="D19" s="11" t="s">
        <v>481</v>
      </c>
      <c r="E19" s="169">
        <f t="shared" ref="E19:AR19" si="1">PEDDELAYLOS(E18)</f>
        <v>2.1744499999999998</v>
      </c>
      <c r="F19" s="170">
        <f t="shared" si="1"/>
        <v>2.1744499999999998</v>
      </c>
      <c r="G19" s="169">
        <f t="shared" si="1"/>
        <v>5.9272730690184385</v>
      </c>
      <c r="H19" s="170">
        <f t="shared" si="1"/>
        <v>5.9272730690184385</v>
      </c>
      <c r="I19" s="169">
        <f t="shared" si="1"/>
        <v>2.3050000000000002</v>
      </c>
      <c r="J19" s="170">
        <f t="shared" si="1"/>
        <v>1</v>
      </c>
      <c r="K19" s="169">
        <f t="shared" si="1"/>
        <v>1.0283374726559815</v>
      </c>
      <c r="L19" s="170">
        <f t="shared" si="1"/>
        <v>1.0240606785784516</v>
      </c>
      <c r="M19" s="169">
        <f t="shared" si="1"/>
        <v>1.2891304347826087</v>
      </c>
      <c r="N19" s="170">
        <f t="shared" si="1"/>
        <v>2.0333333333333332</v>
      </c>
      <c r="O19" s="169">
        <f t="shared" si="1"/>
        <v>1.5666666666666664</v>
      </c>
      <c r="P19" s="170">
        <f t="shared" si="1"/>
        <v>2.3726666666666665</v>
      </c>
      <c r="Q19" s="169">
        <f t="shared" si="1"/>
        <v>3.0137931034482759</v>
      </c>
      <c r="R19" s="170">
        <f t="shared" si="1"/>
        <v>3.0137931034482759</v>
      </c>
      <c r="S19" s="169" t="e">
        <f t="shared" si="1"/>
        <v>#VALUE!</v>
      </c>
      <c r="T19" s="170" t="e">
        <f t="shared" si="1"/>
        <v>#VALUE!</v>
      </c>
      <c r="U19" s="169" t="e">
        <f t="shared" si="1"/>
        <v>#VALUE!</v>
      </c>
      <c r="V19" s="170" t="e">
        <f t="shared" si="1"/>
        <v>#VALUE!</v>
      </c>
      <c r="W19" s="169" t="e">
        <f t="shared" si="1"/>
        <v>#VALUE!</v>
      </c>
      <c r="X19" s="170" t="e">
        <f t="shared" si="1"/>
        <v>#VALUE!</v>
      </c>
      <c r="Y19" s="169" t="e">
        <f t="shared" si="1"/>
        <v>#VALUE!</v>
      </c>
      <c r="Z19" s="170" t="e">
        <f t="shared" si="1"/>
        <v>#VALUE!</v>
      </c>
      <c r="AA19" s="169" t="e">
        <f t="shared" si="1"/>
        <v>#VALUE!</v>
      </c>
      <c r="AB19" s="170" t="e">
        <f t="shared" si="1"/>
        <v>#VALUE!</v>
      </c>
      <c r="AC19" s="169" t="e">
        <f t="shared" si="1"/>
        <v>#VALUE!</v>
      </c>
      <c r="AD19" s="170" t="e">
        <f t="shared" si="1"/>
        <v>#VALUE!</v>
      </c>
      <c r="AE19" s="169" t="e">
        <f t="shared" si="1"/>
        <v>#VALUE!</v>
      </c>
      <c r="AF19" s="170" t="e">
        <f t="shared" si="1"/>
        <v>#VALUE!</v>
      </c>
      <c r="AG19" s="169" t="e">
        <f t="shared" si="1"/>
        <v>#VALUE!</v>
      </c>
      <c r="AH19" s="170" t="e">
        <f t="shared" si="1"/>
        <v>#VALUE!</v>
      </c>
      <c r="AI19" s="169" t="e">
        <f t="shared" si="1"/>
        <v>#VALUE!</v>
      </c>
      <c r="AJ19" s="170" t="e">
        <f t="shared" si="1"/>
        <v>#VALUE!</v>
      </c>
      <c r="AK19" s="169" t="e">
        <f t="shared" si="1"/>
        <v>#VALUE!</v>
      </c>
      <c r="AL19" s="170" t="e">
        <f t="shared" si="1"/>
        <v>#VALUE!</v>
      </c>
      <c r="AM19" s="169" t="e">
        <f t="shared" si="1"/>
        <v>#VALUE!</v>
      </c>
      <c r="AN19" s="170" t="e">
        <f t="shared" si="1"/>
        <v>#VALUE!</v>
      </c>
      <c r="AO19" s="169" t="e">
        <f t="shared" si="1"/>
        <v>#VALUE!</v>
      </c>
      <c r="AP19" s="170" t="e">
        <f t="shared" si="1"/>
        <v>#VALUE!</v>
      </c>
      <c r="AQ19" s="169" t="e">
        <f t="shared" si="1"/>
        <v>#VALUE!</v>
      </c>
      <c r="AR19" s="170" t="e">
        <f t="shared" si="1"/>
        <v>#VALUE!</v>
      </c>
      <c r="AS19" s="51"/>
      <c r="AT19" s="56"/>
    </row>
    <row r="20" spans="2:46" ht="14.25" x14ac:dyDescent="0.25">
      <c r="B20" s="55"/>
      <c r="C20" s="10" t="s">
        <v>479</v>
      </c>
      <c r="D20" s="11" t="s">
        <v>480</v>
      </c>
      <c r="E20" s="169">
        <f t="shared" ref="E20:AR20" si="2">PEDDELAYLOS(E15)</f>
        <v>3.3962681818181819</v>
      </c>
      <c r="F20" s="170">
        <f t="shared" si="2"/>
        <v>3.3962681818181819</v>
      </c>
      <c r="G20" s="169">
        <f t="shared" si="2"/>
        <v>0.5</v>
      </c>
      <c r="H20" s="170">
        <f t="shared" si="2"/>
        <v>0.5</v>
      </c>
      <c r="I20" s="169">
        <f t="shared" si="2"/>
        <v>0.5</v>
      </c>
      <c r="J20" s="170">
        <f t="shared" si="2"/>
        <v>0.5</v>
      </c>
      <c r="K20" s="169">
        <f t="shared" si="2"/>
        <v>0.5</v>
      </c>
      <c r="L20" s="170">
        <f t="shared" si="2"/>
        <v>0.5</v>
      </c>
      <c r="M20" s="169">
        <f t="shared" si="2"/>
        <v>0.5</v>
      </c>
      <c r="N20" s="170">
        <f t="shared" si="2"/>
        <v>0.5</v>
      </c>
      <c r="O20" s="169">
        <f t="shared" si="2"/>
        <v>0.5</v>
      </c>
      <c r="P20" s="170">
        <f t="shared" si="2"/>
        <v>0.5</v>
      </c>
      <c r="Q20" s="169">
        <f t="shared" si="2"/>
        <v>0.5</v>
      </c>
      <c r="R20" s="170">
        <f t="shared" si="2"/>
        <v>0.5</v>
      </c>
      <c r="S20" s="169">
        <f t="shared" si="2"/>
        <v>0.5</v>
      </c>
      <c r="T20" s="170">
        <f t="shared" si="2"/>
        <v>0.5</v>
      </c>
      <c r="U20" s="169">
        <f t="shared" si="2"/>
        <v>0.5</v>
      </c>
      <c r="V20" s="170">
        <f t="shared" si="2"/>
        <v>0.5</v>
      </c>
      <c r="W20" s="169">
        <f t="shared" si="2"/>
        <v>0.5</v>
      </c>
      <c r="X20" s="170">
        <f t="shared" si="2"/>
        <v>0.5</v>
      </c>
      <c r="Y20" s="169">
        <f t="shared" si="2"/>
        <v>0.5</v>
      </c>
      <c r="Z20" s="170">
        <f t="shared" si="2"/>
        <v>0.5</v>
      </c>
      <c r="AA20" s="169">
        <f t="shared" si="2"/>
        <v>0.5</v>
      </c>
      <c r="AB20" s="170">
        <f t="shared" si="2"/>
        <v>0.5</v>
      </c>
      <c r="AC20" s="169">
        <f t="shared" si="2"/>
        <v>0.5</v>
      </c>
      <c r="AD20" s="170">
        <f t="shared" si="2"/>
        <v>0.5</v>
      </c>
      <c r="AE20" s="169">
        <f t="shared" si="2"/>
        <v>0.5</v>
      </c>
      <c r="AF20" s="170">
        <f t="shared" si="2"/>
        <v>0.5</v>
      </c>
      <c r="AG20" s="169">
        <f t="shared" si="2"/>
        <v>0.5</v>
      </c>
      <c r="AH20" s="170">
        <f t="shared" si="2"/>
        <v>0.5</v>
      </c>
      <c r="AI20" s="169">
        <f t="shared" si="2"/>
        <v>0.5</v>
      </c>
      <c r="AJ20" s="170">
        <f t="shared" si="2"/>
        <v>0.5</v>
      </c>
      <c r="AK20" s="169">
        <f t="shared" si="2"/>
        <v>0.5</v>
      </c>
      <c r="AL20" s="170">
        <f t="shared" si="2"/>
        <v>0.5</v>
      </c>
      <c r="AM20" s="169">
        <f t="shared" si="2"/>
        <v>0.5</v>
      </c>
      <c r="AN20" s="170">
        <f t="shared" si="2"/>
        <v>0.5</v>
      </c>
      <c r="AO20" s="169">
        <f t="shared" si="2"/>
        <v>0.5</v>
      </c>
      <c r="AP20" s="170">
        <f t="shared" si="2"/>
        <v>0.5</v>
      </c>
      <c r="AQ20" s="169">
        <f t="shared" si="2"/>
        <v>0.5</v>
      </c>
      <c r="AR20" s="170">
        <f t="shared" si="2"/>
        <v>0.5</v>
      </c>
      <c r="AS20" s="51"/>
      <c r="AT20" s="56"/>
    </row>
    <row r="21" spans="2:46" ht="14.25" x14ac:dyDescent="0.25">
      <c r="B21" s="55"/>
      <c r="C21" s="10" t="s">
        <v>477</v>
      </c>
      <c r="D21" s="11" t="s">
        <v>486</v>
      </c>
      <c r="E21" s="169">
        <f t="shared" ref="E21:AR21" si="3">MIN(E20,E19,6)</f>
        <v>2.1744499999999998</v>
      </c>
      <c r="F21" s="170">
        <f t="shared" si="3"/>
        <v>2.1744499999999998</v>
      </c>
      <c r="G21" s="169">
        <f t="shared" si="3"/>
        <v>0.5</v>
      </c>
      <c r="H21" s="170">
        <f t="shared" si="3"/>
        <v>0.5</v>
      </c>
      <c r="I21" s="169">
        <f t="shared" si="3"/>
        <v>0.5</v>
      </c>
      <c r="J21" s="170">
        <f t="shared" si="3"/>
        <v>0.5</v>
      </c>
      <c r="K21" s="169">
        <f t="shared" si="3"/>
        <v>0.5</v>
      </c>
      <c r="L21" s="170">
        <f t="shared" si="3"/>
        <v>0.5</v>
      </c>
      <c r="M21" s="169">
        <f t="shared" si="3"/>
        <v>0.5</v>
      </c>
      <c r="N21" s="170">
        <f t="shared" si="3"/>
        <v>0.5</v>
      </c>
      <c r="O21" s="169">
        <f t="shared" si="3"/>
        <v>0.5</v>
      </c>
      <c r="P21" s="170">
        <f t="shared" si="3"/>
        <v>0.5</v>
      </c>
      <c r="Q21" s="169">
        <f t="shared" si="3"/>
        <v>0.5</v>
      </c>
      <c r="R21" s="170">
        <f t="shared" si="3"/>
        <v>0.5</v>
      </c>
      <c r="S21" s="169" t="e">
        <f t="shared" si="3"/>
        <v>#VALUE!</v>
      </c>
      <c r="T21" s="170" t="e">
        <f t="shared" si="3"/>
        <v>#VALUE!</v>
      </c>
      <c r="U21" s="169" t="e">
        <f t="shared" si="3"/>
        <v>#VALUE!</v>
      </c>
      <c r="V21" s="170" t="e">
        <f t="shared" si="3"/>
        <v>#VALUE!</v>
      </c>
      <c r="W21" s="169" t="e">
        <f t="shared" si="3"/>
        <v>#VALUE!</v>
      </c>
      <c r="X21" s="170" t="e">
        <f t="shared" si="3"/>
        <v>#VALUE!</v>
      </c>
      <c r="Y21" s="169" t="e">
        <f t="shared" si="3"/>
        <v>#VALUE!</v>
      </c>
      <c r="Z21" s="170" t="e">
        <f t="shared" si="3"/>
        <v>#VALUE!</v>
      </c>
      <c r="AA21" s="169" t="e">
        <f t="shared" si="3"/>
        <v>#VALUE!</v>
      </c>
      <c r="AB21" s="170" t="e">
        <f t="shared" si="3"/>
        <v>#VALUE!</v>
      </c>
      <c r="AC21" s="169" t="e">
        <f t="shared" si="3"/>
        <v>#VALUE!</v>
      </c>
      <c r="AD21" s="170" t="e">
        <f t="shared" si="3"/>
        <v>#VALUE!</v>
      </c>
      <c r="AE21" s="169" t="e">
        <f t="shared" si="3"/>
        <v>#VALUE!</v>
      </c>
      <c r="AF21" s="170" t="e">
        <f t="shared" si="3"/>
        <v>#VALUE!</v>
      </c>
      <c r="AG21" s="169" t="e">
        <f t="shared" si="3"/>
        <v>#VALUE!</v>
      </c>
      <c r="AH21" s="170" t="e">
        <f t="shared" si="3"/>
        <v>#VALUE!</v>
      </c>
      <c r="AI21" s="169" t="e">
        <f t="shared" si="3"/>
        <v>#VALUE!</v>
      </c>
      <c r="AJ21" s="170" t="e">
        <f t="shared" si="3"/>
        <v>#VALUE!</v>
      </c>
      <c r="AK21" s="169" t="e">
        <f t="shared" si="3"/>
        <v>#VALUE!</v>
      </c>
      <c r="AL21" s="170" t="e">
        <f t="shared" si="3"/>
        <v>#VALUE!</v>
      </c>
      <c r="AM21" s="169" t="e">
        <f t="shared" si="3"/>
        <v>#VALUE!</v>
      </c>
      <c r="AN21" s="170" t="e">
        <f t="shared" si="3"/>
        <v>#VALUE!</v>
      </c>
      <c r="AO21" s="169" t="e">
        <f t="shared" si="3"/>
        <v>#VALUE!</v>
      </c>
      <c r="AP21" s="170" t="e">
        <f t="shared" si="3"/>
        <v>#VALUE!</v>
      </c>
      <c r="AQ21" s="169" t="e">
        <f t="shared" si="3"/>
        <v>#VALUE!</v>
      </c>
      <c r="AR21" s="170" t="e">
        <f t="shared" si="3"/>
        <v>#VALUE!</v>
      </c>
      <c r="AS21" s="51"/>
      <c r="AT21" s="56"/>
    </row>
    <row r="22" spans="2:46" ht="14.25" x14ac:dyDescent="0.25">
      <c r="B22" s="55"/>
      <c r="C22" s="10" t="s">
        <v>216</v>
      </c>
      <c r="D22" s="11" t="s">
        <v>40</v>
      </c>
      <c r="E22" s="169">
        <f>Links!F57</f>
        <v>1.4003964760236025</v>
      </c>
      <c r="F22" s="170">
        <f>Links!G57</f>
        <v>1.2777898880589023</v>
      </c>
      <c r="G22" s="169">
        <f>Links!H57</f>
        <v>1.514146476023603</v>
      </c>
      <c r="H22" s="170">
        <f>Links!I57</f>
        <v>1.0116148880589018</v>
      </c>
      <c r="I22" s="169">
        <f>Links!J57</f>
        <v>2.0178958466638228</v>
      </c>
      <c r="J22" s="170">
        <f>Links!K57</f>
        <v>1.7068808719747777</v>
      </c>
      <c r="K22" s="169">
        <f>Links!L57</f>
        <v>2.0906414342001698</v>
      </c>
      <c r="L22" s="170">
        <f>Links!M57</f>
        <v>1.4031189231840058</v>
      </c>
      <c r="M22" s="169">
        <f>Links!N57</f>
        <v>1.8296513252853428</v>
      </c>
      <c r="N22" s="170">
        <f>Links!O57</f>
        <v>1.3377308622050625</v>
      </c>
      <c r="O22" s="169">
        <f>Links!P57</f>
        <v>1.6124653316123219</v>
      </c>
      <c r="P22" s="170">
        <f>Links!Q57</f>
        <v>1.1096903316123221</v>
      </c>
      <c r="Q22" s="169">
        <f>Links!R57</f>
        <v>1.621565331612322</v>
      </c>
      <c r="R22" s="170">
        <f>Links!S57</f>
        <v>1.0755653316123217</v>
      </c>
      <c r="S22" s="169">
        <f>Links!T57</f>
        <v>0</v>
      </c>
      <c r="T22" s="170">
        <f>Links!U57</f>
        <v>0</v>
      </c>
      <c r="U22" s="169">
        <f>Links!V57</f>
        <v>0</v>
      </c>
      <c r="V22" s="170">
        <f>Links!W57</f>
        <v>0</v>
      </c>
      <c r="W22" s="169">
        <f>Links!X57</f>
        <v>0</v>
      </c>
      <c r="X22" s="170">
        <f>Links!Y57</f>
        <v>0</v>
      </c>
      <c r="Y22" s="169">
        <f>Links!Z57</f>
        <v>0</v>
      </c>
      <c r="Z22" s="170">
        <f>Links!AA57</f>
        <v>0</v>
      </c>
      <c r="AA22" s="169">
        <f>Links!AB57</f>
        <v>0</v>
      </c>
      <c r="AB22" s="170">
        <f>Links!AC57</f>
        <v>0</v>
      </c>
      <c r="AC22" s="169">
        <f>Links!AD57</f>
        <v>0</v>
      </c>
      <c r="AD22" s="170">
        <f>Links!AE57</f>
        <v>0</v>
      </c>
      <c r="AE22" s="169">
        <f>Links!AF57</f>
        <v>0</v>
      </c>
      <c r="AF22" s="170">
        <f>Links!AG57</f>
        <v>0</v>
      </c>
      <c r="AG22" s="169">
        <f>Links!AH57</f>
        <v>0</v>
      </c>
      <c r="AH22" s="170">
        <f>Links!AI57</f>
        <v>0</v>
      </c>
      <c r="AI22" s="169">
        <f>Links!AJ57</f>
        <v>0</v>
      </c>
      <c r="AJ22" s="170">
        <f>Links!AK57</f>
        <v>0</v>
      </c>
      <c r="AK22" s="169">
        <f>Links!AL57</f>
        <v>0</v>
      </c>
      <c r="AL22" s="170">
        <f>Links!AM57</f>
        <v>0</v>
      </c>
      <c r="AM22" s="169">
        <f>Links!AN57</f>
        <v>0</v>
      </c>
      <c r="AN22" s="170">
        <f>Links!AO57</f>
        <v>0</v>
      </c>
      <c r="AO22" s="169">
        <f>Links!AP57</f>
        <v>0</v>
      </c>
      <c r="AP22" s="170">
        <f>Links!AQ57</f>
        <v>0</v>
      </c>
      <c r="AQ22" s="169">
        <f>Links!AR57</f>
        <v>0</v>
      </c>
      <c r="AR22" s="170">
        <f>Links!AS57</f>
        <v>0</v>
      </c>
      <c r="AS22" s="51"/>
      <c r="AT22" s="56"/>
    </row>
    <row r="23" spans="2:46" ht="15.75" customHeight="1" x14ac:dyDescent="0.25">
      <c r="B23" s="55"/>
      <c r="C23" s="10" t="s">
        <v>214</v>
      </c>
      <c r="D23" s="11" t="s">
        <v>210</v>
      </c>
      <c r="E23" s="295">
        <f>Intersections!F114</f>
        <v>2.8023711156342199</v>
      </c>
      <c r="F23" s="299"/>
      <c r="G23" s="295">
        <f>Intersections!J114</f>
        <v>2.1235729316016991</v>
      </c>
      <c r="H23" s="299"/>
      <c r="I23" s="295">
        <f>Intersections!N114</f>
        <v>2.4097444022034544</v>
      </c>
      <c r="J23" s="299"/>
      <c r="K23" s="295">
        <f>Intersections!R114</f>
        <v>2.2501490583568136</v>
      </c>
      <c r="L23" s="299"/>
      <c r="M23" s="295">
        <f>Intersections!V114</f>
        <v>2.176378994406754</v>
      </c>
      <c r="N23" s="299"/>
      <c r="O23" s="295">
        <f>Intersections!Z114</f>
        <v>2.1324011176786235</v>
      </c>
      <c r="P23" s="299"/>
      <c r="Q23" s="295">
        <f>Intersections!AD114</f>
        <v>1.9911370140366187</v>
      </c>
      <c r="R23" s="299"/>
      <c r="S23" s="295" t="e">
        <f>Intersections!AH114</f>
        <v>#REF!</v>
      </c>
      <c r="T23" s="299"/>
      <c r="U23" s="295" t="str">
        <f>Intersections!AL114</f>
        <v/>
      </c>
      <c r="V23" s="299"/>
      <c r="W23" s="295" t="str">
        <f>Intersections!AP114</f>
        <v/>
      </c>
      <c r="X23" s="299"/>
      <c r="Y23" s="295" t="str">
        <f>Intersections!AT114</f>
        <v/>
      </c>
      <c r="Z23" s="299"/>
      <c r="AA23" s="295" t="str">
        <f>Intersections!AX114</f>
        <v/>
      </c>
      <c r="AB23" s="299"/>
      <c r="AC23" s="295" t="str">
        <f>Intersections!BB114</f>
        <v/>
      </c>
      <c r="AD23" s="299"/>
      <c r="AE23" s="295" t="str">
        <f>Intersections!BF114</f>
        <v/>
      </c>
      <c r="AF23" s="299"/>
      <c r="AG23" s="295" t="str">
        <f>Intersections!BJ114</f>
        <v/>
      </c>
      <c r="AH23" s="299"/>
      <c r="AI23" s="295" t="str">
        <f>Intersections!BN114</f>
        <v/>
      </c>
      <c r="AJ23" s="299"/>
      <c r="AK23" s="295" t="str">
        <f>Intersections!BR114</f>
        <v/>
      </c>
      <c r="AL23" s="299"/>
      <c r="AM23" s="295" t="str">
        <f>Intersections!BV114</f>
        <v/>
      </c>
      <c r="AN23" s="299"/>
      <c r="AO23" s="295" t="str">
        <f>Intersections!BZ114</f>
        <v/>
      </c>
      <c r="AP23" s="299"/>
      <c r="AQ23" s="295" t="str">
        <f>Intersections!CD114</f>
        <v/>
      </c>
      <c r="AR23" s="299"/>
      <c r="AS23" s="51"/>
      <c r="AT23" s="56"/>
    </row>
    <row r="24" spans="2:46" ht="14.25" x14ac:dyDescent="0.25">
      <c r="B24" s="55"/>
      <c r="C24" s="10" t="s">
        <v>536</v>
      </c>
      <c r="D24" s="11" t="s">
        <v>537</v>
      </c>
      <c r="E24" s="169">
        <f>IF(E8=0,"",(((E8/E12)*(E22*(1-E11)+E21*E11)^3+E17*E41^3)/((E8/E12)+E17))^(1/3))</f>
        <v>1.9879214647546111</v>
      </c>
      <c r="F24" s="170">
        <f>IF(E8=0,"",(((E8/F12)*(F22*(1-F11)+F21*F11)^3+F17*E41^3)/((E8/F12)+F17))^(1/3))</f>
        <v>1.9431003508598677</v>
      </c>
      <c r="G24" s="169">
        <f>IF(G8=0,"",(((G8/G12)*(G22*(1-G11)+G21*G11)^3+G17*G41^3)/((G8/G12)+G17))^(1/3))</f>
        <v>1.1855706136342148</v>
      </c>
      <c r="H24" s="170" t="e">
        <f>IF(G8=0,"",(((G8/H12)*(H22*(1-H11)+H21*H11)^3+H17*G41^3)/((G8/H12)+H17))^(1/3))</f>
        <v>#VALUE!</v>
      </c>
      <c r="I24" s="169">
        <f>IF(I8=0,"",(((I8/I12)*(I22*(1-I11)+I21*I11)^3+I17*I41^3)/((I8/I12)+I17))^(1/3))</f>
        <v>1.8247074557866352</v>
      </c>
      <c r="J24" s="170">
        <f>IF(I8=0,"",(((I8/J12)*(J22*(1-J11)+J21*J11)^3+J17*I41^3)/((I8/J12)+J17))^(1/3))</f>
        <v>1.7339220289851722</v>
      </c>
      <c r="K24" s="169">
        <f>IF(K8=0,"",(((K8/K12)*(K22*(1-K11)+K21*K11)^3+K17*K41^3)/((K8/K12)+K17))^(1/3))</f>
        <v>1.5428873253731759</v>
      </c>
      <c r="L24" s="170" t="e">
        <f>IF(K8=0,"",(((K8/L12)*(L22*(1-L11)+L21*L11)^3+L17*K41^3)/((K8/L12)+L17))^(1/3))</f>
        <v>#VALUE!</v>
      </c>
      <c r="M24" s="169">
        <f>IF(M8=0,"",(((M8/M12)*(M22*(1-M11)+M21*M11)^3+M17*M41^3)/((M8/M12)+M17))^(1/3))</f>
        <v>1.4637663584084224</v>
      </c>
      <c r="N24" s="170" t="e">
        <f>IF(M8=0,"",(((M8/N12)*(N22*(1-N11)+N21*N11)^3+N17*M41^3)/((M8/N12)+N17))^(1/3))</f>
        <v>#VALUE!</v>
      </c>
      <c r="O24" s="169">
        <f>IF(O8=0,"",(((O8/O12)*(O22*(1-O11)+O21*O11)^3+O17*O41^3)/((O8/O12)+O17))^(1/3))</f>
        <v>1.3432955755863212</v>
      </c>
      <c r="P24" s="170" t="e">
        <f>IF(O8=0,"",(((O8/P12)*(P22*(1-P11)+P21*P11)^3+P17*O41^3)/((O8/P12)+P17))^(1/3))</f>
        <v>#VALUE!</v>
      </c>
      <c r="Q24" s="169">
        <f>IF(Q8=0,"",(((Q8/Q12)*(Q22*(1-Q11)+Q21*Q11)^3+Q17*Q41^3)/((Q8/Q12)+Q17))^(1/3))</f>
        <v>1.4913324692292658</v>
      </c>
      <c r="R24" s="170" t="e">
        <f>IF(Q8=0,"",(((Q8/R12)*(R22*(1-R11)+R21*R11)^3+R17*Q41^3)/((Q8/R12)+R17))^(1/3))</f>
        <v>#VALUE!</v>
      </c>
      <c r="S24" s="169" t="str">
        <f>IF(S8=0,"",(((S8/S12)*(S22*(1-S11)+S21*S11)^3+S17*S41^3)/((S8/S12)+S17))^(1/3))</f>
        <v/>
      </c>
      <c r="T24" s="170" t="str">
        <f>IF(S8=0,"",(((S8/T12)*(T22*(1-T11)+T21*T11)^3+T17*S41^3)/((S8/T12)+T17))^(1/3))</f>
        <v/>
      </c>
      <c r="U24" s="169" t="str">
        <f>IF(U8=0,"",(((U8/U12)*(U22*(1-U11)+U21*U11)^3+U17*U41^3)/((U8/U12)+U17))^(1/3))</f>
        <v/>
      </c>
      <c r="V24" s="170" t="str">
        <f>IF(U8=0,"",(((U8/V12)*(V22*(1-V11)+V21*V11)^3+V17*U41^3)/((U8/V12)+V17))^(1/3))</f>
        <v/>
      </c>
      <c r="W24" s="169" t="str">
        <f>IF(W8=0,"",(((W8/W12)*(W22*(1-W11)+W21*W11)^3+W17*W41^3)/((W8/W12)+W17))^(1/3))</f>
        <v/>
      </c>
      <c r="X24" s="170" t="str">
        <f>IF(W8=0,"",(((W8/X12)*(X22*(1-X11)+X21*X11)^3+X17*W41^3)/((W8/X12)+X17))^(1/3))</f>
        <v/>
      </c>
      <c r="Y24" s="169" t="str">
        <f>IF(Y8=0,"",(((Y8/Y12)*(Y22*(1-Y11)+Y21*Y11)^3+Y17*Y41^3)/((Y8/Y12)+Y17))^(1/3))</f>
        <v/>
      </c>
      <c r="Z24" s="170" t="str">
        <f>IF(Y8=0,"",(((Y8/Z12)*(Z22*(1-Z11)+Z21*Z11)^3+Z17*Y41^3)/((Y8/Z12)+Z17))^(1/3))</f>
        <v/>
      </c>
      <c r="AA24" s="169" t="str">
        <f>IF(AA8=0,"",(((AA8/AA12)*(AA22*(1-AA11)+AA21*AA11)^3+AA17*AA41^3)/((AA8/AA12)+AA17))^(1/3))</f>
        <v/>
      </c>
      <c r="AB24" s="170" t="str">
        <f>IF(AA8=0,"",(((AA8/AB12)*(AB22*(1-AB11)+AB21*AB11)^3+AB17*AA41^3)/((AA8/AB12)+AB17))^(1/3))</f>
        <v/>
      </c>
      <c r="AC24" s="169" t="str">
        <f>IF(AC8=0,"",(((AC8/AC12)*(AC22*(1-AC11)+AC21*AC11)^3+AC17*AC41^3)/((AC8/AC12)+AC17))^(1/3))</f>
        <v/>
      </c>
      <c r="AD24" s="170" t="str">
        <f>IF(AC8=0,"",(((AC8/AD12)*(AD22*(1-AD11)+AD21*AD11)^3+AD17*AC41^3)/((AC8/AD12)+AD17))^(1/3))</f>
        <v/>
      </c>
      <c r="AE24" s="169" t="str">
        <f>IF(AE8=0,"",(((AE8/AE12)*(AE22*(1-AE11)+AE21*AE11)^3+AE17*AE41^3)/((AE8/AE12)+AE17))^(1/3))</f>
        <v/>
      </c>
      <c r="AF24" s="170" t="str">
        <f>IF(AE8=0,"",(((AE8/AF12)*(AF22*(1-AF11)+AF21*AF11)^3+AF17*AE41^3)/((AE8/AF12)+AF17))^(1/3))</f>
        <v/>
      </c>
      <c r="AG24" s="169" t="str">
        <f>IF(AG8=0,"",(((AG8/AG12)*(AG22*(1-AG11)+AG21*AG11)^3+AG17*AG41^3)/((AG8/AG12)+AG17))^(1/3))</f>
        <v/>
      </c>
      <c r="AH24" s="170" t="str">
        <f>IF(AG8=0,"",(((AG8/AH12)*(AH22*(1-AH11)+AH21*AH11)^3+AH17*AG41^3)/((AG8/AH12)+AH17))^(1/3))</f>
        <v/>
      </c>
      <c r="AI24" s="169" t="str">
        <f>IF(AI8=0,"",(((AI8/AI12)*(AI22*(1-AI11)+AI21*AI11)^3+AI17*AI41^3)/((AI8/AI12)+AI17))^(1/3))</f>
        <v/>
      </c>
      <c r="AJ24" s="170" t="str">
        <f>IF(AI8=0,"",(((AI8/AJ12)*(AJ22*(1-AJ11)+AJ21*AJ11)^3+AJ17*AI41^3)/((AI8/AJ12)+AJ17))^(1/3))</f>
        <v/>
      </c>
      <c r="AK24" s="169" t="str">
        <f>IF(AK8=0,"",(((AK8/AK12)*(AK22*(1-AK11)+AK21*AK11)^3+AK17*AK41^3)/((AK8/AK12)+AK17))^(1/3))</f>
        <v/>
      </c>
      <c r="AL24" s="170" t="str">
        <f>IF(AK8=0,"",(((AK8/AL12)*(AL22*(1-AL11)+AL21*AL11)^3+AL17*AK41^3)/((AK8/AL12)+AL17))^(1/3))</f>
        <v/>
      </c>
      <c r="AM24" s="169" t="str">
        <f>IF(AM8=0,"",(((AM8/AM12)*(AM22*(1-AM11)+AM21*AM11)^3+AM17*AM41^3)/((AM8/AM12)+AM17))^(1/3))</f>
        <v/>
      </c>
      <c r="AN24" s="170" t="str">
        <f>IF(AM8=0,"",(((AM8/AN12)*(AN22*(1-AN11)+AN21*AN11)^3+AN17*AM41^3)/((AM8/AN12)+AN17))^(1/3))</f>
        <v/>
      </c>
      <c r="AO24" s="169" t="str">
        <f>IF(AO8=0,"",(((AO8/AO12)*(AO22*(1-AO11)+AO21*AO11)^3+AO17*AO41^3)/((AO8/AO12)+AO17))^(1/3))</f>
        <v/>
      </c>
      <c r="AP24" s="170" t="str">
        <f>IF(AO8=0,"",(((AO8/AP12)*(AP22*(1-AP11)+AP21*AP11)^3+AP17*AO41^3)/((AO8/AP12)+AP17))^(1/3))</f>
        <v/>
      </c>
      <c r="AQ24" s="169" t="str">
        <f>IF(AQ8=0,"",(((AQ8/AQ12)*(AQ22*(1-AQ11)+AQ21*AQ11)^3+AQ17*AQ41^3)/((AQ8/AQ12)+AQ17))^(1/3))</f>
        <v/>
      </c>
      <c r="AR24" s="170" t="str">
        <f>IF(AQ8=0,"",(((AQ8/AR12)*(AR22*(1-AR11)+AR21*AR11)^3+AR17*AQ41^3)/((AQ8/AR12)+AR17))^(1/3))</f>
        <v/>
      </c>
      <c r="AS24" s="51"/>
      <c r="AT24" s="56"/>
    </row>
    <row r="25" spans="2:46" x14ac:dyDescent="0.25">
      <c r="B25" s="55"/>
      <c r="C25" s="10"/>
      <c r="D25" s="11" t="s">
        <v>41</v>
      </c>
      <c r="E25" s="10" t="str">
        <f t="shared" ref="E25:AR25" si="4">IF(E24="","",IF(E24&lt;=2,"A",IF(E24&lt;=2.75,"B",IF(E24&lt;=3.5,"C",IF(E24&lt;=4.25,"D",IF(E24&lt;=5,"E","F"))))))</f>
        <v>A</v>
      </c>
      <c r="F25" s="171" t="str">
        <f t="shared" si="4"/>
        <v>A</v>
      </c>
      <c r="G25" s="10" t="str">
        <f t="shared" si="4"/>
        <v>A</v>
      </c>
      <c r="H25" s="171" t="e">
        <f t="shared" si="4"/>
        <v>#VALUE!</v>
      </c>
      <c r="I25" s="10" t="str">
        <f t="shared" si="4"/>
        <v>A</v>
      </c>
      <c r="J25" s="171" t="str">
        <f t="shared" si="4"/>
        <v>A</v>
      </c>
      <c r="K25" s="10" t="str">
        <f t="shared" si="4"/>
        <v>A</v>
      </c>
      <c r="L25" s="171" t="e">
        <f t="shared" si="4"/>
        <v>#VALUE!</v>
      </c>
      <c r="M25" s="10" t="str">
        <f t="shared" si="4"/>
        <v>A</v>
      </c>
      <c r="N25" s="171" t="e">
        <f t="shared" si="4"/>
        <v>#VALUE!</v>
      </c>
      <c r="O25" s="10" t="str">
        <f t="shared" si="4"/>
        <v>A</v>
      </c>
      <c r="P25" s="171" t="e">
        <f t="shared" si="4"/>
        <v>#VALUE!</v>
      </c>
      <c r="Q25" s="10" t="str">
        <f t="shared" si="4"/>
        <v>A</v>
      </c>
      <c r="R25" s="171" t="e">
        <f t="shared" si="4"/>
        <v>#VALUE!</v>
      </c>
      <c r="S25" s="10" t="str">
        <f t="shared" si="4"/>
        <v/>
      </c>
      <c r="T25" s="171" t="str">
        <f t="shared" si="4"/>
        <v/>
      </c>
      <c r="U25" s="10" t="str">
        <f t="shared" si="4"/>
        <v/>
      </c>
      <c r="V25" s="171" t="str">
        <f t="shared" si="4"/>
        <v/>
      </c>
      <c r="W25" s="10" t="str">
        <f t="shared" si="4"/>
        <v/>
      </c>
      <c r="X25" s="171" t="str">
        <f t="shared" si="4"/>
        <v/>
      </c>
      <c r="Y25" s="10" t="str">
        <f t="shared" si="4"/>
        <v/>
      </c>
      <c r="Z25" s="171" t="str">
        <f t="shared" si="4"/>
        <v/>
      </c>
      <c r="AA25" s="10" t="str">
        <f t="shared" si="4"/>
        <v/>
      </c>
      <c r="AB25" s="171" t="str">
        <f t="shared" si="4"/>
        <v/>
      </c>
      <c r="AC25" s="10" t="str">
        <f t="shared" si="4"/>
        <v/>
      </c>
      <c r="AD25" s="171" t="str">
        <f t="shared" si="4"/>
        <v/>
      </c>
      <c r="AE25" s="10" t="str">
        <f t="shared" si="4"/>
        <v/>
      </c>
      <c r="AF25" s="171" t="str">
        <f t="shared" si="4"/>
        <v/>
      </c>
      <c r="AG25" s="10" t="str">
        <f t="shared" si="4"/>
        <v/>
      </c>
      <c r="AH25" s="171" t="str">
        <f t="shared" si="4"/>
        <v/>
      </c>
      <c r="AI25" s="10" t="str">
        <f t="shared" si="4"/>
        <v/>
      </c>
      <c r="AJ25" s="171" t="str">
        <f t="shared" si="4"/>
        <v/>
      </c>
      <c r="AK25" s="10" t="str">
        <f t="shared" si="4"/>
        <v/>
      </c>
      <c r="AL25" s="171" t="str">
        <f t="shared" si="4"/>
        <v/>
      </c>
      <c r="AM25" s="10" t="str">
        <f t="shared" si="4"/>
        <v/>
      </c>
      <c r="AN25" s="171" t="str">
        <f t="shared" si="4"/>
        <v/>
      </c>
      <c r="AO25" s="10" t="str">
        <f t="shared" si="4"/>
        <v/>
      </c>
      <c r="AP25" s="171" t="str">
        <f t="shared" si="4"/>
        <v/>
      </c>
      <c r="AQ25" s="10" t="str">
        <f t="shared" si="4"/>
        <v/>
      </c>
      <c r="AR25" s="171" t="str">
        <f t="shared" si="4"/>
        <v/>
      </c>
      <c r="AS25" s="51"/>
      <c r="AT25" s="56"/>
    </row>
    <row r="26" spans="2:46" ht="15.75" x14ac:dyDescent="0.25">
      <c r="B26" s="55"/>
      <c r="C26" s="4"/>
      <c r="D26" s="8" t="s">
        <v>197</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439</v>
      </c>
      <c r="D27" s="11" t="s">
        <v>440</v>
      </c>
      <c r="E27" s="169">
        <f>Links!F61</f>
        <v>-0.70000000000000007</v>
      </c>
      <c r="F27" s="172">
        <f>Links!G61</f>
        <v>-0.70000000000000007</v>
      </c>
      <c r="G27" s="169">
        <f>Links!H61</f>
        <v>-0.70000000000000007</v>
      </c>
      <c r="H27" s="172">
        <f>Links!I61</f>
        <v>-0.70000000000000007</v>
      </c>
      <c r="I27" s="169">
        <f>Links!J61</f>
        <v>-0.70000000000000007</v>
      </c>
      <c r="J27" s="172">
        <f>Links!K61</f>
        <v>-0.70000000000000007</v>
      </c>
      <c r="K27" s="169">
        <f>Links!L61</f>
        <v>-0.70000000000000007</v>
      </c>
      <c r="L27" s="172">
        <f>Links!M61</f>
        <v>-0.70000000000000007</v>
      </c>
      <c r="M27" s="169">
        <f>Links!N61</f>
        <v>-0.70000000000000007</v>
      </c>
      <c r="N27" s="172">
        <f>Links!O61</f>
        <v>-0.70000000000000007</v>
      </c>
      <c r="O27" s="169">
        <f>Links!P61</f>
        <v>-0.70000000000000007</v>
      </c>
      <c r="P27" s="172">
        <f>Links!Q61</f>
        <v>-0.70000000000000007</v>
      </c>
      <c r="Q27" s="169">
        <f>Links!R61</f>
        <v>-0.70000000000000007</v>
      </c>
      <c r="R27" s="172">
        <f>Links!S61</f>
        <v>-0.70000000000000007</v>
      </c>
      <c r="S27" s="169" t="e">
        <f>Links!T61</f>
        <v>#DIV/0!</v>
      </c>
      <c r="T27" s="172" t="e">
        <f>Links!U61</f>
        <v>#DIV/0!</v>
      </c>
      <c r="U27" s="169" t="e">
        <f>Links!V61</f>
        <v>#DIV/0!</v>
      </c>
      <c r="V27" s="172" t="e">
        <f>Links!W61</f>
        <v>#DIV/0!</v>
      </c>
      <c r="W27" s="169" t="e">
        <f>Links!X61</f>
        <v>#DIV/0!</v>
      </c>
      <c r="X27" s="172" t="e">
        <f>Links!Y61</f>
        <v>#DIV/0!</v>
      </c>
      <c r="Y27" s="169" t="e">
        <f>Links!Z61</f>
        <v>#DIV/0!</v>
      </c>
      <c r="Z27" s="172" t="e">
        <f>Links!AA61</f>
        <v>#DIV/0!</v>
      </c>
      <c r="AA27" s="169" t="e">
        <f>Links!AB61</f>
        <v>#DIV/0!</v>
      </c>
      <c r="AB27" s="172" t="e">
        <f>Links!AC61</f>
        <v>#DIV/0!</v>
      </c>
      <c r="AC27" s="169" t="e">
        <f>Links!AD61</f>
        <v>#DIV/0!</v>
      </c>
      <c r="AD27" s="172" t="e">
        <f>Links!AE61</f>
        <v>#DIV/0!</v>
      </c>
      <c r="AE27" s="169" t="e">
        <f>Links!AF61</f>
        <v>#DIV/0!</v>
      </c>
      <c r="AF27" s="172" t="e">
        <f>Links!AG61</f>
        <v>#DIV/0!</v>
      </c>
      <c r="AG27" s="169" t="e">
        <f>Links!AH61</f>
        <v>#DIV/0!</v>
      </c>
      <c r="AH27" s="172" t="e">
        <f>Links!AI61</f>
        <v>#DIV/0!</v>
      </c>
      <c r="AI27" s="169" t="e">
        <f>Links!AJ61</f>
        <v>#DIV/0!</v>
      </c>
      <c r="AJ27" s="172" t="e">
        <f>Links!AK61</f>
        <v>#DIV/0!</v>
      </c>
      <c r="AK27" s="169" t="e">
        <f>Links!AL61</f>
        <v>#DIV/0!</v>
      </c>
      <c r="AL27" s="172" t="e">
        <f>Links!AM61</f>
        <v>#DIV/0!</v>
      </c>
      <c r="AM27" s="169" t="e">
        <f>Links!AN61</f>
        <v>#DIV/0!</v>
      </c>
      <c r="AN27" s="172" t="e">
        <f>Links!AO61</f>
        <v>#DIV/0!</v>
      </c>
      <c r="AO27" s="169" t="e">
        <f>Links!AP61</f>
        <v>#DIV/0!</v>
      </c>
      <c r="AP27" s="172" t="e">
        <f>Links!AQ61</f>
        <v>#DIV/0!</v>
      </c>
      <c r="AQ27" s="169" t="e">
        <f>Links!AR61</f>
        <v>#DIV/0!</v>
      </c>
      <c r="AR27" s="172" t="e">
        <f>Links!AS61</f>
        <v>#DIV/0!</v>
      </c>
      <c r="AS27" s="51"/>
      <c r="AT27" s="56"/>
    </row>
    <row r="28" spans="2:46" ht="14.25" x14ac:dyDescent="0.25">
      <c r="B28" s="55"/>
      <c r="C28" s="10" t="s">
        <v>441</v>
      </c>
      <c r="D28" s="11" t="s">
        <v>442</v>
      </c>
      <c r="E28" s="169">
        <f>Links!F62</f>
        <v>16.363636363636363</v>
      </c>
      <c r="F28" s="172">
        <f>Links!G62</f>
        <v>16.363636363636363</v>
      </c>
      <c r="G28" s="169">
        <f>Links!H62</f>
        <v>17.727272727272727</v>
      </c>
      <c r="H28" s="172">
        <f>Links!I62</f>
        <v>17.727272727272727</v>
      </c>
      <c r="I28" s="169">
        <f>Links!J62</f>
        <v>13.636363636363637</v>
      </c>
      <c r="J28" s="172">
        <f>Links!K62</f>
        <v>13.636363636363637</v>
      </c>
      <c r="K28" s="169">
        <f>Links!L62</f>
        <v>27.272727272727273</v>
      </c>
      <c r="L28" s="172">
        <f>Links!M62</f>
        <v>27.272727272727273</v>
      </c>
      <c r="M28" s="169">
        <f>Links!N62</f>
        <v>68.181818181818187</v>
      </c>
      <c r="N28" s="172">
        <f>Links!O62</f>
        <v>68.181818181818187</v>
      </c>
      <c r="O28" s="169">
        <f>Links!P62</f>
        <v>32.386363636363633</v>
      </c>
      <c r="P28" s="172">
        <f>Links!Q62</f>
        <v>32.386363636363633</v>
      </c>
      <c r="Q28" s="169">
        <f>Links!R62</f>
        <v>17.727272727272727</v>
      </c>
      <c r="R28" s="172">
        <f>Links!S62</f>
        <v>17.727272727272727</v>
      </c>
      <c r="S28" s="169" t="e">
        <f>Links!T62</f>
        <v>#DIV/0!</v>
      </c>
      <c r="T28" s="172" t="e">
        <f>Links!U62</f>
        <v>#DIV/0!</v>
      </c>
      <c r="U28" s="169" t="e">
        <f>Links!V62</f>
        <v>#DIV/0!</v>
      </c>
      <c r="V28" s="172" t="e">
        <f>Links!W62</f>
        <v>#DIV/0!</v>
      </c>
      <c r="W28" s="169" t="e">
        <f>Links!X62</f>
        <v>#DIV/0!</v>
      </c>
      <c r="X28" s="172" t="e">
        <f>Links!Y62</f>
        <v>#DIV/0!</v>
      </c>
      <c r="Y28" s="169" t="e">
        <f>Links!Z62</f>
        <v>#DIV/0!</v>
      </c>
      <c r="Z28" s="172" t="e">
        <f>Links!AA62</f>
        <v>#DIV/0!</v>
      </c>
      <c r="AA28" s="169" t="e">
        <f>Links!AB62</f>
        <v>#DIV/0!</v>
      </c>
      <c r="AB28" s="172" t="e">
        <f>Links!AC62</f>
        <v>#DIV/0!</v>
      </c>
      <c r="AC28" s="169" t="e">
        <f>Links!AD62</f>
        <v>#DIV/0!</v>
      </c>
      <c r="AD28" s="172" t="e">
        <f>Links!AE62</f>
        <v>#DIV/0!</v>
      </c>
      <c r="AE28" s="169" t="e">
        <f>Links!AF62</f>
        <v>#DIV/0!</v>
      </c>
      <c r="AF28" s="172" t="e">
        <f>Links!AG62</f>
        <v>#DIV/0!</v>
      </c>
      <c r="AG28" s="169" t="e">
        <f>Links!AH62</f>
        <v>#DIV/0!</v>
      </c>
      <c r="AH28" s="172" t="e">
        <f>Links!AI62</f>
        <v>#DIV/0!</v>
      </c>
      <c r="AI28" s="169" t="e">
        <f>Links!AJ62</f>
        <v>#DIV/0!</v>
      </c>
      <c r="AJ28" s="172" t="e">
        <f>Links!AK62</f>
        <v>#DIV/0!</v>
      </c>
      <c r="AK28" s="169" t="e">
        <f>Links!AL62</f>
        <v>#DIV/0!</v>
      </c>
      <c r="AL28" s="172" t="e">
        <f>Links!AM62</f>
        <v>#DIV/0!</v>
      </c>
      <c r="AM28" s="169" t="e">
        <f>Links!AN62</f>
        <v>#DIV/0!</v>
      </c>
      <c r="AN28" s="172" t="e">
        <f>Links!AO62</f>
        <v>#DIV/0!</v>
      </c>
      <c r="AO28" s="169" t="e">
        <f>Links!AP62</f>
        <v>#DIV/0!</v>
      </c>
      <c r="AP28" s="172" t="e">
        <f>Links!AQ62</f>
        <v>#DIV/0!</v>
      </c>
      <c r="AQ28" s="169" t="e">
        <f>Links!AR62</f>
        <v>#DIV/0!</v>
      </c>
      <c r="AR28" s="172" t="e">
        <f>Links!AS62</f>
        <v>#DIV/0!</v>
      </c>
      <c r="AS28" s="51"/>
      <c r="AT28" s="56"/>
    </row>
    <row r="29" spans="2:46" ht="14.25" x14ac:dyDescent="0.25">
      <c r="B29" s="55"/>
      <c r="C29" s="10" t="s">
        <v>502</v>
      </c>
      <c r="D29" s="11" t="s">
        <v>489</v>
      </c>
      <c r="E29" s="169">
        <f>MAX(Intersections!F100,Intersections!H100)</f>
        <v>32.830060794604279</v>
      </c>
      <c r="F29" s="172">
        <f>MAX(Intersections!G100,Intersections!I100)</f>
        <v>32.842939437240453</v>
      </c>
      <c r="G29" s="169" t="e">
        <f>MAX(Intersections!H100,Intersections!J100)</f>
        <v>#DIV/0!</v>
      </c>
      <c r="H29" s="172" t="e">
        <f>MAX(Intersections!I100,Intersections!K100)</f>
        <v>#DIV/0!</v>
      </c>
      <c r="I29" s="169" t="e">
        <f>MAX(Intersections!J100,Intersections!L100)</f>
        <v>#DIV/0!</v>
      </c>
      <c r="J29" s="172" t="e">
        <f>MAX(Intersections!K100,Intersections!M100)</f>
        <v>#DIV/0!</v>
      </c>
      <c r="K29" s="169" t="e">
        <f>MAX(Intersections!L100,Intersections!N100)</f>
        <v>#DIV/0!</v>
      </c>
      <c r="L29" s="172" t="e">
        <f>MAX(Intersections!M100,Intersections!O100)</f>
        <v>#DIV/0!</v>
      </c>
      <c r="M29" s="169">
        <f>MAX(Intersections!N100,Intersections!P100)</f>
        <v>37.736898144813203</v>
      </c>
      <c r="N29" s="172">
        <f>MAX(Intersections!O100,Intersections!Q100)</f>
        <v>38.197940043204852</v>
      </c>
      <c r="O29" s="169" t="e">
        <f>MAX(Intersections!P100,Intersections!R100)</f>
        <v>#DIV/0!</v>
      </c>
      <c r="P29" s="172" t="e">
        <f>MAX(Intersections!Q100,Intersections!S100)</f>
        <v>#DIV/0!</v>
      </c>
      <c r="Q29" s="169" t="e">
        <f>MAX(Intersections!R100,Intersections!T100)</f>
        <v>#DIV/0!</v>
      </c>
      <c r="R29" s="172" t="e">
        <f>MAX(Intersections!S100,Intersections!U100)</f>
        <v>#DIV/0!</v>
      </c>
      <c r="S29" s="169" t="e">
        <f>MAX(Intersections!T100,Intersections!V100)</f>
        <v>#DIV/0!</v>
      </c>
      <c r="T29" s="172" t="e">
        <f>MAX(Intersections!U100,Intersections!W100)</f>
        <v>#DIV/0!</v>
      </c>
      <c r="U29" s="169">
        <f>MAX(Intersections!V100,Intersections!X100)</f>
        <v>41.640766849118947</v>
      </c>
      <c r="V29" s="172" t="e">
        <f>MAX(Intersections!W100,Intersections!Y100)</f>
        <v>#DIV/0!</v>
      </c>
      <c r="W29" s="169">
        <f>MAX(Intersections!X100,Intersections!Z100)</f>
        <v>26.917647167362986</v>
      </c>
      <c r="X29" s="172" t="e">
        <f>MAX(Intersections!Y100,Intersections!AA100)</f>
        <v>#DIV/0!</v>
      </c>
      <c r="Y29" s="169">
        <f>MAX(Intersections!Z100,Intersections!AB100)</f>
        <v>26.917647167362986</v>
      </c>
      <c r="Z29" s="172" t="e">
        <f>MAX(Intersections!AA100,Intersections!AC100)</f>
        <v>#DIV/0!</v>
      </c>
      <c r="AA29" s="169">
        <f>MAX(Intersections!AB100,Intersections!AD100)</f>
        <v>27.288146886248292</v>
      </c>
      <c r="AB29" s="172" t="e">
        <f>MAX(Intersections!AC100,Intersections!AE100)</f>
        <v>#DIV/0!</v>
      </c>
      <c r="AC29" s="169">
        <f>MAX(Intersections!AD100,Intersections!AF100)</f>
        <v>27.288146886248292</v>
      </c>
      <c r="AD29" s="172" t="e">
        <f>MAX(Intersections!AE100,Intersections!AG100)</f>
        <v>#DIV/0!</v>
      </c>
      <c r="AE29" s="169" t="e">
        <f>MAX(Intersections!AF100,Intersections!AH100)</f>
        <v>#REF!</v>
      </c>
      <c r="AF29" s="172" t="e">
        <f>MAX(Intersections!AG100,Intersections!AI100)</f>
        <v>#REF!</v>
      </c>
      <c r="AG29" s="169" t="e">
        <f>MAX(Intersections!AH100,Intersections!AJ100)</f>
        <v>#REF!</v>
      </c>
      <c r="AH29" s="172" t="e">
        <f>MAX(Intersections!AI100,Intersections!AK100)</f>
        <v>#REF!</v>
      </c>
      <c r="AI29" s="169" t="e">
        <f>MAX(Intersections!AJ100,Intersections!AL100)</f>
        <v>#REF!</v>
      </c>
      <c r="AJ29" s="172" t="e">
        <f>MAX(Intersections!AK100,Intersections!AM100)</f>
        <v>#REF!</v>
      </c>
      <c r="AK29" s="169" t="e">
        <f>MAX(Intersections!AL100,Intersections!AN100)</f>
        <v>#DIV/0!</v>
      </c>
      <c r="AL29" s="172" t="e">
        <f>MAX(Intersections!AM100,Intersections!AO100)</f>
        <v>#DIV/0!</v>
      </c>
      <c r="AM29" s="169" t="e">
        <f>MAX(Intersections!AN100,Intersections!AP100)</f>
        <v>#DIV/0!</v>
      </c>
      <c r="AN29" s="172" t="e">
        <f>MAX(Intersections!AO100,Intersections!AQ100)</f>
        <v>#DIV/0!</v>
      </c>
      <c r="AO29" s="169" t="e">
        <f>MAX(Intersections!AP100,Intersections!AR100)</f>
        <v>#DIV/0!</v>
      </c>
      <c r="AP29" s="172" t="e">
        <f>MAX(Intersections!AQ100,Intersections!AS100)</f>
        <v>#DIV/0!</v>
      </c>
      <c r="AQ29" s="169" t="e">
        <f>MAX(Intersections!AR100,Intersections!AT100)</f>
        <v>#DIV/0!</v>
      </c>
      <c r="AR29" s="172" t="e">
        <f>MAX(Intersections!AS100,Intersections!AU100)</f>
        <v>#DIV/0!</v>
      </c>
      <c r="AS29" s="51"/>
      <c r="AT29" s="56"/>
    </row>
    <row r="30" spans="2:46" ht="14.25" x14ac:dyDescent="0.25">
      <c r="B30" s="55"/>
      <c r="C30" s="10" t="s">
        <v>217</v>
      </c>
      <c r="D30" s="11" t="s">
        <v>92</v>
      </c>
      <c r="E30" s="169">
        <f>Links!F74</f>
        <v>4.0161952421554714</v>
      </c>
      <c r="F30" s="170">
        <f>Links!G74</f>
        <v>3.2648373207858734</v>
      </c>
      <c r="G30" s="169">
        <f>Links!H74</f>
        <v>4.0877220914732444</v>
      </c>
      <c r="H30" s="170">
        <f>Links!I74</f>
        <v>3.0523781673022583</v>
      </c>
      <c r="I30" s="169">
        <f>Links!J74</f>
        <v>4.3456421891764423</v>
      </c>
      <c r="J30" s="170">
        <f>Links!K74</f>
        <v>4.1867866661224271</v>
      </c>
      <c r="K30" s="169">
        <f>Links!L74</f>
        <v>3.606447295956503</v>
      </c>
      <c r="L30" s="170">
        <f>Links!M74</f>
        <v>4.0490137569543307</v>
      </c>
      <c r="M30" s="169">
        <f>Links!N74</f>
        <v>4.2210550268287879</v>
      </c>
      <c r="N30" s="170">
        <f>Links!O74</f>
        <v>3.9560435469914426</v>
      </c>
      <c r="O30" s="169">
        <f>Links!P74</f>
        <v>4.1905335237873569</v>
      </c>
      <c r="P30" s="170">
        <f>Links!Q74</f>
        <v>3.8231606412326888</v>
      </c>
      <c r="Q30" s="169">
        <f>Links!R74</f>
        <v>4.1952608307630443</v>
      </c>
      <c r="R30" s="170">
        <f>Links!S74</f>
        <v>3.7848300516760123</v>
      </c>
      <c r="S30" s="169">
        <f>Links!T74</f>
        <v>0</v>
      </c>
      <c r="T30" s="170">
        <f>Links!U74</f>
        <v>0</v>
      </c>
      <c r="U30" s="169">
        <f>Links!V74</f>
        <v>0</v>
      </c>
      <c r="V30" s="170">
        <f>Links!W74</f>
        <v>0</v>
      </c>
      <c r="W30" s="169">
        <f>Links!X74</f>
        <v>0</v>
      </c>
      <c r="X30" s="170">
        <f>Links!Y74</f>
        <v>0</v>
      </c>
      <c r="Y30" s="169">
        <f>Links!Z74</f>
        <v>0</v>
      </c>
      <c r="Z30" s="170">
        <f>Links!AA74</f>
        <v>0</v>
      </c>
      <c r="AA30" s="169">
        <f>Links!AB74</f>
        <v>0</v>
      </c>
      <c r="AB30" s="170">
        <f>Links!AC74</f>
        <v>0</v>
      </c>
      <c r="AC30" s="169">
        <f>Links!AD74</f>
        <v>0</v>
      </c>
      <c r="AD30" s="170">
        <f>Links!AE74</f>
        <v>0</v>
      </c>
      <c r="AE30" s="169">
        <f>Links!AF74</f>
        <v>0</v>
      </c>
      <c r="AF30" s="170">
        <f>Links!AG74</f>
        <v>0</v>
      </c>
      <c r="AG30" s="169">
        <f>Links!AH74</f>
        <v>0</v>
      </c>
      <c r="AH30" s="170">
        <f>Links!AI74</f>
        <v>0</v>
      </c>
      <c r="AI30" s="169">
        <f>Links!AJ74</f>
        <v>0</v>
      </c>
      <c r="AJ30" s="170">
        <f>Links!AK74</f>
        <v>0</v>
      </c>
      <c r="AK30" s="169">
        <f>Links!AL74</f>
        <v>0</v>
      </c>
      <c r="AL30" s="170">
        <f>Links!AM74</f>
        <v>0</v>
      </c>
      <c r="AM30" s="169">
        <f>Links!AN74</f>
        <v>0</v>
      </c>
      <c r="AN30" s="170">
        <f>Links!AO74</f>
        <v>0</v>
      </c>
      <c r="AO30" s="169">
        <f>Links!AP74</f>
        <v>0</v>
      </c>
      <c r="AP30" s="170">
        <f>Links!AQ74</f>
        <v>0</v>
      </c>
      <c r="AQ30" s="169">
        <f>Links!AR74</f>
        <v>0</v>
      </c>
      <c r="AR30" s="170">
        <f>Links!AS74</f>
        <v>0</v>
      </c>
      <c r="AS30" s="51"/>
      <c r="AT30" s="56"/>
    </row>
    <row r="31" spans="2:46" ht="15.75" customHeight="1" x14ac:dyDescent="0.25">
      <c r="B31" s="55"/>
      <c r="C31" s="10" t="s">
        <v>215</v>
      </c>
      <c r="D31" s="11" t="s">
        <v>211</v>
      </c>
      <c r="E31" s="295">
        <f>Intersections!F117</f>
        <v>2.7107749999999995</v>
      </c>
      <c r="F31" s="299"/>
      <c r="G31" s="295">
        <f>Intersections!J117</f>
        <v>2.2087249999999994</v>
      </c>
      <c r="H31" s="299"/>
      <c r="I31" s="295">
        <f>Intersections!N117</f>
        <v>3.2047249999999998</v>
      </c>
      <c r="J31" s="299"/>
      <c r="K31" s="295">
        <f>Intersections!V117</f>
        <v>2.7701750000000001</v>
      </c>
      <c r="L31" s="299"/>
      <c r="M31" s="295">
        <f>Intersections!Z117</f>
        <v>2.2171999999999992</v>
      </c>
      <c r="N31" s="299"/>
      <c r="O31" s="295">
        <f>Intersections!AD117</f>
        <v>2.3857249999999994</v>
      </c>
      <c r="P31" s="299"/>
      <c r="Q31" s="295">
        <f>Intersections!AH117</f>
        <v>2.5933249999999997</v>
      </c>
      <c r="R31" s="299"/>
      <c r="S31" s="295" t="str">
        <f>Intersections!AL117</f>
        <v/>
      </c>
      <c r="T31" s="299"/>
      <c r="U31" s="295" t="str">
        <f>Intersections!AP117</f>
        <v/>
      </c>
      <c r="V31" s="299"/>
      <c r="W31" s="295" t="str">
        <f>Intersections!AT117</f>
        <v/>
      </c>
      <c r="X31" s="299"/>
      <c r="Y31" s="295" t="str">
        <f>Intersections!AX117</f>
        <v/>
      </c>
      <c r="Z31" s="299"/>
      <c r="AA31" s="295" t="str">
        <f>Intersections!BB117</f>
        <v/>
      </c>
      <c r="AB31" s="299"/>
      <c r="AC31" s="295" t="str">
        <f>Intersections!BF117</f>
        <v/>
      </c>
      <c r="AD31" s="299"/>
      <c r="AE31" s="295" t="str">
        <f>Intersections!BJ117</f>
        <v/>
      </c>
      <c r="AF31" s="299"/>
      <c r="AG31" s="295" t="str">
        <f>Intersections!BN117</f>
        <v/>
      </c>
      <c r="AH31" s="299"/>
      <c r="AI31" s="295" t="str">
        <f>Intersections!BR117</f>
        <v/>
      </c>
      <c r="AJ31" s="299"/>
      <c r="AK31" s="295" t="str">
        <f>Intersections!BV117</f>
        <v/>
      </c>
      <c r="AL31" s="299"/>
      <c r="AM31" s="295" t="str">
        <f>Intersections!BZ117</f>
        <v/>
      </c>
      <c r="AN31" s="299"/>
      <c r="AO31" s="295" t="str">
        <f>Intersections!CD117</f>
        <v/>
      </c>
      <c r="AP31" s="299"/>
      <c r="AQ31" s="295" t="str">
        <f>Intersections!CH117</f>
        <v/>
      </c>
      <c r="AR31" s="299"/>
      <c r="AS31" s="51"/>
      <c r="AT31" s="56"/>
    </row>
    <row r="32" spans="2:46" ht="14.25" x14ac:dyDescent="0.25">
      <c r="B32" s="55"/>
      <c r="C32" s="10" t="s">
        <v>540</v>
      </c>
      <c r="D32" s="11" t="s">
        <v>541</v>
      </c>
      <c r="E32" s="169">
        <f>IF(OR(E30=0,E31=0),"",0.75*((E28*(E27+E30+1)^3+E29*(E31+1)^3)/(E28+E29))^(1/3))</f>
        <v>2.9499031452189706</v>
      </c>
      <c r="F32" s="170">
        <f>IF(OR(F30=0,E31=0),"",0.75*((F28*(F27+F30+1)^3+F29*(E31+1)^3)/(F28+F29))^(1/3))</f>
        <v>2.747646056596861</v>
      </c>
      <c r="G32" s="169" t="e">
        <f>IF(OR(G30=0,G31=0),"",0.75*((G28*(G27+G30+1)^3+G29*(G31+1)^3)/(G28+G29))^(1/3))</f>
        <v>#DIV/0!</v>
      </c>
      <c r="H32" s="170" t="e">
        <f>IF(OR(H30=0,G31=0),"",0.75*((H28*(H27+H30+1)^3+H29*(G31+1)^3)/(H28+H29))^(1/3))</f>
        <v>#DIV/0!</v>
      </c>
      <c r="I32" s="169" t="e">
        <f>IF(OR(I30=0,I31=0),"",0.75*((I28*(I27+I30+1)^3+I29*(I31+1)^3)/(I28+I29))^(1/3))</f>
        <v>#DIV/0!</v>
      </c>
      <c r="J32" s="170" t="e">
        <f>IF(OR(J30=0,I31=0),"",0.75*((J28*(J27+J30+1)^3+J29*(I31+1)^3)/(J28+J29))^(1/3))</f>
        <v>#DIV/0!</v>
      </c>
      <c r="K32" s="169" t="e">
        <f>IF(OR(K30=0,K31=0),"",0.75*((K28*(K27+K30+1)^3+K29*(K31+1)^3)/(K28+K29))^(1/3))</f>
        <v>#DIV/0!</v>
      </c>
      <c r="L32" s="170" t="e">
        <f>IF(OR(L30=0,K31=0),"",0.75*((L28*(L27+L30+1)^3+L29*(K31+1)^3)/(L28+L29))^(1/3))</f>
        <v>#DIV/0!</v>
      </c>
      <c r="M32" s="169">
        <f>IF(OR(M30=0,M31=0),"",0.75*((M28*(M27+M30+1)^3+M29*(M31+1)^3)/(M28+M29))^(1/3))</f>
        <v>3.1107076523391228</v>
      </c>
      <c r="N32" s="170">
        <f>IF(OR(N30=0,M31=0),"",0.75*((N28*(N27+N30+1)^3+N29*(M31+1)^3)/(N28+N29))^(1/3))</f>
        <v>2.9583023976359963</v>
      </c>
      <c r="O32" s="169" t="e">
        <f>IF(OR(O30=0,O31=0),"",0.75*((O28*(O27+O30+1)^3+O29*(O31+1)^3)/(O28+O29))^(1/3))</f>
        <v>#DIV/0!</v>
      </c>
      <c r="P32" s="170" t="e">
        <f>IF(OR(P30=0,O31=0),"",0.75*((P28*(P27+P30+1)^3+P29*(O31+1)^3)/(P28+P29))^(1/3))</f>
        <v>#DIV/0!</v>
      </c>
      <c r="Q32" s="169" t="e">
        <f>IF(OR(Q30=0,Q31=0),"",0.75*((Q28*(Q27+Q30+1)^3+Q29*(Q31+1)^3)/(Q28+Q29))^(1/3))</f>
        <v>#DIV/0!</v>
      </c>
      <c r="R32" s="170" t="e">
        <f>IF(OR(R30=0,Q31=0),"",0.75*((R28*(R27+R30+1)^3+R29*(Q31+1)^3)/(R28+R29))^(1/3))</f>
        <v>#DIV/0!</v>
      </c>
      <c r="S32" s="169" t="str">
        <f>IF(OR(S30=0,S31=0),"",0.75*((S28*(S27+S30+1)^3+S29*(S31+1)^3)/(S28+S29))^(1/3))</f>
        <v/>
      </c>
      <c r="T32" s="170" t="str">
        <f>IF(OR(T30=0,S31=0),"",0.75*((T28*(T27+T30+1)^3+T29*(S31+1)^3)/(T28+T29))^(1/3))</f>
        <v/>
      </c>
      <c r="U32" s="169" t="str">
        <f>IF(OR(U30=0,U31=0),"",0.75*((U28*(U27+U30+1)^3+U29*(U31+1)^3)/(U28+U29))^(1/3))</f>
        <v/>
      </c>
      <c r="V32" s="170" t="str">
        <f>IF(OR(V30=0,U31=0),"",0.75*((V28*(V27+V30+1)^3+V29*(U31+1)^3)/(V28+V29))^(1/3))</f>
        <v/>
      </c>
      <c r="W32" s="169" t="str">
        <f>IF(OR(W30=0,W31=0),"",0.75*((W28*(W27+W30+1)^3+W29*(W31+1)^3)/(W28+W29))^(1/3))</f>
        <v/>
      </c>
      <c r="X32" s="170" t="str">
        <f>IF(OR(X30=0,W31=0),"",0.75*((X28*(X27+X30+1)^3+X29*(W31+1)^3)/(X28+X29))^(1/3))</f>
        <v/>
      </c>
      <c r="Y32" s="169" t="str">
        <f>IF(OR(Y30=0,Y31=0),"",0.75*((Y28*(Y27+Y30+1)^3+Y29*(Y31+1)^3)/(Y28+Y29))^(1/3))</f>
        <v/>
      </c>
      <c r="Z32" s="170" t="str">
        <f>IF(OR(Z30=0,Y31=0),"",0.75*((Z28*(Z27+Z30+1)^3+Z29*(Y31+1)^3)/(Z28+Z29))^(1/3))</f>
        <v/>
      </c>
      <c r="AA32" s="169" t="str">
        <f>IF(OR(AA30=0,AA31=0),"",0.75*((AA28*(AA27+AA30+1)^3+AA29*(AA31+1)^3)/(AA28+AA29))^(1/3))</f>
        <v/>
      </c>
      <c r="AB32" s="170" t="str">
        <f>IF(OR(AB30=0,AA31=0),"",0.75*((AB28*(AB27+AB30+1)^3+AB29*(AA31+1)^3)/(AB28+AB29))^(1/3))</f>
        <v/>
      </c>
      <c r="AC32" s="169" t="str">
        <f>IF(OR(AC30=0,AC31=0),"",0.75*((AC28*(AC27+AC30+1)^3+AC29*(AC31+1)^3)/(AC28+AC29))^(1/3))</f>
        <v/>
      </c>
      <c r="AD32" s="170" t="str">
        <f>IF(OR(AD30=0,AC31=0),"",0.75*((AD28*(AD27+AD30+1)^3+AD29*(AC31+1)^3)/(AD28+AD29))^(1/3))</f>
        <v/>
      </c>
      <c r="AE32" s="169" t="str">
        <f>IF(OR(AE30=0,AE31=0),"",0.75*((AE28*(AE27+AE30+1)^3+AE29*(AE31+1)^3)/(AE28+AE29))^(1/3))</f>
        <v/>
      </c>
      <c r="AF32" s="170" t="str">
        <f>IF(OR(AF30=0,AE31=0),"",0.75*((AF28*(AF27+AF30+1)^3+AF29*(AE31+1)^3)/(AF28+AF29))^(1/3))</f>
        <v/>
      </c>
      <c r="AG32" s="169" t="str">
        <f>IF(OR(AG30=0,AG31=0),"",0.75*((AG28*(AG27+AG30+1)^3+AG29*(AG31+1)^3)/(AG28+AG29))^(1/3))</f>
        <v/>
      </c>
      <c r="AH32" s="170" t="str">
        <f>IF(OR(AH30=0,AG31=0),"",0.75*((AH28*(AH27+AH30+1)^3+AH29*(AG31+1)^3)/(AH28+AH29))^(1/3))</f>
        <v/>
      </c>
      <c r="AI32" s="169" t="str">
        <f>IF(OR(AI30=0,AI31=0),"",0.75*((AI28*(AI27+AI30+1)^3+AI29*(AI31+1)^3)/(AI28+AI29))^(1/3))</f>
        <v/>
      </c>
      <c r="AJ32" s="170" t="str">
        <f>IF(OR(AJ30=0,AI31=0),"",0.75*((AJ28*(AJ27+AJ30+1)^3+AJ29*(AI31+1)^3)/(AJ28+AJ29))^(1/3))</f>
        <v/>
      </c>
      <c r="AK32" s="169" t="str">
        <f>IF(OR(AK30=0,AK31=0),"",0.75*((AK28*(AK27+AK30+1)^3+AK29*(AK31+1)^3)/(AK28+AK29))^(1/3))</f>
        <v/>
      </c>
      <c r="AL32" s="170" t="str">
        <f>IF(OR(AL30=0,AK31=0),"",0.75*((AL28*(AL27+AL30+1)^3+AL29*(AK31+1)^3)/(AL28+AL29))^(1/3))</f>
        <v/>
      </c>
      <c r="AM32" s="169" t="str">
        <f>IF(OR(AM30=0,AM31=0),"",0.75*((AM28*(AM27+AM30+1)^3+AM29*(AM31+1)^3)/(AM28+AM29))^(1/3))</f>
        <v/>
      </c>
      <c r="AN32" s="170" t="str">
        <f>IF(OR(AN30=0,AM31=0),"",0.75*((AN28*(AN27+AN30+1)^3+AN29*(AM31+1)^3)/(AN28+AN29))^(1/3))</f>
        <v/>
      </c>
      <c r="AO32" s="169" t="str">
        <f>IF(OR(AO30=0,AO31=0),"",0.75*((AO28*(AO27+AO30+1)^3+AO29*(AO31+1)^3)/(AO28+AO29))^(1/3))</f>
        <v/>
      </c>
      <c r="AP32" s="170" t="str">
        <f>IF(OR(AP30=0,AO31=0),"",0.75*((AP28*(AP27+AP30+1)^3+AP29*(AO31+1)^3)/(AP28+AP29))^(1/3))</f>
        <v/>
      </c>
      <c r="AQ32" s="169" t="str">
        <f>IF(OR(AQ30=0,AQ31=0),"",0.75*((AQ28*(AQ27+AQ30+1)^3+AQ29*(AQ31+1)^3)/(AQ28+AQ29))^(1/3))</f>
        <v/>
      </c>
      <c r="AR32" s="170"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1" t="str">
        <f t="shared" si="5"/>
        <v>B</v>
      </c>
      <c r="G33" s="10" t="e">
        <f t="shared" si="5"/>
        <v>#DIV/0!</v>
      </c>
      <c r="H33" s="171" t="e">
        <f t="shared" si="5"/>
        <v>#DIV/0!</v>
      </c>
      <c r="I33" s="10" t="e">
        <f t="shared" si="5"/>
        <v>#DIV/0!</v>
      </c>
      <c r="J33" s="171" t="e">
        <f t="shared" si="5"/>
        <v>#DIV/0!</v>
      </c>
      <c r="K33" s="10" t="e">
        <f t="shared" si="5"/>
        <v>#DIV/0!</v>
      </c>
      <c r="L33" s="171" t="e">
        <f t="shared" si="5"/>
        <v>#DIV/0!</v>
      </c>
      <c r="M33" s="10" t="str">
        <f t="shared" si="5"/>
        <v>C</v>
      </c>
      <c r="N33" s="171" t="str">
        <f t="shared" si="5"/>
        <v>C</v>
      </c>
      <c r="O33" s="10" t="e">
        <f t="shared" si="5"/>
        <v>#DIV/0!</v>
      </c>
      <c r="P33" s="171" t="e">
        <f t="shared" si="5"/>
        <v>#DIV/0!</v>
      </c>
      <c r="Q33" s="10" t="e">
        <f t="shared" si="5"/>
        <v>#DIV/0!</v>
      </c>
      <c r="R33" s="171" t="e">
        <f t="shared" si="5"/>
        <v>#DIV/0!</v>
      </c>
      <c r="S33" s="10" t="str">
        <f t="shared" si="5"/>
        <v/>
      </c>
      <c r="T33" s="171" t="str">
        <f t="shared" si="5"/>
        <v/>
      </c>
      <c r="U33" s="10" t="str">
        <f t="shared" si="5"/>
        <v/>
      </c>
      <c r="V33" s="171" t="str">
        <f t="shared" si="5"/>
        <v/>
      </c>
      <c r="W33" s="10" t="str">
        <f t="shared" si="5"/>
        <v/>
      </c>
      <c r="X33" s="171" t="str">
        <f t="shared" si="5"/>
        <v/>
      </c>
      <c r="Y33" s="10" t="str">
        <f t="shared" si="5"/>
        <v/>
      </c>
      <c r="Z33" s="171" t="str">
        <f t="shared" si="5"/>
        <v/>
      </c>
      <c r="AA33" s="10" t="str">
        <f t="shared" si="5"/>
        <v/>
      </c>
      <c r="AB33" s="171" t="str">
        <f t="shared" si="5"/>
        <v/>
      </c>
      <c r="AC33" s="10" t="str">
        <f t="shared" si="5"/>
        <v/>
      </c>
      <c r="AD33" s="171" t="str">
        <f t="shared" si="5"/>
        <v/>
      </c>
      <c r="AE33" s="10" t="str">
        <f t="shared" si="5"/>
        <v/>
      </c>
      <c r="AF33" s="171" t="str">
        <f t="shared" si="5"/>
        <v/>
      </c>
      <c r="AG33" s="10" t="str">
        <f t="shared" si="5"/>
        <v/>
      </c>
      <c r="AH33" s="171" t="str">
        <f t="shared" si="5"/>
        <v/>
      </c>
      <c r="AI33" s="10" t="str">
        <f t="shared" si="5"/>
        <v/>
      </c>
      <c r="AJ33" s="171" t="str">
        <f t="shared" si="5"/>
        <v/>
      </c>
      <c r="AK33" s="10" t="str">
        <f t="shared" si="5"/>
        <v/>
      </c>
      <c r="AL33" s="171" t="str">
        <f t="shared" si="5"/>
        <v/>
      </c>
      <c r="AM33" s="10" t="str">
        <f t="shared" si="5"/>
        <v/>
      </c>
      <c r="AN33" s="171" t="str">
        <f t="shared" si="5"/>
        <v/>
      </c>
      <c r="AO33" s="10" t="str">
        <f t="shared" si="5"/>
        <v/>
      </c>
      <c r="AP33" s="171" t="str">
        <f t="shared" si="5"/>
        <v/>
      </c>
      <c r="AQ33" s="10" t="str">
        <f t="shared" si="5"/>
        <v/>
      </c>
      <c r="AR33" s="171" t="str">
        <f t="shared" si="5"/>
        <v/>
      </c>
      <c r="AS33" s="51"/>
      <c r="AT33" s="56"/>
    </row>
    <row r="34" spans="2:46" s="22" customFormat="1" ht="15.75" x14ac:dyDescent="0.25">
      <c r="B34" s="61"/>
      <c r="C34" s="17"/>
      <c r="D34" s="8" t="s">
        <v>198</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218</v>
      </c>
      <c r="D35" s="11" t="s">
        <v>89</v>
      </c>
      <c r="E35" s="169">
        <f>Links!F86</f>
        <v>1.7658449627305508</v>
      </c>
      <c r="F35" s="170">
        <f>Links!G86</f>
        <v>1.7474539745358457</v>
      </c>
      <c r="G35" s="169">
        <f>Links!H86</f>
        <v>1.7829074627305508</v>
      </c>
      <c r="H35" s="170">
        <f>Links!I86</f>
        <v>1.7075277245358456</v>
      </c>
      <c r="I35" s="169">
        <f>Links!J86</f>
        <v>1.8584698683265839</v>
      </c>
      <c r="J35" s="170">
        <f>Links!K86</f>
        <v>1.8118176221232269</v>
      </c>
      <c r="K35" s="169">
        <f>Links!L86</f>
        <v>1.8693817064570357</v>
      </c>
      <c r="L35" s="170">
        <f>Links!M86</f>
        <v>1.7662533298046112</v>
      </c>
      <c r="M35" s="169">
        <f>Links!N86</f>
        <v>1.8302331901198117</v>
      </c>
      <c r="N35" s="170">
        <f>Links!O86</f>
        <v>1.7564451206577698</v>
      </c>
      <c r="O35" s="169">
        <f>Links!P86</f>
        <v>1.7976552910688586</v>
      </c>
      <c r="P35" s="170">
        <f>Links!Q86</f>
        <v>1.7222390410688586</v>
      </c>
      <c r="Q35" s="169">
        <f>Links!R86</f>
        <v>1.7990202910688586</v>
      </c>
      <c r="R35" s="170">
        <f>Links!S86</f>
        <v>1.7171202910688586</v>
      </c>
      <c r="S35" s="169">
        <f>Links!T86</f>
        <v>0</v>
      </c>
      <c r="T35" s="170">
        <f>Links!U86</f>
        <v>0</v>
      </c>
      <c r="U35" s="169">
        <f>Links!V86</f>
        <v>0</v>
      </c>
      <c r="V35" s="170">
        <f>Links!W86</f>
        <v>0</v>
      </c>
      <c r="W35" s="169">
        <f>Links!X86</f>
        <v>0</v>
      </c>
      <c r="X35" s="170">
        <f>Links!Y86</f>
        <v>0</v>
      </c>
      <c r="Y35" s="169">
        <f>Links!Z86</f>
        <v>0</v>
      </c>
      <c r="Z35" s="170">
        <f>Links!AA86</f>
        <v>0</v>
      </c>
      <c r="AA35" s="169">
        <f>Links!AB86</f>
        <v>0</v>
      </c>
      <c r="AB35" s="170">
        <f>Links!AC86</f>
        <v>0</v>
      </c>
      <c r="AC35" s="169">
        <f>Links!AD86</f>
        <v>0</v>
      </c>
      <c r="AD35" s="170">
        <f>Links!AE86</f>
        <v>0</v>
      </c>
      <c r="AE35" s="169">
        <f>Links!AF86</f>
        <v>0</v>
      </c>
      <c r="AF35" s="170">
        <f>Links!AG86</f>
        <v>0</v>
      </c>
      <c r="AG35" s="169">
        <f>Links!AH86</f>
        <v>0</v>
      </c>
      <c r="AH35" s="170">
        <f>Links!AI86</f>
        <v>0</v>
      </c>
      <c r="AI35" s="169">
        <f>Links!AJ86</f>
        <v>0</v>
      </c>
      <c r="AJ35" s="170">
        <f>Links!AK86</f>
        <v>0</v>
      </c>
      <c r="AK35" s="169">
        <f>Links!AL86</f>
        <v>0</v>
      </c>
      <c r="AL35" s="170">
        <f>Links!AM86</f>
        <v>0</v>
      </c>
      <c r="AM35" s="169">
        <f>Links!AN86</f>
        <v>0</v>
      </c>
      <c r="AN35" s="170">
        <f>Links!AO86</f>
        <v>0</v>
      </c>
      <c r="AO35" s="169">
        <f>Links!AP86</f>
        <v>0</v>
      </c>
      <c r="AP35" s="170">
        <f>Links!AQ86</f>
        <v>0</v>
      </c>
      <c r="AQ35" s="169">
        <f>Links!AR86</f>
        <v>0</v>
      </c>
      <c r="AR35" s="170">
        <f>Links!AS86</f>
        <v>0</v>
      </c>
      <c r="AS35" s="51"/>
      <c r="AT35" s="56"/>
    </row>
    <row r="36" spans="2:46" x14ac:dyDescent="0.25">
      <c r="B36" s="55"/>
      <c r="C36" s="10"/>
      <c r="D36" s="11" t="s">
        <v>52</v>
      </c>
      <c r="E36" s="10" t="str">
        <f t="shared" ref="E36:AR36" si="6">IF(E35&lt;=2,"A",IF(E35&lt;=2.75,"B",IF(E35&lt;=3.5,"C",IF(E35&lt;=4.25,"D",IF(E35&lt;=5,"E","F")))))</f>
        <v>A</v>
      </c>
      <c r="F36" s="171" t="str">
        <f t="shared" si="6"/>
        <v>A</v>
      </c>
      <c r="G36" s="10" t="str">
        <f t="shared" si="6"/>
        <v>A</v>
      </c>
      <c r="H36" s="171" t="str">
        <f t="shared" si="6"/>
        <v>A</v>
      </c>
      <c r="I36" s="10" t="str">
        <f t="shared" si="6"/>
        <v>A</v>
      </c>
      <c r="J36" s="171" t="str">
        <f t="shared" si="6"/>
        <v>A</v>
      </c>
      <c r="K36" s="10" t="str">
        <f t="shared" si="6"/>
        <v>A</v>
      </c>
      <c r="L36" s="171" t="str">
        <f t="shared" si="6"/>
        <v>A</v>
      </c>
      <c r="M36" s="10" t="str">
        <f t="shared" si="6"/>
        <v>A</v>
      </c>
      <c r="N36" s="171" t="str">
        <f t="shared" si="6"/>
        <v>A</v>
      </c>
      <c r="O36" s="10" t="str">
        <f t="shared" si="6"/>
        <v>A</v>
      </c>
      <c r="P36" s="171" t="str">
        <f t="shared" si="6"/>
        <v>A</v>
      </c>
      <c r="Q36" s="10" t="str">
        <f t="shared" si="6"/>
        <v>A</v>
      </c>
      <c r="R36" s="171" t="str">
        <f t="shared" si="6"/>
        <v>A</v>
      </c>
      <c r="S36" s="10" t="str">
        <f t="shared" si="6"/>
        <v>A</v>
      </c>
      <c r="T36" s="171" t="str">
        <f t="shared" si="6"/>
        <v>A</v>
      </c>
      <c r="U36" s="10" t="str">
        <f t="shared" si="6"/>
        <v>A</v>
      </c>
      <c r="V36" s="171" t="str">
        <f t="shared" si="6"/>
        <v>A</v>
      </c>
      <c r="W36" s="10" t="str">
        <f t="shared" si="6"/>
        <v>A</v>
      </c>
      <c r="X36" s="171" t="str">
        <f t="shared" si="6"/>
        <v>A</v>
      </c>
      <c r="Y36" s="10" t="str">
        <f t="shared" si="6"/>
        <v>A</v>
      </c>
      <c r="Z36" s="171" t="str">
        <f t="shared" si="6"/>
        <v>A</v>
      </c>
      <c r="AA36" s="10" t="str">
        <f t="shared" si="6"/>
        <v>A</v>
      </c>
      <c r="AB36" s="171" t="str">
        <f t="shared" si="6"/>
        <v>A</v>
      </c>
      <c r="AC36" s="10" t="str">
        <f t="shared" si="6"/>
        <v>A</v>
      </c>
      <c r="AD36" s="171" t="str">
        <f t="shared" si="6"/>
        <v>A</v>
      </c>
      <c r="AE36" s="10" t="str">
        <f t="shared" si="6"/>
        <v>A</v>
      </c>
      <c r="AF36" s="171" t="str">
        <f t="shared" si="6"/>
        <v>A</v>
      </c>
      <c r="AG36" s="10" t="str">
        <f t="shared" si="6"/>
        <v>A</v>
      </c>
      <c r="AH36" s="171" t="str">
        <f t="shared" si="6"/>
        <v>A</v>
      </c>
      <c r="AI36" s="10" t="str">
        <f t="shared" si="6"/>
        <v>A</v>
      </c>
      <c r="AJ36" s="171" t="str">
        <f t="shared" si="6"/>
        <v>A</v>
      </c>
      <c r="AK36" s="10" t="str">
        <f t="shared" si="6"/>
        <v>A</v>
      </c>
      <c r="AL36" s="171" t="str">
        <f t="shared" si="6"/>
        <v>A</v>
      </c>
      <c r="AM36" s="10" t="str">
        <f t="shared" si="6"/>
        <v>A</v>
      </c>
      <c r="AN36" s="171" t="str">
        <f t="shared" si="6"/>
        <v>A</v>
      </c>
      <c r="AO36" s="10" t="str">
        <f t="shared" si="6"/>
        <v>A</v>
      </c>
      <c r="AP36" s="171" t="str">
        <f t="shared" si="6"/>
        <v>A</v>
      </c>
      <c r="AQ36" s="10" t="str">
        <f t="shared" si="6"/>
        <v>A</v>
      </c>
      <c r="AR36" s="171"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280" t="s">
        <v>49</v>
      </c>
      <c r="D38" s="301"/>
      <c r="E38" s="280" t="str">
        <f>E3</f>
        <v>Segment 1</v>
      </c>
      <c r="F38" s="301"/>
      <c r="G38" s="280" t="str">
        <f>G3</f>
        <v>Link 2</v>
      </c>
      <c r="H38" s="301"/>
      <c r="I38" s="280" t="str">
        <f>I3</f>
        <v>Link 3</v>
      </c>
      <c r="J38" s="301"/>
      <c r="K38" s="280" t="str">
        <f>K3</f>
        <v>Link 4</v>
      </c>
      <c r="L38" s="301"/>
      <c r="M38" s="280" t="str">
        <f>M3</f>
        <v>Link 5</v>
      </c>
      <c r="N38" s="301"/>
      <c r="O38" s="280" t="str">
        <f>O3</f>
        <v>Link 6</v>
      </c>
      <c r="P38" s="301"/>
      <c r="Q38" s="280" t="str">
        <f>Q3</f>
        <v>Link 7</v>
      </c>
      <c r="R38" s="301"/>
      <c r="S38" s="280" t="str">
        <f>S3</f>
        <v>Link 8</v>
      </c>
      <c r="T38" s="301"/>
      <c r="U38" s="280" t="str">
        <f>U3</f>
        <v>Link 9</v>
      </c>
      <c r="V38" s="301"/>
      <c r="W38" s="280" t="str">
        <f>W3</f>
        <v>Link 10</v>
      </c>
      <c r="X38" s="301"/>
      <c r="Y38" s="280" t="str">
        <f>Y3</f>
        <v>Link 11</v>
      </c>
      <c r="Z38" s="301"/>
      <c r="AA38" s="280" t="str">
        <f>AA3</f>
        <v>Link 12</v>
      </c>
      <c r="AB38" s="301"/>
      <c r="AC38" s="280" t="str">
        <f>AC3</f>
        <v>Link 13</v>
      </c>
      <c r="AD38" s="301"/>
      <c r="AE38" s="280" t="str">
        <f>AE3</f>
        <v>Link 14</v>
      </c>
      <c r="AF38" s="301"/>
      <c r="AG38" s="280" t="str">
        <f>AG3</f>
        <v>Link 15</v>
      </c>
      <c r="AH38" s="301"/>
      <c r="AI38" s="280" t="str">
        <f>AI3</f>
        <v>Link 16</v>
      </c>
      <c r="AJ38" s="301"/>
      <c r="AK38" s="280" t="str">
        <f>AK3</f>
        <v>Link 17</v>
      </c>
      <c r="AL38" s="301"/>
      <c r="AM38" s="280" t="str">
        <f>AM3</f>
        <v>Link 18</v>
      </c>
      <c r="AN38" s="301"/>
      <c r="AO38" s="280" t="str">
        <f>AO3</f>
        <v>Link 19</v>
      </c>
      <c r="AP38" s="301"/>
      <c r="AQ38" s="280" t="str">
        <f>AQ3</f>
        <v>Link 20</v>
      </c>
      <c r="AR38" s="281"/>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216</v>
      </c>
      <c r="D40" s="11" t="s">
        <v>93</v>
      </c>
      <c r="E40" s="295">
        <f>IF(OR(ISBLANK(E8),E8=0),"",MAX(E22:F22))</f>
        <v>1.4003964760236025</v>
      </c>
      <c r="F40" s="299"/>
      <c r="G40" s="295">
        <f>IF(OR(ISBLANK(G8),G8=0),"",MAX(G22:H22))</f>
        <v>1.514146476023603</v>
      </c>
      <c r="H40" s="299"/>
      <c r="I40" s="295">
        <f>IF(OR(ISBLANK(I8),I8=0),"",MAX(I22:J22))</f>
        <v>2.0178958466638228</v>
      </c>
      <c r="J40" s="299"/>
      <c r="K40" s="295">
        <f>IF(OR(ISBLANK(K8),K8=0),"",MAX(K22:L22))</f>
        <v>2.0906414342001698</v>
      </c>
      <c r="L40" s="299"/>
      <c r="M40" s="295">
        <f>IF(OR(ISBLANK(M8),M8=0),"",MAX(M22:N22))</f>
        <v>1.8296513252853428</v>
      </c>
      <c r="N40" s="299"/>
      <c r="O40" s="295">
        <f>IF(OR(ISBLANK(O8),O8=0),"",MAX(O22:P22))</f>
        <v>1.6124653316123219</v>
      </c>
      <c r="P40" s="299"/>
      <c r="Q40" s="295">
        <f>IF(OR(ISBLANK(Q8),Q8=0),"",MAX(Q22:R22))</f>
        <v>1.621565331612322</v>
      </c>
      <c r="R40" s="299"/>
      <c r="S40" s="295" t="str">
        <f>IF(OR(ISBLANK(S8),S8=0),"",MAX(S22:T22))</f>
        <v/>
      </c>
      <c r="T40" s="299"/>
      <c r="U40" s="295" t="str">
        <f>IF(OR(ISBLANK(U8),U8=0),"",MAX(U22:V22))</f>
        <v/>
      </c>
      <c r="V40" s="299"/>
      <c r="W40" s="295" t="str">
        <f>IF(OR(ISBLANK(W8),W8=0),"",MAX(W22:X22))</f>
        <v/>
      </c>
      <c r="X40" s="299"/>
      <c r="Y40" s="295" t="str">
        <f>IF(OR(ISBLANK(Y8),Y8=0),"",MAX(Y22:Z22))</f>
        <v/>
      </c>
      <c r="Z40" s="299"/>
      <c r="AA40" s="295" t="str">
        <f>IF(OR(ISBLANK(AA8),AA8=0),"",MAX(AA22:AB22))</f>
        <v/>
      </c>
      <c r="AB40" s="299"/>
      <c r="AC40" s="295" t="str">
        <f>IF(OR(ISBLANK(AC8),AC8=0),"",MAX(AC22:AD22))</f>
        <v/>
      </c>
      <c r="AD40" s="299"/>
      <c r="AE40" s="295" t="str">
        <f>IF(OR(ISBLANK(AE8),AE8=0),"",MAX(AE22:AF22))</f>
        <v/>
      </c>
      <c r="AF40" s="299"/>
      <c r="AG40" s="295" t="str">
        <f>IF(OR(ISBLANK(AG8),AG8=0),"",MAX(AG22:AH22))</f>
        <v/>
      </c>
      <c r="AH40" s="299"/>
      <c r="AI40" s="295" t="str">
        <f>IF(OR(ISBLANK(AI8),AI8=0),"",MAX(AI22:AJ22))</f>
        <v/>
      </c>
      <c r="AJ40" s="299"/>
      <c r="AK40" s="295" t="str">
        <f>IF(OR(ISBLANK(AK8),AK8=0),"",MAX(AK22:AL22))</f>
        <v/>
      </c>
      <c r="AL40" s="299"/>
      <c r="AM40" s="295" t="str">
        <f>IF(OR(ISBLANK(AM8),AM8=0),"",MAX(AM22:AN22))</f>
        <v/>
      </c>
      <c r="AN40" s="299"/>
      <c r="AO40" s="295" t="str">
        <f>IF(OR(ISBLANK(AO8),AO8=0),"",MAX(AO22:AP22))</f>
        <v/>
      </c>
      <c r="AP40" s="299"/>
      <c r="AQ40" s="295" t="str">
        <f>IF(OR(ISBLANK(AQ8),AQ8=0),"",MAX(AQ22:AR22))</f>
        <v/>
      </c>
      <c r="AR40" s="299"/>
      <c r="AS40" s="67">
        <f>SUMPRODUCT(E40:AR40,$E$8:$AR$8)/SUM($E$8:$AR$8)</f>
        <v>1.760747920257393</v>
      </c>
      <c r="AT40" s="56"/>
    </row>
    <row r="41" spans="2:46" ht="14.25" x14ac:dyDescent="0.25">
      <c r="B41" s="55"/>
      <c r="C41" s="10" t="s">
        <v>214</v>
      </c>
      <c r="D41" s="11" t="s">
        <v>210</v>
      </c>
      <c r="E41" s="295">
        <f>E23</f>
        <v>2.8023711156342199</v>
      </c>
      <c r="F41" s="299"/>
      <c r="G41" s="295">
        <f>G23</f>
        <v>2.1235729316016991</v>
      </c>
      <c r="H41" s="299"/>
      <c r="I41" s="295">
        <f>I23</f>
        <v>2.4097444022034544</v>
      </c>
      <c r="J41" s="299"/>
      <c r="K41" s="295">
        <f>K23</f>
        <v>2.2501490583568136</v>
      </c>
      <c r="L41" s="299"/>
      <c r="M41" s="295">
        <f>M23</f>
        <v>2.176378994406754</v>
      </c>
      <c r="N41" s="299"/>
      <c r="O41" s="295">
        <f>O23</f>
        <v>2.1324011176786235</v>
      </c>
      <c r="P41" s="299"/>
      <c r="Q41" s="295">
        <f>Q23</f>
        <v>1.9911370140366187</v>
      </c>
      <c r="R41" s="299"/>
      <c r="S41" s="295" t="e">
        <f>S23</f>
        <v>#REF!</v>
      </c>
      <c r="T41" s="299"/>
      <c r="U41" s="295" t="str">
        <f>U23</f>
        <v/>
      </c>
      <c r="V41" s="299"/>
      <c r="W41" s="295" t="str">
        <f>W23</f>
        <v/>
      </c>
      <c r="X41" s="299"/>
      <c r="Y41" s="295" t="str">
        <f>Y23</f>
        <v/>
      </c>
      <c r="Z41" s="299"/>
      <c r="AA41" s="295" t="str">
        <f>AA23</f>
        <v/>
      </c>
      <c r="AB41" s="299"/>
      <c r="AC41" s="295" t="str">
        <f>AC23</f>
        <v/>
      </c>
      <c r="AD41" s="299"/>
      <c r="AE41" s="295" t="str">
        <f>AE23</f>
        <v/>
      </c>
      <c r="AF41" s="299"/>
      <c r="AG41" s="295" t="str">
        <f>AG23</f>
        <v/>
      </c>
      <c r="AH41" s="299"/>
      <c r="AI41" s="295" t="str">
        <f>AI23</f>
        <v/>
      </c>
      <c r="AJ41" s="299"/>
      <c r="AK41" s="295" t="str">
        <f>AK23</f>
        <v/>
      </c>
      <c r="AL41" s="299"/>
      <c r="AM41" s="295" t="str">
        <f>AM23</f>
        <v/>
      </c>
      <c r="AN41" s="299"/>
      <c r="AO41" s="295" t="str">
        <f>AO23</f>
        <v/>
      </c>
      <c r="AP41" s="299"/>
      <c r="AQ41" s="295" t="str">
        <f>AQ23</f>
        <v/>
      </c>
      <c r="AR41" s="299"/>
      <c r="AS41" s="67" t="e">
        <f>SUMPRODUCT(E41:AR41,$E$9:$AR$9)/SUM($E$9:$AR$9)</f>
        <v>#REF!</v>
      </c>
      <c r="AT41" s="56"/>
    </row>
    <row r="42" spans="2:46" ht="14.25" x14ac:dyDescent="0.25">
      <c r="B42" s="55"/>
      <c r="C42" s="10" t="s">
        <v>536</v>
      </c>
      <c r="D42" s="11" t="s">
        <v>537</v>
      </c>
      <c r="E42" s="295">
        <f>IF(OR(ISBLANK(E11),E11=0),"",MAX(E24:F24))</f>
        <v>1.9879214647546111</v>
      </c>
      <c r="F42" s="299"/>
      <c r="G42" s="295" t="e">
        <f>IF(OR(ISBLANK(G11),G11=0),"",MAX(G24:H24))</f>
        <v>#VALUE!</v>
      </c>
      <c r="H42" s="299"/>
      <c r="I42" s="295">
        <f>IF(OR(ISBLANK(I11),I11=0),"",MAX(I24:J24))</f>
        <v>1.8247074557866352</v>
      </c>
      <c r="J42" s="299"/>
      <c r="K42" s="295" t="e">
        <f>IF(OR(ISBLANK(K11),K11=0),"",MAX(K24:L24))</f>
        <v>#VALUE!</v>
      </c>
      <c r="L42" s="299"/>
      <c r="M42" s="295" t="e">
        <f>IF(OR(ISBLANK(M11),M11=0),"",MAX(M24:N24))</f>
        <v>#VALUE!</v>
      </c>
      <c r="N42" s="299"/>
      <c r="O42" s="295" t="e">
        <f>IF(OR(ISBLANK(O11),O11=0),"",MAX(O24:P24))</f>
        <v>#VALUE!</v>
      </c>
      <c r="P42" s="299"/>
      <c r="Q42" s="295" t="e">
        <f>IF(OR(ISBLANK(Q11),Q11=0),"",MAX(Q24:R24))</f>
        <v>#VALUE!</v>
      </c>
      <c r="R42" s="299"/>
      <c r="S42" s="295" t="str">
        <f>IF(OR(ISBLANK(S11),S11=0),"",MAX(S24:T24))</f>
        <v/>
      </c>
      <c r="T42" s="299"/>
      <c r="U42" s="295" t="str">
        <f>IF(OR(ISBLANK(U11),U11=0),"",MAX(U24:V24))</f>
        <v/>
      </c>
      <c r="V42" s="299"/>
      <c r="W42" s="295" t="str">
        <f>IF(OR(ISBLANK(W11),W11=0),"",MAX(W24:X24))</f>
        <v/>
      </c>
      <c r="X42" s="299"/>
      <c r="Y42" s="295" t="str">
        <f>IF(OR(ISBLANK(Y11),Y11=0),"",MAX(Y24:Z24))</f>
        <v/>
      </c>
      <c r="Z42" s="299"/>
      <c r="AA42" s="295" t="str">
        <f>IF(OR(ISBLANK(AA11),AA11=0),"",MAX(AA24:AB24))</f>
        <v/>
      </c>
      <c r="AB42" s="299"/>
      <c r="AC42" s="295" t="str">
        <f>IF(OR(ISBLANK(AC11),AC11=0),"",MAX(AC24:AD24))</f>
        <v/>
      </c>
      <c r="AD42" s="299"/>
      <c r="AE42" s="295" t="str">
        <f>IF(OR(ISBLANK(AE11),AE11=0),"",MAX(AE24:AF24))</f>
        <v/>
      </c>
      <c r="AF42" s="299"/>
      <c r="AG42" s="295" t="str">
        <f>IF(OR(ISBLANK(AG11),AG11=0),"",MAX(AG24:AH24))</f>
        <v/>
      </c>
      <c r="AH42" s="299"/>
      <c r="AI42" s="295" t="str">
        <f>IF(OR(ISBLANK(AI11),AI11=0),"",MAX(AI24:AJ24))</f>
        <v/>
      </c>
      <c r="AJ42" s="299"/>
      <c r="AK42" s="295" t="str">
        <f>IF(OR(ISBLANK(AK11),AK11=0),"",MAX(AK24:AL24))</f>
        <v/>
      </c>
      <c r="AL42" s="299"/>
      <c r="AM42" s="295" t="str">
        <f>IF(OR(ISBLANK(AM11),AM11=0),"",MAX(AM24:AN24))</f>
        <v/>
      </c>
      <c r="AN42" s="299"/>
      <c r="AO42" s="295" t="str">
        <f>IF(OR(ISBLANK(AO11),AO11=0),"",MAX(AO24:AP24))</f>
        <v/>
      </c>
      <c r="AP42" s="299"/>
      <c r="AQ42" s="295"/>
      <c r="AR42" s="299"/>
      <c r="AS42" s="67" t="e">
        <f>AVERAGE(AS40:AS41)</f>
        <v>#REF!</v>
      </c>
      <c r="AT42" s="56"/>
    </row>
    <row r="43" spans="2:46" x14ac:dyDescent="0.25">
      <c r="B43" s="55"/>
      <c r="C43" s="10"/>
      <c r="D43" s="11" t="s">
        <v>41</v>
      </c>
      <c r="E43" s="283" t="str">
        <f>IF(E42="","",IF(E42&lt;=2,"A",IF(E42&lt;=2.75,"B",IF(E42&lt;=3.5,"C",IF(E42&lt;=4.25,"D",IF(E42&lt;=5,"E","F"))))))</f>
        <v>A</v>
      </c>
      <c r="F43" s="284"/>
      <c r="G43" s="283" t="e">
        <f>IF(G42="","",IF(G42&lt;=2,"A",IF(G42&lt;=2.75,"B",IF(G42&lt;=3.5,"C",IF(G42&lt;=4.25,"D",IF(G42&lt;=5,"E","F"))))))</f>
        <v>#VALUE!</v>
      </c>
      <c r="H43" s="284"/>
      <c r="I43" s="283" t="str">
        <f>IF(I42="","",IF(I42&lt;=2,"A",IF(I42&lt;=2.75,"B",IF(I42&lt;=3.5,"C",IF(I42&lt;=4.25,"D",IF(I42&lt;=5,"E","F"))))))</f>
        <v>A</v>
      </c>
      <c r="J43" s="284"/>
      <c r="K43" s="283" t="e">
        <f>IF(K42="","",IF(K42&lt;=2,"A",IF(K42&lt;=2.75,"B",IF(K42&lt;=3.5,"C",IF(K42&lt;=4.25,"D",IF(K42&lt;=5,"E","F"))))))</f>
        <v>#VALUE!</v>
      </c>
      <c r="L43" s="284"/>
      <c r="M43" s="283" t="e">
        <f>IF(M42="","",IF(M42&lt;=2,"A",IF(M42&lt;=2.75,"B",IF(M42&lt;=3.5,"C",IF(M42&lt;=4.25,"D",IF(M42&lt;=5,"E","F"))))))</f>
        <v>#VALUE!</v>
      </c>
      <c r="N43" s="284"/>
      <c r="O43" s="283" t="e">
        <f>IF(O42="","",IF(O42&lt;=2,"A",IF(O42&lt;=2.75,"B",IF(O42&lt;=3.5,"C",IF(O42&lt;=4.25,"D",IF(O42&lt;=5,"E","F"))))))</f>
        <v>#VALUE!</v>
      </c>
      <c r="P43" s="284"/>
      <c r="Q43" s="283" t="e">
        <f>IF(Q42="","",IF(Q42&lt;=2,"A",IF(Q42&lt;=2.75,"B",IF(Q42&lt;=3.5,"C",IF(Q42&lt;=4.25,"D",IF(Q42&lt;=5,"E","F"))))))</f>
        <v>#VALUE!</v>
      </c>
      <c r="R43" s="284"/>
      <c r="S43" s="283" t="str">
        <f>IF(S42="","",IF(S42&lt;=2,"A",IF(S42&lt;=2.75,"B",IF(S42&lt;=3.5,"C",IF(S42&lt;=4.25,"D",IF(S42&lt;=5,"E","F"))))))</f>
        <v/>
      </c>
      <c r="T43" s="284"/>
      <c r="U43" s="283" t="str">
        <f>IF(U42="","",IF(U42&lt;=2,"A",IF(U42&lt;=2.75,"B",IF(U42&lt;=3.5,"C",IF(U42&lt;=4.25,"D",IF(U42&lt;=5,"E","F"))))))</f>
        <v/>
      </c>
      <c r="V43" s="284"/>
      <c r="W43" s="283" t="str">
        <f>IF(W42="","",IF(W42&lt;=2,"A",IF(W42&lt;=2.75,"B",IF(W42&lt;=3.5,"C",IF(W42&lt;=4.25,"D",IF(W42&lt;=5,"E","F"))))))</f>
        <v/>
      </c>
      <c r="X43" s="284"/>
      <c r="Y43" s="283" t="str">
        <f>IF(Y42="","",IF(Y42&lt;=2,"A",IF(Y42&lt;=2.75,"B",IF(Y42&lt;=3.5,"C",IF(Y42&lt;=4.25,"D",IF(Y42&lt;=5,"E","F"))))))</f>
        <v/>
      </c>
      <c r="Z43" s="284"/>
      <c r="AA43" s="283" t="str">
        <f>IF(AA42="","",IF(AA42&lt;=2,"A",IF(AA42&lt;=2.75,"B",IF(AA42&lt;=3.5,"C",IF(AA42&lt;=4.25,"D",IF(AA42&lt;=5,"E","F"))))))</f>
        <v/>
      </c>
      <c r="AB43" s="284"/>
      <c r="AC43" s="283" t="str">
        <f>IF(AC42="","",IF(AC42&lt;=2,"A",IF(AC42&lt;=2.75,"B",IF(AC42&lt;=3.5,"C",IF(AC42&lt;=4.25,"D",IF(AC42&lt;=5,"E","F"))))))</f>
        <v/>
      </c>
      <c r="AD43" s="284"/>
      <c r="AE43" s="283" t="str">
        <f>IF(AE42="","",IF(AE42&lt;=2,"A",IF(AE42&lt;=2.75,"B",IF(AE42&lt;=3.5,"C",IF(AE42&lt;=4.25,"D",IF(AE42&lt;=5,"E","F"))))))</f>
        <v/>
      </c>
      <c r="AF43" s="284"/>
      <c r="AG43" s="283" t="str">
        <f>IF(AG42="","",IF(AG42&lt;=2,"A",IF(AG42&lt;=2.75,"B",IF(AG42&lt;=3.5,"C",IF(AG42&lt;=4.25,"D",IF(AG42&lt;=5,"E","F"))))))</f>
        <v/>
      </c>
      <c r="AH43" s="284"/>
      <c r="AI43" s="283" t="str">
        <f>IF(AI42="","",IF(AI42&lt;=2,"A",IF(AI42&lt;=2.75,"B",IF(AI42&lt;=3.5,"C",IF(AI42&lt;=4.25,"D",IF(AI42&lt;=5,"E","F"))))))</f>
        <v/>
      </c>
      <c r="AJ43" s="284"/>
      <c r="AK43" s="283" t="str">
        <f>IF(AK42="","",IF(AK42&lt;=2,"A",IF(AK42&lt;=2.75,"B",IF(AK42&lt;=3.5,"C",IF(AK42&lt;=4.25,"D",IF(AK42&lt;=5,"E","F"))))))</f>
        <v/>
      </c>
      <c r="AL43" s="284"/>
      <c r="AM43" s="283" t="str">
        <f>IF(AM42="","",IF(AM42&lt;=2,"A",IF(AM42&lt;=2.75,"B",IF(AM42&lt;=3.5,"C",IF(AM42&lt;=4.25,"D",IF(AM42&lt;=5,"E","F"))))))</f>
        <v/>
      </c>
      <c r="AN43" s="284"/>
      <c r="AO43" s="283" t="str">
        <f>IF(AO42="","",IF(AO42&lt;=2,"A",IF(AO42&lt;=2.75,"B",IF(AO42&lt;=3.5,"C",IF(AO42&lt;=4.25,"D",IF(AO42&lt;=5,"E","F"))))))</f>
        <v/>
      </c>
      <c r="AP43" s="284"/>
      <c r="AQ43" s="283" t="str">
        <f>IF(AQ42="","",IF(AQ42&lt;=2,"A",IF(AQ42&lt;=2.75,"B",IF(AQ42&lt;=3.5,"C",IF(AQ42&lt;=4.25,"D",IF(AQ42&lt;=5,"E","F"))))))</f>
        <v/>
      </c>
      <c r="AR43" s="284"/>
      <c r="AS43" s="68" t="e">
        <f>IF(AS42&lt;=2,"A",IF(AS42&lt;=2.75,"B",IF(AS42&lt;=3.5,"C",IF(AS42&lt;=4.25,"D",IF(AS42&lt;=5,"E","F")))))</f>
        <v>#REF!</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217</v>
      </c>
      <c r="D45" s="11" t="s">
        <v>92</v>
      </c>
      <c r="E45" s="295">
        <f>IF(OR(ISBLANK(E8),E8=0),"",MAX(E30:F30))</f>
        <v>4.0161952421554714</v>
      </c>
      <c r="F45" s="299"/>
      <c r="G45" s="295">
        <f>IF(OR(ISBLANK(G8),G8=0),"",MAX(G30:H30))</f>
        <v>4.0877220914732444</v>
      </c>
      <c r="H45" s="299"/>
      <c r="I45" s="295">
        <f>IF(OR(ISBLANK(I8),I8=0),"",MAX(I30:J30))</f>
        <v>4.3456421891764423</v>
      </c>
      <c r="J45" s="299"/>
      <c r="K45" s="295">
        <f>IF(OR(ISBLANK(K8),K8=0),"",MAX(K30:L30))</f>
        <v>4.0490137569543307</v>
      </c>
      <c r="L45" s="299"/>
      <c r="M45" s="295">
        <f>IF(OR(ISBLANK(M8),M8=0),"",MAX(M30:N30))</f>
        <v>4.2210550268287879</v>
      </c>
      <c r="N45" s="299"/>
      <c r="O45" s="295">
        <f>IF(OR(ISBLANK(O8),O8=0),"",MAX(O30:P30))</f>
        <v>4.1905335237873569</v>
      </c>
      <c r="P45" s="299"/>
      <c r="Q45" s="295">
        <f>IF(OR(ISBLANK(Q8),Q8=0),"",MAX(Q30:R30))</f>
        <v>4.1952608307630443</v>
      </c>
      <c r="R45" s="299"/>
      <c r="S45" s="295" t="str">
        <f>IF(OR(ISBLANK(S8),S8=0),"",MAX(S30:T30))</f>
        <v/>
      </c>
      <c r="T45" s="299"/>
      <c r="U45" s="295" t="str">
        <f>IF(OR(ISBLANK(U8),U8=0),"",MAX(U30:V30))</f>
        <v/>
      </c>
      <c r="V45" s="299"/>
      <c r="W45" s="295" t="str">
        <f>IF(OR(ISBLANK(W8),W8=0),"",MAX(W30:X30))</f>
        <v/>
      </c>
      <c r="X45" s="299"/>
      <c r="Y45" s="295" t="str">
        <f>IF(OR(ISBLANK(Y8),Y8=0),"",MAX(Y30:Z30))</f>
        <v/>
      </c>
      <c r="Z45" s="299"/>
      <c r="AA45" s="295" t="str">
        <f>IF(OR(ISBLANK(AA8),AA8=0),"",MAX(AA30:AB30))</f>
        <v/>
      </c>
      <c r="AB45" s="299"/>
      <c r="AC45" s="295" t="str">
        <f>IF(OR(ISBLANK(AC8),AC8=0),"",MAX(AC30:AD30))</f>
        <v/>
      </c>
      <c r="AD45" s="299"/>
      <c r="AE45" s="295" t="str">
        <f>IF(OR(ISBLANK(AE8),AE8=0),"",MAX(AE30:AF30))</f>
        <v/>
      </c>
      <c r="AF45" s="299"/>
      <c r="AG45" s="295" t="str">
        <f>IF(OR(ISBLANK(AG8),AG8=0),"",MAX(AG30:AH30))</f>
        <v/>
      </c>
      <c r="AH45" s="299"/>
      <c r="AI45" s="295" t="str">
        <f>IF(OR(ISBLANK(AI8),AI8=0),"",MAX(AI30:AJ30))</f>
        <v/>
      </c>
      <c r="AJ45" s="299"/>
      <c r="AK45" s="295" t="str">
        <f>IF(OR(ISBLANK(AK8),AK8=0),"",MAX(AK30:AL30))</f>
        <v/>
      </c>
      <c r="AL45" s="299"/>
      <c r="AM45" s="295" t="str">
        <f>IF(OR(ISBLANK(AM8),AM8=0),"",MAX(AM30:AN30))</f>
        <v/>
      </c>
      <c r="AN45" s="299"/>
      <c r="AO45" s="295" t="str">
        <f>IF(OR(ISBLANK(AO8),AO8=0),"",MAX(AO30:AP30))</f>
        <v/>
      </c>
      <c r="AP45" s="299"/>
      <c r="AQ45" s="295" t="str">
        <f>IF(OR(ISBLANK(AQ8),AQ8=0),"",MAX(AQ30:AR30))</f>
        <v/>
      </c>
      <c r="AR45" s="299"/>
      <c r="AS45" s="67">
        <f>SUMPRODUCT(E45:AR45,$E$8:$AR$8)/SUM($E$8:$AR$8)</f>
        <v>4.1690942690280952</v>
      </c>
      <c r="AT45" s="56"/>
    </row>
    <row r="46" spans="2:46" ht="15.95" customHeight="1" x14ac:dyDescent="0.25">
      <c r="B46" s="55"/>
      <c r="C46" s="10" t="s">
        <v>215</v>
      </c>
      <c r="D46" s="11" t="s">
        <v>211</v>
      </c>
      <c r="E46" s="295">
        <f>IF(ISBLANK(E10),"",MAX(E31:F31))</f>
        <v>2.7107749999999995</v>
      </c>
      <c r="F46" s="299"/>
      <c r="G46" s="295">
        <f>IF(OR(ISBLANK(G10),G10=0),"",MAX(G31:H31))</f>
        <v>2.2087249999999994</v>
      </c>
      <c r="H46" s="299"/>
      <c r="I46" s="295">
        <f>IF(OR(ISBLANK(I10),I10=0),"",MAX(I31:J31))</f>
        <v>3.2047249999999998</v>
      </c>
      <c r="J46" s="299"/>
      <c r="K46" s="295">
        <f>IF(OR(ISBLANK(K10),K10=0),"",MAX(K31:L31))</f>
        <v>2.7701750000000001</v>
      </c>
      <c r="L46" s="299"/>
      <c r="M46" s="295">
        <f>IF(OR(ISBLANK(M10),M10=0),"",MAX(M31:N31))</f>
        <v>2.2171999999999992</v>
      </c>
      <c r="N46" s="299"/>
      <c r="O46" s="295">
        <f>IF(OR(ISBLANK(O10),O10=0),"",MAX(O31:P31))</f>
        <v>2.3857249999999994</v>
      </c>
      <c r="P46" s="299"/>
      <c r="Q46" s="295">
        <f>IF(OR(ISBLANK(Q10),Q10=0),"",MAX(Q31:R31))</f>
        <v>2.5933249999999997</v>
      </c>
      <c r="R46" s="299"/>
      <c r="S46" s="295" t="str">
        <f>IF(OR(ISBLANK(S10),S10=0),"",MAX(S31:T31))</f>
        <v/>
      </c>
      <c r="T46" s="299"/>
      <c r="U46" s="295" t="str">
        <f>IF(OR(ISBLANK(U10),U10=0),"",MAX(U31:V31))</f>
        <v/>
      </c>
      <c r="V46" s="299"/>
      <c r="W46" s="295" t="str">
        <f>IF(OR(ISBLANK(W10),W10=0),"",MAX(W31:X31))</f>
        <v/>
      </c>
      <c r="X46" s="299"/>
      <c r="Y46" s="295" t="str">
        <f>IF(OR(ISBLANK(Y10),Y10=0),"",MAX(Y31:Z31))</f>
        <v/>
      </c>
      <c r="Z46" s="299"/>
      <c r="AA46" s="295" t="str">
        <f>IF(OR(ISBLANK(AA10),AA10=0),"",MAX(AA31:AB31))</f>
        <v/>
      </c>
      <c r="AB46" s="299"/>
      <c r="AC46" s="295" t="str">
        <f>IF(OR(ISBLANK(AC10),AC10=0),"",MAX(AC31:AD31))</f>
        <v/>
      </c>
      <c r="AD46" s="299"/>
      <c r="AE46" s="295" t="str">
        <f>IF(OR(ISBLANK(AE10),AE10=0),"",MAX(AE31:AF31))</f>
        <v/>
      </c>
      <c r="AF46" s="299"/>
      <c r="AG46" s="295" t="str">
        <f>IF(OR(ISBLANK(AG10),AG10=0),"",MAX(AG31:AH31))</f>
        <v/>
      </c>
      <c r="AH46" s="299"/>
      <c r="AI46" s="295" t="str">
        <f>IF(OR(ISBLANK(AI10),AI10=0),"",MAX(AI31:AJ31))</f>
        <v/>
      </c>
      <c r="AJ46" s="299"/>
      <c r="AK46" s="295" t="str">
        <f>IF(OR(ISBLANK(AK10),AK10=0),"",MAX(AK31:AL31))</f>
        <v/>
      </c>
      <c r="AL46" s="299"/>
      <c r="AM46" s="295" t="str">
        <f>IF(OR(ISBLANK(AM10),AM10=0),"",MAX(AM31:AN31))</f>
        <v/>
      </c>
      <c r="AN46" s="299"/>
      <c r="AO46" s="295" t="str">
        <f>IF(OR(ISBLANK(AO10),AO10=0),"",MAX(AO31:AP31))</f>
        <v/>
      </c>
      <c r="AP46" s="299"/>
      <c r="AQ46" s="295" t="str">
        <f>IF(OR(ISBLANK(AQ10),AQ10=0),"",MAX(AQ31:AR31))</f>
        <v/>
      </c>
      <c r="AR46" s="299"/>
      <c r="AS46" s="67">
        <f>SUMPRODUCT(E46:AR46,$E$9:$AR$9)/SUM($E$9:$AR$9)</f>
        <v>2.6817460264900657</v>
      </c>
      <c r="AT46" s="56"/>
    </row>
    <row r="47" spans="2:46" ht="15.95" customHeight="1" x14ac:dyDescent="0.25">
      <c r="B47" s="55"/>
      <c r="C47" s="10" t="s">
        <v>540</v>
      </c>
      <c r="D47" s="11" t="s">
        <v>541</v>
      </c>
      <c r="E47" s="295">
        <f>IF(ISBLANK(E11),"",MAX(E32:F32))</f>
        <v>2.9499031452189706</v>
      </c>
      <c r="F47" s="299"/>
      <c r="G47" s="295" t="e">
        <f>IF(OR(ISBLANK(G11),G11=0),"",MAX(G32:H32))</f>
        <v>#DIV/0!</v>
      </c>
      <c r="H47" s="299"/>
      <c r="I47" s="295" t="e">
        <f>IF(OR(ISBLANK(I11),I11=0),"",MAX(I32:J32))</f>
        <v>#DIV/0!</v>
      </c>
      <c r="J47" s="299"/>
      <c r="K47" s="295" t="e">
        <f>IF(OR(ISBLANK(K11),K11=0),"",MAX(K32:L32))</f>
        <v>#DIV/0!</v>
      </c>
      <c r="L47" s="299"/>
      <c r="M47" s="295">
        <f>IF(OR(ISBLANK(M11),M11=0),"",MAX(M32:N32))</f>
        <v>3.1107076523391228</v>
      </c>
      <c r="N47" s="299"/>
      <c r="O47" s="295" t="e">
        <f>IF(OR(ISBLANK(O11),O11=0),"",MAX(O32:P32))</f>
        <v>#DIV/0!</v>
      </c>
      <c r="P47" s="299"/>
      <c r="Q47" s="295" t="e">
        <f>IF(OR(ISBLANK(Q11),Q11=0),"",MAX(Q32:R32))</f>
        <v>#DIV/0!</v>
      </c>
      <c r="R47" s="299"/>
      <c r="S47" s="295" t="str">
        <f>IF(OR(ISBLANK(S11),S11=0),"",MAX(S32:T32))</f>
        <v/>
      </c>
      <c r="T47" s="299"/>
      <c r="U47" s="295" t="str">
        <f>IF(OR(ISBLANK(U11),U11=0),"",MAX(U32:V32))</f>
        <v/>
      </c>
      <c r="V47" s="299"/>
      <c r="W47" s="295" t="str">
        <f>IF(OR(ISBLANK(W11),W11=0),"",MAX(W32:X32))</f>
        <v/>
      </c>
      <c r="X47" s="299"/>
      <c r="Y47" s="295" t="str">
        <f>IF(OR(ISBLANK(Y11),Y11=0),"",MAX(Y32:Z32))</f>
        <v/>
      </c>
      <c r="Z47" s="299"/>
      <c r="AA47" s="295" t="str">
        <f>IF(OR(ISBLANK(AA11),AA11=0),"",MAX(AA32:AB32))</f>
        <v/>
      </c>
      <c r="AB47" s="299"/>
      <c r="AC47" s="295" t="str">
        <f>IF(OR(ISBLANK(AC11),AC11=0),"",MAX(AC32:AD32))</f>
        <v/>
      </c>
      <c r="AD47" s="299"/>
      <c r="AE47" s="295" t="str">
        <f>IF(OR(ISBLANK(AE11),AE11=0),"",MAX(AE32:AF32))</f>
        <v/>
      </c>
      <c r="AF47" s="299"/>
      <c r="AG47" s="295" t="str">
        <f>IF(OR(ISBLANK(AG11),AG11=0),"",MAX(AG32:AH32))</f>
        <v/>
      </c>
      <c r="AH47" s="299"/>
      <c r="AI47" s="295" t="str">
        <f>IF(OR(ISBLANK(AI11),AI11=0),"",MAX(AI32:AJ32))</f>
        <v/>
      </c>
      <c r="AJ47" s="299"/>
      <c r="AK47" s="295" t="str">
        <f>IF(OR(ISBLANK(AK11),AK11=0),"",MAX(AK32:AL32))</f>
        <v/>
      </c>
      <c r="AL47" s="299"/>
      <c r="AM47" s="295" t="str">
        <f>IF(OR(ISBLANK(AM11),AM11=0),"",MAX(AM32:AN32))</f>
        <v/>
      </c>
      <c r="AN47" s="299"/>
      <c r="AO47" s="295" t="str">
        <f>IF(OR(ISBLANK(AO11),AO11=0),"",MAX(AO32:AP32))</f>
        <v/>
      </c>
      <c r="AP47" s="299"/>
      <c r="AQ47" s="295" t="str">
        <f>IF(OR(ISBLANK(AQ11),AQ11=0),"",MAX(AQ32:AR32))</f>
        <v/>
      </c>
      <c r="AR47" s="299"/>
      <c r="AS47" s="67">
        <f>AVERAGE(AS45:AS46)</f>
        <v>3.4254201477590804</v>
      </c>
      <c r="AT47" s="56"/>
    </row>
    <row r="48" spans="2:46" x14ac:dyDescent="0.25">
      <c r="B48" s="55"/>
      <c r="C48" s="10"/>
      <c r="D48" s="11" t="s">
        <v>51</v>
      </c>
      <c r="E48" s="283" t="str">
        <f>IF(E47="","",IF(E47&lt;=2,"A",IF(E47&lt;=2.75,"B",IF(E47&lt;=3.5,"C",IF(E47&lt;=4.25,"D",IF(E47&lt;=5,"E","F"))))))</f>
        <v>C</v>
      </c>
      <c r="F48" s="284"/>
      <c r="G48" s="283" t="e">
        <f>IF(G47="","",IF(G47&lt;=2,"A",IF(G47&lt;=2.75,"B",IF(G47&lt;=3.5,"C",IF(G47&lt;=4.25,"D",IF(G47&lt;=5,"E","F"))))))</f>
        <v>#DIV/0!</v>
      </c>
      <c r="H48" s="284"/>
      <c r="I48" s="283" t="e">
        <f>IF(I47="","",IF(I47&lt;=2,"A",IF(I47&lt;=2.75,"B",IF(I47&lt;=3.5,"C",IF(I47&lt;=4.25,"D",IF(I47&lt;=5,"E","F"))))))</f>
        <v>#DIV/0!</v>
      </c>
      <c r="J48" s="284"/>
      <c r="K48" s="283" t="e">
        <f>IF(K47="","",IF(K47&lt;=2,"A",IF(K47&lt;=2.75,"B",IF(K47&lt;=3.5,"C",IF(K47&lt;=4.25,"D",IF(K47&lt;=5,"E","F"))))))</f>
        <v>#DIV/0!</v>
      </c>
      <c r="L48" s="284"/>
      <c r="M48" s="283" t="str">
        <f>IF(M47="","",IF(M47&lt;=2,"A",IF(M47&lt;=2.75,"B",IF(M47&lt;=3.5,"C",IF(M47&lt;=4.25,"D",IF(M47&lt;=5,"E","F"))))))</f>
        <v>C</v>
      </c>
      <c r="N48" s="284"/>
      <c r="O48" s="283" t="e">
        <f>IF(O47="","",IF(O47&lt;=2,"A",IF(O47&lt;=2.75,"B",IF(O47&lt;=3.5,"C",IF(O47&lt;=4.25,"D",IF(O47&lt;=5,"E","F"))))))</f>
        <v>#DIV/0!</v>
      </c>
      <c r="P48" s="284"/>
      <c r="Q48" s="283" t="e">
        <f>IF(Q47="","",IF(Q47&lt;=2,"A",IF(Q47&lt;=2.75,"B",IF(Q47&lt;=3.5,"C",IF(Q47&lt;=4.25,"D",IF(Q47&lt;=5,"E","F"))))))</f>
        <v>#DIV/0!</v>
      </c>
      <c r="R48" s="284"/>
      <c r="S48" s="283" t="str">
        <f>IF(S47="","",IF(S47&lt;=2,"A",IF(S47&lt;=2.75,"B",IF(S47&lt;=3.5,"C",IF(S47&lt;=4.25,"D",IF(S47&lt;=5,"E","F"))))))</f>
        <v/>
      </c>
      <c r="T48" s="284"/>
      <c r="U48" s="283" t="str">
        <f>IF(U47="","",IF(U47&lt;=2,"A",IF(U47&lt;=2.75,"B",IF(U47&lt;=3.5,"C",IF(U47&lt;=4.25,"D",IF(U47&lt;=5,"E","F"))))))</f>
        <v/>
      </c>
      <c r="V48" s="284"/>
      <c r="W48" s="283" t="str">
        <f>IF(W47="","",IF(W47&lt;=2,"A",IF(W47&lt;=2.75,"B",IF(W47&lt;=3.5,"C",IF(W47&lt;=4.25,"D",IF(W47&lt;=5,"E","F"))))))</f>
        <v/>
      </c>
      <c r="X48" s="284"/>
      <c r="Y48" s="283" t="str">
        <f>IF(Y47="","",IF(Y47&lt;=2,"A",IF(Y47&lt;=2.75,"B",IF(Y47&lt;=3.5,"C",IF(Y47&lt;=4.25,"D",IF(Y47&lt;=5,"E","F"))))))</f>
        <v/>
      </c>
      <c r="Z48" s="284"/>
      <c r="AA48" s="283" t="str">
        <f>IF(AA47="","",IF(AA47&lt;=2,"A",IF(AA47&lt;=2.75,"B",IF(AA47&lt;=3.5,"C",IF(AA47&lt;=4.25,"D",IF(AA47&lt;=5,"E","F"))))))</f>
        <v/>
      </c>
      <c r="AB48" s="284"/>
      <c r="AC48" s="283" t="str">
        <f>IF(AC47="","",IF(AC47&lt;=2,"A",IF(AC47&lt;=2.75,"B",IF(AC47&lt;=3.5,"C",IF(AC47&lt;=4.25,"D",IF(AC47&lt;=5,"E","F"))))))</f>
        <v/>
      </c>
      <c r="AD48" s="284"/>
      <c r="AE48" s="283" t="str">
        <f>IF(AE47="","",IF(AE47&lt;=2,"A",IF(AE47&lt;=2.75,"B",IF(AE47&lt;=3.5,"C",IF(AE47&lt;=4.25,"D",IF(AE47&lt;=5,"E","F"))))))</f>
        <v/>
      </c>
      <c r="AF48" s="284"/>
      <c r="AG48" s="283" t="str">
        <f>IF(AG47="","",IF(AG47&lt;=2,"A",IF(AG47&lt;=2.75,"B",IF(AG47&lt;=3.5,"C",IF(AG47&lt;=4.25,"D",IF(AG47&lt;=5,"E","F"))))))</f>
        <v/>
      </c>
      <c r="AH48" s="284"/>
      <c r="AI48" s="283" t="str">
        <f>IF(AI47="","",IF(AI47&lt;=2,"A",IF(AI47&lt;=2.75,"B",IF(AI47&lt;=3.5,"C",IF(AI47&lt;=4.25,"D",IF(AI47&lt;=5,"E","F"))))))</f>
        <v/>
      </c>
      <c r="AJ48" s="284"/>
      <c r="AK48" s="283" t="str">
        <f>IF(AK47="","",IF(AK47&lt;=2,"A",IF(AK47&lt;=2.75,"B",IF(AK47&lt;=3.5,"C",IF(AK47&lt;=4.25,"D",IF(AK47&lt;=5,"E","F"))))))</f>
        <v/>
      </c>
      <c r="AL48" s="284"/>
      <c r="AM48" s="283" t="str">
        <f>IF(AM47="","",IF(AM47&lt;=2,"A",IF(AM47&lt;=2.75,"B",IF(AM47&lt;=3.5,"C",IF(AM47&lt;=4.25,"D",IF(AM47&lt;=5,"E","F"))))))</f>
        <v/>
      </c>
      <c r="AN48" s="284"/>
      <c r="AO48" s="283" t="str">
        <f>IF(AO47="","",IF(AO47&lt;=2,"A",IF(AO47&lt;=2.75,"B",IF(AO47&lt;=3.5,"C",IF(AO47&lt;=4.25,"D",IF(AO47&lt;=5,"E","F"))))))</f>
        <v/>
      </c>
      <c r="AP48" s="284"/>
      <c r="AQ48" s="283" t="str">
        <f>IF(AQ47="","",IF(AQ47&lt;=2,"A",IF(AQ47&lt;=2.75,"B",IF(AQ47&lt;=3.5,"C",IF(AQ47&lt;=4.25,"D",IF(AQ47&lt;=5,"E","F"))))))</f>
        <v/>
      </c>
      <c r="AR48" s="284"/>
      <c r="AS48" s="68" t="str">
        <f>IF(AS47&lt;=2,"A",IF(AS47&lt;=2.75,"B",IF(AS47&lt;=3.5,"C",IF(AS47&lt;=4.25,"D",IF(AS47&lt;=5,"E","F")))))</f>
        <v>C</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218</v>
      </c>
      <c r="D50" s="110" t="s">
        <v>94</v>
      </c>
      <c r="E50" s="295">
        <f>Links!F97</f>
        <v>1.7658449627305508</v>
      </c>
      <c r="F50" s="296"/>
      <c r="G50" s="295"/>
      <c r="H50" s="296"/>
      <c r="I50" s="295"/>
      <c r="J50" s="296"/>
      <c r="K50" s="295"/>
      <c r="L50" s="296"/>
      <c r="M50" s="295"/>
      <c r="N50" s="296"/>
      <c r="O50" s="295"/>
      <c r="P50" s="296"/>
      <c r="Q50" s="295"/>
      <c r="R50" s="296"/>
      <c r="S50" s="295"/>
      <c r="T50" s="296"/>
      <c r="U50" s="295"/>
      <c r="V50" s="296"/>
      <c r="W50" s="295"/>
      <c r="X50" s="296"/>
      <c r="Y50" s="295"/>
      <c r="Z50" s="296"/>
      <c r="AA50" s="295"/>
      <c r="AB50" s="296"/>
      <c r="AC50" s="295"/>
      <c r="AD50" s="296"/>
      <c r="AE50" s="295"/>
      <c r="AF50" s="296"/>
      <c r="AG50" s="295"/>
      <c r="AH50" s="296"/>
      <c r="AI50" s="295"/>
      <c r="AJ50" s="296"/>
      <c r="AK50" s="295"/>
      <c r="AL50" s="296"/>
      <c r="AM50" s="295"/>
      <c r="AN50" s="296"/>
      <c r="AO50" s="295"/>
      <c r="AP50" s="296"/>
      <c r="AQ50" s="295"/>
      <c r="AR50" s="296"/>
      <c r="AS50" s="67">
        <f>SUMPRODUCT(E50:AR50,E8:AR8)/SUM(E8:AR8)</f>
        <v>0.1505516131635283</v>
      </c>
      <c r="AT50" s="56"/>
    </row>
    <row r="51" spans="2:46" ht="14.25" x14ac:dyDescent="0.25">
      <c r="B51" s="55"/>
      <c r="C51" s="109" t="s">
        <v>544</v>
      </c>
      <c r="D51" s="110" t="s">
        <v>542</v>
      </c>
      <c r="E51" s="295"/>
      <c r="F51" s="296"/>
      <c r="G51" s="169"/>
      <c r="H51" s="171"/>
      <c r="I51" s="169"/>
      <c r="J51" s="171"/>
      <c r="K51" s="169"/>
      <c r="L51" s="171"/>
      <c r="M51" s="169"/>
      <c r="N51" s="171"/>
      <c r="O51" s="169"/>
      <c r="P51" s="171"/>
      <c r="Q51" s="169"/>
      <c r="R51" s="171"/>
      <c r="S51" s="169"/>
      <c r="T51" s="171"/>
      <c r="U51" s="169"/>
      <c r="V51" s="171"/>
      <c r="W51" s="169"/>
      <c r="X51" s="171"/>
      <c r="Y51" s="169"/>
      <c r="Z51" s="171"/>
      <c r="AA51" s="169"/>
      <c r="AB51" s="171"/>
      <c r="AC51" s="169"/>
      <c r="AD51" s="171"/>
      <c r="AE51" s="169"/>
      <c r="AF51" s="171"/>
      <c r="AG51" s="169"/>
      <c r="AH51" s="171"/>
      <c r="AI51" s="169"/>
      <c r="AJ51" s="171"/>
      <c r="AK51" s="169"/>
      <c r="AL51" s="171"/>
      <c r="AM51" s="169"/>
      <c r="AN51" s="171"/>
      <c r="AO51" s="169"/>
      <c r="AP51" s="171"/>
      <c r="AQ51" s="169"/>
      <c r="AR51" s="171"/>
      <c r="AS51" s="67"/>
      <c r="AT51" s="56"/>
    </row>
    <row r="52" spans="2:46" ht="14.25" x14ac:dyDescent="0.25">
      <c r="B52" s="55"/>
      <c r="C52" s="109" t="s">
        <v>545</v>
      </c>
      <c r="D52" s="110" t="s">
        <v>543</v>
      </c>
      <c r="E52" s="295"/>
      <c r="F52" s="296"/>
      <c r="G52" s="295"/>
      <c r="H52" s="296"/>
      <c r="I52" s="295"/>
      <c r="J52" s="296"/>
      <c r="K52" s="295"/>
      <c r="L52" s="296"/>
      <c r="M52" s="295"/>
      <c r="N52" s="296"/>
      <c r="O52" s="295"/>
      <c r="P52" s="296"/>
      <c r="Q52" s="295"/>
      <c r="R52" s="296"/>
      <c r="S52" s="295"/>
      <c r="T52" s="296"/>
      <c r="U52" s="295"/>
      <c r="V52" s="296"/>
      <c r="W52" s="295"/>
      <c r="X52" s="296"/>
      <c r="Y52" s="295"/>
      <c r="Z52" s="296"/>
      <c r="AA52" s="295"/>
      <c r="AB52" s="296"/>
      <c r="AC52" s="295"/>
      <c r="AD52" s="296"/>
      <c r="AE52" s="295"/>
      <c r="AF52" s="296"/>
      <c r="AG52" s="295"/>
      <c r="AH52" s="296"/>
      <c r="AI52" s="295"/>
      <c r="AJ52" s="296"/>
      <c r="AK52" s="295"/>
      <c r="AL52" s="296"/>
      <c r="AM52" s="295"/>
      <c r="AN52" s="296"/>
      <c r="AO52" s="295"/>
      <c r="AP52" s="296"/>
      <c r="AQ52" s="295"/>
      <c r="AR52" s="296"/>
      <c r="AS52" s="67"/>
      <c r="AT52" s="56"/>
    </row>
    <row r="53" spans="2:46" ht="13.5" thickBot="1" x14ac:dyDescent="0.3">
      <c r="B53" s="55"/>
      <c r="C53" s="10"/>
      <c r="D53" s="11" t="s">
        <v>52</v>
      </c>
      <c r="E53" s="283" t="str">
        <f>IF(E52="","",IF(E52&lt;=2,"A",IF(E52&lt;=2.75,"B",IF(E52&lt;=3.5,"C",IF(E52&lt;=4.25,"D",IF(E52&lt;=5,"E","F"))))))</f>
        <v/>
      </c>
      <c r="F53" s="284"/>
      <c r="G53" s="283" t="str">
        <f>IF(G52="","",IF(G52&lt;=2,"A",IF(G52&lt;=2.75,"B",IF(G52&lt;=3.5,"C",IF(G52&lt;=4.25,"D",IF(G52&lt;=5,"E","F"))))))</f>
        <v/>
      </c>
      <c r="H53" s="284"/>
      <c r="I53" s="283" t="str">
        <f>IF(I52="","",IF(I52&lt;=2,"A",IF(I52&lt;=2.75,"B",IF(I52&lt;=3.5,"C",IF(I52&lt;=4.25,"D",IF(I52&lt;=5,"E","F"))))))</f>
        <v/>
      </c>
      <c r="J53" s="284"/>
      <c r="K53" s="283" t="str">
        <f>IF(K52="","",IF(K52&lt;=2,"A",IF(K52&lt;=2.75,"B",IF(K52&lt;=3.5,"C",IF(K52&lt;=4.25,"D",IF(K52&lt;=5,"E","F"))))))</f>
        <v/>
      </c>
      <c r="L53" s="284"/>
      <c r="M53" s="283" t="str">
        <f>IF(M52="","",IF(M52&lt;=2,"A",IF(M52&lt;=2.75,"B",IF(M52&lt;=3.5,"C",IF(M52&lt;=4.25,"D",IF(M52&lt;=5,"E","F"))))))</f>
        <v/>
      </c>
      <c r="N53" s="284"/>
      <c r="O53" s="283" t="str">
        <f>IF(O52="","",IF(O52&lt;=2,"A",IF(O52&lt;=2.75,"B",IF(O52&lt;=3.5,"C",IF(O52&lt;=4.25,"D",IF(O52&lt;=5,"E","F"))))))</f>
        <v/>
      </c>
      <c r="P53" s="284"/>
      <c r="Q53" s="283" t="str">
        <f>IF(Q52="","",IF(Q52&lt;=2,"A",IF(Q52&lt;=2.75,"B",IF(Q52&lt;=3.5,"C",IF(Q52&lt;=4.25,"D",IF(Q52&lt;=5,"E","F"))))))</f>
        <v/>
      </c>
      <c r="R53" s="284"/>
      <c r="S53" s="283" t="str">
        <f>IF(S52="","",IF(S52&lt;=2,"A",IF(S52&lt;=2.75,"B",IF(S52&lt;=3.5,"C",IF(S52&lt;=4.25,"D",IF(S52&lt;=5,"E","F"))))))</f>
        <v/>
      </c>
      <c r="T53" s="284"/>
      <c r="U53" s="283" t="str">
        <f>IF(U52="","",IF(U52&lt;=2,"A",IF(U52&lt;=2.75,"B",IF(U52&lt;=3.5,"C",IF(U52&lt;=4.25,"D",IF(U52&lt;=5,"E","F"))))))</f>
        <v/>
      </c>
      <c r="V53" s="284"/>
      <c r="W53" s="283" t="str">
        <f>IF(W52="","",IF(W52&lt;=2,"A",IF(W52&lt;=2.75,"B",IF(W52&lt;=3.5,"C",IF(W52&lt;=4.25,"D",IF(W52&lt;=5,"E","F"))))))</f>
        <v/>
      </c>
      <c r="X53" s="284"/>
      <c r="Y53" s="283" t="str">
        <f>IF(Y52="","",IF(Y52&lt;=2,"A",IF(Y52&lt;=2.75,"B",IF(Y52&lt;=3.5,"C",IF(Y52&lt;=4.25,"D",IF(Y52&lt;=5,"E","F"))))))</f>
        <v/>
      </c>
      <c r="Z53" s="284"/>
      <c r="AA53" s="283" t="str">
        <f>IF(AA52="","",IF(AA52&lt;=2,"A",IF(AA52&lt;=2.75,"B",IF(AA52&lt;=3.5,"C",IF(AA52&lt;=4.25,"D",IF(AA52&lt;=5,"E","F"))))))</f>
        <v/>
      </c>
      <c r="AB53" s="284"/>
      <c r="AC53" s="283" t="str">
        <f>IF(AC52="","",IF(AC52&lt;=2,"A",IF(AC52&lt;=2.75,"B",IF(AC52&lt;=3.5,"C",IF(AC52&lt;=4.25,"D",IF(AC52&lt;=5,"E","F"))))))</f>
        <v/>
      </c>
      <c r="AD53" s="284"/>
      <c r="AE53" s="283" t="str">
        <f>IF(AE52="","",IF(AE52&lt;=2,"A",IF(AE52&lt;=2.75,"B",IF(AE52&lt;=3.5,"C",IF(AE52&lt;=4.25,"D",IF(AE52&lt;=5,"E","F"))))))</f>
        <v/>
      </c>
      <c r="AF53" s="284"/>
      <c r="AG53" s="283" t="str">
        <f>IF(AG52="","",IF(AG52&lt;=2,"A",IF(AG52&lt;=2.75,"B",IF(AG52&lt;=3.5,"C",IF(AG52&lt;=4.25,"D",IF(AG52&lt;=5,"E","F"))))))</f>
        <v/>
      </c>
      <c r="AH53" s="284"/>
      <c r="AI53" s="283" t="str">
        <f>IF(AI52="","",IF(AI52&lt;=2,"A",IF(AI52&lt;=2.75,"B",IF(AI52&lt;=3.5,"C",IF(AI52&lt;=4.25,"D",IF(AI52&lt;=5,"E","F"))))))</f>
        <v/>
      </c>
      <c r="AJ53" s="284"/>
      <c r="AK53" s="283" t="str">
        <f>IF(AK52="","",IF(AK52&lt;=2,"A",IF(AK52&lt;=2.75,"B",IF(AK52&lt;=3.5,"C",IF(AK52&lt;=4.25,"D",IF(AK52&lt;=5,"E","F"))))))</f>
        <v/>
      </c>
      <c r="AL53" s="284"/>
      <c r="AM53" s="283" t="str">
        <f>IF(AM52="","",IF(AM52&lt;=2,"A",IF(AM52&lt;=2.75,"B",IF(AM52&lt;=3.5,"C",IF(AM52&lt;=4.25,"D",IF(AM52&lt;=5,"E","F"))))))</f>
        <v/>
      </c>
      <c r="AN53" s="284"/>
      <c r="AO53" s="283" t="str">
        <f>IF(AO52="","",IF(AO52&lt;=2,"A",IF(AO52&lt;=2.75,"B",IF(AO52&lt;=3.5,"C",IF(AO52&lt;=4.25,"D",IF(AO52&lt;=5,"E","F"))))))</f>
        <v/>
      </c>
      <c r="AP53" s="284"/>
      <c r="AQ53" s="283" t="str">
        <f>IF(AQ52="","",IF(AQ52&lt;=2,"A",IF(AQ52&lt;=2.75,"B",IF(AQ52&lt;=3.5,"C",IF(AQ52&lt;=4.25,"D",IF(AQ52&lt;=5,"E","F"))))))</f>
        <v/>
      </c>
      <c r="AR53" s="284"/>
      <c r="AS53" s="69" t="str">
        <f>IF(AS50&lt;=2,"A",IF(AS50&lt;=2.75,"B",IF(AS50&lt;=3.5,"C",IF(AS50&lt;=4.25,"D",IF(AS50&lt;=5,"E","F")))))</f>
        <v>A</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199</v>
      </c>
      <c r="D56" s="20" t="s">
        <v>202</v>
      </c>
      <c r="E56" s="20"/>
      <c r="F56" s="228"/>
    </row>
    <row r="57" spans="2:46" ht="15.75" x14ac:dyDescent="0.25">
      <c r="C57" s="21" t="s">
        <v>200</v>
      </c>
      <c r="D57" s="20" t="s">
        <v>203</v>
      </c>
    </row>
    <row r="58" spans="2:46" ht="15.75" x14ac:dyDescent="0.25">
      <c r="C58" s="21" t="s">
        <v>201</v>
      </c>
      <c r="D58" s="20" t="s">
        <v>206</v>
      </c>
    </row>
    <row r="59" spans="2:46" ht="12.95" customHeight="1" x14ac:dyDescent="0.25">
      <c r="C59" s="21" t="s">
        <v>208</v>
      </c>
      <c r="D59" s="303" t="s">
        <v>209</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03"/>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03"/>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235</v>
      </c>
      <c r="D62" s="147" t="s">
        <v>237</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8"/>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04" t="s">
        <v>222</v>
      </c>
      <c r="D65" s="304"/>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M3:N3"/>
    <mergeCell ref="O3:P3"/>
    <mergeCell ref="Q3:R3"/>
    <mergeCell ref="S3:T3"/>
    <mergeCell ref="U3:V3"/>
    <mergeCell ref="W3:X3"/>
    <mergeCell ref="C3:D4"/>
    <mergeCell ref="E3:F3"/>
    <mergeCell ref="G3:H3"/>
    <mergeCell ref="I3:J3"/>
    <mergeCell ref="K3:L3"/>
    <mergeCell ref="AK3:AL3"/>
    <mergeCell ref="AM3:AN3"/>
    <mergeCell ref="AO3:AP3"/>
    <mergeCell ref="AQ3:AR3"/>
    <mergeCell ref="AS3:AS4"/>
    <mergeCell ref="Y3:Z3"/>
    <mergeCell ref="AA3:AB3"/>
    <mergeCell ref="AC3:AD3"/>
    <mergeCell ref="AE3:AF3"/>
    <mergeCell ref="AG3:AH3"/>
    <mergeCell ref="AI3:AJ3"/>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K38:L38"/>
    <mergeCell ref="M38:N38"/>
    <mergeCell ref="O38:P38"/>
    <mergeCell ref="Q38:R38"/>
    <mergeCell ref="S38:T38"/>
    <mergeCell ref="U8:V8"/>
    <mergeCell ref="W8:X8"/>
    <mergeCell ref="Y8:Z8"/>
    <mergeCell ref="AA8:AB8"/>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K48:AL48"/>
    <mergeCell ref="AM48:AN48"/>
    <mergeCell ref="AO48:AP48"/>
    <mergeCell ref="AQ48:AR48"/>
    <mergeCell ref="U48:V48"/>
    <mergeCell ref="W48:X48"/>
    <mergeCell ref="Y48:Z48"/>
    <mergeCell ref="AA48:AB48"/>
    <mergeCell ref="AC48:AD48"/>
    <mergeCell ref="AE48:AF48"/>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G53:AH53"/>
    <mergeCell ref="AI53:AJ53"/>
    <mergeCell ref="AK53:AL53"/>
    <mergeCell ref="AM53:AN53"/>
    <mergeCell ref="AO53:AP53"/>
    <mergeCell ref="AQ53:AR53"/>
    <mergeCell ref="U53:V53"/>
    <mergeCell ref="W53:X53"/>
    <mergeCell ref="Y53:Z53"/>
    <mergeCell ref="AA53:AB53"/>
    <mergeCell ref="AC53:AD53"/>
    <mergeCell ref="AE53:AF53"/>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C6:D6"/>
    <mergeCell ref="G6:H6"/>
    <mergeCell ref="I6:J6"/>
    <mergeCell ref="K6:L6"/>
    <mergeCell ref="E23:F23"/>
    <mergeCell ref="E31:F31"/>
    <mergeCell ref="I31:J31"/>
    <mergeCell ref="K31:L31"/>
    <mergeCell ref="M31:N31"/>
    <mergeCell ref="K23:L23"/>
    <mergeCell ref="M23:N23"/>
    <mergeCell ref="E8:F8"/>
    <mergeCell ref="G8:H8"/>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Q31:AR31"/>
    <mergeCell ref="W31:X31"/>
    <mergeCell ref="Y31:Z31"/>
    <mergeCell ref="AA31:AB31"/>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G41:H41"/>
    <mergeCell ref="G42:H42"/>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A42:AB42"/>
    <mergeCell ref="M46:N46"/>
    <mergeCell ref="M47:N47"/>
    <mergeCell ref="K42:L42"/>
    <mergeCell ref="M42:N42"/>
    <mergeCell ref="O42:P42"/>
    <mergeCell ref="Q41:R41"/>
    <mergeCell ref="S41:T41"/>
    <mergeCell ref="S45:T45"/>
    <mergeCell ref="U45:V45"/>
    <mergeCell ref="W45:X45"/>
    <mergeCell ref="Y45:Z45"/>
    <mergeCell ref="AA45:AB45"/>
    <mergeCell ref="AO45:AP45"/>
    <mergeCell ref="AQ45:AR45"/>
    <mergeCell ref="AC45:AD45"/>
    <mergeCell ref="AE45:AF45"/>
    <mergeCell ref="AG45:AH45"/>
    <mergeCell ref="AI45:AJ45"/>
    <mergeCell ref="AK45:AL45"/>
    <mergeCell ref="AM45:AN45"/>
    <mergeCell ref="Q45:R45"/>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K46:AL46"/>
    <mergeCell ref="AM46:AN46"/>
    <mergeCell ref="U46:V46"/>
    <mergeCell ref="W46:X46"/>
    <mergeCell ref="Y46:Z46"/>
    <mergeCell ref="AA46:AB46"/>
    <mergeCell ref="O46:P46"/>
    <mergeCell ref="O47:P47"/>
    <mergeCell ref="Q46:R46"/>
    <mergeCell ref="S46:T46"/>
    <mergeCell ref="AK47:AL47"/>
    <mergeCell ref="AM47:AN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AI48:AJ48"/>
    <mergeCell ref="I48:J48"/>
    <mergeCell ref="K48:L48"/>
    <mergeCell ref="M48:N48"/>
    <mergeCell ref="O48:P48"/>
    <mergeCell ref="Q48:R48"/>
    <mergeCell ref="S48:T48"/>
    <mergeCell ref="U47:V47"/>
    <mergeCell ref="W47:X47"/>
    <mergeCell ref="Y47:Z47"/>
    <mergeCell ref="AA47:AB4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 ref="AO9:AP9"/>
    <mergeCell ref="AQ9:AR9"/>
    <mergeCell ref="AC9:AD9"/>
    <mergeCell ref="AE9:AF9"/>
    <mergeCell ref="AG9:AH9"/>
    <mergeCell ref="AI9:AJ9"/>
    <mergeCell ref="AK9:AL9"/>
    <mergeCell ref="AM9:AN9"/>
    <mergeCell ref="Q9:R9"/>
    <mergeCell ref="S9:T9"/>
    <mergeCell ref="U9:V9"/>
    <mergeCell ref="W9:X9"/>
    <mergeCell ref="Y9:Z9"/>
    <mergeCell ref="AA9:AB9"/>
  </mergeCells>
  <pageMargins left="0.7" right="0.7" top="0.75" bottom="0.75" header="0.3" footer="0.3"/>
  <pageSetup orientation="portrait" horizontalDpi="360" verticalDpi="36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00" zoomScalePageLayoutView="70" workbookViewId="0">
      <pane xSplit="5" ySplit="4" topLeftCell="F74" activePane="bottomRight" state="frozen"/>
      <selection pane="topRight" activeCell="F1" sqref="F1"/>
      <selection pane="bottomLeft" activeCell="A5" sqref="A5"/>
      <selection pane="bottomRight" activeCell="D28" sqref="D28"/>
    </sheetView>
  </sheetViews>
  <sheetFormatPr defaultColWidth="10.875" defaultRowHeight="12.75" x14ac:dyDescent="0.25"/>
  <cols>
    <col min="1" max="2" width="3.375" style="20" customWidth="1"/>
    <col min="3" max="3" width="5.5" style="23" bestFit="1" customWidth="1"/>
    <col min="4" max="4" width="53"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280" t="s">
        <v>68</v>
      </c>
      <c r="D3" s="301"/>
      <c r="E3" s="308" t="s">
        <v>221</v>
      </c>
      <c r="F3" s="280" t="s">
        <v>19</v>
      </c>
      <c r="G3" s="301"/>
      <c r="H3" s="280" t="s">
        <v>123</v>
      </c>
      <c r="I3" s="301"/>
      <c r="J3" s="280" t="s">
        <v>124</v>
      </c>
      <c r="K3" s="301"/>
      <c r="L3" s="280" t="s">
        <v>125</v>
      </c>
      <c r="M3" s="301"/>
      <c r="N3" s="280" t="s">
        <v>126</v>
      </c>
      <c r="O3" s="301"/>
      <c r="P3" s="280" t="s">
        <v>127</v>
      </c>
      <c r="Q3" s="301"/>
      <c r="R3" s="280" t="s">
        <v>128</v>
      </c>
      <c r="S3" s="301"/>
      <c r="T3" s="280" t="s">
        <v>129</v>
      </c>
      <c r="U3" s="301"/>
      <c r="V3" s="280" t="s">
        <v>130</v>
      </c>
      <c r="W3" s="301"/>
      <c r="X3" s="280" t="s">
        <v>131</v>
      </c>
      <c r="Y3" s="301"/>
      <c r="Z3" s="280" t="s">
        <v>132</v>
      </c>
      <c r="AA3" s="301"/>
      <c r="AB3" s="280" t="s">
        <v>133</v>
      </c>
      <c r="AC3" s="301"/>
      <c r="AD3" s="280" t="s">
        <v>134</v>
      </c>
      <c r="AE3" s="301"/>
      <c r="AF3" s="280" t="s">
        <v>135</v>
      </c>
      <c r="AG3" s="301"/>
      <c r="AH3" s="280" t="s">
        <v>136</v>
      </c>
      <c r="AI3" s="301"/>
      <c r="AJ3" s="280" t="s">
        <v>137</v>
      </c>
      <c r="AK3" s="301"/>
      <c r="AL3" s="280" t="s">
        <v>138</v>
      </c>
      <c r="AM3" s="301"/>
      <c r="AN3" s="280" t="s">
        <v>139</v>
      </c>
      <c r="AO3" s="301"/>
      <c r="AP3" s="280" t="s">
        <v>140</v>
      </c>
      <c r="AQ3" s="301"/>
      <c r="AR3" s="280" t="s">
        <v>141</v>
      </c>
      <c r="AS3" s="301"/>
      <c r="AT3" s="305" t="s">
        <v>191</v>
      </c>
      <c r="AU3" s="56"/>
    </row>
    <row r="4" spans="1:47" s="21" customFormat="1" ht="13.5" x14ac:dyDescent="0.25">
      <c r="B4" s="57"/>
      <c r="C4" s="280"/>
      <c r="D4" s="301"/>
      <c r="E4" s="308"/>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05"/>
      <c r="AU4" s="58"/>
    </row>
    <row r="5" spans="1:47" s="21" customFormat="1" x14ac:dyDescent="0.25">
      <c r="B5" s="57"/>
      <c r="C5" s="59"/>
      <c r="D5" s="59" t="s">
        <v>654</v>
      </c>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280" t="s">
        <v>0</v>
      </c>
      <c r="D6" s="301"/>
      <c r="E6" s="88"/>
      <c r="F6" s="280" t="s">
        <v>647</v>
      </c>
      <c r="G6" s="301"/>
      <c r="H6" s="280" t="s">
        <v>648</v>
      </c>
      <c r="I6" s="301"/>
      <c r="J6" s="280" t="s">
        <v>649</v>
      </c>
      <c r="K6" s="301"/>
      <c r="L6" s="280" t="s">
        <v>650</v>
      </c>
      <c r="M6" s="301"/>
      <c r="N6" s="280" t="s">
        <v>651</v>
      </c>
      <c r="O6" s="301"/>
      <c r="P6" s="280" t="s">
        <v>652</v>
      </c>
      <c r="Q6" s="301"/>
      <c r="R6" s="280" t="s">
        <v>653</v>
      </c>
      <c r="S6" s="301"/>
      <c r="T6" s="280"/>
      <c r="U6" s="301"/>
      <c r="V6" s="280"/>
      <c r="W6" s="301"/>
      <c r="X6" s="280"/>
      <c r="Y6" s="301"/>
      <c r="Z6" s="280"/>
      <c r="AA6" s="301"/>
      <c r="AB6" s="280"/>
      <c r="AC6" s="301"/>
      <c r="AD6" s="280"/>
      <c r="AE6" s="301"/>
      <c r="AF6" s="280"/>
      <c r="AG6" s="301"/>
      <c r="AH6" s="280"/>
      <c r="AI6" s="301"/>
      <c r="AJ6" s="280"/>
      <c r="AK6" s="301"/>
      <c r="AL6" s="280"/>
      <c r="AM6" s="301"/>
      <c r="AN6" s="280"/>
      <c r="AO6" s="301"/>
      <c r="AP6" s="280"/>
      <c r="AQ6" s="301"/>
      <c r="AR6" s="280"/>
      <c r="AS6" s="301"/>
      <c r="AT6" s="48"/>
      <c r="AU6" s="58"/>
    </row>
    <row r="7" spans="1:47" s="21" customFormat="1" ht="13.5" x14ac:dyDescent="0.2">
      <c r="B7" s="57"/>
      <c r="C7" s="6"/>
      <c r="D7" s="7" t="s">
        <v>88</v>
      </c>
      <c r="E7" s="128"/>
      <c r="F7" s="306">
        <v>240</v>
      </c>
      <c r="G7" s="307"/>
      <c r="H7" s="306">
        <v>260</v>
      </c>
      <c r="I7" s="307"/>
      <c r="J7" s="306">
        <v>200</v>
      </c>
      <c r="K7" s="307"/>
      <c r="L7" s="306">
        <v>400</v>
      </c>
      <c r="M7" s="307"/>
      <c r="N7" s="306">
        <v>1000</v>
      </c>
      <c r="O7" s="307"/>
      <c r="P7" s="306">
        <v>475</v>
      </c>
      <c r="Q7" s="307"/>
      <c r="R7" s="306">
        <v>260</v>
      </c>
      <c r="S7" s="307"/>
      <c r="T7" s="306"/>
      <c r="U7" s="307"/>
      <c r="V7" s="306"/>
      <c r="W7" s="307"/>
      <c r="X7" s="306"/>
      <c r="Y7" s="307"/>
      <c r="Z7" s="306"/>
      <c r="AA7" s="307"/>
      <c r="AB7" s="306"/>
      <c r="AC7" s="307"/>
      <c r="AD7" s="306"/>
      <c r="AE7" s="307"/>
      <c r="AF7" s="306"/>
      <c r="AG7" s="307"/>
      <c r="AH7" s="306"/>
      <c r="AI7" s="307"/>
      <c r="AJ7" s="306"/>
      <c r="AK7" s="307"/>
      <c r="AL7" s="306"/>
      <c r="AM7" s="307"/>
      <c r="AN7" s="306"/>
      <c r="AO7" s="307"/>
      <c r="AP7" s="306"/>
      <c r="AQ7" s="307"/>
      <c r="AR7" s="306"/>
      <c r="AS7" s="307"/>
      <c r="AT7" s="48"/>
      <c r="AU7" s="58"/>
    </row>
    <row r="8" spans="1:47" s="21" customFormat="1" ht="13.5" x14ac:dyDescent="0.25">
      <c r="B8" s="57"/>
      <c r="C8" s="6"/>
      <c r="D8" s="7" t="s">
        <v>65</v>
      </c>
      <c r="E8" s="128"/>
      <c r="F8" s="79" t="s">
        <v>263</v>
      </c>
      <c r="G8" s="3" t="s">
        <v>264</v>
      </c>
      <c r="H8" s="79" t="s">
        <v>263</v>
      </c>
      <c r="I8" s="3" t="s">
        <v>264</v>
      </c>
      <c r="J8" s="79" t="s">
        <v>263</v>
      </c>
      <c r="K8" s="3" t="s">
        <v>264</v>
      </c>
      <c r="L8" s="79" t="s">
        <v>263</v>
      </c>
      <c r="M8" s="3" t="s">
        <v>264</v>
      </c>
      <c r="N8" s="79" t="s">
        <v>263</v>
      </c>
      <c r="O8" s="3" t="s">
        <v>264</v>
      </c>
      <c r="P8" s="79" t="s">
        <v>263</v>
      </c>
      <c r="Q8" s="3" t="s">
        <v>264</v>
      </c>
      <c r="R8" s="79" t="s">
        <v>263</v>
      </c>
      <c r="S8" s="3" t="s">
        <v>264</v>
      </c>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437</v>
      </c>
      <c r="D10" s="7" t="s">
        <v>438</v>
      </c>
      <c r="E10" s="214"/>
      <c r="F10" s="80">
        <v>0</v>
      </c>
      <c r="G10" s="81">
        <v>0</v>
      </c>
      <c r="H10" s="80">
        <v>0</v>
      </c>
      <c r="I10" s="81">
        <v>0</v>
      </c>
      <c r="J10" s="80">
        <v>0</v>
      </c>
      <c r="K10" s="81">
        <v>0</v>
      </c>
      <c r="L10" s="80">
        <v>0</v>
      </c>
      <c r="M10" s="81">
        <v>0</v>
      </c>
      <c r="N10" s="80">
        <v>0</v>
      </c>
      <c r="O10" s="81">
        <v>0</v>
      </c>
      <c r="P10" s="80">
        <v>0</v>
      </c>
      <c r="Q10" s="81">
        <v>0</v>
      </c>
      <c r="R10" s="80">
        <v>0</v>
      </c>
      <c r="S10" s="81">
        <v>0</v>
      </c>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330</v>
      </c>
      <c r="G11" s="81">
        <v>339</v>
      </c>
      <c r="H11" s="80">
        <v>380</v>
      </c>
      <c r="I11" s="81">
        <v>222</v>
      </c>
      <c r="J11" s="80">
        <v>632</v>
      </c>
      <c r="K11" s="81">
        <v>462</v>
      </c>
      <c r="L11" s="80">
        <v>665</v>
      </c>
      <c r="M11" s="81">
        <v>323</v>
      </c>
      <c r="N11" s="80">
        <v>488</v>
      </c>
      <c r="O11" s="81">
        <v>266</v>
      </c>
      <c r="P11" s="80">
        <v>427</v>
      </c>
      <c r="Q11" s="81">
        <v>206</v>
      </c>
      <c r="R11" s="80">
        <v>431</v>
      </c>
      <c r="S11" s="81">
        <v>191</v>
      </c>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v>0.02</v>
      </c>
      <c r="F12" s="40">
        <v>0.02</v>
      </c>
      <c r="G12" s="41">
        <v>0.02</v>
      </c>
      <c r="H12" s="40">
        <v>0.02</v>
      </c>
      <c r="I12" s="41">
        <v>0.04</v>
      </c>
      <c r="J12" s="40">
        <v>0.02</v>
      </c>
      <c r="K12" s="41">
        <v>0.02</v>
      </c>
      <c r="L12" s="40">
        <v>0.02</v>
      </c>
      <c r="M12" s="41">
        <v>0.1</v>
      </c>
      <c r="N12" s="40">
        <v>0.08</v>
      </c>
      <c r="O12" s="41">
        <v>0.15</v>
      </c>
      <c r="P12" s="40">
        <v>0.1</v>
      </c>
      <c r="Q12" s="41">
        <v>0.12</v>
      </c>
      <c r="R12" s="40">
        <v>0.1</v>
      </c>
      <c r="S12" s="41">
        <v>0.12</v>
      </c>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v>25</v>
      </c>
      <c r="F13" s="80">
        <v>25</v>
      </c>
      <c r="G13" s="81">
        <v>25</v>
      </c>
      <c r="H13" s="80">
        <v>25</v>
      </c>
      <c r="I13" s="81">
        <v>25</v>
      </c>
      <c r="J13" s="80">
        <v>25</v>
      </c>
      <c r="K13" s="81">
        <v>25</v>
      </c>
      <c r="L13" s="80">
        <v>25</v>
      </c>
      <c r="M13" s="81">
        <v>25</v>
      </c>
      <c r="N13" s="80">
        <v>25</v>
      </c>
      <c r="O13" s="81">
        <v>25</v>
      </c>
      <c r="P13" s="80">
        <v>25</v>
      </c>
      <c r="Q13" s="81">
        <v>25</v>
      </c>
      <c r="R13" s="80">
        <v>25</v>
      </c>
      <c r="S13" s="81">
        <v>25</v>
      </c>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316</v>
      </c>
      <c r="D14" s="7" t="s">
        <v>484</v>
      </c>
      <c r="E14" s="122">
        <v>3.3</v>
      </c>
      <c r="F14" s="86">
        <v>3.3</v>
      </c>
      <c r="G14" s="87">
        <v>3.3</v>
      </c>
      <c r="H14" s="86">
        <v>3.3</v>
      </c>
      <c r="I14" s="87">
        <v>3.3</v>
      </c>
      <c r="J14" s="86">
        <v>3.3</v>
      </c>
      <c r="K14" s="87">
        <v>3.3</v>
      </c>
      <c r="L14" s="86">
        <v>3.3</v>
      </c>
      <c r="M14" s="87">
        <v>3.3</v>
      </c>
      <c r="N14" s="86">
        <v>3.3</v>
      </c>
      <c r="O14" s="87">
        <v>3.3</v>
      </c>
      <c r="P14" s="86">
        <v>3.3</v>
      </c>
      <c r="Q14" s="87">
        <v>3.3</v>
      </c>
      <c r="R14" s="86">
        <v>3.3</v>
      </c>
      <c r="S14" s="87">
        <v>3.3</v>
      </c>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443</v>
      </c>
      <c r="D15" s="7" t="s">
        <v>474</v>
      </c>
      <c r="E15" s="118">
        <v>10</v>
      </c>
      <c r="F15" s="80">
        <v>10</v>
      </c>
      <c r="G15" s="81">
        <v>10</v>
      </c>
      <c r="H15" s="80">
        <v>10</v>
      </c>
      <c r="I15" s="81">
        <v>10</v>
      </c>
      <c r="J15" s="80">
        <v>10</v>
      </c>
      <c r="K15" s="81">
        <v>10</v>
      </c>
      <c r="L15" s="80">
        <v>10</v>
      </c>
      <c r="M15" s="81">
        <v>10</v>
      </c>
      <c r="N15" s="80">
        <v>10</v>
      </c>
      <c r="O15" s="81">
        <v>10</v>
      </c>
      <c r="P15" s="80">
        <v>10</v>
      </c>
      <c r="Q15" s="81">
        <v>10</v>
      </c>
      <c r="R15" s="80">
        <v>10</v>
      </c>
      <c r="S15" s="81">
        <v>10</v>
      </c>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1</v>
      </c>
      <c r="G16" s="83">
        <v>1</v>
      </c>
      <c r="H16" s="82">
        <v>1</v>
      </c>
      <c r="I16" s="83">
        <v>1</v>
      </c>
      <c r="J16" s="82">
        <v>1</v>
      </c>
      <c r="K16" s="83">
        <v>1</v>
      </c>
      <c r="L16" s="82">
        <v>1</v>
      </c>
      <c r="M16" s="83">
        <v>1</v>
      </c>
      <c r="N16" s="82">
        <v>1</v>
      </c>
      <c r="O16" s="83">
        <v>1</v>
      </c>
      <c r="P16" s="82">
        <v>1</v>
      </c>
      <c r="Q16" s="83">
        <v>1</v>
      </c>
      <c r="R16" s="82">
        <v>1</v>
      </c>
      <c r="S16" s="83">
        <v>1</v>
      </c>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238</v>
      </c>
      <c r="E17" s="121">
        <v>5</v>
      </c>
      <c r="F17" s="84">
        <v>10</v>
      </c>
      <c r="G17" s="85">
        <v>8</v>
      </c>
      <c r="H17" s="84">
        <v>10</v>
      </c>
      <c r="I17" s="85">
        <v>8</v>
      </c>
      <c r="J17" s="84">
        <v>8</v>
      </c>
      <c r="K17" s="85">
        <v>5</v>
      </c>
      <c r="L17" s="84">
        <v>5</v>
      </c>
      <c r="M17" s="85">
        <v>5</v>
      </c>
      <c r="N17" s="84">
        <v>5</v>
      </c>
      <c r="O17" s="85">
        <v>5</v>
      </c>
      <c r="P17" s="84">
        <v>9</v>
      </c>
      <c r="Q17" s="85">
        <v>9</v>
      </c>
      <c r="R17" s="84">
        <v>9</v>
      </c>
      <c r="S17" s="85">
        <v>9</v>
      </c>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t="s">
        <v>655</v>
      </c>
      <c r="F18" s="84">
        <v>5</v>
      </c>
      <c r="G18" s="85">
        <v>5</v>
      </c>
      <c r="H18" s="84">
        <v>5</v>
      </c>
      <c r="I18" s="85">
        <v>5</v>
      </c>
      <c r="J18" s="84">
        <v>12</v>
      </c>
      <c r="K18" s="85">
        <v>12</v>
      </c>
      <c r="L18" s="84">
        <v>5</v>
      </c>
      <c r="M18" s="85">
        <v>5</v>
      </c>
      <c r="N18" s="84">
        <v>7</v>
      </c>
      <c r="O18" s="85">
        <v>0</v>
      </c>
      <c r="P18" s="84">
        <v>0</v>
      </c>
      <c r="Q18" s="85">
        <v>0</v>
      </c>
      <c r="R18" s="84">
        <v>0</v>
      </c>
      <c r="S18" s="85">
        <v>0</v>
      </c>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239</v>
      </c>
      <c r="E19" s="122"/>
      <c r="F19" s="86">
        <v>5</v>
      </c>
      <c r="G19" s="87">
        <v>5</v>
      </c>
      <c r="H19" s="84">
        <v>5</v>
      </c>
      <c r="I19" s="85">
        <v>5</v>
      </c>
      <c r="J19" s="86">
        <v>5</v>
      </c>
      <c r="K19" s="87">
        <v>5</v>
      </c>
      <c r="L19" s="86">
        <v>5</v>
      </c>
      <c r="M19" s="87">
        <v>0</v>
      </c>
      <c r="N19" s="86">
        <v>5</v>
      </c>
      <c r="O19" s="87">
        <v>0</v>
      </c>
      <c r="P19" s="86">
        <v>0</v>
      </c>
      <c r="Q19" s="87">
        <v>0</v>
      </c>
      <c r="R19" s="86">
        <v>0</v>
      </c>
      <c r="S19" s="87">
        <v>0</v>
      </c>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v>0</v>
      </c>
      <c r="I20" s="87">
        <v>0</v>
      </c>
      <c r="J20" s="86">
        <v>0</v>
      </c>
      <c r="K20" s="87">
        <v>0</v>
      </c>
      <c r="L20" s="86">
        <v>0</v>
      </c>
      <c r="M20" s="87">
        <v>0</v>
      </c>
      <c r="N20" s="86">
        <v>0</v>
      </c>
      <c r="O20" s="87">
        <v>0</v>
      </c>
      <c r="P20" s="86">
        <v>0</v>
      </c>
      <c r="Q20" s="87">
        <v>0</v>
      </c>
      <c r="R20" s="86">
        <v>0</v>
      </c>
      <c r="S20" s="87">
        <v>0</v>
      </c>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v>12</v>
      </c>
      <c r="I21" s="87">
        <v>12</v>
      </c>
      <c r="J21" s="86">
        <v>12</v>
      </c>
      <c r="K21" s="87">
        <v>12</v>
      </c>
      <c r="L21" s="86">
        <v>12</v>
      </c>
      <c r="M21" s="87">
        <v>12</v>
      </c>
      <c r="N21" s="86">
        <v>12</v>
      </c>
      <c r="O21" s="87">
        <v>12</v>
      </c>
      <c r="P21" s="86">
        <v>12</v>
      </c>
      <c r="Q21" s="87">
        <v>12</v>
      </c>
      <c r="R21" s="86">
        <v>12</v>
      </c>
      <c r="S21" s="87">
        <v>12</v>
      </c>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v>0.9</v>
      </c>
      <c r="F22" s="40">
        <v>0.9</v>
      </c>
      <c r="G22" s="41">
        <v>0.9</v>
      </c>
      <c r="H22" s="40">
        <v>0.9</v>
      </c>
      <c r="I22" s="41">
        <v>0.9</v>
      </c>
      <c r="J22" s="40">
        <v>0.9</v>
      </c>
      <c r="K22" s="41">
        <v>0.9</v>
      </c>
      <c r="L22" s="40">
        <v>0.9</v>
      </c>
      <c r="M22" s="41">
        <v>0.9</v>
      </c>
      <c r="N22" s="40">
        <v>0.9</v>
      </c>
      <c r="O22" s="41">
        <v>0.9</v>
      </c>
      <c r="P22" s="40">
        <v>0.9</v>
      </c>
      <c r="Q22" s="41">
        <v>0.9</v>
      </c>
      <c r="R22" s="40">
        <v>0.9</v>
      </c>
      <c r="S22" s="41">
        <v>0.9</v>
      </c>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t="s">
        <v>656</v>
      </c>
      <c r="F23" s="86">
        <v>0</v>
      </c>
      <c r="G23" s="87">
        <v>9</v>
      </c>
      <c r="H23" s="86">
        <v>0</v>
      </c>
      <c r="I23" s="87">
        <v>9</v>
      </c>
      <c r="J23" s="86">
        <v>0</v>
      </c>
      <c r="K23" s="87">
        <v>0</v>
      </c>
      <c r="L23" s="86">
        <v>9</v>
      </c>
      <c r="M23" s="87">
        <v>9</v>
      </c>
      <c r="N23" s="86">
        <v>0</v>
      </c>
      <c r="O23" s="87">
        <v>9</v>
      </c>
      <c r="P23" s="86">
        <v>9</v>
      </c>
      <c r="Q23" s="87">
        <v>9</v>
      </c>
      <c r="R23" s="86">
        <v>9</v>
      </c>
      <c r="S23" s="87">
        <v>9</v>
      </c>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v>3.5</v>
      </c>
      <c r="F24" s="86">
        <v>3.5</v>
      </c>
      <c r="G24" s="87">
        <v>3.5</v>
      </c>
      <c r="H24" s="86">
        <v>3.5</v>
      </c>
      <c r="I24" s="87">
        <v>3.5</v>
      </c>
      <c r="J24" s="86">
        <v>3.5</v>
      </c>
      <c r="K24" s="87">
        <v>3.5</v>
      </c>
      <c r="L24" s="86">
        <v>3.5</v>
      </c>
      <c r="M24" s="87">
        <v>3.5</v>
      </c>
      <c r="N24" s="86">
        <v>3.5</v>
      </c>
      <c r="O24" s="87">
        <v>3.5</v>
      </c>
      <c r="P24" s="86">
        <v>3.5</v>
      </c>
      <c r="Q24" s="87">
        <v>3.5</v>
      </c>
      <c r="R24" s="86">
        <v>3.5</v>
      </c>
      <c r="S24" s="87">
        <v>3.5</v>
      </c>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4" t="s">
        <v>475</v>
      </c>
      <c r="D25" s="7" t="s">
        <v>476</v>
      </c>
      <c r="E25" s="122">
        <v>0.35</v>
      </c>
      <c r="F25" s="227">
        <v>0.35</v>
      </c>
      <c r="G25" s="225">
        <v>0.35</v>
      </c>
      <c r="H25" s="227">
        <v>0.35</v>
      </c>
      <c r="I25" s="225">
        <v>0.35</v>
      </c>
      <c r="J25" s="227">
        <v>0.35</v>
      </c>
      <c r="K25" s="225">
        <v>0.35</v>
      </c>
      <c r="L25" s="227">
        <v>0.35</v>
      </c>
      <c r="M25" s="225">
        <v>0.35</v>
      </c>
      <c r="N25" s="227">
        <v>0.35</v>
      </c>
      <c r="O25" s="225">
        <v>0.35</v>
      </c>
      <c r="P25" s="227">
        <v>0.35</v>
      </c>
      <c r="Q25" s="225">
        <v>0.35</v>
      </c>
      <c r="R25" s="227">
        <v>0.35</v>
      </c>
      <c r="S25" s="225">
        <v>0.35</v>
      </c>
      <c r="T25" s="227"/>
      <c r="U25" s="225"/>
      <c r="V25" s="227"/>
      <c r="W25" s="225"/>
      <c r="X25" s="227"/>
      <c r="Y25" s="225"/>
      <c r="Z25" s="227"/>
      <c r="AA25" s="225"/>
      <c r="AB25" s="227"/>
      <c r="AC25" s="225"/>
      <c r="AD25" s="227"/>
      <c r="AE25" s="225"/>
      <c r="AF25" s="227"/>
      <c r="AG25" s="225"/>
      <c r="AH25" s="227"/>
      <c r="AI25" s="225"/>
      <c r="AJ25" s="227"/>
      <c r="AK25" s="225"/>
      <c r="AL25" s="227"/>
      <c r="AM25" s="225"/>
      <c r="AN25" s="227"/>
      <c r="AO25" s="225"/>
      <c r="AP25" s="227"/>
      <c r="AQ25" s="225"/>
      <c r="AR25" s="227"/>
      <c r="AS25" s="225"/>
      <c r="AT25" s="49"/>
      <c r="AU25" s="56"/>
    </row>
    <row r="26" spans="2:47" ht="25.5" x14ac:dyDescent="0.25">
      <c r="B26" s="55"/>
      <c r="C26" s="9"/>
      <c r="D26" s="137" t="s">
        <v>223</v>
      </c>
      <c r="E26" s="141" t="s">
        <v>64</v>
      </c>
      <c r="F26" s="40" t="s">
        <v>64</v>
      </c>
      <c r="G26" s="41" t="s">
        <v>64</v>
      </c>
      <c r="H26" s="40" t="s">
        <v>64</v>
      </c>
      <c r="I26" s="41" t="s">
        <v>64</v>
      </c>
      <c r="J26" s="40" t="s">
        <v>64</v>
      </c>
      <c r="K26" s="41" t="s">
        <v>64</v>
      </c>
      <c r="L26" s="40" t="s">
        <v>64</v>
      </c>
      <c r="M26" s="41" t="s">
        <v>64</v>
      </c>
      <c r="N26" s="40" t="s">
        <v>64</v>
      </c>
      <c r="O26" s="41" t="s">
        <v>64</v>
      </c>
      <c r="P26" s="40" t="s">
        <v>64</v>
      </c>
      <c r="Q26" s="41" t="s">
        <v>64</v>
      </c>
      <c r="R26" s="40" t="s">
        <v>64</v>
      </c>
      <c r="S26" s="41" t="s">
        <v>64</v>
      </c>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t="s">
        <v>64</v>
      </c>
      <c r="I27" s="41" t="s">
        <v>64</v>
      </c>
      <c r="J27" s="40" t="s">
        <v>64</v>
      </c>
      <c r="K27" s="41" t="s">
        <v>64</v>
      </c>
      <c r="L27" s="40" t="s">
        <v>64</v>
      </c>
      <c r="M27" s="41" t="s">
        <v>64</v>
      </c>
      <c r="N27" s="40" t="s">
        <v>64</v>
      </c>
      <c r="O27" s="41" t="s">
        <v>64</v>
      </c>
      <c r="P27" s="40" t="s">
        <v>64</v>
      </c>
      <c r="Q27" s="41" t="s">
        <v>64</v>
      </c>
      <c r="R27" s="40" t="s">
        <v>64</v>
      </c>
      <c r="S27" s="41" t="s">
        <v>64</v>
      </c>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t="s">
        <v>657</v>
      </c>
      <c r="F28" s="40" t="s">
        <v>64</v>
      </c>
      <c r="G28" s="41" t="s">
        <v>74</v>
      </c>
      <c r="H28" s="40" t="s">
        <v>64</v>
      </c>
      <c r="I28" s="41" t="s">
        <v>74</v>
      </c>
      <c r="J28" s="40" t="s">
        <v>64</v>
      </c>
      <c r="K28" s="41" t="s">
        <v>64</v>
      </c>
      <c r="L28" s="40" t="s">
        <v>74</v>
      </c>
      <c r="M28" s="41" t="s">
        <v>74</v>
      </c>
      <c r="N28" s="40" t="s">
        <v>64</v>
      </c>
      <c r="O28" s="41" t="s">
        <v>74</v>
      </c>
      <c r="P28" s="40" t="s">
        <v>74</v>
      </c>
      <c r="Q28" s="41" t="s">
        <v>74</v>
      </c>
      <c r="R28" s="40" t="s">
        <v>74</v>
      </c>
      <c r="S28" s="41" t="s">
        <v>74</v>
      </c>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172</v>
      </c>
      <c r="E29" s="119"/>
      <c r="F29" s="40" t="s">
        <v>74</v>
      </c>
      <c r="G29" s="41" t="s">
        <v>74</v>
      </c>
      <c r="H29" s="40" t="s">
        <v>74</v>
      </c>
      <c r="I29" s="41" t="s">
        <v>74</v>
      </c>
      <c r="J29" s="40" t="s">
        <v>74</v>
      </c>
      <c r="K29" s="41" t="s">
        <v>74</v>
      </c>
      <c r="L29" s="40" t="s">
        <v>74</v>
      </c>
      <c r="M29" s="41" t="s">
        <v>74</v>
      </c>
      <c r="N29" s="40" t="s">
        <v>74</v>
      </c>
      <c r="O29" s="41" t="s">
        <v>74</v>
      </c>
      <c r="P29" s="40" t="s">
        <v>74</v>
      </c>
      <c r="Q29" s="41" t="s">
        <v>74</v>
      </c>
      <c r="R29" s="40" t="s">
        <v>74</v>
      </c>
      <c r="S29" s="41" t="s">
        <v>74</v>
      </c>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207</v>
      </c>
      <c r="E30" s="119"/>
      <c r="F30" s="40" t="s">
        <v>64</v>
      </c>
      <c r="G30" s="41" t="s">
        <v>64</v>
      </c>
      <c r="H30" s="40" t="s">
        <v>64</v>
      </c>
      <c r="I30" s="41" t="s">
        <v>64</v>
      </c>
      <c r="J30" s="40" t="s">
        <v>64</v>
      </c>
      <c r="K30" s="41" t="s">
        <v>64</v>
      </c>
      <c r="L30" s="40" t="s">
        <v>64</v>
      </c>
      <c r="M30" s="41" t="s">
        <v>64</v>
      </c>
      <c r="N30" s="40" t="s">
        <v>64</v>
      </c>
      <c r="O30" s="41" t="s">
        <v>64</v>
      </c>
      <c r="P30" s="40" t="s">
        <v>64</v>
      </c>
      <c r="Q30" s="41" t="s">
        <v>64</v>
      </c>
      <c r="R30" s="40" t="s">
        <v>64</v>
      </c>
      <c r="S30" s="41" t="s">
        <v>64</v>
      </c>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234</v>
      </c>
      <c r="E31" s="141"/>
      <c r="F31" s="40" t="s">
        <v>64</v>
      </c>
      <c r="G31" s="41" t="s">
        <v>64</v>
      </c>
      <c r="H31" s="40" t="s">
        <v>64</v>
      </c>
      <c r="I31" s="41" t="s">
        <v>64</v>
      </c>
      <c r="J31" s="40" t="s">
        <v>64</v>
      </c>
      <c r="K31" s="41" t="s">
        <v>64</v>
      </c>
      <c r="L31" s="40" t="s">
        <v>64</v>
      </c>
      <c r="M31" s="41" t="s">
        <v>64</v>
      </c>
      <c r="N31" s="40" t="s">
        <v>64</v>
      </c>
      <c r="O31" s="41" t="s">
        <v>64</v>
      </c>
      <c r="P31" s="40" t="s">
        <v>64</v>
      </c>
      <c r="Q31" s="41" t="s">
        <v>64</v>
      </c>
      <c r="R31" s="40" t="s">
        <v>64</v>
      </c>
      <c r="S31" s="41" t="s">
        <v>64</v>
      </c>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v>5</v>
      </c>
      <c r="I33" s="39">
        <v>5</v>
      </c>
      <c r="J33" s="9">
        <v>5</v>
      </c>
      <c r="K33" s="39">
        <v>5</v>
      </c>
      <c r="L33" s="9">
        <v>5</v>
      </c>
      <c r="M33" s="39">
        <v>5</v>
      </c>
      <c r="N33" s="9">
        <v>5</v>
      </c>
      <c r="O33" s="39">
        <v>5</v>
      </c>
      <c r="P33" s="9">
        <v>5</v>
      </c>
      <c r="Q33" s="39">
        <v>5</v>
      </c>
      <c r="R33" s="9">
        <v>5</v>
      </c>
      <c r="S33" s="39">
        <v>5</v>
      </c>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0</v>
      </c>
      <c r="G34" s="39">
        <v>0</v>
      </c>
      <c r="H34" s="9">
        <v>0</v>
      </c>
      <c r="I34" s="39">
        <v>0</v>
      </c>
      <c r="J34" s="9">
        <v>0</v>
      </c>
      <c r="K34" s="39">
        <v>0</v>
      </c>
      <c r="L34" s="9">
        <v>0</v>
      </c>
      <c r="M34" s="39">
        <v>0</v>
      </c>
      <c r="N34" s="9">
        <v>0</v>
      </c>
      <c r="O34" s="39">
        <v>0</v>
      </c>
      <c r="P34" s="9">
        <v>0</v>
      </c>
      <c r="Q34" s="39">
        <v>0</v>
      </c>
      <c r="R34" s="9">
        <v>0</v>
      </c>
      <c r="S34" s="39">
        <v>0</v>
      </c>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v>0</v>
      </c>
      <c r="I35" s="39">
        <v>0</v>
      </c>
      <c r="J35" s="9">
        <v>0</v>
      </c>
      <c r="K35" s="39">
        <v>0</v>
      </c>
      <c r="L35" s="9">
        <v>0</v>
      </c>
      <c r="M35" s="39">
        <v>0</v>
      </c>
      <c r="N35" s="9">
        <v>0</v>
      </c>
      <c r="O35" s="39">
        <v>0</v>
      </c>
      <c r="P35" s="9">
        <v>0</v>
      </c>
      <c r="Q35" s="39">
        <v>0</v>
      </c>
      <c r="R35" s="9">
        <v>0</v>
      </c>
      <c r="S35" s="39">
        <v>0</v>
      </c>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v>0.85</v>
      </c>
      <c r="F36" s="9">
        <v>0.85</v>
      </c>
      <c r="G36" s="39">
        <v>0.85</v>
      </c>
      <c r="H36" s="9">
        <v>0.85</v>
      </c>
      <c r="I36" s="39">
        <v>0.85</v>
      </c>
      <c r="J36" s="9">
        <v>0.85</v>
      </c>
      <c r="K36" s="39">
        <v>0.85</v>
      </c>
      <c r="L36" s="9">
        <v>0.85</v>
      </c>
      <c r="M36" s="39">
        <v>0.85</v>
      </c>
      <c r="N36" s="9">
        <v>0.85</v>
      </c>
      <c r="O36" s="39">
        <v>0.85</v>
      </c>
      <c r="P36" s="9">
        <v>0.85</v>
      </c>
      <c r="Q36" s="39">
        <v>0.85</v>
      </c>
      <c r="R36" s="9">
        <v>0.85</v>
      </c>
      <c r="S36" s="39">
        <v>0.85</v>
      </c>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15</v>
      </c>
      <c r="G37" s="39">
        <v>15</v>
      </c>
      <c r="H37" s="9">
        <v>15</v>
      </c>
      <c r="I37" s="39">
        <v>15</v>
      </c>
      <c r="J37" s="267">
        <v>15</v>
      </c>
      <c r="K37" s="268">
        <v>15</v>
      </c>
      <c r="L37" s="267">
        <v>15</v>
      </c>
      <c r="M37" s="268">
        <v>15</v>
      </c>
      <c r="N37" s="267">
        <v>15</v>
      </c>
      <c r="O37" s="268">
        <v>15</v>
      </c>
      <c r="P37" s="267">
        <v>15</v>
      </c>
      <c r="Q37" s="268">
        <v>15</v>
      </c>
      <c r="R37" s="267">
        <v>15</v>
      </c>
      <c r="S37" s="268">
        <v>15</v>
      </c>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v>3.7</v>
      </c>
      <c r="I38" s="39">
        <v>3.7</v>
      </c>
      <c r="J38" s="267">
        <v>3.7</v>
      </c>
      <c r="K38" s="268">
        <v>3.7</v>
      </c>
      <c r="L38" s="267">
        <v>3.7</v>
      </c>
      <c r="M38" s="268">
        <v>3.7</v>
      </c>
      <c r="N38" s="267">
        <v>3.7</v>
      </c>
      <c r="O38" s="268">
        <v>3.7</v>
      </c>
      <c r="P38" s="267">
        <v>3.7</v>
      </c>
      <c r="Q38" s="268">
        <v>3.7</v>
      </c>
      <c r="R38" s="267">
        <v>3.7</v>
      </c>
      <c r="S38" s="268">
        <v>3.7</v>
      </c>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t="s">
        <v>64</v>
      </c>
      <c r="I39" s="41" t="s">
        <v>64</v>
      </c>
      <c r="J39" s="269" t="s">
        <v>64</v>
      </c>
      <c r="K39" s="270" t="s">
        <v>64</v>
      </c>
      <c r="L39" s="269" t="s">
        <v>64</v>
      </c>
      <c r="M39" s="270" t="s">
        <v>64</v>
      </c>
      <c r="N39" s="269" t="s">
        <v>64</v>
      </c>
      <c r="O39" s="270" t="s">
        <v>64</v>
      </c>
      <c r="P39" s="269" t="s">
        <v>64</v>
      </c>
      <c r="Q39" s="270" t="s">
        <v>64</v>
      </c>
      <c r="R39" s="269" t="s">
        <v>64</v>
      </c>
      <c r="S39" s="270" t="s">
        <v>64</v>
      </c>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v>0</v>
      </c>
      <c r="I40" s="41">
        <v>0</v>
      </c>
      <c r="J40" s="269">
        <v>0</v>
      </c>
      <c r="K40" s="270">
        <v>0</v>
      </c>
      <c r="L40" s="269">
        <v>0</v>
      </c>
      <c r="M40" s="270">
        <v>0</v>
      </c>
      <c r="N40" s="269">
        <v>0</v>
      </c>
      <c r="O40" s="270">
        <v>0</v>
      </c>
      <c r="P40" s="269">
        <v>0</v>
      </c>
      <c r="Q40" s="270">
        <v>0</v>
      </c>
      <c r="R40" s="269">
        <v>0</v>
      </c>
      <c r="S40" s="270">
        <v>0</v>
      </c>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v>1</v>
      </c>
      <c r="I41" s="41">
        <v>1</v>
      </c>
      <c r="J41" s="269">
        <v>1</v>
      </c>
      <c r="K41" s="270">
        <v>1</v>
      </c>
      <c r="L41" s="269">
        <v>1</v>
      </c>
      <c r="M41" s="270">
        <v>1</v>
      </c>
      <c r="N41" s="269">
        <v>1</v>
      </c>
      <c r="O41" s="270">
        <v>1</v>
      </c>
      <c r="P41" s="269">
        <v>1</v>
      </c>
      <c r="Q41" s="270">
        <v>1</v>
      </c>
      <c r="R41" s="269">
        <v>1</v>
      </c>
      <c r="S41" s="270">
        <v>1</v>
      </c>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225</v>
      </c>
      <c r="E42" s="141" t="s">
        <v>74</v>
      </c>
      <c r="F42" s="40" t="s">
        <v>74</v>
      </c>
      <c r="G42" s="41" t="s">
        <v>74</v>
      </c>
      <c r="H42" s="40" t="s">
        <v>74</v>
      </c>
      <c r="I42" s="41" t="s">
        <v>74</v>
      </c>
      <c r="J42" s="269" t="s">
        <v>74</v>
      </c>
      <c r="K42" s="270" t="s">
        <v>74</v>
      </c>
      <c r="L42" s="269" t="s">
        <v>74</v>
      </c>
      <c r="M42" s="270" t="s">
        <v>74</v>
      </c>
      <c r="N42" s="269" t="s">
        <v>74</v>
      </c>
      <c r="O42" s="270" t="s">
        <v>74</v>
      </c>
      <c r="P42" s="269" t="s">
        <v>74</v>
      </c>
      <c r="Q42" s="270" t="s">
        <v>74</v>
      </c>
      <c r="R42" s="269" t="s">
        <v>74</v>
      </c>
      <c r="S42" s="270" t="s">
        <v>74</v>
      </c>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280" t="s">
        <v>24</v>
      </c>
      <c r="D44" s="301"/>
      <c r="E44" s="88"/>
      <c r="F44" s="280"/>
      <c r="G44" s="301"/>
      <c r="H44" s="280"/>
      <c r="I44" s="301"/>
      <c r="J44" s="280"/>
      <c r="K44" s="301"/>
      <c r="L44" s="280"/>
      <c r="M44" s="301"/>
      <c r="N44" s="280"/>
      <c r="O44" s="301"/>
      <c r="P44" s="280"/>
      <c r="Q44" s="301"/>
      <c r="R44" s="280"/>
      <c r="S44" s="301"/>
      <c r="T44" s="280"/>
      <c r="U44" s="301"/>
      <c r="V44" s="280"/>
      <c r="W44" s="301"/>
      <c r="X44" s="280"/>
      <c r="Y44" s="301"/>
      <c r="Z44" s="280"/>
      <c r="AA44" s="301"/>
      <c r="AB44" s="280"/>
      <c r="AC44" s="301"/>
      <c r="AD44" s="280"/>
      <c r="AE44" s="301"/>
      <c r="AF44" s="280"/>
      <c r="AG44" s="301"/>
      <c r="AH44" s="280"/>
      <c r="AI44" s="301"/>
      <c r="AJ44" s="280"/>
      <c r="AK44" s="301"/>
      <c r="AL44" s="280"/>
      <c r="AM44" s="301"/>
      <c r="AN44" s="280"/>
      <c r="AO44" s="301"/>
      <c r="AP44" s="280"/>
      <c r="AQ44" s="301"/>
      <c r="AR44" s="280"/>
      <c r="AS44" s="301"/>
      <c r="AT44" s="50"/>
      <c r="AU44" s="62"/>
    </row>
    <row r="45" spans="2:47" ht="15.75" x14ac:dyDescent="0.25">
      <c r="B45" s="55"/>
      <c r="C45" s="4"/>
      <c r="D45" s="8" t="s">
        <v>196</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0.25</v>
      </c>
      <c r="F46" s="10">
        <f t="shared" ref="F46:G46" si="1">4*((F13/100)^2)</f>
        <v>0.25</v>
      </c>
      <c r="G46" s="12">
        <f t="shared" si="1"/>
        <v>0.25</v>
      </c>
      <c r="H46" s="10">
        <f t="shared" ref="H46:AS46" si="2">4*((H13/100)^2)</f>
        <v>0.25</v>
      </c>
      <c r="I46" s="99">
        <f t="shared" si="2"/>
        <v>0.25</v>
      </c>
      <c r="J46" s="10">
        <f t="shared" si="2"/>
        <v>0.25</v>
      </c>
      <c r="K46" s="99">
        <f t="shared" si="2"/>
        <v>0.25</v>
      </c>
      <c r="L46" s="10">
        <f t="shared" si="2"/>
        <v>0.25</v>
      </c>
      <c r="M46" s="99">
        <f t="shared" si="2"/>
        <v>0.25</v>
      </c>
      <c r="N46" s="10">
        <f t="shared" si="2"/>
        <v>0.25</v>
      </c>
      <c r="O46" s="99">
        <f t="shared" si="2"/>
        <v>0.25</v>
      </c>
      <c r="P46" s="10">
        <f t="shared" si="2"/>
        <v>0.25</v>
      </c>
      <c r="Q46" s="99">
        <f t="shared" si="2"/>
        <v>0.25</v>
      </c>
      <c r="R46" s="10">
        <f t="shared" si="2"/>
        <v>0.25</v>
      </c>
      <c r="S46" s="99">
        <f t="shared" si="2"/>
        <v>0.25</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0.75075000000000003</v>
      </c>
      <c r="G47" s="74">
        <f t="shared" si="3"/>
        <v>0.77122500000000005</v>
      </c>
      <c r="H47" s="96">
        <f t="shared" si="3"/>
        <v>0.86450000000000005</v>
      </c>
      <c r="I47" s="98">
        <f t="shared" si="3"/>
        <v>0.50505</v>
      </c>
      <c r="J47" s="96">
        <f t="shared" si="3"/>
        <v>1.4378</v>
      </c>
      <c r="K47" s="98">
        <f t="shared" si="3"/>
        <v>1.05105</v>
      </c>
      <c r="L47" s="96">
        <f t="shared" si="3"/>
        <v>1.512875</v>
      </c>
      <c r="M47" s="98">
        <f t="shared" si="3"/>
        <v>0.73482500000000006</v>
      </c>
      <c r="N47" s="96">
        <f t="shared" si="3"/>
        <v>1.1102000000000001</v>
      </c>
      <c r="O47" s="98">
        <f t="shared" si="3"/>
        <v>0.60515000000000008</v>
      </c>
      <c r="P47" s="96">
        <f t="shared" si="3"/>
        <v>0.97142500000000009</v>
      </c>
      <c r="Q47" s="98">
        <f t="shared" si="3"/>
        <v>0.46865000000000001</v>
      </c>
      <c r="R47" s="96">
        <f t="shared" si="3"/>
        <v>0.98052500000000009</v>
      </c>
      <c r="S47" s="98">
        <f t="shared" si="3"/>
        <v>0.43452499999999999</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5</v>
      </c>
      <c r="F48" s="13">
        <f t="shared" ref="F48:G48" si="5">MIN(F17,10)</f>
        <v>10</v>
      </c>
      <c r="G48" s="14">
        <f t="shared" si="5"/>
        <v>8</v>
      </c>
      <c r="H48" s="13">
        <f t="shared" ref="H48:AS48" si="6">MIN(H17,10)</f>
        <v>10</v>
      </c>
      <c r="I48" s="14">
        <f t="shared" si="6"/>
        <v>8</v>
      </c>
      <c r="J48" s="13">
        <f t="shared" si="6"/>
        <v>8</v>
      </c>
      <c r="K48" s="14">
        <f t="shared" si="6"/>
        <v>5</v>
      </c>
      <c r="L48" s="13">
        <f t="shared" si="6"/>
        <v>5</v>
      </c>
      <c r="M48" s="14">
        <f t="shared" si="6"/>
        <v>5</v>
      </c>
      <c r="N48" s="13">
        <f t="shared" si="6"/>
        <v>5</v>
      </c>
      <c r="O48" s="14">
        <f t="shared" si="6"/>
        <v>5</v>
      </c>
      <c r="P48" s="13">
        <f t="shared" si="6"/>
        <v>9</v>
      </c>
      <c r="Q48" s="14">
        <f t="shared" si="6"/>
        <v>9</v>
      </c>
      <c r="R48" s="13">
        <f t="shared" si="6"/>
        <v>9</v>
      </c>
      <c r="S48" s="14">
        <f t="shared" si="6"/>
        <v>9</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4.5</v>
      </c>
      <c r="F49" s="10">
        <f t="shared" ref="F49:G49" si="8">6-(0.3*F48)</f>
        <v>3</v>
      </c>
      <c r="G49" s="12">
        <f t="shared" si="8"/>
        <v>3.6</v>
      </c>
      <c r="H49" s="10">
        <f t="shared" ref="H49:AS49" si="9">6-(0.3*H48)</f>
        <v>3</v>
      </c>
      <c r="I49" s="99">
        <f t="shared" si="9"/>
        <v>3.6</v>
      </c>
      <c r="J49" s="10">
        <f t="shared" si="9"/>
        <v>3.6</v>
      </c>
      <c r="K49" s="99">
        <f t="shared" si="9"/>
        <v>4.5</v>
      </c>
      <c r="L49" s="10">
        <f t="shared" si="9"/>
        <v>4.5</v>
      </c>
      <c r="M49" s="99">
        <f t="shared" si="9"/>
        <v>4.5</v>
      </c>
      <c r="N49" s="10">
        <f t="shared" si="9"/>
        <v>4.5</v>
      </c>
      <c r="O49" s="99">
        <f t="shared" si="9"/>
        <v>4.5</v>
      </c>
      <c r="P49" s="10">
        <f t="shared" si="9"/>
        <v>3.3000000000000003</v>
      </c>
      <c r="Q49" s="99">
        <f t="shared" si="9"/>
        <v>3.3000000000000003</v>
      </c>
      <c r="R49" s="10">
        <f t="shared" si="9"/>
        <v>3.3000000000000003</v>
      </c>
      <c r="S49" s="99">
        <f t="shared" si="9"/>
        <v>3.3000000000000003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236</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3.76</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1.61</v>
      </c>
      <c r="K50" s="143">
        <f t="shared" si="10"/>
        <v>1.61</v>
      </c>
      <c r="L50" s="10">
        <f t="shared" si="10"/>
        <v>1</v>
      </c>
      <c r="M50" s="143">
        <f t="shared" si="10"/>
        <v>1</v>
      </c>
      <c r="N50" s="10">
        <f t="shared" si="10"/>
        <v>1.61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3.76</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t="e">
        <f t="shared" ref="E52:AS52" si="12">IF(OR(E11&gt;160,E17&gt;0),E21+E19+E68+E23,(E21+E19+E68+E23)*(2-0.005*E11*E16))</f>
        <v>#VALUE!</v>
      </c>
      <c r="F52" s="10">
        <f t="shared" si="12"/>
        <v>17</v>
      </c>
      <c r="G52" s="12">
        <f t="shared" si="12"/>
        <v>26</v>
      </c>
      <c r="H52" s="10">
        <f t="shared" si="12"/>
        <v>17</v>
      </c>
      <c r="I52" s="99">
        <f t="shared" si="12"/>
        <v>26</v>
      </c>
      <c r="J52" s="10">
        <f t="shared" si="12"/>
        <v>17</v>
      </c>
      <c r="K52" s="99">
        <f t="shared" si="12"/>
        <v>17</v>
      </c>
      <c r="L52" s="10">
        <f t="shared" si="12"/>
        <v>26</v>
      </c>
      <c r="M52" s="99">
        <f t="shared" si="12"/>
        <v>21</v>
      </c>
      <c r="N52" s="10">
        <f t="shared" si="12"/>
        <v>17</v>
      </c>
      <c r="O52" s="99">
        <f t="shared" si="12"/>
        <v>21</v>
      </c>
      <c r="P52" s="10">
        <f t="shared" si="12"/>
        <v>21</v>
      </c>
      <c r="Q52" s="99">
        <f t="shared" si="12"/>
        <v>21</v>
      </c>
      <c r="R52" s="10">
        <f t="shared" si="12"/>
        <v>21</v>
      </c>
      <c r="S52" s="99">
        <f t="shared" si="12"/>
        <v>21</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4.25" x14ac:dyDescent="0.25">
      <c r="B53" s="55"/>
      <c r="C53" s="109" t="s">
        <v>47</v>
      </c>
      <c r="D53" s="110" t="s">
        <v>38</v>
      </c>
      <c r="E53" s="124" t="e">
        <f t="shared" ref="E53:AS53" si="13">IF(OR(E22&gt;0.25,E19+E68+E23&lt;=10),E19+E68+E23,10)</f>
        <v>#VALUE!</v>
      </c>
      <c r="F53" s="10">
        <f t="shared" si="13"/>
        <v>5</v>
      </c>
      <c r="G53" s="12">
        <f t="shared" si="13"/>
        <v>14</v>
      </c>
      <c r="H53" s="10">
        <f t="shared" si="13"/>
        <v>5</v>
      </c>
      <c r="I53" s="99">
        <f t="shared" si="13"/>
        <v>14</v>
      </c>
      <c r="J53" s="10">
        <f t="shared" si="13"/>
        <v>5</v>
      </c>
      <c r="K53" s="99">
        <f t="shared" si="13"/>
        <v>5</v>
      </c>
      <c r="L53" s="10">
        <f t="shared" si="13"/>
        <v>14</v>
      </c>
      <c r="M53" s="99">
        <f t="shared" si="13"/>
        <v>9</v>
      </c>
      <c r="N53" s="10">
        <f t="shared" si="13"/>
        <v>5</v>
      </c>
      <c r="O53" s="99">
        <f t="shared" si="13"/>
        <v>9</v>
      </c>
      <c r="P53" s="10">
        <f t="shared" si="13"/>
        <v>9</v>
      </c>
      <c r="Q53" s="99">
        <f t="shared" si="13"/>
        <v>9</v>
      </c>
      <c r="R53" s="10">
        <f t="shared" si="13"/>
        <v>9</v>
      </c>
      <c r="S53" s="99">
        <f t="shared" si="13"/>
        <v>9</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4.25" x14ac:dyDescent="0.25">
      <c r="B54" s="55"/>
      <c r="C54" s="109" t="s">
        <v>103</v>
      </c>
      <c r="D54" s="110" t="s">
        <v>39</v>
      </c>
      <c r="E54" s="125" t="e">
        <f>IF(E31="No",-1.2276*LN(E52+(0.5*E53)+(50*E22)+(E18*E51)+(E48*E49)),-1.2276*LN(E52+(0.5*(E53-E19))+(50*E22)+(E18*E51)+(0.75*E48*E49)))</f>
        <v>#VALUE!</v>
      </c>
      <c r="F54" s="15">
        <f>IF(F31="No",-1.2276*LN(F52+(0.5*F53)+(50*F22)+(F18*F51)+(F48*F49)),-1.2276*LN(F52+(0.5*(F53-F19))+(50*F22)+(F18*F51)+(0.75*F48*F49)))</f>
        <v>-5.6471535239763977</v>
      </c>
      <c r="G54" s="38">
        <f t="shared" ref="G54:AS54" si="14">IF(G31="No",-1.2276*LN(G52+(0.5*G53)+(50*G22)+(G18*G51)+(G48*G49)),-1.2276*LN(G52+(0.5*(G53-G19))+(50*G22)+(G18*G51)+(0.75*G48*G49)))</f>
        <v>-5.7902351119410982</v>
      </c>
      <c r="H54" s="96">
        <f t="shared" si="14"/>
        <v>-5.6471535239763977</v>
      </c>
      <c r="I54" s="98">
        <f t="shared" si="14"/>
        <v>-5.7902351119410982</v>
      </c>
      <c r="J54" s="96">
        <f t="shared" si="14"/>
        <v>-5.7167041533361775</v>
      </c>
      <c r="K54" s="98">
        <f t="shared" si="14"/>
        <v>-5.6409691280252225</v>
      </c>
      <c r="L54" s="96">
        <f t="shared" si="14"/>
        <v>-5.7190335657998306</v>
      </c>
      <c r="M54" s="98">
        <f t="shared" si="14"/>
        <v>-5.6285060768159942</v>
      </c>
      <c r="N54" s="96">
        <f t="shared" si="14"/>
        <v>-5.5773486747146572</v>
      </c>
      <c r="O54" s="98">
        <f t="shared" si="14"/>
        <v>-5.5642191377949377</v>
      </c>
      <c r="P54" s="96">
        <f t="shared" si="14"/>
        <v>-5.6557596683876783</v>
      </c>
      <c r="Q54" s="98">
        <f t="shared" si="14"/>
        <v>-5.6557596683876783</v>
      </c>
      <c r="R54" s="96">
        <f t="shared" si="14"/>
        <v>-5.6557596683876783</v>
      </c>
      <c r="S54" s="98">
        <f t="shared" si="14"/>
        <v>-5.6557596683876783</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4.25" x14ac:dyDescent="0.25">
      <c r="B55" s="55"/>
      <c r="C55" s="109" t="s">
        <v>482</v>
      </c>
      <c r="D55" s="110" t="s">
        <v>483</v>
      </c>
      <c r="E55" s="125"/>
      <c r="F55" s="169">
        <f>F7</f>
        <v>240</v>
      </c>
      <c r="G55" s="170">
        <f>F7</f>
        <v>240</v>
      </c>
      <c r="H55" s="169"/>
      <c r="I55" s="170"/>
      <c r="J55" s="169"/>
      <c r="K55" s="170"/>
      <c r="L55" s="169"/>
      <c r="M55" s="170"/>
      <c r="N55" s="169"/>
      <c r="O55" s="170"/>
      <c r="P55" s="169"/>
      <c r="Q55" s="170"/>
      <c r="R55" s="169"/>
      <c r="S55" s="170"/>
      <c r="T55" s="169"/>
      <c r="U55" s="170"/>
      <c r="V55" s="169"/>
      <c r="W55" s="170"/>
      <c r="X55" s="169"/>
      <c r="Y55" s="170"/>
      <c r="Z55" s="169"/>
      <c r="AA55" s="170"/>
      <c r="AB55" s="169"/>
      <c r="AC55" s="170"/>
      <c r="AD55" s="169"/>
      <c r="AE55" s="170"/>
      <c r="AF55" s="169"/>
      <c r="AG55" s="170"/>
      <c r="AH55" s="169"/>
      <c r="AI55" s="170"/>
      <c r="AJ55" s="169"/>
      <c r="AK55" s="170"/>
      <c r="AL55" s="169"/>
      <c r="AM55" s="170"/>
      <c r="AN55" s="169"/>
      <c r="AO55" s="170"/>
      <c r="AP55" s="169"/>
      <c r="AQ55" s="170"/>
      <c r="AR55" s="169"/>
      <c r="AS55" s="170"/>
      <c r="AT55" s="51"/>
      <c r="AU55" s="56"/>
    </row>
    <row r="56" spans="2:47" ht="14.25" x14ac:dyDescent="0.25">
      <c r="B56" s="55"/>
      <c r="C56" s="109" t="s">
        <v>485</v>
      </c>
      <c r="D56" s="110"/>
      <c r="E56" s="125"/>
      <c r="F56" s="169">
        <f>0.084*(2*F55/F14) + Intersections!H64</f>
        <v>28.962681818181821</v>
      </c>
      <c r="G56" s="170">
        <f>0.084*(2*G55/G14) + Intersections!I64</f>
        <v>28.962681818181821</v>
      </c>
      <c r="H56" s="169"/>
      <c r="I56" s="170"/>
      <c r="J56" s="169"/>
      <c r="K56" s="170"/>
      <c r="L56" s="169"/>
      <c r="M56" s="170"/>
      <c r="N56" s="169"/>
      <c r="O56" s="170"/>
      <c r="P56" s="169"/>
      <c r="Q56" s="170"/>
      <c r="R56" s="169"/>
      <c r="S56" s="170"/>
      <c r="T56" s="169"/>
      <c r="U56" s="170"/>
      <c r="V56" s="169"/>
      <c r="W56" s="170"/>
      <c r="X56" s="169"/>
      <c r="Y56" s="170"/>
      <c r="Z56" s="169"/>
      <c r="AA56" s="170"/>
      <c r="AB56" s="169"/>
      <c r="AC56" s="170"/>
      <c r="AD56" s="169"/>
      <c r="AE56" s="170"/>
      <c r="AF56" s="169"/>
      <c r="AG56" s="170"/>
      <c r="AH56" s="169"/>
      <c r="AI56" s="170"/>
      <c r="AJ56" s="169"/>
      <c r="AK56" s="170"/>
      <c r="AL56" s="169"/>
      <c r="AM56" s="170"/>
      <c r="AN56" s="169"/>
      <c r="AO56" s="170"/>
      <c r="AP56" s="169"/>
      <c r="AQ56" s="170"/>
      <c r="AR56" s="169"/>
      <c r="AS56" s="170"/>
      <c r="AT56" s="51"/>
      <c r="AU56" s="56"/>
    </row>
    <row r="57" spans="2:47" ht="14.25" x14ac:dyDescent="0.25">
      <c r="B57" s="55"/>
      <c r="C57" s="10" t="s">
        <v>216</v>
      </c>
      <c r="D57" s="11" t="s">
        <v>40</v>
      </c>
      <c r="E57" s="125">
        <f t="shared" ref="E57:AS57" si="15">IF(E11&gt;0,6.0468+E46+E47+E54,0)</f>
        <v>0</v>
      </c>
      <c r="F57" s="15">
        <f t="shared" si="15"/>
        <v>1.4003964760236025</v>
      </c>
      <c r="G57" s="98">
        <f t="shared" si="15"/>
        <v>1.2777898880589023</v>
      </c>
      <c r="H57" s="96">
        <f t="shared" si="15"/>
        <v>1.514146476023603</v>
      </c>
      <c r="I57" s="98">
        <f t="shared" si="15"/>
        <v>1.0116148880589018</v>
      </c>
      <c r="J57" s="96">
        <f t="shared" si="15"/>
        <v>2.0178958466638228</v>
      </c>
      <c r="K57" s="98">
        <f t="shared" si="15"/>
        <v>1.7068808719747777</v>
      </c>
      <c r="L57" s="96">
        <f t="shared" si="15"/>
        <v>2.0906414342001698</v>
      </c>
      <c r="M57" s="98">
        <f t="shared" si="15"/>
        <v>1.4031189231840058</v>
      </c>
      <c r="N57" s="96">
        <f t="shared" si="15"/>
        <v>1.8296513252853428</v>
      </c>
      <c r="O57" s="98">
        <f t="shared" si="15"/>
        <v>1.3377308622050625</v>
      </c>
      <c r="P57" s="96">
        <f t="shared" si="15"/>
        <v>1.6124653316123219</v>
      </c>
      <c r="Q57" s="98">
        <f t="shared" si="15"/>
        <v>1.1096903316123221</v>
      </c>
      <c r="R57" s="96">
        <f t="shared" si="15"/>
        <v>1.621565331612322</v>
      </c>
      <c r="S57" s="98">
        <f t="shared" si="15"/>
        <v>1.0755653316123217</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ht="13.5" x14ac:dyDescent="0.25">
      <c r="B58" s="55"/>
      <c r="C58" s="10"/>
      <c r="D58" s="11" t="s">
        <v>41</v>
      </c>
      <c r="E58" s="124" t="str">
        <f t="shared" ref="E58:AS58" si="16">IF(E57&lt;=2,"A",IF(E57&lt;=2.75,"B",IF(E57&lt;=3.5,"C",IF(E57&lt;=4.25,"D",IF(E57&lt;=5,"E","F")))))</f>
        <v>A</v>
      </c>
      <c r="F58" s="10" t="str">
        <f t="shared" si="16"/>
        <v>A</v>
      </c>
      <c r="G58" s="12" t="str">
        <f t="shared" si="16"/>
        <v>A</v>
      </c>
      <c r="H58" s="10" t="str">
        <f t="shared" si="16"/>
        <v>A</v>
      </c>
      <c r="I58" s="99" t="str">
        <f t="shared" si="16"/>
        <v>A</v>
      </c>
      <c r="J58" s="10" t="str">
        <f t="shared" si="16"/>
        <v>B</v>
      </c>
      <c r="K58" s="99" t="str">
        <f t="shared" si="16"/>
        <v>A</v>
      </c>
      <c r="L58" s="10" t="str">
        <f t="shared" si="16"/>
        <v>B</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75" x14ac:dyDescent="0.25">
      <c r="B59" s="55"/>
      <c r="C59" s="4"/>
      <c r="D59" s="8" t="s">
        <v>197</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f t="shared" ref="E60:AS60" si="17">7.066/E24^2</f>
        <v>0.57681632653061221</v>
      </c>
      <c r="F60" s="15">
        <f t="shared" si="17"/>
        <v>0.57681632653061221</v>
      </c>
      <c r="G60" s="43">
        <f t="shared" si="17"/>
        <v>0.57681632653061221</v>
      </c>
      <c r="H60" s="96">
        <f t="shared" si="17"/>
        <v>0.57681632653061221</v>
      </c>
      <c r="I60" s="97">
        <f t="shared" si="17"/>
        <v>0.57681632653061221</v>
      </c>
      <c r="J60" s="96">
        <f t="shared" si="17"/>
        <v>0.57681632653061221</v>
      </c>
      <c r="K60" s="97">
        <f t="shared" si="17"/>
        <v>0.57681632653061221</v>
      </c>
      <c r="L60" s="96">
        <f t="shared" si="17"/>
        <v>0.57681632653061221</v>
      </c>
      <c r="M60" s="97">
        <f t="shared" si="17"/>
        <v>0.57681632653061221</v>
      </c>
      <c r="N60" s="96">
        <f t="shared" si="17"/>
        <v>0.57681632653061221</v>
      </c>
      <c r="O60" s="97">
        <f t="shared" si="17"/>
        <v>0.57681632653061221</v>
      </c>
      <c r="P60" s="96">
        <f t="shared" si="17"/>
        <v>0.57681632653061221</v>
      </c>
      <c r="Q60" s="97">
        <f t="shared" si="17"/>
        <v>0.57681632653061221</v>
      </c>
      <c r="R60" s="96">
        <f t="shared" si="17"/>
        <v>0.57681632653061221</v>
      </c>
      <c r="S60" s="97">
        <f t="shared" si="17"/>
        <v>0.57681632653061221</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4.25" x14ac:dyDescent="0.25">
      <c r="B61" s="55"/>
      <c r="C61" s="10" t="s">
        <v>439</v>
      </c>
      <c r="D61" s="11" t="s">
        <v>440</v>
      </c>
      <c r="E61" s="125" t="e">
        <f>0.035*((5280*E10/E7)-20)</f>
        <v>#DIV/0!</v>
      </c>
      <c r="F61" s="169">
        <f>0.035*((5280*F10/F7)-20)</f>
        <v>-0.70000000000000007</v>
      </c>
      <c r="G61" s="172">
        <f>0.035*((5280*G10/F7)-20)</f>
        <v>-0.70000000000000007</v>
      </c>
      <c r="H61" s="169">
        <f>0.035*((5280*H10/H7)-20)</f>
        <v>-0.70000000000000007</v>
      </c>
      <c r="I61" s="172">
        <f>0.035*((5280*I10/H7)-20)</f>
        <v>-0.70000000000000007</v>
      </c>
      <c r="J61" s="169">
        <f>0.035*((5280*J10/J7)-20)</f>
        <v>-0.70000000000000007</v>
      </c>
      <c r="K61" s="172">
        <f>0.035*((5280*K10/J7)-20)</f>
        <v>-0.70000000000000007</v>
      </c>
      <c r="L61" s="169">
        <f>0.035*((5280*L10/L7)-20)</f>
        <v>-0.70000000000000007</v>
      </c>
      <c r="M61" s="172">
        <f>0.035*((5280*M10/L7)-20)</f>
        <v>-0.70000000000000007</v>
      </c>
      <c r="N61" s="169">
        <f>0.035*((5280*N10/N7)-20)</f>
        <v>-0.70000000000000007</v>
      </c>
      <c r="O61" s="172">
        <f>0.035*((5280*O10/N7)-20)</f>
        <v>-0.70000000000000007</v>
      </c>
      <c r="P61" s="169">
        <f>0.035*((5280*P10/P7)-20)</f>
        <v>-0.70000000000000007</v>
      </c>
      <c r="Q61" s="172">
        <f>0.035*((5280*Q10/P7)-20)</f>
        <v>-0.70000000000000007</v>
      </c>
      <c r="R61" s="169">
        <f>0.035*((5280*R10/R7)-20)</f>
        <v>-0.70000000000000007</v>
      </c>
      <c r="S61" s="172">
        <f>0.035*((5280*S10/R7)-20)</f>
        <v>-0.70000000000000007</v>
      </c>
      <c r="T61" s="169" t="e">
        <f>0.035*((5280*T10/T7)-20)</f>
        <v>#DIV/0!</v>
      </c>
      <c r="U61" s="172" t="e">
        <f>0.035*((5280*U10/T7)-20)</f>
        <v>#DIV/0!</v>
      </c>
      <c r="V61" s="169" t="e">
        <f>0.035*((5280*V10/V7)-20)</f>
        <v>#DIV/0!</v>
      </c>
      <c r="W61" s="172" t="e">
        <f>0.035*((5280*W10/V7)-20)</f>
        <v>#DIV/0!</v>
      </c>
      <c r="X61" s="169" t="e">
        <f>0.035*((5280*X10/X7)-20)</f>
        <v>#DIV/0!</v>
      </c>
      <c r="Y61" s="172" t="e">
        <f>0.035*((5280*Y10/X7)-20)</f>
        <v>#DIV/0!</v>
      </c>
      <c r="Z61" s="169" t="e">
        <f>0.035*((5280*Z10/Z7)-20)</f>
        <v>#DIV/0!</v>
      </c>
      <c r="AA61" s="172" t="e">
        <f>0.035*((5280*AA10/Z7)-20)</f>
        <v>#DIV/0!</v>
      </c>
      <c r="AB61" s="169" t="e">
        <f>0.035*((5280*AB10/AB7)-20)</f>
        <v>#DIV/0!</v>
      </c>
      <c r="AC61" s="172" t="e">
        <f>0.035*((5280*AC10/AB7)-20)</f>
        <v>#DIV/0!</v>
      </c>
      <c r="AD61" s="169" t="e">
        <f>0.035*((5280*AD10/AD7)-20)</f>
        <v>#DIV/0!</v>
      </c>
      <c r="AE61" s="172" t="e">
        <f>0.035*((5280*AE10/AD7)-20)</f>
        <v>#DIV/0!</v>
      </c>
      <c r="AF61" s="169" t="e">
        <f>0.035*((5280*AF10/AF7)-20)</f>
        <v>#DIV/0!</v>
      </c>
      <c r="AG61" s="172" t="e">
        <f>0.035*((5280*AG10/AF7)-20)</f>
        <v>#DIV/0!</v>
      </c>
      <c r="AH61" s="169" t="e">
        <f>0.035*((5280*AH10/AH7)-20)</f>
        <v>#DIV/0!</v>
      </c>
      <c r="AI61" s="172" t="e">
        <f>0.035*((5280*AI10/AH7)-20)</f>
        <v>#DIV/0!</v>
      </c>
      <c r="AJ61" s="169" t="e">
        <f>0.035*((5280*AJ10/AJ7)-20)</f>
        <v>#DIV/0!</v>
      </c>
      <c r="AK61" s="172" t="e">
        <f>0.035*((5280*AK10/AJ7)-20)</f>
        <v>#DIV/0!</v>
      </c>
      <c r="AL61" s="169" t="e">
        <f>0.035*((5280*AL10/AL7)-20)</f>
        <v>#DIV/0!</v>
      </c>
      <c r="AM61" s="172" t="e">
        <f>0.035*((5280*AM10/AL7)-20)</f>
        <v>#DIV/0!</v>
      </c>
      <c r="AN61" s="169" t="e">
        <f>0.035*((5280*AN10/AN7)-20)</f>
        <v>#DIV/0!</v>
      </c>
      <c r="AO61" s="172" t="e">
        <f>0.035*((5280*AO10/AN7)-20)</f>
        <v>#DIV/0!</v>
      </c>
      <c r="AP61" s="169" t="e">
        <f>0.035*((5280*AP10/AP7)-20)</f>
        <v>#DIV/0!</v>
      </c>
      <c r="AQ61" s="172" t="e">
        <f>0.035*((5280*AQ10/AP7)-20)</f>
        <v>#DIV/0!</v>
      </c>
      <c r="AR61" s="169" t="e">
        <f>0.035*((5280*AR10/AR7)-20)</f>
        <v>#DIV/0!</v>
      </c>
      <c r="AS61" s="172" t="e">
        <f>0.035*((5280*AS10/AR7)-20)</f>
        <v>#DIV/0!</v>
      </c>
      <c r="AT61" s="51"/>
      <c r="AU61" s="56"/>
    </row>
    <row r="62" spans="2:47" ht="14.25" x14ac:dyDescent="0.25">
      <c r="B62" s="55"/>
      <c r="C62" s="10" t="s">
        <v>441</v>
      </c>
      <c r="D62" s="11" t="s">
        <v>442</v>
      </c>
      <c r="E62" s="125">
        <f>(3600*E7)/(5280*E15)</f>
        <v>0</v>
      </c>
      <c r="F62" s="169">
        <f>(3600*F7)/(5280*F15)</f>
        <v>16.363636363636363</v>
      </c>
      <c r="G62" s="172">
        <f>(3600*F7)/(5280*G15)</f>
        <v>16.363636363636363</v>
      </c>
      <c r="H62" s="169">
        <f>(3600*H7)/(5280*H15)</f>
        <v>17.727272727272727</v>
      </c>
      <c r="I62" s="172">
        <f>(3600*H7)/(5280*I15)</f>
        <v>17.727272727272727</v>
      </c>
      <c r="J62" s="169">
        <f>(3600*J7)/(5280*J15)</f>
        <v>13.636363636363637</v>
      </c>
      <c r="K62" s="172">
        <f>(3600*J7)/(5280*K15)</f>
        <v>13.636363636363637</v>
      </c>
      <c r="L62" s="169">
        <f>(3600*L7)/(5280*L15)</f>
        <v>27.272727272727273</v>
      </c>
      <c r="M62" s="172">
        <f>(3600*L7)/(5280*M15)</f>
        <v>27.272727272727273</v>
      </c>
      <c r="N62" s="169">
        <f>(3600*N7)/(5280*N15)</f>
        <v>68.181818181818187</v>
      </c>
      <c r="O62" s="172">
        <f>(3600*N7)/(5280*O15)</f>
        <v>68.181818181818187</v>
      </c>
      <c r="P62" s="169">
        <f>(3600*P7)/(5280*P15)</f>
        <v>32.386363636363633</v>
      </c>
      <c r="Q62" s="172">
        <f>(3600*P7)/(5280*Q15)</f>
        <v>32.386363636363633</v>
      </c>
      <c r="R62" s="169">
        <f>(3600*R7)/(5280*R15)</f>
        <v>17.727272727272727</v>
      </c>
      <c r="S62" s="172">
        <f>(3600*R7)/(5280*S15)</f>
        <v>17.727272727272727</v>
      </c>
      <c r="T62" s="169" t="e">
        <f>(3600*T7)/(5280*T15)</f>
        <v>#DIV/0!</v>
      </c>
      <c r="U62" s="172" t="e">
        <f>(3600*T7)/(5280*U15)</f>
        <v>#DIV/0!</v>
      </c>
      <c r="V62" s="169" t="e">
        <f>(3600*V7)/(5280*V15)</f>
        <v>#DIV/0!</v>
      </c>
      <c r="W62" s="172" t="e">
        <f>(3600*V7)/(5280*W15)</f>
        <v>#DIV/0!</v>
      </c>
      <c r="X62" s="169" t="e">
        <f>(3600*X7)/(5280*X15)</f>
        <v>#DIV/0!</v>
      </c>
      <c r="Y62" s="172" t="e">
        <f>(3600*X7)/(5280*Y15)</f>
        <v>#DIV/0!</v>
      </c>
      <c r="Z62" s="169" t="e">
        <f>(3600*Z7)/(5280*Z15)</f>
        <v>#DIV/0!</v>
      </c>
      <c r="AA62" s="172" t="e">
        <f>(3600*Z7)/(5280*AA15)</f>
        <v>#DIV/0!</v>
      </c>
      <c r="AB62" s="169" t="e">
        <f>(3600*AB7)/(5280*AB15)</f>
        <v>#DIV/0!</v>
      </c>
      <c r="AC62" s="172" t="e">
        <f>(3600*AB7)/(5280*AC15)</f>
        <v>#DIV/0!</v>
      </c>
      <c r="AD62" s="169" t="e">
        <f>(3600*AD7)/(5280*AD15)</f>
        <v>#DIV/0!</v>
      </c>
      <c r="AE62" s="172" t="e">
        <f>(3600*AD7)/(5280*AE15)</f>
        <v>#DIV/0!</v>
      </c>
      <c r="AF62" s="169" t="e">
        <f>(3600*AF7)/(5280*AF15)</f>
        <v>#DIV/0!</v>
      </c>
      <c r="AG62" s="172" t="e">
        <f>(3600*AF7)/(5280*AG15)</f>
        <v>#DIV/0!</v>
      </c>
      <c r="AH62" s="169" t="e">
        <f>(3600*AH7)/(5280*AH15)</f>
        <v>#DIV/0!</v>
      </c>
      <c r="AI62" s="172" t="e">
        <f>(3600*AH7)/(5280*AI15)</f>
        <v>#DIV/0!</v>
      </c>
      <c r="AJ62" s="169" t="e">
        <f>(3600*AJ7)/(5280*AJ15)</f>
        <v>#DIV/0!</v>
      </c>
      <c r="AK62" s="172" t="e">
        <f>(3600*AJ7)/(5280*AK15)</f>
        <v>#DIV/0!</v>
      </c>
      <c r="AL62" s="169" t="e">
        <f>(3600*AL7)/(5280*AL15)</f>
        <v>#DIV/0!</v>
      </c>
      <c r="AM62" s="172" t="e">
        <f>(3600*AL7)/(5280*AM15)</f>
        <v>#DIV/0!</v>
      </c>
      <c r="AN62" s="169" t="e">
        <f>(3600*AN7)/(5280*AN15)</f>
        <v>#DIV/0!</v>
      </c>
      <c r="AO62" s="172" t="e">
        <f>(3600*AN7)/(5280*AO15)</f>
        <v>#DIV/0!</v>
      </c>
      <c r="AP62" s="169" t="e">
        <f>(3600*AP7)/(5280*AP15)</f>
        <v>#DIV/0!</v>
      </c>
      <c r="AQ62" s="172" t="e">
        <f>(3600*AP7)/(5280*AQ15)</f>
        <v>#DIV/0!</v>
      </c>
      <c r="AR62" s="169" t="e">
        <f>(3600*AR7)/(5280*AR15)</f>
        <v>#DIV/0!</v>
      </c>
      <c r="AS62" s="172" t="e">
        <f>(3600*AR7)/(5280*AS15)</f>
        <v>#DIV/0!</v>
      </c>
      <c r="AT62" s="51"/>
      <c r="AU62" s="56"/>
    </row>
    <row r="63" spans="2:47" ht="14.25" x14ac:dyDescent="0.25">
      <c r="B63" s="55"/>
      <c r="C63" s="10" t="s">
        <v>113</v>
      </c>
      <c r="D63" s="11" t="s">
        <v>114</v>
      </c>
      <c r="E63" s="127">
        <f t="shared" ref="E63:AS63" si="18">IF(E11&gt;4*E16,E11,4*E16)</f>
        <v>0</v>
      </c>
      <c r="F63" s="42">
        <f t="shared" si="18"/>
        <v>330</v>
      </c>
      <c r="G63" s="45">
        <f t="shared" si="18"/>
        <v>339</v>
      </c>
      <c r="H63" s="100">
        <f t="shared" si="18"/>
        <v>380</v>
      </c>
      <c r="I63" s="101">
        <f t="shared" si="18"/>
        <v>222</v>
      </c>
      <c r="J63" s="100">
        <f t="shared" si="18"/>
        <v>632</v>
      </c>
      <c r="K63" s="101">
        <f t="shared" si="18"/>
        <v>462</v>
      </c>
      <c r="L63" s="100">
        <f t="shared" si="18"/>
        <v>665</v>
      </c>
      <c r="M63" s="101">
        <f t="shared" si="18"/>
        <v>323</v>
      </c>
      <c r="N63" s="100">
        <f t="shared" si="18"/>
        <v>488</v>
      </c>
      <c r="O63" s="101">
        <f t="shared" si="18"/>
        <v>266</v>
      </c>
      <c r="P63" s="100">
        <f t="shared" si="18"/>
        <v>427</v>
      </c>
      <c r="Q63" s="101">
        <f t="shared" si="18"/>
        <v>206</v>
      </c>
      <c r="R63" s="100">
        <f t="shared" si="18"/>
        <v>431</v>
      </c>
      <c r="S63" s="101">
        <f t="shared" si="18"/>
        <v>191</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4.25" x14ac:dyDescent="0.25">
      <c r="B64" s="55"/>
      <c r="C64" s="10" t="s">
        <v>102</v>
      </c>
      <c r="D64" s="11" t="s">
        <v>33</v>
      </c>
      <c r="E64" s="125" t="e">
        <f>0.507*LN(E63/(4))</f>
        <v>#NUM!</v>
      </c>
      <c r="F64" s="15">
        <f t="shared" ref="F64:AS64" si="19">0.507*LN(F63/(4))</f>
        <v>2.2372887347237018</v>
      </c>
      <c r="G64" s="43">
        <f t="shared" si="19"/>
        <v>2.2509308133541039</v>
      </c>
      <c r="H64" s="96">
        <f t="shared" si="19"/>
        <v>2.3088155840414744</v>
      </c>
      <c r="I64" s="97">
        <f t="shared" si="19"/>
        <v>2.0363061915214611</v>
      </c>
      <c r="J64" s="96">
        <f t="shared" si="19"/>
        <v>2.5667356817446723</v>
      </c>
      <c r="K64" s="97">
        <f t="shared" si="19"/>
        <v>2.4078801586906571</v>
      </c>
      <c r="L64" s="96">
        <f t="shared" si="19"/>
        <v>2.5925407885247336</v>
      </c>
      <c r="M64" s="97">
        <f t="shared" si="19"/>
        <v>2.2264184867861023</v>
      </c>
      <c r="N64" s="96">
        <f t="shared" si="19"/>
        <v>2.4356386696797614</v>
      </c>
      <c r="O64" s="97">
        <f t="shared" si="19"/>
        <v>2.127981387464537</v>
      </c>
      <c r="P64" s="96">
        <f t="shared" si="19"/>
        <v>2.367938253619128</v>
      </c>
      <c r="Q64" s="97">
        <f t="shared" si="19"/>
        <v>1.9983819764885331</v>
      </c>
      <c r="R64" s="96">
        <f t="shared" si="19"/>
        <v>2.3726655605948159</v>
      </c>
      <c r="S64" s="97">
        <f t="shared" si="19"/>
        <v>1.9600513869318568</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4.25" x14ac:dyDescent="0.25">
      <c r="B65" s="55"/>
      <c r="C65" s="10" t="s">
        <v>104</v>
      </c>
      <c r="D65" s="11" t="s">
        <v>105</v>
      </c>
      <c r="E65" s="125">
        <f t="shared" ref="E65:AS65" si="20">IF(AND(E11*(1-0.01*E12)&lt;200,(E12&gt;0.5)),0.5,E12)</f>
        <v>0.02</v>
      </c>
      <c r="F65" s="15">
        <f t="shared" si="20"/>
        <v>0.02</v>
      </c>
      <c r="G65" s="43">
        <f t="shared" si="20"/>
        <v>0.02</v>
      </c>
      <c r="H65" s="96">
        <f t="shared" si="20"/>
        <v>0.02</v>
      </c>
      <c r="I65" s="97">
        <f t="shared" si="20"/>
        <v>0.04</v>
      </c>
      <c r="J65" s="96">
        <f t="shared" si="20"/>
        <v>0.02</v>
      </c>
      <c r="K65" s="97">
        <f t="shared" si="20"/>
        <v>0.02</v>
      </c>
      <c r="L65" s="96">
        <f t="shared" si="20"/>
        <v>0.02</v>
      </c>
      <c r="M65" s="97">
        <f t="shared" si="20"/>
        <v>0.1</v>
      </c>
      <c r="N65" s="96">
        <f t="shared" si="20"/>
        <v>0.08</v>
      </c>
      <c r="O65" s="97">
        <f t="shared" si="20"/>
        <v>0.15</v>
      </c>
      <c r="P65" s="96">
        <f t="shared" si="20"/>
        <v>0.1</v>
      </c>
      <c r="Q65" s="97">
        <f t="shared" si="20"/>
        <v>0.12</v>
      </c>
      <c r="R65" s="96">
        <f t="shared" si="20"/>
        <v>0.1</v>
      </c>
      <c r="S65" s="97">
        <f t="shared" si="20"/>
        <v>0.12</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4.25" x14ac:dyDescent="0.25">
      <c r="B66" s="55"/>
      <c r="C66" s="10" t="s">
        <v>111</v>
      </c>
      <c r="D66" s="11" t="s">
        <v>112</v>
      </c>
      <c r="E66" s="127">
        <f t="shared" ref="E66:AS66" si="21">IF(E13&lt;21,21,E13)</f>
        <v>25</v>
      </c>
      <c r="F66" s="42">
        <f t="shared" si="21"/>
        <v>25</v>
      </c>
      <c r="G66" s="45">
        <f t="shared" si="21"/>
        <v>25</v>
      </c>
      <c r="H66" s="100">
        <f t="shared" si="21"/>
        <v>25</v>
      </c>
      <c r="I66" s="101">
        <f t="shared" si="21"/>
        <v>25</v>
      </c>
      <c r="J66" s="100">
        <f t="shared" si="21"/>
        <v>25</v>
      </c>
      <c r="K66" s="101">
        <f t="shared" si="21"/>
        <v>25</v>
      </c>
      <c r="L66" s="100">
        <f t="shared" si="21"/>
        <v>25</v>
      </c>
      <c r="M66" s="101">
        <f t="shared" si="21"/>
        <v>25</v>
      </c>
      <c r="N66" s="100">
        <f t="shared" si="21"/>
        <v>25</v>
      </c>
      <c r="O66" s="101">
        <f t="shared" si="21"/>
        <v>25</v>
      </c>
      <c r="P66" s="100">
        <f t="shared" si="21"/>
        <v>25</v>
      </c>
      <c r="Q66" s="101">
        <f t="shared" si="21"/>
        <v>25</v>
      </c>
      <c r="R66" s="100">
        <f t="shared" si="21"/>
        <v>25</v>
      </c>
      <c r="S66" s="101">
        <f t="shared" si="21"/>
        <v>25</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4.25" x14ac:dyDescent="0.25">
      <c r="B67" s="55"/>
      <c r="C67" s="10" t="s">
        <v>101</v>
      </c>
      <c r="D67" s="11" t="s">
        <v>32</v>
      </c>
      <c r="E67" s="125">
        <f t="shared" ref="E67" si="22">0.199*(1.1199*LN(E66-20)+0.8103)*(1+0.1038*E65)^2</f>
        <v>0.52209018090115733</v>
      </c>
      <c r="F67" s="15">
        <f t="shared" ref="F67:G67" si="23">0.199*(1.1199*LN(F66-20)+0.8103)*(1+0.1038*F65)^2</f>
        <v>0.52209018090115733</v>
      </c>
      <c r="G67" s="43">
        <f t="shared" si="23"/>
        <v>0.52209018090115733</v>
      </c>
      <c r="H67" s="96">
        <f t="shared" ref="H67:AS67" si="24">0.199*(1.1199*LN(H66-20)+0.8103)*(1+0.1038*H65)^2</f>
        <v>0.52209018090115733</v>
      </c>
      <c r="I67" s="97">
        <f t="shared" si="24"/>
        <v>0.52425564925018464</v>
      </c>
      <c r="J67" s="96">
        <f t="shared" si="24"/>
        <v>0.52209018090115733</v>
      </c>
      <c r="K67" s="97">
        <f t="shared" si="24"/>
        <v>0.52209018090115733</v>
      </c>
      <c r="L67" s="96">
        <f t="shared" si="24"/>
        <v>0.52209018090115733</v>
      </c>
      <c r="M67" s="97">
        <f t="shared" si="24"/>
        <v>0.53077894363761646</v>
      </c>
      <c r="N67" s="96">
        <f t="shared" si="24"/>
        <v>0.52860003061841432</v>
      </c>
      <c r="O67" s="97">
        <f t="shared" si="24"/>
        <v>0.53624583299629358</v>
      </c>
      <c r="P67" s="96">
        <f t="shared" si="24"/>
        <v>0.53077894363761646</v>
      </c>
      <c r="Q67" s="97">
        <f t="shared" si="24"/>
        <v>0.53296233821354355</v>
      </c>
      <c r="R67" s="96">
        <f t="shared" si="24"/>
        <v>0.53077894363761646</v>
      </c>
      <c r="S67" s="97">
        <f t="shared" si="24"/>
        <v>0.53296233821354355</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4.25" x14ac:dyDescent="0.25">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4.25" x14ac:dyDescent="0.25">
      <c r="B69" s="55"/>
      <c r="C69" s="10" t="s">
        <v>45</v>
      </c>
      <c r="D69" s="11" t="s">
        <v>107</v>
      </c>
      <c r="E69" s="124">
        <f t="shared" ref="E69:AS69" si="26">IF(E22=0,E21+E19+E68+E23,E21+E19+E68)</f>
        <v>0</v>
      </c>
      <c r="F69" s="10">
        <f t="shared" si="26"/>
        <v>17</v>
      </c>
      <c r="G69" s="16">
        <f t="shared" si="26"/>
        <v>17</v>
      </c>
      <c r="H69" s="10">
        <f t="shared" si="26"/>
        <v>17</v>
      </c>
      <c r="I69" s="95">
        <f t="shared" si="26"/>
        <v>17</v>
      </c>
      <c r="J69" s="10">
        <f t="shared" si="26"/>
        <v>17</v>
      </c>
      <c r="K69" s="95">
        <f t="shared" si="26"/>
        <v>17</v>
      </c>
      <c r="L69" s="10">
        <f t="shared" si="26"/>
        <v>17</v>
      </c>
      <c r="M69" s="95">
        <f t="shared" si="26"/>
        <v>12</v>
      </c>
      <c r="N69" s="10">
        <f t="shared" si="26"/>
        <v>17</v>
      </c>
      <c r="O69" s="95">
        <f t="shared" si="26"/>
        <v>12</v>
      </c>
      <c r="P69" s="10">
        <f t="shared" si="26"/>
        <v>12</v>
      </c>
      <c r="Q69" s="95">
        <f t="shared" si="26"/>
        <v>12</v>
      </c>
      <c r="R69" s="10">
        <f t="shared" si="26"/>
        <v>12</v>
      </c>
      <c r="S69" s="95">
        <f t="shared" si="26"/>
        <v>12</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4.25" x14ac:dyDescent="0.25">
      <c r="B70" s="55"/>
      <c r="C70" s="10" t="s">
        <v>46</v>
      </c>
      <c r="D70" s="11" t="s">
        <v>37</v>
      </c>
      <c r="E70" s="124">
        <f t="shared" ref="E70:AS70" si="27">IF(OR(E11&gt;160,E27="Yes"),E69,E69*(2-0.005*E11))</f>
        <v>0</v>
      </c>
      <c r="F70" s="10">
        <f t="shared" si="27"/>
        <v>17</v>
      </c>
      <c r="G70" s="16">
        <f t="shared" si="27"/>
        <v>17</v>
      </c>
      <c r="H70" s="10">
        <f t="shared" si="27"/>
        <v>17</v>
      </c>
      <c r="I70" s="95">
        <f t="shared" si="27"/>
        <v>17</v>
      </c>
      <c r="J70" s="10">
        <f t="shared" si="27"/>
        <v>17</v>
      </c>
      <c r="K70" s="95">
        <f t="shared" si="27"/>
        <v>17</v>
      </c>
      <c r="L70" s="10">
        <f t="shared" si="27"/>
        <v>17</v>
      </c>
      <c r="M70" s="95">
        <f t="shared" si="27"/>
        <v>12</v>
      </c>
      <c r="N70" s="10">
        <f t="shared" si="27"/>
        <v>17</v>
      </c>
      <c r="O70" s="95">
        <f t="shared" si="27"/>
        <v>12</v>
      </c>
      <c r="P70" s="10">
        <f t="shared" si="27"/>
        <v>12</v>
      </c>
      <c r="Q70" s="95">
        <f t="shared" si="27"/>
        <v>12</v>
      </c>
      <c r="R70" s="10">
        <f t="shared" si="27"/>
        <v>12</v>
      </c>
      <c r="S70" s="95">
        <f t="shared" si="27"/>
        <v>12</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4.25" x14ac:dyDescent="0.25">
      <c r="B71" s="55"/>
      <c r="C71" s="10" t="s">
        <v>119</v>
      </c>
      <c r="D71" s="11" t="s">
        <v>120</v>
      </c>
      <c r="E71" s="126" t="e">
        <f t="shared" ref="E71:AS71" si="28">E19+E68+E23</f>
        <v>#VALUE!</v>
      </c>
      <c r="F71" s="13">
        <f t="shared" si="28"/>
        <v>5</v>
      </c>
      <c r="G71" s="44">
        <f t="shared" si="28"/>
        <v>14</v>
      </c>
      <c r="H71" s="13">
        <f t="shared" si="28"/>
        <v>5</v>
      </c>
      <c r="I71" s="44">
        <f t="shared" si="28"/>
        <v>14</v>
      </c>
      <c r="J71" s="13">
        <f t="shared" si="28"/>
        <v>5</v>
      </c>
      <c r="K71" s="44">
        <f t="shared" si="28"/>
        <v>5</v>
      </c>
      <c r="L71" s="13">
        <f t="shared" si="28"/>
        <v>14</v>
      </c>
      <c r="M71" s="44">
        <f t="shared" si="28"/>
        <v>9</v>
      </c>
      <c r="N71" s="13">
        <f t="shared" si="28"/>
        <v>5</v>
      </c>
      <c r="O71" s="44">
        <f t="shared" si="28"/>
        <v>9</v>
      </c>
      <c r="P71" s="13">
        <f t="shared" si="28"/>
        <v>9</v>
      </c>
      <c r="Q71" s="44">
        <f t="shared" si="28"/>
        <v>9</v>
      </c>
      <c r="R71" s="13">
        <f t="shared" si="28"/>
        <v>9</v>
      </c>
      <c r="S71" s="44">
        <f t="shared" si="28"/>
        <v>9</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4.25" x14ac:dyDescent="0.25">
      <c r="B72" s="55"/>
      <c r="C72" s="10" t="s">
        <v>106</v>
      </c>
      <c r="D72" s="11" t="s">
        <v>219</v>
      </c>
      <c r="E72" s="124" t="e">
        <f t="shared" ref="E72:AS72" si="29">IF(E71&lt;4,E70-10*E22,IF((E70+E71-20*E22)&gt;0,E70+E71-20*E22,0))</f>
        <v>#VALUE!</v>
      </c>
      <c r="F72" s="10">
        <f t="shared" si="29"/>
        <v>4</v>
      </c>
      <c r="G72" s="16">
        <f t="shared" si="29"/>
        <v>13</v>
      </c>
      <c r="H72" s="10">
        <f t="shared" si="29"/>
        <v>4</v>
      </c>
      <c r="I72" s="95">
        <f t="shared" si="29"/>
        <v>13</v>
      </c>
      <c r="J72" s="10">
        <f t="shared" si="29"/>
        <v>4</v>
      </c>
      <c r="K72" s="95">
        <f t="shared" si="29"/>
        <v>4</v>
      </c>
      <c r="L72" s="10">
        <f t="shared" si="29"/>
        <v>13</v>
      </c>
      <c r="M72" s="95">
        <f t="shared" si="29"/>
        <v>3</v>
      </c>
      <c r="N72" s="10">
        <f t="shared" si="29"/>
        <v>4</v>
      </c>
      <c r="O72" s="95">
        <f t="shared" si="29"/>
        <v>3</v>
      </c>
      <c r="P72" s="10">
        <f t="shared" si="29"/>
        <v>3</v>
      </c>
      <c r="Q72" s="95">
        <f t="shared" si="29"/>
        <v>3</v>
      </c>
      <c r="R72" s="10">
        <f t="shared" si="29"/>
        <v>3</v>
      </c>
      <c r="S72" s="95">
        <f t="shared" si="29"/>
        <v>3</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5.75" x14ac:dyDescent="0.25">
      <c r="B73" s="55"/>
      <c r="C73" s="109" t="s">
        <v>103</v>
      </c>
      <c r="D73" s="110" t="s">
        <v>220</v>
      </c>
      <c r="E73" s="124" t="e">
        <f t="shared" ref="E73:AS73" si="30">IF(E30="No",-0.005*E72^2,1.3*-0.005*E72^2)</f>
        <v>#VALUE!</v>
      </c>
      <c r="F73" s="10">
        <f t="shared" si="30"/>
        <v>-0.08</v>
      </c>
      <c r="G73" s="16">
        <f t="shared" si="30"/>
        <v>-0.84499999999999997</v>
      </c>
      <c r="H73" s="10">
        <f t="shared" si="30"/>
        <v>-0.08</v>
      </c>
      <c r="I73" s="106">
        <f t="shared" si="30"/>
        <v>-0.84499999999999997</v>
      </c>
      <c r="J73" s="10">
        <f t="shared" si="30"/>
        <v>-0.08</v>
      </c>
      <c r="K73" s="106">
        <f t="shared" si="30"/>
        <v>-0.08</v>
      </c>
      <c r="L73" s="10">
        <f t="shared" si="30"/>
        <v>-0.84499999999999997</v>
      </c>
      <c r="M73" s="106">
        <f t="shared" si="30"/>
        <v>-4.4999999999999998E-2</v>
      </c>
      <c r="N73" s="10">
        <f t="shared" si="30"/>
        <v>-0.08</v>
      </c>
      <c r="O73" s="106">
        <f t="shared" si="30"/>
        <v>-4.4999999999999998E-2</v>
      </c>
      <c r="P73" s="10">
        <f t="shared" si="30"/>
        <v>-4.4999999999999998E-2</v>
      </c>
      <c r="Q73" s="106">
        <f t="shared" si="30"/>
        <v>-4.4999999999999998E-2</v>
      </c>
      <c r="R73" s="10">
        <f t="shared" si="30"/>
        <v>-4.4999999999999998E-2</v>
      </c>
      <c r="S73" s="106">
        <f t="shared" si="30"/>
        <v>-4.4999999999999998E-2</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4.25" x14ac:dyDescent="0.25">
      <c r="B74" s="55"/>
      <c r="C74" s="10" t="s">
        <v>217</v>
      </c>
      <c r="D74" s="11" t="s">
        <v>92</v>
      </c>
      <c r="E74" s="125">
        <f t="shared" ref="E74:AS74" si="31">IF(E11&gt;0,0.76+E73+E64+E67+E60,0)</f>
        <v>0</v>
      </c>
      <c r="F74" s="15">
        <f t="shared" si="31"/>
        <v>4.0161952421554714</v>
      </c>
      <c r="G74" s="98">
        <f t="shared" si="31"/>
        <v>3.2648373207858734</v>
      </c>
      <c r="H74" s="96">
        <f t="shared" si="31"/>
        <v>4.0877220914732444</v>
      </c>
      <c r="I74" s="98">
        <f t="shared" si="31"/>
        <v>3.0523781673022583</v>
      </c>
      <c r="J74" s="96">
        <f t="shared" si="31"/>
        <v>4.3456421891764423</v>
      </c>
      <c r="K74" s="98">
        <f t="shared" si="31"/>
        <v>4.1867866661224271</v>
      </c>
      <c r="L74" s="96">
        <f t="shared" si="31"/>
        <v>3.606447295956503</v>
      </c>
      <c r="M74" s="98">
        <f t="shared" si="31"/>
        <v>4.0490137569543307</v>
      </c>
      <c r="N74" s="96">
        <f t="shared" si="31"/>
        <v>4.2210550268287879</v>
      </c>
      <c r="O74" s="98">
        <f t="shared" si="31"/>
        <v>3.9560435469914426</v>
      </c>
      <c r="P74" s="96">
        <f t="shared" si="31"/>
        <v>4.1905335237873569</v>
      </c>
      <c r="Q74" s="98">
        <f t="shared" si="31"/>
        <v>3.8231606412326888</v>
      </c>
      <c r="R74" s="96">
        <f t="shared" si="31"/>
        <v>4.1952608307630443</v>
      </c>
      <c r="S74" s="98">
        <f t="shared" si="31"/>
        <v>3.7848300516760123</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ht="13.5" x14ac:dyDescent="0.25">
      <c r="B75" s="55"/>
      <c r="C75" s="10"/>
      <c r="D75" s="11" t="s">
        <v>51</v>
      </c>
      <c r="E75" s="124" t="str">
        <f t="shared" ref="E75" si="32">IF(E74&lt;=2,"A",IF(E74&lt;=2.75,"B",IF(E74&lt;=3.5,"C",IF(E74&lt;=4.25,"D",IF(E74&lt;=5,"E","F")))))</f>
        <v>A</v>
      </c>
      <c r="F75" s="10" t="str">
        <f t="shared" ref="F75:G75" si="33">IF(F74&lt;=2,"A",IF(F74&lt;=2.75,"B",IF(F74&lt;=3.5,"C",IF(F74&lt;=4.25,"D",IF(F74&lt;=5,"E","F")))))</f>
        <v>D</v>
      </c>
      <c r="G75" s="12" t="str">
        <f t="shared" si="33"/>
        <v>C</v>
      </c>
      <c r="H75" s="10" t="str">
        <f t="shared" ref="H75:AS75" si="34">IF(H74&lt;=2,"A",IF(H74&lt;=2.75,"B",IF(H74&lt;=3.5,"C",IF(H74&lt;=4.25,"D",IF(H74&lt;=5,"E","F")))))</f>
        <v>D</v>
      </c>
      <c r="I75" s="99" t="str">
        <f t="shared" si="34"/>
        <v>C</v>
      </c>
      <c r="J75" s="10" t="str">
        <f t="shared" si="34"/>
        <v>E</v>
      </c>
      <c r="K75" s="99" t="str">
        <f t="shared" si="34"/>
        <v>D</v>
      </c>
      <c r="L75" s="10" t="str">
        <f t="shared" si="34"/>
        <v>D</v>
      </c>
      <c r="M75" s="99" t="str">
        <f t="shared" si="34"/>
        <v>D</v>
      </c>
      <c r="N75" s="10" t="str">
        <f t="shared" si="34"/>
        <v>D</v>
      </c>
      <c r="O75" s="99" t="str">
        <f t="shared" si="34"/>
        <v>D</v>
      </c>
      <c r="P75" s="10" t="str">
        <f t="shared" si="34"/>
        <v>D</v>
      </c>
      <c r="Q75" s="99" t="str">
        <f t="shared" si="34"/>
        <v>D</v>
      </c>
      <c r="R75" s="10" t="str">
        <f t="shared" si="34"/>
        <v>D</v>
      </c>
      <c r="S75" s="99" t="str">
        <f t="shared" si="34"/>
        <v>D</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75" x14ac:dyDescent="0.25">
      <c r="B76" s="61"/>
      <c r="C76" s="17"/>
      <c r="D76" s="8" t="s">
        <v>198</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 t="shared" ref="E77:AS77" si="35">SUM(E33:E34)</f>
        <v>0</v>
      </c>
      <c r="F77" s="10">
        <f t="shared" si="35"/>
        <v>5</v>
      </c>
      <c r="G77" s="12">
        <f t="shared" si="35"/>
        <v>5</v>
      </c>
      <c r="H77" s="10">
        <f t="shared" si="35"/>
        <v>5</v>
      </c>
      <c r="I77" s="99">
        <f t="shared" si="35"/>
        <v>5</v>
      </c>
      <c r="J77" s="10">
        <f t="shared" si="35"/>
        <v>5</v>
      </c>
      <c r="K77" s="99">
        <f t="shared" si="35"/>
        <v>5</v>
      </c>
      <c r="L77" s="10">
        <f t="shared" si="35"/>
        <v>5</v>
      </c>
      <c r="M77" s="99">
        <f t="shared" si="35"/>
        <v>5</v>
      </c>
      <c r="N77" s="10">
        <f t="shared" si="35"/>
        <v>5</v>
      </c>
      <c r="O77" s="99">
        <f t="shared" si="35"/>
        <v>5</v>
      </c>
      <c r="P77" s="10">
        <f t="shared" si="35"/>
        <v>5</v>
      </c>
      <c r="Q77" s="99">
        <f t="shared" si="35"/>
        <v>5</v>
      </c>
      <c r="R77" s="10">
        <f t="shared" si="35"/>
        <v>5</v>
      </c>
      <c r="S77" s="99">
        <f t="shared" si="35"/>
        <v>5</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4.25" x14ac:dyDescent="0.25">
      <c r="B78" s="55"/>
      <c r="C78" s="10" t="s">
        <v>80</v>
      </c>
      <c r="D78" s="11" t="s">
        <v>55</v>
      </c>
      <c r="E78" s="125">
        <f t="shared" ref="E78" si="36">4*EXP(-1.434/(E77+0.001))</f>
        <v>0</v>
      </c>
      <c r="F78" s="15">
        <f t="shared" ref="F78:G78" si="37">4*EXP(-1.434/(F77+0.001))</f>
        <v>3.0028195871285197</v>
      </c>
      <c r="G78" s="38">
        <f t="shared" si="37"/>
        <v>3.0028195871285197</v>
      </c>
      <c r="H78" s="96">
        <f t="shared" ref="H78:AS78" si="38">4*EXP(-1.434/(H77+0.001))</f>
        <v>3.0028195871285197</v>
      </c>
      <c r="I78" s="98">
        <f t="shared" si="38"/>
        <v>3.0028195871285197</v>
      </c>
      <c r="J78" s="96">
        <f t="shared" si="38"/>
        <v>3.0028195871285197</v>
      </c>
      <c r="K78" s="98">
        <f t="shared" si="38"/>
        <v>3.0028195871285197</v>
      </c>
      <c r="L78" s="96">
        <f t="shared" si="38"/>
        <v>3.0028195871285197</v>
      </c>
      <c r="M78" s="98">
        <f t="shared" si="38"/>
        <v>3.0028195871285197</v>
      </c>
      <c r="N78" s="96">
        <f t="shared" si="38"/>
        <v>3.0028195871285197</v>
      </c>
      <c r="O78" s="98">
        <f t="shared" si="38"/>
        <v>3.0028195871285197</v>
      </c>
      <c r="P78" s="96">
        <f t="shared" si="38"/>
        <v>3.0028195871285197</v>
      </c>
      <c r="Q78" s="98">
        <f t="shared" si="38"/>
        <v>3.0028195871285197</v>
      </c>
      <c r="R78" s="96">
        <f t="shared" si="38"/>
        <v>3.0028195871285197</v>
      </c>
      <c r="S78" s="98">
        <f t="shared" si="38"/>
        <v>3.0028195871285197</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4.25" x14ac:dyDescent="0.25">
      <c r="B79" s="55"/>
      <c r="C79" s="10" t="s">
        <v>81</v>
      </c>
      <c r="D79" s="11" t="s">
        <v>56</v>
      </c>
      <c r="E79" s="125">
        <f t="shared" ref="E79:AS79" si="39">IF(E36&lt;=0.8,1,IF(E36&lt;=1,1+((4*(E36-0.8))/4.2),1+(((4*(E36-0.8))+((E36-1)*(6.5+(5*(E36-1)))))/(4.2*E36))))</f>
        <v>1.0476190476190474</v>
      </c>
      <c r="F79" s="15">
        <f t="shared" si="39"/>
        <v>1.0476190476190474</v>
      </c>
      <c r="G79" s="38">
        <f t="shared" si="39"/>
        <v>1.0476190476190474</v>
      </c>
      <c r="H79" s="96">
        <f t="shared" si="39"/>
        <v>1.0476190476190474</v>
      </c>
      <c r="I79" s="98">
        <f t="shared" si="39"/>
        <v>1.0476190476190474</v>
      </c>
      <c r="J79" s="96">
        <f t="shared" si="39"/>
        <v>1.0476190476190474</v>
      </c>
      <c r="K79" s="98">
        <f t="shared" si="39"/>
        <v>1.0476190476190474</v>
      </c>
      <c r="L79" s="96">
        <f t="shared" si="39"/>
        <v>1.0476190476190474</v>
      </c>
      <c r="M79" s="98">
        <f t="shared" si="39"/>
        <v>1.0476190476190474</v>
      </c>
      <c r="N79" s="96">
        <f t="shared" si="39"/>
        <v>1.0476190476190474</v>
      </c>
      <c r="O79" s="98">
        <f t="shared" si="39"/>
        <v>1.0476190476190474</v>
      </c>
      <c r="P79" s="96">
        <f t="shared" si="39"/>
        <v>1.0476190476190474</v>
      </c>
      <c r="Q79" s="98">
        <f t="shared" si="39"/>
        <v>1.0476190476190474</v>
      </c>
      <c r="R79" s="96">
        <f t="shared" si="39"/>
        <v>1.0476190476190474</v>
      </c>
      <c r="S79" s="98">
        <f t="shared" si="39"/>
        <v>1.0476190476190474</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4.25" x14ac:dyDescent="0.25">
      <c r="B80" s="55"/>
      <c r="C80" s="10" t="s">
        <v>82</v>
      </c>
      <c r="D80" s="11" t="s">
        <v>57</v>
      </c>
      <c r="E80" s="126">
        <f t="shared" ref="E80:AS80" si="40">(E40*1.3+E41*0.2)/E38</f>
        <v>0</v>
      </c>
      <c r="F80" s="13">
        <f t="shared" si="40"/>
        <v>5.4054054054054057E-2</v>
      </c>
      <c r="G80" s="14">
        <f t="shared" si="40"/>
        <v>5.4054054054054057E-2</v>
      </c>
      <c r="H80" s="13">
        <f t="shared" si="40"/>
        <v>5.4054054054054057E-2</v>
      </c>
      <c r="I80" s="14">
        <f t="shared" si="40"/>
        <v>5.4054054054054057E-2</v>
      </c>
      <c r="J80" s="13">
        <f t="shared" si="40"/>
        <v>5.4054054054054057E-2</v>
      </c>
      <c r="K80" s="14">
        <f t="shared" si="40"/>
        <v>5.4054054054054057E-2</v>
      </c>
      <c r="L80" s="13">
        <f t="shared" si="40"/>
        <v>5.4054054054054057E-2</v>
      </c>
      <c r="M80" s="14">
        <f t="shared" si="40"/>
        <v>5.4054054054054057E-2</v>
      </c>
      <c r="N80" s="13">
        <f t="shared" si="40"/>
        <v>5.4054054054054057E-2</v>
      </c>
      <c r="O80" s="14">
        <f t="shared" si="40"/>
        <v>5.4054054054054057E-2</v>
      </c>
      <c r="P80" s="13">
        <f t="shared" si="40"/>
        <v>5.4054054054054057E-2</v>
      </c>
      <c r="Q80" s="14">
        <f t="shared" si="40"/>
        <v>5.4054054054054057E-2</v>
      </c>
      <c r="R80" s="13">
        <f t="shared" si="40"/>
        <v>5.4054054054054057E-2</v>
      </c>
      <c r="S80" s="14">
        <f t="shared" si="40"/>
        <v>5.4054054054054057E-2</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4.25" x14ac:dyDescent="0.25">
      <c r="B81" s="55"/>
      <c r="C81" s="10" t="s">
        <v>83</v>
      </c>
      <c r="D81" s="11" t="s">
        <v>58</v>
      </c>
      <c r="E81" s="126">
        <f t="shared" ref="E81:AS81" si="41">E35/E38</f>
        <v>0</v>
      </c>
      <c r="F81" s="13">
        <f t="shared" si="41"/>
        <v>0</v>
      </c>
      <c r="G81" s="14">
        <f t="shared" si="41"/>
        <v>0</v>
      </c>
      <c r="H81" s="13">
        <f t="shared" si="41"/>
        <v>0</v>
      </c>
      <c r="I81" s="14">
        <f t="shared" si="41"/>
        <v>0</v>
      </c>
      <c r="J81" s="13">
        <f t="shared" si="41"/>
        <v>0</v>
      </c>
      <c r="K81" s="14">
        <f t="shared" si="41"/>
        <v>0</v>
      </c>
      <c r="L81" s="13">
        <f t="shared" si="41"/>
        <v>0</v>
      </c>
      <c r="M81" s="14">
        <f t="shared" si="41"/>
        <v>0</v>
      </c>
      <c r="N81" s="13">
        <f t="shared" si="41"/>
        <v>0</v>
      </c>
      <c r="O81" s="14">
        <f t="shared" si="41"/>
        <v>0</v>
      </c>
      <c r="P81" s="13">
        <f t="shared" si="41"/>
        <v>0</v>
      </c>
      <c r="Q81" s="14">
        <f t="shared" si="41"/>
        <v>0</v>
      </c>
      <c r="R81" s="13">
        <f t="shared" si="41"/>
        <v>0</v>
      </c>
      <c r="S81" s="14">
        <f t="shared" si="41"/>
        <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4.25" x14ac:dyDescent="0.25">
      <c r="B82" s="55"/>
      <c r="C82" s="10" t="s">
        <v>84</v>
      </c>
      <c r="D82" s="11" t="s">
        <v>59</v>
      </c>
      <c r="E82" s="126" t="e">
        <f t="shared" ref="E82:AS82" si="42">(E79*(60/E37))+(2*E81)-E80</f>
        <v>#DIV/0!</v>
      </c>
      <c r="F82" s="13">
        <f t="shared" si="42"/>
        <v>4.1364221364221354</v>
      </c>
      <c r="G82" s="14">
        <f t="shared" si="42"/>
        <v>4.1364221364221354</v>
      </c>
      <c r="H82" s="13">
        <f t="shared" si="42"/>
        <v>4.1364221364221354</v>
      </c>
      <c r="I82" s="14">
        <f t="shared" si="42"/>
        <v>4.1364221364221354</v>
      </c>
      <c r="J82" s="13">
        <f t="shared" si="42"/>
        <v>4.1364221364221354</v>
      </c>
      <c r="K82" s="14">
        <f t="shared" si="42"/>
        <v>4.1364221364221354</v>
      </c>
      <c r="L82" s="13">
        <f t="shared" si="42"/>
        <v>4.1364221364221354</v>
      </c>
      <c r="M82" s="14">
        <f t="shared" si="42"/>
        <v>4.1364221364221354</v>
      </c>
      <c r="N82" s="13">
        <f t="shared" si="42"/>
        <v>4.1364221364221354</v>
      </c>
      <c r="O82" s="14">
        <f t="shared" si="42"/>
        <v>4.1364221364221354</v>
      </c>
      <c r="P82" s="13">
        <f t="shared" si="42"/>
        <v>4.1364221364221354</v>
      </c>
      <c r="Q82" s="14">
        <f t="shared" si="42"/>
        <v>4.1364221364221354</v>
      </c>
      <c r="R82" s="13">
        <f t="shared" si="42"/>
        <v>4.1364221364221354</v>
      </c>
      <c r="S82" s="14">
        <f t="shared" si="42"/>
        <v>4.1364221364221354</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4.25" x14ac:dyDescent="0.25">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4.25" x14ac:dyDescent="0.25">
      <c r="B84" s="55"/>
      <c r="C84" s="10" t="s">
        <v>86</v>
      </c>
      <c r="D84" s="11" t="s">
        <v>61</v>
      </c>
      <c r="E84" s="125" t="e">
        <f t="shared" ref="E84" si="44">((-0.4-1)*E83-(-0.4+1)*E82)/((-0.4-1)*E82-(-0.4+1)*E83)</f>
        <v>#DIV/0!</v>
      </c>
      <c r="F84" s="15">
        <f t="shared" ref="F84:G84" si="45">((-0.4-1)*F83-(-0.4+1)*F82)/((-0.4-1)*F82-(-0.4+1)*F83)</f>
        <v>0.98667588460813271</v>
      </c>
      <c r="G84" s="38">
        <f t="shared" si="45"/>
        <v>0.98667588460813271</v>
      </c>
      <c r="H84" s="96">
        <f t="shared" ref="H84:AS84" si="46">((-0.4-1)*H83-(-0.4+1)*H82)/((-0.4-1)*H82-(-0.4+1)*H83)</f>
        <v>0.98667588460813271</v>
      </c>
      <c r="I84" s="98">
        <f t="shared" si="46"/>
        <v>0.98667588460813271</v>
      </c>
      <c r="J84" s="96">
        <f t="shared" si="46"/>
        <v>0.98667588460813271</v>
      </c>
      <c r="K84" s="98">
        <f t="shared" si="46"/>
        <v>0.98667588460813271</v>
      </c>
      <c r="L84" s="96">
        <f t="shared" si="46"/>
        <v>0.98667588460813271</v>
      </c>
      <c r="M84" s="98">
        <f t="shared" si="46"/>
        <v>0.98667588460813271</v>
      </c>
      <c r="N84" s="96">
        <f t="shared" si="46"/>
        <v>0.98667588460813271</v>
      </c>
      <c r="O84" s="98">
        <f t="shared" si="46"/>
        <v>0.98667588460813271</v>
      </c>
      <c r="P84" s="96">
        <f t="shared" si="46"/>
        <v>0.98667588460813271</v>
      </c>
      <c r="Q84" s="98">
        <f t="shared" si="46"/>
        <v>0.98667588460813271</v>
      </c>
      <c r="R84" s="96">
        <f t="shared" si="46"/>
        <v>0.98667588460813271</v>
      </c>
      <c r="S84" s="98">
        <f t="shared" si="46"/>
        <v>0.98667588460813271</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4.25" x14ac:dyDescent="0.25">
      <c r="B85" s="55"/>
      <c r="C85" s="10" t="s">
        <v>87</v>
      </c>
      <c r="D85" s="11" t="s">
        <v>62</v>
      </c>
      <c r="E85" s="125" t="e">
        <f t="shared" ref="E85" si="47">E78*E84</f>
        <v>#DIV/0!</v>
      </c>
      <c r="F85" s="15">
        <f t="shared" ref="F85:G85" si="48">F78*F84</f>
        <v>2.9628096724486599</v>
      </c>
      <c r="G85" s="38">
        <f t="shared" si="48"/>
        <v>2.9628096724486599</v>
      </c>
      <c r="H85" s="96">
        <f t="shared" ref="H85:AS85" si="49">H78*H84</f>
        <v>2.9628096724486599</v>
      </c>
      <c r="I85" s="98">
        <f t="shared" si="49"/>
        <v>2.9628096724486599</v>
      </c>
      <c r="J85" s="96">
        <f t="shared" si="49"/>
        <v>2.9628096724486599</v>
      </c>
      <c r="K85" s="98">
        <f t="shared" si="49"/>
        <v>2.9628096724486599</v>
      </c>
      <c r="L85" s="96">
        <f t="shared" si="49"/>
        <v>2.9628096724486599</v>
      </c>
      <c r="M85" s="98">
        <f t="shared" si="49"/>
        <v>2.9628096724486599</v>
      </c>
      <c r="N85" s="96">
        <f t="shared" si="49"/>
        <v>2.9628096724486599</v>
      </c>
      <c r="O85" s="98">
        <f t="shared" si="49"/>
        <v>2.9628096724486599</v>
      </c>
      <c r="P85" s="96">
        <f t="shared" si="49"/>
        <v>2.9628096724486599</v>
      </c>
      <c r="Q85" s="98">
        <f t="shared" si="49"/>
        <v>2.9628096724486599</v>
      </c>
      <c r="R85" s="96">
        <f t="shared" si="49"/>
        <v>2.9628096724486599</v>
      </c>
      <c r="S85" s="98">
        <f t="shared" si="49"/>
        <v>2.9628096724486599</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4.25" x14ac:dyDescent="0.25">
      <c r="B86" s="55"/>
      <c r="C86" s="10" t="s">
        <v>218</v>
      </c>
      <c r="D86" s="11" t="s">
        <v>89</v>
      </c>
      <c r="E86" s="125">
        <f t="shared" ref="E86:AS86" si="50">IF(E11&gt;0,6-(1.5*E85)+(0.15*E57),0)</f>
        <v>0</v>
      </c>
      <c r="F86" s="15">
        <f t="shared" si="50"/>
        <v>1.7658449627305508</v>
      </c>
      <c r="G86" s="98">
        <f t="shared" si="50"/>
        <v>1.7474539745358457</v>
      </c>
      <c r="H86" s="96">
        <f t="shared" si="50"/>
        <v>1.7829074627305508</v>
      </c>
      <c r="I86" s="98">
        <f t="shared" si="50"/>
        <v>1.7075277245358456</v>
      </c>
      <c r="J86" s="96">
        <f t="shared" si="50"/>
        <v>1.8584698683265839</v>
      </c>
      <c r="K86" s="98">
        <f t="shared" si="50"/>
        <v>1.8118176221232269</v>
      </c>
      <c r="L86" s="96">
        <f t="shared" si="50"/>
        <v>1.8693817064570357</v>
      </c>
      <c r="M86" s="98">
        <f t="shared" si="50"/>
        <v>1.7662533298046112</v>
      </c>
      <c r="N86" s="96">
        <f t="shared" si="50"/>
        <v>1.8302331901198117</v>
      </c>
      <c r="O86" s="98">
        <f t="shared" si="50"/>
        <v>1.7564451206577698</v>
      </c>
      <c r="P86" s="96">
        <f t="shared" si="50"/>
        <v>1.7976552910688586</v>
      </c>
      <c r="Q86" s="98">
        <f t="shared" si="50"/>
        <v>1.7222390410688586</v>
      </c>
      <c r="R86" s="96">
        <f t="shared" si="50"/>
        <v>1.7990202910688586</v>
      </c>
      <c r="S86" s="98">
        <f t="shared" si="50"/>
        <v>1.7171202910688586</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ht="13.5" x14ac:dyDescent="0.25">
      <c r="B87" s="55"/>
      <c r="C87" s="10"/>
      <c r="D87" s="11" t="s">
        <v>52</v>
      </c>
      <c r="E87" s="124" t="str">
        <f t="shared" ref="E87" si="51">IF(E86&lt;=2,"A",IF(E86&lt;=2.75,"B",IF(E86&lt;=3.5,"C",IF(E86&lt;=4.25,"D",IF(E86&lt;=5,"E","F")))))</f>
        <v>A</v>
      </c>
      <c r="F87" s="10" t="str">
        <f t="shared" ref="F87:G87" si="52">IF(F86&lt;=2,"A",IF(F86&lt;=2.75,"B",IF(F86&lt;=3.5,"C",IF(F86&lt;=4.25,"D",IF(F86&lt;=5,"E","F")))))</f>
        <v>A</v>
      </c>
      <c r="G87" s="12" t="str">
        <f t="shared" si="52"/>
        <v>A</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280" t="s">
        <v>49</v>
      </c>
      <c r="D89" s="301"/>
      <c r="E89" s="112"/>
      <c r="F89" s="280" t="str">
        <f>F3</f>
        <v>Link 1</v>
      </c>
      <c r="G89" s="301"/>
      <c r="H89" s="280" t="str">
        <f>H3</f>
        <v>Link 2</v>
      </c>
      <c r="I89" s="301"/>
      <c r="J89" s="280" t="str">
        <f>J3</f>
        <v>Link 3</v>
      </c>
      <c r="K89" s="301"/>
      <c r="L89" s="280" t="str">
        <f>L3</f>
        <v>Link 4</v>
      </c>
      <c r="M89" s="301"/>
      <c r="N89" s="280" t="str">
        <f>N3</f>
        <v>Link 5</v>
      </c>
      <c r="O89" s="301"/>
      <c r="P89" s="280" t="str">
        <f>P3</f>
        <v>Link 6</v>
      </c>
      <c r="Q89" s="301"/>
      <c r="R89" s="280" t="str">
        <f>R3</f>
        <v>Link 7</v>
      </c>
      <c r="S89" s="301"/>
      <c r="T89" s="280" t="str">
        <f>T3</f>
        <v>Link 8</v>
      </c>
      <c r="U89" s="301"/>
      <c r="V89" s="280" t="str">
        <f>V3</f>
        <v>Link 9</v>
      </c>
      <c r="W89" s="301"/>
      <c r="X89" s="280" t="str">
        <f>X3</f>
        <v>Link 10</v>
      </c>
      <c r="Y89" s="301"/>
      <c r="Z89" s="280" t="str">
        <f>Z3</f>
        <v>Link 11</v>
      </c>
      <c r="AA89" s="301"/>
      <c r="AB89" s="280" t="str">
        <f>AB3</f>
        <v>Link 12</v>
      </c>
      <c r="AC89" s="301"/>
      <c r="AD89" s="280" t="str">
        <f>AD3</f>
        <v>Link 13</v>
      </c>
      <c r="AE89" s="301"/>
      <c r="AF89" s="280" t="str">
        <f>AF3</f>
        <v>Link 14</v>
      </c>
      <c r="AG89" s="301"/>
      <c r="AH89" s="280" t="str">
        <f>AH3</f>
        <v>Link 15</v>
      </c>
      <c r="AI89" s="301"/>
      <c r="AJ89" s="280" t="str">
        <f>AJ3</f>
        <v>Link 16</v>
      </c>
      <c r="AK89" s="301"/>
      <c r="AL89" s="280" t="str">
        <f>AL3</f>
        <v>Link 17</v>
      </c>
      <c r="AM89" s="301"/>
      <c r="AN89" s="280" t="str">
        <f>AN3</f>
        <v>Link 18</v>
      </c>
      <c r="AO89" s="301"/>
      <c r="AP89" s="280" t="str">
        <f>AP3</f>
        <v>Link 19</v>
      </c>
      <c r="AQ89" s="301"/>
      <c r="AR89" s="280" t="str">
        <f>AR3</f>
        <v>Link 20</v>
      </c>
      <c r="AS89" s="281"/>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216</v>
      </c>
      <c r="D91" s="11" t="s">
        <v>93</v>
      </c>
      <c r="E91" s="114"/>
      <c r="F91" s="295">
        <f>IF(ISBLANK(F7),"",MAX(F57:G57))</f>
        <v>1.4003964760236025</v>
      </c>
      <c r="G91" s="299"/>
      <c r="H91" s="295">
        <f>IF(ISBLANK(H7),"",MAX(H57:I57))</f>
        <v>1.514146476023603</v>
      </c>
      <c r="I91" s="299"/>
      <c r="J91" s="295">
        <f>IF(ISBLANK(J7),"",MAX(J57:K57))</f>
        <v>2.0178958466638228</v>
      </c>
      <c r="K91" s="299"/>
      <c r="L91" s="295">
        <f>IF(ISBLANK(L7),"",MAX(L57:M57))</f>
        <v>2.0906414342001698</v>
      </c>
      <c r="M91" s="299"/>
      <c r="N91" s="295">
        <f>IF(ISBLANK(N7),"",MAX(N57:O57))</f>
        <v>1.8296513252853428</v>
      </c>
      <c r="O91" s="299"/>
      <c r="P91" s="295">
        <f>IF(ISBLANK(P7),"",MAX(P57:Q57))</f>
        <v>1.6124653316123219</v>
      </c>
      <c r="Q91" s="299"/>
      <c r="R91" s="295">
        <f>IF(ISBLANK(R7),"",MAX(R57:S57))</f>
        <v>1.621565331612322</v>
      </c>
      <c r="S91" s="299"/>
      <c r="T91" s="295" t="str">
        <f>IF(ISBLANK(T7),"",MAX(T57:U57))</f>
        <v/>
      </c>
      <c r="U91" s="299"/>
      <c r="V91" s="295" t="str">
        <f>IF(ISBLANK(V7),"",MAX(V57:W57))</f>
        <v/>
      </c>
      <c r="W91" s="299"/>
      <c r="X91" s="295" t="str">
        <f>IF(ISBLANK(X7),"",MAX(X57:Y57))</f>
        <v/>
      </c>
      <c r="Y91" s="299"/>
      <c r="Z91" s="295" t="str">
        <f>IF(ISBLANK(Z7),"",MAX(Z57:AA57))</f>
        <v/>
      </c>
      <c r="AA91" s="299"/>
      <c r="AB91" s="295" t="str">
        <f>IF(ISBLANK(AB7),"",MAX(AB57:AC57))</f>
        <v/>
      </c>
      <c r="AC91" s="299"/>
      <c r="AD91" s="295" t="str">
        <f>IF(ISBLANK(AD7),"",MAX(AD57:AE57))</f>
        <v/>
      </c>
      <c r="AE91" s="299"/>
      <c r="AF91" s="295" t="str">
        <f>IF(ISBLANK(AF7),"",MAX(AF57:AG57))</f>
        <v/>
      </c>
      <c r="AG91" s="299"/>
      <c r="AH91" s="295" t="str">
        <f>IF(ISBLANK(AH7),"",MAX(AH57:AI57))</f>
        <v/>
      </c>
      <c r="AI91" s="299"/>
      <c r="AJ91" s="295" t="str">
        <f>IF(ISBLANK(AJ7),"",MAX(AJ57:AK57))</f>
        <v/>
      </c>
      <c r="AK91" s="299"/>
      <c r="AL91" s="295" t="str">
        <f>IF(ISBLANK(AL7),"",MAX(AL57:AM57))</f>
        <v/>
      </c>
      <c r="AM91" s="299"/>
      <c r="AN91" s="295" t="str">
        <f>IF(ISBLANK(AN7),"",MAX(AN57:AO57))</f>
        <v/>
      </c>
      <c r="AO91" s="299"/>
      <c r="AP91" s="295" t="str">
        <f>IF(ISBLANK(AP7),"",MAX(AP57:AQ57))</f>
        <v/>
      </c>
      <c r="AQ91" s="299"/>
      <c r="AR91" s="295" t="str">
        <f>IF(ISBLANK(AR7),"",MAX(AR57:AS57))</f>
        <v/>
      </c>
      <c r="AS91" s="299"/>
      <c r="AT91" s="67">
        <f>SUMPRODUCT(F91:AS91,F7:AS7)/SUM(F7:AS7)</f>
        <v>1.7590082275291121</v>
      </c>
      <c r="AU91" s="56"/>
    </row>
    <row r="92" spans="2:47" x14ac:dyDescent="0.25">
      <c r="B92" s="55"/>
      <c r="C92" s="10"/>
      <c r="D92" s="11" t="s">
        <v>41</v>
      </c>
      <c r="E92" s="114"/>
      <c r="F92" s="283" t="str">
        <f>IF(F91="","",IF(F91&lt;=2,"A",IF(F91&lt;=2.75,"B",IF(F91&lt;=3.5,"C",IF(F91&lt;=4.25,"D",IF(F91&lt;=5,"E","F"))))))</f>
        <v>A</v>
      </c>
      <c r="G92" s="284"/>
      <c r="H92" s="283" t="str">
        <f>IF(H91="","",IF(H91&lt;=2,"A",IF(H91&lt;=2.75,"B",IF(H91&lt;=3.5,"C",IF(H91&lt;=4.25,"D",IF(H91&lt;=5,"E","F"))))))</f>
        <v>A</v>
      </c>
      <c r="I92" s="284"/>
      <c r="J92" s="283" t="str">
        <f>IF(J91="","",IF(J91&lt;=2,"A",IF(J91&lt;=2.75,"B",IF(J91&lt;=3.5,"C",IF(J91&lt;=4.25,"D",IF(J91&lt;=5,"E","F"))))))</f>
        <v>B</v>
      </c>
      <c r="K92" s="284"/>
      <c r="L92" s="283" t="str">
        <f t="shared" ref="L92" si="54">IF(L91="","",IF(L91&lt;=2,"A",IF(L91&lt;=2.75,"B",IF(L91&lt;=3.5,"C",IF(L91&lt;=4.25,"D",IF(L91&lt;=5,"E","F"))))))</f>
        <v>B</v>
      </c>
      <c r="M92" s="284"/>
      <c r="N92" s="283" t="str">
        <f t="shared" ref="N92" si="55">IF(N91="","",IF(N91&lt;=2,"A",IF(N91&lt;=2.75,"B",IF(N91&lt;=3.5,"C",IF(N91&lt;=4.25,"D",IF(N91&lt;=5,"E","F"))))))</f>
        <v>A</v>
      </c>
      <c r="O92" s="284"/>
      <c r="P92" s="283" t="str">
        <f t="shared" ref="P92" si="56">IF(P91="","",IF(P91&lt;=2,"A",IF(P91&lt;=2.75,"B",IF(P91&lt;=3.5,"C",IF(P91&lt;=4.25,"D",IF(P91&lt;=5,"E","F"))))))</f>
        <v>A</v>
      </c>
      <c r="Q92" s="284"/>
      <c r="R92" s="283" t="str">
        <f t="shared" ref="R92" si="57">IF(R91="","",IF(R91&lt;=2,"A",IF(R91&lt;=2.75,"B",IF(R91&lt;=3.5,"C",IF(R91&lt;=4.25,"D",IF(R91&lt;=5,"E","F"))))))</f>
        <v>A</v>
      </c>
      <c r="S92" s="284"/>
      <c r="T92" s="283" t="str">
        <f t="shared" ref="T92" si="58">IF(T91="","",IF(T91&lt;=2,"A",IF(T91&lt;=2.75,"B",IF(T91&lt;=3.5,"C",IF(T91&lt;=4.25,"D",IF(T91&lt;=5,"E","F"))))))</f>
        <v/>
      </c>
      <c r="U92" s="284"/>
      <c r="V92" s="283" t="str">
        <f t="shared" ref="V92" si="59">IF(V91="","",IF(V91&lt;=2,"A",IF(V91&lt;=2.75,"B",IF(V91&lt;=3.5,"C",IF(V91&lt;=4.25,"D",IF(V91&lt;=5,"E","F"))))))</f>
        <v/>
      </c>
      <c r="W92" s="284"/>
      <c r="X92" s="283" t="str">
        <f t="shared" ref="X92" si="60">IF(X91="","",IF(X91&lt;=2,"A",IF(X91&lt;=2.75,"B",IF(X91&lt;=3.5,"C",IF(X91&lt;=4.25,"D",IF(X91&lt;=5,"E","F"))))))</f>
        <v/>
      </c>
      <c r="Y92" s="284"/>
      <c r="Z92" s="283" t="str">
        <f t="shared" ref="Z92" si="61">IF(Z91="","",IF(Z91&lt;=2,"A",IF(Z91&lt;=2.75,"B",IF(Z91&lt;=3.5,"C",IF(Z91&lt;=4.25,"D",IF(Z91&lt;=5,"E","F"))))))</f>
        <v/>
      </c>
      <c r="AA92" s="284"/>
      <c r="AB92" s="283" t="str">
        <f t="shared" ref="AB92" si="62">IF(AB91="","",IF(AB91&lt;=2,"A",IF(AB91&lt;=2.75,"B",IF(AB91&lt;=3.5,"C",IF(AB91&lt;=4.25,"D",IF(AB91&lt;=5,"E","F"))))))</f>
        <v/>
      </c>
      <c r="AC92" s="284"/>
      <c r="AD92" s="283" t="str">
        <f t="shared" ref="AD92" si="63">IF(AD91="","",IF(AD91&lt;=2,"A",IF(AD91&lt;=2.75,"B",IF(AD91&lt;=3.5,"C",IF(AD91&lt;=4.25,"D",IF(AD91&lt;=5,"E","F"))))))</f>
        <v/>
      </c>
      <c r="AE92" s="284"/>
      <c r="AF92" s="283" t="str">
        <f t="shared" ref="AF92" si="64">IF(AF91="","",IF(AF91&lt;=2,"A",IF(AF91&lt;=2.75,"B",IF(AF91&lt;=3.5,"C",IF(AF91&lt;=4.25,"D",IF(AF91&lt;=5,"E","F"))))))</f>
        <v/>
      </c>
      <c r="AG92" s="284"/>
      <c r="AH92" s="283" t="str">
        <f t="shared" ref="AH92" si="65">IF(AH91="","",IF(AH91&lt;=2,"A",IF(AH91&lt;=2.75,"B",IF(AH91&lt;=3.5,"C",IF(AH91&lt;=4.25,"D",IF(AH91&lt;=5,"E","F"))))))</f>
        <v/>
      </c>
      <c r="AI92" s="284"/>
      <c r="AJ92" s="283" t="str">
        <f t="shared" ref="AJ92" si="66">IF(AJ91="","",IF(AJ91&lt;=2,"A",IF(AJ91&lt;=2.75,"B",IF(AJ91&lt;=3.5,"C",IF(AJ91&lt;=4.25,"D",IF(AJ91&lt;=5,"E","F"))))))</f>
        <v/>
      </c>
      <c r="AK92" s="284"/>
      <c r="AL92" s="283" t="str">
        <f t="shared" ref="AL92" si="67">IF(AL91="","",IF(AL91&lt;=2,"A",IF(AL91&lt;=2.75,"B",IF(AL91&lt;=3.5,"C",IF(AL91&lt;=4.25,"D",IF(AL91&lt;=5,"E","F"))))))</f>
        <v/>
      </c>
      <c r="AM92" s="284"/>
      <c r="AN92" s="283" t="str">
        <f t="shared" ref="AN92" si="68">IF(AN91="","",IF(AN91&lt;=2,"A",IF(AN91&lt;=2.75,"B",IF(AN91&lt;=3.5,"C",IF(AN91&lt;=4.25,"D",IF(AN91&lt;=5,"E","F"))))))</f>
        <v/>
      </c>
      <c r="AO92" s="284"/>
      <c r="AP92" s="283" t="str">
        <f t="shared" ref="AP92" si="69">IF(AP91="","",IF(AP91&lt;=2,"A",IF(AP91&lt;=2.75,"B",IF(AP91&lt;=3.5,"C",IF(AP91&lt;=4.25,"D",IF(AP91&lt;=5,"E","F"))))))</f>
        <v/>
      </c>
      <c r="AQ92" s="284"/>
      <c r="AR92" s="283" t="str">
        <f t="shared" ref="AR92" si="70">IF(AR91="","",IF(AR91&lt;=2,"A",IF(AR91&lt;=2.75,"B",IF(AR91&lt;=3.5,"C",IF(AR91&lt;=4.25,"D",IF(AR91&lt;=5,"E","F"))))))</f>
        <v/>
      </c>
      <c r="AS92" s="284"/>
      <c r="AT92" s="68" t="str">
        <f>IF(AT91&lt;=2,"A",IF(AT91&lt;=2.75,"B",IF(AT91&lt;=3.5,"C",IF(AT91&lt;=4.25,"D",IF(AT91&lt;=5,"E","F")))))</f>
        <v>A</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217</v>
      </c>
      <c r="D94" s="11" t="s">
        <v>92</v>
      </c>
      <c r="E94" s="114"/>
      <c r="F94" s="295">
        <f>IF(ISBLANK(F7),"",MAX(F74:G74))</f>
        <v>4.0161952421554714</v>
      </c>
      <c r="G94" s="299"/>
      <c r="H94" s="295">
        <f>IF(ISBLANK(H7),"",MAX(H74:I74))</f>
        <v>4.0877220914732444</v>
      </c>
      <c r="I94" s="299"/>
      <c r="J94" s="295">
        <f>IF(ISBLANK(J7),"",MAX(J74:K74))</f>
        <v>4.3456421891764423</v>
      </c>
      <c r="K94" s="299"/>
      <c r="L94" s="295">
        <f>IF(ISBLANK(L7),"",MAX(L74:M74))</f>
        <v>4.0490137569543307</v>
      </c>
      <c r="M94" s="299"/>
      <c r="N94" s="295">
        <f>IF(ISBLANK(N7),"",MAX(N74:O74))</f>
        <v>4.2210550268287879</v>
      </c>
      <c r="O94" s="299"/>
      <c r="P94" s="295">
        <f>IF(ISBLANK(P7),"",MAX(P74:Q74))</f>
        <v>4.1905335237873569</v>
      </c>
      <c r="Q94" s="299"/>
      <c r="R94" s="295">
        <f>IF(ISBLANK(R7),"",MAX(R74:S74))</f>
        <v>4.1952608307630443</v>
      </c>
      <c r="S94" s="299"/>
      <c r="T94" s="295" t="str">
        <f>IF(ISBLANK(T7),"",MAX(T74:U74))</f>
        <v/>
      </c>
      <c r="U94" s="299"/>
      <c r="V94" s="295" t="str">
        <f>IF(ISBLANK(V7),"",MAX(V74:W74))</f>
        <v/>
      </c>
      <c r="W94" s="299"/>
      <c r="X94" s="295" t="str">
        <f>IF(ISBLANK(X7),"",MAX(X74:Y74))</f>
        <v/>
      </c>
      <c r="Y94" s="299"/>
      <c r="Z94" s="295" t="str">
        <f>IF(ISBLANK(Z7),"",MAX(Z74:AA74))</f>
        <v/>
      </c>
      <c r="AA94" s="299"/>
      <c r="AB94" s="295" t="str">
        <f>IF(ISBLANK(AB7),"",MAX(AB74:AC74))</f>
        <v/>
      </c>
      <c r="AC94" s="299"/>
      <c r="AD94" s="295" t="str">
        <f>IF(ISBLANK(AD7),"",MAX(AD74:AE74))</f>
        <v/>
      </c>
      <c r="AE94" s="299"/>
      <c r="AF94" s="295" t="str">
        <f>IF(ISBLANK(AF7),"",MAX(AF74:AG74))</f>
        <v/>
      </c>
      <c r="AG94" s="299"/>
      <c r="AH94" s="295" t="str">
        <f>IF(ISBLANK(AH7),"",MAX(AH74:AI74))</f>
        <v/>
      </c>
      <c r="AI94" s="299"/>
      <c r="AJ94" s="295" t="str">
        <f>IF(ISBLANK(AJ7),"",MAX(AJ74:AK74))</f>
        <v/>
      </c>
      <c r="AK94" s="299"/>
      <c r="AL94" s="295" t="str">
        <f>IF(ISBLANK(AL7),"",MAX(AL74:AM74))</f>
        <v/>
      </c>
      <c r="AM94" s="299"/>
      <c r="AN94" s="295" t="str">
        <f>IF(ISBLANK(AN7),"",MAX(AN74:AO74))</f>
        <v/>
      </c>
      <c r="AO94" s="299"/>
      <c r="AP94" s="295" t="str">
        <f>IF(ISBLANK(AP7),"",MAX(AP74:AQ74))</f>
        <v/>
      </c>
      <c r="AQ94" s="299"/>
      <c r="AR94" s="295" t="str">
        <f>IF(ISBLANK(AR7),"",MAX(AR74:AS74))</f>
        <v/>
      </c>
      <c r="AS94" s="299"/>
      <c r="AT94" s="67">
        <f>SUMPRODUCT(F94:AS94,F7:AS7)/SUM(F7:AS7)</f>
        <v>4.1685202148654499</v>
      </c>
      <c r="AU94" s="56"/>
    </row>
    <row r="95" spans="2:47" x14ac:dyDescent="0.25">
      <c r="B95" s="55"/>
      <c r="C95" s="10"/>
      <c r="D95" s="11" t="s">
        <v>51</v>
      </c>
      <c r="E95" s="114"/>
      <c r="F95" s="283" t="str">
        <f>IF(F94="","",IF(F94&lt;=2,"A",IF(F94&lt;=2.75,"B",IF(F94&lt;=3.5,"C",IF(F94&lt;=4.25,"D",IF(F94&lt;=5,"E","F"))))))</f>
        <v>D</v>
      </c>
      <c r="G95" s="284"/>
      <c r="H95" s="283" t="str">
        <f>IF(H94="","",IF(H94&lt;=2,"A",IF(H94&lt;=2.75,"B",IF(H94&lt;=3.5,"C",IF(H94&lt;=4.25,"D",IF(H94&lt;=5,"E","F"))))))</f>
        <v>D</v>
      </c>
      <c r="I95" s="284"/>
      <c r="J95" s="283" t="str">
        <f t="shared" ref="J95" si="71">IF(J94="","",IF(J94&lt;=2,"A",IF(J94&lt;=2.75,"B",IF(J94&lt;=3.5,"C",IF(J94&lt;=4.25,"D",IF(J94&lt;=5,"E","F"))))))</f>
        <v>E</v>
      </c>
      <c r="K95" s="284"/>
      <c r="L95" s="283" t="str">
        <f t="shared" ref="L95" si="72">IF(L94="","",IF(L94&lt;=2,"A",IF(L94&lt;=2.75,"B",IF(L94&lt;=3.5,"C",IF(L94&lt;=4.25,"D",IF(L94&lt;=5,"E","F"))))))</f>
        <v>D</v>
      </c>
      <c r="M95" s="284"/>
      <c r="N95" s="283" t="str">
        <f t="shared" ref="N95" si="73">IF(N94="","",IF(N94&lt;=2,"A",IF(N94&lt;=2.75,"B",IF(N94&lt;=3.5,"C",IF(N94&lt;=4.25,"D",IF(N94&lt;=5,"E","F"))))))</f>
        <v>D</v>
      </c>
      <c r="O95" s="284"/>
      <c r="P95" s="283" t="str">
        <f t="shared" ref="P95" si="74">IF(P94="","",IF(P94&lt;=2,"A",IF(P94&lt;=2.75,"B",IF(P94&lt;=3.5,"C",IF(P94&lt;=4.25,"D",IF(P94&lt;=5,"E","F"))))))</f>
        <v>D</v>
      </c>
      <c r="Q95" s="284"/>
      <c r="R95" s="283" t="str">
        <f t="shared" ref="R95" si="75">IF(R94="","",IF(R94&lt;=2,"A",IF(R94&lt;=2.75,"B",IF(R94&lt;=3.5,"C",IF(R94&lt;=4.25,"D",IF(R94&lt;=5,"E","F"))))))</f>
        <v>D</v>
      </c>
      <c r="S95" s="284"/>
      <c r="T95" s="283" t="str">
        <f t="shared" ref="T95" si="76">IF(T94="","",IF(T94&lt;=2,"A",IF(T94&lt;=2.75,"B",IF(T94&lt;=3.5,"C",IF(T94&lt;=4.25,"D",IF(T94&lt;=5,"E","F"))))))</f>
        <v/>
      </c>
      <c r="U95" s="284"/>
      <c r="V95" s="283" t="str">
        <f t="shared" ref="V95" si="77">IF(V94="","",IF(V94&lt;=2,"A",IF(V94&lt;=2.75,"B",IF(V94&lt;=3.5,"C",IF(V94&lt;=4.25,"D",IF(V94&lt;=5,"E","F"))))))</f>
        <v/>
      </c>
      <c r="W95" s="284"/>
      <c r="X95" s="283" t="str">
        <f t="shared" ref="X95" si="78">IF(X94="","",IF(X94&lt;=2,"A",IF(X94&lt;=2.75,"B",IF(X94&lt;=3.5,"C",IF(X94&lt;=4.25,"D",IF(X94&lt;=5,"E","F"))))))</f>
        <v/>
      </c>
      <c r="Y95" s="284"/>
      <c r="Z95" s="283" t="str">
        <f t="shared" ref="Z95" si="79">IF(Z94="","",IF(Z94&lt;=2,"A",IF(Z94&lt;=2.75,"B",IF(Z94&lt;=3.5,"C",IF(Z94&lt;=4.25,"D",IF(Z94&lt;=5,"E","F"))))))</f>
        <v/>
      </c>
      <c r="AA95" s="284"/>
      <c r="AB95" s="283" t="str">
        <f t="shared" ref="AB95" si="80">IF(AB94="","",IF(AB94&lt;=2,"A",IF(AB94&lt;=2.75,"B",IF(AB94&lt;=3.5,"C",IF(AB94&lt;=4.25,"D",IF(AB94&lt;=5,"E","F"))))))</f>
        <v/>
      </c>
      <c r="AC95" s="284"/>
      <c r="AD95" s="283" t="str">
        <f t="shared" ref="AD95" si="81">IF(AD94="","",IF(AD94&lt;=2,"A",IF(AD94&lt;=2.75,"B",IF(AD94&lt;=3.5,"C",IF(AD94&lt;=4.25,"D",IF(AD94&lt;=5,"E","F"))))))</f>
        <v/>
      </c>
      <c r="AE95" s="284"/>
      <c r="AF95" s="283" t="str">
        <f t="shared" ref="AF95" si="82">IF(AF94="","",IF(AF94&lt;=2,"A",IF(AF94&lt;=2.75,"B",IF(AF94&lt;=3.5,"C",IF(AF94&lt;=4.25,"D",IF(AF94&lt;=5,"E","F"))))))</f>
        <v/>
      </c>
      <c r="AG95" s="284"/>
      <c r="AH95" s="283" t="str">
        <f t="shared" ref="AH95" si="83">IF(AH94="","",IF(AH94&lt;=2,"A",IF(AH94&lt;=2.75,"B",IF(AH94&lt;=3.5,"C",IF(AH94&lt;=4.25,"D",IF(AH94&lt;=5,"E","F"))))))</f>
        <v/>
      </c>
      <c r="AI95" s="284"/>
      <c r="AJ95" s="283" t="str">
        <f t="shared" ref="AJ95" si="84">IF(AJ94="","",IF(AJ94&lt;=2,"A",IF(AJ94&lt;=2.75,"B",IF(AJ94&lt;=3.5,"C",IF(AJ94&lt;=4.25,"D",IF(AJ94&lt;=5,"E","F"))))))</f>
        <v/>
      </c>
      <c r="AK95" s="284"/>
      <c r="AL95" s="283" t="str">
        <f t="shared" ref="AL95" si="85">IF(AL94="","",IF(AL94&lt;=2,"A",IF(AL94&lt;=2.75,"B",IF(AL94&lt;=3.5,"C",IF(AL94&lt;=4.25,"D",IF(AL94&lt;=5,"E","F"))))))</f>
        <v/>
      </c>
      <c r="AM95" s="284"/>
      <c r="AN95" s="283" t="str">
        <f t="shared" ref="AN95" si="86">IF(AN94="","",IF(AN94&lt;=2,"A",IF(AN94&lt;=2.75,"B",IF(AN94&lt;=3.5,"C",IF(AN94&lt;=4.25,"D",IF(AN94&lt;=5,"E","F"))))))</f>
        <v/>
      </c>
      <c r="AO95" s="284"/>
      <c r="AP95" s="283" t="str">
        <f t="shared" ref="AP95" si="87">IF(AP94="","",IF(AP94&lt;=2,"A",IF(AP94&lt;=2.75,"B",IF(AP94&lt;=3.5,"C",IF(AP94&lt;=4.25,"D",IF(AP94&lt;=5,"E","F"))))))</f>
        <v/>
      </c>
      <c r="AQ95" s="284"/>
      <c r="AR95" s="283" t="str">
        <f t="shared" ref="AR95" si="88">IF(AR94="","",IF(AR94&lt;=2,"A",IF(AR94&lt;=2.75,"B",IF(AR94&lt;=3.5,"C",IF(AR94&lt;=4.25,"D",IF(AR94&lt;=5,"E","F"))))))</f>
        <v/>
      </c>
      <c r="AS95" s="284"/>
      <c r="AT95" s="68" t="str">
        <f>IF(AT94&lt;=2,"A",IF(AT94&lt;=2.75,"B",IF(AT94&lt;=3.5,"C",IF(AT94&lt;=4.25,"D",IF(AT94&lt;=5,"E","F")))))</f>
        <v>D</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218</v>
      </c>
      <c r="D97" s="110" t="s">
        <v>94</v>
      </c>
      <c r="E97" s="114"/>
      <c r="F97" s="295">
        <f>IF(ISBLANK(F7),"",IF(AND(F42="Yes",G42="Yes"),MAX(F86:G86), IF(F42="Yes",F86,IF(G42="Yes", G86,0))))</f>
        <v>1.7658449627305508</v>
      </c>
      <c r="G97" s="296"/>
      <c r="H97" s="295">
        <f>IF(ISBLANK(H7),"",IF(AND(H42="Yes",I42="Yes"),MAX(H86:I86), IF(H42="Yes",H86,IF(I42="Yes", I86,0))))</f>
        <v>1.7829074627305508</v>
      </c>
      <c r="I97" s="296"/>
      <c r="J97" s="295">
        <f>IF(ISBLANK(J7),"",IF(AND(J42="Yes",K42="Yes"),MAX(J86:K86), IF(J42="Yes",J86,IF(K42="Yes", K86,0))))</f>
        <v>1.8584698683265839</v>
      </c>
      <c r="K97" s="296"/>
      <c r="L97" s="295">
        <f>IF(ISBLANK(L7),"",IF(AND(L42="Yes",M42="Yes"),MAX(L86:M86), IF(L42="Yes",L86,IF(M42="Yes", M86,0))))</f>
        <v>1.8693817064570357</v>
      </c>
      <c r="M97" s="296"/>
      <c r="N97" s="295">
        <f>IF(ISBLANK(N7),"",IF(AND(N42="Yes",O42="Yes"),MAX(N86:O86), IF(N42="Yes",N86,IF(O42="Yes", O86,0))))</f>
        <v>1.8302331901198117</v>
      </c>
      <c r="O97" s="296"/>
      <c r="P97" s="295">
        <f>IF(ISBLANK(P7),"",IF(AND(P42="Yes",Q42="Yes"),MAX(P86:Q86), IF(P42="Yes",P86,IF(Q42="Yes", Q86,0))))</f>
        <v>1.7976552910688586</v>
      </c>
      <c r="Q97" s="296"/>
      <c r="R97" s="295">
        <f>IF(ISBLANK(R7),"",IF(AND(R42="Yes",S42="Yes"),MAX(R86:S86), IF(R42="Yes",R86,IF(S42="Yes", S86,0))))</f>
        <v>1.7990202910688586</v>
      </c>
      <c r="S97" s="296"/>
      <c r="T97" s="295" t="str">
        <f>IF(ISBLANK(T7),"",IF(AND(T42="Yes",U42="Yes"),MAX(T86:U86), IF(T42="Yes",T86,IF(U42="Yes", U86,0))))</f>
        <v/>
      </c>
      <c r="U97" s="296"/>
      <c r="V97" s="295" t="str">
        <f>IF(ISBLANK(V7),"",IF(AND(V42="Yes",W42="Yes"),MAX(V86:W86), IF(V42="Yes",V86,IF(W42="Yes", W86,0))))</f>
        <v/>
      </c>
      <c r="W97" s="296"/>
      <c r="X97" s="295" t="str">
        <f>IF(ISBLANK(X7),"",IF(AND(X42="Yes",Y42="Yes"),MAX(X86:Y86), IF(X42="Yes",X86,IF(Y42="Yes", Y86,0))))</f>
        <v/>
      </c>
      <c r="Y97" s="296"/>
      <c r="Z97" s="295" t="str">
        <f>IF(ISBLANK(Z7),"",IF(AND(Z42="Yes",AA42="Yes"),MAX(Z86:AA86), IF(Z42="Yes",Z86,IF(AA42="Yes", AA86,0))))</f>
        <v/>
      </c>
      <c r="AA97" s="296"/>
      <c r="AB97" s="295" t="str">
        <f>IF(ISBLANK(AB7),"",IF(AND(AB42="Yes",AC42="Yes"),MAX(AB86:AC86), IF(AB42="Yes",AB86,IF(AC42="Yes", AC86,0))))</f>
        <v/>
      </c>
      <c r="AC97" s="296"/>
      <c r="AD97" s="295" t="str">
        <f>IF(ISBLANK(AD7),"",IF(AND(AD42="Yes",AE42="Yes"),MAX(AD86:AE86), IF(AD42="Yes",AD86,IF(AE42="Yes", AE86,0))))</f>
        <v/>
      </c>
      <c r="AE97" s="296"/>
      <c r="AF97" s="295" t="str">
        <f>IF(ISBLANK(AF7),"",IF(AND(AF42="Yes",AG42="Yes"),MAX(AF86:AG86), IF(AF42="Yes",AF86,IF(AG42="Yes", AG86,0))))</f>
        <v/>
      </c>
      <c r="AG97" s="296"/>
      <c r="AH97" s="295" t="str">
        <f>IF(ISBLANK(AH7),"",IF(AND(AH42="Yes",AI42="Yes"),MAX(AH86:AI86), IF(AH42="Yes",AH86,IF(AI42="Yes", AI86,0))))</f>
        <v/>
      </c>
      <c r="AI97" s="296"/>
      <c r="AJ97" s="295" t="str">
        <f>IF(ISBLANK(AJ7),"",IF(AND(AJ42="Yes",AK42="Yes"),MAX(AJ86:AK86), IF(AJ42="Yes",AJ86,IF(AK42="Yes", AK86,0))))</f>
        <v/>
      </c>
      <c r="AK97" s="296"/>
      <c r="AL97" s="295" t="str">
        <f>IF(ISBLANK(AL7),"",IF(AND(AL42="Yes",AM42="Yes"),MAX(AL86:AM86), IF(AL42="Yes",AL86,IF(AM42="Yes", AM86,0))))</f>
        <v/>
      </c>
      <c r="AM97" s="296"/>
      <c r="AN97" s="295" t="str">
        <f>IF(ISBLANK(AN7),"",IF(AND(AN42="Yes",AO42="Yes"),MAX(AN86:AO86), IF(AN42="Yes",AN86,IF(AO42="Yes", AO86,0))))</f>
        <v/>
      </c>
      <c r="AO97" s="296"/>
      <c r="AP97" s="295" t="str">
        <f>IF(ISBLANK(AP7),"",IF(AND(AP42="Yes",AQ42="Yes"),MAX(AP86:AQ86), IF(AP42="Yes",AP86,IF(AQ42="Yes", AQ86,0))))</f>
        <v/>
      </c>
      <c r="AQ97" s="296"/>
      <c r="AR97" s="295" t="str">
        <f>IF(ISBLANK(AR7),"",IF(AND(AR42="Yes",AS42="Yes"),MAX(AR86:AS86), IF(AR42="Yes",AR86,IF(AS42="Yes", AS86,0))))</f>
        <v/>
      </c>
      <c r="AS97" s="296"/>
      <c r="AT97" s="67">
        <f>SUMPRODUCT(F97:AS97,F7:AS7)/SUM(F7:AS7)</f>
        <v>1.819636725456377</v>
      </c>
      <c r="AU97" s="56"/>
    </row>
    <row r="98" spans="2:47" ht="13.5" thickBot="1" x14ac:dyDescent="0.3">
      <c r="B98" s="55"/>
      <c r="C98" s="10"/>
      <c r="D98" s="11" t="s">
        <v>52</v>
      </c>
      <c r="E98" s="114"/>
      <c r="F98" s="283" t="str">
        <f>IF(F97="","",IF(F97&lt;=2,"A",IF(F97&lt;=2.75,"B",IF(F97&lt;=3.5,"C",IF(F97&lt;=4.25,"D",IF(F97&lt;=5,"E","F"))))))</f>
        <v>A</v>
      </c>
      <c r="G98" s="284"/>
      <c r="H98" s="283" t="str">
        <f>IF(H97="","",IF(H97&lt;=2,"A",IF(H97&lt;=2.75,"B",IF(H97&lt;=3.5,"C",IF(H97&lt;=4.25,"D",IF(H97&lt;=5,"E","F"))))))</f>
        <v>A</v>
      </c>
      <c r="I98" s="284"/>
      <c r="J98" s="283" t="str">
        <f t="shared" ref="J98" si="89">IF(J97="","",IF(J97&lt;=2,"A",IF(J97&lt;=2.75,"B",IF(J97&lt;=3.5,"C",IF(J97&lt;=4.25,"D",IF(J97&lt;=5,"E","F"))))))</f>
        <v>A</v>
      </c>
      <c r="K98" s="284"/>
      <c r="L98" s="283" t="str">
        <f t="shared" ref="L98" si="90">IF(L97="","",IF(L97&lt;=2,"A",IF(L97&lt;=2.75,"B",IF(L97&lt;=3.5,"C",IF(L97&lt;=4.25,"D",IF(L97&lt;=5,"E","F"))))))</f>
        <v>A</v>
      </c>
      <c r="M98" s="284"/>
      <c r="N98" s="283" t="str">
        <f t="shared" ref="N98" si="91">IF(N97="","",IF(N97&lt;=2,"A",IF(N97&lt;=2.75,"B",IF(N97&lt;=3.5,"C",IF(N97&lt;=4.25,"D",IF(N97&lt;=5,"E","F"))))))</f>
        <v>A</v>
      </c>
      <c r="O98" s="284"/>
      <c r="P98" s="283" t="str">
        <f t="shared" ref="P98" si="92">IF(P97="","",IF(P97&lt;=2,"A",IF(P97&lt;=2.75,"B",IF(P97&lt;=3.5,"C",IF(P97&lt;=4.25,"D",IF(P97&lt;=5,"E","F"))))))</f>
        <v>A</v>
      </c>
      <c r="Q98" s="284"/>
      <c r="R98" s="283" t="str">
        <f t="shared" ref="R98" si="93">IF(R97="","",IF(R97&lt;=2,"A",IF(R97&lt;=2.75,"B",IF(R97&lt;=3.5,"C",IF(R97&lt;=4.25,"D",IF(R97&lt;=5,"E","F"))))))</f>
        <v>A</v>
      </c>
      <c r="S98" s="284"/>
      <c r="T98" s="283" t="str">
        <f t="shared" ref="T98" si="94">IF(T97="","",IF(T97&lt;=2,"A",IF(T97&lt;=2.75,"B",IF(T97&lt;=3.5,"C",IF(T97&lt;=4.25,"D",IF(T97&lt;=5,"E","F"))))))</f>
        <v/>
      </c>
      <c r="U98" s="284"/>
      <c r="V98" s="283" t="str">
        <f t="shared" ref="V98" si="95">IF(V97="","",IF(V97&lt;=2,"A",IF(V97&lt;=2.75,"B",IF(V97&lt;=3.5,"C",IF(V97&lt;=4.25,"D",IF(V97&lt;=5,"E","F"))))))</f>
        <v/>
      </c>
      <c r="W98" s="284"/>
      <c r="X98" s="283" t="str">
        <f t="shared" ref="X98" si="96">IF(X97="","",IF(X97&lt;=2,"A",IF(X97&lt;=2.75,"B",IF(X97&lt;=3.5,"C",IF(X97&lt;=4.25,"D",IF(X97&lt;=5,"E","F"))))))</f>
        <v/>
      </c>
      <c r="Y98" s="284"/>
      <c r="Z98" s="283" t="str">
        <f t="shared" ref="Z98" si="97">IF(Z97="","",IF(Z97&lt;=2,"A",IF(Z97&lt;=2.75,"B",IF(Z97&lt;=3.5,"C",IF(Z97&lt;=4.25,"D",IF(Z97&lt;=5,"E","F"))))))</f>
        <v/>
      </c>
      <c r="AA98" s="284"/>
      <c r="AB98" s="283" t="str">
        <f t="shared" ref="AB98" si="98">IF(AB97="","",IF(AB97&lt;=2,"A",IF(AB97&lt;=2.75,"B",IF(AB97&lt;=3.5,"C",IF(AB97&lt;=4.25,"D",IF(AB97&lt;=5,"E","F"))))))</f>
        <v/>
      </c>
      <c r="AC98" s="284"/>
      <c r="AD98" s="283" t="str">
        <f t="shared" ref="AD98" si="99">IF(AD97="","",IF(AD97&lt;=2,"A",IF(AD97&lt;=2.75,"B",IF(AD97&lt;=3.5,"C",IF(AD97&lt;=4.25,"D",IF(AD97&lt;=5,"E","F"))))))</f>
        <v/>
      </c>
      <c r="AE98" s="284"/>
      <c r="AF98" s="283" t="str">
        <f t="shared" ref="AF98" si="100">IF(AF97="","",IF(AF97&lt;=2,"A",IF(AF97&lt;=2.75,"B",IF(AF97&lt;=3.5,"C",IF(AF97&lt;=4.25,"D",IF(AF97&lt;=5,"E","F"))))))</f>
        <v/>
      </c>
      <c r="AG98" s="284"/>
      <c r="AH98" s="283" t="str">
        <f t="shared" ref="AH98" si="101">IF(AH97="","",IF(AH97&lt;=2,"A",IF(AH97&lt;=2.75,"B",IF(AH97&lt;=3.5,"C",IF(AH97&lt;=4.25,"D",IF(AH97&lt;=5,"E","F"))))))</f>
        <v/>
      </c>
      <c r="AI98" s="284"/>
      <c r="AJ98" s="283" t="str">
        <f t="shared" ref="AJ98" si="102">IF(AJ97="","",IF(AJ97&lt;=2,"A",IF(AJ97&lt;=2.75,"B",IF(AJ97&lt;=3.5,"C",IF(AJ97&lt;=4.25,"D",IF(AJ97&lt;=5,"E","F"))))))</f>
        <v/>
      </c>
      <c r="AK98" s="284"/>
      <c r="AL98" s="283" t="str">
        <f t="shared" ref="AL98" si="103">IF(AL97="","",IF(AL97&lt;=2,"A",IF(AL97&lt;=2.75,"B",IF(AL97&lt;=3.5,"C",IF(AL97&lt;=4.25,"D",IF(AL97&lt;=5,"E","F"))))))</f>
        <v/>
      </c>
      <c r="AM98" s="284"/>
      <c r="AN98" s="283" t="str">
        <f t="shared" ref="AN98" si="104">IF(AN97="","",IF(AN97&lt;=2,"A",IF(AN97&lt;=2.75,"B",IF(AN97&lt;=3.5,"C",IF(AN97&lt;=4.25,"D",IF(AN97&lt;=5,"E","F"))))))</f>
        <v/>
      </c>
      <c r="AO98" s="284"/>
      <c r="AP98" s="283" t="str">
        <f t="shared" ref="AP98" si="105">IF(AP97="","",IF(AP97&lt;=2,"A",IF(AP97&lt;=2.75,"B",IF(AP97&lt;=3.5,"C",IF(AP97&lt;=4.25,"D",IF(AP97&lt;=5,"E","F"))))))</f>
        <v/>
      </c>
      <c r="AQ98" s="284"/>
      <c r="AR98" s="283" t="str">
        <f t="shared" ref="AR98" si="106">IF(AR97="","",IF(AR97&lt;=2,"A",IF(AR97&lt;=2.75,"B",IF(AR97&lt;=3.5,"C",IF(AR97&lt;=4.25,"D",IF(AR97&lt;=5,"E","F"))))))</f>
        <v/>
      </c>
      <c r="AS98" s="284"/>
      <c r="AT98" s="69" t="str">
        <f>IF(AT97&lt;=2,"A",IF(AT97&lt;=2.75,"B",IF(AT97&lt;=3.5,"C",IF(AT97&lt;=4.25,"D",IF(AT97&lt;=5,"E","F")))))</f>
        <v>A</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199</v>
      </c>
      <c r="D101" s="20" t="s">
        <v>202</v>
      </c>
      <c r="F101" s="20"/>
      <c r="G101" s="228"/>
    </row>
    <row r="102" spans="2:47" ht="15.75" x14ac:dyDescent="0.25">
      <c r="C102" s="21" t="s">
        <v>200</v>
      </c>
      <c r="D102" s="20" t="s">
        <v>203</v>
      </c>
    </row>
    <row r="103" spans="2:47" ht="15.75" x14ac:dyDescent="0.25">
      <c r="C103" s="21" t="s">
        <v>201</v>
      </c>
      <c r="D103" s="20" t="s">
        <v>206</v>
      </c>
    </row>
    <row r="104" spans="2:47" ht="12.95" customHeight="1" x14ac:dyDescent="0.25">
      <c r="C104" s="21" t="s">
        <v>208</v>
      </c>
      <c r="D104" s="303" t="s">
        <v>209</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303"/>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303"/>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25.5" x14ac:dyDescent="0.25">
      <c r="C107" s="145" t="s">
        <v>235</v>
      </c>
      <c r="D107" s="147" t="s">
        <v>237</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304" t="s">
        <v>222</v>
      </c>
      <c r="D110" s="304"/>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AF3:AG3"/>
    <mergeCell ref="AF6:AG6"/>
    <mergeCell ref="AF7:AG7"/>
    <mergeCell ref="AF44:AG44"/>
    <mergeCell ref="AF89:AG89"/>
    <mergeCell ref="AD3:AE3"/>
    <mergeCell ref="AD6:AE6"/>
    <mergeCell ref="AD7:AE7"/>
    <mergeCell ref="AD44:AE44"/>
    <mergeCell ref="AD89:AE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J3:AK3"/>
    <mergeCell ref="AJ6:AK6"/>
    <mergeCell ref="AJ7:AK7"/>
    <mergeCell ref="AJ44:AK44"/>
    <mergeCell ref="AJ89:AK89"/>
    <mergeCell ref="AH3:AI3"/>
    <mergeCell ref="AH6:AI6"/>
    <mergeCell ref="AH7:AI7"/>
    <mergeCell ref="AH44:AI44"/>
    <mergeCell ref="AH89:AI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N3:AO3"/>
    <mergeCell ref="AN6:AO6"/>
    <mergeCell ref="AN7:AO7"/>
    <mergeCell ref="AN44:AO44"/>
    <mergeCell ref="AN89:AO89"/>
    <mergeCell ref="AL3:AM3"/>
    <mergeCell ref="AL6:AM6"/>
    <mergeCell ref="AL7:AM7"/>
    <mergeCell ref="AL44:AM44"/>
    <mergeCell ref="AL89:AM89"/>
    <mergeCell ref="AN91:AO91"/>
    <mergeCell ref="AN92:AO92"/>
    <mergeCell ref="AN94:AO94"/>
    <mergeCell ref="AN95:AO95"/>
    <mergeCell ref="AN97:AO97"/>
    <mergeCell ref="AN98:AO98"/>
    <mergeCell ref="AL92:AM92"/>
    <mergeCell ref="AL94:AM94"/>
    <mergeCell ref="AL95:AM95"/>
    <mergeCell ref="AL97:AM97"/>
    <mergeCell ref="AL98:AM98"/>
    <mergeCell ref="AL91:AM91"/>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s>
  <dataValidations count="3">
    <dataValidation type="list" allowBlank="1" showInputMessage="1" showErrorMessage="1" sqref="F26:AS31 E26 E31 T39:AS39 F39:I39 E42:I42 T42:AS42" xr:uid="{00000000-0002-0000-0100-000000000000}">
      <formula1>"Yes,No"</formula1>
    </dataValidation>
    <dataValidation type="decimal" operator="greaterThanOrEqual" allowBlank="1" showInputMessage="1" showErrorMessage="1" sqref="H19:I19 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3"/>
  <sheetViews>
    <sheetView tabSelected="1" view="pageBreakPreview" topLeftCell="A3" zoomScale="90" zoomScaleNormal="162" zoomScaleSheetLayoutView="90" zoomScalePageLayoutView="120" workbookViewId="0">
      <pane xSplit="5" ySplit="3" topLeftCell="F6" activePane="bottomRight" state="frozenSplit"/>
      <selection activeCell="A3" sqref="A3"/>
      <selection pane="topRight" activeCell="F3" sqref="F3"/>
      <selection pane="bottomLeft" activeCell="A6" sqref="A6"/>
      <selection pane="bottomRight" activeCell="D18" sqref="D18"/>
    </sheetView>
  </sheetViews>
  <sheetFormatPr defaultColWidth="10.875" defaultRowHeight="13.5" x14ac:dyDescent="0.25"/>
  <cols>
    <col min="1" max="2" width="3.375" style="20" customWidth="1"/>
    <col min="3" max="3" width="5.5" style="23" bestFit="1" customWidth="1"/>
    <col min="4" max="4" width="64" style="20" bestFit="1"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280" t="s">
        <v>68</v>
      </c>
      <c r="D3" s="281"/>
      <c r="E3" s="308" t="s">
        <v>221</v>
      </c>
      <c r="F3" s="280" t="s">
        <v>658</v>
      </c>
      <c r="G3" s="281"/>
      <c r="H3" s="281"/>
      <c r="I3" s="301"/>
      <c r="J3" s="280" t="s">
        <v>659</v>
      </c>
      <c r="K3" s="281"/>
      <c r="L3" s="281"/>
      <c r="M3" s="301"/>
      <c r="N3" s="280" t="s">
        <v>660</v>
      </c>
      <c r="O3" s="281"/>
      <c r="P3" s="281"/>
      <c r="Q3" s="301"/>
      <c r="R3" s="280" t="s">
        <v>661</v>
      </c>
      <c r="S3" s="281"/>
      <c r="T3" s="281"/>
      <c r="U3" s="301"/>
      <c r="V3" s="280" t="s">
        <v>662</v>
      </c>
      <c r="W3" s="281"/>
      <c r="X3" s="281"/>
      <c r="Y3" s="301"/>
      <c r="Z3" s="280" t="s">
        <v>663</v>
      </c>
      <c r="AA3" s="281"/>
      <c r="AB3" s="281"/>
      <c r="AC3" s="301"/>
      <c r="AD3" s="280" t="s">
        <v>664</v>
      </c>
      <c r="AE3" s="281"/>
      <c r="AF3" s="281"/>
      <c r="AG3" s="301"/>
      <c r="AH3" s="280" t="s">
        <v>665</v>
      </c>
      <c r="AI3" s="281"/>
      <c r="AJ3" s="281"/>
      <c r="AK3" s="301"/>
      <c r="AL3" s="280" t="s">
        <v>178</v>
      </c>
      <c r="AM3" s="281"/>
      <c r="AN3" s="281"/>
      <c r="AO3" s="301"/>
      <c r="AP3" s="280" t="s">
        <v>179</v>
      </c>
      <c r="AQ3" s="281"/>
      <c r="AR3" s="281"/>
      <c r="AS3" s="301"/>
      <c r="AT3" s="280" t="s">
        <v>180</v>
      </c>
      <c r="AU3" s="281"/>
      <c r="AV3" s="281"/>
      <c r="AW3" s="301"/>
      <c r="AX3" s="280" t="s">
        <v>181</v>
      </c>
      <c r="AY3" s="281"/>
      <c r="AZ3" s="281"/>
      <c r="BA3" s="301"/>
      <c r="BB3" s="280" t="s">
        <v>182</v>
      </c>
      <c r="BC3" s="281"/>
      <c r="BD3" s="281"/>
      <c r="BE3" s="301"/>
      <c r="BF3" s="280" t="s">
        <v>183</v>
      </c>
      <c r="BG3" s="281"/>
      <c r="BH3" s="281"/>
      <c r="BI3" s="301"/>
      <c r="BJ3" s="280" t="s">
        <v>184</v>
      </c>
      <c r="BK3" s="281"/>
      <c r="BL3" s="281"/>
      <c r="BM3" s="301"/>
      <c r="BN3" s="280" t="s">
        <v>185</v>
      </c>
      <c r="BO3" s="281"/>
      <c r="BP3" s="281"/>
      <c r="BQ3" s="301"/>
      <c r="BR3" s="280" t="s">
        <v>186</v>
      </c>
      <c r="BS3" s="281"/>
      <c r="BT3" s="281"/>
      <c r="BU3" s="301"/>
      <c r="BV3" s="280" t="s">
        <v>187</v>
      </c>
      <c r="BW3" s="281"/>
      <c r="BX3" s="281"/>
      <c r="BY3" s="301"/>
      <c r="BZ3" s="280" t="s">
        <v>188</v>
      </c>
      <c r="CA3" s="281"/>
      <c r="CB3" s="281"/>
      <c r="CC3" s="301"/>
      <c r="CD3" s="280" t="s">
        <v>189</v>
      </c>
      <c r="CE3" s="281"/>
      <c r="CF3" s="281"/>
      <c r="CG3" s="301"/>
      <c r="CH3" s="280" t="s">
        <v>190</v>
      </c>
      <c r="CI3" s="281"/>
      <c r="CJ3" s="281"/>
      <c r="CK3" s="301"/>
      <c r="CL3" s="310" t="s">
        <v>191</v>
      </c>
      <c r="CM3" s="56"/>
    </row>
    <row r="4" spans="1:91" ht="12.95" customHeight="1" x14ac:dyDescent="0.25">
      <c r="A4" s="21"/>
      <c r="B4" s="57"/>
      <c r="C4" s="280"/>
      <c r="D4" s="281"/>
      <c r="E4" s="308"/>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10"/>
      <c r="CM4" s="58"/>
    </row>
    <row r="5" spans="1:91" x14ac:dyDescent="0.25">
      <c r="A5" s="21"/>
      <c r="B5" s="57"/>
      <c r="C5" s="92"/>
      <c r="D5" s="93" t="s">
        <v>195</v>
      </c>
      <c r="E5" s="131"/>
      <c r="F5" s="13" t="s">
        <v>5</v>
      </c>
      <c r="G5" s="44" t="s">
        <v>230</v>
      </c>
      <c r="H5" s="44" t="s">
        <v>231</v>
      </c>
      <c r="I5" s="14" t="s">
        <v>232</v>
      </c>
      <c r="J5" s="13" t="s">
        <v>5</v>
      </c>
      <c r="K5" s="44" t="s">
        <v>230</v>
      </c>
      <c r="L5" s="44" t="s">
        <v>231</v>
      </c>
      <c r="M5" s="14" t="s">
        <v>232</v>
      </c>
      <c r="N5" s="13" t="s">
        <v>5</v>
      </c>
      <c r="O5" s="44" t="s">
        <v>230</v>
      </c>
      <c r="P5" s="44" t="s">
        <v>231</v>
      </c>
      <c r="Q5" s="14" t="s">
        <v>232</v>
      </c>
      <c r="R5" s="13" t="s">
        <v>5</v>
      </c>
      <c r="S5" s="44" t="s">
        <v>230</v>
      </c>
      <c r="T5" s="44" t="s">
        <v>231</v>
      </c>
      <c r="U5" s="14" t="s">
        <v>232</v>
      </c>
      <c r="V5" s="13" t="s">
        <v>5</v>
      </c>
      <c r="W5" s="44" t="s">
        <v>230</v>
      </c>
      <c r="X5" s="44" t="s">
        <v>231</v>
      </c>
      <c r="Y5" s="14" t="s">
        <v>232</v>
      </c>
      <c r="Z5" s="13" t="s">
        <v>5</v>
      </c>
      <c r="AA5" s="44" t="s">
        <v>230</v>
      </c>
      <c r="AB5" s="44" t="s">
        <v>231</v>
      </c>
      <c r="AC5" s="14" t="s">
        <v>232</v>
      </c>
      <c r="AD5" s="13" t="s">
        <v>5</v>
      </c>
      <c r="AE5" s="44" t="s">
        <v>230</v>
      </c>
      <c r="AF5" s="44" t="s">
        <v>231</v>
      </c>
      <c r="AG5" s="14" t="s">
        <v>232</v>
      </c>
      <c r="AH5" s="13" t="s">
        <v>5</v>
      </c>
      <c r="AI5" s="44" t="s">
        <v>230</v>
      </c>
      <c r="AJ5" s="44" t="s">
        <v>231</v>
      </c>
      <c r="AK5" s="14" t="s">
        <v>232</v>
      </c>
      <c r="AL5" s="13" t="s">
        <v>5</v>
      </c>
      <c r="AM5" s="44" t="s">
        <v>230</v>
      </c>
      <c r="AN5" s="44" t="s">
        <v>231</v>
      </c>
      <c r="AO5" s="14" t="s">
        <v>232</v>
      </c>
      <c r="AP5" s="13" t="s">
        <v>5</v>
      </c>
      <c r="AQ5" s="44" t="s">
        <v>230</v>
      </c>
      <c r="AR5" s="44" t="s">
        <v>231</v>
      </c>
      <c r="AS5" s="14" t="s">
        <v>232</v>
      </c>
      <c r="AT5" s="13" t="s">
        <v>5</v>
      </c>
      <c r="AU5" s="44" t="s">
        <v>230</v>
      </c>
      <c r="AV5" s="44" t="s">
        <v>231</v>
      </c>
      <c r="AW5" s="14" t="s">
        <v>232</v>
      </c>
      <c r="AX5" s="13" t="s">
        <v>5</v>
      </c>
      <c r="AY5" s="44" t="s">
        <v>230</v>
      </c>
      <c r="AZ5" s="44" t="s">
        <v>231</v>
      </c>
      <c r="BA5" s="14" t="s">
        <v>232</v>
      </c>
      <c r="BB5" s="13" t="s">
        <v>5</v>
      </c>
      <c r="BC5" s="44" t="s">
        <v>230</v>
      </c>
      <c r="BD5" s="44" t="s">
        <v>231</v>
      </c>
      <c r="BE5" s="14" t="s">
        <v>232</v>
      </c>
      <c r="BF5" s="13" t="s">
        <v>5</v>
      </c>
      <c r="BG5" s="44" t="s">
        <v>230</v>
      </c>
      <c r="BH5" s="44" t="s">
        <v>231</v>
      </c>
      <c r="BI5" s="14" t="s">
        <v>232</v>
      </c>
      <c r="BJ5" s="13" t="s">
        <v>5</v>
      </c>
      <c r="BK5" s="44" t="s">
        <v>230</v>
      </c>
      <c r="BL5" s="44" t="s">
        <v>231</v>
      </c>
      <c r="BM5" s="14" t="s">
        <v>232</v>
      </c>
      <c r="BN5" s="13" t="s">
        <v>5</v>
      </c>
      <c r="BO5" s="44" t="s">
        <v>230</v>
      </c>
      <c r="BP5" s="44" t="s">
        <v>231</v>
      </c>
      <c r="BQ5" s="14" t="s">
        <v>232</v>
      </c>
      <c r="BR5" s="13" t="s">
        <v>5</v>
      </c>
      <c r="BS5" s="44" t="s">
        <v>230</v>
      </c>
      <c r="BT5" s="44" t="s">
        <v>231</v>
      </c>
      <c r="BU5" s="14" t="s">
        <v>232</v>
      </c>
      <c r="BV5" s="13" t="s">
        <v>5</v>
      </c>
      <c r="BW5" s="44" t="s">
        <v>230</v>
      </c>
      <c r="BX5" s="44" t="s">
        <v>231</v>
      </c>
      <c r="BY5" s="14" t="s">
        <v>232</v>
      </c>
      <c r="BZ5" s="13" t="s">
        <v>5</v>
      </c>
      <c r="CA5" s="44" t="s">
        <v>230</v>
      </c>
      <c r="CB5" s="44" t="s">
        <v>231</v>
      </c>
      <c r="CC5" s="14" t="s">
        <v>232</v>
      </c>
      <c r="CD5" s="13" t="s">
        <v>5</v>
      </c>
      <c r="CE5" s="44" t="s">
        <v>230</v>
      </c>
      <c r="CF5" s="44" t="s">
        <v>231</v>
      </c>
      <c r="CG5" s="14" t="s">
        <v>232</v>
      </c>
      <c r="CH5" s="13" t="s">
        <v>5</v>
      </c>
      <c r="CI5" s="44" t="s">
        <v>230</v>
      </c>
      <c r="CJ5" s="44" t="s">
        <v>231</v>
      </c>
      <c r="CK5" s="14" t="s">
        <v>232</v>
      </c>
      <c r="CL5" s="310"/>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280" t="s">
        <v>0</v>
      </c>
      <c r="D7" s="281"/>
      <c r="E7" s="133"/>
      <c r="F7" s="280"/>
      <c r="G7" s="281"/>
      <c r="H7" s="281"/>
      <c r="I7" s="301"/>
      <c r="J7" s="280"/>
      <c r="K7" s="281"/>
      <c r="L7" s="281"/>
      <c r="M7" s="301"/>
      <c r="N7" s="280"/>
      <c r="O7" s="281"/>
      <c r="P7" s="281"/>
      <c r="Q7" s="301"/>
      <c r="R7" s="280"/>
      <c r="S7" s="281"/>
      <c r="T7" s="281"/>
      <c r="U7" s="301"/>
      <c r="V7" s="280"/>
      <c r="W7" s="281"/>
      <c r="X7" s="281"/>
      <c r="Y7" s="301"/>
      <c r="Z7" s="280"/>
      <c r="AA7" s="281"/>
      <c r="AB7" s="281"/>
      <c r="AC7" s="301"/>
      <c r="AD7" s="280"/>
      <c r="AE7" s="281"/>
      <c r="AF7" s="281"/>
      <c r="AG7" s="301"/>
      <c r="AH7" s="280"/>
      <c r="AI7" s="281"/>
      <c r="AJ7" s="281"/>
      <c r="AK7" s="301"/>
      <c r="AL7" s="280"/>
      <c r="AM7" s="281"/>
      <c r="AN7" s="281"/>
      <c r="AO7" s="301"/>
      <c r="AP7" s="280"/>
      <c r="AQ7" s="281"/>
      <c r="AR7" s="281"/>
      <c r="AS7" s="301"/>
      <c r="AT7" s="280"/>
      <c r="AU7" s="281"/>
      <c r="AV7" s="281"/>
      <c r="AW7" s="301"/>
      <c r="AX7" s="280"/>
      <c r="AY7" s="281"/>
      <c r="AZ7" s="281"/>
      <c r="BA7" s="301"/>
      <c r="BB7" s="280"/>
      <c r="BC7" s="281"/>
      <c r="BD7" s="281"/>
      <c r="BE7" s="301"/>
      <c r="BF7" s="280"/>
      <c r="BG7" s="281"/>
      <c r="BH7" s="281"/>
      <c r="BI7" s="301"/>
      <c r="BJ7" s="280"/>
      <c r="BK7" s="281"/>
      <c r="BL7" s="281"/>
      <c r="BM7" s="301"/>
      <c r="BN7" s="280"/>
      <c r="BO7" s="281"/>
      <c r="BP7" s="281"/>
      <c r="BQ7" s="301"/>
      <c r="BR7" s="280"/>
      <c r="BS7" s="281"/>
      <c r="BT7" s="281"/>
      <c r="BU7" s="301"/>
      <c r="BV7" s="280"/>
      <c r="BW7" s="281"/>
      <c r="BX7" s="281"/>
      <c r="BY7" s="301"/>
      <c r="BZ7" s="280"/>
      <c r="CA7" s="281"/>
      <c r="CB7" s="281"/>
      <c r="CC7" s="301"/>
      <c r="CD7" s="280"/>
      <c r="CE7" s="281"/>
      <c r="CF7" s="281"/>
      <c r="CG7" s="301"/>
      <c r="CH7" s="280"/>
      <c r="CI7" s="281"/>
      <c r="CJ7" s="281"/>
      <c r="CK7" s="301"/>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145</v>
      </c>
      <c r="D9" s="76" t="s">
        <v>146</v>
      </c>
      <c r="E9" s="118">
        <v>4</v>
      </c>
      <c r="F9" s="80">
        <v>5</v>
      </c>
      <c r="G9" s="89">
        <v>5</v>
      </c>
      <c r="H9" s="89">
        <v>4</v>
      </c>
      <c r="I9" s="81">
        <v>4</v>
      </c>
      <c r="J9" s="80">
        <v>2</v>
      </c>
      <c r="K9" s="89"/>
      <c r="L9" s="89">
        <v>3</v>
      </c>
      <c r="M9" s="81">
        <v>3</v>
      </c>
      <c r="N9" s="80">
        <v>4</v>
      </c>
      <c r="O9" s="89">
        <v>4</v>
      </c>
      <c r="P9" s="89">
        <v>4</v>
      </c>
      <c r="Q9" s="81">
        <v>4</v>
      </c>
      <c r="R9" s="80">
        <v>2</v>
      </c>
      <c r="S9" s="89"/>
      <c r="T9" s="89">
        <v>1</v>
      </c>
      <c r="U9" s="81">
        <v>1</v>
      </c>
      <c r="V9" s="80">
        <v>3</v>
      </c>
      <c r="W9" s="89"/>
      <c r="X9" s="89">
        <v>3</v>
      </c>
      <c r="Y9" s="81">
        <v>2</v>
      </c>
      <c r="Z9" s="80">
        <v>2</v>
      </c>
      <c r="AA9" s="89"/>
      <c r="AB9" s="89">
        <v>3</v>
      </c>
      <c r="AC9" s="81">
        <v>3</v>
      </c>
      <c r="AD9" s="80">
        <v>2</v>
      </c>
      <c r="AE9" s="89"/>
      <c r="AF9" s="89">
        <v>2</v>
      </c>
      <c r="AG9" s="81">
        <v>2</v>
      </c>
      <c r="AH9" s="80">
        <v>2</v>
      </c>
      <c r="AI9" s="89">
        <v>2</v>
      </c>
      <c r="AJ9" s="89">
        <v>3</v>
      </c>
      <c r="AK9" s="81">
        <v>3</v>
      </c>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523</v>
      </c>
      <c r="D10" s="76" t="s">
        <v>524</v>
      </c>
      <c r="E10" s="118">
        <v>5</v>
      </c>
      <c r="F10" s="80">
        <f>H9</f>
        <v>4</v>
      </c>
      <c r="G10" s="89">
        <f>I9</f>
        <v>4</v>
      </c>
      <c r="H10" s="89">
        <f>F9</f>
        <v>5</v>
      </c>
      <c r="I10" s="81">
        <f>G9</f>
        <v>5</v>
      </c>
      <c r="J10" s="80">
        <f>L9</f>
        <v>3</v>
      </c>
      <c r="K10" s="89"/>
      <c r="L10" s="89">
        <f>J9</f>
        <v>2</v>
      </c>
      <c r="M10" s="81">
        <f>K9</f>
        <v>0</v>
      </c>
      <c r="N10" s="80">
        <f>P9</f>
        <v>4</v>
      </c>
      <c r="O10" s="89">
        <f>Q9</f>
        <v>4</v>
      </c>
      <c r="P10" s="89">
        <f>N9</f>
        <v>4</v>
      </c>
      <c r="Q10" s="81">
        <f>O9</f>
        <v>4</v>
      </c>
      <c r="R10" s="80">
        <f>T9</f>
        <v>1</v>
      </c>
      <c r="S10" s="89"/>
      <c r="T10" s="89">
        <f>R9</f>
        <v>2</v>
      </c>
      <c r="U10" s="81">
        <f>S9</f>
        <v>0</v>
      </c>
      <c r="V10" s="80">
        <f>X9</f>
        <v>3</v>
      </c>
      <c r="W10" s="89"/>
      <c r="X10" s="89">
        <f>V9</f>
        <v>3</v>
      </c>
      <c r="Y10" s="81">
        <f>W9</f>
        <v>0</v>
      </c>
      <c r="Z10" s="80">
        <f>AB9</f>
        <v>3</v>
      </c>
      <c r="AA10" s="89"/>
      <c r="AB10" s="89">
        <f>Z9</f>
        <v>2</v>
      </c>
      <c r="AC10" s="81">
        <f>AA9</f>
        <v>0</v>
      </c>
      <c r="AD10" s="80">
        <f>AF9</f>
        <v>2</v>
      </c>
      <c r="AE10" s="89"/>
      <c r="AF10" s="89">
        <f>AD9</f>
        <v>2</v>
      </c>
      <c r="AG10" s="81">
        <f>AE9</f>
        <v>0</v>
      </c>
      <c r="AH10" s="80">
        <f>AJ9</f>
        <v>3</v>
      </c>
      <c r="AI10" s="89">
        <f>AK9</f>
        <v>3</v>
      </c>
      <c r="AJ10" s="89">
        <f>AH9</f>
        <v>2</v>
      </c>
      <c r="AK10" s="81">
        <f>AI9</f>
        <v>2</v>
      </c>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173</v>
      </c>
      <c r="E11" s="120"/>
      <c r="F11" s="82">
        <v>4</v>
      </c>
      <c r="G11" s="90">
        <v>4</v>
      </c>
      <c r="H11" s="90">
        <v>2</v>
      </c>
      <c r="I11" s="83">
        <v>2</v>
      </c>
      <c r="J11" s="82">
        <v>2</v>
      </c>
      <c r="K11" s="90"/>
      <c r="L11" s="90">
        <v>2</v>
      </c>
      <c r="M11" s="83">
        <v>2</v>
      </c>
      <c r="N11" s="82">
        <v>4</v>
      </c>
      <c r="O11" s="90">
        <v>4</v>
      </c>
      <c r="P11" s="90">
        <v>4</v>
      </c>
      <c r="Q11" s="83">
        <v>4</v>
      </c>
      <c r="R11" s="82">
        <v>2</v>
      </c>
      <c r="S11" s="90"/>
      <c r="T11" s="90">
        <v>2</v>
      </c>
      <c r="U11" s="83">
        <v>2</v>
      </c>
      <c r="V11" s="82">
        <v>2</v>
      </c>
      <c r="W11" s="90"/>
      <c r="X11" s="90">
        <v>2</v>
      </c>
      <c r="Y11" s="83">
        <v>2</v>
      </c>
      <c r="Z11" s="82">
        <v>2</v>
      </c>
      <c r="AA11" s="90"/>
      <c r="AB11" s="90">
        <v>2</v>
      </c>
      <c r="AC11" s="83">
        <v>2</v>
      </c>
      <c r="AD11" s="82">
        <v>2</v>
      </c>
      <c r="AE11" s="90"/>
      <c r="AF11" s="90">
        <v>2</v>
      </c>
      <c r="AG11" s="83">
        <v>2</v>
      </c>
      <c r="AH11" s="82">
        <v>2</v>
      </c>
      <c r="AI11" s="90">
        <v>2</v>
      </c>
      <c r="AJ11" s="90">
        <v>2</v>
      </c>
      <c r="AK11" s="83">
        <v>2</v>
      </c>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147</v>
      </c>
      <c r="D12" s="76" t="s">
        <v>148</v>
      </c>
      <c r="E12" s="118">
        <v>25</v>
      </c>
      <c r="F12" s="80">
        <v>25</v>
      </c>
      <c r="G12" s="89">
        <v>25</v>
      </c>
      <c r="H12" s="89">
        <v>25</v>
      </c>
      <c r="I12" s="81">
        <v>25</v>
      </c>
      <c r="J12" s="80">
        <v>25</v>
      </c>
      <c r="K12" s="89"/>
      <c r="L12" s="89">
        <v>25</v>
      </c>
      <c r="M12" s="81">
        <v>25</v>
      </c>
      <c r="N12" s="80">
        <v>25</v>
      </c>
      <c r="O12" s="89">
        <v>25</v>
      </c>
      <c r="P12" s="89">
        <v>25</v>
      </c>
      <c r="Q12" s="81">
        <v>25</v>
      </c>
      <c r="R12" s="80">
        <v>25</v>
      </c>
      <c r="S12" s="89"/>
      <c r="T12" s="89">
        <v>25</v>
      </c>
      <c r="U12" s="81">
        <v>25</v>
      </c>
      <c r="V12" s="80">
        <v>25</v>
      </c>
      <c r="W12" s="89"/>
      <c r="X12" s="89">
        <v>25</v>
      </c>
      <c r="Y12" s="81">
        <v>25</v>
      </c>
      <c r="Z12" s="80">
        <v>25</v>
      </c>
      <c r="AA12" s="89"/>
      <c r="AB12" s="89">
        <v>25</v>
      </c>
      <c r="AC12" s="81">
        <v>25</v>
      </c>
      <c r="AD12" s="80">
        <v>25</v>
      </c>
      <c r="AE12" s="89"/>
      <c r="AF12" s="89">
        <v>25</v>
      </c>
      <c r="AG12" s="81">
        <v>25</v>
      </c>
      <c r="AH12" s="80">
        <v>25</v>
      </c>
      <c r="AI12" s="89">
        <v>25</v>
      </c>
      <c r="AJ12" s="89">
        <v>25</v>
      </c>
      <c r="AK12" s="81">
        <v>25</v>
      </c>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152</v>
      </c>
      <c r="D13" s="76" t="s">
        <v>233</v>
      </c>
      <c r="E13" s="118">
        <v>200</v>
      </c>
      <c r="F13" s="80">
        <v>48</v>
      </c>
      <c r="G13" s="89">
        <v>34</v>
      </c>
      <c r="H13" s="89">
        <v>36</v>
      </c>
      <c r="I13" s="81">
        <v>88</v>
      </c>
      <c r="J13" s="80">
        <v>36</v>
      </c>
      <c r="K13" s="89"/>
      <c r="L13" s="89">
        <v>0</v>
      </c>
      <c r="M13" s="81">
        <v>10</v>
      </c>
      <c r="N13" s="80">
        <v>46</v>
      </c>
      <c r="O13" s="89">
        <v>354</v>
      </c>
      <c r="P13" s="89">
        <v>82</v>
      </c>
      <c r="Q13" s="81">
        <v>19</v>
      </c>
      <c r="R13" s="80">
        <v>87</v>
      </c>
      <c r="S13" s="89"/>
      <c r="T13" s="89">
        <v>0</v>
      </c>
      <c r="U13" s="81">
        <v>9</v>
      </c>
      <c r="V13" s="80">
        <f>67+26</f>
        <v>93</v>
      </c>
      <c r="W13" s="89"/>
      <c r="X13" s="89">
        <v>0</v>
      </c>
      <c r="Y13" s="81">
        <v>9</v>
      </c>
      <c r="Z13" s="80">
        <v>104</v>
      </c>
      <c r="AA13" s="89"/>
      <c r="AB13" s="89">
        <v>0</v>
      </c>
      <c r="AC13" s="81">
        <v>17</v>
      </c>
      <c r="AD13" s="80">
        <v>17</v>
      </c>
      <c r="AE13" s="89"/>
      <c r="AF13" s="89">
        <v>0</v>
      </c>
      <c r="AG13" s="81">
        <v>10</v>
      </c>
      <c r="AH13" s="80">
        <v>15</v>
      </c>
      <c r="AI13" s="89">
        <v>95</v>
      </c>
      <c r="AJ13" s="89">
        <v>243</v>
      </c>
      <c r="AK13" s="81">
        <v>5</v>
      </c>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151</v>
      </c>
      <c r="D14" s="76" t="s">
        <v>156</v>
      </c>
      <c r="E14" s="118">
        <v>200</v>
      </c>
      <c r="F14" s="80">
        <v>132</v>
      </c>
      <c r="G14" s="89">
        <v>10</v>
      </c>
      <c r="H14" s="89">
        <v>280</v>
      </c>
      <c r="I14" s="81">
        <v>64</v>
      </c>
      <c r="J14" s="80">
        <v>9</v>
      </c>
      <c r="K14" s="89"/>
      <c r="L14" s="89">
        <v>15</v>
      </c>
      <c r="M14" s="81">
        <v>0</v>
      </c>
      <c r="N14" s="80">
        <v>28</v>
      </c>
      <c r="O14" s="89">
        <v>42</v>
      </c>
      <c r="P14" s="89">
        <v>41</v>
      </c>
      <c r="Q14" s="81">
        <v>255</v>
      </c>
      <c r="R14" s="80">
        <v>0</v>
      </c>
      <c r="S14" s="89"/>
      <c r="T14" s="89">
        <v>0</v>
      </c>
      <c r="U14" s="81">
        <v>0</v>
      </c>
      <c r="V14" s="80">
        <v>2</v>
      </c>
      <c r="W14" s="89"/>
      <c r="X14" s="89">
        <v>144</v>
      </c>
      <c r="Y14" s="81">
        <v>0</v>
      </c>
      <c r="Z14" s="80">
        <v>44</v>
      </c>
      <c r="AA14" s="89"/>
      <c r="AB14" s="89">
        <v>87</v>
      </c>
      <c r="AC14" s="81">
        <v>0</v>
      </c>
      <c r="AD14" s="80">
        <v>11</v>
      </c>
      <c r="AE14" s="89"/>
      <c r="AF14" s="89">
        <v>24</v>
      </c>
      <c r="AG14" s="81">
        <v>0</v>
      </c>
      <c r="AH14" s="80">
        <v>10</v>
      </c>
      <c r="AI14" s="89">
        <v>183</v>
      </c>
      <c r="AJ14" s="89">
        <v>24</v>
      </c>
      <c r="AK14" s="81">
        <v>22</v>
      </c>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169</v>
      </c>
      <c r="D15" s="76" t="s">
        <v>157</v>
      </c>
      <c r="E15" s="118">
        <v>200</v>
      </c>
      <c r="F15" s="80">
        <v>682</v>
      </c>
      <c r="G15" s="89">
        <v>291</v>
      </c>
      <c r="H15" s="89">
        <v>327</v>
      </c>
      <c r="I15" s="81">
        <v>238</v>
      </c>
      <c r="J15" s="80">
        <v>0</v>
      </c>
      <c r="K15" s="89"/>
      <c r="L15" s="89">
        <v>315</v>
      </c>
      <c r="M15" s="81">
        <v>212</v>
      </c>
      <c r="N15" s="80">
        <v>483</v>
      </c>
      <c r="O15" s="89">
        <v>254</v>
      </c>
      <c r="P15" s="89">
        <v>279</v>
      </c>
      <c r="Q15" s="81">
        <v>188</v>
      </c>
      <c r="R15" s="80">
        <v>0</v>
      </c>
      <c r="S15" s="89"/>
      <c r="T15" s="89">
        <v>652</v>
      </c>
      <c r="U15" s="81">
        <v>337</v>
      </c>
      <c r="V15" s="80">
        <v>0</v>
      </c>
      <c r="W15" s="89"/>
      <c r="X15" s="89">
        <v>498</v>
      </c>
      <c r="Y15" s="81">
        <v>253</v>
      </c>
      <c r="Z15" s="80">
        <v>0</v>
      </c>
      <c r="AA15" s="89"/>
      <c r="AB15" s="89">
        <v>401</v>
      </c>
      <c r="AC15" s="81">
        <v>189</v>
      </c>
      <c r="AD15" s="80">
        <v>0</v>
      </c>
      <c r="AE15" s="89"/>
      <c r="AF15" s="89">
        <v>421</v>
      </c>
      <c r="AG15" s="81">
        <v>181</v>
      </c>
      <c r="AH15" s="80">
        <v>224</v>
      </c>
      <c r="AI15" s="89">
        <v>159</v>
      </c>
      <c r="AJ15" s="89">
        <v>164</v>
      </c>
      <c r="AK15" s="81">
        <v>29</v>
      </c>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294</v>
      </c>
      <c r="D16" s="76" t="s">
        <v>530</v>
      </c>
      <c r="E16" s="118">
        <v>600</v>
      </c>
      <c r="F16" s="80">
        <f>SUM(F13:G15)</f>
        <v>1197</v>
      </c>
      <c r="G16" s="89">
        <f>SUM(F13:G15)</f>
        <v>1197</v>
      </c>
      <c r="H16" s="89">
        <f>SUM(H13:I15)</f>
        <v>1033</v>
      </c>
      <c r="I16" s="81">
        <f>SUM(H13:I15)</f>
        <v>1033</v>
      </c>
      <c r="J16" s="80">
        <f>SUM(J13:K15)</f>
        <v>45</v>
      </c>
      <c r="K16" s="89"/>
      <c r="L16" s="89">
        <f>SUM(L13:M15)</f>
        <v>552</v>
      </c>
      <c r="M16" s="89">
        <f>SUM(L13:M15)</f>
        <v>552</v>
      </c>
      <c r="N16" s="80">
        <f>SUM(N13:O15)</f>
        <v>1207</v>
      </c>
      <c r="O16" s="89">
        <f>SUM(N13:O15)</f>
        <v>1207</v>
      </c>
      <c r="P16" s="89">
        <f>SUM(P13:Q15)</f>
        <v>864</v>
      </c>
      <c r="Q16" s="81">
        <f>SUM(P13:Q15)</f>
        <v>864</v>
      </c>
      <c r="R16" s="80">
        <f>SUM(R13:S15)</f>
        <v>87</v>
      </c>
      <c r="S16" s="89"/>
      <c r="T16" s="89">
        <f>SUM(T13:U15)</f>
        <v>998</v>
      </c>
      <c r="U16" s="89">
        <f>SUM(T13:U15)</f>
        <v>998</v>
      </c>
      <c r="V16" s="80">
        <f>SUM(V13:W15)</f>
        <v>95</v>
      </c>
      <c r="W16" s="89"/>
      <c r="X16" s="89">
        <f>SUM(X13:Y15)</f>
        <v>904</v>
      </c>
      <c r="Y16" s="89">
        <f>SUM(X13:Y15)</f>
        <v>904</v>
      </c>
      <c r="Z16" s="80">
        <f>SUM(Z13:AA15)</f>
        <v>148</v>
      </c>
      <c r="AA16" s="89"/>
      <c r="AB16" s="89">
        <f>SUM(AB13:AC15)</f>
        <v>694</v>
      </c>
      <c r="AC16" s="89">
        <f>SUM(AB13:AC15)</f>
        <v>694</v>
      </c>
      <c r="AD16" s="80">
        <f>SUM(AD13:AE15)</f>
        <v>28</v>
      </c>
      <c r="AE16" s="89"/>
      <c r="AF16" s="89">
        <f>SUM(AF13:AG15)</f>
        <v>636</v>
      </c>
      <c r="AG16" s="89">
        <f>SUM(AF13:AG15)</f>
        <v>636</v>
      </c>
      <c r="AH16" s="80">
        <f>SUM(AH13:AI15)</f>
        <v>686</v>
      </c>
      <c r="AI16" s="89">
        <f>SUM(AH13:AI15)</f>
        <v>686</v>
      </c>
      <c r="AJ16" s="89">
        <f>SUM(AJ13:AK15)</f>
        <v>487</v>
      </c>
      <c r="AK16" s="81">
        <f>SUM(AJ13:AK15)</f>
        <v>487</v>
      </c>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521</v>
      </c>
      <c r="D17" s="76" t="s">
        <v>531</v>
      </c>
      <c r="E17" s="118">
        <v>600</v>
      </c>
      <c r="F17" s="80">
        <f>H16</f>
        <v>1033</v>
      </c>
      <c r="G17" s="89">
        <f>I16</f>
        <v>1033</v>
      </c>
      <c r="H17" s="89">
        <f>G16</f>
        <v>1197</v>
      </c>
      <c r="I17" s="81">
        <f>F16</f>
        <v>1197</v>
      </c>
      <c r="J17" s="89">
        <f>L16</f>
        <v>552</v>
      </c>
      <c r="K17" s="89"/>
      <c r="L17" s="89">
        <f>J16</f>
        <v>45</v>
      </c>
      <c r="M17" s="81">
        <f>J16</f>
        <v>45</v>
      </c>
      <c r="N17" s="80">
        <f>P16</f>
        <v>864</v>
      </c>
      <c r="O17" s="89">
        <f>Q16</f>
        <v>864</v>
      </c>
      <c r="P17" s="89">
        <f>O16</f>
        <v>1207</v>
      </c>
      <c r="Q17" s="81">
        <f>N16</f>
        <v>1207</v>
      </c>
      <c r="R17" s="89">
        <f>T16</f>
        <v>998</v>
      </c>
      <c r="S17" s="89"/>
      <c r="T17" s="89">
        <f>R16</f>
        <v>87</v>
      </c>
      <c r="U17" s="81">
        <f>R16</f>
        <v>87</v>
      </c>
      <c r="V17" s="89">
        <f>X16</f>
        <v>904</v>
      </c>
      <c r="W17" s="89"/>
      <c r="X17" s="89">
        <f>V16</f>
        <v>95</v>
      </c>
      <c r="Y17" s="81">
        <f>V16</f>
        <v>95</v>
      </c>
      <c r="Z17" s="89">
        <f>AB16</f>
        <v>694</v>
      </c>
      <c r="AA17" s="89"/>
      <c r="AB17" s="89">
        <f>Z16</f>
        <v>148</v>
      </c>
      <c r="AC17" s="81">
        <f>Z16</f>
        <v>148</v>
      </c>
      <c r="AD17" s="89">
        <f>AF16</f>
        <v>636</v>
      </c>
      <c r="AE17" s="89"/>
      <c r="AF17" s="89">
        <f>AD16</f>
        <v>28</v>
      </c>
      <c r="AG17" s="81">
        <f>AD16</f>
        <v>28</v>
      </c>
      <c r="AH17" s="80">
        <f>AJ16</f>
        <v>487</v>
      </c>
      <c r="AI17" s="89">
        <f>AK16</f>
        <v>487</v>
      </c>
      <c r="AJ17" s="89">
        <f>AI16</f>
        <v>686</v>
      </c>
      <c r="AK17" s="81">
        <f>AH16</f>
        <v>686</v>
      </c>
      <c r="AL17" s="80"/>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224</v>
      </c>
      <c r="D18" s="76" t="s">
        <v>297</v>
      </c>
      <c r="E18" s="118">
        <v>100</v>
      </c>
      <c r="F18" s="264">
        <v>91</v>
      </c>
      <c r="G18" s="265">
        <v>110</v>
      </c>
      <c r="H18" s="265">
        <v>133</v>
      </c>
      <c r="I18" s="266">
        <v>190</v>
      </c>
      <c r="J18" s="264"/>
      <c r="K18" s="265"/>
      <c r="L18" s="265"/>
      <c r="M18" s="266"/>
      <c r="N18" s="264"/>
      <c r="O18" s="265"/>
      <c r="P18" s="265"/>
      <c r="Q18" s="266"/>
      <c r="R18" s="264"/>
      <c r="S18" s="265"/>
      <c r="T18" s="265">
        <v>20</v>
      </c>
      <c r="U18" s="266">
        <v>0</v>
      </c>
      <c r="V18" s="264"/>
      <c r="W18" s="265"/>
      <c r="X18" s="265">
        <v>20</v>
      </c>
      <c r="Y18" s="266">
        <v>0</v>
      </c>
      <c r="Z18" s="264"/>
      <c r="AA18" s="265"/>
      <c r="AB18" s="265">
        <v>20</v>
      </c>
      <c r="AC18" s="266">
        <v>0</v>
      </c>
      <c r="AD18" s="264"/>
      <c r="AE18" s="265"/>
      <c r="AF18" s="265">
        <v>20</v>
      </c>
      <c r="AG18" s="266">
        <v>0</v>
      </c>
      <c r="AH18" s="264"/>
      <c r="AI18" s="265"/>
      <c r="AJ18" s="265"/>
      <c r="AK18" s="266"/>
      <c r="AL18" s="80"/>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154</v>
      </c>
      <c r="D19" s="76" t="s">
        <v>155</v>
      </c>
      <c r="E19" s="118">
        <v>100</v>
      </c>
      <c r="F19" s="264">
        <v>110</v>
      </c>
      <c r="G19" s="265">
        <v>91</v>
      </c>
      <c r="H19" s="265">
        <v>190</v>
      </c>
      <c r="I19" s="266">
        <v>133</v>
      </c>
      <c r="J19" s="264"/>
      <c r="K19" s="265"/>
      <c r="L19" s="265"/>
      <c r="M19" s="266"/>
      <c r="N19" s="264"/>
      <c r="O19" s="265"/>
      <c r="P19" s="265"/>
      <c r="Q19" s="266"/>
      <c r="R19" s="264"/>
      <c r="S19" s="265"/>
      <c r="T19" s="265">
        <v>0</v>
      </c>
      <c r="U19" s="266">
        <v>20</v>
      </c>
      <c r="V19" s="264"/>
      <c r="W19" s="265"/>
      <c r="X19" s="265">
        <v>0</v>
      </c>
      <c r="Y19" s="266">
        <v>20</v>
      </c>
      <c r="Z19" s="264"/>
      <c r="AA19" s="265"/>
      <c r="AB19" s="265">
        <v>0</v>
      </c>
      <c r="AC19" s="266">
        <v>20</v>
      </c>
      <c r="AD19" s="264"/>
      <c r="AE19" s="265"/>
      <c r="AF19" s="265">
        <v>0</v>
      </c>
      <c r="AG19" s="266">
        <v>20</v>
      </c>
      <c r="AH19" s="264"/>
      <c r="AI19" s="265"/>
      <c r="AJ19" s="265"/>
      <c r="AK19" s="266"/>
      <c r="AL19" s="80"/>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274</v>
      </c>
      <c r="D20" s="76" t="s">
        <v>275</v>
      </c>
      <c r="E20" s="118">
        <v>100</v>
      </c>
      <c r="F20" s="264">
        <v>100</v>
      </c>
      <c r="G20" s="265">
        <v>100</v>
      </c>
      <c r="H20" s="265">
        <v>100</v>
      </c>
      <c r="I20" s="266">
        <v>100</v>
      </c>
      <c r="J20" s="264"/>
      <c r="K20" s="265"/>
      <c r="L20" s="265"/>
      <c r="M20" s="266"/>
      <c r="N20" s="264"/>
      <c r="O20" s="265"/>
      <c r="P20" s="265"/>
      <c r="Q20" s="266"/>
      <c r="R20" s="264"/>
      <c r="S20" s="265"/>
      <c r="T20" s="265">
        <v>100</v>
      </c>
      <c r="U20" s="266">
        <v>0</v>
      </c>
      <c r="V20" s="264"/>
      <c r="W20" s="265"/>
      <c r="X20" s="265">
        <v>100</v>
      </c>
      <c r="Y20" s="266">
        <v>0</v>
      </c>
      <c r="Z20" s="264"/>
      <c r="AA20" s="265"/>
      <c r="AB20" s="265">
        <v>100</v>
      </c>
      <c r="AC20" s="266">
        <v>0</v>
      </c>
      <c r="AD20" s="264"/>
      <c r="AE20" s="265"/>
      <c r="AF20" s="265">
        <v>100</v>
      </c>
      <c r="AG20" s="266">
        <v>0</v>
      </c>
      <c r="AH20" s="264"/>
      <c r="AI20" s="265"/>
      <c r="AJ20" s="265"/>
      <c r="AK20" s="266"/>
      <c r="AL20" s="80"/>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313</v>
      </c>
      <c r="D21" s="76" t="s">
        <v>314</v>
      </c>
      <c r="E21" s="118">
        <v>25</v>
      </c>
      <c r="F21" s="80">
        <v>25</v>
      </c>
      <c r="G21" s="89">
        <v>25</v>
      </c>
      <c r="H21" s="89">
        <v>25</v>
      </c>
      <c r="I21" s="81">
        <v>25</v>
      </c>
      <c r="J21" s="80">
        <v>25</v>
      </c>
      <c r="K21" s="89"/>
      <c r="L21" s="89">
        <v>25</v>
      </c>
      <c r="M21" s="81">
        <v>25</v>
      </c>
      <c r="N21" s="80">
        <v>25</v>
      </c>
      <c r="O21" s="89">
        <v>25</v>
      </c>
      <c r="P21" s="89">
        <v>25</v>
      </c>
      <c r="Q21" s="81">
        <v>25</v>
      </c>
      <c r="R21" s="80">
        <v>25</v>
      </c>
      <c r="S21" s="89"/>
      <c r="T21" s="89">
        <v>25</v>
      </c>
      <c r="U21" s="81">
        <v>25</v>
      </c>
      <c r="V21" s="80">
        <v>25</v>
      </c>
      <c r="W21" s="89"/>
      <c r="X21" s="89">
        <v>25</v>
      </c>
      <c r="Y21" s="81">
        <v>25</v>
      </c>
      <c r="Z21" s="80">
        <v>25</v>
      </c>
      <c r="AA21" s="89"/>
      <c r="AB21" s="89">
        <v>25</v>
      </c>
      <c r="AC21" s="81">
        <v>25</v>
      </c>
      <c r="AD21" s="80">
        <v>25</v>
      </c>
      <c r="AE21" s="89"/>
      <c r="AF21" s="89">
        <v>25</v>
      </c>
      <c r="AG21" s="81">
        <v>25</v>
      </c>
      <c r="AH21" s="80">
        <v>25</v>
      </c>
      <c r="AI21" s="89">
        <v>25</v>
      </c>
      <c r="AJ21" s="89">
        <v>25</v>
      </c>
      <c r="AK21" s="81">
        <v>25</v>
      </c>
      <c r="AL21" s="80"/>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503</v>
      </c>
      <c r="D22" s="76" t="s">
        <v>508</v>
      </c>
      <c r="E22" s="118">
        <v>5</v>
      </c>
      <c r="F22" s="80">
        <v>5</v>
      </c>
      <c r="G22" s="89">
        <v>5</v>
      </c>
      <c r="H22" s="89">
        <v>5</v>
      </c>
      <c r="I22" s="81">
        <v>5</v>
      </c>
      <c r="J22" s="80">
        <v>5</v>
      </c>
      <c r="K22" s="89"/>
      <c r="L22" s="89">
        <v>5</v>
      </c>
      <c r="M22" s="81">
        <v>5</v>
      </c>
      <c r="N22" s="80">
        <v>5</v>
      </c>
      <c r="O22" s="89">
        <v>5</v>
      </c>
      <c r="P22" s="89">
        <v>5</v>
      </c>
      <c r="Q22" s="81">
        <v>5</v>
      </c>
      <c r="R22" s="80">
        <v>5</v>
      </c>
      <c r="S22" s="89"/>
      <c r="T22" s="89">
        <v>5</v>
      </c>
      <c r="U22" s="81">
        <v>5</v>
      </c>
      <c r="V22" s="80">
        <v>5</v>
      </c>
      <c r="W22" s="89"/>
      <c r="X22" s="89">
        <v>5</v>
      </c>
      <c r="Y22" s="81">
        <v>5</v>
      </c>
      <c r="Z22" s="80">
        <v>5</v>
      </c>
      <c r="AA22" s="89"/>
      <c r="AB22" s="89">
        <v>5</v>
      </c>
      <c r="AC22" s="81">
        <v>5</v>
      </c>
      <c r="AD22" s="80">
        <v>5</v>
      </c>
      <c r="AE22" s="89"/>
      <c r="AF22" s="89">
        <v>5</v>
      </c>
      <c r="AG22" s="81">
        <v>5</v>
      </c>
      <c r="AH22" s="80">
        <v>5</v>
      </c>
      <c r="AI22" s="89">
        <v>5</v>
      </c>
      <c r="AJ22" s="89">
        <v>5</v>
      </c>
      <c r="AK22" s="81">
        <v>5</v>
      </c>
      <c r="AL22" s="80"/>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504</v>
      </c>
      <c r="D23" s="76" t="s">
        <v>507</v>
      </c>
      <c r="E23" s="118">
        <v>5</v>
      </c>
      <c r="F23" s="80">
        <v>5</v>
      </c>
      <c r="G23" s="89">
        <v>5</v>
      </c>
      <c r="H23" s="89">
        <v>5</v>
      </c>
      <c r="I23" s="81">
        <v>5</v>
      </c>
      <c r="J23" s="80">
        <v>5</v>
      </c>
      <c r="K23" s="89"/>
      <c r="L23" s="89">
        <v>5</v>
      </c>
      <c r="M23" s="81">
        <v>5</v>
      </c>
      <c r="N23" s="80">
        <v>5</v>
      </c>
      <c r="O23" s="89">
        <v>5</v>
      </c>
      <c r="P23" s="89">
        <v>5</v>
      </c>
      <c r="Q23" s="81">
        <v>5</v>
      </c>
      <c r="R23" s="80">
        <v>5</v>
      </c>
      <c r="S23" s="89"/>
      <c r="T23" s="89">
        <v>5</v>
      </c>
      <c r="U23" s="81">
        <v>5</v>
      </c>
      <c r="V23" s="80">
        <v>5</v>
      </c>
      <c r="W23" s="89"/>
      <c r="X23" s="89">
        <v>5</v>
      </c>
      <c r="Y23" s="81">
        <v>5</v>
      </c>
      <c r="Z23" s="80">
        <v>5</v>
      </c>
      <c r="AA23" s="89"/>
      <c r="AB23" s="89">
        <v>5</v>
      </c>
      <c r="AC23" s="81">
        <v>5</v>
      </c>
      <c r="AD23" s="80">
        <v>5</v>
      </c>
      <c r="AE23" s="89"/>
      <c r="AF23" s="89">
        <v>5</v>
      </c>
      <c r="AG23" s="81">
        <v>5</v>
      </c>
      <c r="AH23" s="80">
        <v>5</v>
      </c>
      <c r="AI23" s="89">
        <v>5</v>
      </c>
      <c r="AJ23" s="89">
        <v>5</v>
      </c>
      <c r="AK23" s="81">
        <v>5</v>
      </c>
      <c r="AL23" s="80"/>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505</v>
      </c>
      <c r="D24" s="76" t="s">
        <v>506</v>
      </c>
      <c r="E24" s="229">
        <v>0.5</v>
      </c>
      <c r="F24" s="227">
        <v>0.5</v>
      </c>
      <c r="G24" s="226">
        <v>0.5</v>
      </c>
      <c r="H24" s="226">
        <v>0.5</v>
      </c>
      <c r="I24" s="225">
        <v>0.5</v>
      </c>
      <c r="J24" s="227">
        <v>0.5</v>
      </c>
      <c r="K24" s="226"/>
      <c r="L24" s="226">
        <v>0.5</v>
      </c>
      <c r="M24" s="225">
        <v>0.5</v>
      </c>
      <c r="N24" s="227">
        <v>0.5</v>
      </c>
      <c r="O24" s="226">
        <v>0.5</v>
      </c>
      <c r="P24" s="226">
        <v>0.5</v>
      </c>
      <c r="Q24" s="225">
        <v>0.5</v>
      </c>
      <c r="R24" s="227">
        <v>0.5</v>
      </c>
      <c r="S24" s="226"/>
      <c r="T24" s="226">
        <v>0.5</v>
      </c>
      <c r="U24" s="225">
        <v>0.5</v>
      </c>
      <c r="V24" s="227">
        <v>0.5</v>
      </c>
      <c r="W24" s="226"/>
      <c r="X24" s="226">
        <v>0.5</v>
      </c>
      <c r="Y24" s="225">
        <v>0.5</v>
      </c>
      <c r="Z24" s="227">
        <v>0.5</v>
      </c>
      <c r="AA24" s="226"/>
      <c r="AB24" s="226">
        <v>0.5</v>
      </c>
      <c r="AC24" s="225">
        <v>0.5</v>
      </c>
      <c r="AD24" s="227">
        <v>0.5</v>
      </c>
      <c r="AE24" s="226"/>
      <c r="AF24" s="226">
        <v>0.5</v>
      </c>
      <c r="AG24" s="225">
        <v>0.5</v>
      </c>
      <c r="AH24" s="227">
        <v>0.5</v>
      </c>
      <c r="AI24" s="226">
        <v>0.5</v>
      </c>
      <c r="AJ24" s="226">
        <v>0.5</v>
      </c>
      <c r="AK24" s="225">
        <v>0.5</v>
      </c>
      <c r="AL24" s="227"/>
      <c r="AM24" s="226"/>
      <c r="AN24" s="226"/>
      <c r="AO24" s="225"/>
      <c r="AP24" s="227"/>
      <c r="AQ24" s="226"/>
      <c r="AR24" s="226"/>
      <c r="AS24" s="225"/>
      <c r="AT24" s="227"/>
      <c r="AU24" s="226"/>
      <c r="AV24" s="226"/>
      <c r="AW24" s="225"/>
      <c r="AX24" s="227"/>
      <c r="AY24" s="226"/>
      <c r="AZ24" s="226"/>
      <c r="BA24" s="225"/>
      <c r="BB24" s="227"/>
      <c r="BC24" s="226"/>
      <c r="BD24" s="226"/>
      <c r="BE24" s="225"/>
      <c r="BF24" s="227"/>
      <c r="BG24" s="226"/>
      <c r="BH24" s="226"/>
      <c r="BI24" s="225"/>
      <c r="BJ24" s="227"/>
      <c r="BK24" s="226"/>
      <c r="BL24" s="226"/>
      <c r="BM24" s="225"/>
      <c r="BN24" s="227"/>
      <c r="BO24" s="226"/>
      <c r="BP24" s="226"/>
      <c r="BQ24" s="225"/>
      <c r="BR24" s="227"/>
      <c r="BS24" s="226"/>
      <c r="BT24" s="226"/>
      <c r="BU24" s="225"/>
      <c r="BV24" s="227"/>
      <c r="BW24" s="226"/>
      <c r="BX24" s="226"/>
      <c r="BY24" s="225"/>
      <c r="BZ24" s="227"/>
      <c r="CA24" s="226"/>
      <c r="CB24" s="226"/>
      <c r="CC24" s="225"/>
      <c r="CD24" s="227"/>
      <c r="CE24" s="226"/>
      <c r="CF24" s="226"/>
      <c r="CG24" s="225"/>
      <c r="CH24" s="227"/>
      <c r="CI24" s="226"/>
      <c r="CJ24" s="226"/>
      <c r="CK24" s="225"/>
      <c r="CL24" s="49"/>
      <c r="CM24" s="56"/>
    </row>
    <row r="25" spans="2:91" ht="14.25" x14ac:dyDescent="0.25">
      <c r="B25" s="55"/>
      <c r="C25" s="9" t="s">
        <v>158</v>
      </c>
      <c r="D25" s="76" t="s">
        <v>159</v>
      </c>
      <c r="E25" s="118">
        <v>0</v>
      </c>
      <c r="F25" s="80">
        <v>0</v>
      </c>
      <c r="G25" s="89">
        <v>0</v>
      </c>
      <c r="H25" s="89">
        <v>0</v>
      </c>
      <c r="I25" s="81">
        <v>0</v>
      </c>
      <c r="J25" s="80">
        <v>0</v>
      </c>
      <c r="K25" s="89"/>
      <c r="L25" s="89">
        <v>0</v>
      </c>
      <c r="M25" s="81">
        <v>0</v>
      </c>
      <c r="N25" s="80">
        <v>0</v>
      </c>
      <c r="O25" s="89">
        <v>0</v>
      </c>
      <c r="P25" s="89">
        <v>0</v>
      </c>
      <c r="Q25" s="81">
        <v>0</v>
      </c>
      <c r="R25" s="80">
        <v>0</v>
      </c>
      <c r="S25" s="89"/>
      <c r="T25" s="89">
        <v>0</v>
      </c>
      <c r="U25" s="81">
        <v>0</v>
      </c>
      <c r="V25" s="80">
        <v>0</v>
      </c>
      <c r="W25" s="89"/>
      <c r="X25" s="89">
        <v>0</v>
      </c>
      <c r="Y25" s="81">
        <v>0</v>
      </c>
      <c r="Z25" s="80">
        <v>0</v>
      </c>
      <c r="AA25" s="89"/>
      <c r="AB25" s="89">
        <v>0</v>
      </c>
      <c r="AC25" s="81">
        <v>0</v>
      </c>
      <c r="AD25" s="80">
        <v>0</v>
      </c>
      <c r="AE25" s="89"/>
      <c r="AF25" s="89">
        <v>0</v>
      </c>
      <c r="AG25" s="81">
        <v>0</v>
      </c>
      <c r="AH25" s="80">
        <v>0</v>
      </c>
      <c r="AI25" s="89">
        <v>0</v>
      </c>
      <c r="AJ25" s="89">
        <v>0</v>
      </c>
      <c r="AK25" s="81">
        <v>0</v>
      </c>
      <c r="AL25" s="80"/>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311</v>
      </c>
      <c r="D26" s="76" t="s">
        <v>312</v>
      </c>
      <c r="E26" s="118">
        <v>30</v>
      </c>
      <c r="F26" s="86">
        <f>37-F27-2</f>
        <v>31.700000000000003</v>
      </c>
      <c r="G26" s="86">
        <f>37-G27-2</f>
        <v>31.700000000000003</v>
      </c>
      <c r="H26" s="91">
        <v>31.1</v>
      </c>
      <c r="I26" s="87">
        <v>31.1</v>
      </c>
      <c r="J26" s="272"/>
      <c r="K26" s="273"/>
      <c r="L26" s="273"/>
      <c r="M26" s="274"/>
      <c r="N26" s="86">
        <f>29-N27-2</f>
        <v>24</v>
      </c>
      <c r="O26" s="91">
        <f>29-O27-2</f>
        <v>24</v>
      </c>
      <c r="P26" s="91">
        <f>34-P27-2</f>
        <v>29</v>
      </c>
      <c r="Q26" s="87">
        <f>61-Q27-2</f>
        <v>56</v>
      </c>
      <c r="R26" s="272"/>
      <c r="S26" s="273"/>
      <c r="T26" s="273"/>
      <c r="U26" s="274"/>
      <c r="V26" s="86">
        <f>11-V27-2</f>
        <v>6</v>
      </c>
      <c r="W26" s="91"/>
      <c r="X26" s="91">
        <f>37-X27-2</f>
        <v>32</v>
      </c>
      <c r="Y26" s="87">
        <f>24-Y27-2</f>
        <v>19</v>
      </c>
      <c r="Z26" s="80">
        <f>18-Z27-2+21-3-2</f>
        <v>29</v>
      </c>
      <c r="AA26" s="89"/>
      <c r="AB26" s="89">
        <f>36-AB27-2</f>
        <v>31</v>
      </c>
      <c r="AC26" s="81">
        <f>23-AC27-2</f>
        <v>18</v>
      </c>
      <c r="AD26" s="272">
        <v>16</v>
      </c>
      <c r="AE26" s="273"/>
      <c r="AF26" s="273">
        <v>34</v>
      </c>
      <c r="AG26" s="274">
        <v>34</v>
      </c>
      <c r="AH26" s="86">
        <f>39-AH27-1</f>
        <v>34.5</v>
      </c>
      <c r="AI26" s="91">
        <f>39-AI27-1</f>
        <v>34.5</v>
      </c>
      <c r="AJ26" s="91">
        <f>26-AJ27-1</f>
        <v>21.5</v>
      </c>
      <c r="AK26" s="87">
        <f>26-AK27-1</f>
        <v>21.5</v>
      </c>
      <c r="AL26" s="80"/>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328</v>
      </c>
      <c r="D27" s="76" t="s">
        <v>329</v>
      </c>
      <c r="E27" s="118">
        <v>5</v>
      </c>
      <c r="F27" s="86">
        <v>3.3</v>
      </c>
      <c r="G27" s="91">
        <v>3.3</v>
      </c>
      <c r="H27" s="91">
        <v>3.9</v>
      </c>
      <c r="I27" s="87">
        <v>3.9</v>
      </c>
      <c r="J27" s="272"/>
      <c r="K27" s="273"/>
      <c r="L27" s="273"/>
      <c r="M27" s="274"/>
      <c r="N27" s="86">
        <v>3</v>
      </c>
      <c r="O27" s="91">
        <v>3</v>
      </c>
      <c r="P27" s="91">
        <v>3</v>
      </c>
      <c r="Q27" s="87">
        <v>3</v>
      </c>
      <c r="R27" s="272"/>
      <c r="S27" s="273"/>
      <c r="T27" s="273"/>
      <c r="U27" s="274"/>
      <c r="V27" s="86">
        <v>3</v>
      </c>
      <c r="W27" s="91"/>
      <c r="X27" s="91">
        <v>3</v>
      </c>
      <c r="Y27" s="87">
        <v>3</v>
      </c>
      <c r="Z27" s="80">
        <v>3</v>
      </c>
      <c r="AA27" s="89"/>
      <c r="AB27" s="89">
        <v>3</v>
      </c>
      <c r="AC27" s="81">
        <v>3</v>
      </c>
      <c r="AD27" s="272">
        <v>4</v>
      </c>
      <c r="AE27" s="273"/>
      <c r="AF27" s="273">
        <v>4</v>
      </c>
      <c r="AG27" s="274">
        <v>4</v>
      </c>
      <c r="AH27" s="86">
        <v>3.5</v>
      </c>
      <c r="AI27" s="91">
        <v>3.5</v>
      </c>
      <c r="AJ27" s="91">
        <v>3.5</v>
      </c>
      <c r="AK27" s="87">
        <v>3.5</v>
      </c>
      <c r="AL27" s="80"/>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160</v>
      </c>
      <c r="D28" s="76" t="s">
        <v>161</v>
      </c>
      <c r="E28" s="118">
        <v>100</v>
      </c>
      <c r="F28" s="80">
        <v>90</v>
      </c>
      <c r="G28" s="89">
        <f>F28</f>
        <v>90</v>
      </c>
      <c r="H28" s="89">
        <f>F28</f>
        <v>90</v>
      </c>
      <c r="I28" s="81">
        <f>F28</f>
        <v>90</v>
      </c>
      <c r="J28" s="272"/>
      <c r="K28" s="273"/>
      <c r="L28" s="273"/>
      <c r="M28" s="274"/>
      <c r="N28" s="80">
        <v>90</v>
      </c>
      <c r="O28" s="89">
        <v>90</v>
      </c>
      <c r="P28" s="89">
        <v>90</v>
      </c>
      <c r="Q28" s="81">
        <v>90</v>
      </c>
      <c r="R28" s="272"/>
      <c r="S28" s="273"/>
      <c r="T28" s="273"/>
      <c r="U28" s="274"/>
      <c r="V28" s="80">
        <v>69</v>
      </c>
      <c r="W28" s="89"/>
      <c r="X28" s="89">
        <v>69</v>
      </c>
      <c r="Y28" s="81">
        <v>69</v>
      </c>
      <c r="Z28" s="80">
        <v>75</v>
      </c>
      <c r="AA28" s="89"/>
      <c r="AB28" s="89">
        <v>75</v>
      </c>
      <c r="AC28" s="81">
        <v>75</v>
      </c>
      <c r="AD28" s="272">
        <v>58</v>
      </c>
      <c r="AE28" s="273"/>
      <c r="AF28" s="273">
        <v>58</v>
      </c>
      <c r="AG28" s="274">
        <v>58</v>
      </c>
      <c r="AH28" s="80">
        <v>65</v>
      </c>
      <c r="AI28" s="89">
        <v>65</v>
      </c>
      <c r="AJ28" s="89">
        <v>65</v>
      </c>
      <c r="AK28" s="81">
        <v>65</v>
      </c>
      <c r="AL28" s="80"/>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162</v>
      </c>
      <c r="D29" s="139" t="s">
        <v>164</v>
      </c>
      <c r="E29" s="118">
        <v>45</v>
      </c>
      <c r="F29" s="80">
        <f>F26</f>
        <v>31.700000000000003</v>
      </c>
      <c r="G29" s="89">
        <f>G26</f>
        <v>31.700000000000003</v>
      </c>
      <c r="H29" s="89">
        <f>H26</f>
        <v>31.1</v>
      </c>
      <c r="I29" s="81">
        <f>I26</f>
        <v>31.1</v>
      </c>
      <c r="J29" s="272"/>
      <c r="K29" s="273"/>
      <c r="L29" s="273"/>
      <c r="M29" s="274"/>
      <c r="N29" s="80">
        <f>N26</f>
        <v>24</v>
      </c>
      <c r="O29" s="89">
        <f>O26</f>
        <v>24</v>
      </c>
      <c r="P29" s="89">
        <f>P26</f>
        <v>29</v>
      </c>
      <c r="Q29" s="81">
        <f>Q26</f>
        <v>56</v>
      </c>
      <c r="R29" s="272"/>
      <c r="S29" s="273"/>
      <c r="T29" s="273"/>
      <c r="U29" s="274"/>
      <c r="V29" s="80">
        <f>V26</f>
        <v>6</v>
      </c>
      <c r="W29" s="89"/>
      <c r="X29" s="89">
        <f>X26</f>
        <v>32</v>
      </c>
      <c r="Y29" s="81">
        <f>Y26</f>
        <v>19</v>
      </c>
      <c r="Z29" s="80">
        <f>Z26</f>
        <v>29</v>
      </c>
      <c r="AA29" s="89"/>
      <c r="AB29" s="89">
        <f>AB26</f>
        <v>31</v>
      </c>
      <c r="AC29" s="81">
        <f>AC26</f>
        <v>18</v>
      </c>
      <c r="AD29" s="272"/>
      <c r="AE29" s="273"/>
      <c r="AF29" s="273"/>
      <c r="AG29" s="274"/>
      <c r="AH29" s="275"/>
      <c r="AI29" s="275"/>
      <c r="AJ29" s="275"/>
      <c r="AK29" s="275"/>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289</v>
      </c>
      <c r="D30" s="76" t="s">
        <v>290</v>
      </c>
      <c r="E30" s="118">
        <v>12</v>
      </c>
      <c r="F30" s="80">
        <v>12</v>
      </c>
      <c r="G30" s="89">
        <v>12</v>
      </c>
      <c r="H30" s="89">
        <v>12</v>
      </c>
      <c r="I30" s="81">
        <v>12</v>
      </c>
      <c r="J30" s="80">
        <v>12</v>
      </c>
      <c r="K30" s="89">
        <v>12</v>
      </c>
      <c r="L30" s="89">
        <v>12</v>
      </c>
      <c r="M30" s="89">
        <v>12</v>
      </c>
      <c r="N30" s="80">
        <v>12</v>
      </c>
      <c r="O30" s="89">
        <v>12</v>
      </c>
      <c r="P30" s="89">
        <v>12</v>
      </c>
      <c r="Q30" s="81">
        <v>12</v>
      </c>
      <c r="R30" s="80">
        <v>12</v>
      </c>
      <c r="S30" s="89"/>
      <c r="T30" s="89">
        <v>12</v>
      </c>
      <c r="U30" s="89">
        <v>12</v>
      </c>
      <c r="V30" s="80">
        <v>12</v>
      </c>
      <c r="W30" s="89"/>
      <c r="X30" s="89">
        <v>12</v>
      </c>
      <c r="Y30" s="89">
        <v>12</v>
      </c>
      <c r="Z30" s="80">
        <v>12</v>
      </c>
      <c r="AA30" s="89"/>
      <c r="AB30" s="89">
        <v>12</v>
      </c>
      <c r="AC30" s="89">
        <v>12</v>
      </c>
      <c r="AD30" s="80">
        <v>12</v>
      </c>
      <c r="AE30" s="89"/>
      <c r="AF30" s="89">
        <v>12</v>
      </c>
      <c r="AG30" s="89">
        <v>12</v>
      </c>
      <c r="AH30" s="80">
        <v>12</v>
      </c>
      <c r="AI30" s="89">
        <v>12</v>
      </c>
      <c r="AJ30" s="89">
        <v>12</v>
      </c>
      <c r="AK30" s="81">
        <v>12</v>
      </c>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170</v>
      </c>
      <c r="D31" s="76" t="s">
        <v>518</v>
      </c>
      <c r="E31" s="118"/>
      <c r="F31" s="80">
        <v>52</v>
      </c>
      <c r="G31" s="89">
        <v>52</v>
      </c>
      <c r="H31" s="89">
        <v>64</v>
      </c>
      <c r="I31" s="81">
        <v>64</v>
      </c>
      <c r="J31" s="80">
        <v>40</v>
      </c>
      <c r="K31" s="89"/>
      <c r="L31" s="89">
        <v>50</v>
      </c>
      <c r="M31" s="81">
        <v>50</v>
      </c>
      <c r="N31" s="80">
        <v>60</v>
      </c>
      <c r="O31" s="89">
        <v>90</v>
      </c>
      <c r="P31" s="89">
        <v>48</v>
      </c>
      <c r="Q31" s="81">
        <v>53</v>
      </c>
      <c r="R31" s="80">
        <v>28</v>
      </c>
      <c r="S31" s="89"/>
      <c r="T31" s="89">
        <v>50</v>
      </c>
      <c r="U31" s="81">
        <v>50</v>
      </c>
      <c r="V31" s="80">
        <v>74</v>
      </c>
      <c r="W31" s="89"/>
      <c r="X31" s="89">
        <v>45</v>
      </c>
      <c r="Y31" s="81">
        <v>45</v>
      </c>
      <c r="Z31" s="80">
        <v>35</v>
      </c>
      <c r="AA31" s="89"/>
      <c r="AB31" s="89">
        <v>42</v>
      </c>
      <c r="AC31" s="81">
        <v>42</v>
      </c>
      <c r="AD31" s="80">
        <v>33</v>
      </c>
      <c r="AE31" s="89"/>
      <c r="AF31" s="89">
        <v>30</v>
      </c>
      <c r="AG31" s="81">
        <v>30</v>
      </c>
      <c r="AH31" s="80">
        <v>34</v>
      </c>
      <c r="AI31" s="89">
        <v>44</v>
      </c>
      <c r="AJ31" s="89">
        <v>41</v>
      </c>
      <c r="AK31" s="81">
        <v>41</v>
      </c>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344</v>
      </c>
      <c r="D32" s="76" t="s">
        <v>519</v>
      </c>
      <c r="E32" s="118"/>
      <c r="F32" s="80">
        <f>H31</f>
        <v>64</v>
      </c>
      <c r="G32" s="89">
        <f>I31</f>
        <v>64</v>
      </c>
      <c r="H32" s="89">
        <f>F31</f>
        <v>52</v>
      </c>
      <c r="I32" s="89">
        <f>G31</f>
        <v>52</v>
      </c>
      <c r="J32" s="80">
        <f>L31</f>
        <v>50</v>
      </c>
      <c r="K32" s="89">
        <f>M31</f>
        <v>50</v>
      </c>
      <c r="L32" s="89">
        <f>J31</f>
        <v>40</v>
      </c>
      <c r="M32" s="89">
        <f>J31</f>
        <v>40</v>
      </c>
      <c r="N32" s="80">
        <f>P31</f>
        <v>48</v>
      </c>
      <c r="O32" s="89">
        <f>Q31</f>
        <v>53</v>
      </c>
      <c r="P32" s="89">
        <f>N31</f>
        <v>60</v>
      </c>
      <c r="Q32" s="89">
        <f>O31</f>
        <v>90</v>
      </c>
      <c r="R32" s="80">
        <f>T31</f>
        <v>50</v>
      </c>
      <c r="S32" s="89"/>
      <c r="T32" s="89">
        <f>R31</f>
        <v>28</v>
      </c>
      <c r="U32" s="89">
        <f>R31</f>
        <v>28</v>
      </c>
      <c r="V32" s="80">
        <f>X31</f>
        <v>45</v>
      </c>
      <c r="W32" s="89"/>
      <c r="X32" s="89">
        <f>V31</f>
        <v>74</v>
      </c>
      <c r="Y32" s="89">
        <f>V31</f>
        <v>74</v>
      </c>
      <c r="Z32" s="80">
        <f>AB31</f>
        <v>42</v>
      </c>
      <c r="AA32" s="89"/>
      <c r="AB32" s="89">
        <f>Z31</f>
        <v>35</v>
      </c>
      <c r="AC32" s="89">
        <f>Z31</f>
        <v>35</v>
      </c>
      <c r="AD32" s="80">
        <f>AF31</f>
        <v>30</v>
      </c>
      <c r="AE32" s="89"/>
      <c r="AF32" s="89">
        <f>AD31</f>
        <v>33</v>
      </c>
      <c r="AG32" s="89">
        <f>AD31</f>
        <v>33</v>
      </c>
      <c r="AH32" s="80">
        <f>AJ31</f>
        <v>41</v>
      </c>
      <c r="AI32" s="89">
        <f>AK31</f>
        <v>41</v>
      </c>
      <c r="AJ32" s="89">
        <f>AH31</f>
        <v>34</v>
      </c>
      <c r="AK32" s="89">
        <f>AI31</f>
        <v>44</v>
      </c>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c r="F33" s="86">
        <v>0</v>
      </c>
      <c r="G33" s="91">
        <v>0</v>
      </c>
      <c r="H33" s="91">
        <f>Links!F19</f>
        <v>5</v>
      </c>
      <c r="I33" s="87">
        <f>Links!G19</f>
        <v>5</v>
      </c>
      <c r="J33" s="86">
        <v>0</v>
      </c>
      <c r="K33" s="91"/>
      <c r="L33" s="91">
        <v>5</v>
      </c>
      <c r="M33" s="91">
        <v>5</v>
      </c>
      <c r="N33" s="86">
        <v>5</v>
      </c>
      <c r="O33" s="91">
        <v>0</v>
      </c>
      <c r="P33" s="91">
        <f>Links!J19</f>
        <v>5</v>
      </c>
      <c r="Q33" s="87">
        <f>Links!K19</f>
        <v>5</v>
      </c>
      <c r="R33" s="86">
        <v>0</v>
      </c>
      <c r="S33" s="91"/>
      <c r="T33" s="91">
        <v>5</v>
      </c>
      <c r="U33" s="91">
        <v>5</v>
      </c>
      <c r="V33" s="86">
        <v>0</v>
      </c>
      <c r="W33" s="91"/>
      <c r="X33" s="91">
        <v>5</v>
      </c>
      <c r="Y33" s="91">
        <v>5</v>
      </c>
      <c r="Z33" s="86">
        <v>0</v>
      </c>
      <c r="AA33" s="91"/>
      <c r="AB33" s="91">
        <v>5</v>
      </c>
      <c r="AC33" s="91">
        <v>5</v>
      </c>
      <c r="AD33" s="86">
        <v>0</v>
      </c>
      <c r="AE33" s="91"/>
      <c r="AF33" s="91">
        <v>0</v>
      </c>
      <c r="AG33" s="91">
        <v>0</v>
      </c>
      <c r="AH33" s="86">
        <v>0</v>
      </c>
      <c r="AI33" s="91">
        <v>0</v>
      </c>
      <c r="AJ33" s="91">
        <f>Links!AD19</f>
        <v>0</v>
      </c>
      <c r="AK33" s="87">
        <f>Links!AE19</f>
        <v>0</v>
      </c>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f>Links!F21</f>
        <v>12</v>
      </c>
      <c r="I34" s="87">
        <f>Links!G21</f>
        <v>12</v>
      </c>
      <c r="J34" s="86">
        <v>12</v>
      </c>
      <c r="K34" s="91"/>
      <c r="L34" s="91">
        <v>12</v>
      </c>
      <c r="M34" s="91">
        <v>12</v>
      </c>
      <c r="N34" s="86">
        <f>Links!J21</f>
        <v>12</v>
      </c>
      <c r="O34" s="91">
        <f>Links!K21</f>
        <v>12</v>
      </c>
      <c r="P34" s="91">
        <f>Links!J21</f>
        <v>12</v>
      </c>
      <c r="Q34" s="87">
        <f>Links!K21</f>
        <v>12</v>
      </c>
      <c r="R34" s="86">
        <v>12</v>
      </c>
      <c r="S34" s="91"/>
      <c r="T34" s="91">
        <f>Links!P21</f>
        <v>12</v>
      </c>
      <c r="U34" s="91">
        <f>Links!Q21</f>
        <v>12</v>
      </c>
      <c r="V34" s="86">
        <v>12</v>
      </c>
      <c r="W34" s="91"/>
      <c r="X34" s="91">
        <v>12</v>
      </c>
      <c r="Y34" s="91">
        <v>12</v>
      </c>
      <c r="Z34" s="86">
        <v>12</v>
      </c>
      <c r="AA34" s="91"/>
      <c r="AB34" s="91">
        <v>12</v>
      </c>
      <c r="AC34" s="91">
        <v>12</v>
      </c>
      <c r="AD34" s="86">
        <v>12</v>
      </c>
      <c r="AE34" s="91"/>
      <c r="AF34" s="91">
        <v>12</v>
      </c>
      <c r="AG34" s="91">
        <v>12</v>
      </c>
      <c r="AH34" s="86">
        <v>12</v>
      </c>
      <c r="AI34" s="91">
        <v>12</v>
      </c>
      <c r="AJ34" s="91">
        <v>12</v>
      </c>
      <c r="AK34" s="87">
        <v>12</v>
      </c>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0.85</v>
      </c>
      <c r="F35" s="40">
        <v>0.9</v>
      </c>
      <c r="G35" s="78">
        <v>0.9</v>
      </c>
      <c r="H35" s="78">
        <f>Links!F22</f>
        <v>0.9</v>
      </c>
      <c r="I35" s="78">
        <f>Links!G22</f>
        <v>0.9</v>
      </c>
      <c r="J35" s="40">
        <v>0.9</v>
      </c>
      <c r="K35" s="78"/>
      <c r="L35" s="78">
        <v>0.9</v>
      </c>
      <c r="M35" s="78">
        <v>0.9</v>
      </c>
      <c r="N35" s="40">
        <f>Links!J22</f>
        <v>0.9</v>
      </c>
      <c r="O35" s="78">
        <f>Links!K22</f>
        <v>0.9</v>
      </c>
      <c r="P35" s="78">
        <f>Links!J22</f>
        <v>0.9</v>
      </c>
      <c r="Q35" s="78">
        <f>Links!K22</f>
        <v>0.9</v>
      </c>
      <c r="R35" s="40">
        <v>0.9</v>
      </c>
      <c r="S35" s="78"/>
      <c r="T35" s="78">
        <f>Links!P22</f>
        <v>0.9</v>
      </c>
      <c r="U35" s="78">
        <f>Links!Q22</f>
        <v>0.9</v>
      </c>
      <c r="V35" s="40">
        <v>0.9</v>
      </c>
      <c r="W35" s="78"/>
      <c r="X35" s="78">
        <v>0.9</v>
      </c>
      <c r="Y35" s="78">
        <v>0.9</v>
      </c>
      <c r="Z35" s="40">
        <v>0.9</v>
      </c>
      <c r="AA35" s="78"/>
      <c r="AB35" s="78">
        <v>0.9</v>
      </c>
      <c r="AC35" s="78">
        <v>0.9</v>
      </c>
      <c r="AD35" s="40">
        <v>0.9</v>
      </c>
      <c r="AE35" s="78"/>
      <c r="AF35" s="78">
        <v>0.9</v>
      </c>
      <c r="AG35" s="78">
        <v>0.9</v>
      </c>
      <c r="AH35" s="40">
        <v>0.9</v>
      </c>
      <c r="AI35" s="78">
        <v>0.9</v>
      </c>
      <c r="AJ35" s="78">
        <v>0.9</v>
      </c>
      <c r="AK35" s="78">
        <v>0.9</v>
      </c>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f>Links!F23</f>
        <v>0</v>
      </c>
      <c r="I36" s="91">
        <f>Links!G23</f>
        <v>9</v>
      </c>
      <c r="J36" s="86">
        <v>9</v>
      </c>
      <c r="K36" s="91"/>
      <c r="L36" s="91">
        <v>0</v>
      </c>
      <c r="M36" s="91">
        <v>9</v>
      </c>
      <c r="N36" s="86">
        <v>9</v>
      </c>
      <c r="O36" s="91">
        <v>9</v>
      </c>
      <c r="P36" s="91">
        <v>0</v>
      </c>
      <c r="Q36" s="91">
        <v>0</v>
      </c>
      <c r="R36" s="86">
        <v>9</v>
      </c>
      <c r="S36" s="91"/>
      <c r="T36" s="91">
        <f>Links!P23</f>
        <v>9</v>
      </c>
      <c r="U36" s="91">
        <f>Links!Q23</f>
        <v>9</v>
      </c>
      <c r="V36" s="86">
        <v>9</v>
      </c>
      <c r="W36" s="91"/>
      <c r="X36" s="91">
        <v>9</v>
      </c>
      <c r="Y36" s="91">
        <v>9</v>
      </c>
      <c r="Z36" s="86">
        <v>9</v>
      </c>
      <c r="AA36" s="91"/>
      <c r="AB36" s="91">
        <v>9</v>
      </c>
      <c r="AC36" s="91">
        <v>9</v>
      </c>
      <c r="AD36" s="86">
        <v>9</v>
      </c>
      <c r="AE36" s="91"/>
      <c r="AF36" s="91">
        <v>9</v>
      </c>
      <c r="AG36" s="91">
        <v>9</v>
      </c>
      <c r="AH36" s="86">
        <v>9</v>
      </c>
      <c r="AI36" s="91">
        <v>9</v>
      </c>
      <c r="AJ36" s="91">
        <v>9</v>
      </c>
      <c r="AK36" s="91">
        <v>0</v>
      </c>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f>Links!F20</f>
        <v>0</v>
      </c>
      <c r="I37" s="91">
        <f>Links!G20</f>
        <v>0</v>
      </c>
      <c r="J37" s="91">
        <f>Links!H20</f>
        <v>0</v>
      </c>
      <c r="K37" s="91"/>
      <c r="L37" s="91">
        <v>0</v>
      </c>
      <c r="M37" s="91">
        <v>0</v>
      </c>
      <c r="N37" s="86">
        <v>0</v>
      </c>
      <c r="O37" s="91">
        <v>0</v>
      </c>
      <c r="P37" s="91">
        <v>0</v>
      </c>
      <c r="Q37" s="91">
        <v>0</v>
      </c>
      <c r="R37" s="91">
        <f>Links!P20</f>
        <v>0</v>
      </c>
      <c r="S37" s="91"/>
      <c r="T37" s="91">
        <f>Links!P20</f>
        <v>0</v>
      </c>
      <c r="U37" s="91">
        <f>Links!Q20</f>
        <v>0</v>
      </c>
      <c r="V37" s="91">
        <f>Links!T20</f>
        <v>0</v>
      </c>
      <c r="W37" s="91"/>
      <c r="X37" s="91">
        <f>Links!T20</f>
        <v>0</v>
      </c>
      <c r="Y37" s="91">
        <f>Links!U20</f>
        <v>0</v>
      </c>
      <c r="Z37" s="91">
        <f>Links!X20</f>
        <v>0</v>
      </c>
      <c r="AA37" s="91"/>
      <c r="AB37" s="91">
        <f>Links!X20</f>
        <v>0</v>
      </c>
      <c r="AC37" s="91">
        <f>Links!Y20</f>
        <v>0</v>
      </c>
      <c r="AD37" s="91">
        <f>Links!AB20</f>
        <v>0</v>
      </c>
      <c r="AE37" s="91"/>
      <c r="AF37" s="91">
        <f>Links!AB20</f>
        <v>0</v>
      </c>
      <c r="AG37" s="91">
        <f>Links!AC20</f>
        <v>0</v>
      </c>
      <c r="AH37" s="86">
        <v>0</v>
      </c>
      <c r="AI37" s="91">
        <v>0</v>
      </c>
      <c r="AJ37" s="91">
        <v>0</v>
      </c>
      <c r="AK37" s="91">
        <v>0</v>
      </c>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323</v>
      </c>
      <c r="D38" s="76" t="s">
        <v>320</v>
      </c>
      <c r="E38" s="122">
        <v>0.5</v>
      </c>
      <c r="F38" s="91">
        <v>0.5</v>
      </c>
      <c r="G38" s="91">
        <v>0.5</v>
      </c>
      <c r="H38" s="91">
        <v>0.5</v>
      </c>
      <c r="I38" s="91">
        <v>0.5</v>
      </c>
      <c r="J38" s="91">
        <v>0.5</v>
      </c>
      <c r="K38" s="91"/>
      <c r="L38" s="91">
        <v>0.5</v>
      </c>
      <c r="M38" s="91">
        <v>0.5</v>
      </c>
      <c r="N38" s="86">
        <v>0.5</v>
      </c>
      <c r="O38" s="91">
        <v>0.5</v>
      </c>
      <c r="P38" s="91">
        <v>0.5</v>
      </c>
      <c r="Q38" s="91">
        <v>0.5</v>
      </c>
      <c r="R38" s="91">
        <v>0.5</v>
      </c>
      <c r="S38" s="91"/>
      <c r="T38" s="91">
        <v>0.5</v>
      </c>
      <c r="U38" s="91">
        <v>0.5</v>
      </c>
      <c r="V38" s="91">
        <v>0.5</v>
      </c>
      <c r="W38" s="91"/>
      <c r="X38" s="91">
        <v>0.1</v>
      </c>
      <c r="Y38" s="91">
        <v>0.1</v>
      </c>
      <c r="Z38" s="91">
        <v>0.5</v>
      </c>
      <c r="AA38" s="91"/>
      <c r="AB38" s="91">
        <v>0.1</v>
      </c>
      <c r="AC38" s="91">
        <v>0.1</v>
      </c>
      <c r="AD38" s="91">
        <v>0.5</v>
      </c>
      <c r="AE38" s="91"/>
      <c r="AF38" s="91">
        <v>0.1</v>
      </c>
      <c r="AG38" s="91">
        <v>0.1</v>
      </c>
      <c r="AH38" s="86">
        <v>0.5</v>
      </c>
      <c r="AI38" s="91">
        <v>0.5</v>
      </c>
      <c r="AJ38" s="91">
        <v>0.5</v>
      </c>
      <c r="AK38" s="91">
        <v>0.5</v>
      </c>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322</v>
      </c>
      <c r="D39" s="76" t="s">
        <v>321</v>
      </c>
      <c r="E39" s="122">
        <v>0.1</v>
      </c>
      <c r="F39" s="91">
        <v>0.1</v>
      </c>
      <c r="G39" s="91">
        <v>0.1</v>
      </c>
      <c r="H39" s="91">
        <v>0.1</v>
      </c>
      <c r="I39" s="91">
        <v>0.1</v>
      </c>
      <c r="J39" s="91">
        <v>0.1</v>
      </c>
      <c r="K39" s="91"/>
      <c r="L39" s="91">
        <v>0.1</v>
      </c>
      <c r="M39" s="91">
        <v>0.1</v>
      </c>
      <c r="N39" s="86">
        <v>0.1</v>
      </c>
      <c r="O39" s="91">
        <v>0.1</v>
      </c>
      <c r="P39" s="91">
        <v>0.1</v>
      </c>
      <c r="Q39" s="91">
        <v>0.1</v>
      </c>
      <c r="R39" s="91">
        <v>0.1</v>
      </c>
      <c r="S39" s="91"/>
      <c r="T39" s="91">
        <v>0.1</v>
      </c>
      <c r="U39" s="91">
        <v>0.1</v>
      </c>
      <c r="V39" s="91">
        <v>0.1</v>
      </c>
      <c r="W39" s="91"/>
      <c r="X39" s="91">
        <v>0.1</v>
      </c>
      <c r="Y39" s="91">
        <v>0.1</v>
      </c>
      <c r="Z39" s="91">
        <v>0.1</v>
      </c>
      <c r="AA39" s="91"/>
      <c r="AB39" s="91">
        <v>0.1</v>
      </c>
      <c r="AC39" s="91">
        <v>0.1</v>
      </c>
      <c r="AD39" s="91">
        <v>0.1</v>
      </c>
      <c r="AE39" s="91"/>
      <c r="AF39" s="91">
        <v>0.1</v>
      </c>
      <c r="AG39" s="91">
        <v>0.1</v>
      </c>
      <c r="AH39" s="86">
        <v>0.1</v>
      </c>
      <c r="AI39" s="91">
        <v>0.1</v>
      </c>
      <c r="AJ39" s="91">
        <v>0.1</v>
      </c>
      <c r="AK39" s="91">
        <v>0.1</v>
      </c>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316</v>
      </c>
      <c r="D40" s="76" t="s">
        <v>317</v>
      </c>
      <c r="E40" s="122">
        <v>10</v>
      </c>
      <c r="F40" s="91">
        <v>10</v>
      </c>
      <c r="G40" s="91">
        <v>10</v>
      </c>
      <c r="H40" s="91">
        <v>10</v>
      </c>
      <c r="I40" s="91">
        <v>10</v>
      </c>
      <c r="J40" s="91">
        <v>10</v>
      </c>
      <c r="K40" s="91"/>
      <c r="L40" s="91">
        <v>10</v>
      </c>
      <c r="M40" s="91">
        <v>10</v>
      </c>
      <c r="N40" s="86">
        <v>10</v>
      </c>
      <c r="O40" s="91">
        <v>10</v>
      </c>
      <c r="P40" s="91">
        <v>10</v>
      </c>
      <c r="Q40" s="91">
        <v>10</v>
      </c>
      <c r="R40" s="91">
        <v>10</v>
      </c>
      <c r="S40" s="91"/>
      <c r="T40" s="91">
        <v>10</v>
      </c>
      <c r="U40" s="91">
        <v>10</v>
      </c>
      <c r="V40" s="91">
        <v>10</v>
      </c>
      <c r="W40" s="91"/>
      <c r="X40" s="91">
        <v>10</v>
      </c>
      <c r="Y40" s="91">
        <v>10</v>
      </c>
      <c r="Z40" s="91">
        <v>10</v>
      </c>
      <c r="AA40" s="91"/>
      <c r="AB40" s="91">
        <v>10</v>
      </c>
      <c r="AC40" s="91">
        <v>10</v>
      </c>
      <c r="AD40" s="91">
        <v>10</v>
      </c>
      <c r="AE40" s="91"/>
      <c r="AF40" s="91">
        <v>10</v>
      </c>
      <c r="AG40" s="91">
        <v>10</v>
      </c>
      <c r="AH40" s="86">
        <v>10</v>
      </c>
      <c r="AI40" s="91">
        <v>10</v>
      </c>
      <c r="AJ40" s="91">
        <v>10</v>
      </c>
      <c r="AK40" s="91">
        <v>10</v>
      </c>
      <c r="AL40" s="86"/>
      <c r="AM40" s="91"/>
      <c r="AN40" s="91"/>
      <c r="AO40" s="87"/>
      <c r="AP40" s="86"/>
      <c r="AQ40" s="91"/>
      <c r="AR40" s="91"/>
      <c r="AS40" s="87"/>
      <c r="AT40" s="86"/>
      <c r="AU40" s="91"/>
      <c r="AV40" s="91"/>
      <c r="AW40" s="87"/>
      <c r="AX40" s="86"/>
      <c r="AY40" s="91"/>
      <c r="AZ40" s="91"/>
      <c r="BA40" s="87"/>
      <c r="BB40" s="86"/>
      <c r="BC40" s="91"/>
      <c r="BD40" s="91"/>
      <c r="BE40" s="87"/>
      <c r="BF40" s="86"/>
      <c r="BG40" s="91"/>
      <c r="BH40" s="91"/>
      <c r="BI40" s="87"/>
      <c r="BJ40" s="86"/>
      <c r="BK40" s="91"/>
      <c r="BL40" s="91"/>
      <c r="BM40" s="87"/>
      <c r="BN40" s="86"/>
      <c r="BO40" s="91"/>
      <c r="BP40" s="91"/>
      <c r="BQ40" s="87"/>
      <c r="BR40" s="86"/>
      <c r="BS40" s="91"/>
      <c r="BT40" s="91"/>
      <c r="BU40" s="87"/>
      <c r="BV40" s="86"/>
      <c r="BW40" s="91"/>
      <c r="BX40" s="91"/>
      <c r="BY40" s="87"/>
      <c r="BZ40" s="86"/>
      <c r="CA40" s="91"/>
      <c r="CB40" s="91"/>
      <c r="CC40" s="87"/>
      <c r="CD40" s="86"/>
      <c r="CE40" s="91"/>
      <c r="CF40" s="91"/>
      <c r="CG40" s="87"/>
      <c r="CH40" s="86"/>
      <c r="CI40" s="91"/>
      <c r="CJ40" s="91"/>
      <c r="CK40" s="87"/>
      <c r="CL40" s="49"/>
      <c r="CM40" s="56"/>
    </row>
    <row r="41" spans="1:91" ht="14.25" x14ac:dyDescent="0.25">
      <c r="B41" s="55"/>
      <c r="C41" s="9" t="s">
        <v>318</v>
      </c>
      <c r="D41" s="76" t="s">
        <v>319</v>
      </c>
      <c r="E41" s="122">
        <v>3</v>
      </c>
      <c r="F41" s="91">
        <v>3</v>
      </c>
      <c r="G41" s="91">
        <v>3</v>
      </c>
      <c r="H41" s="91">
        <v>3</v>
      </c>
      <c r="I41" s="91">
        <v>3</v>
      </c>
      <c r="J41" s="91">
        <v>3</v>
      </c>
      <c r="K41" s="91"/>
      <c r="L41" s="91">
        <v>3</v>
      </c>
      <c r="M41" s="91">
        <v>3</v>
      </c>
      <c r="N41" s="86">
        <v>3</v>
      </c>
      <c r="O41" s="91">
        <v>3</v>
      </c>
      <c r="P41" s="91">
        <v>3</v>
      </c>
      <c r="Q41" s="91">
        <v>3</v>
      </c>
      <c r="R41" s="91">
        <v>3</v>
      </c>
      <c r="S41" s="91"/>
      <c r="T41" s="91">
        <v>3</v>
      </c>
      <c r="U41" s="91">
        <v>3</v>
      </c>
      <c r="V41" s="91">
        <v>3</v>
      </c>
      <c r="W41" s="91"/>
      <c r="X41" s="91">
        <v>3</v>
      </c>
      <c r="Y41" s="91">
        <v>3</v>
      </c>
      <c r="Z41" s="91">
        <v>3</v>
      </c>
      <c r="AA41" s="91"/>
      <c r="AB41" s="91">
        <v>3</v>
      </c>
      <c r="AC41" s="91">
        <v>3</v>
      </c>
      <c r="AD41" s="91">
        <v>3</v>
      </c>
      <c r="AE41" s="91"/>
      <c r="AF41" s="91">
        <v>3</v>
      </c>
      <c r="AG41" s="91">
        <v>3</v>
      </c>
      <c r="AH41" s="86">
        <v>3</v>
      </c>
      <c r="AI41" s="91">
        <v>3</v>
      </c>
      <c r="AJ41" s="91">
        <v>3</v>
      </c>
      <c r="AK41" s="91">
        <v>3</v>
      </c>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s="237" customFormat="1" x14ac:dyDescent="0.25">
      <c r="A42" s="232"/>
      <c r="B42" s="233"/>
      <c r="C42" s="9"/>
      <c r="D42" s="76" t="s">
        <v>265</v>
      </c>
      <c r="E42" s="122" t="s">
        <v>267</v>
      </c>
      <c r="F42" s="234" t="s">
        <v>266</v>
      </c>
      <c r="G42" s="234" t="s">
        <v>266</v>
      </c>
      <c r="H42" s="234" t="s">
        <v>266</v>
      </c>
      <c r="I42" s="234" t="s">
        <v>266</v>
      </c>
      <c r="J42" s="234" t="s">
        <v>529</v>
      </c>
      <c r="K42" s="234"/>
      <c r="L42" s="234" t="s">
        <v>268</v>
      </c>
      <c r="M42" s="234" t="s">
        <v>268</v>
      </c>
      <c r="N42" s="271" t="s">
        <v>266</v>
      </c>
      <c r="O42" s="234" t="s">
        <v>266</v>
      </c>
      <c r="P42" s="234" t="s">
        <v>266</v>
      </c>
      <c r="Q42" s="234" t="s">
        <v>266</v>
      </c>
      <c r="R42" s="234" t="s">
        <v>529</v>
      </c>
      <c r="S42" s="234"/>
      <c r="T42" s="234" t="s">
        <v>268</v>
      </c>
      <c r="U42" s="234" t="s">
        <v>268</v>
      </c>
      <c r="V42" s="234" t="s">
        <v>266</v>
      </c>
      <c r="W42" s="234"/>
      <c r="X42" s="234" t="s">
        <v>266</v>
      </c>
      <c r="Y42" s="234" t="s">
        <v>266</v>
      </c>
      <c r="Z42" s="234" t="s">
        <v>266</v>
      </c>
      <c r="AA42" s="234"/>
      <c r="AB42" s="234" t="s">
        <v>266</v>
      </c>
      <c r="AC42" s="234" t="s">
        <v>266</v>
      </c>
      <c r="AD42" s="234" t="s">
        <v>266</v>
      </c>
      <c r="AE42" s="234"/>
      <c r="AF42" s="234" t="s">
        <v>266</v>
      </c>
      <c r="AG42" s="234" t="s">
        <v>266</v>
      </c>
      <c r="AH42" s="271" t="s">
        <v>266</v>
      </c>
      <c r="AI42" s="234" t="s">
        <v>266</v>
      </c>
      <c r="AJ42" s="234" t="s">
        <v>266</v>
      </c>
      <c r="AK42" s="234" t="s">
        <v>266</v>
      </c>
      <c r="AL42" s="234"/>
      <c r="AM42" s="234"/>
      <c r="AN42" s="234"/>
      <c r="AO42" s="234"/>
      <c r="AP42" s="234"/>
      <c r="AQ42" s="234"/>
      <c r="AR42" s="234"/>
      <c r="AS42" s="234"/>
      <c r="AT42" s="234"/>
      <c r="AU42" s="234"/>
      <c r="AV42" s="234"/>
      <c r="AW42" s="234"/>
      <c r="AX42" s="234"/>
      <c r="AY42" s="234"/>
      <c r="AZ42" s="234"/>
      <c r="BA42" s="234"/>
      <c r="BB42" s="234"/>
      <c r="BC42" s="234"/>
      <c r="BD42" s="234"/>
      <c r="BE42" s="234"/>
      <c r="BF42" s="234"/>
      <c r="BG42" s="234"/>
      <c r="BH42" s="234"/>
      <c r="BI42" s="234"/>
      <c r="BJ42" s="234"/>
      <c r="BK42" s="234"/>
      <c r="BL42" s="234"/>
      <c r="BM42" s="234"/>
      <c r="BN42" s="234"/>
      <c r="BO42" s="234"/>
      <c r="BP42" s="234"/>
      <c r="BQ42" s="234"/>
      <c r="BR42" s="234"/>
      <c r="BS42" s="234"/>
      <c r="BT42" s="234"/>
      <c r="BU42" s="234"/>
      <c r="BV42" s="234"/>
      <c r="BW42" s="234"/>
      <c r="BX42" s="234"/>
      <c r="BY42" s="234"/>
      <c r="BZ42" s="234"/>
      <c r="CA42" s="234"/>
      <c r="CB42" s="234"/>
      <c r="CC42" s="234"/>
      <c r="CD42" s="234"/>
      <c r="CE42" s="234"/>
      <c r="CF42" s="234"/>
      <c r="CG42" s="234"/>
      <c r="CH42" s="234"/>
      <c r="CI42" s="234"/>
      <c r="CJ42" s="234"/>
      <c r="CK42" s="234"/>
      <c r="CL42" s="235"/>
      <c r="CM42" s="236"/>
    </row>
    <row r="43" spans="1:91" x14ac:dyDescent="0.25">
      <c r="B43" s="55"/>
      <c r="C43" s="9"/>
      <c r="D43" s="76" t="s">
        <v>172</v>
      </c>
      <c r="E43" s="119" t="s">
        <v>74</v>
      </c>
      <c r="F43" s="40" t="s">
        <v>74</v>
      </c>
      <c r="G43" s="78" t="s">
        <v>74</v>
      </c>
      <c r="H43" s="78" t="s">
        <v>74</v>
      </c>
      <c r="I43" s="41" t="s">
        <v>74</v>
      </c>
      <c r="J43" s="78" t="s">
        <v>74</v>
      </c>
      <c r="K43" s="78"/>
      <c r="L43" s="78" t="s">
        <v>74</v>
      </c>
      <c r="M43" s="41" t="s">
        <v>74</v>
      </c>
      <c r="N43" s="40" t="s">
        <v>74</v>
      </c>
      <c r="O43" s="78" t="s">
        <v>74</v>
      </c>
      <c r="P43" s="78" t="s">
        <v>74</v>
      </c>
      <c r="Q43" s="41" t="s">
        <v>74</v>
      </c>
      <c r="R43" s="78" t="s">
        <v>74</v>
      </c>
      <c r="S43" s="78"/>
      <c r="T43" s="78" t="s">
        <v>74</v>
      </c>
      <c r="U43" s="41" t="s">
        <v>74</v>
      </c>
      <c r="V43" s="78" t="s">
        <v>74</v>
      </c>
      <c r="W43" s="78"/>
      <c r="X43" s="78" t="s">
        <v>74</v>
      </c>
      <c r="Y43" s="41" t="s">
        <v>74</v>
      </c>
      <c r="Z43" s="78" t="s">
        <v>74</v>
      </c>
      <c r="AA43" s="78"/>
      <c r="AB43" s="78" t="s">
        <v>74</v>
      </c>
      <c r="AC43" s="41" t="s">
        <v>74</v>
      </c>
      <c r="AD43" s="78" t="s">
        <v>74</v>
      </c>
      <c r="AE43" s="78"/>
      <c r="AF43" s="78" t="s">
        <v>74</v>
      </c>
      <c r="AG43" s="41" t="s">
        <v>74</v>
      </c>
      <c r="AH43" s="40" t="s">
        <v>74</v>
      </c>
      <c r="AI43" s="78" t="s">
        <v>74</v>
      </c>
      <c r="AJ43" s="78" t="s">
        <v>74</v>
      </c>
      <c r="AK43" s="41" t="s">
        <v>74</v>
      </c>
      <c r="AL43" s="40"/>
      <c r="AM43" s="78"/>
      <c r="AN43" s="78"/>
      <c r="AO43" s="41"/>
      <c r="AP43" s="40"/>
      <c r="AQ43" s="78"/>
      <c r="AR43" s="78"/>
      <c r="AS43" s="41"/>
      <c r="AT43" s="40"/>
      <c r="AU43" s="78"/>
      <c r="AV43" s="78"/>
      <c r="AW43" s="41"/>
      <c r="AX43" s="40"/>
      <c r="AY43" s="78"/>
      <c r="AZ43" s="78"/>
      <c r="BA43" s="41"/>
      <c r="BB43" s="40"/>
      <c r="BC43" s="78"/>
      <c r="BD43" s="78"/>
      <c r="BE43" s="41"/>
      <c r="BF43" s="40"/>
      <c r="BG43" s="78"/>
      <c r="BH43" s="78"/>
      <c r="BI43" s="41"/>
      <c r="BJ43" s="40"/>
      <c r="BK43" s="78"/>
      <c r="BL43" s="78"/>
      <c r="BM43" s="41"/>
      <c r="BN43" s="40"/>
      <c r="BO43" s="78"/>
      <c r="BP43" s="78"/>
      <c r="BQ43" s="41"/>
      <c r="BR43" s="40"/>
      <c r="BS43" s="78"/>
      <c r="BT43" s="78"/>
      <c r="BU43" s="41"/>
      <c r="BV43" s="40"/>
      <c r="BW43" s="78"/>
      <c r="BX43" s="78"/>
      <c r="BY43" s="41"/>
      <c r="BZ43" s="40"/>
      <c r="CA43" s="78"/>
      <c r="CB43" s="78"/>
      <c r="CC43" s="41"/>
      <c r="CD43" s="40"/>
      <c r="CE43" s="78"/>
      <c r="CF43" s="78"/>
      <c r="CG43" s="41"/>
      <c r="CH43" s="40"/>
      <c r="CI43" s="78"/>
      <c r="CJ43" s="78"/>
      <c r="CK43" s="41"/>
      <c r="CL43" s="49"/>
      <c r="CM43" s="28"/>
    </row>
    <row r="44" spans="1:91" ht="15.75" x14ac:dyDescent="0.25">
      <c r="B44" s="55"/>
      <c r="C44" s="9"/>
      <c r="D44" s="107" t="s">
        <v>228</v>
      </c>
      <c r="E44" s="119" t="s">
        <v>74</v>
      </c>
      <c r="F44" s="40" t="s">
        <v>74</v>
      </c>
      <c r="G44" s="78" t="s">
        <v>74</v>
      </c>
      <c r="H44" s="78" t="s">
        <v>74</v>
      </c>
      <c r="I44" s="41" t="s">
        <v>74</v>
      </c>
      <c r="J44" s="40" t="s">
        <v>74</v>
      </c>
      <c r="K44" s="78"/>
      <c r="L44" s="78" t="s">
        <v>74</v>
      </c>
      <c r="M44" s="41" t="s">
        <v>74</v>
      </c>
      <c r="N44" s="40" t="s">
        <v>74</v>
      </c>
      <c r="O44" s="78" t="s">
        <v>74</v>
      </c>
      <c r="P44" s="78" t="s">
        <v>74</v>
      </c>
      <c r="Q44" s="41" t="s">
        <v>74</v>
      </c>
      <c r="R44" s="40" t="s">
        <v>74</v>
      </c>
      <c r="S44" s="78"/>
      <c r="T44" s="78" t="s">
        <v>74</v>
      </c>
      <c r="U44" s="41" t="s">
        <v>74</v>
      </c>
      <c r="V44" s="40" t="s">
        <v>74</v>
      </c>
      <c r="W44" s="78"/>
      <c r="X44" s="78" t="s">
        <v>74</v>
      </c>
      <c r="Y44" s="41" t="s">
        <v>74</v>
      </c>
      <c r="Z44" s="40" t="s">
        <v>74</v>
      </c>
      <c r="AA44" s="78"/>
      <c r="AB44" s="78" t="s">
        <v>74</v>
      </c>
      <c r="AC44" s="41" t="s">
        <v>74</v>
      </c>
      <c r="AD44" s="40" t="s">
        <v>74</v>
      </c>
      <c r="AE44" s="78"/>
      <c r="AF44" s="78" t="s">
        <v>74</v>
      </c>
      <c r="AG44" s="41" t="s">
        <v>74</v>
      </c>
      <c r="AH44" s="40" t="s">
        <v>74</v>
      </c>
      <c r="AI44" s="78" t="s">
        <v>74</v>
      </c>
      <c r="AJ44" s="78" t="s">
        <v>74</v>
      </c>
      <c r="AK44" s="41" t="s">
        <v>74</v>
      </c>
      <c r="AL44" s="40"/>
      <c r="AM44" s="78"/>
      <c r="AN44" s="78"/>
      <c r="AO44" s="41"/>
      <c r="AP44" s="40"/>
      <c r="AQ44" s="78"/>
      <c r="AR44" s="78"/>
      <c r="AS44" s="41"/>
      <c r="AT44" s="40"/>
      <c r="AU44" s="78"/>
      <c r="AV44" s="78"/>
      <c r="AW44" s="41"/>
      <c r="AX44" s="40"/>
      <c r="AY44" s="78"/>
      <c r="AZ44" s="78"/>
      <c r="BA44" s="41"/>
      <c r="BB44" s="40"/>
      <c r="BC44" s="78"/>
      <c r="BD44" s="78"/>
      <c r="BE44" s="41"/>
      <c r="BF44" s="40"/>
      <c r="BG44" s="78"/>
      <c r="BH44" s="78"/>
      <c r="BI44" s="41"/>
      <c r="BJ44" s="40"/>
      <c r="BK44" s="78"/>
      <c r="BL44" s="78"/>
      <c r="BM44" s="41"/>
      <c r="BN44" s="40"/>
      <c r="BO44" s="78"/>
      <c r="BP44" s="78"/>
      <c r="BQ44" s="41"/>
      <c r="BR44" s="40"/>
      <c r="BS44" s="78"/>
      <c r="BT44" s="78"/>
      <c r="BU44" s="41"/>
      <c r="BV44" s="40"/>
      <c r="BW44" s="78"/>
      <c r="BX44" s="78"/>
      <c r="BY44" s="41"/>
      <c r="BZ44" s="40"/>
      <c r="CA44" s="78"/>
      <c r="CB44" s="78"/>
      <c r="CC44" s="41"/>
      <c r="CD44" s="40"/>
      <c r="CE44" s="78"/>
      <c r="CF44" s="78"/>
      <c r="CG44" s="41"/>
      <c r="CH44" s="40"/>
      <c r="CI44" s="78"/>
      <c r="CJ44" s="78"/>
      <c r="CK44" s="41"/>
      <c r="CL44" s="49"/>
      <c r="CM44" s="28"/>
    </row>
    <row r="45" spans="1:91" x14ac:dyDescent="0.25">
      <c r="B45" s="55"/>
      <c r="C45" s="37"/>
      <c r="D45" s="60"/>
      <c r="E45" s="11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28"/>
    </row>
    <row r="46" spans="1:91" x14ac:dyDescent="0.25">
      <c r="A46" s="22"/>
      <c r="B46" s="61"/>
      <c r="C46" s="280" t="s">
        <v>24</v>
      </c>
      <c r="D46" s="281"/>
      <c r="E46" s="133"/>
      <c r="F46" s="280"/>
      <c r="G46" s="281"/>
      <c r="H46" s="281"/>
      <c r="I46" s="301"/>
      <c r="J46" s="280"/>
      <c r="K46" s="281"/>
      <c r="L46" s="281"/>
      <c r="M46" s="301"/>
      <c r="N46" s="280"/>
      <c r="O46" s="281"/>
      <c r="P46" s="281"/>
      <c r="Q46" s="301"/>
      <c r="R46" s="280"/>
      <c r="S46" s="281"/>
      <c r="T46" s="281"/>
      <c r="U46" s="301"/>
      <c r="V46" s="280"/>
      <c r="W46" s="281"/>
      <c r="X46" s="281"/>
      <c r="Y46" s="301"/>
      <c r="Z46" s="280"/>
      <c r="AA46" s="281"/>
      <c r="AB46" s="281"/>
      <c r="AC46" s="301"/>
      <c r="AD46" s="280"/>
      <c r="AE46" s="281"/>
      <c r="AF46" s="281"/>
      <c r="AG46" s="301"/>
      <c r="AH46" s="280"/>
      <c r="AI46" s="281"/>
      <c r="AJ46" s="281"/>
      <c r="AK46" s="301"/>
      <c r="AL46" s="280"/>
      <c r="AM46" s="281"/>
      <c r="AN46" s="281"/>
      <c r="AO46" s="301"/>
      <c r="AP46" s="280"/>
      <c r="AQ46" s="281"/>
      <c r="AR46" s="281"/>
      <c r="AS46" s="301"/>
      <c r="AT46" s="280"/>
      <c r="AU46" s="281"/>
      <c r="AV46" s="281"/>
      <c r="AW46" s="301"/>
      <c r="AX46" s="280"/>
      <c r="AY46" s="281"/>
      <c r="AZ46" s="281"/>
      <c r="BA46" s="301"/>
      <c r="BB46" s="280"/>
      <c r="BC46" s="281"/>
      <c r="BD46" s="281"/>
      <c r="BE46" s="301"/>
      <c r="BF46" s="280"/>
      <c r="BG46" s="281"/>
      <c r="BH46" s="281"/>
      <c r="BI46" s="301"/>
      <c r="BJ46" s="280"/>
      <c r="BK46" s="281"/>
      <c r="BL46" s="281"/>
      <c r="BM46" s="301"/>
      <c r="BN46" s="280"/>
      <c r="BO46" s="281"/>
      <c r="BP46" s="281"/>
      <c r="BQ46" s="301"/>
      <c r="BR46" s="280"/>
      <c r="BS46" s="281"/>
      <c r="BT46" s="281"/>
      <c r="BU46" s="301"/>
      <c r="BV46" s="280"/>
      <c r="BW46" s="281"/>
      <c r="BX46" s="281"/>
      <c r="BY46" s="301"/>
      <c r="BZ46" s="280"/>
      <c r="CA46" s="281"/>
      <c r="CB46" s="281"/>
      <c r="CC46" s="301"/>
      <c r="CD46" s="280"/>
      <c r="CE46" s="281"/>
      <c r="CF46" s="281"/>
      <c r="CG46" s="301"/>
      <c r="CH46" s="280"/>
      <c r="CI46" s="281"/>
      <c r="CJ46" s="281"/>
      <c r="CK46" s="301"/>
      <c r="CL46" s="49"/>
      <c r="CM46" s="28"/>
    </row>
    <row r="47" spans="1:91" ht="15.75" x14ac:dyDescent="0.25">
      <c r="B47" s="55"/>
      <c r="C47" s="4"/>
      <c r="D47" s="77" t="s">
        <v>226</v>
      </c>
      <c r="E47" s="134"/>
      <c r="F47" s="4"/>
      <c r="G47" s="19"/>
      <c r="H47" s="19"/>
      <c r="I47" s="5"/>
      <c r="J47" s="4"/>
      <c r="K47" s="19"/>
      <c r="L47" s="19"/>
      <c r="M47" s="5"/>
      <c r="N47" s="4"/>
      <c r="O47" s="19"/>
      <c r="P47" s="19"/>
      <c r="Q47" s="5"/>
      <c r="R47" s="4"/>
      <c r="S47" s="19"/>
      <c r="T47" s="19"/>
      <c r="U47" s="5"/>
      <c r="V47" s="4"/>
      <c r="W47" s="19"/>
      <c r="X47" s="19"/>
      <c r="Y47" s="5"/>
      <c r="Z47" s="4"/>
      <c r="AA47" s="19"/>
      <c r="AB47" s="19"/>
      <c r="AC47" s="5"/>
      <c r="AD47" s="4"/>
      <c r="AE47" s="19"/>
      <c r="AF47" s="19"/>
      <c r="AG47" s="5"/>
      <c r="AH47" s="4"/>
      <c r="AI47" s="19"/>
      <c r="AJ47" s="19"/>
      <c r="AK47" s="5"/>
      <c r="AL47" s="4"/>
      <c r="AM47" s="19"/>
      <c r="AN47" s="19"/>
      <c r="AO47" s="5"/>
      <c r="AP47" s="4"/>
      <c r="AQ47" s="19"/>
      <c r="AR47" s="19"/>
      <c r="AS47" s="5"/>
      <c r="AT47" s="4"/>
      <c r="AU47" s="19"/>
      <c r="AV47" s="19"/>
      <c r="AW47" s="5"/>
      <c r="AX47" s="4"/>
      <c r="AY47" s="19"/>
      <c r="AZ47" s="19"/>
      <c r="BA47" s="5"/>
      <c r="BB47" s="4"/>
      <c r="BC47" s="19"/>
      <c r="BD47" s="19"/>
      <c r="BE47" s="5"/>
      <c r="BF47" s="4"/>
      <c r="BG47" s="19"/>
      <c r="BH47" s="19"/>
      <c r="BI47" s="5"/>
      <c r="BJ47" s="4"/>
      <c r="BK47" s="19"/>
      <c r="BL47" s="19"/>
      <c r="BM47" s="5"/>
      <c r="BN47" s="4"/>
      <c r="BO47" s="19"/>
      <c r="BP47" s="19"/>
      <c r="BQ47" s="5"/>
      <c r="BR47" s="4"/>
      <c r="BS47" s="19"/>
      <c r="BT47" s="19"/>
      <c r="BU47" s="5"/>
      <c r="BV47" s="4"/>
      <c r="BW47" s="19"/>
      <c r="BX47" s="19"/>
      <c r="BY47" s="5"/>
      <c r="BZ47" s="4"/>
      <c r="CA47" s="19"/>
      <c r="CB47" s="19"/>
      <c r="CC47" s="5"/>
      <c r="CD47" s="4"/>
      <c r="CE47" s="19"/>
      <c r="CF47" s="19"/>
      <c r="CG47" s="5"/>
      <c r="CH47" s="4"/>
      <c r="CI47" s="19"/>
      <c r="CJ47" s="19"/>
      <c r="CK47" s="5"/>
      <c r="CL47" s="49"/>
      <c r="CM47" s="28"/>
    </row>
    <row r="48" spans="1:91" ht="14.25" x14ac:dyDescent="0.25">
      <c r="B48" s="55"/>
      <c r="C48" s="10" t="s">
        <v>269</v>
      </c>
      <c r="D48" s="93" t="s">
        <v>273</v>
      </c>
      <c r="E48" s="125">
        <f>(E31/3.5) + 3</f>
        <v>3</v>
      </c>
      <c r="F48" s="162">
        <f>(F31/3.5) + 3</f>
        <v>17.857142857142858</v>
      </c>
      <c r="G48" s="164">
        <f>(G31/3.5) + 3</f>
        <v>17.857142857142858</v>
      </c>
      <c r="H48" s="164">
        <f>(H31/3.5) + 3</f>
        <v>21.285714285714285</v>
      </c>
      <c r="I48" s="164">
        <f t="shared" ref="I48" si="0">(I31/3.5) + 3</f>
        <v>21.285714285714285</v>
      </c>
      <c r="J48" s="162">
        <f>(J31/3.5) + 3</f>
        <v>14.428571428571429</v>
      </c>
      <c r="K48" s="164">
        <f>(K31/3.5) + 3</f>
        <v>3</v>
      </c>
      <c r="L48" s="164">
        <f>(L31/3.5) + 3</f>
        <v>17.285714285714285</v>
      </c>
      <c r="M48" s="163">
        <f t="shared" ref="M48" si="1">(M31/3.5) + 3</f>
        <v>17.285714285714285</v>
      </c>
      <c r="N48" s="169">
        <f>(N31/3.5) + 3</f>
        <v>20.142857142857142</v>
      </c>
      <c r="O48" s="172">
        <f>(O31/3.5) + 3</f>
        <v>28.714285714285715</v>
      </c>
      <c r="P48" s="172">
        <f>(P31/3.5) + 3</f>
        <v>16.714285714285715</v>
      </c>
      <c r="Q48" s="170">
        <f t="shared" ref="Q48" si="2">(Q31/3.5) + 3</f>
        <v>18.142857142857142</v>
      </c>
      <c r="R48" s="169">
        <f>(R31/3.5) + 3</f>
        <v>11</v>
      </c>
      <c r="S48" s="172">
        <f>(S31/3.5) + 3</f>
        <v>3</v>
      </c>
      <c r="T48" s="172">
        <f>(T31/3.5) + 3</f>
        <v>17.285714285714285</v>
      </c>
      <c r="U48" s="170">
        <f t="shared" ref="U48" si="3">(U31/3.5) + 3</f>
        <v>17.285714285714285</v>
      </c>
      <c r="V48" s="169">
        <f>(V31/3.5) + 3</f>
        <v>24.142857142857142</v>
      </c>
      <c r="W48" s="172">
        <f>(W31/3.5) + 3</f>
        <v>3</v>
      </c>
      <c r="X48" s="172">
        <f>(X31/3.5) + 3</f>
        <v>15.857142857142858</v>
      </c>
      <c r="Y48" s="170">
        <f t="shared" ref="Y48" si="4">(Y31/3.5) + 3</f>
        <v>15.857142857142858</v>
      </c>
      <c r="Z48" s="169">
        <f>(Z31/3.5) + 3</f>
        <v>13</v>
      </c>
      <c r="AA48" s="172">
        <f>(AA31/3.5) + 3</f>
        <v>3</v>
      </c>
      <c r="AB48" s="172">
        <f>(AB31/3.5) + 3</f>
        <v>15</v>
      </c>
      <c r="AC48" s="170">
        <f t="shared" ref="AC48" si="5">(AC31/3.5) + 3</f>
        <v>15</v>
      </c>
      <c r="AD48" s="169">
        <f>(AD31/3.5) + 3</f>
        <v>12.428571428571429</v>
      </c>
      <c r="AE48" s="172">
        <f>(AE31/3.5) + 3</f>
        <v>3</v>
      </c>
      <c r="AF48" s="172">
        <f>(AF31/3.5) + 3</f>
        <v>11.571428571428571</v>
      </c>
      <c r="AG48" s="170">
        <f t="shared" ref="AG48" si="6">(AG31/3.5) + 3</f>
        <v>11.571428571428571</v>
      </c>
      <c r="AH48" s="169">
        <f>(AH31/3.5) + 3</f>
        <v>12.714285714285714</v>
      </c>
      <c r="AI48" s="172">
        <f>(AI31/3.5) + 3</f>
        <v>15.571428571428571</v>
      </c>
      <c r="AJ48" s="172">
        <f>(AJ31/3.5) + 3</f>
        <v>14.714285714285714</v>
      </c>
      <c r="AK48" s="170">
        <f t="shared" ref="AK48" si="7">(AK31/3.5) + 3</f>
        <v>14.714285714285714</v>
      </c>
      <c r="AL48" s="169">
        <f>(AL31/3.5) + 3</f>
        <v>3</v>
      </c>
      <c r="AM48" s="172">
        <f>(AM31/3.5) + 3</f>
        <v>3</v>
      </c>
      <c r="AN48" s="172">
        <f>(AN31/3.5) + 3</f>
        <v>3</v>
      </c>
      <c r="AO48" s="170">
        <f t="shared" ref="AO48" si="8">(AO31/3.5) + 3</f>
        <v>3</v>
      </c>
      <c r="AP48" s="169">
        <f>(AP31/3.5) + 3</f>
        <v>3</v>
      </c>
      <c r="AQ48" s="172">
        <f>(AQ31/3.5) + 3</f>
        <v>3</v>
      </c>
      <c r="AR48" s="172">
        <f>(AR31/3.5) + 3</f>
        <v>3</v>
      </c>
      <c r="AS48" s="170">
        <f t="shared" ref="AS48" si="9">(AS31/3.5) + 3</f>
        <v>3</v>
      </c>
      <c r="AT48" s="169">
        <f>(AT31/3.5) + 3</f>
        <v>3</v>
      </c>
      <c r="AU48" s="172">
        <f>(AU31/3.5) + 3</f>
        <v>3</v>
      </c>
      <c r="AV48" s="172">
        <f>(AV31/3.5) + 3</f>
        <v>3</v>
      </c>
      <c r="AW48" s="170">
        <f t="shared" ref="AW48" si="10">(AW31/3.5) + 3</f>
        <v>3</v>
      </c>
      <c r="AX48" s="169">
        <f>(AX31/3.5) + 3</f>
        <v>3</v>
      </c>
      <c r="AY48" s="172">
        <f>(AY31/3.5) + 3</f>
        <v>3</v>
      </c>
      <c r="AZ48" s="172">
        <f>(AZ31/3.5) + 3</f>
        <v>3</v>
      </c>
      <c r="BA48" s="170">
        <f t="shared" ref="BA48" si="11">(BA31/3.5) + 3</f>
        <v>3</v>
      </c>
      <c r="BB48" s="169">
        <f>(BB31/3.5) + 3</f>
        <v>3</v>
      </c>
      <c r="BC48" s="172">
        <f>(BC31/3.5) + 3</f>
        <v>3</v>
      </c>
      <c r="BD48" s="172">
        <f>(BD31/3.5) + 3</f>
        <v>3</v>
      </c>
      <c r="BE48" s="170">
        <f t="shared" ref="BE48" si="12">(BE31/3.5) + 3</f>
        <v>3</v>
      </c>
      <c r="BF48" s="169">
        <f>(BF31/3.5) + 3</f>
        <v>3</v>
      </c>
      <c r="BG48" s="172">
        <f>(BG31/3.5) + 3</f>
        <v>3</v>
      </c>
      <c r="BH48" s="172">
        <f>(BH31/3.5) + 3</f>
        <v>3</v>
      </c>
      <c r="BI48" s="170">
        <f t="shared" ref="BI48" si="13">(BI31/3.5) + 3</f>
        <v>3</v>
      </c>
      <c r="BJ48" s="169">
        <f>(BJ31/3.5) + 3</f>
        <v>3</v>
      </c>
      <c r="BK48" s="172">
        <f>(BK31/3.5) + 3</f>
        <v>3</v>
      </c>
      <c r="BL48" s="172">
        <f>(BL31/3.5) + 3</f>
        <v>3</v>
      </c>
      <c r="BM48" s="170">
        <f t="shared" ref="BM48" si="14">(BM31/3.5) + 3</f>
        <v>3</v>
      </c>
      <c r="BN48" s="169">
        <f>(BN31/3.5) + 3</f>
        <v>3</v>
      </c>
      <c r="BO48" s="172">
        <f>(BO31/3.5) + 3</f>
        <v>3</v>
      </c>
      <c r="BP48" s="172">
        <f>(BP31/3.5) + 3</f>
        <v>3</v>
      </c>
      <c r="BQ48" s="170">
        <f t="shared" ref="BQ48" si="15">(BQ31/3.5) + 3</f>
        <v>3</v>
      </c>
      <c r="BR48" s="169">
        <f>(BR31/3.5) + 3</f>
        <v>3</v>
      </c>
      <c r="BS48" s="172">
        <f>(BS31/3.5) + 3</f>
        <v>3</v>
      </c>
      <c r="BT48" s="172">
        <f>(BT31/3.5) + 3</f>
        <v>3</v>
      </c>
      <c r="BU48" s="170">
        <f t="shared" ref="BU48" si="16">(BU31/3.5) + 3</f>
        <v>3</v>
      </c>
      <c r="BV48" s="169">
        <f>(BV31/3.5) + 3</f>
        <v>3</v>
      </c>
      <c r="BW48" s="172">
        <f>(BW31/3.5) + 3</f>
        <v>3</v>
      </c>
      <c r="BX48" s="172">
        <f>(BX31/3.5) + 3</f>
        <v>3</v>
      </c>
      <c r="BY48" s="170">
        <f t="shared" ref="BY48" si="17">(BY31/3.5) + 3</f>
        <v>3</v>
      </c>
      <c r="BZ48" s="169">
        <f>(BZ31/3.5) + 3</f>
        <v>3</v>
      </c>
      <c r="CA48" s="172">
        <f>(CA31/3.5) + 3</f>
        <v>3</v>
      </c>
      <c r="CB48" s="172">
        <f>(CB31/3.5) + 3</f>
        <v>3</v>
      </c>
      <c r="CC48" s="170">
        <f t="shared" ref="CC48" si="18">(CC31/3.5) + 3</f>
        <v>3</v>
      </c>
      <c r="CD48" s="169">
        <f>(CD31/3.5) + 3</f>
        <v>3</v>
      </c>
      <c r="CE48" s="172">
        <f>(CE31/3.5) + 3</f>
        <v>3</v>
      </c>
      <c r="CF48" s="172">
        <f>(CF31/3.5) + 3</f>
        <v>3</v>
      </c>
      <c r="CG48" s="170">
        <f t="shared" ref="CG48" si="19">(CG31/3.5) + 3</f>
        <v>3</v>
      </c>
      <c r="CH48" s="169">
        <f>(CH31/3.5) + 3</f>
        <v>3</v>
      </c>
      <c r="CI48" s="172">
        <f>(CI31/3.5) + 3</f>
        <v>3</v>
      </c>
      <c r="CJ48" s="172">
        <f>(CJ31/3.5) + 3</f>
        <v>3</v>
      </c>
      <c r="CK48" s="170">
        <f t="shared" ref="CK48" si="20">(CK31/3.5) + 3</f>
        <v>3</v>
      </c>
      <c r="CL48" s="49"/>
      <c r="CM48" s="28"/>
    </row>
    <row r="49" spans="2:91" x14ac:dyDescent="0.25">
      <c r="B49" s="55"/>
      <c r="C49" s="10" t="s">
        <v>276</v>
      </c>
      <c r="D49" s="93" t="s">
        <v>278</v>
      </c>
      <c r="E49" s="125">
        <f t="shared" ref="E49:AJ49" si="21">E16/3600</f>
        <v>0.16666666666666666</v>
      </c>
      <c r="F49" s="164">
        <f t="shared" si="21"/>
        <v>0.33250000000000002</v>
      </c>
      <c r="G49" s="164">
        <f t="shared" si="21"/>
        <v>0.33250000000000002</v>
      </c>
      <c r="H49" s="164">
        <f t="shared" si="21"/>
        <v>0.28694444444444445</v>
      </c>
      <c r="I49" s="164">
        <f t="shared" si="21"/>
        <v>0.28694444444444445</v>
      </c>
      <c r="J49" s="162">
        <f t="shared" si="21"/>
        <v>1.2500000000000001E-2</v>
      </c>
      <c r="K49" s="164">
        <f t="shared" si="21"/>
        <v>0</v>
      </c>
      <c r="L49" s="164">
        <f t="shared" si="21"/>
        <v>0.15333333333333332</v>
      </c>
      <c r="M49" s="163">
        <f t="shared" si="21"/>
        <v>0.15333333333333332</v>
      </c>
      <c r="N49" s="169">
        <f t="shared" si="21"/>
        <v>0.33527777777777779</v>
      </c>
      <c r="O49" s="172">
        <f t="shared" si="21"/>
        <v>0.33527777777777779</v>
      </c>
      <c r="P49" s="172">
        <f t="shared" si="21"/>
        <v>0.24</v>
      </c>
      <c r="Q49" s="170">
        <f t="shared" si="21"/>
        <v>0.24</v>
      </c>
      <c r="R49" s="169">
        <f t="shared" si="21"/>
        <v>2.4166666666666666E-2</v>
      </c>
      <c r="S49" s="172">
        <f t="shared" si="21"/>
        <v>0</v>
      </c>
      <c r="T49" s="172">
        <f t="shared" si="21"/>
        <v>0.2772222222222222</v>
      </c>
      <c r="U49" s="170">
        <f t="shared" si="21"/>
        <v>0.2772222222222222</v>
      </c>
      <c r="V49" s="169">
        <f t="shared" si="21"/>
        <v>2.6388888888888889E-2</v>
      </c>
      <c r="W49" s="172">
        <f t="shared" si="21"/>
        <v>0</v>
      </c>
      <c r="X49" s="172">
        <f t="shared" si="21"/>
        <v>0.25111111111111112</v>
      </c>
      <c r="Y49" s="170">
        <f t="shared" si="21"/>
        <v>0.25111111111111112</v>
      </c>
      <c r="Z49" s="169">
        <f t="shared" si="21"/>
        <v>4.1111111111111112E-2</v>
      </c>
      <c r="AA49" s="172">
        <f t="shared" si="21"/>
        <v>0</v>
      </c>
      <c r="AB49" s="172">
        <f t="shared" si="21"/>
        <v>0.19277777777777777</v>
      </c>
      <c r="AC49" s="170">
        <f t="shared" si="21"/>
        <v>0.19277777777777777</v>
      </c>
      <c r="AD49" s="169">
        <f t="shared" si="21"/>
        <v>7.7777777777777776E-3</v>
      </c>
      <c r="AE49" s="172">
        <f t="shared" si="21"/>
        <v>0</v>
      </c>
      <c r="AF49" s="172">
        <f t="shared" si="21"/>
        <v>0.17666666666666667</v>
      </c>
      <c r="AG49" s="170">
        <f t="shared" si="21"/>
        <v>0.17666666666666667</v>
      </c>
      <c r="AH49" s="169">
        <f t="shared" si="21"/>
        <v>0.19055555555555556</v>
      </c>
      <c r="AI49" s="172">
        <f t="shared" si="21"/>
        <v>0.19055555555555556</v>
      </c>
      <c r="AJ49" s="172">
        <f t="shared" si="21"/>
        <v>0.13527777777777777</v>
      </c>
      <c r="AK49" s="170">
        <f t="shared" ref="AK49:BP49" si="22">AK16/3600</f>
        <v>0.13527777777777777</v>
      </c>
      <c r="AL49" s="169">
        <f t="shared" si="22"/>
        <v>0</v>
      </c>
      <c r="AM49" s="172">
        <f t="shared" si="22"/>
        <v>0</v>
      </c>
      <c r="AN49" s="172">
        <f t="shared" si="22"/>
        <v>0</v>
      </c>
      <c r="AO49" s="170">
        <f t="shared" si="22"/>
        <v>0</v>
      </c>
      <c r="AP49" s="169">
        <f t="shared" si="22"/>
        <v>0</v>
      </c>
      <c r="AQ49" s="172">
        <f t="shared" si="22"/>
        <v>0</v>
      </c>
      <c r="AR49" s="172">
        <f t="shared" si="22"/>
        <v>0</v>
      </c>
      <c r="AS49" s="170">
        <f t="shared" si="22"/>
        <v>0</v>
      </c>
      <c r="AT49" s="169">
        <f t="shared" si="22"/>
        <v>0</v>
      </c>
      <c r="AU49" s="172">
        <f t="shared" si="22"/>
        <v>0</v>
      </c>
      <c r="AV49" s="172">
        <f t="shared" si="22"/>
        <v>0</v>
      </c>
      <c r="AW49" s="170">
        <f t="shared" si="22"/>
        <v>0</v>
      </c>
      <c r="AX49" s="169">
        <f t="shared" si="22"/>
        <v>0</v>
      </c>
      <c r="AY49" s="172">
        <f t="shared" si="22"/>
        <v>0</v>
      </c>
      <c r="AZ49" s="172">
        <f t="shared" si="22"/>
        <v>0</v>
      </c>
      <c r="BA49" s="170">
        <f t="shared" si="22"/>
        <v>0</v>
      </c>
      <c r="BB49" s="169">
        <f t="shared" si="22"/>
        <v>0</v>
      </c>
      <c r="BC49" s="172">
        <f t="shared" si="22"/>
        <v>0</v>
      </c>
      <c r="BD49" s="172">
        <f t="shared" si="22"/>
        <v>0</v>
      </c>
      <c r="BE49" s="170">
        <f t="shared" si="22"/>
        <v>0</v>
      </c>
      <c r="BF49" s="169">
        <f t="shared" si="22"/>
        <v>0</v>
      </c>
      <c r="BG49" s="172">
        <f t="shared" si="22"/>
        <v>0</v>
      </c>
      <c r="BH49" s="172">
        <f t="shared" si="22"/>
        <v>0</v>
      </c>
      <c r="BI49" s="170">
        <f t="shared" si="22"/>
        <v>0</v>
      </c>
      <c r="BJ49" s="169">
        <f t="shared" si="22"/>
        <v>0</v>
      </c>
      <c r="BK49" s="172">
        <f t="shared" si="22"/>
        <v>0</v>
      </c>
      <c r="BL49" s="172">
        <f t="shared" si="22"/>
        <v>0</v>
      </c>
      <c r="BM49" s="170">
        <f t="shared" si="22"/>
        <v>0</v>
      </c>
      <c r="BN49" s="169">
        <f t="shared" si="22"/>
        <v>0</v>
      </c>
      <c r="BO49" s="172">
        <f t="shared" si="22"/>
        <v>0</v>
      </c>
      <c r="BP49" s="172">
        <f t="shared" si="22"/>
        <v>0</v>
      </c>
      <c r="BQ49" s="170">
        <f t="shared" ref="BQ49:CK49" si="23">BQ16/3600</f>
        <v>0</v>
      </c>
      <c r="BR49" s="169">
        <f t="shared" si="23"/>
        <v>0</v>
      </c>
      <c r="BS49" s="172">
        <f t="shared" si="23"/>
        <v>0</v>
      </c>
      <c r="BT49" s="172">
        <f t="shared" si="23"/>
        <v>0</v>
      </c>
      <c r="BU49" s="170">
        <f t="shared" si="23"/>
        <v>0</v>
      </c>
      <c r="BV49" s="169">
        <f t="shared" si="23"/>
        <v>0</v>
      </c>
      <c r="BW49" s="172">
        <f t="shared" si="23"/>
        <v>0</v>
      </c>
      <c r="BX49" s="172">
        <f t="shared" si="23"/>
        <v>0</v>
      </c>
      <c r="BY49" s="170">
        <f t="shared" si="23"/>
        <v>0</v>
      </c>
      <c r="BZ49" s="169">
        <f t="shared" si="23"/>
        <v>0</v>
      </c>
      <c r="CA49" s="172">
        <f t="shared" si="23"/>
        <v>0</v>
      </c>
      <c r="CB49" s="172">
        <f t="shared" si="23"/>
        <v>0</v>
      </c>
      <c r="CC49" s="170">
        <f t="shared" si="23"/>
        <v>0</v>
      </c>
      <c r="CD49" s="169">
        <f t="shared" si="23"/>
        <v>0</v>
      </c>
      <c r="CE49" s="172">
        <f t="shared" si="23"/>
        <v>0</v>
      </c>
      <c r="CF49" s="172">
        <f t="shared" si="23"/>
        <v>0</v>
      </c>
      <c r="CG49" s="170">
        <f t="shared" si="23"/>
        <v>0</v>
      </c>
      <c r="CH49" s="169">
        <f t="shared" si="23"/>
        <v>0</v>
      </c>
      <c r="CI49" s="172">
        <f t="shared" si="23"/>
        <v>0</v>
      </c>
      <c r="CJ49" s="172">
        <f t="shared" si="23"/>
        <v>0</v>
      </c>
      <c r="CK49" s="170">
        <f t="shared" si="23"/>
        <v>0</v>
      </c>
      <c r="CL49" s="49"/>
      <c r="CM49" s="28"/>
    </row>
    <row r="50" spans="2:91" ht="14.25" x14ac:dyDescent="0.25">
      <c r="B50" s="55"/>
      <c r="C50" s="10" t="s">
        <v>274</v>
      </c>
      <c r="D50" s="93" t="s">
        <v>277</v>
      </c>
      <c r="E50" s="125">
        <f t="shared" ref="E50:AJ50" si="24">E20/3600</f>
        <v>2.7777777777777776E-2</v>
      </c>
      <c r="F50" s="164">
        <f t="shared" si="24"/>
        <v>2.7777777777777776E-2</v>
      </c>
      <c r="G50" s="164">
        <f t="shared" si="24"/>
        <v>2.7777777777777776E-2</v>
      </c>
      <c r="H50" s="164">
        <f t="shared" si="24"/>
        <v>2.7777777777777776E-2</v>
      </c>
      <c r="I50" s="164">
        <f t="shared" si="24"/>
        <v>2.7777777777777776E-2</v>
      </c>
      <c r="J50" s="162">
        <f t="shared" si="24"/>
        <v>0</v>
      </c>
      <c r="K50" s="164">
        <f t="shared" si="24"/>
        <v>0</v>
      </c>
      <c r="L50" s="164">
        <f t="shared" si="24"/>
        <v>0</v>
      </c>
      <c r="M50" s="163">
        <f t="shared" si="24"/>
        <v>0</v>
      </c>
      <c r="N50" s="169">
        <f t="shared" si="24"/>
        <v>0</v>
      </c>
      <c r="O50" s="172">
        <f t="shared" si="24"/>
        <v>0</v>
      </c>
      <c r="P50" s="172">
        <f t="shared" si="24"/>
        <v>0</v>
      </c>
      <c r="Q50" s="170">
        <f t="shared" si="24"/>
        <v>0</v>
      </c>
      <c r="R50" s="169">
        <f t="shared" si="24"/>
        <v>0</v>
      </c>
      <c r="S50" s="172">
        <f t="shared" si="24"/>
        <v>0</v>
      </c>
      <c r="T50" s="172">
        <f t="shared" si="24"/>
        <v>2.7777777777777776E-2</v>
      </c>
      <c r="U50" s="170">
        <f t="shared" si="24"/>
        <v>0</v>
      </c>
      <c r="V50" s="169">
        <f t="shared" si="24"/>
        <v>0</v>
      </c>
      <c r="W50" s="172">
        <f t="shared" si="24"/>
        <v>0</v>
      </c>
      <c r="X50" s="172">
        <f t="shared" si="24"/>
        <v>2.7777777777777776E-2</v>
      </c>
      <c r="Y50" s="170">
        <f t="shared" si="24"/>
        <v>0</v>
      </c>
      <c r="Z50" s="169">
        <f t="shared" si="24"/>
        <v>0</v>
      </c>
      <c r="AA50" s="172">
        <f t="shared" si="24"/>
        <v>0</v>
      </c>
      <c r="AB50" s="172">
        <f t="shared" si="24"/>
        <v>2.7777777777777776E-2</v>
      </c>
      <c r="AC50" s="170">
        <f t="shared" si="24"/>
        <v>0</v>
      </c>
      <c r="AD50" s="169">
        <f t="shared" si="24"/>
        <v>0</v>
      </c>
      <c r="AE50" s="172">
        <f t="shared" si="24"/>
        <v>0</v>
      </c>
      <c r="AF50" s="172">
        <f t="shared" si="24"/>
        <v>2.7777777777777776E-2</v>
      </c>
      <c r="AG50" s="170">
        <f t="shared" si="24"/>
        <v>0</v>
      </c>
      <c r="AH50" s="169">
        <f t="shared" si="24"/>
        <v>0</v>
      </c>
      <c r="AI50" s="172">
        <f t="shared" si="24"/>
        <v>0</v>
      </c>
      <c r="AJ50" s="172">
        <f t="shared" si="24"/>
        <v>0</v>
      </c>
      <c r="AK50" s="170">
        <f t="shared" ref="AK50:BP50" si="25">AK20/3600</f>
        <v>0</v>
      </c>
      <c r="AL50" s="169">
        <f t="shared" si="25"/>
        <v>0</v>
      </c>
      <c r="AM50" s="172">
        <f t="shared" si="25"/>
        <v>0</v>
      </c>
      <c r="AN50" s="172">
        <f t="shared" si="25"/>
        <v>0</v>
      </c>
      <c r="AO50" s="170">
        <f t="shared" si="25"/>
        <v>0</v>
      </c>
      <c r="AP50" s="169">
        <f t="shared" si="25"/>
        <v>0</v>
      </c>
      <c r="AQ50" s="172">
        <f t="shared" si="25"/>
        <v>0</v>
      </c>
      <c r="AR50" s="172">
        <f t="shared" si="25"/>
        <v>0</v>
      </c>
      <c r="AS50" s="170">
        <f t="shared" si="25"/>
        <v>0</v>
      </c>
      <c r="AT50" s="169">
        <f t="shared" si="25"/>
        <v>0</v>
      </c>
      <c r="AU50" s="172">
        <f t="shared" si="25"/>
        <v>0</v>
      </c>
      <c r="AV50" s="172">
        <f t="shared" si="25"/>
        <v>0</v>
      </c>
      <c r="AW50" s="170">
        <f t="shared" si="25"/>
        <v>0</v>
      </c>
      <c r="AX50" s="169">
        <f t="shared" si="25"/>
        <v>0</v>
      </c>
      <c r="AY50" s="172">
        <f t="shared" si="25"/>
        <v>0</v>
      </c>
      <c r="AZ50" s="172">
        <f t="shared" si="25"/>
        <v>0</v>
      </c>
      <c r="BA50" s="170">
        <f t="shared" si="25"/>
        <v>0</v>
      </c>
      <c r="BB50" s="169">
        <f t="shared" si="25"/>
        <v>0</v>
      </c>
      <c r="BC50" s="172">
        <f t="shared" si="25"/>
        <v>0</v>
      </c>
      <c r="BD50" s="172">
        <f t="shared" si="25"/>
        <v>0</v>
      </c>
      <c r="BE50" s="170">
        <f t="shared" si="25"/>
        <v>0</v>
      </c>
      <c r="BF50" s="169">
        <f t="shared" si="25"/>
        <v>0</v>
      </c>
      <c r="BG50" s="172">
        <f t="shared" si="25"/>
        <v>0</v>
      </c>
      <c r="BH50" s="172">
        <f t="shared" si="25"/>
        <v>0</v>
      </c>
      <c r="BI50" s="170">
        <f t="shared" si="25"/>
        <v>0</v>
      </c>
      <c r="BJ50" s="169">
        <f t="shared" si="25"/>
        <v>0</v>
      </c>
      <c r="BK50" s="172">
        <f t="shared" si="25"/>
        <v>0</v>
      </c>
      <c r="BL50" s="172">
        <f t="shared" si="25"/>
        <v>0</v>
      </c>
      <c r="BM50" s="170">
        <f t="shared" si="25"/>
        <v>0</v>
      </c>
      <c r="BN50" s="169">
        <f t="shared" si="25"/>
        <v>0</v>
      </c>
      <c r="BO50" s="172">
        <f t="shared" si="25"/>
        <v>0</v>
      </c>
      <c r="BP50" s="172">
        <f t="shared" si="25"/>
        <v>0</v>
      </c>
      <c r="BQ50" s="170">
        <f t="shared" ref="BQ50:CK50" si="26">BQ20/3600</f>
        <v>0</v>
      </c>
      <c r="BR50" s="169">
        <f t="shared" si="26"/>
        <v>0</v>
      </c>
      <c r="BS50" s="172">
        <f t="shared" si="26"/>
        <v>0</v>
      </c>
      <c r="BT50" s="172">
        <f t="shared" si="26"/>
        <v>0</v>
      </c>
      <c r="BU50" s="170">
        <f t="shared" si="26"/>
        <v>0</v>
      </c>
      <c r="BV50" s="169">
        <f t="shared" si="26"/>
        <v>0</v>
      </c>
      <c r="BW50" s="172">
        <f t="shared" si="26"/>
        <v>0</v>
      </c>
      <c r="BX50" s="172">
        <f t="shared" si="26"/>
        <v>0</v>
      </c>
      <c r="BY50" s="170">
        <f t="shared" si="26"/>
        <v>0</v>
      </c>
      <c r="BZ50" s="169">
        <f t="shared" si="26"/>
        <v>0</v>
      </c>
      <c r="CA50" s="172">
        <f t="shared" si="26"/>
        <v>0</v>
      </c>
      <c r="CB50" s="172">
        <f t="shared" si="26"/>
        <v>0</v>
      </c>
      <c r="CC50" s="170">
        <f t="shared" si="26"/>
        <v>0</v>
      </c>
      <c r="CD50" s="169">
        <f t="shared" si="26"/>
        <v>0</v>
      </c>
      <c r="CE50" s="172">
        <f t="shared" si="26"/>
        <v>0</v>
      </c>
      <c r="CF50" s="172">
        <f t="shared" si="26"/>
        <v>0</v>
      </c>
      <c r="CG50" s="170">
        <f t="shared" si="26"/>
        <v>0</v>
      </c>
      <c r="CH50" s="169">
        <f t="shared" si="26"/>
        <v>0</v>
      </c>
      <c r="CI50" s="172">
        <f t="shared" si="26"/>
        <v>0</v>
      </c>
      <c r="CJ50" s="172">
        <f t="shared" si="26"/>
        <v>0</v>
      </c>
      <c r="CK50" s="170">
        <f t="shared" si="26"/>
        <v>0</v>
      </c>
      <c r="CL50" s="49"/>
      <c r="CM50" s="28"/>
    </row>
    <row r="51" spans="2:91" ht="14.25" x14ac:dyDescent="0.25">
      <c r="B51" s="55"/>
      <c r="C51" s="10" t="s">
        <v>271</v>
      </c>
      <c r="D51" s="93" t="s">
        <v>279</v>
      </c>
      <c r="E51" s="125">
        <f t="shared" ref="E51:M51" si="27">MAX(8*E52/E30,1)</f>
        <v>1</v>
      </c>
      <c r="F51" s="162">
        <f t="shared" si="27"/>
        <v>19.854809455874964</v>
      </c>
      <c r="G51" s="164">
        <f t="shared" si="27"/>
        <v>19.854809455874964</v>
      </c>
      <c r="H51" s="164">
        <f t="shared" si="27"/>
        <v>26.777042598460188</v>
      </c>
      <c r="I51" s="163">
        <f t="shared" si="27"/>
        <v>26.777042598460188</v>
      </c>
      <c r="J51" s="162">
        <f t="shared" si="27"/>
        <v>1</v>
      </c>
      <c r="K51" s="164" t="e">
        <f t="shared" si="27"/>
        <v>#DIV/0!</v>
      </c>
      <c r="L51" s="164">
        <f t="shared" si="27"/>
        <v>1</v>
      </c>
      <c r="M51" s="163">
        <f t="shared" si="27"/>
        <v>1</v>
      </c>
      <c r="N51" s="169">
        <f t="shared" ref="N51" si="28">MAX(8*N52/N30,1)</f>
        <v>1</v>
      </c>
      <c r="O51" s="172">
        <f t="shared" ref="O51" si="29">MAX(8*O52/O30,1)</f>
        <v>1</v>
      </c>
      <c r="P51" s="172">
        <f t="shared" ref="P51" si="30">MAX(8*P52/P30,1)</f>
        <v>1</v>
      </c>
      <c r="Q51" s="170">
        <f t="shared" ref="Q51" si="31">MAX(8*Q52/Q30,1)</f>
        <v>1</v>
      </c>
      <c r="R51" s="169">
        <f t="shared" ref="R51" si="32">MAX(8*R52/R30,1)</f>
        <v>1</v>
      </c>
      <c r="S51" s="172" t="e">
        <f t="shared" ref="S51" si="33">MAX(8*S52/S30,1)</f>
        <v>#DIV/0!</v>
      </c>
      <c r="T51" s="172">
        <f t="shared" ref="T51" si="34">MAX(8*T52/T30,1)</f>
        <v>7.6936719433544978</v>
      </c>
      <c r="U51" s="170">
        <f t="shared" ref="U51" si="35">MAX(8*U52/U30,1)</f>
        <v>1</v>
      </c>
      <c r="V51" s="169">
        <f t="shared" ref="V51" si="36">MAX(8*V52/V30,1)</f>
        <v>1</v>
      </c>
      <c r="W51" s="172" t="e">
        <f t="shared" ref="W51" si="37">MAX(8*W52/W30,1)</f>
        <v>#DIV/0!</v>
      </c>
      <c r="X51" s="172">
        <f t="shared" ref="X51" si="38">MAX(8*X52/X30,1)</f>
        <v>3.9467719829618262</v>
      </c>
      <c r="Y51" s="170">
        <f t="shared" ref="Y51" si="39">MAX(8*Y52/Y30,1)</f>
        <v>1</v>
      </c>
      <c r="Z51" s="169">
        <f t="shared" ref="Z51" si="40">MAX(8*Z52/Z30,1)</f>
        <v>1</v>
      </c>
      <c r="AA51" s="172" t="e">
        <f t="shared" ref="AA51" si="41">MAX(8*AA52/AA30,1)</f>
        <v>#DIV/0!</v>
      </c>
      <c r="AB51" s="172">
        <f t="shared" ref="AB51" si="42">MAX(8*AB52/AB30,1)</f>
        <v>1.8974352165469854</v>
      </c>
      <c r="AC51" s="170">
        <f t="shared" ref="AC51" si="43">MAX(8*AC52/AC30,1)</f>
        <v>1</v>
      </c>
      <c r="AD51" s="169">
        <f t="shared" ref="AD51" si="44">MAX(8*AD52/AD30,1)</f>
        <v>1</v>
      </c>
      <c r="AE51" s="172" t="e">
        <f t="shared" ref="AE51" si="45">MAX(8*AE52/AE30,1)</f>
        <v>#DIV/0!</v>
      </c>
      <c r="AF51" s="172">
        <f t="shared" ref="AF51" si="46">MAX(8*AF52/AF30,1)</f>
        <v>1.1173328519078178</v>
      </c>
      <c r="AG51" s="170">
        <f t="shared" ref="AG51" si="47">MAX(8*AG52/AG30,1)</f>
        <v>1</v>
      </c>
      <c r="AH51" s="169">
        <f t="shared" ref="AH51" si="48">MAX(8*AH52/AH30,1)</f>
        <v>1</v>
      </c>
      <c r="AI51" s="172">
        <f t="shared" ref="AI51" si="49">MAX(8*AI52/AI30,1)</f>
        <v>1</v>
      </c>
      <c r="AJ51" s="172">
        <f t="shared" ref="AJ51" si="50">MAX(8*AJ52/AJ30,1)</f>
        <v>1</v>
      </c>
      <c r="AK51" s="170">
        <f t="shared" ref="AK51" si="51">MAX(8*AK52/AK30,1)</f>
        <v>1</v>
      </c>
      <c r="AL51" s="169" t="e">
        <f t="shared" ref="AL51" si="52">MAX(8*AL52/AL30,1)</f>
        <v>#DIV/0!</v>
      </c>
      <c r="AM51" s="172" t="e">
        <f t="shared" ref="AM51" si="53">MAX(8*AM52/AM30,1)</f>
        <v>#DIV/0!</v>
      </c>
      <c r="AN51" s="172" t="e">
        <f t="shared" ref="AN51" si="54">MAX(8*AN52/AN30,1)</f>
        <v>#DIV/0!</v>
      </c>
      <c r="AO51" s="170" t="e">
        <f t="shared" ref="AO51" si="55">MAX(8*AO52/AO30,1)</f>
        <v>#DIV/0!</v>
      </c>
      <c r="AP51" s="169" t="e">
        <f t="shared" ref="AP51" si="56">MAX(8*AP52/AP30,1)</f>
        <v>#DIV/0!</v>
      </c>
      <c r="AQ51" s="172" t="e">
        <f t="shared" ref="AQ51" si="57">MAX(8*AQ52/AQ30,1)</f>
        <v>#DIV/0!</v>
      </c>
      <c r="AR51" s="172" t="e">
        <f t="shared" ref="AR51" si="58">MAX(8*AR52/AR30,1)</f>
        <v>#DIV/0!</v>
      </c>
      <c r="AS51" s="170" t="e">
        <f t="shared" ref="AS51" si="59">MAX(8*AS52/AS30,1)</f>
        <v>#DIV/0!</v>
      </c>
      <c r="AT51" s="169" t="e">
        <f t="shared" ref="AT51" si="60">MAX(8*AT52/AT30,1)</f>
        <v>#DIV/0!</v>
      </c>
      <c r="AU51" s="172" t="e">
        <f t="shared" ref="AU51" si="61">MAX(8*AU52/AU30,1)</f>
        <v>#DIV/0!</v>
      </c>
      <c r="AV51" s="172" t="e">
        <f t="shared" ref="AV51" si="62">MAX(8*AV52/AV30,1)</f>
        <v>#DIV/0!</v>
      </c>
      <c r="AW51" s="170" t="e">
        <f t="shared" ref="AW51" si="63">MAX(8*AW52/AW30,1)</f>
        <v>#DIV/0!</v>
      </c>
      <c r="AX51" s="169" t="e">
        <f t="shared" ref="AX51" si="64">MAX(8*AX52/AX30,1)</f>
        <v>#DIV/0!</v>
      </c>
      <c r="AY51" s="172" t="e">
        <f t="shared" ref="AY51" si="65">MAX(8*AY52/AY30,1)</f>
        <v>#DIV/0!</v>
      </c>
      <c r="AZ51" s="172" t="e">
        <f t="shared" ref="AZ51" si="66">MAX(8*AZ52/AZ30,1)</f>
        <v>#DIV/0!</v>
      </c>
      <c r="BA51" s="170" t="e">
        <f t="shared" ref="BA51" si="67">MAX(8*BA52/BA30,1)</f>
        <v>#DIV/0!</v>
      </c>
      <c r="BB51" s="169" t="e">
        <f t="shared" ref="BB51" si="68">MAX(8*BB52/BB30,1)</f>
        <v>#DIV/0!</v>
      </c>
      <c r="BC51" s="172" t="e">
        <f t="shared" ref="BC51" si="69">MAX(8*BC52/BC30,1)</f>
        <v>#DIV/0!</v>
      </c>
      <c r="BD51" s="172" t="e">
        <f t="shared" ref="BD51" si="70">MAX(8*BD52/BD30,1)</f>
        <v>#DIV/0!</v>
      </c>
      <c r="BE51" s="170" t="e">
        <f t="shared" ref="BE51" si="71">MAX(8*BE52/BE30,1)</f>
        <v>#DIV/0!</v>
      </c>
      <c r="BF51" s="169" t="e">
        <f t="shared" ref="BF51" si="72">MAX(8*BF52/BF30,1)</f>
        <v>#DIV/0!</v>
      </c>
      <c r="BG51" s="172" t="e">
        <f t="shared" ref="BG51" si="73">MAX(8*BG52/BG30,1)</f>
        <v>#DIV/0!</v>
      </c>
      <c r="BH51" s="172" t="e">
        <f t="shared" ref="BH51" si="74">MAX(8*BH52/BH30,1)</f>
        <v>#DIV/0!</v>
      </c>
      <c r="BI51" s="170" t="e">
        <f t="shared" ref="BI51" si="75">MAX(8*BI52/BI30,1)</f>
        <v>#DIV/0!</v>
      </c>
      <c r="BJ51" s="169" t="e">
        <f t="shared" ref="BJ51" si="76">MAX(8*BJ52/BJ30,1)</f>
        <v>#DIV/0!</v>
      </c>
      <c r="BK51" s="172" t="e">
        <f t="shared" ref="BK51" si="77">MAX(8*BK52/BK30,1)</f>
        <v>#DIV/0!</v>
      </c>
      <c r="BL51" s="172" t="e">
        <f t="shared" ref="BL51" si="78">MAX(8*BL52/BL30,1)</f>
        <v>#DIV/0!</v>
      </c>
      <c r="BM51" s="170" t="e">
        <f t="shared" ref="BM51" si="79">MAX(8*BM52/BM30,1)</f>
        <v>#DIV/0!</v>
      </c>
      <c r="BN51" s="169" t="e">
        <f t="shared" ref="BN51" si="80">MAX(8*BN52/BN30,1)</f>
        <v>#DIV/0!</v>
      </c>
      <c r="BO51" s="172" t="e">
        <f t="shared" ref="BO51" si="81">MAX(8*BO52/BO30,1)</f>
        <v>#DIV/0!</v>
      </c>
      <c r="BP51" s="172" t="e">
        <f t="shared" ref="BP51" si="82">MAX(8*BP52/BP30,1)</f>
        <v>#DIV/0!</v>
      </c>
      <c r="BQ51" s="170" t="e">
        <f t="shared" ref="BQ51" si="83">MAX(8*BQ52/BQ30,1)</f>
        <v>#DIV/0!</v>
      </c>
      <c r="BR51" s="169" t="e">
        <f t="shared" ref="BR51" si="84">MAX(8*BR52/BR30,1)</f>
        <v>#DIV/0!</v>
      </c>
      <c r="BS51" s="172" t="e">
        <f t="shared" ref="BS51" si="85">MAX(8*BS52/BS30,1)</f>
        <v>#DIV/0!</v>
      </c>
      <c r="BT51" s="172" t="e">
        <f t="shared" ref="BT51" si="86">MAX(8*BT52/BT30,1)</f>
        <v>#DIV/0!</v>
      </c>
      <c r="BU51" s="170" t="e">
        <f t="shared" ref="BU51" si="87">MAX(8*BU52/BU30,1)</f>
        <v>#DIV/0!</v>
      </c>
      <c r="BV51" s="169" t="e">
        <f t="shared" ref="BV51" si="88">MAX(8*BV52/BV30,1)</f>
        <v>#DIV/0!</v>
      </c>
      <c r="BW51" s="172" t="e">
        <f t="shared" ref="BW51" si="89">MAX(8*BW52/BW30,1)</f>
        <v>#DIV/0!</v>
      </c>
      <c r="BX51" s="172" t="e">
        <f t="shared" ref="BX51" si="90">MAX(8*BX52/BX30,1)</f>
        <v>#DIV/0!</v>
      </c>
      <c r="BY51" s="170" t="e">
        <f t="shared" ref="BY51" si="91">MAX(8*BY52/BY30,1)</f>
        <v>#DIV/0!</v>
      </c>
      <c r="BZ51" s="169" t="e">
        <f t="shared" ref="BZ51" si="92">MAX(8*BZ52/BZ30,1)</f>
        <v>#DIV/0!</v>
      </c>
      <c r="CA51" s="172" t="e">
        <f t="shared" ref="CA51" si="93">MAX(8*CA52/CA30,1)</f>
        <v>#DIV/0!</v>
      </c>
      <c r="CB51" s="172" t="e">
        <f t="shared" ref="CB51" si="94">MAX(8*CB52/CB30,1)</f>
        <v>#DIV/0!</v>
      </c>
      <c r="CC51" s="170" t="e">
        <f t="shared" ref="CC51" si="95">MAX(8*CC52/CC30,1)</f>
        <v>#DIV/0!</v>
      </c>
      <c r="CD51" s="169" t="e">
        <f t="shared" ref="CD51" si="96">MAX(8*CD52/CD30,1)</f>
        <v>#DIV/0!</v>
      </c>
      <c r="CE51" s="172" t="e">
        <f t="shared" ref="CE51" si="97">MAX(8*CE52/CE30,1)</f>
        <v>#DIV/0!</v>
      </c>
      <c r="CF51" s="172" t="e">
        <f t="shared" ref="CF51" si="98">MAX(8*CF52/CF30,1)</f>
        <v>#DIV/0!</v>
      </c>
      <c r="CG51" s="170" t="e">
        <f t="shared" ref="CG51" si="99">MAX(8*CG52/CG30,1)</f>
        <v>#DIV/0!</v>
      </c>
      <c r="CH51" s="169" t="e">
        <f t="shared" ref="CH51" si="100">MAX(8*CH52/CH30,1)</f>
        <v>#DIV/0!</v>
      </c>
      <c r="CI51" s="172" t="e">
        <f t="shared" ref="CI51" si="101">MAX(8*CI52/CI30,1)</f>
        <v>#DIV/0!</v>
      </c>
      <c r="CJ51" s="172" t="e">
        <f t="shared" ref="CJ51" si="102">MAX(8*CJ52/CJ30,1)</f>
        <v>#DIV/0!</v>
      </c>
      <c r="CK51" s="170" t="e">
        <f t="shared" ref="CK51" si="103">MAX(8*CK52/CK30,1)</f>
        <v>#DIV/0!</v>
      </c>
      <c r="CL51" s="49"/>
      <c r="CM51" s="28"/>
    </row>
    <row r="52" spans="2:91" ht="14.25" x14ac:dyDescent="0.25">
      <c r="B52" s="55"/>
      <c r="C52" s="10" t="s">
        <v>270</v>
      </c>
      <c r="D52" s="93" t="s">
        <v>280</v>
      </c>
      <c r="E52" s="125">
        <f>(E50*EXP(E50*E48)+E49*EXP(-E49*E48))/((E50+E49)*EXP((E50-E49)*E48))</f>
        <v>1.024141108353724</v>
      </c>
      <c r="F52" s="162">
        <f t="shared" ref="F52:M52" si="104">(F50*EXP(F50*F48)+F49*EXP(-F49*F48))/((F50+F49)*EXP((F50-F49)*F48))</f>
        <v>29.782214183812446</v>
      </c>
      <c r="G52" s="164">
        <f t="shared" si="104"/>
        <v>29.782214183812446</v>
      </c>
      <c r="H52" s="164">
        <f t="shared" si="104"/>
        <v>40.165563897690284</v>
      </c>
      <c r="I52" s="163">
        <f t="shared" si="104"/>
        <v>40.165563897690284</v>
      </c>
      <c r="J52" s="162">
        <f t="shared" si="104"/>
        <v>1</v>
      </c>
      <c r="K52" s="164" t="e">
        <f t="shared" si="104"/>
        <v>#DIV/0!</v>
      </c>
      <c r="L52" s="164">
        <f t="shared" si="104"/>
        <v>1</v>
      </c>
      <c r="M52" s="163">
        <f t="shared" si="104"/>
        <v>1</v>
      </c>
      <c r="N52" s="169">
        <f t="shared" ref="N52:BY52" si="105">(N50*EXP(N50*N48)+N49*EXP(-N49*N48))/((N50+N49)*EXP((N50-N49)*N48))</f>
        <v>1</v>
      </c>
      <c r="O52" s="172">
        <f t="shared" si="105"/>
        <v>1</v>
      </c>
      <c r="P52" s="172">
        <f t="shared" si="105"/>
        <v>1</v>
      </c>
      <c r="Q52" s="170">
        <f t="shared" si="105"/>
        <v>1</v>
      </c>
      <c r="R52" s="169">
        <f t="shared" si="105"/>
        <v>1</v>
      </c>
      <c r="S52" s="172" t="e">
        <f t="shared" si="105"/>
        <v>#DIV/0!</v>
      </c>
      <c r="T52" s="172">
        <f t="shared" si="105"/>
        <v>11.540507915031746</v>
      </c>
      <c r="U52" s="170">
        <f t="shared" si="105"/>
        <v>1</v>
      </c>
      <c r="V52" s="169">
        <f t="shared" si="105"/>
        <v>1</v>
      </c>
      <c r="W52" s="172" t="e">
        <f t="shared" si="105"/>
        <v>#DIV/0!</v>
      </c>
      <c r="X52" s="172">
        <f t="shared" si="105"/>
        <v>5.9201579744427395</v>
      </c>
      <c r="Y52" s="170">
        <f t="shared" si="105"/>
        <v>1</v>
      </c>
      <c r="Z52" s="169">
        <f t="shared" si="105"/>
        <v>1</v>
      </c>
      <c r="AA52" s="172" t="e">
        <f t="shared" si="105"/>
        <v>#DIV/0!</v>
      </c>
      <c r="AB52" s="172">
        <f t="shared" si="105"/>
        <v>2.8461528248204782</v>
      </c>
      <c r="AC52" s="170">
        <f t="shared" si="105"/>
        <v>1</v>
      </c>
      <c r="AD52" s="169">
        <f t="shared" si="105"/>
        <v>1</v>
      </c>
      <c r="AE52" s="172" t="e">
        <f t="shared" si="105"/>
        <v>#DIV/0!</v>
      </c>
      <c r="AF52" s="172">
        <f t="shared" si="105"/>
        <v>1.6759992778617268</v>
      </c>
      <c r="AG52" s="170">
        <f t="shared" si="105"/>
        <v>1</v>
      </c>
      <c r="AH52" s="169">
        <f t="shared" si="105"/>
        <v>1</v>
      </c>
      <c r="AI52" s="172">
        <f t="shared" si="105"/>
        <v>1</v>
      </c>
      <c r="AJ52" s="172">
        <f t="shared" si="105"/>
        <v>1</v>
      </c>
      <c r="AK52" s="170">
        <f t="shared" si="105"/>
        <v>1</v>
      </c>
      <c r="AL52" s="169" t="e">
        <f t="shared" si="105"/>
        <v>#DIV/0!</v>
      </c>
      <c r="AM52" s="172" t="e">
        <f t="shared" si="105"/>
        <v>#DIV/0!</v>
      </c>
      <c r="AN52" s="172" t="e">
        <f t="shared" si="105"/>
        <v>#DIV/0!</v>
      </c>
      <c r="AO52" s="170" t="e">
        <f t="shared" si="105"/>
        <v>#DIV/0!</v>
      </c>
      <c r="AP52" s="169" t="e">
        <f t="shared" si="105"/>
        <v>#DIV/0!</v>
      </c>
      <c r="AQ52" s="172" t="e">
        <f t="shared" si="105"/>
        <v>#DIV/0!</v>
      </c>
      <c r="AR52" s="172" t="e">
        <f t="shared" si="105"/>
        <v>#DIV/0!</v>
      </c>
      <c r="AS52" s="170" t="e">
        <f t="shared" si="105"/>
        <v>#DIV/0!</v>
      </c>
      <c r="AT52" s="169" t="e">
        <f t="shared" si="105"/>
        <v>#DIV/0!</v>
      </c>
      <c r="AU52" s="172" t="e">
        <f t="shared" si="105"/>
        <v>#DIV/0!</v>
      </c>
      <c r="AV52" s="172" t="e">
        <f t="shared" si="105"/>
        <v>#DIV/0!</v>
      </c>
      <c r="AW52" s="170" t="e">
        <f t="shared" si="105"/>
        <v>#DIV/0!</v>
      </c>
      <c r="AX52" s="169" t="e">
        <f t="shared" si="105"/>
        <v>#DIV/0!</v>
      </c>
      <c r="AY52" s="172" t="e">
        <f t="shared" si="105"/>
        <v>#DIV/0!</v>
      </c>
      <c r="AZ52" s="172" t="e">
        <f t="shared" si="105"/>
        <v>#DIV/0!</v>
      </c>
      <c r="BA52" s="170" t="e">
        <f t="shared" si="105"/>
        <v>#DIV/0!</v>
      </c>
      <c r="BB52" s="169" t="e">
        <f t="shared" si="105"/>
        <v>#DIV/0!</v>
      </c>
      <c r="BC52" s="172" t="e">
        <f t="shared" si="105"/>
        <v>#DIV/0!</v>
      </c>
      <c r="BD52" s="172" t="e">
        <f t="shared" si="105"/>
        <v>#DIV/0!</v>
      </c>
      <c r="BE52" s="170" t="e">
        <f t="shared" si="105"/>
        <v>#DIV/0!</v>
      </c>
      <c r="BF52" s="169" t="e">
        <f t="shared" si="105"/>
        <v>#DIV/0!</v>
      </c>
      <c r="BG52" s="172" t="e">
        <f t="shared" si="105"/>
        <v>#DIV/0!</v>
      </c>
      <c r="BH52" s="172" t="e">
        <f t="shared" si="105"/>
        <v>#DIV/0!</v>
      </c>
      <c r="BI52" s="170" t="e">
        <f t="shared" si="105"/>
        <v>#DIV/0!</v>
      </c>
      <c r="BJ52" s="169" t="e">
        <f t="shared" si="105"/>
        <v>#DIV/0!</v>
      </c>
      <c r="BK52" s="172" t="e">
        <f t="shared" si="105"/>
        <v>#DIV/0!</v>
      </c>
      <c r="BL52" s="172" t="e">
        <f t="shared" si="105"/>
        <v>#DIV/0!</v>
      </c>
      <c r="BM52" s="170" t="e">
        <f t="shared" si="105"/>
        <v>#DIV/0!</v>
      </c>
      <c r="BN52" s="169" t="e">
        <f t="shared" si="105"/>
        <v>#DIV/0!</v>
      </c>
      <c r="BO52" s="172" t="e">
        <f t="shared" si="105"/>
        <v>#DIV/0!</v>
      </c>
      <c r="BP52" s="172" t="e">
        <f t="shared" si="105"/>
        <v>#DIV/0!</v>
      </c>
      <c r="BQ52" s="170" t="e">
        <f t="shared" si="105"/>
        <v>#DIV/0!</v>
      </c>
      <c r="BR52" s="169" t="e">
        <f t="shared" si="105"/>
        <v>#DIV/0!</v>
      </c>
      <c r="BS52" s="172" t="e">
        <f t="shared" si="105"/>
        <v>#DIV/0!</v>
      </c>
      <c r="BT52" s="172" t="e">
        <f t="shared" si="105"/>
        <v>#DIV/0!</v>
      </c>
      <c r="BU52" s="170" t="e">
        <f t="shared" si="105"/>
        <v>#DIV/0!</v>
      </c>
      <c r="BV52" s="169" t="e">
        <f t="shared" si="105"/>
        <v>#DIV/0!</v>
      </c>
      <c r="BW52" s="172" t="e">
        <f t="shared" si="105"/>
        <v>#DIV/0!</v>
      </c>
      <c r="BX52" s="172" t="e">
        <f t="shared" si="105"/>
        <v>#DIV/0!</v>
      </c>
      <c r="BY52" s="170" t="e">
        <f t="shared" si="105"/>
        <v>#DIV/0!</v>
      </c>
      <c r="BZ52" s="169" t="e">
        <f t="shared" ref="BZ52:CK52" si="106">(BZ50*EXP(BZ50*BZ48)+BZ49*EXP(-BZ49*BZ48))/((BZ50+BZ49)*EXP((BZ50-BZ49)*BZ48))</f>
        <v>#DIV/0!</v>
      </c>
      <c r="CA52" s="172" t="e">
        <f t="shared" si="106"/>
        <v>#DIV/0!</v>
      </c>
      <c r="CB52" s="172" t="e">
        <f t="shared" si="106"/>
        <v>#DIV/0!</v>
      </c>
      <c r="CC52" s="170" t="e">
        <f t="shared" si="106"/>
        <v>#DIV/0!</v>
      </c>
      <c r="CD52" s="169" t="e">
        <f t="shared" si="106"/>
        <v>#DIV/0!</v>
      </c>
      <c r="CE52" s="172" t="e">
        <f t="shared" si="106"/>
        <v>#DIV/0!</v>
      </c>
      <c r="CF52" s="172" t="e">
        <f t="shared" si="106"/>
        <v>#DIV/0!</v>
      </c>
      <c r="CG52" s="170" t="e">
        <f t="shared" si="106"/>
        <v>#DIV/0!</v>
      </c>
      <c r="CH52" s="169" t="e">
        <f t="shared" si="106"/>
        <v>#DIV/0!</v>
      </c>
      <c r="CI52" s="172" t="e">
        <f t="shared" si="106"/>
        <v>#DIV/0!</v>
      </c>
      <c r="CJ52" s="172" t="e">
        <f t="shared" si="106"/>
        <v>#DIV/0!</v>
      </c>
      <c r="CK52" s="170" t="e">
        <f t="shared" si="106"/>
        <v>#DIV/0!</v>
      </c>
      <c r="CL52" s="49"/>
      <c r="CM52" s="28"/>
    </row>
    <row r="53" spans="2:91" ht="14.25" x14ac:dyDescent="0.25">
      <c r="B53" s="55"/>
      <c r="C53" s="10" t="s">
        <v>272</v>
      </c>
      <c r="D53" s="93" t="s">
        <v>281</v>
      </c>
      <c r="E53" s="125">
        <f t="shared" ref="E53:L53" si="107">E48+2*(E51-1)</f>
        <v>3</v>
      </c>
      <c r="F53" s="162">
        <f>F48+2*(F51-1)</f>
        <v>55.566761768892789</v>
      </c>
      <c r="G53" s="164">
        <f t="shared" si="107"/>
        <v>55.566761768892789</v>
      </c>
      <c r="H53" s="164">
        <f t="shared" si="107"/>
        <v>72.83979948263466</v>
      </c>
      <c r="I53" s="163">
        <f t="shared" si="107"/>
        <v>72.83979948263466</v>
      </c>
      <c r="J53" s="162">
        <f t="shared" si="107"/>
        <v>14.428571428571429</v>
      </c>
      <c r="K53" s="164" t="e">
        <f t="shared" si="107"/>
        <v>#DIV/0!</v>
      </c>
      <c r="L53" s="164">
        <f t="shared" si="107"/>
        <v>17.285714285714285</v>
      </c>
      <c r="M53" s="163">
        <f>M48+2*(M51-1)</f>
        <v>17.285714285714285</v>
      </c>
      <c r="N53" s="169">
        <f t="shared" ref="N53:P53" si="108">N48+2*(N51-1)</f>
        <v>20.142857142857142</v>
      </c>
      <c r="O53" s="172">
        <f t="shared" si="108"/>
        <v>28.714285714285715</v>
      </c>
      <c r="P53" s="172">
        <f t="shared" si="108"/>
        <v>16.714285714285715</v>
      </c>
      <c r="Q53" s="170">
        <f>Q48+2*(Q51-1)</f>
        <v>18.142857142857142</v>
      </c>
      <c r="R53" s="169">
        <f t="shared" ref="R53:T53" si="109">R48+2*(R51-1)</f>
        <v>11</v>
      </c>
      <c r="S53" s="172" t="e">
        <f t="shared" si="109"/>
        <v>#DIV/0!</v>
      </c>
      <c r="T53" s="172">
        <f t="shared" si="109"/>
        <v>30.673058172423282</v>
      </c>
      <c r="U53" s="170">
        <f>U48+2*(U51-1)</f>
        <v>17.285714285714285</v>
      </c>
      <c r="V53" s="169">
        <f t="shared" ref="V53:X53" si="110">V48+2*(V51-1)</f>
        <v>24.142857142857142</v>
      </c>
      <c r="W53" s="172" t="e">
        <f t="shared" si="110"/>
        <v>#DIV/0!</v>
      </c>
      <c r="X53" s="172">
        <f t="shared" si="110"/>
        <v>21.750686823066509</v>
      </c>
      <c r="Y53" s="170">
        <f>Y48+2*(Y51-1)</f>
        <v>15.857142857142858</v>
      </c>
      <c r="Z53" s="169">
        <f t="shared" ref="Z53:AB53" si="111">Z48+2*(Z51-1)</f>
        <v>13</v>
      </c>
      <c r="AA53" s="172" t="e">
        <f t="shared" si="111"/>
        <v>#DIV/0!</v>
      </c>
      <c r="AB53" s="172">
        <f t="shared" si="111"/>
        <v>16.794870433093969</v>
      </c>
      <c r="AC53" s="170">
        <f>AC48+2*(AC51-1)</f>
        <v>15</v>
      </c>
      <c r="AD53" s="169">
        <f t="shared" ref="AD53:AF53" si="112">AD48+2*(AD51-1)</f>
        <v>12.428571428571429</v>
      </c>
      <c r="AE53" s="172" t="e">
        <f t="shared" si="112"/>
        <v>#DIV/0!</v>
      </c>
      <c r="AF53" s="172">
        <f t="shared" si="112"/>
        <v>11.806094275244206</v>
      </c>
      <c r="AG53" s="170">
        <f>AG48+2*(AG51-1)</f>
        <v>11.571428571428571</v>
      </c>
      <c r="AH53" s="169">
        <f t="shared" ref="AH53:AJ53" si="113">AH48+2*(AH51-1)</f>
        <v>12.714285714285714</v>
      </c>
      <c r="AI53" s="172">
        <f t="shared" si="113"/>
        <v>15.571428571428571</v>
      </c>
      <c r="AJ53" s="172">
        <f t="shared" si="113"/>
        <v>14.714285714285714</v>
      </c>
      <c r="AK53" s="170">
        <f>AK48+2*(AK51-1)</f>
        <v>14.714285714285714</v>
      </c>
      <c r="AL53" s="169" t="e">
        <f t="shared" ref="AL53:AN53" si="114">AL48+2*(AL51-1)</f>
        <v>#DIV/0!</v>
      </c>
      <c r="AM53" s="172" t="e">
        <f t="shared" si="114"/>
        <v>#DIV/0!</v>
      </c>
      <c r="AN53" s="172" t="e">
        <f t="shared" si="114"/>
        <v>#DIV/0!</v>
      </c>
      <c r="AO53" s="170" t="e">
        <f>AO48+2*(AO51-1)</f>
        <v>#DIV/0!</v>
      </c>
      <c r="AP53" s="169" t="e">
        <f t="shared" ref="AP53:AR53" si="115">AP48+2*(AP51-1)</f>
        <v>#DIV/0!</v>
      </c>
      <c r="AQ53" s="172" t="e">
        <f t="shared" si="115"/>
        <v>#DIV/0!</v>
      </c>
      <c r="AR53" s="172" t="e">
        <f t="shared" si="115"/>
        <v>#DIV/0!</v>
      </c>
      <c r="AS53" s="170" t="e">
        <f>AS48+2*(AS51-1)</f>
        <v>#DIV/0!</v>
      </c>
      <c r="AT53" s="169" t="e">
        <f t="shared" ref="AT53:AV53" si="116">AT48+2*(AT51-1)</f>
        <v>#DIV/0!</v>
      </c>
      <c r="AU53" s="172" t="e">
        <f t="shared" si="116"/>
        <v>#DIV/0!</v>
      </c>
      <c r="AV53" s="172" t="e">
        <f t="shared" si="116"/>
        <v>#DIV/0!</v>
      </c>
      <c r="AW53" s="170" t="e">
        <f>AW48+2*(AW51-1)</f>
        <v>#DIV/0!</v>
      </c>
      <c r="AX53" s="169" t="e">
        <f t="shared" ref="AX53:AZ53" si="117">AX48+2*(AX51-1)</f>
        <v>#DIV/0!</v>
      </c>
      <c r="AY53" s="172" t="e">
        <f t="shared" si="117"/>
        <v>#DIV/0!</v>
      </c>
      <c r="AZ53" s="172" t="e">
        <f t="shared" si="117"/>
        <v>#DIV/0!</v>
      </c>
      <c r="BA53" s="170" t="e">
        <f>BA48+2*(BA51-1)</f>
        <v>#DIV/0!</v>
      </c>
      <c r="BB53" s="169" t="e">
        <f t="shared" ref="BB53:BD53" si="118">BB48+2*(BB51-1)</f>
        <v>#DIV/0!</v>
      </c>
      <c r="BC53" s="172" t="e">
        <f t="shared" si="118"/>
        <v>#DIV/0!</v>
      </c>
      <c r="BD53" s="172" t="e">
        <f t="shared" si="118"/>
        <v>#DIV/0!</v>
      </c>
      <c r="BE53" s="170" t="e">
        <f>BE48+2*(BE51-1)</f>
        <v>#DIV/0!</v>
      </c>
      <c r="BF53" s="169" t="e">
        <f t="shared" ref="BF53:BH53" si="119">BF48+2*(BF51-1)</f>
        <v>#DIV/0!</v>
      </c>
      <c r="BG53" s="172" t="e">
        <f t="shared" si="119"/>
        <v>#DIV/0!</v>
      </c>
      <c r="BH53" s="172" t="e">
        <f t="shared" si="119"/>
        <v>#DIV/0!</v>
      </c>
      <c r="BI53" s="170" t="e">
        <f>BI48+2*(BI51-1)</f>
        <v>#DIV/0!</v>
      </c>
      <c r="BJ53" s="169" t="e">
        <f t="shared" ref="BJ53:BL53" si="120">BJ48+2*(BJ51-1)</f>
        <v>#DIV/0!</v>
      </c>
      <c r="BK53" s="172" t="e">
        <f t="shared" si="120"/>
        <v>#DIV/0!</v>
      </c>
      <c r="BL53" s="172" t="e">
        <f t="shared" si="120"/>
        <v>#DIV/0!</v>
      </c>
      <c r="BM53" s="170" t="e">
        <f>BM48+2*(BM51-1)</f>
        <v>#DIV/0!</v>
      </c>
      <c r="BN53" s="169" t="e">
        <f t="shared" ref="BN53:BP53" si="121">BN48+2*(BN51-1)</f>
        <v>#DIV/0!</v>
      </c>
      <c r="BO53" s="172" t="e">
        <f t="shared" si="121"/>
        <v>#DIV/0!</v>
      </c>
      <c r="BP53" s="172" t="e">
        <f t="shared" si="121"/>
        <v>#DIV/0!</v>
      </c>
      <c r="BQ53" s="170" t="e">
        <f>BQ48+2*(BQ51-1)</f>
        <v>#DIV/0!</v>
      </c>
      <c r="BR53" s="169" t="e">
        <f t="shared" ref="BR53:BT53" si="122">BR48+2*(BR51-1)</f>
        <v>#DIV/0!</v>
      </c>
      <c r="BS53" s="172" t="e">
        <f t="shared" si="122"/>
        <v>#DIV/0!</v>
      </c>
      <c r="BT53" s="172" t="e">
        <f t="shared" si="122"/>
        <v>#DIV/0!</v>
      </c>
      <c r="BU53" s="170" t="e">
        <f>BU48+2*(BU51-1)</f>
        <v>#DIV/0!</v>
      </c>
      <c r="BV53" s="169" t="e">
        <f t="shared" ref="BV53:BX53" si="123">BV48+2*(BV51-1)</f>
        <v>#DIV/0!</v>
      </c>
      <c r="BW53" s="172" t="e">
        <f t="shared" si="123"/>
        <v>#DIV/0!</v>
      </c>
      <c r="BX53" s="172" t="e">
        <f t="shared" si="123"/>
        <v>#DIV/0!</v>
      </c>
      <c r="BY53" s="170" t="e">
        <f>BY48+2*(BY51-1)</f>
        <v>#DIV/0!</v>
      </c>
      <c r="BZ53" s="169" t="e">
        <f t="shared" ref="BZ53:CB53" si="124">BZ48+2*(BZ51-1)</f>
        <v>#DIV/0!</v>
      </c>
      <c r="CA53" s="172" t="e">
        <f t="shared" si="124"/>
        <v>#DIV/0!</v>
      </c>
      <c r="CB53" s="172" t="e">
        <f t="shared" si="124"/>
        <v>#DIV/0!</v>
      </c>
      <c r="CC53" s="170" t="e">
        <f>CC48+2*(CC51-1)</f>
        <v>#DIV/0!</v>
      </c>
      <c r="CD53" s="169" t="e">
        <f t="shared" ref="CD53:CF53" si="125">CD48+2*(CD51-1)</f>
        <v>#DIV/0!</v>
      </c>
      <c r="CE53" s="172" t="e">
        <f t="shared" si="125"/>
        <v>#DIV/0!</v>
      </c>
      <c r="CF53" s="172" t="e">
        <f t="shared" si="125"/>
        <v>#DIV/0!</v>
      </c>
      <c r="CG53" s="170" t="e">
        <f>CG48+2*(CG51-1)</f>
        <v>#DIV/0!</v>
      </c>
      <c r="CH53" s="169" t="e">
        <f t="shared" ref="CH53:CJ53" si="126">CH48+2*(CH51-1)</f>
        <v>#DIV/0!</v>
      </c>
      <c r="CI53" s="172" t="e">
        <f t="shared" si="126"/>
        <v>#DIV/0!</v>
      </c>
      <c r="CJ53" s="172" t="e">
        <f t="shared" si="126"/>
        <v>#DIV/0!</v>
      </c>
      <c r="CK53" s="170" t="e">
        <f>CK48+2*(CK51-1)</f>
        <v>#DIV/0!</v>
      </c>
      <c r="CL53" s="49"/>
      <c r="CM53" s="28"/>
    </row>
    <row r="54" spans="2:91" ht="14.25" x14ac:dyDescent="0.25">
      <c r="B54" s="55"/>
      <c r="C54" s="10" t="s">
        <v>288</v>
      </c>
      <c r="D54" s="93" t="s">
        <v>283</v>
      </c>
      <c r="E54" s="125">
        <f t="shared" ref="E54:AJ54" si="127">1-EXP(-E53*E49/E9)</f>
        <v>0.11750309741540454</v>
      </c>
      <c r="F54" s="162">
        <f t="shared" si="127"/>
        <v>0.97515725839986389</v>
      </c>
      <c r="G54" s="164">
        <f t="shared" si="127"/>
        <v>0.97515725839986389</v>
      </c>
      <c r="H54" s="164">
        <f t="shared" si="127"/>
        <v>0.99462095241342408</v>
      </c>
      <c r="I54" s="163">
        <f t="shared" si="127"/>
        <v>0.99462095241342408</v>
      </c>
      <c r="J54" s="162">
        <f t="shared" si="127"/>
        <v>8.6232002155402054E-2</v>
      </c>
      <c r="K54" s="164" t="e">
        <f t="shared" si="127"/>
        <v>#DIV/0!</v>
      </c>
      <c r="L54" s="164">
        <f t="shared" si="127"/>
        <v>0.58666301048606795</v>
      </c>
      <c r="M54" s="163">
        <f t="shared" si="127"/>
        <v>0.58666301048606795</v>
      </c>
      <c r="N54" s="169">
        <f t="shared" si="127"/>
        <v>0.81517818777849915</v>
      </c>
      <c r="O54" s="172">
        <f t="shared" si="127"/>
        <v>0.90989823058284514</v>
      </c>
      <c r="P54" s="172">
        <f t="shared" si="127"/>
        <v>0.63317014282647643</v>
      </c>
      <c r="Q54" s="170">
        <f t="shared" si="127"/>
        <v>0.66330285377505904</v>
      </c>
      <c r="R54" s="169">
        <f t="shared" si="127"/>
        <v>0.12446194942699262</v>
      </c>
      <c r="S54" s="172" t="e">
        <f t="shared" si="127"/>
        <v>#DIV/0!</v>
      </c>
      <c r="T54" s="172">
        <f t="shared" si="127"/>
        <v>0.99979719250896981</v>
      </c>
      <c r="U54" s="170">
        <f t="shared" si="127"/>
        <v>0.99170401923781448</v>
      </c>
      <c r="V54" s="169">
        <f t="shared" si="127"/>
        <v>0.19133272418186886</v>
      </c>
      <c r="W54" s="172" t="e">
        <f t="shared" si="127"/>
        <v>#DIV/0!</v>
      </c>
      <c r="X54" s="172">
        <f t="shared" si="127"/>
        <v>0.83807354773299236</v>
      </c>
      <c r="Y54" s="170">
        <f t="shared" si="127"/>
        <v>0.86343469870023359</v>
      </c>
      <c r="Z54" s="169">
        <f t="shared" si="127"/>
        <v>0.23449705920195518</v>
      </c>
      <c r="AA54" s="172" t="e">
        <f t="shared" si="127"/>
        <v>#DIV/0!</v>
      </c>
      <c r="AB54" s="172">
        <f t="shared" si="127"/>
        <v>0.66014150303081476</v>
      </c>
      <c r="AC54" s="170">
        <f t="shared" si="127"/>
        <v>0.61859325033234502</v>
      </c>
      <c r="AD54" s="169">
        <f t="shared" si="127"/>
        <v>4.7183871238860364E-2</v>
      </c>
      <c r="AE54" s="172" t="e">
        <f t="shared" si="127"/>
        <v>#DIV/0!</v>
      </c>
      <c r="AF54" s="172">
        <f t="shared" si="127"/>
        <v>0.64755886408274432</v>
      </c>
      <c r="AG54" s="170">
        <f t="shared" si="127"/>
        <v>0.64017693596464142</v>
      </c>
      <c r="AH54" s="169">
        <f t="shared" si="127"/>
        <v>0.70221659597820096</v>
      </c>
      <c r="AI54" s="172">
        <f t="shared" si="127"/>
        <v>0.77318285417517729</v>
      </c>
      <c r="AJ54" s="172">
        <f t="shared" si="127"/>
        <v>0.48495720825604749</v>
      </c>
      <c r="AK54" s="170">
        <f t="shared" ref="AK54:BP54" si="128">1-EXP(-AK53*AK49/AK9)</f>
        <v>0.48495720825604749</v>
      </c>
      <c r="AL54" s="169" t="e">
        <f t="shared" si="128"/>
        <v>#DIV/0!</v>
      </c>
      <c r="AM54" s="172" t="e">
        <f t="shared" si="128"/>
        <v>#DIV/0!</v>
      </c>
      <c r="AN54" s="172" t="e">
        <f t="shared" si="128"/>
        <v>#DIV/0!</v>
      </c>
      <c r="AO54" s="170" t="e">
        <f t="shared" si="128"/>
        <v>#DIV/0!</v>
      </c>
      <c r="AP54" s="169" t="e">
        <f t="shared" si="128"/>
        <v>#DIV/0!</v>
      </c>
      <c r="AQ54" s="172" t="e">
        <f t="shared" si="128"/>
        <v>#DIV/0!</v>
      </c>
      <c r="AR54" s="172" t="e">
        <f t="shared" si="128"/>
        <v>#DIV/0!</v>
      </c>
      <c r="AS54" s="170" t="e">
        <f t="shared" si="128"/>
        <v>#DIV/0!</v>
      </c>
      <c r="AT54" s="169" t="e">
        <f t="shared" si="128"/>
        <v>#DIV/0!</v>
      </c>
      <c r="AU54" s="172" t="e">
        <f t="shared" si="128"/>
        <v>#DIV/0!</v>
      </c>
      <c r="AV54" s="172" t="e">
        <f t="shared" si="128"/>
        <v>#DIV/0!</v>
      </c>
      <c r="AW54" s="170" t="e">
        <f t="shared" si="128"/>
        <v>#DIV/0!</v>
      </c>
      <c r="AX54" s="169" t="e">
        <f t="shared" si="128"/>
        <v>#DIV/0!</v>
      </c>
      <c r="AY54" s="172" t="e">
        <f t="shared" si="128"/>
        <v>#DIV/0!</v>
      </c>
      <c r="AZ54" s="172" t="e">
        <f t="shared" si="128"/>
        <v>#DIV/0!</v>
      </c>
      <c r="BA54" s="170" t="e">
        <f t="shared" si="128"/>
        <v>#DIV/0!</v>
      </c>
      <c r="BB54" s="169" t="e">
        <f t="shared" si="128"/>
        <v>#DIV/0!</v>
      </c>
      <c r="BC54" s="172" t="e">
        <f t="shared" si="128"/>
        <v>#DIV/0!</v>
      </c>
      <c r="BD54" s="172" t="e">
        <f t="shared" si="128"/>
        <v>#DIV/0!</v>
      </c>
      <c r="BE54" s="170" t="e">
        <f t="shared" si="128"/>
        <v>#DIV/0!</v>
      </c>
      <c r="BF54" s="169" t="e">
        <f t="shared" si="128"/>
        <v>#DIV/0!</v>
      </c>
      <c r="BG54" s="172" t="e">
        <f t="shared" si="128"/>
        <v>#DIV/0!</v>
      </c>
      <c r="BH54" s="172" t="e">
        <f t="shared" si="128"/>
        <v>#DIV/0!</v>
      </c>
      <c r="BI54" s="170" t="e">
        <f t="shared" si="128"/>
        <v>#DIV/0!</v>
      </c>
      <c r="BJ54" s="169" t="e">
        <f t="shared" si="128"/>
        <v>#DIV/0!</v>
      </c>
      <c r="BK54" s="172" t="e">
        <f t="shared" si="128"/>
        <v>#DIV/0!</v>
      </c>
      <c r="BL54" s="172" t="e">
        <f t="shared" si="128"/>
        <v>#DIV/0!</v>
      </c>
      <c r="BM54" s="170" t="e">
        <f t="shared" si="128"/>
        <v>#DIV/0!</v>
      </c>
      <c r="BN54" s="169" t="e">
        <f t="shared" si="128"/>
        <v>#DIV/0!</v>
      </c>
      <c r="BO54" s="172" t="e">
        <f t="shared" si="128"/>
        <v>#DIV/0!</v>
      </c>
      <c r="BP54" s="172" t="e">
        <f t="shared" si="128"/>
        <v>#DIV/0!</v>
      </c>
      <c r="BQ54" s="170" t="e">
        <f t="shared" ref="BQ54:CK54" si="129">1-EXP(-BQ53*BQ49/BQ9)</f>
        <v>#DIV/0!</v>
      </c>
      <c r="BR54" s="169" t="e">
        <f t="shared" si="129"/>
        <v>#DIV/0!</v>
      </c>
      <c r="BS54" s="172" t="e">
        <f t="shared" si="129"/>
        <v>#DIV/0!</v>
      </c>
      <c r="BT54" s="172" t="e">
        <f t="shared" si="129"/>
        <v>#DIV/0!</v>
      </c>
      <c r="BU54" s="170" t="e">
        <f t="shared" si="129"/>
        <v>#DIV/0!</v>
      </c>
      <c r="BV54" s="169" t="e">
        <f t="shared" si="129"/>
        <v>#DIV/0!</v>
      </c>
      <c r="BW54" s="172" t="e">
        <f t="shared" si="129"/>
        <v>#DIV/0!</v>
      </c>
      <c r="BX54" s="172" t="e">
        <f t="shared" si="129"/>
        <v>#DIV/0!</v>
      </c>
      <c r="BY54" s="170" t="e">
        <f t="shared" si="129"/>
        <v>#DIV/0!</v>
      </c>
      <c r="BZ54" s="169" t="e">
        <f t="shared" si="129"/>
        <v>#DIV/0!</v>
      </c>
      <c r="CA54" s="172" t="e">
        <f t="shared" si="129"/>
        <v>#DIV/0!</v>
      </c>
      <c r="CB54" s="172" t="e">
        <f t="shared" si="129"/>
        <v>#DIV/0!</v>
      </c>
      <c r="CC54" s="170" t="e">
        <f t="shared" si="129"/>
        <v>#DIV/0!</v>
      </c>
      <c r="CD54" s="169" t="e">
        <f t="shared" si="129"/>
        <v>#DIV/0!</v>
      </c>
      <c r="CE54" s="172" t="e">
        <f t="shared" si="129"/>
        <v>#DIV/0!</v>
      </c>
      <c r="CF54" s="172" t="e">
        <f t="shared" si="129"/>
        <v>#DIV/0!</v>
      </c>
      <c r="CG54" s="170" t="e">
        <f t="shared" si="129"/>
        <v>#DIV/0!</v>
      </c>
      <c r="CH54" s="169" t="e">
        <f t="shared" si="129"/>
        <v>#DIV/0!</v>
      </c>
      <c r="CI54" s="172" t="e">
        <f t="shared" si="129"/>
        <v>#DIV/0!</v>
      </c>
      <c r="CJ54" s="172" t="e">
        <f t="shared" si="129"/>
        <v>#DIV/0!</v>
      </c>
      <c r="CK54" s="170" t="e">
        <f t="shared" si="129"/>
        <v>#DIV/0!</v>
      </c>
      <c r="CL54" s="49"/>
      <c r="CM54" s="28"/>
    </row>
    <row r="55" spans="2:91" ht="14.25" x14ac:dyDescent="0.25">
      <c r="B55" s="55"/>
      <c r="C55" s="10" t="s">
        <v>282</v>
      </c>
      <c r="D55" s="93" t="s">
        <v>284</v>
      </c>
      <c r="E55" s="125">
        <f t="shared" ref="E55:AJ55" si="130">1-(1-E54)^E9</f>
        <v>0.39346934028736635</v>
      </c>
      <c r="F55" s="162">
        <f t="shared" si="130"/>
        <v>0.99999999053768041</v>
      </c>
      <c r="G55" s="164">
        <f t="shared" si="130"/>
        <v>0.99999999053768041</v>
      </c>
      <c r="H55" s="164">
        <f t="shared" si="130"/>
        <v>0.99999999916281479</v>
      </c>
      <c r="I55" s="163">
        <f t="shared" si="130"/>
        <v>0.99999999916281479</v>
      </c>
      <c r="J55" s="162">
        <f t="shared" si="130"/>
        <v>0.16502804611507482</v>
      </c>
      <c r="K55" s="164" t="e">
        <f t="shared" si="130"/>
        <v>#DIV/0!</v>
      </c>
      <c r="L55" s="164">
        <f t="shared" si="130"/>
        <v>0.92938242236529078</v>
      </c>
      <c r="M55" s="163">
        <f t="shared" si="130"/>
        <v>0.92938242236529078</v>
      </c>
      <c r="N55" s="169">
        <f t="shared" si="130"/>
        <v>0.99883315573191367</v>
      </c>
      <c r="O55" s="172">
        <f t="shared" si="130"/>
        <v>0.99993409273664913</v>
      </c>
      <c r="P55" s="172">
        <f t="shared" si="130"/>
        <v>0.98189249111888066</v>
      </c>
      <c r="Q55" s="170">
        <f t="shared" si="130"/>
        <v>0.98714838396777715</v>
      </c>
      <c r="R55" s="169">
        <f t="shared" si="130"/>
        <v>0.23343312199881794</v>
      </c>
      <c r="S55" s="172" t="e">
        <f t="shared" si="130"/>
        <v>#DIV/0!</v>
      </c>
      <c r="T55" s="172">
        <f t="shared" si="130"/>
        <v>0.99979719250896981</v>
      </c>
      <c r="U55" s="170">
        <f t="shared" si="130"/>
        <v>0.99170401923781448</v>
      </c>
      <c r="V55" s="169">
        <f t="shared" si="130"/>
        <v>0.47117788732069532</v>
      </c>
      <c r="W55" s="172" t="e">
        <f t="shared" si="130"/>
        <v>#DIV/0!</v>
      </c>
      <c r="X55" s="172">
        <f t="shared" si="130"/>
        <v>0.99575425993160704</v>
      </c>
      <c r="Y55" s="170">
        <f t="shared" si="130"/>
        <v>0.98134991848090403</v>
      </c>
      <c r="Z55" s="169">
        <f t="shared" si="130"/>
        <v>0.41400524762954505</v>
      </c>
      <c r="AA55" s="172" t="e">
        <f t="shared" si="130"/>
        <v>#DIV/0!</v>
      </c>
      <c r="AB55" s="172">
        <f t="shared" si="130"/>
        <v>0.96074505283035005</v>
      </c>
      <c r="AC55" s="170">
        <f t="shared" si="130"/>
        <v>0.94451633726321682</v>
      </c>
      <c r="AD55" s="169">
        <f t="shared" si="130"/>
        <v>9.2141424772635427E-2</v>
      </c>
      <c r="AE55" s="172" t="e">
        <f t="shared" si="130"/>
        <v>#DIV/0!</v>
      </c>
      <c r="AF55" s="172">
        <f t="shared" si="130"/>
        <v>0.87578524571335448</v>
      </c>
      <c r="AG55" s="170">
        <f t="shared" si="130"/>
        <v>0.87052736258820618</v>
      </c>
      <c r="AH55" s="169">
        <f t="shared" si="130"/>
        <v>0.91132504428919003</v>
      </c>
      <c r="AI55" s="172">
        <f t="shared" si="130"/>
        <v>0.94855398235988109</v>
      </c>
      <c r="AJ55" s="172">
        <f t="shared" si="130"/>
        <v>0.86337507384995116</v>
      </c>
      <c r="AK55" s="170">
        <f t="shared" ref="AK55:BP55" si="131">1-(1-AK54)^AK9</f>
        <v>0.86337507384995116</v>
      </c>
      <c r="AL55" s="169" t="e">
        <f t="shared" si="131"/>
        <v>#DIV/0!</v>
      </c>
      <c r="AM55" s="172" t="e">
        <f t="shared" si="131"/>
        <v>#DIV/0!</v>
      </c>
      <c r="AN55" s="172" t="e">
        <f t="shared" si="131"/>
        <v>#DIV/0!</v>
      </c>
      <c r="AO55" s="170" t="e">
        <f t="shared" si="131"/>
        <v>#DIV/0!</v>
      </c>
      <c r="AP55" s="169" t="e">
        <f t="shared" si="131"/>
        <v>#DIV/0!</v>
      </c>
      <c r="AQ55" s="172" t="e">
        <f t="shared" si="131"/>
        <v>#DIV/0!</v>
      </c>
      <c r="AR55" s="172" t="e">
        <f t="shared" si="131"/>
        <v>#DIV/0!</v>
      </c>
      <c r="AS55" s="170" t="e">
        <f t="shared" si="131"/>
        <v>#DIV/0!</v>
      </c>
      <c r="AT55" s="169" t="e">
        <f t="shared" si="131"/>
        <v>#DIV/0!</v>
      </c>
      <c r="AU55" s="172" t="e">
        <f t="shared" si="131"/>
        <v>#DIV/0!</v>
      </c>
      <c r="AV55" s="172" t="e">
        <f t="shared" si="131"/>
        <v>#DIV/0!</v>
      </c>
      <c r="AW55" s="170" t="e">
        <f t="shared" si="131"/>
        <v>#DIV/0!</v>
      </c>
      <c r="AX55" s="169" t="e">
        <f t="shared" si="131"/>
        <v>#DIV/0!</v>
      </c>
      <c r="AY55" s="172" t="e">
        <f t="shared" si="131"/>
        <v>#DIV/0!</v>
      </c>
      <c r="AZ55" s="172" t="e">
        <f t="shared" si="131"/>
        <v>#DIV/0!</v>
      </c>
      <c r="BA55" s="170" t="e">
        <f t="shared" si="131"/>
        <v>#DIV/0!</v>
      </c>
      <c r="BB55" s="169" t="e">
        <f t="shared" si="131"/>
        <v>#DIV/0!</v>
      </c>
      <c r="BC55" s="172" t="e">
        <f t="shared" si="131"/>
        <v>#DIV/0!</v>
      </c>
      <c r="BD55" s="172" t="e">
        <f t="shared" si="131"/>
        <v>#DIV/0!</v>
      </c>
      <c r="BE55" s="170" t="e">
        <f t="shared" si="131"/>
        <v>#DIV/0!</v>
      </c>
      <c r="BF55" s="169" t="e">
        <f t="shared" si="131"/>
        <v>#DIV/0!</v>
      </c>
      <c r="BG55" s="172" t="e">
        <f t="shared" si="131"/>
        <v>#DIV/0!</v>
      </c>
      <c r="BH55" s="172" t="e">
        <f t="shared" si="131"/>
        <v>#DIV/0!</v>
      </c>
      <c r="BI55" s="170" t="e">
        <f t="shared" si="131"/>
        <v>#DIV/0!</v>
      </c>
      <c r="BJ55" s="169" t="e">
        <f t="shared" si="131"/>
        <v>#DIV/0!</v>
      </c>
      <c r="BK55" s="172" t="e">
        <f t="shared" si="131"/>
        <v>#DIV/0!</v>
      </c>
      <c r="BL55" s="172" t="e">
        <f t="shared" si="131"/>
        <v>#DIV/0!</v>
      </c>
      <c r="BM55" s="170" t="e">
        <f t="shared" si="131"/>
        <v>#DIV/0!</v>
      </c>
      <c r="BN55" s="169" t="e">
        <f t="shared" si="131"/>
        <v>#DIV/0!</v>
      </c>
      <c r="BO55" s="172" t="e">
        <f t="shared" si="131"/>
        <v>#DIV/0!</v>
      </c>
      <c r="BP55" s="172" t="e">
        <f t="shared" si="131"/>
        <v>#DIV/0!</v>
      </c>
      <c r="BQ55" s="170" t="e">
        <f t="shared" ref="BQ55:CK55" si="132">1-(1-BQ54)^BQ9</f>
        <v>#DIV/0!</v>
      </c>
      <c r="BR55" s="169" t="e">
        <f t="shared" si="132"/>
        <v>#DIV/0!</v>
      </c>
      <c r="BS55" s="172" t="e">
        <f t="shared" si="132"/>
        <v>#DIV/0!</v>
      </c>
      <c r="BT55" s="172" t="e">
        <f t="shared" si="132"/>
        <v>#DIV/0!</v>
      </c>
      <c r="BU55" s="170" t="e">
        <f t="shared" si="132"/>
        <v>#DIV/0!</v>
      </c>
      <c r="BV55" s="169" t="e">
        <f t="shared" si="132"/>
        <v>#DIV/0!</v>
      </c>
      <c r="BW55" s="172" t="e">
        <f t="shared" si="132"/>
        <v>#DIV/0!</v>
      </c>
      <c r="BX55" s="172" t="e">
        <f t="shared" si="132"/>
        <v>#DIV/0!</v>
      </c>
      <c r="BY55" s="170" t="e">
        <f t="shared" si="132"/>
        <v>#DIV/0!</v>
      </c>
      <c r="BZ55" s="169" t="e">
        <f t="shared" si="132"/>
        <v>#DIV/0!</v>
      </c>
      <c r="CA55" s="172" t="e">
        <f t="shared" si="132"/>
        <v>#DIV/0!</v>
      </c>
      <c r="CB55" s="172" t="e">
        <f t="shared" si="132"/>
        <v>#DIV/0!</v>
      </c>
      <c r="CC55" s="170" t="e">
        <f t="shared" si="132"/>
        <v>#DIV/0!</v>
      </c>
      <c r="CD55" s="169" t="e">
        <f t="shared" si="132"/>
        <v>#DIV/0!</v>
      </c>
      <c r="CE55" s="172" t="e">
        <f t="shared" si="132"/>
        <v>#DIV/0!</v>
      </c>
      <c r="CF55" s="172" t="e">
        <f t="shared" si="132"/>
        <v>#DIV/0!</v>
      </c>
      <c r="CG55" s="170" t="e">
        <f t="shared" si="132"/>
        <v>#DIV/0!</v>
      </c>
      <c r="CH55" s="169" t="e">
        <f t="shared" si="132"/>
        <v>#DIV/0!</v>
      </c>
      <c r="CI55" s="172" t="e">
        <f t="shared" si="132"/>
        <v>#DIV/0!</v>
      </c>
      <c r="CJ55" s="172" t="e">
        <f t="shared" si="132"/>
        <v>#DIV/0!</v>
      </c>
      <c r="CK55" s="170" t="e">
        <f t="shared" si="132"/>
        <v>#DIV/0!</v>
      </c>
      <c r="CL55" s="49"/>
      <c r="CM55" s="28"/>
    </row>
    <row r="56" spans="2:91" ht="14.25" x14ac:dyDescent="0.25">
      <c r="B56" s="55"/>
      <c r="C56" s="10" t="s">
        <v>285</v>
      </c>
      <c r="D56" s="93" t="s">
        <v>295</v>
      </c>
      <c r="E56" s="125" t="str">
        <f t="shared" ref="E56:J56" si="133">IF(E42="Free", (1/E49)*(EXP(E49*E53)-E49*E53-1)/E55, "-")</f>
        <v>-</v>
      </c>
      <c r="F56" s="162" t="str">
        <f>IF(F42="Free", (1/F49)*(EXP(F49*F53)-F49*F53-1)/F55, "-")</f>
        <v>-</v>
      </c>
      <c r="G56" s="164" t="str">
        <f t="shared" si="133"/>
        <v>-</v>
      </c>
      <c r="H56" s="164" t="str">
        <f t="shared" si="133"/>
        <v>-</v>
      </c>
      <c r="I56" s="163" t="str">
        <f t="shared" si="133"/>
        <v>-</v>
      </c>
      <c r="J56" s="162" t="str">
        <f t="shared" si="133"/>
        <v>-</v>
      </c>
      <c r="K56" s="164" t="str">
        <f>IF(K42="Free", (1/K49)*(EXP(K49*K53)-K49*K53-1)/K55, "-")</f>
        <v>-</v>
      </c>
      <c r="L56" s="164">
        <f>IF(L42="Free", (1/L49)*(EXP(L49*L53)-L49*L53-1)/L55, "-")</f>
        <v>73.753774260029189</v>
      </c>
      <c r="M56" s="163">
        <f>IF(M42="Free", (1/M49)*(EXP(M49*M53)-M49*M53-1)/M55, "-")</f>
        <v>73.753774260029189</v>
      </c>
      <c r="N56" s="169" t="str">
        <f t="shared" ref="N56" si="134">IF(N42="Free", (1/N49)*(EXP(N49*N53)-N49*N53-1)/N55, "-")</f>
        <v>-</v>
      </c>
      <c r="O56" s="172" t="str">
        <f>IF(O42="Free", (1/O49)*(EXP(O49*O53)-O49*O53-1)/O55, "-")</f>
        <v>-</v>
      </c>
      <c r="P56" s="172" t="str">
        <f>IF(P42="Free", (1/P49)*(EXP(P49*P53)-P49*P53-1)/P55, "-")</f>
        <v>-</v>
      </c>
      <c r="Q56" s="170" t="str">
        <f>IF(Q42="Free", (1/Q49)*(EXP(Q49*Q53)-Q49*Q53-1)/Q55, "-")</f>
        <v>-</v>
      </c>
      <c r="R56" s="169" t="str">
        <f t="shared" ref="R56" si="135">IF(R42="Free", (1/R49)*(EXP(R49*R53)-R49*R53-1)/R55, "-")</f>
        <v>-</v>
      </c>
      <c r="S56" s="172" t="str">
        <f>IF(S42="Free", (1/S49)*(EXP(S49*S53)-S49*S53-1)/S55, "-")</f>
        <v>-</v>
      </c>
      <c r="T56" s="172">
        <f>IF(T42="Free", (1/T49)*(EXP(T49*T53)-T49*T53-1)/T55, "-")</f>
        <v>17755.717122330003</v>
      </c>
      <c r="U56" s="170">
        <f>IF(U42="Free", (1/U49)*(EXP(U49*U53)-U49*U53-1)/U55, "-")</f>
        <v>417.38438927736411</v>
      </c>
      <c r="V56" s="169" t="str">
        <f t="shared" ref="V56" si="136">IF(V42="Free", (1/V49)*(EXP(V49*V53)-V49*V53-1)/V55, "-")</f>
        <v>-</v>
      </c>
      <c r="W56" s="172" t="str">
        <f>IF(W42="Free", (1/W49)*(EXP(W49*W53)-W49*W53-1)/W55, "-")</f>
        <v>-</v>
      </c>
      <c r="X56" s="172" t="str">
        <f>IF(X42="Free", (1/X49)*(EXP(X49*X53)-X49*X53-1)/X55, "-")</f>
        <v>-</v>
      </c>
      <c r="Y56" s="170" t="str">
        <f>IF(Y42="Free", (1/Y49)*(EXP(Y49*Y53)-Y49*Y53-1)/Y55, "-")</f>
        <v>-</v>
      </c>
      <c r="Z56" s="169" t="str">
        <f t="shared" ref="Z56" si="137">IF(Z42="Free", (1/Z49)*(EXP(Z49*Z53)-Z49*Z53-1)/Z55, "-")</f>
        <v>-</v>
      </c>
      <c r="AA56" s="172" t="str">
        <f>IF(AA42="Free", (1/AA49)*(EXP(AA49*AA53)-AA49*AA53-1)/AA55, "-")</f>
        <v>-</v>
      </c>
      <c r="AB56" s="172" t="str">
        <f>IF(AB42="Free", (1/AB49)*(EXP(AB49*AB53)-AB49*AB53-1)/AB55, "-")</f>
        <v>-</v>
      </c>
      <c r="AC56" s="170" t="str">
        <f>IF(AC42="Free", (1/AC49)*(EXP(AC49*AC53)-AC49*AC53-1)/AC55, "-")</f>
        <v>-</v>
      </c>
      <c r="AD56" s="169" t="str">
        <f t="shared" ref="AD56" si="138">IF(AD42="Free", (1/AD49)*(EXP(AD49*AD53)-AD49*AD53-1)/AD55, "-")</f>
        <v>-</v>
      </c>
      <c r="AE56" s="172" t="str">
        <f>IF(AE42="Free", (1/AE49)*(EXP(AE49*AE53)-AE49*AE53-1)/AE55, "-")</f>
        <v>-</v>
      </c>
      <c r="AF56" s="172" t="str">
        <f>IF(AF42="Free", (1/AF49)*(EXP(AF49*AF53)-AF49*AF53-1)/AF55, "-")</f>
        <v>-</v>
      </c>
      <c r="AG56" s="170" t="str">
        <f>IF(AG42="Free", (1/AG49)*(EXP(AG49*AG53)-AG49*AG53-1)/AG55, "-")</f>
        <v>-</v>
      </c>
      <c r="AH56" s="169" t="str">
        <f t="shared" ref="AH56" si="139">IF(AH42="Free", (1/AH49)*(EXP(AH49*AH53)-AH49*AH53-1)/AH55, "-")</f>
        <v>-</v>
      </c>
      <c r="AI56" s="172" t="str">
        <f>IF(AI42="Free", (1/AI49)*(EXP(AI49*AI53)-AI49*AI53-1)/AI55, "-")</f>
        <v>-</v>
      </c>
      <c r="AJ56" s="172" t="str">
        <f>IF(AJ42="Free", (1/AJ49)*(EXP(AJ49*AJ53)-AJ49*AJ53-1)/AJ55, "-")</f>
        <v>-</v>
      </c>
      <c r="AK56" s="170" t="str">
        <f>IF(AK42="Free", (1/AK49)*(EXP(AK49*AK53)-AK49*AK53-1)/AK55, "-")</f>
        <v>-</v>
      </c>
      <c r="AL56" s="169" t="str">
        <f t="shared" ref="AL56" si="140">IF(AL42="Free", (1/AL49)*(EXP(AL49*AL53)-AL49*AL53-1)/AL55, "-")</f>
        <v>-</v>
      </c>
      <c r="AM56" s="172" t="str">
        <f>IF(AM42="Free", (1/AM49)*(EXP(AM49*AM53)-AM49*AM53-1)/AM55, "-")</f>
        <v>-</v>
      </c>
      <c r="AN56" s="172" t="str">
        <f>IF(AN42="Free", (1/AN49)*(EXP(AN49*AN53)-AN49*AN53-1)/AN55, "-")</f>
        <v>-</v>
      </c>
      <c r="AO56" s="170" t="str">
        <f>IF(AO42="Free", (1/AO49)*(EXP(AO49*AO53)-AO49*AO53-1)/AO55, "-")</f>
        <v>-</v>
      </c>
      <c r="AP56" s="169" t="str">
        <f t="shared" ref="AP56" si="141">IF(AP42="Free", (1/AP49)*(EXP(AP49*AP53)-AP49*AP53-1)/AP55, "-")</f>
        <v>-</v>
      </c>
      <c r="AQ56" s="172" t="str">
        <f>IF(AQ42="Free", (1/AQ49)*(EXP(AQ49*AQ53)-AQ49*AQ53-1)/AQ55, "-")</f>
        <v>-</v>
      </c>
      <c r="AR56" s="172" t="str">
        <f>IF(AR42="Free", (1/AR49)*(EXP(AR49*AR53)-AR49*AR53-1)/AR55, "-")</f>
        <v>-</v>
      </c>
      <c r="AS56" s="170" t="str">
        <f>IF(AS42="Free", (1/AS49)*(EXP(AS49*AS53)-AS49*AS53-1)/AS55, "-")</f>
        <v>-</v>
      </c>
      <c r="AT56" s="169" t="str">
        <f t="shared" ref="AT56" si="142">IF(AT42="Free", (1/AT49)*(EXP(AT49*AT53)-AT49*AT53-1)/AT55, "-")</f>
        <v>-</v>
      </c>
      <c r="AU56" s="172" t="str">
        <f>IF(AU42="Free", (1/AU49)*(EXP(AU49*AU53)-AU49*AU53-1)/AU55, "-")</f>
        <v>-</v>
      </c>
      <c r="AV56" s="172" t="str">
        <f>IF(AV42="Free", (1/AV49)*(EXP(AV49*AV53)-AV49*AV53-1)/AV55, "-")</f>
        <v>-</v>
      </c>
      <c r="AW56" s="170" t="str">
        <f>IF(AW42="Free", (1/AW49)*(EXP(AW49*AW53)-AW49*AW53-1)/AW55, "-")</f>
        <v>-</v>
      </c>
      <c r="AX56" s="169" t="str">
        <f t="shared" ref="AX56" si="143">IF(AX42="Free", (1/AX49)*(EXP(AX49*AX53)-AX49*AX53-1)/AX55, "-")</f>
        <v>-</v>
      </c>
      <c r="AY56" s="172" t="str">
        <f>IF(AY42="Free", (1/AY49)*(EXP(AY49*AY53)-AY49*AY53-1)/AY55, "-")</f>
        <v>-</v>
      </c>
      <c r="AZ56" s="172" t="str">
        <f>IF(AZ42="Free", (1/AZ49)*(EXP(AZ49*AZ53)-AZ49*AZ53-1)/AZ55, "-")</f>
        <v>-</v>
      </c>
      <c r="BA56" s="170" t="str">
        <f>IF(BA42="Free", (1/BA49)*(EXP(BA49*BA53)-BA49*BA53-1)/BA55, "-")</f>
        <v>-</v>
      </c>
      <c r="BB56" s="169" t="str">
        <f t="shared" ref="BB56" si="144">IF(BB42="Free", (1/BB49)*(EXP(BB49*BB53)-BB49*BB53-1)/BB55, "-")</f>
        <v>-</v>
      </c>
      <c r="BC56" s="172" t="str">
        <f>IF(BC42="Free", (1/BC49)*(EXP(BC49*BC53)-BC49*BC53-1)/BC55, "-")</f>
        <v>-</v>
      </c>
      <c r="BD56" s="172" t="str">
        <f>IF(BD42="Free", (1/BD49)*(EXP(BD49*BD53)-BD49*BD53-1)/BD55, "-")</f>
        <v>-</v>
      </c>
      <c r="BE56" s="170" t="str">
        <f>IF(BE42="Free", (1/BE49)*(EXP(BE49*BE53)-BE49*BE53-1)/BE55, "-")</f>
        <v>-</v>
      </c>
      <c r="BF56" s="169" t="str">
        <f t="shared" ref="BF56" si="145">IF(BF42="Free", (1/BF49)*(EXP(BF49*BF53)-BF49*BF53-1)/BF55, "-")</f>
        <v>-</v>
      </c>
      <c r="BG56" s="172" t="str">
        <f>IF(BG42="Free", (1/BG49)*(EXP(BG49*BG53)-BG49*BG53-1)/BG55, "-")</f>
        <v>-</v>
      </c>
      <c r="BH56" s="172" t="str">
        <f>IF(BH42="Free", (1/BH49)*(EXP(BH49*BH53)-BH49*BH53-1)/BH55, "-")</f>
        <v>-</v>
      </c>
      <c r="BI56" s="170" t="str">
        <f>IF(BI42="Free", (1/BI49)*(EXP(BI49*BI53)-BI49*BI53-1)/BI55, "-")</f>
        <v>-</v>
      </c>
      <c r="BJ56" s="169" t="str">
        <f t="shared" ref="BJ56" si="146">IF(BJ42="Free", (1/BJ49)*(EXP(BJ49*BJ53)-BJ49*BJ53-1)/BJ55, "-")</f>
        <v>-</v>
      </c>
      <c r="BK56" s="172" t="str">
        <f>IF(BK42="Free", (1/BK49)*(EXP(BK49*BK53)-BK49*BK53-1)/BK55, "-")</f>
        <v>-</v>
      </c>
      <c r="BL56" s="172" t="str">
        <f>IF(BL42="Free", (1/BL49)*(EXP(BL49*BL53)-BL49*BL53-1)/BL55, "-")</f>
        <v>-</v>
      </c>
      <c r="BM56" s="170" t="str">
        <f>IF(BM42="Free", (1/BM49)*(EXP(BM49*BM53)-BM49*BM53-1)/BM55, "-")</f>
        <v>-</v>
      </c>
      <c r="BN56" s="169" t="str">
        <f t="shared" ref="BN56" si="147">IF(BN42="Free", (1/BN49)*(EXP(BN49*BN53)-BN49*BN53-1)/BN55, "-")</f>
        <v>-</v>
      </c>
      <c r="BO56" s="172" t="str">
        <f>IF(BO42="Free", (1/BO49)*(EXP(BO49*BO53)-BO49*BO53-1)/BO55, "-")</f>
        <v>-</v>
      </c>
      <c r="BP56" s="172" t="str">
        <f>IF(BP42="Free", (1/BP49)*(EXP(BP49*BP53)-BP49*BP53-1)/BP55, "-")</f>
        <v>-</v>
      </c>
      <c r="BQ56" s="170" t="str">
        <f>IF(BQ42="Free", (1/BQ49)*(EXP(BQ49*BQ53)-BQ49*BQ53-1)/BQ55, "-")</f>
        <v>-</v>
      </c>
      <c r="BR56" s="169" t="str">
        <f t="shared" ref="BR56" si="148">IF(BR42="Free", (1/BR49)*(EXP(BR49*BR53)-BR49*BR53-1)/BR55, "-")</f>
        <v>-</v>
      </c>
      <c r="BS56" s="172" t="str">
        <f>IF(BS42="Free", (1/BS49)*(EXP(BS49*BS53)-BS49*BS53-1)/BS55, "-")</f>
        <v>-</v>
      </c>
      <c r="BT56" s="172" t="str">
        <f>IF(BT42="Free", (1/BT49)*(EXP(BT49*BT53)-BT49*BT53-1)/BT55, "-")</f>
        <v>-</v>
      </c>
      <c r="BU56" s="170" t="str">
        <f>IF(BU42="Free", (1/BU49)*(EXP(BU49*BU53)-BU49*BU53-1)/BU55, "-")</f>
        <v>-</v>
      </c>
      <c r="BV56" s="169" t="str">
        <f t="shared" ref="BV56" si="149">IF(BV42="Free", (1/BV49)*(EXP(BV49*BV53)-BV49*BV53-1)/BV55, "-")</f>
        <v>-</v>
      </c>
      <c r="BW56" s="172" t="str">
        <f>IF(BW42="Free", (1/BW49)*(EXP(BW49*BW53)-BW49*BW53-1)/BW55, "-")</f>
        <v>-</v>
      </c>
      <c r="BX56" s="172" t="str">
        <f>IF(BX42="Free", (1/BX49)*(EXP(BX49*BX53)-BX49*BX53-1)/BX55, "-")</f>
        <v>-</v>
      </c>
      <c r="BY56" s="170" t="str">
        <f>IF(BY42="Free", (1/BY49)*(EXP(BY49*BY53)-BY49*BY53-1)/BY55, "-")</f>
        <v>-</v>
      </c>
      <c r="BZ56" s="169" t="str">
        <f t="shared" ref="BZ56" si="150">IF(BZ42="Free", (1/BZ49)*(EXP(BZ49*BZ53)-BZ49*BZ53-1)/BZ55, "-")</f>
        <v>-</v>
      </c>
      <c r="CA56" s="172" t="str">
        <f>IF(CA42="Free", (1/CA49)*(EXP(CA49*CA53)-CA49*CA53-1)/CA55, "-")</f>
        <v>-</v>
      </c>
      <c r="CB56" s="172" t="str">
        <f>IF(CB42="Free", (1/CB49)*(EXP(CB49*CB53)-CB49*CB53-1)/CB55, "-")</f>
        <v>-</v>
      </c>
      <c r="CC56" s="170" t="str">
        <f>IF(CC42="Free", (1/CC49)*(EXP(CC49*CC53)-CC49*CC53-1)/CC55, "-")</f>
        <v>-</v>
      </c>
      <c r="CD56" s="169" t="str">
        <f t="shared" ref="CD56" si="151">IF(CD42="Free", (1/CD49)*(EXP(CD49*CD53)-CD49*CD53-1)/CD55, "-")</f>
        <v>-</v>
      </c>
      <c r="CE56" s="172" t="str">
        <f>IF(CE42="Free", (1/CE49)*(EXP(CE49*CE53)-CE49*CE53-1)/CE55, "-")</f>
        <v>-</v>
      </c>
      <c r="CF56" s="172" t="str">
        <f>IF(CF42="Free", (1/CF49)*(EXP(CF49*CF53)-CF49*CF53-1)/CF55, "-")</f>
        <v>-</v>
      </c>
      <c r="CG56" s="170" t="str">
        <f>IF(CG42="Free", (1/CG49)*(EXP(CG49*CG53)-CG49*CG53-1)/CG55, "-")</f>
        <v>-</v>
      </c>
      <c r="CH56" s="169" t="str">
        <f t="shared" ref="CH56" si="152">IF(CH42="Free", (1/CH49)*(EXP(CH49*CH53)-CH49*CH53-1)/CH55, "-")</f>
        <v>-</v>
      </c>
      <c r="CI56" s="172" t="str">
        <f>IF(CI42="Free", (1/CI49)*(EXP(CI49*CI53)-CI49*CI53-1)/CI55, "-")</f>
        <v>-</v>
      </c>
      <c r="CJ56" s="172" t="str">
        <f>IF(CJ42="Free", (1/CJ49)*(EXP(CJ49*CJ53)-CJ49*CJ53-1)/CJ55, "-")</f>
        <v>-</v>
      </c>
      <c r="CK56" s="170" t="str">
        <f>IF(CK42="Free", (1/CK49)*(EXP(CK49*CK53)-CK49*CK53-1)/CK55, "-")</f>
        <v>-</v>
      </c>
      <c r="CL56" s="49"/>
      <c r="CM56" s="28"/>
    </row>
    <row r="57" spans="2:91" ht="14.25" x14ac:dyDescent="0.25">
      <c r="B57" s="55"/>
      <c r="C57" s="10" t="s">
        <v>293</v>
      </c>
      <c r="D57" s="93" t="s">
        <v>296</v>
      </c>
      <c r="E57" s="125" t="str">
        <f t="shared" ref="E57:M57" si="153">IF(E42="Free", ROUND(1/EXP(-E49*E48),0),"-")</f>
        <v>-</v>
      </c>
      <c r="F57" s="164" t="str">
        <f>IF(F42="Free", ROUND(1/EXP(-F49*F48),0),"-")</f>
        <v>-</v>
      </c>
      <c r="G57" s="164" t="str">
        <f t="shared" si="153"/>
        <v>-</v>
      </c>
      <c r="H57" s="164" t="str">
        <f t="shared" si="153"/>
        <v>-</v>
      </c>
      <c r="I57" s="164" t="str">
        <f t="shared" si="153"/>
        <v>-</v>
      </c>
      <c r="J57" s="162" t="str">
        <f t="shared" si="153"/>
        <v>-</v>
      </c>
      <c r="K57" s="164" t="str">
        <f t="shared" si="153"/>
        <v>-</v>
      </c>
      <c r="L57" s="164">
        <f t="shared" si="153"/>
        <v>14</v>
      </c>
      <c r="M57" s="163">
        <f t="shared" si="153"/>
        <v>14</v>
      </c>
      <c r="N57" s="169" t="str">
        <f t="shared" ref="N57:BY57" si="154">IF(N42="Free", ROUND(1/EXP(-N49*N48),0),"-")</f>
        <v>-</v>
      </c>
      <c r="O57" s="172" t="str">
        <f t="shared" si="154"/>
        <v>-</v>
      </c>
      <c r="P57" s="172" t="str">
        <f t="shared" si="154"/>
        <v>-</v>
      </c>
      <c r="Q57" s="170" t="str">
        <f t="shared" si="154"/>
        <v>-</v>
      </c>
      <c r="R57" s="169" t="str">
        <f t="shared" si="154"/>
        <v>-</v>
      </c>
      <c r="S57" s="172" t="str">
        <f t="shared" si="154"/>
        <v>-</v>
      </c>
      <c r="T57" s="172">
        <f t="shared" si="154"/>
        <v>121</v>
      </c>
      <c r="U57" s="170">
        <f t="shared" si="154"/>
        <v>121</v>
      </c>
      <c r="V57" s="169" t="str">
        <f t="shared" si="154"/>
        <v>-</v>
      </c>
      <c r="W57" s="172" t="str">
        <f t="shared" si="154"/>
        <v>-</v>
      </c>
      <c r="X57" s="172" t="str">
        <f t="shared" si="154"/>
        <v>-</v>
      </c>
      <c r="Y57" s="170" t="str">
        <f t="shared" si="154"/>
        <v>-</v>
      </c>
      <c r="Z57" s="169" t="str">
        <f t="shared" si="154"/>
        <v>-</v>
      </c>
      <c r="AA57" s="172" t="str">
        <f t="shared" si="154"/>
        <v>-</v>
      </c>
      <c r="AB57" s="172" t="str">
        <f t="shared" si="154"/>
        <v>-</v>
      </c>
      <c r="AC57" s="170" t="str">
        <f t="shared" si="154"/>
        <v>-</v>
      </c>
      <c r="AD57" s="169" t="str">
        <f t="shared" si="154"/>
        <v>-</v>
      </c>
      <c r="AE57" s="172" t="str">
        <f t="shared" si="154"/>
        <v>-</v>
      </c>
      <c r="AF57" s="172" t="str">
        <f t="shared" si="154"/>
        <v>-</v>
      </c>
      <c r="AG57" s="170" t="str">
        <f t="shared" si="154"/>
        <v>-</v>
      </c>
      <c r="AH57" s="169" t="str">
        <f t="shared" si="154"/>
        <v>-</v>
      </c>
      <c r="AI57" s="172" t="str">
        <f t="shared" si="154"/>
        <v>-</v>
      </c>
      <c r="AJ57" s="172" t="str">
        <f t="shared" si="154"/>
        <v>-</v>
      </c>
      <c r="AK57" s="170" t="str">
        <f t="shared" si="154"/>
        <v>-</v>
      </c>
      <c r="AL57" s="169" t="str">
        <f t="shared" si="154"/>
        <v>-</v>
      </c>
      <c r="AM57" s="172" t="str">
        <f t="shared" si="154"/>
        <v>-</v>
      </c>
      <c r="AN57" s="172" t="str">
        <f t="shared" si="154"/>
        <v>-</v>
      </c>
      <c r="AO57" s="170" t="str">
        <f t="shared" si="154"/>
        <v>-</v>
      </c>
      <c r="AP57" s="169" t="str">
        <f t="shared" si="154"/>
        <v>-</v>
      </c>
      <c r="AQ57" s="172" t="str">
        <f t="shared" si="154"/>
        <v>-</v>
      </c>
      <c r="AR57" s="172" t="str">
        <f t="shared" si="154"/>
        <v>-</v>
      </c>
      <c r="AS57" s="170" t="str">
        <f t="shared" si="154"/>
        <v>-</v>
      </c>
      <c r="AT57" s="169" t="str">
        <f t="shared" si="154"/>
        <v>-</v>
      </c>
      <c r="AU57" s="172" t="str">
        <f t="shared" si="154"/>
        <v>-</v>
      </c>
      <c r="AV57" s="172" t="str">
        <f t="shared" si="154"/>
        <v>-</v>
      </c>
      <c r="AW57" s="170" t="str">
        <f t="shared" si="154"/>
        <v>-</v>
      </c>
      <c r="AX57" s="169" t="str">
        <f t="shared" si="154"/>
        <v>-</v>
      </c>
      <c r="AY57" s="172" t="str">
        <f t="shared" si="154"/>
        <v>-</v>
      </c>
      <c r="AZ57" s="172" t="str">
        <f t="shared" si="154"/>
        <v>-</v>
      </c>
      <c r="BA57" s="170" t="str">
        <f t="shared" si="154"/>
        <v>-</v>
      </c>
      <c r="BB57" s="169" t="str">
        <f t="shared" si="154"/>
        <v>-</v>
      </c>
      <c r="BC57" s="172" t="str">
        <f t="shared" si="154"/>
        <v>-</v>
      </c>
      <c r="BD57" s="172" t="str">
        <f t="shared" si="154"/>
        <v>-</v>
      </c>
      <c r="BE57" s="170" t="str">
        <f t="shared" si="154"/>
        <v>-</v>
      </c>
      <c r="BF57" s="169" t="str">
        <f t="shared" si="154"/>
        <v>-</v>
      </c>
      <c r="BG57" s="172" t="str">
        <f t="shared" si="154"/>
        <v>-</v>
      </c>
      <c r="BH57" s="172" t="str">
        <f t="shared" si="154"/>
        <v>-</v>
      </c>
      <c r="BI57" s="170" t="str">
        <f t="shared" si="154"/>
        <v>-</v>
      </c>
      <c r="BJ57" s="169" t="str">
        <f t="shared" si="154"/>
        <v>-</v>
      </c>
      <c r="BK57" s="172" t="str">
        <f t="shared" si="154"/>
        <v>-</v>
      </c>
      <c r="BL57" s="172" t="str">
        <f t="shared" si="154"/>
        <v>-</v>
      </c>
      <c r="BM57" s="170" t="str">
        <f t="shared" si="154"/>
        <v>-</v>
      </c>
      <c r="BN57" s="169" t="str">
        <f t="shared" si="154"/>
        <v>-</v>
      </c>
      <c r="BO57" s="172" t="str">
        <f t="shared" si="154"/>
        <v>-</v>
      </c>
      <c r="BP57" s="172" t="str">
        <f t="shared" si="154"/>
        <v>-</v>
      </c>
      <c r="BQ57" s="170" t="str">
        <f t="shared" si="154"/>
        <v>-</v>
      </c>
      <c r="BR57" s="169" t="str">
        <f t="shared" si="154"/>
        <v>-</v>
      </c>
      <c r="BS57" s="172" t="str">
        <f t="shared" si="154"/>
        <v>-</v>
      </c>
      <c r="BT57" s="172" t="str">
        <f t="shared" si="154"/>
        <v>-</v>
      </c>
      <c r="BU57" s="170" t="str">
        <f t="shared" si="154"/>
        <v>-</v>
      </c>
      <c r="BV57" s="169" t="str">
        <f t="shared" si="154"/>
        <v>-</v>
      </c>
      <c r="BW57" s="172" t="str">
        <f t="shared" si="154"/>
        <v>-</v>
      </c>
      <c r="BX57" s="172" t="str">
        <f t="shared" si="154"/>
        <v>-</v>
      </c>
      <c r="BY57" s="170" t="str">
        <f t="shared" si="154"/>
        <v>-</v>
      </c>
      <c r="BZ57" s="169" t="str">
        <f t="shared" ref="BZ57:CK57" si="155">IF(BZ42="Free", ROUND(1/EXP(-BZ49*BZ48),0),"-")</f>
        <v>-</v>
      </c>
      <c r="CA57" s="172" t="str">
        <f t="shared" si="155"/>
        <v>-</v>
      </c>
      <c r="CB57" s="172" t="str">
        <f t="shared" si="155"/>
        <v>-</v>
      </c>
      <c r="CC57" s="170" t="str">
        <f t="shared" si="155"/>
        <v>-</v>
      </c>
      <c r="CD57" s="169" t="str">
        <f t="shared" si="155"/>
        <v>-</v>
      </c>
      <c r="CE57" s="172" t="str">
        <f t="shared" si="155"/>
        <v>-</v>
      </c>
      <c r="CF57" s="172" t="str">
        <f t="shared" si="155"/>
        <v>-</v>
      </c>
      <c r="CG57" s="170" t="str">
        <f t="shared" si="155"/>
        <v>-</v>
      </c>
      <c r="CH57" s="169" t="str">
        <f t="shared" si="155"/>
        <v>-</v>
      </c>
      <c r="CI57" s="172" t="str">
        <f t="shared" si="155"/>
        <v>-</v>
      </c>
      <c r="CJ57" s="172" t="str">
        <f t="shared" si="155"/>
        <v>-</v>
      </c>
      <c r="CK57" s="170" t="str">
        <f t="shared" si="155"/>
        <v>-</v>
      </c>
      <c r="CL57" s="49"/>
      <c r="CM57" s="28"/>
    </row>
    <row r="58" spans="2:91" ht="14.25" x14ac:dyDescent="0.25">
      <c r="B58" s="55"/>
      <c r="C58" s="10" t="s">
        <v>292</v>
      </c>
      <c r="D58" s="93" t="s">
        <v>291</v>
      </c>
      <c r="E58" s="125">
        <f>((1/(E49/E9)) - (E48-(1/(E49/E9)))*EXP(-(E49/E9)*E48))/(1-EXP(-(E49/E9)*E48))</f>
        <v>361.968627975083</v>
      </c>
      <c r="F58" s="164">
        <f>((1/(F49/F9)) - (F48-(1/(F49/F9)))*EXP(-(F49/F9)*F48))/(1-EXP(-(F49/F9)*F48))</f>
        <v>20.399034045696279</v>
      </c>
      <c r="G58" s="164">
        <f>((1/(G49/G9)) - (G48-(1/(G49/G9)))*EXP(-(G49/G9)*G48))/(1-EXP(-(G49/G9)*G48))</f>
        <v>20.399034045696279</v>
      </c>
      <c r="H58" s="164">
        <f>((1/(H49/H9)) - (H48-(1/(H49/H9)))*EXP(-(H49/H9)*H48))/(1-EXP(-(H49/H9)*H48))</f>
        <v>15.76961542321529</v>
      </c>
      <c r="I58" s="164">
        <f>((1/(I49/I9)) - (I48-(1/(I49/I9)))*EXP(-(I49/I9)*I48))/(1-EXP(-(I49/I9)*I48))</f>
        <v>15.76961542321529</v>
      </c>
      <c r="J58" s="162">
        <f>1/(J49/J9)</f>
        <v>160</v>
      </c>
      <c r="K58" s="164" t="e">
        <f>((1/(K49/K9)) - (K48-(1/(K49/K9)))*EXP(-(K49/K9)*K48))/(1-EXP(-(K49/K9)*K48))</f>
        <v>#DIV/0!</v>
      </c>
      <c r="L58" s="166">
        <f>((1/(L49/L9)) - (L48-(1/(L49/L9)))*EXP(-(L49/L9)*L48))/(1-EXP(-(L49/L9)*L48))</f>
        <v>34.956047979854041</v>
      </c>
      <c r="M58" s="163">
        <f>((1/(M49/M9)) - (M48-(1/(M49/M9)))*EXP(-(M49/M9)*M48))/(1-EXP(-(M49/M9)*M48))</f>
        <v>34.956047979854041</v>
      </c>
      <c r="N58" s="169">
        <f>1/(N49/N9)</f>
        <v>11.930405965202983</v>
      </c>
      <c r="O58" s="172">
        <f>((1/(O49/O9)) - (O48-(1/(O49/O9)))*EXP(-(O49/O9)*O48))/(1-EXP(-(O49/O9)*O48))</f>
        <v>11.449795539719224</v>
      </c>
      <c r="P58" s="172">
        <f>((1/(P49/P9)) - (P48-(1/(P49/P9)))*EXP(-(P49/P9)*P48))/(1-EXP(-(P49/P9)*P48))</f>
        <v>26.29498368938826</v>
      </c>
      <c r="Q58" s="170">
        <f>((1/(Q49/Q9)) - (Q48-(1/(Q49/Q9)))*EXP(-(Q49/Q9)*Q48))/(1-EXP(-(Q49/Q9)*Q48))</f>
        <v>24.377458130961681</v>
      </c>
      <c r="R58" s="169">
        <f>1/(R49/R9)</f>
        <v>82.758620689655174</v>
      </c>
      <c r="S58" s="172" t="e">
        <f>((1/(S49/S9)) - (S48-(1/(S49/S9)))*EXP(-(S49/S9)*S48))/(1-EXP(-(S49/S9)*S48))</f>
        <v>#DIV/0!</v>
      </c>
      <c r="T58" s="172">
        <f>((1/(T49/T9)) - (T48-(1/(T49/T9)))*EXP(-(T49/T9)*T48))/(1-EXP(-(T49/T9)*T48))</f>
        <v>3.522964301258785</v>
      </c>
      <c r="U58" s="170">
        <f>((1/(U49/U9)) - (U48-(1/(U49/U9)))*EXP(-(U49/U9)*U48))/(1-EXP(-(U49/U9)*U48))</f>
        <v>3.522964301258785</v>
      </c>
      <c r="V58" s="169">
        <f>1/(V49/V9)</f>
        <v>113.68421052631578</v>
      </c>
      <c r="W58" s="172" t="e">
        <f>((1/(W49/W9)) - (W48-(1/(W49/W9)))*EXP(-(W49/W9)*W48))/(1-EXP(-(W49/W9)*W48))</f>
        <v>#DIV/0!</v>
      </c>
      <c r="X58" s="172">
        <f>((1/(X49/X9)) - (X48-(1/(X49/X9)))*EXP(-(X49/X9)*X48))/(1-EXP(-(X49/X9)*X48))</f>
        <v>14.847330287924784</v>
      </c>
      <c r="Y58" s="170">
        <f>((1/(Y49/Y9)) - (Y48-(1/(Y49/Y9)))*EXP(-(Y49/Y9)*Y48))/(1-EXP(-(Y49/Y9)*Y48))</f>
        <v>7.9759992604882628</v>
      </c>
      <c r="Z58" s="169">
        <f>1/(Z49/Z9)</f>
        <v>48.648648648648646</v>
      </c>
      <c r="AA58" s="172" t="e">
        <f>((1/(AA49/AA9)) - (AA48-(1/(AA49/AA9)))*EXP(-(AA49/AA9)*AA48))/(1-EXP(-(AA49/AA9)*AA48))</f>
        <v>#DIV/0!</v>
      </c>
      <c r="AB58" s="172">
        <f>((1/(AB49/AB9)) - (AB48-(1/(AB49/AB9)))*EXP(-(AB49/AB9)*AB48))/(1-EXP(-(AB49/AB9)*AB48))</f>
        <v>25.503503070632213</v>
      </c>
      <c r="AC58" s="170">
        <f>((1/(AC49/AC9)) - (AC48-(1/(AC49/AC9)))*EXP(-(AC49/AC9)*AC48))/(1-EXP(-(AC49/AC9)*AC48))</f>
        <v>25.503503070632213</v>
      </c>
      <c r="AD58" s="169">
        <f>1/(AD49/AD9)</f>
        <v>257.14285714285717</v>
      </c>
      <c r="AE58" s="172" t="e">
        <f>((1/(AE49/AE9)) - (AE48-(1/(AE49/AE9)))*EXP(-(AE49/AE9)*AE48))/(1-EXP(-(AE49/AE9)*AE48))</f>
        <v>#DIV/0!</v>
      </c>
      <c r="AF58" s="172">
        <f>((1/(AF49/AF9)) - (AF48-(1/(AF49/AF9)))*EXP(-(AF49/AF9)*AF48))/(1-EXP(-(AF49/AF9)*AF48))</f>
        <v>17.54289455254694</v>
      </c>
      <c r="AG58" s="170">
        <f>((1/(AG49/AG9)) - (AG48-(1/(AG49/AG9)))*EXP(-(AG49/AG9)*AG48))/(1-EXP(-(AG49/AG9)*AG48))</f>
        <v>17.54289455254694</v>
      </c>
      <c r="AH58" s="169">
        <f>1/(AH49/AH9)</f>
        <v>10.495626822157433</v>
      </c>
      <c r="AI58" s="172">
        <f>((1/(AI49/AI9)) - (AI48-(1/(AI49/AI9)))*EXP(-(AI49/AI9)*AI48))/(1-EXP(-(AI49/AI9)*AI48))</f>
        <v>12.085560234756571</v>
      </c>
      <c r="AJ58" s="172">
        <f>((1/(AJ49/AJ9)) - (AJ48-(1/(AJ49/AJ9)))*EXP(-(AJ49/AJ9)*AJ48))/(1-EXP(-(AJ49/AJ9)*AJ48))</f>
        <v>53.654214585402286</v>
      </c>
      <c r="AK58" s="170">
        <f>((1/(AK49/AK9)) - (AK48-(1/(AK49/AK9)))*EXP(-(AK49/AK9)*AK48))/(1-EXP(-(AK49/AK9)*AK48))</f>
        <v>53.654214585402286</v>
      </c>
      <c r="AL58" s="169" t="e">
        <f>1/(AL49/AL9)</f>
        <v>#DIV/0!</v>
      </c>
      <c r="AM58" s="172" t="e">
        <f>((1/(AM49/AM9)) - (AM48-(1/(AM49/AM9)))*EXP(-(AM49/AM9)*AM48))/(1-EXP(-(AM49/AM9)*AM48))</f>
        <v>#DIV/0!</v>
      </c>
      <c r="AN58" s="172" t="e">
        <f>((1/(AN49/AN9)) - (AN48-(1/(AN49/AN9)))*EXP(-(AN49/AN9)*AN48))/(1-EXP(-(AN49/AN9)*AN48))</f>
        <v>#DIV/0!</v>
      </c>
      <c r="AO58" s="170" t="e">
        <f>((1/(AO49/AO9)) - (AO48-(1/(AO49/AO9)))*EXP(-(AO49/AO9)*AO48))/(1-EXP(-(AO49/AO9)*AO48))</f>
        <v>#DIV/0!</v>
      </c>
      <c r="AP58" s="169" t="e">
        <f>1/(AP49/AP9)</f>
        <v>#DIV/0!</v>
      </c>
      <c r="AQ58" s="172" t="e">
        <f>((1/(AQ49/AQ9)) - (AQ48-(1/(AQ49/AQ9)))*EXP(-(AQ49/AQ9)*AQ48))/(1-EXP(-(AQ49/AQ9)*AQ48))</f>
        <v>#DIV/0!</v>
      </c>
      <c r="AR58" s="172" t="e">
        <f>((1/(AR49/AR9)) - (AR48-(1/(AR49/AR9)))*EXP(-(AR49/AR9)*AR48))/(1-EXP(-(AR49/AR9)*AR48))</f>
        <v>#DIV/0!</v>
      </c>
      <c r="AS58" s="170" t="e">
        <f>((1/(AS49/AS9)) - (AS48-(1/(AS49/AS9)))*EXP(-(AS49/AS9)*AS48))/(1-EXP(-(AS49/AS9)*AS48))</f>
        <v>#DIV/0!</v>
      </c>
      <c r="AT58" s="169" t="e">
        <f>1/(AT49/AT9)</f>
        <v>#DIV/0!</v>
      </c>
      <c r="AU58" s="172" t="e">
        <f>((1/(AU49/AU9)) - (AU48-(1/(AU49/AU9)))*EXP(-(AU49/AU9)*AU48))/(1-EXP(-(AU49/AU9)*AU48))</f>
        <v>#DIV/0!</v>
      </c>
      <c r="AV58" s="172" t="e">
        <f>((1/(AV49/AV9)) - (AV48-(1/(AV49/AV9)))*EXP(-(AV49/AV9)*AV48))/(1-EXP(-(AV49/AV9)*AV48))</f>
        <v>#DIV/0!</v>
      </c>
      <c r="AW58" s="170" t="e">
        <f>((1/(AW49/AW9)) - (AW48-(1/(AW49/AW9)))*EXP(-(AW49/AW9)*AW48))/(1-EXP(-(AW49/AW9)*AW48))</f>
        <v>#DIV/0!</v>
      </c>
      <c r="AX58" s="169" t="e">
        <f>1/(AX49/AX9)</f>
        <v>#DIV/0!</v>
      </c>
      <c r="AY58" s="172" t="e">
        <f>((1/(AY49/AY9)) - (AY48-(1/(AY49/AY9)))*EXP(-(AY49/AY9)*AY48))/(1-EXP(-(AY49/AY9)*AY48))</f>
        <v>#DIV/0!</v>
      </c>
      <c r="AZ58" s="172" t="e">
        <f>((1/(AZ49/AZ9)) - (AZ48-(1/(AZ49/AZ9)))*EXP(-(AZ49/AZ9)*AZ48))/(1-EXP(-(AZ49/AZ9)*AZ48))</f>
        <v>#DIV/0!</v>
      </c>
      <c r="BA58" s="170" t="e">
        <f>((1/(BA49/BA9)) - (BA48-(1/(BA49/BA9)))*EXP(-(BA49/BA9)*BA48))/(1-EXP(-(BA49/BA9)*BA48))</f>
        <v>#DIV/0!</v>
      </c>
      <c r="BB58" s="169" t="e">
        <f>1/(BB49/BB9)</f>
        <v>#DIV/0!</v>
      </c>
      <c r="BC58" s="172" t="e">
        <f>((1/(BC49/BC9)) - (BC48-(1/(BC49/BC9)))*EXP(-(BC49/BC9)*BC48))/(1-EXP(-(BC49/BC9)*BC48))</f>
        <v>#DIV/0!</v>
      </c>
      <c r="BD58" s="172" t="e">
        <f>((1/(BD49/BD9)) - (BD48-(1/(BD49/BD9)))*EXP(-(BD49/BD9)*BD48))/(1-EXP(-(BD49/BD9)*BD48))</f>
        <v>#DIV/0!</v>
      </c>
      <c r="BE58" s="170" t="e">
        <f>((1/(BE49/BE9)) - (BE48-(1/(BE49/BE9)))*EXP(-(BE49/BE9)*BE48))/(1-EXP(-(BE49/BE9)*BE48))</f>
        <v>#DIV/0!</v>
      </c>
      <c r="BF58" s="169" t="e">
        <f>1/(BF49/BF9)</f>
        <v>#DIV/0!</v>
      </c>
      <c r="BG58" s="172" t="e">
        <f>((1/(BG49/BG9)) - (BG48-(1/(BG49/BG9)))*EXP(-(BG49/BG9)*BG48))/(1-EXP(-(BG49/BG9)*BG48))</f>
        <v>#DIV/0!</v>
      </c>
      <c r="BH58" s="172" t="e">
        <f>((1/(BH49/BH9)) - (BH48-(1/(BH49/BH9)))*EXP(-(BH49/BH9)*BH48))/(1-EXP(-(BH49/BH9)*BH48))</f>
        <v>#DIV/0!</v>
      </c>
      <c r="BI58" s="170" t="e">
        <f>((1/(BI49/BI9)) - (BI48-(1/(BI49/BI9)))*EXP(-(BI49/BI9)*BI48))/(1-EXP(-(BI49/BI9)*BI48))</f>
        <v>#DIV/0!</v>
      </c>
      <c r="BJ58" s="169" t="e">
        <f>1/(BJ49/BJ9)</f>
        <v>#DIV/0!</v>
      </c>
      <c r="BK58" s="172" t="e">
        <f>((1/(BK49/BK9)) - (BK48-(1/(BK49/BK9)))*EXP(-(BK49/BK9)*BK48))/(1-EXP(-(BK49/BK9)*BK48))</f>
        <v>#DIV/0!</v>
      </c>
      <c r="BL58" s="172" t="e">
        <f>((1/(BL49/BL9)) - (BL48-(1/(BL49/BL9)))*EXP(-(BL49/BL9)*BL48))/(1-EXP(-(BL49/BL9)*BL48))</f>
        <v>#DIV/0!</v>
      </c>
      <c r="BM58" s="170" t="e">
        <f>((1/(BM49/BM9)) - (BM48-(1/(BM49/BM9)))*EXP(-(BM49/BM9)*BM48))/(1-EXP(-(BM49/BM9)*BM48))</f>
        <v>#DIV/0!</v>
      </c>
      <c r="BN58" s="169" t="e">
        <f>1/(BN49/BN9)</f>
        <v>#DIV/0!</v>
      </c>
      <c r="BO58" s="172" t="e">
        <f>((1/(BO49/BO9)) - (BO48-(1/(BO49/BO9)))*EXP(-(BO49/BO9)*BO48))/(1-EXP(-(BO49/BO9)*BO48))</f>
        <v>#DIV/0!</v>
      </c>
      <c r="BP58" s="172" t="e">
        <f>((1/(BP49/BP9)) - (BP48-(1/(BP49/BP9)))*EXP(-(BP49/BP9)*BP48))/(1-EXP(-(BP49/BP9)*BP48))</f>
        <v>#DIV/0!</v>
      </c>
      <c r="BQ58" s="170" t="e">
        <f>((1/(BQ49/BQ9)) - (BQ48-(1/(BQ49/BQ9)))*EXP(-(BQ49/BQ9)*BQ48))/(1-EXP(-(BQ49/BQ9)*BQ48))</f>
        <v>#DIV/0!</v>
      </c>
      <c r="BR58" s="169" t="e">
        <f>1/(BR49/BR9)</f>
        <v>#DIV/0!</v>
      </c>
      <c r="BS58" s="172" t="e">
        <f>((1/(BS49/BS9)) - (BS48-(1/(BS49/BS9)))*EXP(-(BS49/BS9)*BS48))/(1-EXP(-(BS49/BS9)*BS48))</f>
        <v>#DIV/0!</v>
      </c>
      <c r="BT58" s="172" t="e">
        <f>((1/(BT49/BT9)) - (BT48-(1/(BT49/BT9)))*EXP(-(BT49/BT9)*BT48))/(1-EXP(-(BT49/BT9)*BT48))</f>
        <v>#DIV/0!</v>
      </c>
      <c r="BU58" s="170" t="e">
        <f>((1/(BU49/BU9)) - (BU48-(1/(BU49/BU9)))*EXP(-(BU49/BU9)*BU48))/(1-EXP(-(BU49/BU9)*BU48))</f>
        <v>#DIV/0!</v>
      </c>
      <c r="BV58" s="169" t="e">
        <f>1/(BV49/BV9)</f>
        <v>#DIV/0!</v>
      </c>
      <c r="BW58" s="172" t="e">
        <f>((1/(BW49/BW9)) - (BW48-(1/(BW49/BW9)))*EXP(-(BW49/BW9)*BW48))/(1-EXP(-(BW49/BW9)*BW48))</f>
        <v>#DIV/0!</v>
      </c>
      <c r="BX58" s="172" t="e">
        <f>((1/(BX49/BX9)) - (BX48-(1/(BX49/BX9)))*EXP(-(BX49/BX9)*BX48))/(1-EXP(-(BX49/BX9)*BX48))</f>
        <v>#DIV/0!</v>
      </c>
      <c r="BY58" s="170" t="e">
        <f>((1/(BY49/BY9)) - (BY48-(1/(BY49/BY9)))*EXP(-(BY49/BY9)*BY48))/(1-EXP(-(BY49/BY9)*BY48))</f>
        <v>#DIV/0!</v>
      </c>
      <c r="BZ58" s="169" t="e">
        <f>1/(BZ49/BZ9)</f>
        <v>#DIV/0!</v>
      </c>
      <c r="CA58" s="172" t="e">
        <f>((1/(CA49/CA9)) - (CA48-(1/(CA49/CA9)))*EXP(-(CA49/CA9)*CA48))/(1-EXP(-(CA49/CA9)*CA48))</f>
        <v>#DIV/0!</v>
      </c>
      <c r="CB58" s="172" t="e">
        <f>((1/(CB49/CB9)) - (CB48-(1/(CB49/CB9)))*EXP(-(CB49/CB9)*CB48))/(1-EXP(-(CB49/CB9)*CB48))</f>
        <v>#DIV/0!</v>
      </c>
      <c r="CC58" s="170" t="e">
        <f>((1/(CC49/CC9)) - (CC48-(1/(CC49/CC9)))*EXP(-(CC49/CC9)*CC48))/(1-EXP(-(CC49/CC9)*CC48))</f>
        <v>#DIV/0!</v>
      </c>
      <c r="CD58" s="169" t="e">
        <f>1/(CD49/CD9)</f>
        <v>#DIV/0!</v>
      </c>
      <c r="CE58" s="172" t="e">
        <f>((1/(CE49/CE9)) - (CE48-(1/(CE49/CE9)))*EXP(-(CE49/CE9)*CE48))/(1-EXP(-(CE49/CE9)*CE48))</f>
        <v>#DIV/0!</v>
      </c>
      <c r="CF58" s="172" t="e">
        <f>((1/(CF49/CF9)) - (CF48-(1/(CF49/CF9)))*EXP(-(CF49/CF9)*CF48))/(1-EXP(-(CF49/CF9)*CF48))</f>
        <v>#DIV/0!</v>
      </c>
      <c r="CG58" s="170" t="e">
        <f>((1/(CG49/CG9)) - (CG48-(1/(CG49/CG9)))*EXP(-(CG49/CG9)*CG48))/(1-EXP(-(CG49/CG9)*CG48))</f>
        <v>#DIV/0!</v>
      </c>
      <c r="CH58" s="169" t="e">
        <f>1/(CH49/CH9)</f>
        <v>#DIV/0!</v>
      </c>
      <c r="CI58" s="172" t="e">
        <f>((1/(CI49/CI9)) - (CI48-(1/(CI49/CI9)))*EXP(-(CI49/CI9)*CI48))/(1-EXP(-(CI49/CI9)*CI48))</f>
        <v>#DIV/0!</v>
      </c>
      <c r="CJ58" s="172" t="e">
        <f>((1/(CJ49/CJ9)) - (CJ48-(1/(CJ49/CJ9)))*EXP(-(CJ49/CJ9)*CJ48))/(1-EXP(-(CJ49/CJ9)*CJ48))</f>
        <v>#DIV/0!</v>
      </c>
      <c r="CK58" s="170" t="e">
        <f>((1/(CK49/CK9)) - (CK48-(1/(CK49/CK9)))*EXP(-(CK49/CK9)*CK48))/(1-EXP(-(CK49/CK9)*CK48))</f>
        <v>#DIV/0!</v>
      </c>
      <c r="CL58" s="49"/>
      <c r="CM58" s="28"/>
    </row>
    <row r="59" spans="2:91" ht="14.25" x14ac:dyDescent="0.25">
      <c r="B59" s="55"/>
      <c r="C59" s="10" t="s">
        <v>103</v>
      </c>
      <c r="D59" s="93" t="s">
        <v>39</v>
      </c>
      <c r="E59" s="125">
        <f t="shared" ref="E59:AJ59" si="156">0.681*E9^0.514</f>
        <v>1.3886920442435355</v>
      </c>
      <c r="F59" s="72">
        <f t="shared" si="156"/>
        <v>1.5574628423543384</v>
      </c>
      <c r="G59" s="73">
        <f t="shared" si="156"/>
        <v>1.5574628423543384</v>
      </c>
      <c r="H59" s="73">
        <f t="shared" si="156"/>
        <v>1.3886920442435355</v>
      </c>
      <c r="I59" s="74">
        <f t="shared" si="156"/>
        <v>1.3886920442435355</v>
      </c>
      <c r="J59" s="96">
        <f t="shared" si="156"/>
        <v>0.97247071016552877</v>
      </c>
      <c r="K59" s="97">
        <f t="shared" si="156"/>
        <v>0</v>
      </c>
      <c r="L59" s="97">
        <f t="shared" si="156"/>
        <v>1.1978086274186128</v>
      </c>
      <c r="M59" s="98">
        <f t="shared" si="156"/>
        <v>1.1978086274186128</v>
      </c>
      <c r="N59" s="169">
        <f t="shared" si="156"/>
        <v>1.3886920442435355</v>
      </c>
      <c r="O59" s="172">
        <f t="shared" si="156"/>
        <v>1.3886920442435355</v>
      </c>
      <c r="P59" s="172">
        <f t="shared" si="156"/>
        <v>1.3886920442435355</v>
      </c>
      <c r="Q59" s="170">
        <f t="shared" si="156"/>
        <v>1.3886920442435355</v>
      </c>
      <c r="R59" s="169">
        <f t="shared" si="156"/>
        <v>0.97247071016552877</v>
      </c>
      <c r="S59" s="172">
        <f t="shared" si="156"/>
        <v>0</v>
      </c>
      <c r="T59" s="172">
        <f t="shared" si="156"/>
        <v>0.68100000000000005</v>
      </c>
      <c r="U59" s="170">
        <f t="shared" si="156"/>
        <v>0.68100000000000005</v>
      </c>
      <c r="V59" s="169">
        <f t="shared" si="156"/>
        <v>1.1978086274186128</v>
      </c>
      <c r="W59" s="172">
        <f t="shared" si="156"/>
        <v>0</v>
      </c>
      <c r="X59" s="172">
        <f t="shared" si="156"/>
        <v>1.1978086274186128</v>
      </c>
      <c r="Y59" s="170">
        <f t="shared" si="156"/>
        <v>0.97247071016552877</v>
      </c>
      <c r="Z59" s="169">
        <f t="shared" si="156"/>
        <v>0.97247071016552877</v>
      </c>
      <c r="AA59" s="172">
        <f t="shared" si="156"/>
        <v>0</v>
      </c>
      <c r="AB59" s="172">
        <f t="shared" si="156"/>
        <v>1.1978086274186128</v>
      </c>
      <c r="AC59" s="170">
        <f t="shared" si="156"/>
        <v>1.1978086274186128</v>
      </c>
      <c r="AD59" s="169">
        <f t="shared" si="156"/>
        <v>0.97247071016552877</v>
      </c>
      <c r="AE59" s="172">
        <f t="shared" si="156"/>
        <v>0</v>
      </c>
      <c r="AF59" s="172">
        <f t="shared" si="156"/>
        <v>0.97247071016552877</v>
      </c>
      <c r="AG59" s="170">
        <f t="shared" si="156"/>
        <v>0.97247071016552877</v>
      </c>
      <c r="AH59" s="169">
        <f t="shared" si="156"/>
        <v>0.97247071016552877</v>
      </c>
      <c r="AI59" s="172">
        <f t="shared" si="156"/>
        <v>0.97247071016552877</v>
      </c>
      <c r="AJ59" s="172">
        <f t="shared" si="156"/>
        <v>1.1978086274186128</v>
      </c>
      <c r="AK59" s="170">
        <f t="shared" ref="AK59:BP59" si="157">0.681*AK9^0.514</f>
        <v>1.1978086274186128</v>
      </c>
      <c r="AL59" s="169">
        <f t="shared" si="157"/>
        <v>0</v>
      </c>
      <c r="AM59" s="172">
        <f t="shared" si="157"/>
        <v>0</v>
      </c>
      <c r="AN59" s="172">
        <f t="shared" si="157"/>
        <v>0</v>
      </c>
      <c r="AO59" s="170">
        <f t="shared" si="157"/>
        <v>0</v>
      </c>
      <c r="AP59" s="169">
        <f t="shared" si="157"/>
        <v>0</v>
      </c>
      <c r="AQ59" s="172">
        <f t="shared" si="157"/>
        <v>0</v>
      </c>
      <c r="AR59" s="172">
        <f t="shared" si="157"/>
        <v>0</v>
      </c>
      <c r="AS59" s="170">
        <f t="shared" si="157"/>
        <v>0</v>
      </c>
      <c r="AT59" s="169">
        <f t="shared" si="157"/>
        <v>0</v>
      </c>
      <c r="AU59" s="172">
        <f t="shared" si="157"/>
        <v>0</v>
      </c>
      <c r="AV59" s="172">
        <f t="shared" si="157"/>
        <v>0</v>
      </c>
      <c r="AW59" s="170">
        <f t="shared" si="157"/>
        <v>0</v>
      </c>
      <c r="AX59" s="169">
        <f t="shared" si="157"/>
        <v>0</v>
      </c>
      <c r="AY59" s="172">
        <f t="shared" si="157"/>
        <v>0</v>
      </c>
      <c r="AZ59" s="172">
        <f t="shared" si="157"/>
        <v>0</v>
      </c>
      <c r="BA59" s="170">
        <f t="shared" si="157"/>
        <v>0</v>
      </c>
      <c r="BB59" s="169">
        <f t="shared" si="157"/>
        <v>0</v>
      </c>
      <c r="BC59" s="172">
        <f t="shared" si="157"/>
        <v>0</v>
      </c>
      <c r="BD59" s="172">
        <f t="shared" si="157"/>
        <v>0</v>
      </c>
      <c r="BE59" s="170">
        <f t="shared" si="157"/>
        <v>0</v>
      </c>
      <c r="BF59" s="169">
        <f t="shared" si="157"/>
        <v>0</v>
      </c>
      <c r="BG59" s="172">
        <f t="shared" si="157"/>
        <v>0</v>
      </c>
      <c r="BH59" s="172">
        <f t="shared" si="157"/>
        <v>0</v>
      </c>
      <c r="BI59" s="170">
        <f t="shared" si="157"/>
        <v>0</v>
      </c>
      <c r="BJ59" s="169">
        <f t="shared" si="157"/>
        <v>0</v>
      </c>
      <c r="BK59" s="172">
        <f t="shared" si="157"/>
        <v>0</v>
      </c>
      <c r="BL59" s="172">
        <f t="shared" si="157"/>
        <v>0</v>
      </c>
      <c r="BM59" s="170">
        <f t="shared" si="157"/>
        <v>0</v>
      </c>
      <c r="BN59" s="169">
        <f t="shared" si="157"/>
        <v>0</v>
      </c>
      <c r="BO59" s="172">
        <f t="shared" si="157"/>
        <v>0</v>
      </c>
      <c r="BP59" s="172">
        <f t="shared" si="157"/>
        <v>0</v>
      </c>
      <c r="BQ59" s="170">
        <f t="shared" ref="BQ59:CK59" si="158">0.681*BQ9^0.514</f>
        <v>0</v>
      </c>
      <c r="BR59" s="169">
        <f t="shared" si="158"/>
        <v>0</v>
      </c>
      <c r="BS59" s="172">
        <f t="shared" si="158"/>
        <v>0</v>
      </c>
      <c r="BT59" s="172">
        <f t="shared" si="158"/>
        <v>0</v>
      </c>
      <c r="BU59" s="170">
        <f t="shared" si="158"/>
        <v>0</v>
      </c>
      <c r="BV59" s="169">
        <f t="shared" si="158"/>
        <v>0</v>
      </c>
      <c r="BW59" s="172">
        <f t="shared" si="158"/>
        <v>0</v>
      </c>
      <c r="BX59" s="172">
        <f t="shared" si="158"/>
        <v>0</v>
      </c>
      <c r="BY59" s="170">
        <f t="shared" si="158"/>
        <v>0</v>
      </c>
      <c r="BZ59" s="169">
        <f t="shared" si="158"/>
        <v>0</v>
      </c>
      <c r="CA59" s="172">
        <f t="shared" si="158"/>
        <v>0</v>
      </c>
      <c r="CB59" s="172">
        <f t="shared" si="158"/>
        <v>0</v>
      </c>
      <c r="CC59" s="170">
        <f t="shared" si="158"/>
        <v>0</v>
      </c>
      <c r="CD59" s="169">
        <f t="shared" si="158"/>
        <v>0</v>
      </c>
      <c r="CE59" s="172">
        <f t="shared" si="158"/>
        <v>0</v>
      </c>
      <c r="CF59" s="172">
        <f t="shared" si="158"/>
        <v>0</v>
      </c>
      <c r="CG59" s="170">
        <f t="shared" si="158"/>
        <v>0</v>
      </c>
      <c r="CH59" s="169">
        <f t="shared" si="158"/>
        <v>0</v>
      </c>
      <c r="CI59" s="172">
        <f t="shared" si="158"/>
        <v>0</v>
      </c>
      <c r="CJ59" s="172">
        <f t="shared" si="158"/>
        <v>0</v>
      </c>
      <c r="CK59" s="170">
        <f t="shared" si="158"/>
        <v>0</v>
      </c>
      <c r="CL59" s="49"/>
      <c r="CM59" s="28"/>
    </row>
    <row r="60" spans="2:91" ht="14.25" x14ac:dyDescent="0.25">
      <c r="B60" s="55"/>
      <c r="C60" s="10" t="s">
        <v>149</v>
      </c>
      <c r="D60" s="93" t="s">
        <v>150</v>
      </c>
      <c r="E60" s="127">
        <f>SUM(E13:E15,G14,F15,H13)/(4*E9)</f>
        <v>83</v>
      </c>
      <c r="F60" s="42">
        <f>SUM(F13:F15,H14,G15,I13)/(4*F9)</f>
        <v>76.05</v>
      </c>
      <c r="G60" s="45">
        <f>SUM(G13:G15,F15,H13,I14)/(4*G9)</f>
        <v>55.85</v>
      </c>
      <c r="H60" s="45">
        <f>SUM(H13:H15,G14,F13,I15)/(4*H9)</f>
        <v>58.6875</v>
      </c>
      <c r="I60" s="94">
        <f>SUM(I13:I15,F14,G13,H15)/(4*I9)</f>
        <v>55.1875</v>
      </c>
      <c r="J60" s="100">
        <f>SUM(J13:J15,L14,K15,M13)/(4*J9)</f>
        <v>8.75</v>
      </c>
      <c r="K60" s="101" t="e">
        <f>SUM(K13:K15,J15,L13,M14)/(4*K9)</f>
        <v>#DIV/0!</v>
      </c>
      <c r="L60" s="101">
        <f>SUM(L13:L15,K14,J13,M15)/(4*L9)</f>
        <v>48.166666666666664</v>
      </c>
      <c r="M60" s="102">
        <f>SUM(M13:M15,J14,K13,L15)/(4*M9)</f>
        <v>45.5</v>
      </c>
      <c r="N60" s="173">
        <f>SUM(N13:N15,P14,O15,Q13)/(4*N9)</f>
        <v>54.4375</v>
      </c>
      <c r="O60" s="174">
        <f>SUM(O13:O15,N15,P13,Q14)/(4*O9)</f>
        <v>91.875</v>
      </c>
      <c r="P60" s="174">
        <f>SUM(P13:P15,O14,N13,Q15)/(4*P9)</f>
        <v>42.375</v>
      </c>
      <c r="Q60" s="175">
        <f>SUM(Q13:Q15,N14,O13,P15)/(4*Q9)</f>
        <v>70.1875</v>
      </c>
      <c r="R60" s="173">
        <f>SUM(R13:R15,T14,S15,U13)/(4*R9)</f>
        <v>12</v>
      </c>
      <c r="S60" s="174" t="e">
        <f>SUM(S13:S15,R15,T13,U14)/(4*S9)</f>
        <v>#DIV/0!</v>
      </c>
      <c r="T60" s="174">
        <f>SUM(T13:T15,S14,R13,U15)/(4*T9)</f>
        <v>269</v>
      </c>
      <c r="U60" s="175">
        <f>SUM(U13:U15,R14,S13,T15)/(4*U9)</f>
        <v>249.5</v>
      </c>
      <c r="V60" s="173">
        <f>SUM(V13:V15,X14,W15,Y13)/(4*V9)</f>
        <v>20.666666666666668</v>
      </c>
      <c r="W60" s="174" t="e">
        <f>SUM(W13:W15,V15,X13,Y14)/(4*W9)</f>
        <v>#DIV/0!</v>
      </c>
      <c r="X60" s="174">
        <f>SUM(X13:X15,W14,V13,Y15)/(4*X9)</f>
        <v>82.333333333333329</v>
      </c>
      <c r="Y60" s="175">
        <f>SUM(Y13:Y15,V14,W13,X15)/(4*Y9)</f>
        <v>95.25</v>
      </c>
      <c r="Z60" s="173">
        <f>SUM(Z13:Z15,AB14,AA15,AC13)/(4*Z9)</f>
        <v>31.5</v>
      </c>
      <c r="AA60" s="174" t="e">
        <f>SUM(AA13:AA15,Z15,AB13,AC14)/(4*AA9)</f>
        <v>#DIV/0!</v>
      </c>
      <c r="AB60" s="174">
        <f>SUM(AB13:AB15,AA14,Z13,AC15)/(4*AB9)</f>
        <v>65.083333333333329</v>
      </c>
      <c r="AC60" s="175">
        <f>SUM(AC13:AC15,Z14,AA13,AB15)/(4*AC9)</f>
        <v>54.25</v>
      </c>
      <c r="AD60" s="173">
        <f>SUM(AD13:AD15,AF14,AE15,AG13)/(4*AD9)</f>
        <v>7.75</v>
      </c>
      <c r="AE60" s="174" t="e">
        <f>SUM(AE13:AE15,AD15,AF13,AG14)/(4*AE9)</f>
        <v>#DIV/0!</v>
      </c>
      <c r="AF60" s="174">
        <f>SUM(AF13:AF15,AE14,AD13,AG15)/(4*AF9)</f>
        <v>80.375</v>
      </c>
      <c r="AG60" s="175">
        <f>SUM(AG13:AG15,AD14,AE13,AF15)/(4*AG9)</f>
        <v>77.875</v>
      </c>
      <c r="AH60" s="173">
        <f>SUM(AH13:AH15,AJ14,AI15,AK13)/(4*AH9)</f>
        <v>54.625</v>
      </c>
      <c r="AI60" s="174">
        <f>SUM(AI13:AI15,AH15,AJ13,AK14)/(4*AI9)</f>
        <v>115.75</v>
      </c>
      <c r="AJ60" s="174">
        <f>SUM(AJ13:AJ15,AI14,AH13,AK15)/(4*AJ9)</f>
        <v>54.833333333333336</v>
      </c>
      <c r="AK60" s="175">
        <f>SUM(AK13:AK15,AH14,AI13,AJ15)/(4*AK9)</f>
        <v>27.083333333333332</v>
      </c>
      <c r="AL60" s="173" t="e">
        <f>SUM(AL13:AL15,AN14,AM15,AO13)/(4*AL9)</f>
        <v>#DIV/0!</v>
      </c>
      <c r="AM60" s="174" t="e">
        <f>SUM(AM13:AM15,AL15,AN13,AO14)/(4*AM9)</f>
        <v>#DIV/0!</v>
      </c>
      <c r="AN60" s="174" t="e">
        <f>SUM(AN13:AN15,AM14,AL13,AO15)/(4*AN9)</f>
        <v>#DIV/0!</v>
      </c>
      <c r="AO60" s="175" t="e">
        <f>SUM(AO13:AO15,AL14,AM13,AN15)/(4*AO9)</f>
        <v>#DIV/0!</v>
      </c>
      <c r="AP60" s="173" t="e">
        <f>SUM(AP13:AP15,AR14,AQ15,AS13)/(4*AP9)</f>
        <v>#DIV/0!</v>
      </c>
      <c r="AQ60" s="174" t="e">
        <f>SUM(AQ13:AQ15,AP15,AR13,AS14)/(4*AQ9)</f>
        <v>#DIV/0!</v>
      </c>
      <c r="AR60" s="174" t="e">
        <f>SUM(AR13:AR15,AQ14,AP13,AS15)/(4*AR9)</f>
        <v>#DIV/0!</v>
      </c>
      <c r="AS60" s="175" t="e">
        <f>SUM(AS13:AS15,AP14,AQ13,AR15)/(4*AS9)</f>
        <v>#DIV/0!</v>
      </c>
      <c r="AT60" s="173" t="e">
        <f>SUM(AT13:AT15,AV14,AU15,AW13)/(4*AT9)</f>
        <v>#DIV/0!</v>
      </c>
      <c r="AU60" s="174" t="e">
        <f>SUM(AU13:AU15,AT15,AV13,AW14)/(4*AU9)</f>
        <v>#DIV/0!</v>
      </c>
      <c r="AV60" s="174" t="e">
        <f>SUM(AV13:AV15,AU14,AT13,AW15)/(4*AV9)</f>
        <v>#DIV/0!</v>
      </c>
      <c r="AW60" s="175" t="e">
        <f>SUM(AW13:AW15,AT14,AU13,AV15)/(4*AW9)</f>
        <v>#DIV/0!</v>
      </c>
      <c r="AX60" s="173" t="e">
        <f>SUM(AX13:AX15,AZ14,AY15,BA13)/(4*AX9)</f>
        <v>#DIV/0!</v>
      </c>
      <c r="AY60" s="174" t="e">
        <f>SUM(AY13:AY15,AX15,AZ13,BA14)/(4*AY9)</f>
        <v>#DIV/0!</v>
      </c>
      <c r="AZ60" s="174" t="e">
        <f>SUM(AZ13:AZ15,AY14,AX13,BA15)/(4*AZ9)</f>
        <v>#DIV/0!</v>
      </c>
      <c r="BA60" s="175" t="e">
        <f>SUM(BA13:BA15,AX14,AY13,AZ15)/(4*BA9)</f>
        <v>#DIV/0!</v>
      </c>
      <c r="BB60" s="173" t="e">
        <f>SUM(BB13:BB15,BD14,BC15,BE13)/(4*BB9)</f>
        <v>#DIV/0!</v>
      </c>
      <c r="BC60" s="174" t="e">
        <f>SUM(BC13:BC15,BB15,BD13,BE14)/(4*BC9)</f>
        <v>#DIV/0!</v>
      </c>
      <c r="BD60" s="174" t="e">
        <f>SUM(BD13:BD15,BC14,BB13,BE15)/(4*BD9)</f>
        <v>#DIV/0!</v>
      </c>
      <c r="BE60" s="175" t="e">
        <f>SUM(BE13:BE15,BB14,BC13,BD15)/(4*BE9)</f>
        <v>#DIV/0!</v>
      </c>
      <c r="BF60" s="173" t="e">
        <f>SUM(BF13:BF15,BH14,BG15,BI13)/(4*BF9)</f>
        <v>#DIV/0!</v>
      </c>
      <c r="BG60" s="174" t="e">
        <f>SUM(BG13:BG15,BF15,BH13,BI14)/(4*BG9)</f>
        <v>#DIV/0!</v>
      </c>
      <c r="BH60" s="174" t="e">
        <f>SUM(BH13:BH15,BG14,BF13,BI15)/(4*BH9)</f>
        <v>#DIV/0!</v>
      </c>
      <c r="BI60" s="175" t="e">
        <f>SUM(BI13:BI15,BF14,BG13,BH15)/(4*BI9)</f>
        <v>#DIV/0!</v>
      </c>
      <c r="BJ60" s="173" t="e">
        <f>SUM(BJ13:BJ15,BL14,BK15,BM13)/(4*BJ9)</f>
        <v>#DIV/0!</v>
      </c>
      <c r="BK60" s="174" t="e">
        <f>SUM(BK13:BK15,BJ15,BL13,BM14)/(4*BK9)</f>
        <v>#DIV/0!</v>
      </c>
      <c r="BL60" s="174" t="e">
        <f>SUM(BL13:BL15,BK14,BJ13,BM15)/(4*BL9)</f>
        <v>#DIV/0!</v>
      </c>
      <c r="BM60" s="175" t="e">
        <f>SUM(BM13:BM15,BJ14,BK13,BL15)/(4*BM9)</f>
        <v>#DIV/0!</v>
      </c>
      <c r="BN60" s="173" t="e">
        <f>SUM(BN13:BN15,BP14,BO15,BQ13)/(4*BN9)</f>
        <v>#DIV/0!</v>
      </c>
      <c r="BO60" s="174" t="e">
        <f>SUM(BO13:BO15,BN15,BP13,BQ14)/(4*BO9)</f>
        <v>#DIV/0!</v>
      </c>
      <c r="BP60" s="174" t="e">
        <f>SUM(BP13:BP15,BO14,BN13,BQ15)/(4*BP9)</f>
        <v>#DIV/0!</v>
      </c>
      <c r="BQ60" s="175" t="e">
        <f>SUM(BQ13:BQ15,BN14,BO13,BP15)/(4*BQ9)</f>
        <v>#DIV/0!</v>
      </c>
      <c r="BR60" s="173" t="e">
        <f>SUM(BR13:BR15,BT14,BS15,BU13)/(4*BR9)</f>
        <v>#DIV/0!</v>
      </c>
      <c r="BS60" s="174" t="e">
        <f>SUM(BS13:BS15,BR15,BT13,BU14)/(4*BS9)</f>
        <v>#DIV/0!</v>
      </c>
      <c r="BT60" s="174" t="e">
        <f>SUM(BT13:BT15,BS14,BR13,BU15)/(4*BT9)</f>
        <v>#DIV/0!</v>
      </c>
      <c r="BU60" s="175" t="e">
        <f>SUM(BU13:BU15,BR14,BS13,BT15)/(4*BU9)</f>
        <v>#DIV/0!</v>
      </c>
      <c r="BV60" s="173" t="e">
        <f>SUM(BV13:BV15,BX14,BW15,BY13)/(4*BV9)</f>
        <v>#DIV/0!</v>
      </c>
      <c r="BW60" s="174" t="e">
        <f>SUM(BW13:BW15,BV15,BX13,BY14)/(4*BW9)</f>
        <v>#DIV/0!</v>
      </c>
      <c r="BX60" s="174" t="e">
        <f>SUM(BX13:BX15,BW14,BV13,BY15)/(4*BX9)</f>
        <v>#DIV/0!</v>
      </c>
      <c r="BY60" s="175" t="e">
        <f>SUM(BY13:BY15,BV14,BW13,BX15)/(4*BY9)</f>
        <v>#DIV/0!</v>
      </c>
      <c r="BZ60" s="173" t="e">
        <f>SUM(BZ13:BZ15,CB14,CA15,CC13)/(4*BZ9)</f>
        <v>#DIV/0!</v>
      </c>
      <c r="CA60" s="174" t="e">
        <f>SUM(CA13:CA15,BZ15,CB13,CC14)/(4*CA9)</f>
        <v>#DIV/0!</v>
      </c>
      <c r="CB60" s="174" t="e">
        <f>SUM(CB13:CB15,CA14,BZ13,CC15)/(4*CB9)</f>
        <v>#DIV/0!</v>
      </c>
      <c r="CC60" s="175" t="e">
        <f>SUM(CC13:CC15,BZ14,CA13,CB15)/(4*CC9)</f>
        <v>#DIV/0!</v>
      </c>
      <c r="CD60" s="173" t="e">
        <f>SUM(CD13:CD15,CF14,CE15,CG13)/(4*CD9)</f>
        <v>#DIV/0!</v>
      </c>
      <c r="CE60" s="174" t="e">
        <f>SUM(CE13:CE15,CD15,CF13,CG14)/(4*CE9)</f>
        <v>#DIV/0!</v>
      </c>
      <c r="CF60" s="174" t="e">
        <f>SUM(CF13:CF15,CE14,CD13,CG15)/(4*CF9)</f>
        <v>#DIV/0!</v>
      </c>
      <c r="CG60" s="175" t="e">
        <f>SUM(CG13:CG15,CD14,CE13,CF15)/(4*CG9)</f>
        <v>#DIV/0!</v>
      </c>
      <c r="CH60" s="173" t="e">
        <f>SUM(CH13:CH15,CJ14,CI15,CK13)/(4*CH9)</f>
        <v>#DIV/0!</v>
      </c>
      <c r="CI60" s="174" t="e">
        <f>SUM(CI13:CI15,CH15,CJ13,CK14)/(4*CI9)</f>
        <v>#DIV/0!</v>
      </c>
      <c r="CJ60" s="174" t="e">
        <f>SUM(CJ13:CJ15,CI14,CH13,CK15)/(4*CJ9)</f>
        <v>#DIV/0!</v>
      </c>
      <c r="CK60" s="175" t="e">
        <f>SUM(CK13:CK15,CH14,CI13,CJ15)/(4*CK9)</f>
        <v>#DIV/0!</v>
      </c>
      <c r="CL60" s="49"/>
      <c r="CM60" s="28"/>
    </row>
    <row r="61" spans="2:91" ht="14.25" x14ac:dyDescent="0.25">
      <c r="B61" s="55"/>
      <c r="C61" s="10" t="s">
        <v>101</v>
      </c>
      <c r="D61" s="93" t="s">
        <v>32</v>
      </c>
      <c r="E61" s="125">
        <f t="shared" ref="E61:AJ61" si="159">0.00013*E60*E12</f>
        <v>0.26974999999999999</v>
      </c>
      <c r="F61" s="72">
        <f t="shared" si="159"/>
        <v>0.24716249999999998</v>
      </c>
      <c r="G61" s="73">
        <f t="shared" si="159"/>
        <v>0.18151249999999999</v>
      </c>
      <c r="H61" s="73">
        <f t="shared" si="159"/>
        <v>0.19073437499999998</v>
      </c>
      <c r="I61" s="74">
        <f t="shared" si="159"/>
        <v>0.17935937499999999</v>
      </c>
      <c r="J61" s="96">
        <f t="shared" si="159"/>
        <v>2.8437499999999998E-2</v>
      </c>
      <c r="K61" s="97" t="e">
        <f t="shared" si="159"/>
        <v>#DIV/0!</v>
      </c>
      <c r="L61" s="97">
        <f t="shared" si="159"/>
        <v>0.15654166666666663</v>
      </c>
      <c r="M61" s="98">
        <f t="shared" si="159"/>
        <v>0.14787499999999998</v>
      </c>
      <c r="N61" s="169">
        <f t="shared" si="159"/>
        <v>0.17692187499999998</v>
      </c>
      <c r="O61" s="172">
        <f t="shared" si="159"/>
        <v>0.29859374999999999</v>
      </c>
      <c r="P61" s="172">
        <f t="shared" si="159"/>
        <v>0.13771875</v>
      </c>
      <c r="Q61" s="170">
        <f t="shared" si="159"/>
        <v>0.22810937499999998</v>
      </c>
      <c r="R61" s="169">
        <f t="shared" si="159"/>
        <v>3.8999999999999993E-2</v>
      </c>
      <c r="S61" s="172" t="e">
        <f t="shared" si="159"/>
        <v>#DIV/0!</v>
      </c>
      <c r="T61" s="172">
        <f t="shared" si="159"/>
        <v>0.87424999999999986</v>
      </c>
      <c r="U61" s="170">
        <f t="shared" si="159"/>
        <v>0.81087500000000001</v>
      </c>
      <c r="V61" s="169">
        <f t="shared" si="159"/>
        <v>6.7166666666666666E-2</v>
      </c>
      <c r="W61" s="172" t="e">
        <f t="shared" si="159"/>
        <v>#DIV/0!</v>
      </c>
      <c r="X61" s="172">
        <f t="shared" si="159"/>
        <v>0.26758333333333328</v>
      </c>
      <c r="Y61" s="170">
        <f t="shared" si="159"/>
        <v>0.30956249999999996</v>
      </c>
      <c r="Z61" s="169">
        <f t="shared" si="159"/>
        <v>0.10237499999999999</v>
      </c>
      <c r="AA61" s="172" t="e">
        <f t="shared" si="159"/>
        <v>#DIV/0!</v>
      </c>
      <c r="AB61" s="172">
        <f t="shared" si="159"/>
        <v>0.2115208333333333</v>
      </c>
      <c r="AC61" s="170">
        <f t="shared" si="159"/>
        <v>0.17631249999999998</v>
      </c>
      <c r="AD61" s="169">
        <f t="shared" si="159"/>
        <v>2.5187499999999998E-2</v>
      </c>
      <c r="AE61" s="172" t="e">
        <f t="shared" si="159"/>
        <v>#DIV/0!</v>
      </c>
      <c r="AF61" s="172">
        <f t="shared" si="159"/>
        <v>0.26121875</v>
      </c>
      <c r="AG61" s="170">
        <f t="shared" si="159"/>
        <v>0.25309374999999995</v>
      </c>
      <c r="AH61" s="169">
        <f t="shared" si="159"/>
        <v>0.17753124999999997</v>
      </c>
      <c r="AI61" s="172">
        <f t="shared" si="159"/>
        <v>0.37618749999999995</v>
      </c>
      <c r="AJ61" s="172">
        <f t="shared" si="159"/>
        <v>0.17820833333333333</v>
      </c>
      <c r="AK61" s="170">
        <f t="shared" ref="AK61:BP61" si="160">0.00013*AK60*AK12</f>
        <v>8.8020833333333326E-2</v>
      </c>
      <c r="AL61" s="169" t="e">
        <f t="shared" si="160"/>
        <v>#DIV/0!</v>
      </c>
      <c r="AM61" s="172" t="e">
        <f t="shared" si="160"/>
        <v>#DIV/0!</v>
      </c>
      <c r="AN61" s="172" t="e">
        <f t="shared" si="160"/>
        <v>#DIV/0!</v>
      </c>
      <c r="AO61" s="170" t="e">
        <f t="shared" si="160"/>
        <v>#DIV/0!</v>
      </c>
      <c r="AP61" s="169" t="e">
        <f t="shared" si="160"/>
        <v>#DIV/0!</v>
      </c>
      <c r="AQ61" s="172" t="e">
        <f t="shared" si="160"/>
        <v>#DIV/0!</v>
      </c>
      <c r="AR61" s="172" t="e">
        <f t="shared" si="160"/>
        <v>#DIV/0!</v>
      </c>
      <c r="AS61" s="170" t="e">
        <f t="shared" si="160"/>
        <v>#DIV/0!</v>
      </c>
      <c r="AT61" s="169" t="e">
        <f t="shared" si="160"/>
        <v>#DIV/0!</v>
      </c>
      <c r="AU61" s="172" t="e">
        <f t="shared" si="160"/>
        <v>#DIV/0!</v>
      </c>
      <c r="AV61" s="172" t="e">
        <f t="shared" si="160"/>
        <v>#DIV/0!</v>
      </c>
      <c r="AW61" s="170" t="e">
        <f t="shared" si="160"/>
        <v>#DIV/0!</v>
      </c>
      <c r="AX61" s="169" t="e">
        <f t="shared" si="160"/>
        <v>#DIV/0!</v>
      </c>
      <c r="AY61" s="172" t="e">
        <f t="shared" si="160"/>
        <v>#DIV/0!</v>
      </c>
      <c r="AZ61" s="172" t="e">
        <f t="shared" si="160"/>
        <v>#DIV/0!</v>
      </c>
      <c r="BA61" s="170" t="e">
        <f t="shared" si="160"/>
        <v>#DIV/0!</v>
      </c>
      <c r="BB61" s="169" t="e">
        <f t="shared" si="160"/>
        <v>#DIV/0!</v>
      </c>
      <c r="BC61" s="172" t="e">
        <f t="shared" si="160"/>
        <v>#DIV/0!</v>
      </c>
      <c r="BD61" s="172" t="e">
        <f t="shared" si="160"/>
        <v>#DIV/0!</v>
      </c>
      <c r="BE61" s="170" t="e">
        <f t="shared" si="160"/>
        <v>#DIV/0!</v>
      </c>
      <c r="BF61" s="169" t="e">
        <f t="shared" si="160"/>
        <v>#DIV/0!</v>
      </c>
      <c r="BG61" s="172" t="e">
        <f t="shared" si="160"/>
        <v>#DIV/0!</v>
      </c>
      <c r="BH61" s="172" t="e">
        <f t="shared" si="160"/>
        <v>#DIV/0!</v>
      </c>
      <c r="BI61" s="170" t="e">
        <f t="shared" si="160"/>
        <v>#DIV/0!</v>
      </c>
      <c r="BJ61" s="169" t="e">
        <f t="shared" si="160"/>
        <v>#DIV/0!</v>
      </c>
      <c r="BK61" s="172" t="e">
        <f t="shared" si="160"/>
        <v>#DIV/0!</v>
      </c>
      <c r="BL61" s="172" t="e">
        <f t="shared" si="160"/>
        <v>#DIV/0!</v>
      </c>
      <c r="BM61" s="170" t="e">
        <f t="shared" si="160"/>
        <v>#DIV/0!</v>
      </c>
      <c r="BN61" s="169" t="e">
        <f t="shared" si="160"/>
        <v>#DIV/0!</v>
      </c>
      <c r="BO61" s="172" t="e">
        <f t="shared" si="160"/>
        <v>#DIV/0!</v>
      </c>
      <c r="BP61" s="172" t="e">
        <f t="shared" si="160"/>
        <v>#DIV/0!</v>
      </c>
      <c r="BQ61" s="170" t="e">
        <f t="shared" ref="BQ61:CK61" si="161">0.00013*BQ60*BQ12</f>
        <v>#DIV/0!</v>
      </c>
      <c r="BR61" s="169" t="e">
        <f t="shared" si="161"/>
        <v>#DIV/0!</v>
      </c>
      <c r="BS61" s="172" t="e">
        <f t="shared" si="161"/>
        <v>#DIV/0!</v>
      </c>
      <c r="BT61" s="172" t="e">
        <f t="shared" si="161"/>
        <v>#DIV/0!</v>
      </c>
      <c r="BU61" s="170" t="e">
        <f t="shared" si="161"/>
        <v>#DIV/0!</v>
      </c>
      <c r="BV61" s="169" t="e">
        <f t="shared" si="161"/>
        <v>#DIV/0!</v>
      </c>
      <c r="BW61" s="172" t="e">
        <f t="shared" si="161"/>
        <v>#DIV/0!</v>
      </c>
      <c r="BX61" s="172" t="e">
        <f t="shared" si="161"/>
        <v>#DIV/0!</v>
      </c>
      <c r="BY61" s="170" t="e">
        <f t="shared" si="161"/>
        <v>#DIV/0!</v>
      </c>
      <c r="BZ61" s="169" t="e">
        <f t="shared" si="161"/>
        <v>#DIV/0!</v>
      </c>
      <c r="CA61" s="172" t="e">
        <f t="shared" si="161"/>
        <v>#DIV/0!</v>
      </c>
      <c r="CB61" s="172" t="e">
        <f t="shared" si="161"/>
        <v>#DIV/0!</v>
      </c>
      <c r="CC61" s="170" t="e">
        <f t="shared" si="161"/>
        <v>#DIV/0!</v>
      </c>
      <c r="CD61" s="169" t="e">
        <f t="shared" si="161"/>
        <v>#DIV/0!</v>
      </c>
      <c r="CE61" s="172" t="e">
        <f t="shared" si="161"/>
        <v>#DIV/0!</v>
      </c>
      <c r="CF61" s="172" t="e">
        <f t="shared" si="161"/>
        <v>#DIV/0!</v>
      </c>
      <c r="CG61" s="170" t="e">
        <f t="shared" si="161"/>
        <v>#DIV/0!</v>
      </c>
      <c r="CH61" s="169" t="e">
        <f t="shared" si="161"/>
        <v>#DIV/0!</v>
      </c>
      <c r="CI61" s="172" t="e">
        <f t="shared" si="161"/>
        <v>#DIV/0!</v>
      </c>
      <c r="CJ61" s="172" t="e">
        <f t="shared" si="161"/>
        <v>#DIV/0!</v>
      </c>
      <c r="CK61" s="170" t="e">
        <f t="shared" si="161"/>
        <v>#DIV/0!</v>
      </c>
      <c r="CL61" s="49"/>
      <c r="CM61" s="28"/>
    </row>
    <row r="62" spans="2:91" ht="14.25" x14ac:dyDescent="0.25">
      <c r="B62" s="55"/>
      <c r="C62" s="10" t="s">
        <v>102</v>
      </c>
      <c r="D62" s="93" t="s">
        <v>33</v>
      </c>
      <c r="E62" s="125">
        <f t="shared" ref="E62:AJ62" si="162">0.00569*SUM(E18:E19)/4-E25*(0.0027*E60-0.1946)</f>
        <v>0.28449999999999998</v>
      </c>
      <c r="F62" s="72">
        <f t="shared" si="162"/>
        <v>0.28592249999999997</v>
      </c>
      <c r="G62" s="73">
        <f t="shared" si="162"/>
        <v>0.28592249999999997</v>
      </c>
      <c r="H62" s="73">
        <f t="shared" si="162"/>
        <v>0.45946749999999997</v>
      </c>
      <c r="I62" s="74">
        <f t="shared" si="162"/>
        <v>0.45946749999999997</v>
      </c>
      <c r="J62" s="96">
        <f t="shared" si="162"/>
        <v>0</v>
      </c>
      <c r="K62" s="97" t="e">
        <f t="shared" si="162"/>
        <v>#DIV/0!</v>
      </c>
      <c r="L62" s="97">
        <f t="shared" si="162"/>
        <v>0</v>
      </c>
      <c r="M62" s="98">
        <f t="shared" si="162"/>
        <v>0</v>
      </c>
      <c r="N62" s="169">
        <f t="shared" si="162"/>
        <v>0</v>
      </c>
      <c r="O62" s="172">
        <f t="shared" si="162"/>
        <v>0</v>
      </c>
      <c r="P62" s="172">
        <f t="shared" si="162"/>
        <v>0</v>
      </c>
      <c r="Q62" s="170">
        <f t="shared" si="162"/>
        <v>0</v>
      </c>
      <c r="R62" s="169">
        <f t="shared" si="162"/>
        <v>0</v>
      </c>
      <c r="S62" s="172" t="e">
        <f t="shared" si="162"/>
        <v>#DIV/0!</v>
      </c>
      <c r="T62" s="172">
        <f t="shared" si="162"/>
        <v>2.845E-2</v>
      </c>
      <c r="U62" s="170">
        <f t="shared" si="162"/>
        <v>2.845E-2</v>
      </c>
      <c r="V62" s="169">
        <f t="shared" si="162"/>
        <v>0</v>
      </c>
      <c r="W62" s="172" t="e">
        <f t="shared" si="162"/>
        <v>#DIV/0!</v>
      </c>
      <c r="X62" s="172">
        <f t="shared" si="162"/>
        <v>2.845E-2</v>
      </c>
      <c r="Y62" s="170">
        <f t="shared" si="162"/>
        <v>2.845E-2</v>
      </c>
      <c r="Z62" s="169">
        <f t="shared" si="162"/>
        <v>0</v>
      </c>
      <c r="AA62" s="172" t="e">
        <f t="shared" si="162"/>
        <v>#DIV/0!</v>
      </c>
      <c r="AB62" s="172">
        <f t="shared" si="162"/>
        <v>2.845E-2</v>
      </c>
      <c r="AC62" s="170">
        <f t="shared" si="162"/>
        <v>2.845E-2</v>
      </c>
      <c r="AD62" s="169">
        <f t="shared" si="162"/>
        <v>0</v>
      </c>
      <c r="AE62" s="172" t="e">
        <f t="shared" si="162"/>
        <v>#DIV/0!</v>
      </c>
      <c r="AF62" s="172">
        <f t="shared" si="162"/>
        <v>2.845E-2</v>
      </c>
      <c r="AG62" s="170">
        <f t="shared" si="162"/>
        <v>2.845E-2</v>
      </c>
      <c r="AH62" s="169">
        <f t="shared" si="162"/>
        <v>0</v>
      </c>
      <c r="AI62" s="172">
        <f t="shared" si="162"/>
        <v>0</v>
      </c>
      <c r="AJ62" s="172">
        <f t="shared" si="162"/>
        <v>0</v>
      </c>
      <c r="AK62" s="170">
        <f t="shared" ref="AK62:BP62" si="163">0.00569*SUM(AK18:AK19)/4-AK25*(0.0027*AK60-0.1946)</f>
        <v>0</v>
      </c>
      <c r="AL62" s="169" t="e">
        <f t="shared" si="163"/>
        <v>#DIV/0!</v>
      </c>
      <c r="AM62" s="172" t="e">
        <f t="shared" si="163"/>
        <v>#DIV/0!</v>
      </c>
      <c r="AN62" s="172" t="e">
        <f t="shared" si="163"/>
        <v>#DIV/0!</v>
      </c>
      <c r="AO62" s="170" t="e">
        <f t="shared" si="163"/>
        <v>#DIV/0!</v>
      </c>
      <c r="AP62" s="169" t="e">
        <f t="shared" si="163"/>
        <v>#DIV/0!</v>
      </c>
      <c r="AQ62" s="172" t="e">
        <f t="shared" si="163"/>
        <v>#DIV/0!</v>
      </c>
      <c r="AR62" s="172" t="e">
        <f t="shared" si="163"/>
        <v>#DIV/0!</v>
      </c>
      <c r="AS62" s="170" t="e">
        <f t="shared" si="163"/>
        <v>#DIV/0!</v>
      </c>
      <c r="AT62" s="169" t="e">
        <f t="shared" si="163"/>
        <v>#DIV/0!</v>
      </c>
      <c r="AU62" s="172" t="e">
        <f t="shared" si="163"/>
        <v>#DIV/0!</v>
      </c>
      <c r="AV62" s="172" t="e">
        <f t="shared" si="163"/>
        <v>#DIV/0!</v>
      </c>
      <c r="AW62" s="170" t="e">
        <f t="shared" si="163"/>
        <v>#DIV/0!</v>
      </c>
      <c r="AX62" s="169" t="e">
        <f t="shared" si="163"/>
        <v>#DIV/0!</v>
      </c>
      <c r="AY62" s="172" t="e">
        <f t="shared" si="163"/>
        <v>#DIV/0!</v>
      </c>
      <c r="AZ62" s="172" t="e">
        <f t="shared" si="163"/>
        <v>#DIV/0!</v>
      </c>
      <c r="BA62" s="170" t="e">
        <f t="shared" si="163"/>
        <v>#DIV/0!</v>
      </c>
      <c r="BB62" s="169" t="e">
        <f t="shared" si="163"/>
        <v>#DIV/0!</v>
      </c>
      <c r="BC62" s="172" t="e">
        <f t="shared" si="163"/>
        <v>#DIV/0!</v>
      </c>
      <c r="BD62" s="172" t="e">
        <f t="shared" si="163"/>
        <v>#DIV/0!</v>
      </c>
      <c r="BE62" s="170" t="e">
        <f t="shared" si="163"/>
        <v>#DIV/0!</v>
      </c>
      <c r="BF62" s="169" t="e">
        <f t="shared" si="163"/>
        <v>#DIV/0!</v>
      </c>
      <c r="BG62" s="172" t="e">
        <f t="shared" si="163"/>
        <v>#DIV/0!</v>
      </c>
      <c r="BH62" s="172" t="e">
        <f t="shared" si="163"/>
        <v>#DIV/0!</v>
      </c>
      <c r="BI62" s="170" t="e">
        <f t="shared" si="163"/>
        <v>#DIV/0!</v>
      </c>
      <c r="BJ62" s="169" t="e">
        <f t="shared" si="163"/>
        <v>#DIV/0!</v>
      </c>
      <c r="BK62" s="172" t="e">
        <f t="shared" si="163"/>
        <v>#DIV/0!</v>
      </c>
      <c r="BL62" s="172" t="e">
        <f t="shared" si="163"/>
        <v>#DIV/0!</v>
      </c>
      <c r="BM62" s="170" t="e">
        <f t="shared" si="163"/>
        <v>#DIV/0!</v>
      </c>
      <c r="BN62" s="169" t="e">
        <f t="shared" si="163"/>
        <v>#DIV/0!</v>
      </c>
      <c r="BO62" s="172" t="e">
        <f t="shared" si="163"/>
        <v>#DIV/0!</v>
      </c>
      <c r="BP62" s="172" t="e">
        <f t="shared" si="163"/>
        <v>#DIV/0!</v>
      </c>
      <c r="BQ62" s="170" t="e">
        <f t="shared" ref="BQ62:CK62" si="164">0.00569*SUM(BQ18:BQ19)/4-BQ25*(0.0027*BQ60-0.1946)</f>
        <v>#DIV/0!</v>
      </c>
      <c r="BR62" s="169" t="e">
        <f t="shared" si="164"/>
        <v>#DIV/0!</v>
      </c>
      <c r="BS62" s="172" t="e">
        <f t="shared" si="164"/>
        <v>#DIV/0!</v>
      </c>
      <c r="BT62" s="172" t="e">
        <f t="shared" si="164"/>
        <v>#DIV/0!</v>
      </c>
      <c r="BU62" s="170" t="e">
        <f t="shared" si="164"/>
        <v>#DIV/0!</v>
      </c>
      <c r="BV62" s="169" t="e">
        <f t="shared" si="164"/>
        <v>#DIV/0!</v>
      </c>
      <c r="BW62" s="172" t="e">
        <f t="shared" si="164"/>
        <v>#DIV/0!</v>
      </c>
      <c r="BX62" s="172" t="e">
        <f t="shared" si="164"/>
        <v>#DIV/0!</v>
      </c>
      <c r="BY62" s="170" t="e">
        <f t="shared" si="164"/>
        <v>#DIV/0!</v>
      </c>
      <c r="BZ62" s="169" t="e">
        <f t="shared" si="164"/>
        <v>#DIV/0!</v>
      </c>
      <c r="CA62" s="172" t="e">
        <f t="shared" si="164"/>
        <v>#DIV/0!</v>
      </c>
      <c r="CB62" s="172" t="e">
        <f t="shared" si="164"/>
        <v>#DIV/0!</v>
      </c>
      <c r="CC62" s="170" t="e">
        <f t="shared" si="164"/>
        <v>#DIV/0!</v>
      </c>
      <c r="CD62" s="169" t="e">
        <f t="shared" si="164"/>
        <v>#DIV/0!</v>
      </c>
      <c r="CE62" s="172" t="e">
        <f t="shared" si="164"/>
        <v>#DIV/0!</v>
      </c>
      <c r="CF62" s="172" t="e">
        <f t="shared" si="164"/>
        <v>#DIV/0!</v>
      </c>
      <c r="CG62" s="170" t="e">
        <f t="shared" si="164"/>
        <v>#DIV/0!</v>
      </c>
      <c r="CH62" s="169" t="e">
        <f t="shared" si="164"/>
        <v>#DIV/0!</v>
      </c>
      <c r="CI62" s="172" t="e">
        <f t="shared" si="164"/>
        <v>#DIV/0!</v>
      </c>
      <c r="CJ62" s="172" t="e">
        <f t="shared" si="164"/>
        <v>#DIV/0!</v>
      </c>
      <c r="CK62" s="170" t="e">
        <f t="shared" si="164"/>
        <v>#DIV/0!</v>
      </c>
      <c r="CL62" s="49"/>
      <c r="CM62" s="28"/>
    </row>
    <row r="63" spans="2:91" ht="14.25" x14ac:dyDescent="0.25">
      <c r="B63" s="55"/>
      <c r="C63" s="10" t="s">
        <v>163</v>
      </c>
      <c r="D63" s="93" t="s">
        <v>213</v>
      </c>
      <c r="E63" s="127">
        <f t="shared" ref="E63:AG63" si="165">E29+4</f>
        <v>49</v>
      </c>
      <c r="F63" s="42">
        <f t="shared" si="165"/>
        <v>35.700000000000003</v>
      </c>
      <c r="G63" s="45">
        <f t="shared" si="165"/>
        <v>35.700000000000003</v>
      </c>
      <c r="H63" s="45">
        <f t="shared" si="165"/>
        <v>35.1</v>
      </c>
      <c r="I63" s="94">
        <f t="shared" si="165"/>
        <v>35.1</v>
      </c>
      <c r="J63" s="100">
        <f t="shared" si="165"/>
        <v>4</v>
      </c>
      <c r="K63" s="101">
        <f t="shared" si="165"/>
        <v>4</v>
      </c>
      <c r="L63" s="101">
        <f t="shared" si="165"/>
        <v>4</v>
      </c>
      <c r="M63" s="102">
        <f t="shared" si="165"/>
        <v>4</v>
      </c>
      <c r="N63" s="173">
        <f t="shared" si="165"/>
        <v>28</v>
      </c>
      <c r="O63" s="174">
        <f t="shared" si="165"/>
        <v>28</v>
      </c>
      <c r="P63" s="174">
        <f t="shared" si="165"/>
        <v>33</v>
      </c>
      <c r="Q63" s="175">
        <f t="shared" si="165"/>
        <v>60</v>
      </c>
      <c r="R63" s="173">
        <f t="shared" si="165"/>
        <v>4</v>
      </c>
      <c r="S63" s="174">
        <f t="shared" si="165"/>
        <v>4</v>
      </c>
      <c r="T63" s="174">
        <f t="shared" si="165"/>
        <v>4</v>
      </c>
      <c r="U63" s="175">
        <f t="shared" si="165"/>
        <v>4</v>
      </c>
      <c r="V63" s="173">
        <f t="shared" si="165"/>
        <v>10</v>
      </c>
      <c r="W63" s="174">
        <f t="shared" si="165"/>
        <v>4</v>
      </c>
      <c r="X63" s="174">
        <f t="shared" si="165"/>
        <v>36</v>
      </c>
      <c r="Y63" s="175">
        <f t="shared" si="165"/>
        <v>23</v>
      </c>
      <c r="Z63" s="173">
        <f t="shared" si="165"/>
        <v>33</v>
      </c>
      <c r="AA63" s="174">
        <f t="shared" si="165"/>
        <v>4</v>
      </c>
      <c r="AB63" s="174">
        <f t="shared" si="165"/>
        <v>35</v>
      </c>
      <c r="AC63" s="175">
        <f t="shared" si="165"/>
        <v>22</v>
      </c>
      <c r="AD63" s="173">
        <f t="shared" si="165"/>
        <v>4</v>
      </c>
      <c r="AE63" s="174">
        <f t="shared" si="165"/>
        <v>4</v>
      </c>
      <c r="AF63" s="174">
        <f t="shared" si="165"/>
        <v>4</v>
      </c>
      <c r="AG63" s="175">
        <f t="shared" si="165"/>
        <v>4</v>
      </c>
      <c r="AH63" s="173">
        <f>AH28+4</f>
        <v>69</v>
      </c>
      <c r="AI63" s="174">
        <f>AI28+4</f>
        <v>69</v>
      </c>
      <c r="AJ63" s="174">
        <f>AJ28+4</f>
        <v>69</v>
      </c>
      <c r="AK63" s="175">
        <f>AK28+4</f>
        <v>69</v>
      </c>
      <c r="AL63" s="173">
        <f t="shared" ref="AL63:BP63" si="166">AL29+4</f>
        <v>4</v>
      </c>
      <c r="AM63" s="174">
        <f t="shared" si="166"/>
        <v>4</v>
      </c>
      <c r="AN63" s="174">
        <f t="shared" si="166"/>
        <v>4</v>
      </c>
      <c r="AO63" s="175">
        <f t="shared" si="166"/>
        <v>4</v>
      </c>
      <c r="AP63" s="173">
        <f t="shared" si="166"/>
        <v>4</v>
      </c>
      <c r="AQ63" s="174">
        <f t="shared" si="166"/>
        <v>4</v>
      </c>
      <c r="AR63" s="174">
        <f t="shared" si="166"/>
        <v>4</v>
      </c>
      <c r="AS63" s="175">
        <f t="shared" si="166"/>
        <v>4</v>
      </c>
      <c r="AT63" s="173">
        <f t="shared" si="166"/>
        <v>4</v>
      </c>
      <c r="AU63" s="174">
        <f t="shared" si="166"/>
        <v>4</v>
      </c>
      <c r="AV63" s="174">
        <f t="shared" si="166"/>
        <v>4</v>
      </c>
      <c r="AW63" s="175">
        <f t="shared" si="166"/>
        <v>4</v>
      </c>
      <c r="AX63" s="173">
        <f t="shared" si="166"/>
        <v>4</v>
      </c>
      <c r="AY63" s="174">
        <f t="shared" si="166"/>
        <v>4</v>
      </c>
      <c r="AZ63" s="174">
        <f t="shared" si="166"/>
        <v>4</v>
      </c>
      <c r="BA63" s="175">
        <f t="shared" si="166"/>
        <v>4</v>
      </c>
      <c r="BB63" s="173">
        <f t="shared" si="166"/>
        <v>4</v>
      </c>
      <c r="BC63" s="174">
        <f t="shared" si="166"/>
        <v>4</v>
      </c>
      <c r="BD63" s="174">
        <f t="shared" si="166"/>
        <v>4</v>
      </c>
      <c r="BE63" s="175">
        <f t="shared" si="166"/>
        <v>4</v>
      </c>
      <c r="BF63" s="173">
        <f t="shared" si="166"/>
        <v>4</v>
      </c>
      <c r="BG63" s="174">
        <f t="shared" si="166"/>
        <v>4</v>
      </c>
      <c r="BH63" s="174">
        <f t="shared" si="166"/>
        <v>4</v>
      </c>
      <c r="BI63" s="175">
        <f t="shared" si="166"/>
        <v>4</v>
      </c>
      <c r="BJ63" s="173">
        <f t="shared" si="166"/>
        <v>4</v>
      </c>
      <c r="BK63" s="174">
        <f t="shared" si="166"/>
        <v>4</v>
      </c>
      <c r="BL63" s="174">
        <f t="shared" si="166"/>
        <v>4</v>
      </c>
      <c r="BM63" s="175">
        <f t="shared" si="166"/>
        <v>4</v>
      </c>
      <c r="BN63" s="173">
        <f t="shared" si="166"/>
        <v>4</v>
      </c>
      <c r="BO63" s="174">
        <f t="shared" si="166"/>
        <v>4</v>
      </c>
      <c r="BP63" s="174">
        <f t="shared" si="166"/>
        <v>4</v>
      </c>
      <c r="BQ63" s="175">
        <f t="shared" ref="BQ63:CK63" si="167">BQ29+4</f>
        <v>4</v>
      </c>
      <c r="BR63" s="173">
        <f t="shared" si="167"/>
        <v>4</v>
      </c>
      <c r="BS63" s="174">
        <f t="shared" si="167"/>
        <v>4</v>
      </c>
      <c r="BT63" s="174">
        <f t="shared" si="167"/>
        <v>4</v>
      </c>
      <c r="BU63" s="175">
        <f t="shared" si="167"/>
        <v>4</v>
      </c>
      <c r="BV63" s="173">
        <f t="shared" si="167"/>
        <v>4</v>
      </c>
      <c r="BW63" s="174">
        <f t="shared" si="167"/>
        <v>4</v>
      </c>
      <c r="BX63" s="174">
        <f t="shared" si="167"/>
        <v>4</v>
      </c>
      <c r="BY63" s="175">
        <f t="shared" si="167"/>
        <v>4</v>
      </c>
      <c r="BZ63" s="173">
        <f t="shared" si="167"/>
        <v>4</v>
      </c>
      <c r="CA63" s="174">
        <f t="shared" si="167"/>
        <v>4</v>
      </c>
      <c r="CB63" s="174">
        <f t="shared" si="167"/>
        <v>4</v>
      </c>
      <c r="CC63" s="175">
        <f t="shared" si="167"/>
        <v>4</v>
      </c>
      <c r="CD63" s="173">
        <f t="shared" si="167"/>
        <v>4</v>
      </c>
      <c r="CE63" s="174">
        <f t="shared" si="167"/>
        <v>4</v>
      </c>
      <c r="CF63" s="174">
        <f t="shared" si="167"/>
        <v>4</v>
      </c>
      <c r="CG63" s="175">
        <f t="shared" si="167"/>
        <v>4</v>
      </c>
      <c r="CH63" s="173">
        <f t="shared" si="167"/>
        <v>4</v>
      </c>
      <c r="CI63" s="174">
        <f t="shared" si="167"/>
        <v>4</v>
      </c>
      <c r="CJ63" s="174">
        <f t="shared" si="167"/>
        <v>4</v>
      </c>
      <c r="CK63" s="175">
        <f t="shared" si="167"/>
        <v>4</v>
      </c>
      <c r="CL63" s="49"/>
      <c r="CM63" s="28"/>
    </row>
    <row r="64" spans="2:91" ht="14.25" x14ac:dyDescent="0.25">
      <c r="B64" s="55"/>
      <c r="C64" s="10" t="s">
        <v>165</v>
      </c>
      <c r="D64" s="93" t="s">
        <v>166</v>
      </c>
      <c r="E64" s="126">
        <f>IF(E42="Signalized",(E28-E63)^2/(2*E28), IF(E42="Free",TWSC_PED_DELAY(E9,E57,E58,E54,E55,E38,E56), IF(E42="Stop",1,"Control N/A!")))</f>
        <v>1</v>
      </c>
      <c r="F64" s="13">
        <f t="shared" ref="F64:AG64" si="168">IF(F42="Signalized",(F28-F63)^2/(2*F28),IF(F42="Free",TWSC_PED_DELAY(F9,F57,F58,F54,F55,F38,F56),IF(F42="Stop - Two way",1,IF(F42="Stop - All way",1,"Control N/A!"))))</f>
        <v>16.380499999999998</v>
      </c>
      <c r="G64" s="44">
        <f t="shared" si="168"/>
        <v>16.380499999999998</v>
      </c>
      <c r="H64" s="44">
        <f t="shared" si="168"/>
        <v>16.744499999999999</v>
      </c>
      <c r="I64" s="14">
        <f t="shared" si="168"/>
        <v>16.744499999999999</v>
      </c>
      <c r="J64" s="13">
        <f t="shared" si="168"/>
        <v>1</v>
      </c>
      <c r="K64" s="44" t="str">
        <f t="shared" si="168"/>
        <v>Control N/A!</v>
      </c>
      <c r="L64" s="44">
        <f t="shared" si="168"/>
        <v>68.545461380368764</v>
      </c>
      <c r="M64" s="14">
        <f t="shared" si="168"/>
        <v>68.545461380368764</v>
      </c>
      <c r="N64" s="13">
        <f t="shared" si="168"/>
        <v>21.355555555555554</v>
      </c>
      <c r="O64" s="44">
        <f t="shared" si="168"/>
        <v>21.355555555555554</v>
      </c>
      <c r="P64" s="44">
        <f t="shared" si="168"/>
        <v>18.05</v>
      </c>
      <c r="Q64" s="14">
        <f t="shared" si="168"/>
        <v>5</v>
      </c>
      <c r="R64" s="13">
        <f t="shared" si="168"/>
        <v>1</v>
      </c>
      <c r="S64" s="44" t="str">
        <f t="shared" si="168"/>
        <v>Control N/A!</v>
      </c>
      <c r="T64" s="44">
        <f t="shared" si="168"/>
        <v>5.2833747265598143</v>
      </c>
      <c r="U64" s="14">
        <f t="shared" si="168"/>
        <v>5.2406067857845127</v>
      </c>
      <c r="V64" s="13">
        <f t="shared" si="168"/>
        <v>25.224637681159422</v>
      </c>
      <c r="W64" s="44" t="str">
        <f t="shared" si="168"/>
        <v>Control N/A!</v>
      </c>
      <c r="X64" s="44">
        <f t="shared" si="168"/>
        <v>7.8913043478260869</v>
      </c>
      <c r="Y64" s="14">
        <f t="shared" si="168"/>
        <v>15.333333333333334</v>
      </c>
      <c r="Z64" s="13">
        <f t="shared" si="168"/>
        <v>11.76</v>
      </c>
      <c r="AA64" s="44" t="str">
        <f t="shared" si="168"/>
        <v>Control N/A!</v>
      </c>
      <c r="AB64" s="44">
        <f t="shared" si="168"/>
        <v>10.666666666666666</v>
      </c>
      <c r="AC64" s="14">
        <f t="shared" si="168"/>
        <v>18.726666666666667</v>
      </c>
      <c r="AD64" s="13">
        <f>IF(AD42="Signalized",(AD28-AD63)^2/(2*AD28),IF(AD42="Free",TWSC_PED_DELAY(AD9,AD57,AD58,AD54,AD55,AD38,AD56),IF(AD42="Stop - Two way",1,IF(AD42="Stop - All way",1,"Control N/A!"))))</f>
        <v>25.137931034482758</v>
      </c>
      <c r="AE64" s="44" t="str">
        <f t="shared" si="168"/>
        <v>Control N/A!</v>
      </c>
      <c r="AF64" s="44">
        <f t="shared" si="168"/>
        <v>25.137931034482758</v>
      </c>
      <c r="AG64" s="14">
        <f t="shared" si="168"/>
        <v>25.137931034482758</v>
      </c>
      <c r="AH64" s="13" t="e">
        <f>IF(AH42="Signalized",(#REF!-AH63)^2/(2*#REF!),IF(AH42="Free",TWSC_PED_DELAY(AH9,AH57,AH58,AH54,AH55,AH38,AH56),IF(AH42="Stop - Two way",1,IF(AH42="Stop - All way",1,"Control N/A!"))))</f>
        <v>#REF!</v>
      </c>
      <c r="AI64" s="44" t="e">
        <f>IF(AI42="Signalized",(#REF!-AI63)^2/(2*#REF!),IF(AI42="Free",TWSC_PED_DELAY(AI9,AI57,AI58,AI54,AI55,AI38,AI56),IF(AI42="Stop - Two way",1,IF(AI42="Stop - All way",1,"Control N/A!"))))</f>
        <v>#REF!</v>
      </c>
      <c r="AJ64" s="44" t="e">
        <f>IF(AJ42="Signalized",(#REF!-AJ63)^2/(2*#REF!),IF(AJ42="Free",TWSC_PED_DELAY(AJ9,AJ57,AJ58,AJ54,AJ55,AJ38,AJ56),IF(AJ42="Stop - Two way",1,IF(AJ42="Stop - All way",1,"Control N/A!"))))</f>
        <v>#REF!</v>
      </c>
      <c r="AK64" s="14" t="e">
        <f>IF(AK42="Signalized",(#REF!-AK63)^2/(2*#REF!),IF(AK42="Free",TWSC_PED_DELAY(AK9,AK57,AK58,AK54,AK55,AK38,AK56),IF(AK42="Stop - Two way",1,IF(AK42="Stop - All way",1,"Control N/A!"))))</f>
        <v>#REF!</v>
      </c>
      <c r="AL64" s="13" t="str">
        <f t="shared" ref="AL64:BQ64" si="169">IF(AL42="Signalized",(AL28-AL63)^2/(2*AL28),IF(AL42="Free",TWSC_PED_DELAY(AL9,AL57,AL58,AL54,AL55,AL38,AL56),IF(AL42="Stop - Two way",1,IF(AL42="Stop - All way",1,"Control N/A!"))))</f>
        <v>Control N/A!</v>
      </c>
      <c r="AM64" s="44" t="str">
        <f t="shared" si="169"/>
        <v>Control N/A!</v>
      </c>
      <c r="AN64" s="44" t="str">
        <f t="shared" si="169"/>
        <v>Control N/A!</v>
      </c>
      <c r="AO64" s="14" t="str">
        <f t="shared" si="169"/>
        <v>Control N/A!</v>
      </c>
      <c r="AP64" s="13" t="str">
        <f t="shared" si="169"/>
        <v>Control N/A!</v>
      </c>
      <c r="AQ64" s="44" t="str">
        <f t="shared" si="169"/>
        <v>Control N/A!</v>
      </c>
      <c r="AR64" s="44" t="str">
        <f t="shared" si="169"/>
        <v>Control N/A!</v>
      </c>
      <c r="AS64" s="14" t="str">
        <f t="shared" si="169"/>
        <v>Control N/A!</v>
      </c>
      <c r="AT64" s="13" t="str">
        <f t="shared" si="169"/>
        <v>Control N/A!</v>
      </c>
      <c r="AU64" s="44" t="str">
        <f t="shared" si="169"/>
        <v>Control N/A!</v>
      </c>
      <c r="AV64" s="44" t="str">
        <f t="shared" si="169"/>
        <v>Control N/A!</v>
      </c>
      <c r="AW64" s="14" t="str">
        <f t="shared" si="169"/>
        <v>Control N/A!</v>
      </c>
      <c r="AX64" s="13" t="str">
        <f t="shared" si="169"/>
        <v>Control N/A!</v>
      </c>
      <c r="AY64" s="44" t="str">
        <f t="shared" si="169"/>
        <v>Control N/A!</v>
      </c>
      <c r="AZ64" s="44" t="str">
        <f t="shared" si="169"/>
        <v>Control N/A!</v>
      </c>
      <c r="BA64" s="14" t="str">
        <f t="shared" si="169"/>
        <v>Control N/A!</v>
      </c>
      <c r="BB64" s="13" t="str">
        <f t="shared" si="169"/>
        <v>Control N/A!</v>
      </c>
      <c r="BC64" s="44" t="str">
        <f t="shared" si="169"/>
        <v>Control N/A!</v>
      </c>
      <c r="BD64" s="44" t="str">
        <f t="shared" si="169"/>
        <v>Control N/A!</v>
      </c>
      <c r="BE64" s="14" t="str">
        <f t="shared" si="169"/>
        <v>Control N/A!</v>
      </c>
      <c r="BF64" s="13" t="str">
        <f t="shared" si="169"/>
        <v>Control N/A!</v>
      </c>
      <c r="BG64" s="44" t="str">
        <f t="shared" si="169"/>
        <v>Control N/A!</v>
      </c>
      <c r="BH64" s="44" t="str">
        <f t="shared" si="169"/>
        <v>Control N/A!</v>
      </c>
      <c r="BI64" s="14" t="str">
        <f t="shared" si="169"/>
        <v>Control N/A!</v>
      </c>
      <c r="BJ64" s="13" t="str">
        <f t="shared" si="169"/>
        <v>Control N/A!</v>
      </c>
      <c r="BK64" s="44" t="str">
        <f t="shared" si="169"/>
        <v>Control N/A!</v>
      </c>
      <c r="BL64" s="44" t="str">
        <f t="shared" si="169"/>
        <v>Control N/A!</v>
      </c>
      <c r="BM64" s="14" t="str">
        <f t="shared" si="169"/>
        <v>Control N/A!</v>
      </c>
      <c r="BN64" s="13" t="str">
        <f t="shared" si="169"/>
        <v>Control N/A!</v>
      </c>
      <c r="BO64" s="44" t="str">
        <f t="shared" si="169"/>
        <v>Control N/A!</v>
      </c>
      <c r="BP64" s="44" t="str">
        <f t="shared" si="169"/>
        <v>Control N/A!</v>
      </c>
      <c r="BQ64" s="14" t="str">
        <f t="shared" si="169"/>
        <v>Control N/A!</v>
      </c>
      <c r="BR64" s="13" t="str">
        <f t="shared" ref="BR64:CK64" si="170">IF(BR42="Signalized",(BR28-BR63)^2/(2*BR28),IF(BR42="Free",TWSC_PED_DELAY(BR9,BR57,BR58,BR54,BR55,BR38,BR56),IF(BR42="Stop - Two way",1,IF(BR42="Stop - All way",1,"Control N/A!"))))</f>
        <v>Control N/A!</v>
      </c>
      <c r="BS64" s="44" t="str">
        <f t="shared" si="170"/>
        <v>Control N/A!</v>
      </c>
      <c r="BT64" s="44" t="str">
        <f t="shared" si="170"/>
        <v>Control N/A!</v>
      </c>
      <c r="BU64" s="14" t="str">
        <f t="shared" si="170"/>
        <v>Control N/A!</v>
      </c>
      <c r="BV64" s="13" t="str">
        <f t="shared" si="170"/>
        <v>Control N/A!</v>
      </c>
      <c r="BW64" s="44" t="str">
        <f t="shared" si="170"/>
        <v>Control N/A!</v>
      </c>
      <c r="BX64" s="44" t="str">
        <f t="shared" si="170"/>
        <v>Control N/A!</v>
      </c>
      <c r="BY64" s="14" t="str">
        <f t="shared" si="170"/>
        <v>Control N/A!</v>
      </c>
      <c r="BZ64" s="13" t="str">
        <f t="shared" si="170"/>
        <v>Control N/A!</v>
      </c>
      <c r="CA64" s="44" t="str">
        <f t="shared" si="170"/>
        <v>Control N/A!</v>
      </c>
      <c r="CB64" s="44" t="str">
        <f t="shared" si="170"/>
        <v>Control N/A!</v>
      </c>
      <c r="CC64" s="14" t="str">
        <f t="shared" si="170"/>
        <v>Control N/A!</v>
      </c>
      <c r="CD64" s="13" t="str">
        <f t="shared" si="170"/>
        <v>Control N/A!</v>
      </c>
      <c r="CE64" s="44" t="str">
        <f t="shared" si="170"/>
        <v>Control N/A!</v>
      </c>
      <c r="CF64" s="44" t="str">
        <f t="shared" si="170"/>
        <v>Control N/A!</v>
      </c>
      <c r="CG64" s="14" t="str">
        <f t="shared" si="170"/>
        <v>Control N/A!</v>
      </c>
      <c r="CH64" s="13" t="str">
        <f t="shared" si="170"/>
        <v>Control N/A!</v>
      </c>
      <c r="CI64" s="44" t="str">
        <f t="shared" si="170"/>
        <v>Control N/A!</v>
      </c>
      <c r="CJ64" s="44" t="str">
        <f t="shared" si="170"/>
        <v>Control N/A!</v>
      </c>
      <c r="CK64" s="14" t="str">
        <f t="shared" si="170"/>
        <v>Control N/A!</v>
      </c>
      <c r="CL64" s="49"/>
      <c r="CM64" s="28"/>
    </row>
    <row r="65" spans="2:91" ht="14.25" x14ac:dyDescent="0.25">
      <c r="B65" s="55"/>
      <c r="C65" s="10" t="s">
        <v>167</v>
      </c>
      <c r="D65" s="93" t="s">
        <v>168</v>
      </c>
      <c r="E65" s="125">
        <f>0.0401*LN(E64)</f>
        <v>0</v>
      </c>
      <c r="F65" s="72">
        <f>0.0401*LN(F64)</f>
        <v>0.11212327327988171</v>
      </c>
      <c r="G65" s="73">
        <f>0.0401*LN(G64)</f>
        <v>0.11212327327988171</v>
      </c>
      <c r="H65" s="73">
        <f t="shared" ref="H65:I65" si="171">0.0401*LN(H64)</f>
        <v>0.11300460083024445</v>
      </c>
      <c r="I65" s="74">
        <f t="shared" si="171"/>
        <v>0.11300460083024445</v>
      </c>
      <c r="J65" s="96">
        <f>0.0401*LN(J64)</f>
        <v>0</v>
      </c>
      <c r="K65" s="97" t="e">
        <f>0.0401*LN(K64)</f>
        <v>#VALUE!</v>
      </c>
      <c r="L65" s="97">
        <f t="shared" ref="L65:M65" si="172">0.0401*LN(L64)</f>
        <v>0.16952263751641963</v>
      </c>
      <c r="M65" s="98">
        <f t="shared" si="172"/>
        <v>0.16952263751641963</v>
      </c>
      <c r="N65" s="169">
        <f>0.0401*LN(N64)</f>
        <v>0.12275860795991889</v>
      </c>
      <c r="O65" s="172">
        <f t="shared" ref="O65:Q65" si="173">0.0401*LN(O64)</f>
        <v>0.12275860795991889</v>
      </c>
      <c r="P65" s="172">
        <f t="shared" si="173"/>
        <v>0.11601514195963349</v>
      </c>
      <c r="Q65" s="170">
        <f t="shared" si="173"/>
        <v>6.4538460288607422E-2</v>
      </c>
      <c r="R65" s="169">
        <f>0.0401*LN(R64)</f>
        <v>0</v>
      </c>
      <c r="S65" s="172" t="e">
        <f t="shared" ref="S65:U65" si="174">0.0401*LN(S64)</f>
        <v>#VALUE!</v>
      </c>
      <c r="T65" s="172">
        <f t="shared" si="174"/>
        <v>6.6749058356813648E-2</v>
      </c>
      <c r="U65" s="170">
        <f t="shared" si="174"/>
        <v>6.6423135346749207E-2</v>
      </c>
      <c r="V65" s="169">
        <f>0.0401*LN(V64)</f>
        <v>0.12943563022643478</v>
      </c>
      <c r="W65" s="172" t="e">
        <f t="shared" ref="W65:Y65" si="175">0.0401*LN(W64)</f>
        <v>#VALUE!</v>
      </c>
      <c r="X65" s="172">
        <f t="shared" si="175"/>
        <v>8.2837033654807796E-2</v>
      </c>
      <c r="Y65" s="170">
        <f t="shared" si="175"/>
        <v>0.10947416722362151</v>
      </c>
      <c r="Z65" s="169">
        <f>0.0401*LN(Z64)</f>
        <v>9.8834628093066271E-2</v>
      </c>
      <c r="AA65" s="172" t="e">
        <f t="shared" ref="AA65:AC65" si="176">0.0401*LN(AA64)</f>
        <v>#VALUE!</v>
      </c>
      <c r="AB65" s="172">
        <f t="shared" si="176"/>
        <v>9.4921656926677839E-2</v>
      </c>
      <c r="AC65" s="170">
        <f t="shared" si="176"/>
        <v>0.1174909361736203</v>
      </c>
      <c r="AD65" s="169">
        <f>0.0401*LN(AD64)</f>
        <v>0.12929755387108957</v>
      </c>
      <c r="AE65" s="172" t="e">
        <f t="shared" ref="AE65:AG65" si="177">0.0401*LN(AE64)</f>
        <v>#VALUE!</v>
      </c>
      <c r="AF65" s="172">
        <f t="shared" si="177"/>
        <v>0.12929755387108957</v>
      </c>
      <c r="AG65" s="170">
        <f t="shared" si="177"/>
        <v>0.12929755387108957</v>
      </c>
      <c r="AH65" s="169" t="e">
        <f>0.0401*LN(AH64)</f>
        <v>#REF!</v>
      </c>
      <c r="AI65" s="172" t="e">
        <f t="shared" ref="AI65:AK65" si="178">0.0401*LN(AI64)</f>
        <v>#REF!</v>
      </c>
      <c r="AJ65" s="172" t="e">
        <f t="shared" si="178"/>
        <v>#REF!</v>
      </c>
      <c r="AK65" s="170" t="e">
        <f t="shared" si="178"/>
        <v>#REF!</v>
      </c>
      <c r="AL65" s="169" t="e">
        <f>0.0401*LN(AL64)</f>
        <v>#VALUE!</v>
      </c>
      <c r="AM65" s="172" t="e">
        <f t="shared" ref="AM65:AO65" si="179">0.0401*LN(AM64)</f>
        <v>#VALUE!</v>
      </c>
      <c r="AN65" s="172" t="e">
        <f t="shared" si="179"/>
        <v>#VALUE!</v>
      </c>
      <c r="AO65" s="170" t="e">
        <f t="shared" si="179"/>
        <v>#VALUE!</v>
      </c>
      <c r="AP65" s="169" t="e">
        <f>0.0401*LN(AP64)</f>
        <v>#VALUE!</v>
      </c>
      <c r="AQ65" s="172" t="e">
        <f t="shared" ref="AQ65:AS65" si="180">0.0401*LN(AQ64)</f>
        <v>#VALUE!</v>
      </c>
      <c r="AR65" s="172" t="e">
        <f t="shared" si="180"/>
        <v>#VALUE!</v>
      </c>
      <c r="AS65" s="170" t="e">
        <f t="shared" si="180"/>
        <v>#VALUE!</v>
      </c>
      <c r="AT65" s="169" t="e">
        <f>0.0401*LN(AT64)</f>
        <v>#VALUE!</v>
      </c>
      <c r="AU65" s="172" t="e">
        <f t="shared" ref="AU65:AW65" si="181">0.0401*LN(AU64)</f>
        <v>#VALUE!</v>
      </c>
      <c r="AV65" s="172" t="e">
        <f t="shared" si="181"/>
        <v>#VALUE!</v>
      </c>
      <c r="AW65" s="170" t="e">
        <f t="shared" si="181"/>
        <v>#VALUE!</v>
      </c>
      <c r="AX65" s="169" t="e">
        <f>0.0401*LN(AX64)</f>
        <v>#VALUE!</v>
      </c>
      <c r="AY65" s="172" t="e">
        <f t="shared" ref="AY65:BA65" si="182">0.0401*LN(AY64)</f>
        <v>#VALUE!</v>
      </c>
      <c r="AZ65" s="172" t="e">
        <f t="shared" si="182"/>
        <v>#VALUE!</v>
      </c>
      <c r="BA65" s="170" t="e">
        <f t="shared" si="182"/>
        <v>#VALUE!</v>
      </c>
      <c r="BB65" s="169" t="e">
        <f>0.0401*LN(BB64)</f>
        <v>#VALUE!</v>
      </c>
      <c r="BC65" s="172" t="e">
        <f t="shared" ref="BC65:BE65" si="183">0.0401*LN(BC64)</f>
        <v>#VALUE!</v>
      </c>
      <c r="BD65" s="172" t="e">
        <f t="shared" si="183"/>
        <v>#VALUE!</v>
      </c>
      <c r="BE65" s="170" t="e">
        <f t="shared" si="183"/>
        <v>#VALUE!</v>
      </c>
      <c r="BF65" s="169" t="e">
        <f>0.0401*LN(BF64)</f>
        <v>#VALUE!</v>
      </c>
      <c r="BG65" s="172" t="e">
        <f t="shared" ref="BG65:BI65" si="184">0.0401*LN(BG64)</f>
        <v>#VALUE!</v>
      </c>
      <c r="BH65" s="172" t="e">
        <f t="shared" si="184"/>
        <v>#VALUE!</v>
      </c>
      <c r="BI65" s="170" t="e">
        <f t="shared" si="184"/>
        <v>#VALUE!</v>
      </c>
      <c r="BJ65" s="169" t="e">
        <f>0.0401*LN(BJ64)</f>
        <v>#VALUE!</v>
      </c>
      <c r="BK65" s="172" t="e">
        <f t="shared" ref="BK65:BM65" si="185">0.0401*LN(BK64)</f>
        <v>#VALUE!</v>
      </c>
      <c r="BL65" s="172" t="e">
        <f t="shared" si="185"/>
        <v>#VALUE!</v>
      </c>
      <c r="BM65" s="170" t="e">
        <f t="shared" si="185"/>
        <v>#VALUE!</v>
      </c>
      <c r="BN65" s="169" t="e">
        <f>0.0401*LN(BN64)</f>
        <v>#VALUE!</v>
      </c>
      <c r="BO65" s="172" t="e">
        <f t="shared" ref="BO65:BQ65" si="186">0.0401*LN(BO64)</f>
        <v>#VALUE!</v>
      </c>
      <c r="BP65" s="172" t="e">
        <f t="shared" si="186"/>
        <v>#VALUE!</v>
      </c>
      <c r="BQ65" s="170" t="e">
        <f t="shared" si="186"/>
        <v>#VALUE!</v>
      </c>
      <c r="BR65" s="169" t="e">
        <f>0.0401*LN(BR64)</f>
        <v>#VALUE!</v>
      </c>
      <c r="BS65" s="172" t="e">
        <f t="shared" ref="BS65:BU65" si="187">0.0401*LN(BS64)</f>
        <v>#VALUE!</v>
      </c>
      <c r="BT65" s="172" t="e">
        <f t="shared" si="187"/>
        <v>#VALUE!</v>
      </c>
      <c r="BU65" s="170" t="e">
        <f t="shared" si="187"/>
        <v>#VALUE!</v>
      </c>
      <c r="BV65" s="169" t="e">
        <f>0.0401*LN(BV64)</f>
        <v>#VALUE!</v>
      </c>
      <c r="BW65" s="172" t="e">
        <f t="shared" ref="BW65:BY65" si="188">0.0401*LN(BW64)</f>
        <v>#VALUE!</v>
      </c>
      <c r="BX65" s="172" t="e">
        <f t="shared" si="188"/>
        <v>#VALUE!</v>
      </c>
      <c r="BY65" s="170" t="e">
        <f t="shared" si="188"/>
        <v>#VALUE!</v>
      </c>
      <c r="BZ65" s="169" t="e">
        <f>0.0401*LN(BZ64)</f>
        <v>#VALUE!</v>
      </c>
      <c r="CA65" s="172" t="e">
        <f t="shared" ref="CA65:CC65" si="189">0.0401*LN(CA64)</f>
        <v>#VALUE!</v>
      </c>
      <c r="CB65" s="172" t="e">
        <f t="shared" si="189"/>
        <v>#VALUE!</v>
      </c>
      <c r="CC65" s="170" t="e">
        <f t="shared" si="189"/>
        <v>#VALUE!</v>
      </c>
      <c r="CD65" s="169" t="e">
        <f>0.0401*LN(CD64)</f>
        <v>#VALUE!</v>
      </c>
      <c r="CE65" s="172" t="e">
        <f t="shared" ref="CE65:CG65" si="190">0.0401*LN(CE64)</f>
        <v>#VALUE!</v>
      </c>
      <c r="CF65" s="172" t="e">
        <f t="shared" si="190"/>
        <v>#VALUE!</v>
      </c>
      <c r="CG65" s="170" t="e">
        <f t="shared" si="190"/>
        <v>#VALUE!</v>
      </c>
      <c r="CH65" s="169" t="e">
        <f>0.0401*LN(CH64)</f>
        <v>#VALUE!</v>
      </c>
      <c r="CI65" s="172" t="e">
        <f t="shared" ref="CI65:CK65" si="191">0.0401*LN(CI64)</f>
        <v>#VALUE!</v>
      </c>
      <c r="CJ65" s="172" t="e">
        <f t="shared" si="191"/>
        <v>#VALUE!</v>
      </c>
      <c r="CK65" s="170" t="e">
        <f t="shared" si="191"/>
        <v>#VALUE!</v>
      </c>
      <c r="CL65" s="49"/>
      <c r="CM65" s="28"/>
    </row>
    <row r="66" spans="2:91" ht="14.25" x14ac:dyDescent="0.25">
      <c r="B66" s="55"/>
      <c r="C66" s="10" t="s">
        <v>48</v>
      </c>
      <c r="D66" s="93" t="s">
        <v>40</v>
      </c>
      <c r="E66" s="125">
        <f>IF(E9&gt;0,0.5997+E59+E61+E62+E65,0)</f>
        <v>2.5426420442435358</v>
      </c>
      <c r="F66" s="72">
        <f t="shared" ref="F66:AK66" si="192">IF(AND(F9&gt;0,F30&gt;0),0.5997+F59+F61+F62+F65,0)</f>
        <v>2.8023711156342199</v>
      </c>
      <c r="G66" s="73">
        <f t="shared" si="192"/>
        <v>2.7367211156342202</v>
      </c>
      <c r="H66" s="73">
        <f t="shared" si="192"/>
        <v>2.75159852007378</v>
      </c>
      <c r="I66" s="74">
        <f t="shared" si="192"/>
        <v>2.7402235200737803</v>
      </c>
      <c r="J66" s="96">
        <f t="shared" si="192"/>
        <v>1.6006082101655288</v>
      </c>
      <c r="K66" s="97">
        <f t="shared" si="192"/>
        <v>0</v>
      </c>
      <c r="L66" s="97">
        <f t="shared" si="192"/>
        <v>2.1235729316016991</v>
      </c>
      <c r="M66" s="98">
        <f t="shared" si="192"/>
        <v>2.1149062649350325</v>
      </c>
      <c r="N66" s="169">
        <f t="shared" si="192"/>
        <v>2.2880725272034548</v>
      </c>
      <c r="O66" s="172">
        <f t="shared" si="192"/>
        <v>2.4097444022034544</v>
      </c>
      <c r="P66" s="172">
        <f t="shared" si="192"/>
        <v>2.2421259362031689</v>
      </c>
      <c r="Q66" s="170">
        <f t="shared" si="192"/>
        <v>2.2810398795321429</v>
      </c>
      <c r="R66" s="169">
        <f t="shared" si="192"/>
        <v>1.6111707101655288</v>
      </c>
      <c r="S66" s="172">
        <f t="shared" si="192"/>
        <v>0</v>
      </c>
      <c r="T66" s="172">
        <f t="shared" si="192"/>
        <v>2.2501490583568136</v>
      </c>
      <c r="U66" s="170">
        <f t="shared" si="192"/>
        <v>2.1864481353467489</v>
      </c>
      <c r="V66" s="169">
        <f t="shared" si="192"/>
        <v>1.9941109243117141</v>
      </c>
      <c r="W66" s="172">
        <f t="shared" si="192"/>
        <v>0</v>
      </c>
      <c r="X66" s="172">
        <f t="shared" si="192"/>
        <v>2.176378994406754</v>
      </c>
      <c r="Y66" s="170">
        <f t="shared" si="192"/>
        <v>2.0196573773891506</v>
      </c>
      <c r="Z66" s="169">
        <f t="shared" si="192"/>
        <v>1.7733803382585951</v>
      </c>
      <c r="AA66" s="172">
        <f t="shared" si="192"/>
        <v>0</v>
      </c>
      <c r="AB66" s="172">
        <f t="shared" si="192"/>
        <v>2.1324011176786235</v>
      </c>
      <c r="AC66" s="170">
        <f t="shared" si="192"/>
        <v>2.119762063592233</v>
      </c>
      <c r="AD66" s="169">
        <f>IF(AND(AD9&gt;0,AD30&gt;0),0.5997+AD59+AD61+AD62+AD65,0)</f>
        <v>1.7266557640366185</v>
      </c>
      <c r="AE66" s="172">
        <f t="shared" si="192"/>
        <v>0</v>
      </c>
      <c r="AF66" s="172">
        <f t="shared" si="192"/>
        <v>1.9911370140366187</v>
      </c>
      <c r="AG66" s="170">
        <f t="shared" si="192"/>
        <v>1.9830120140366185</v>
      </c>
      <c r="AH66" s="169" t="e">
        <f t="shared" si="192"/>
        <v>#REF!</v>
      </c>
      <c r="AI66" s="172" t="e">
        <f t="shared" si="192"/>
        <v>#REF!</v>
      </c>
      <c r="AJ66" s="172" t="e">
        <f t="shared" si="192"/>
        <v>#REF!</v>
      </c>
      <c r="AK66" s="170" t="e">
        <f t="shared" si="192"/>
        <v>#REF!</v>
      </c>
      <c r="AL66" s="169">
        <f t="shared" ref="AL66:BQ66" si="193">IF(AND(AL9&gt;0,AL30&gt;0),0.5997+AL59+AL61+AL62+AL65,0)</f>
        <v>0</v>
      </c>
      <c r="AM66" s="172">
        <f t="shared" si="193"/>
        <v>0</v>
      </c>
      <c r="AN66" s="172">
        <f t="shared" si="193"/>
        <v>0</v>
      </c>
      <c r="AO66" s="170">
        <f t="shared" si="193"/>
        <v>0</v>
      </c>
      <c r="AP66" s="169">
        <f t="shared" si="193"/>
        <v>0</v>
      </c>
      <c r="AQ66" s="172">
        <f t="shared" si="193"/>
        <v>0</v>
      </c>
      <c r="AR66" s="172">
        <f t="shared" si="193"/>
        <v>0</v>
      </c>
      <c r="AS66" s="170">
        <f t="shared" si="193"/>
        <v>0</v>
      </c>
      <c r="AT66" s="169">
        <f t="shared" si="193"/>
        <v>0</v>
      </c>
      <c r="AU66" s="172">
        <f t="shared" si="193"/>
        <v>0</v>
      </c>
      <c r="AV66" s="172">
        <f t="shared" si="193"/>
        <v>0</v>
      </c>
      <c r="AW66" s="170">
        <f t="shared" si="193"/>
        <v>0</v>
      </c>
      <c r="AX66" s="169">
        <f t="shared" si="193"/>
        <v>0</v>
      </c>
      <c r="AY66" s="172">
        <f t="shared" si="193"/>
        <v>0</v>
      </c>
      <c r="AZ66" s="172">
        <f t="shared" si="193"/>
        <v>0</v>
      </c>
      <c r="BA66" s="170">
        <f t="shared" si="193"/>
        <v>0</v>
      </c>
      <c r="BB66" s="169">
        <f t="shared" si="193"/>
        <v>0</v>
      </c>
      <c r="BC66" s="172">
        <f t="shared" si="193"/>
        <v>0</v>
      </c>
      <c r="BD66" s="172">
        <f t="shared" si="193"/>
        <v>0</v>
      </c>
      <c r="BE66" s="170">
        <f t="shared" si="193"/>
        <v>0</v>
      </c>
      <c r="BF66" s="169">
        <f t="shared" si="193"/>
        <v>0</v>
      </c>
      <c r="BG66" s="172">
        <f t="shared" si="193"/>
        <v>0</v>
      </c>
      <c r="BH66" s="172">
        <f t="shared" si="193"/>
        <v>0</v>
      </c>
      <c r="BI66" s="170">
        <f t="shared" si="193"/>
        <v>0</v>
      </c>
      <c r="BJ66" s="169">
        <f t="shared" si="193"/>
        <v>0</v>
      </c>
      <c r="BK66" s="172">
        <f t="shared" si="193"/>
        <v>0</v>
      </c>
      <c r="BL66" s="172">
        <f t="shared" si="193"/>
        <v>0</v>
      </c>
      <c r="BM66" s="170">
        <f t="shared" si="193"/>
        <v>0</v>
      </c>
      <c r="BN66" s="169">
        <f t="shared" si="193"/>
        <v>0</v>
      </c>
      <c r="BO66" s="172">
        <f t="shared" si="193"/>
        <v>0</v>
      </c>
      <c r="BP66" s="172">
        <f t="shared" si="193"/>
        <v>0</v>
      </c>
      <c r="BQ66" s="170">
        <f t="shared" si="193"/>
        <v>0</v>
      </c>
      <c r="BR66" s="169">
        <f t="shared" ref="BR66:CK66" si="194">IF(AND(BR9&gt;0,BR30&gt;0),0.5997+BR59+BR61+BR62+BR65,0)</f>
        <v>0</v>
      </c>
      <c r="BS66" s="172">
        <f t="shared" si="194"/>
        <v>0</v>
      </c>
      <c r="BT66" s="172">
        <f t="shared" si="194"/>
        <v>0</v>
      </c>
      <c r="BU66" s="170">
        <f t="shared" si="194"/>
        <v>0</v>
      </c>
      <c r="BV66" s="169">
        <f t="shared" si="194"/>
        <v>0</v>
      </c>
      <c r="BW66" s="172">
        <f t="shared" si="194"/>
        <v>0</v>
      </c>
      <c r="BX66" s="172">
        <f t="shared" si="194"/>
        <v>0</v>
      </c>
      <c r="BY66" s="170">
        <f t="shared" si="194"/>
        <v>0</v>
      </c>
      <c r="BZ66" s="169">
        <f t="shared" si="194"/>
        <v>0</v>
      </c>
      <c r="CA66" s="172">
        <f t="shared" si="194"/>
        <v>0</v>
      </c>
      <c r="CB66" s="172">
        <f t="shared" si="194"/>
        <v>0</v>
      </c>
      <c r="CC66" s="170">
        <f t="shared" si="194"/>
        <v>0</v>
      </c>
      <c r="CD66" s="169">
        <f t="shared" si="194"/>
        <v>0</v>
      </c>
      <c r="CE66" s="172">
        <f t="shared" si="194"/>
        <v>0</v>
      </c>
      <c r="CF66" s="172">
        <f t="shared" si="194"/>
        <v>0</v>
      </c>
      <c r="CG66" s="170">
        <f t="shared" si="194"/>
        <v>0</v>
      </c>
      <c r="CH66" s="169">
        <f t="shared" si="194"/>
        <v>0</v>
      </c>
      <c r="CI66" s="172">
        <f t="shared" si="194"/>
        <v>0</v>
      </c>
      <c r="CJ66" s="172">
        <f t="shared" si="194"/>
        <v>0</v>
      </c>
      <c r="CK66" s="170">
        <f t="shared" si="194"/>
        <v>0</v>
      </c>
      <c r="CL66" s="49"/>
      <c r="CM66" s="28"/>
    </row>
    <row r="67" spans="2:91" x14ac:dyDescent="0.25">
      <c r="B67" s="55"/>
      <c r="C67" s="10"/>
      <c r="D67" s="93" t="s">
        <v>212</v>
      </c>
      <c r="E67" s="124" t="str">
        <f t="shared" ref="E67" si="195">IF(E66&lt;=2,"A",IF(E66&lt;=2.75,"B",IF(E66&lt;=3.5,"C",IF(E66&lt;=4.25,"D",IF(E66&lt;=5,"E","F")))))</f>
        <v>B</v>
      </c>
      <c r="F67" s="10" t="str">
        <f t="shared" ref="F67:I67" si="196">IF(F66&lt;=2,"A",IF(F66&lt;=2.75,"B",IF(F66&lt;=3.5,"C",IF(F66&lt;=4.25,"D",IF(F66&lt;=5,"E","F")))))</f>
        <v>C</v>
      </c>
      <c r="G67" s="71" t="str">
        <f t="shared" si="196"/>
        <v>B</v>
      </c>
      <c r="H67" s="71" t="str">
        <f t="shared" si="196"/>
        <v>C</v>
      </c>
      <c r="I67" s="75" t="str">
        <f t="shared" si="196"/>
        <v>B</v>
      </c>
      <c r="J67" s="10" t="str">
        <f t="shared" ref="J67:L67" si="197">IF(J66&lt;=2,"A",IF(J66&lt;=2.75,"B",IF(J66&lt;=3.5,"C",IF(J66&lt;=4.25,"D",IF(J66&lt;=5,"E","F")))))</f>
        <v>A</v>
      </c>
      <c r="K67" s="95" t="str">
        <f t="shared" si="197"/>
        <v>A</v>
      </c>
      <c r="L67" s="95" t="str">
        <f t="shared" si="197"/>
        <v>B</v>
      </c>
      <c r="M67" s="99" t="str">
        <f>IF(M66&lt;=2,"A",IF(M66&lt;=2.75,"B",IF(M66&lt;=3.5,"C",IF(M66&lt;=4.25,"D",IF(M66&lt;=5,"E","F")))))</f>
        <v>B</v>
      </c>
      <c r="N67" s="10" t="str">
        <f t="shared" ref="N67:P67" si="198">IF(N66&lt;=2,"A",IF(N66&lt;=2.75,"B",IF(N66&lt;=3.5,"C",IF(N66&lt;=4.25,"D",IF(N66&lt;=5,"E","F")))))</f>
        <v>B</v>
      </c>
      <c r="O67" s="167" t="str">
        <f t="shared" si="198"/>
        <v>B</v>
      </c>
      <c r="P67" s="167" t="str">
        <f t="shared" si="198"/>
        <v>B</v>
      </c>
      <c r="Q67" s="171" t="str">
        <f>IF(Q66&lt;=2,"A",IF(Q66&lt;=2.75,"B",IF(Q66&lt;=3.5,"C",IF(Q66&lt;=4.25,"D",IF(Q66&lt;=5,"E","F")))))</f>
        <v>B</v>
      </c>
      <c r="R67" s="10" t="str">
        <f t="shared" ref="R67:T67" si="199">IF(R66&lt;=2,"A",IF(R66&lt;=2.75,"B",IF(R66&lt;=3.5,"C",IF(R66&lt;=4.25,"D",IF(R66&lt;=5,"E","F")))))</f>
        <v>A</v>
      </c>
      <c r="S67" s="167" t="str">
        <f t="shared" si="199"/>
        <v>A</v>
      </c>
      <c r="T67" s="167" t="str">
        <f t="shared" si="199"/>
        <v>B</v>
      </c>
      <c r="U67" s="171" t="str">
        <f>IF(U66&lt;=2,"A",IF(U66&lt;=2.75,"B",IF(U66&lt;=3.5,"C",IF(U66&lt;=4.25,"D",IF(U66&lt;=5,"E","F")))))</f>
        <v>B</v>
      </c>
      <c r="V67" s="10" t="str">
        <f t="shared" ref="V67:X67" si="200">IF(V66&lt;=2,"A",IF(V66&lt;=2.75,"B",IF(V66&lt;=3.5,"C",IF(V66&lt;=4.25,"D",IF(V66&lt;=5,"E","F")))))</f>
        <v>A</v>
      </c>
      <c r="W67" s="167" t="str">
        <f t="shared" si="200"/>
        <v>A</v>
      </c>
      <c r="X67" s="167" t="str">
        <f t="shared" si="200"/>
        <v>B</v>
      </c>
      <c r="Y67" s="171" t="str">
        <f>IF(Y66&lt;=2,"A",IF(Y66&lt;=2.75,"B",IF(Y66&lt;=3.5,"C",IF(Y66&lt;=4.25,"D",IF(Y66&lt;=5,"E","F")))))</f>
        <v>B</v>
      </c>
      <c r="Z67" s="10" t="str">
        <f t="shared" ref="Z67:AB67" si="201">IF(Z66&lt;=2,"A",IF(Z66&lt;=2.75,"B",IF(Z66&lt;=3.5,"C",IF(Z66&lt;=4.25,"D",IF(Z66&lt;=5,"E","F")))))</f>
        <v>A</v>
      </c>
      <c r="AA67" s="167" t="str">
        <f t="shared" si="201"/>
        <v>A</v>
      </c>
      <c r="AB67" s="167" t="str">
        <f t="shared" si="201"/>
        <v>B</v>
      </c>
      <c r="AC67" s="171" t="str">
        <f>IF(AC66&lt;=2,"A",IF(AC66&lt;=2.75,"B",IF(AC66&lt;=3.5,"C",IF(AC66&lt;=4.25,"D",IF(AC66&lt;=5,"E","F")))))</f>
        <v>B</v>
      </c>
      <c r="AD67" s="10" t="str">
        <f t="shared" ref="AD67:AF67" si="202">IF(AD66&lt;=2,"A",IF(AD66&lt;=2.75,"B",IF(AD66&lt;=3.5,"C",IF(AD66&lt;=4.25,"D",IF(AD66&lt;=5,"E","F")))))</f>
        <v>A</v>
      </c>
      <c r="AE67" s="167" t="str">
        <f t="shared" si="202"/>
        <v>A</v>
      </c>
      <c r="AF67" s="167" t="str">
        <f t="shared" si="202"/>
        <v>A</v>
      </c>
      <c r="AG67" s="171" t="str">
        <f>IF(AG66&lt;=2,"A",IF(AG66&lt;=2.75,"B",IF(AG66&lt;=3.5,"C",IF(AG66&lt;=4.25,"D",IF(AG66&lt;=5,"E","F")))))</f>
        <v>A</v>
      </c>
      <c r="AH67" s="10" t="e">
        <f t="shared" ref="AH67:AJ67" si="203">IF(AH66&lt;=2,"A",IF(AH66&lt;=2.75,"B",IF(AH66&lt;=3.5,"C",IF(AH66&lt;=4.25,"D",IF(AH66&lt;=5,"E","F")))))</f>
        <v>#REF!</v>
      </c>
      <c r="AI67" s="167" t="e">
        <f t="shared" si="203"/>
        <v>#REF!</v>
      </c>
      <c r="AJ67" s="167" t="e">
        <f t="shared" si="203"/>
        <v>#REF!</v>
      </c>
      <c r="AK67" s="171" t="e">
        <f>IF(AK66&lt;=2,"A",IF(AK66&lt;=2.75,"B",IF(AK66&lt;=3.5,"C",IF(AK66&lt;=4.25,"D",IF(AK66&lt;=5,"E","F")))))</f>
        <v>#REF!</v>
      </c>
      <c r="AL67" s="10" t="str">
        <f t="shared" ref="AL67:AN67" si="204">IF(AL66&lt;=2,"A",IF(AL66&lt;=2.75,"B",IF(AL66&lt;=3.5,"C",IF(AL66&lt;=4.25,"D",IF(AL66&lt;=5,"E","F")))))</f>
        <v>A</v>
      </c>
      <c r="AM67" s="167" t="str">
        <f t="shared" si="204"/>
        <v>A</v>
      </c>
      <c r="AN67" s="167" t="str">
        <f t="shared" si="204"/>
        <v>A</v>
      </c>
      <c r="AO67" s="171" t="str">
        <f>IF(AO66&lt;=2,"A",IF(AO66&lt;=2.75,"B",IF(AO66&lt;=3.5,"C",IF(AO66&lt;=4.25,"D",IF(AO66&lt;=5,"E","F")))))</f>
        <v>A</v>
      </c>
      <c r="AP67" s="10" t="str">
        <f t="shared" ref="AP67:AR67" si="205">IF(AP66&lt;=2,"A",IF(AP66&lt;=2.75,"B",IF(AP66&lt;=3.5,"C",IF(AP66&lt;=4.25,"D",IF(AP66&lt;=5,"E","F")))))</f>
        <v>A</v>
      </c>
      <c r="AQ67" s="167" t="str">
        <f t="shared" si="205"/>
        <v>A</v>
      </c>
      <c r="AR67" s="167" t="str">
        <f t="shared" si="205"/>
        <v>A</v>
      </c>
      <c r="AS67" s="171" t="str">
        <f>IF(AS66&lt;=2,"A",IF(AS66&lt;=2.75,"B",IF(AS66&lt;=3.5,"C",IF(AS66&lt;=4.25,"D",IF(AS66&lt;=5,"E","F")))))</f>
        <v>A</v>
      </c>
      <c r="AT67" s="10" t="str">
        <f t="shared" ref="AT67:AV67" si="206">IF(AT66&lt;=2,"A",IF(AT66&lt;=2.75,"B",IF(AT66&lt;=3.5,"C",IF(AT66&lt;=4.25,"D",IF(AT66&lt;=5,"E","F")))))</f>
        <v>A</v>
      </c>
      <c r="AU67" s="167" t="str">
        <f t="shared" si="206"/>
        <v>A</v>
      </c>
      <c r="AV67" s="167" t="str">
        <f t="shared" si="206"/>
        <v>A</v>
      </c>
      <c r="AW67" s="171" t="str">
        <f>IF(AW66&lt;=2,"A",IF(AW66&lt;=2.75,"B",IF(AW66&lt;=3.5,"C",IF(AW66&lt;=4.25,"D",IF(AW66&lt;=5,"E","F")))))</f>
        <v>A</v>
      </c>
      <c r="AX67" s="10" t="str">
        <f t="shared" ref="AX67:AZ67" si="207">IF(AX66&lt;=2,"A",IF(AX66&lt;=2.75,"B",IF(AX66&lt;=3.5,"C",IF(AX66&lt;=4.25,"D",IF(AX66&lt;=5,"E","F")))))</f>
        <v>A</v>
      </c>
      <c r="AY67" s="167" t="str">
        <f t="shared" si="207"/>
        <v>A</v>
      </c>
      <c r="AZ67" s="167" t="str">
        <f t="shared" si="207"/>
        <v>A</v>
      </c>
      <c r="BA67" s="171" t="str">
        <f>IF(BA66&lt;=2,"A",IF(BA66&lt;=2.75,"B",IF(BA66&lt;=3.5,"C",IF(BA66&lt;=4.25,"D",IF(BA66&lt;=5,"E","F")))))</f>
        <v>A</v>
      </c>
      <c r="BB67" s="10" t="str">
        <f t="shared" ref="BB67:BD67" si="208">IF(BB66&lt;=2,"A",IF(BB66&lt;=2.75,"B",IF(BB66&lt;=3.5,"C",IF(BB66&lt;=4.25,"D",IF(BB66&lt;=5,"E","F")))))</f>
        <v>A</v>
      </c>
      <c r="BC67" s="167" t="str">
        <f t="shared" si="208"/>
        <v>A</v>
      </c>
      <c r="BD67" s="167" t="str">
        <f t="shared" si="208"/>
        <v>A</v>
      </c>
      <c r="BE67" s="171" t="str">
        <f>IF(BE66&lt;=2,"A",IF(BE66&lt;=2.75,"B",IF(BE66&lt;=3.5,"C",IF(BE66&lt;=4.25,"D",IF(BE66&lt;=5,"E","F")))))</f>
        <v>A</v>
      </c>
      <c r="BF67" s="10" t="str">
        <f t="shared" ref="BF67:BH67" si="209">IF(BF66&lt;=2,"A",IF(BF66&lt;=2.75,"B",IF(BF66&lt;=3.5,"C",IF(BF66&lt;=4.25,"D",IF(BF66&lt;=5,"E","F")))))</f>
        <v>A</v>
      </c>
      <c r="BG67" s="167" t="str">
        <f t="shared" si="209"/>
        <v>A</v>
      </c>
      <c r="BH67" s="167" t="str">
        <f t="shared" si="209"/>
        <v>A</v>
      </c>
      <c r="BI67" s="171" t="str">
        <f>IF(BI66&lt;=2,"A",IF(BI66&lt;=2.75,"B",IF(BI66&lt;=3.5,"C",IF(BI66&lt;=4.25,"D",IF(BI66&lt;=5,"E","F")))))</f>
        <v>A</v>
      </c>
      <c r="BJ67" s="10" t="str">
        <f t="shared" ref="BJ67:BL67" si="210">IF(BJ66&lt;=2,"A",IF(BJ66&lt;=2.75,"B",IF(BJ66&lt;=3.5,"C",IF(BJ66&lt;=4.25,"D",IF(BJ66&lt;=5,"E","F")))))</f>
        <v>A</v>
      </c>
      <c r="BK67" s="167" t="str">
        <f t="shared" si="210"/>
        <v>A</v>
      </c>
      <c r="BL67" s="167" t="str">
        <f t="shared" si="210"/>
        <v>A</v>
      </c>
      <c r="BM67" s="171" t="str">
        <f>IF(BM66&lt;=2,"A",IF(BM66&lt;=2.75,"B",IF(BM66&lt;=3.5,"C",IF(BM66&lt;=4.25,"D",IF(BM66&lt;=5,"E","F")))))</f>
        <v>A</v>
      </c>
      <c r="BN67" s="10" t="str">
        <f t="shared" ref="BN67:BP67" si="211">IF(BN66&lt;=2,"A",IF(BN66&lt;=2.75,"B",IF(BN66&lt;=3.5,"C",IF(BN66&lt;=4.25,"D",IF(BN66&lt;=5,"E","F")))))</f>
        <v>A</v>
      </c>
      <c r="BO67" s="167" t="str">
        <f t="shared" si="211"/>
        <v>A</v>
      </c>
      <c r="BP67" s="167" t="str">
        <f t="shared" si="211"/>
        <v>A</v>
      </c>
      <c r="BQ67" s="171" t="str">
        <f>IF(BQ66&lt;=2,"A",IF(BQ66&lt;=2.75,"B",IF(BQ66&lt;=3.5,"C",IF(BQ66&lt;=4.25,"D",IF(BQ66&lt;=5,"E","F")))))</f>
        <v>A</v>
      </c>
      <c r="BR67" s="10" t="str">
        <f t="shared" ref="BR67:BT67" si="212">IF(BR66&lt;=2,"A",IF(BR66&lt;=2.75,"B",IF(BR66&lt;=3.5,"C",IF(BR66&lt;=4.25,"D",IF(BR66&lt;=5,"E","F")))))</f>
        <v>A</v>
      </c>
      <c r="BS67" s="167" t="str">
        <f t="shared" si="212"/>
        <v>A</v>
      </c>
      <c r="BT67" s="167" t="str">
        <f t="shared" si="212"/>
        <v>A</v>
      </c>
      <c r="BU67" s="171" t="str">
        <f>IF(BU66&lt;=2,"A",IF(BU66&lt;=2.75,"B",IF(BU66&lt;=3.5,"C",IF(BU66&lt;=4.25,"D",IF(BU66&lt;=5,"E","F")))))</f>
        <v>A</v>
      </c>
      <c r="BV67" s="10" t="str">
        <f t="shared" ref="BV67:BX67" si="213">IF(BV66&lt;=2,"A",IF(BV66&lt;=2.75,"B",IF(BV66&lt;=3.5,"C",IF(BV66&lt;=4.25,"D",IF(BV66&lt;=5,"E","F")))))</f>
        <v>A</v>
      </c>
      <c r="BW67" s="167" t="str">
        <f t="shared" si="213"/>
        <v>A</v>
      </c>
      <c r="BX67" s="167" t="str">
        <f t="shared" si="213"/>
        <v>A</v>
      </c>
      <c r="BY67" s="171" t="str">
        <f>IF(BY66&lt;=2,"A",IF(BY66&lt;=2.75,"B",IF(BY66&lt;=3.5,"C",IF(BY66&lt;=4.25,"D",IF(BY66&lt;=5,"E","F")))))</f>
        <v>A</v>
      </c>
      <c r="BZ67" s="10" t="str">
        <f t="shared" ref="BZ67:CB67" si="214">IF(BZ66&lt;=2,"A",IF(BZ66&lt;=2.75,"B",IF(BZ66&lt;=3.5,"C",IF(BZ66&lt;=4.25,"D",IF(BZ66&lt;=5,"E","F")))))</f>
        <v>A</v>
      </c>
      <c r="CA67" s="167" t="str">
        <f t="shared" si="214"/>
        <v>A</v>
      </c>
      <c r="CB67" s="167" t="str">
        <f t="shared" si="214"/>
        <v>A</v>
      </c>
      <c r="CC67" s="171" t="str">
        <f>IF(CC66&lt;=2,"A",IF(CC66&lt;=2.75,"B",IF(CC66&lt;=3.5,"C",IF(CC66&lt;=4.25,"D",IF(CC66&lt;=5,"E","F")))))</f>
        <v>A</v>
      </c>
      <c r="CD67" s="10" t="str">
        <f t="shared" ref="CD67:CF67" si="215">IF(CD66&lt;=2,"A",IF(CD66&lt;=2.75,"B",IF(CD66&lt;=3.5,"C",IF(CD66&lt;=4.25,"D",IF(CD66&lt;=5,"E","F")))))</f>
        <v>A</v>
      </c>
      <c r="CE67" s="167" t="str">
        <f t="shared" si="215"/>
        <v>A</v>
      </c>
      <c r="CF67" s="167" t="str">
        <f t="shared" si="215"/>
        <v>A</v>
      </c>
      <c r="CG67" s="171" t="str">
        <f>IF(CG66&lt;=2,"A",IF(CG66&lt;=2.75,"B",IF(CG66&lt;=3.5,"C",IF(CG66&lt;=4.25,"D",IF(CG66&lt;=5,"E","F")))))</f>
        <v>A</v>
      </c>
      <c r="CH67" s="10" t="str">
        <f t="shared" ref="CH67:CJ67" si="216">IF(CH66&lt;=2,"A",IF(CH66&lt;=2.75,"B",IF(CH66&lt;=3.5,"C",IF(CH66&lt;=4.25,"D",IF(CH66&lt;=5,"E","F")))))</f>
        <v>A</v>
      </c>
      <c r="CI67" s="167" t="str">
        <f t="shared" si="216"/>
        <v>A</v>
      </c>
      <c r="CJ67" s="167" t="str">
        <f t="shared" si="216"/>
        <v>A</v>
      </c>
      <c r="CK67" s="171" t="str">
        <f>IF(CK66&lt;=2,"A",IF(CK66&lt;=2.75,"B",IF(CK66&lt;=3.5,"C",IF(CK66&lt;=4.25,"D",IF(CK66&lt;=5,"E","F")))))</f>
        <v>A</v>
      </c>
      <c r="CL67" s="49"/>
      <c r="CM67" s="28"/>
    </row>
    <row r="68" spans="2:91" x14ac:dyDescent="0.25">
      <c r="B68" s="55"/>
      <c r="C68" s="10"/>
      <c r="D68" s="93" t="s">
        <v>176</v>
      </c>
      <c r="E68" s="131"/>
      <c r="F68" s="293">
        <f>SUM(F18:F19)*IF(F44="Yes",1,0)+SUM(G18:G19)*IF(G44="Yes",1,0)+SUM(H18:H19)*IF(H44="Yes",1,0)+SUM(I18:I19)*IF(I44="Yes",1,0)</f>
        <v>1048</v>
      </c>
      <c r="G68" s="312"/>
      <c r="H68" s="312"/>
      <c r="I68" s="313"/>
      <c r="J68" s="293">
        <f>SUM(J18:J19)*IF(J44="Yes",1,0)+SUM(K18:K19)*IF(K44="Yes",1,0)+SUM(L18:L19)*IF(L44="Yes",1,0)+SUM(M18:M19)*IF(M44="Yes",1,0)</f>
        <v>0</v>
      </c>
      <c r="K68" s="312"/>
      <c r="L68" s="312"/>
      <c r="M68" s="313"/>
      <c r="N68" s="293">
        <f>SUM(N18:N19)*IF(N44="Yes",1,0)+SUM(O18:O19)*IF(O44="Yes",1,0)+SUM(P18:P19)*IF(P44="Yes",1,0)+SUM(Q18:Q19)*IF(Q44="Yes",1,0)</f>
        <v>0</v>
      </c>
      <c r="O68" s="312"/>
      <c r="P68" s="312"/>
      <c r="Q68" s="313"/>
      <c r="R68" s="293">
        <f>SUM(R18:R19)*IF(R44="Yes",1,0)+SUM(S18:S19)*IF(S44="Yes",1,0)+SUM(T18:T19)*IF(T44="Yes",1,0)+SUM(U18:U19)*IF(U44="Yes",1,0)</f>
        <v>40</v>
      </c>
      <c r="S68" s="312"/>
      <c r="T68" s="312"/>
      <c r="U68" s="313"/>
      <c r="V68" s="293">
        <f>SUM(V18:V19)*IF(V44="Yes",1,0)+SUM(W18:W19)*IF(W44="Yes",1,0)+SUM(X18:X19)*IF(X44="Yes",1,0)+SUM(Y18:Y19)*IF(Y44="Yes",1,0)</f>
        <v>40</v>
      </c>
      <c r="W68" s="312"/>
      <c r="X68" s="312"/>
      <c r="Y68" s="313"/>
      <c r="Z68" s="293">
        <f>SUM(Z18:Z19)*IF(Z44="Yes",1,0)+SUM(AA18:AA19)*IF(AA44="Yes",1,0)+SUM(AB18:AB19)*IF(AB44="Yes",1,0)+SUM(AC18:AC19)*IF(AC44="Yes",1,0)</f>
        <v>40</v>
      </c>
      <c r="AA68" s="312"/>
      <c r="AB68" s="312"/>
      <c r="AC68" s="313"/>
      <c r="AD68" s="293">
        <f>SUM(AD18:AD19)*IF(AD44="Yes",1,0)+SUM(AE18:AE19)*IF(AE44="Yes",1,0)+SUM(AF18:AF19)*IF(AF44="Yes",1,0)+SUM(AG18:AG19)*IF(AG44="Yes",1,0)</f>
        <v>40</v>
      </c>
      <c r="AE68" s="312"/>
      <c r="AF68" s="312"/>
      <c r="AG68" s="313"/>
      <c r="AH68" s="293">
        <f>SUM(AH18:AH19)*IF(AH44="Yes",1,0)+SUM(AI18:AI19)*IF(AI44="Yes",1,0)+SUM(AJ18:AJ19)*IF(AJ44="Yes",1,0)+SUM(AK18:AK19)*IF(AK44="Yes",1,0)</f>
        <v>0</v>
      </c>
      <c r="AI68" s="312"/>
      <c r="AJ68" s="312"/>
      <c r="AK68" s="313"/>
      <c r="AL68" s="293">
        <f>SUM(AL18:AL19)*IF(AL44="Yes",1,0)+SUM(AM18:AM19)*IF(AM44="Yes",1,0)+SUM(AN18:AN19)*IF(AN44="Yes",1,0)+SUM(AO18:AO19)*IF(AO44="Yes",1,0)</f>
        <v>0</v>
      </c>
      <c r="AM68" s="312"/>
      <c r="AN68" s="312"/>
      <c r="AO68" s="313"/>
      <c r="AP68" s="293">
        <f>SUM(AP18:AP19)*IF(AP44="Yes",1,0)+SUM(AQ18:AQ19)*IF(AQ44="Yes",1,0)+SUM(AR18:AR19)*IF(AR44="Yes",1,0)+SUM(AS18:AS19)*IF(AS44="Yes",1,0)</f>
        <v>0</v>
      </c>
      <c r="AQ68" s="312"/>
      <c r="AR68" s="312"/>
      <c r="AS68" s="313"/>
      <c r="AT68" s="293">
        <f>SUM(AT18:AT19)*IF(AT44="Yes",1,0)+SUM(AU18:AU19)*IF(AU44="Yes",1,0)+SUM(AV18:AV19)*IF(AV44="Yes",1,0)+SUM(AW18:AW19)*IF(AW44="Yes",1,0)</f>
        <v>0</v>
      </c>
      <c r="AU68" s="312"/>
      <c r="AV68" s="312"/>
      <c r="AW68" s="313"/>
      <c r="AX68" s="293">
        <f>SUM(AX18:AX19)*IF(AX44="Yes",1,0)+SUM(AY18:AY19)*IF(AY44="Yes",1,0)+SUM(AZ18:AZ19)*IF(AZ44="Yes",1,0)+SUM(BA18:BA19)*IF(BA44="Yes",1,0)</f>
        <v>0</v>
      </c>
      <c r="AY68" s="312"/>
      <c r="AZ68" s="312"/>
      <c r="BA68" s="313"/>
      <c r="BB68" s="293">
        <f>SUM(BB18:BB19)*IF(BB44="Yes",1,0)+SUM(BC18:BC19)*IF(BC44="Yes",1,0)+SUM(BD18:BD19)*IF(BD44="Yes",1,0)+SUM(BE18:BE19)*IF(BE44="Yes",1,0)</f>
        <v>0</v>
      </c>
      <c r="BC68" s="312"/>
      <c r="BD68" s="312"/>
      <c r="BE68" s="313"/>
      <c r="BF68" s="293">
        <f>SUM(BF18:BF19)*IF(BF44="Yes",1,0)+SUM(BG18:BG19)*IF(BG44="Yes",1,0)+SUM(BH18:BH19)*IF(BH44="Yes",1,0)+SUM(BI18:BI19)*IF(BI44="Yes",1,0)</f>
        <v>0</v>
      </c>
      <c r="BG68" s="312"/>
      <c r="BH68" s="312"/>
      <c r="BI68" s="313"/>
      <c r="BJ68" s="293">
        <f>SUM(BJ18:BJ19)*IF(BJ44="Yes",1,0)+SUM(BK18:BK19)*IF(BK44="Yes",1,0)+SUM(BL18:BL19)*IF(BL44="Yes",1,0)+SUM(BM18:BM19)*IF(BM44="Yes",1,0)</f>
        <v>0</v>
      </c>
      <c r="BK68" s="312"/>
      <c r="BL68" s="312"/>
      <c r="BM68" s="313"/>
      <c r="BN68" s="293">
        <f>SUM(BN18:BN19)*IF(BN44="Yes",1,0)+SUM(BO18:BO19)*IF(BO44="Yes",1,0)+SUM(BP18:BP19)*IF(BP44="Yes",1,0)+SUM(BQ18:BQ19)*IF(BQ44="Yes",1,0)</f>
        <v>0</v>
      </c>
      <c r="BO68" s="312"/>
      <c r="BP68" s="312"/>
      <c r="BQ68" s="313"/>
      <c r="BR68" s="293">
        <f>SUM(BR18:BR19)*IF(BR44="Yes",1,0)+SUM(BS18:BS19)*IF(BS44="Yes",1,0)+SUM(BT18:BT19)*IF(BT44="Yes",1,0)+SUM(BU18:BU19)*IF(BU44="Yes",1,0)</f>
        <v>0</v>
      </c>
      <c r="BS68" s="312"/>
      <c r="BT68" s="312"/>
      <c r="BU68" s="313"/>
      <c r="BV68" s="293">
        <f>SUM(BV18:BV19)*IF(BV44="Yes",1,0)+SUM(BW18:BW19)*IF(BW44="Yes",1,0)+SUM(BX18:BX19)*IF(BX44="Yes",1,0)+SUM(BY18:BY19)*IF(BY44="Yes",1,0)</f>
        <v>0</v>
      </c>
      <c r="BW68" s="312"/>
      <c r="BX68" s="312"/>
      <c r="BY68" s="313"/>
      <c r="BZ68" s="293">
        <f>SUM(BZ18:BZ19)*IF(BZ44="Yes",1,0)+SUM(CA18:CA19)*IF(CA44="Yes",1,0)+SUM(CB18:CB19)*IF(CB44="Yes",1,0)+SUM(CC18:CC19)*IF(CC44="Yes",1,0)</f>
        <v>0</v>
      </c>
      <c r="CA68" s="312"/>
      <c r="CB68" s="312"/>
      <c r="CC68" s="313"/>
      <c r="CD68" s="293">
        <f>SUM(CD18:CD19)*IF(CD44="Yes",1,0)+SUM(CE18:CE19)*IF(CE44="Yes",1,0)+SUM(CF18:CF19)*IF(CF44="Yes",1,0)+SUM(CG18:CG19)*IF(CG44="Yes",1,0)</f>
        <v>0</v>
      </c>
      <c r="CE68" s="312"/>
      <c r="CF68" s="312"/>
      <c r="CG68" s="313"/>
      <c r="CH68" s="293">
        <f>SUM(CH18:CH19)*IF(CH44="Yes",1,0)+SUM(CI18:CI19)*IF(CI44="Yes",1,0)+SUM(CJ18:CJ19)*IF(CJ44="Yes",1,0)+SUM(CK18:CK19)*IF(CK44="Yes",1,0)</f>
        <v>0</v>
      </c>
      <c r="CI68" s="312"/>
      <c r="CJ68" s="312"/>
      <c r="CK68" s="313"/>
      <c r="CL68" s="49"/>
      <c r="CM68" s="28"/>
    </row>
    <row r="69" spans="2:91" ht="15.75" x14ac:dyDescent="0.25">
      <c r="B69" s="55"/>
      <c r="C69" s="4"/>
      <c r="D69" s="77" t="s">
        <v>227</v>
      </c>
      <c r="E69" s="134"/>
      <c r="F69" s="4"/>
      <c r="G69" s="19"/>
      <c r="H69" s="19"/>
      <c r="I69" s="5"/>
      <c r="J69" s="4"/>
      <c r="K69" s="19"/>
      <c r="L69" s="19"/>
      <c r="M69" s="5"/>
      <c r="N69" s="4"/>
      <c r="O69" s="19"/>
      <c r="P69" s="19"/>
      <c r="Q69" s="5"/>
      <c r="R69" s="4"/>
      <c r="S69" s="19"/>
      <c r="T69" s="19"/>
      <c r="U69" s="5"/>
      <c r="V69" s="4"/>
      <c r="W69" s="19"/>
      <c r="X69" s="19"/>
      <c r="Y69" s="5"/>
      <c r="Z69" s="4"/>
      <c r="AA69" s="19"/>
      <c r="AB69" s="19"/>
      <c r="AC69" s="5"/>
      <c r="AD69" s="4"/>
      <c r="AE69" s="19"/>
      <c r="AF69" s="19"/>
      <c r="AG69" s="5"/>
      <c r="AH69" s="4"/>
      <c r="AI69" s="19"/>
      <c r="AJ69" s="19"/>
      <c r="AK69" s="5"/>
      <c r="AL69" s="4"/>
      <c r="AM69" s="19"/>
      <c r="AN69" s="19"/>
      <c r="AO69" s="5"/>
      <c r="AP69" s="4"/>
      <c r="AQ69" s="19"/>
      <c r="AR69" s="19"/>
      <c r="AS69" s="5"/>
      <c r="AT69" s="4"/>
      <c r="AU69" s="19"/>
      <c r="AV69" s="19"/>
      <c r="AW69" s="5"/>
      <c r="AX69" s="4"/>
      <c r="AY69" s="19"/>
      <c r="AZ69" s="19"/>
      <c r="BA69" s="5"/>
      <c r="BB69" s="4"/>
      <c r="BC69" s="19"/>
      <c r="BD69" s="19"/>
      <c r="BE69" s="5"/>
      <c r="BF69" s="4"/>
      <c r="BG69" s="19"/>
      <c r="BH69" s="19"/>
      <c r="BI69" s="5"/>
      <c r="BJ69" s="4"/>
      <c r="BK69" s="19"/>
      <c r="BL69" s="19"/>
      <c r="BM69" s="5"/>
      <c r="BN69" s="4"/>
      <c r="BO69" s="19"/>
      <c r="BP69" s="19"/>
      <c r="BQ69" s="5"/>
      <c r="BR69" s="4"/>
      <c r="BS69" s="19"/>
      <c r="BT69" s="19"/>
      <c r="BU69" s="5"/>
      <c r="BV69" s="4"/>
      <c r="BW69" s="19"/>
      <c r="BX69" s="19"/>
      <c r="BY69" s="5"/>
      <c r="BZ69" s="4"/>
      <c r="CA69" s="19"/>
      <c r="CB69" s="19"/>
      <c r="CC69" s="5"/>
      <c r="CD69" s="4"/>
      <c r="CE69" s="19"/>
      <c r="CF69" s="19"/>
      <c r="CG69" s="5"/>
      <c r="CH69" s="4"/>
      <c r="CI69" s="19"/>
      <c r="CJ69" s="19"/>
      <c r="CK69" s="5"/>
      <c r="CL69" s="49"/>
      <c r="CM69" s="28"/>
    </row>
    <row r="70" spans="2:91" ht="14.25" x14ac:dyDescent="0.25">
      <c r="B70" s="55"/>
      <c r="C70" s="10" t="s">
        <v>310</v>
      </c>
      <c r="D70" s="93" t="s">
        <v>487</v>
      </c>
      <c r="E70" s="126">
        <f t="shared" ref="E70:AJ70" si="217">MAX(1500*ROUNDDOWN(E33/2.5,0),1500)</f>
        <v>1500</v>
      </c>
      <c r="F70" s="13">
        <f t="shared" si="217"/>
        <v>1500</v>
      </c>
      <c r="G70" s="44">
        <f t="shared" si="217"/>
        <v>1500</v>
      </c>
      <c r="H70" s="44">
        <f t="shared" si="217"/>
        <v>3000</v>
      </c>
      <c r="I70" s="14">
        <f t="shared" si="217"/>
        <v>3000</v>
      </c>
      <c r="J70" s="13">
        <f t="shared" si="217"/>
        <v>1500</v>
      </c>
      <c r="K70" s="44">
        <f t="shared" si="217"/>
        <v>1500</v>
      </c>
      <c r="L70" s="44">
        <f t="shared" si="217"/>
        <v>3000</v>
      </c>
      <c r="M70" s="14">
        <f t="shared" si="217"/>
        <v>3000</v>
      </c>
      <c r="N70" s="13">
        <f t="shared" si="217"/>
        <v>3000</v>
      </c>
      <c r="O70" s="44">
        <f t="shared" si="217"/>
        <v>1500</v>
      </c>
      <c r="P70" s="44">
        <f t="shared" si="217"/>
        <v>3000</v>
      </c>
      <c r="Q70" s="14">
        <f t="shared" si="217"/>
        <v>3000</v>
      </c>
      <c r="R70" s="13">
        <f t="shared" si="217"/>
        <v>1500</v>
      </c>
      <c r="S70" s="44">
        <f t="shared" si="217"/>
        <v>1500</v>
      </c>
      <c r="T70" s="44">
        <f t="shared" si="217"/>
        <v>3000</v>
      </c>
      <c r="U70" s="14">
        <f t="shared" si="217"/>
        <v>3000</v>
      </c>
      <c r="V70" s="13">
        <f t="shared" si="217"/>
        <v>1500</v>
      </c>
      <c r="W70" s="44">
        <f t="shared" si="217"/>
        <v>1500</v>
      </c>
      <c r="X70" s="44">
        <f t="shared" si="217"/>
        <v>3000</v>
      </c>
      <c r="Y70" s="14">
        <f t="shared" si="217"/>
        <v>3000</v>
      </c>
      <c r="Z70" s="13">
        <f t="shared" si="217"/>
        <v>1500</v>
      </c>
      <c r="AA70" s="44">
        <f t="shared" si="217"/>
        <v>1500</v>
      </c>
      <c r="AB70" s="44">
        <f t="shared" si="217"/>
        <v>3000</v>
      </c>
      <c r="AC70" s="14">
        <f t="shared" si="217"/>
        <v>3000</v>
      </c>
      <c r="AD70" s="13">
        <f t="shared" si="217"/>
        <v>1500</v>
      </c>
      <c r="AE70" s="44">
        <f t="shared" si="217"/>
        <v>1500</v>
      </c>
      <c r="AF70" s="44">
        <f t="shared" si="217"/>
        <v>1500</v>
      </c>
      <c r="AG70" s="14">
        <f t="shared" si="217"/>
        <v>1500</v>
      </c>
      <c r="AH70" s="13">
        <f t="shared" si="217"/>
        <v>1500</v>
      </c>
      <c r="AI70" s="44">
        <f t="shared" si="217"/>
        <v>1500</v>
      </c>
      <c r="AJ70" s="44">
        <f t="shared" si="217"/>
        <v>1500</v>
      </c>
      <c r="AK70" s="14">
        <f t="shared" ref="AK70:BP70" si="218">MAX(1500*ROUNDDOWN(AK33/2.5,0),1500)</f>
        <v>1500</v>
      </c>
      <c r="AL70" s="13">
        <f t="shared" si="218"/>
        <v>1500</v>
      </c>
      <c r="AM70" s="44">
        <f t="shared" si="218"/>
        <v>1500</v>
      </c>
      <c r="AN70" s="44">
        <f t="shared" si="218"/>
        <v>1500</v>
      </c>
      <c r="AO70" s="14">
        <f t="shared" si="218"/>
        <v>1500</v>
      </c>
      <c r="AP70" s="13">
        <f t="shared" si="218"/>
        <v>1500</v>
      </c>
      <c r="AQ70" s="44">
        <f t="shared" si="218"/>
        <v>1500</v>
      </c>
      <c r="AR70" s="44">
        <f t="shared" si="218"/>
        <v>1500</v>
      </c>
      <c r="AS70" s="14">
        <f t="shared" si="218"/>
        <v>1500</v>
      </c>
      <c r="AT70" s="13">
        <f t="shared" si="218"/>
        <v>1500</v>
      </c>
      <c r="AU70" s="44">
        <f t="shared" si="218"/>
        <v>1500</v>
      </c>
      <c r="AV70" s="44">
        <f t="shared" si="218"/>
        <v>1500</v>
      </c>
      <c r="AW70" s="14">
        <f t="shared" si="218"/>
        <v>1500</v>
      </c>
      <c r="AX70" s="13">
        <f t="shared" si="218"/>
        <v>1500</v>
      </c>
      <c r="AY70" s="44">
        <f t="shared" si="218"/>
        <v>1500</v>
      </c>
      <c r="AZ70" s="44">
        <f t="shared" si="218"/>
        <v>1500</v>
      </c>
      <c r="BA70" s="14">
        <f t="shared" si="218"/>
        <v>1500</v>
      </c>
      <c r="BB70" s="13">
        <f t="shared" si="218"/>
        <v>1500</v>
      </c>
      <c r="BC70" s="44">
        <f t="shared" si="218"/>
        <v>1500</v>
      </c>
      <c r="BD70" s="44">
        <f t="shared" si="218"/>
        <v>1500</v>
      </c>
      <c r="BE70" s="14">
        <f t="shared" si="218"/>
        <v>1500</v>
      </c>
      <c r="BF70" s="13">
        <f t="shared" si="218"/>
        <v>1500</v>
      </c>
      <c r="BG70" s="44">
        <f t="shared" si="218"/>
        <v>1500</v>
      </c>
      <c r="BH70" s="44">
        <f t="shared" si="218"/>
        <v>1500</v>
      </c>
      <c r="BI70" s="14">
        <f t="shared" si="218"/>
        <v>1500</v>
      </c>
      <c r="BJ70" s="13">
        <f t="shared" si="218"/>
        <v>1500</v>
      </c>
      <c r="BK70" s="44">
        <f t="shared" si="218"/>
        <v>1500</v>
      </c>
      <c r="BL70" s="44">
        <f t="shared" si="218"/>
        <v>1500</v>
      </c>
      <c r="BM70" s="14">
        <f t="shared" si="218"/>
        <v>1500</v>
      </c>
      <c r="BN70" s="13">
        <f t="shared" si="218"/>
        <v>1500</v>
      </c>
      <c r="BO70" s="44">
        <f t="shared" si="218"/>
        <v>1500</v>
      </c>
      <c r="BP70" s="44">
        <f t="shared" si="218"/>
        <v>1500</v>
      </c>
      <c r="BQ70" s="14">
        <f t="shared" ref="BQ70:CK70" si="219">MAX(1500*ROUNDDOWN(BQ33/2.5,0),1500)</f>
        <v>1500</v>
      </c>
      <c r="BR70" s="13">
        <f t="shared" si="219"/>
        <v>1500</v>
      </c>
      <c r="BS70" s="44">
        <f t="shared" si="219"/>
        <v>1500</v>
      </c>
      <c r="BT70" s="44">
        <f t="shared" si="219"/>
        <v>1500</v>
      </c>
      <c r="BU70" s="14">
        <f t="shared" si="219"/>
        <v>1500</v>
      </c>
      <c r="BV70" s="13">
        <f t="shared" si="219"/>
        <v>1500</v>
      </c>
      <c r="BW70" s="44">
        <f t="shared" si="219"/>
        <v>1500</v>
      </c>
      <c r="BX70" s="44">
        <f t="shared" si="219"/>
        <v>1500</v>
      </c>
      <c r="BY70" s="14">
        <f t="shared" si="219"/>
        <v>1500</v>
      </c>
      <c r="BZ70" s="13">
        <f t="shared" si="219"/>
        <v>1500</v>
      </c>
      <c r="CA70" s="44">
        <f t="shared" si="219"/>
        <v>1500</v>
      </c>
      <c r="CB70" s="44">
        <f t="shared" si="219"/>
        <v>1500</v>
      </c>
      <c r="CC70" s="14">
        <f t="shared" si="219"/>
        <v>1500</v>
      </c>
      <c r="CD70" s="13">
        <f t="shared" si="219"/>
        <v>1500</v>
      </c>
      <c r="CE70" s="44">
        <f t="shared" si="219"/>
        <v>1500</v>
      </c>
      <c r="CF70" s="44">
        <f t="shared" si="219"/>
        <v>1500</v>
      </c>
      <c r="CG70" s="14">
        <f t="shared" si="219"/>
        <v>1500</v>
      </c>
      <c r="CH70" s="13">
        <f t="shared" si="219"/>
        <v>1500</v>
      </c>
      <c r="CI70" s="44">
        <f t="shared" si="219"/>
        <v>1500</v>
      </c>
      <c r="CJ70" s="44">
        <f t="shared" si="219"/>
        <v>1500</v>
      </c>
      <c r="CK70" s="14">
        <f t="shared" si="219"/>
        <v>1500</v>
      </c>
      <c r="CL70" s="49"/>
      <c r="CM70" s="28"/>
    </row>
    <row r="71" spans="2:91" ht="14.25" x14ac:dyDescent="0.25">
      <c r="B71" s="55"/>
      <c r="C71" s="10" t="s">
        <v>315</v>
      </c>
      <c r="D71" s="93" t="s">
        <v>488</v>
      </c>
      <c r="E71" s="126">
        <v>5</v>
      </c>
      <c r="F71" s="13">
        <v>5</v>
      </c>
      <c r="G71" s="44">
        <v>5</v>
      </c>
      <c r="H71" s="44">
        <v>5</v>
      </c>
      <c r="I71" s="14">
        <v>5</v>
      </c>
      <c r="J71" s="13">
        <v>5</v>
      </c>
      <c r="K71" s="44">
        <v>5</v>
      </c>
      <c r="L71" s="44">
        <v>5</v>
      </c>
      <c r="M71" s="14">
        <v>5</v>
      </c>
      <c r="N71" s="13">
        <v>5</v>
      </c>
      <c r="O71" s="44">
        <v>5</v>
      </c>
      <c r="P71" s="44">
        <v>5</v>
      </c>
      <c r="Q71" s="14">
        <v>5</v>
      </c>
      <c r="R71" s="13">
        <v>5</v>
      </c>
      <c r="S71" s="44">
        <v>5</v>
      </c>
      <c r="T71" s="44">
        <v>5</v>
      </c>
      <c r="U71" s="14">
        <v>5</v>
      </c>
      <c r="V71" s="13">
        <v>5</v>
      </c>
      <c r="W71" s="44">
        <v>5</v>
      </c>
      <c r="X71" s="44">
        <v>5</v>
      </c>
      <c r="Y71" s="14">
        <v>5</v>
      </c>
      <c r="Z71" s="13">
        <v>5</v>
      </c>
      <c r="AA71" s="44">
        <v>5</v>
      </c>
      <c r="AB71" s="44">
        <v>5</v>
      </c>
      <c r="AC71" s="14">
        <v>5</v>
      </c>
      <c r="AD71" s="13">
        <v>5</v>
      </c>
      <c r="AE71" s="44">
        <v>5</v>
      </c>
      <c r="AF71" s="44">
        <v>5</v>
      </c>
      <c r="AG71" s="14">
        <v>5</v>
      </c>
      <c r="AH71" s="13">
        <v>5</v>
      </c>
      <c r="AI71" s="44">
        <v>5</v>
      </c>
      <c r="AJ71" s="44">
        <v>5</v>
      </c>
      <c r="AK71" s="14">
        <v>5</v>
      </c>
      <c r="AL71" s="13">
        <v>5</v>
      </c>
      <c r="AM71" s="44">
        <v>5</v>
      </c>
      <c r="AN71" s="44">
        <v>5</v>
      </c>
      <c r="AO71" s="14">
        <v>5</v>
      </c>
      <c r="AP71" s="13">
        <v>5</v>
      </c>
      <c r="AQ71" s="44">
        <v>5</v>
      </c>
      <c r="AR71" s="44">
        <v>5</v>
      </c>
      <c r="AS71" s="14">
        <v>5</v>
      </c>
      <c r="AT71" s="13">
        <v>5</v>
      </c>
      <c r="AU71" s="44">
        <v>5</v>
      </c>
      <c r="AV71" s="44">
        <v>5</v>
      </c>
      <c r="AW71" s="14">
        <v>5</v>
      </c>
      <c r="AX71" s="13">
        <v>5</v>
      </c>
      <c r="AY71" s="44">
        <v>5</v>
      </c>
      <c r="AZ71" s="44">
        <v>5</v>
      </c>
      <c r="BA71" s="14">
        <v>5</v>
      </c>
      <c r="BB71" s="13">
        <v>5</v>
      </c>
      <c r="BC71" s="44">
        <v>5</v>
      </c>
      <c r="BD71" s="44">
        <v>5</v>
      </c>
      <c r="BE71" s="14">
        <v>5</v>
      </c>
      <c r="BF71" s="13">
        <v>5</v>
      </c>
      <c r="BG71" s="44">
        <v>5</v>
      </c>
      <c r="BH71" s="44">
        <v>5</v>
      </c>
      <c r="BI71" s="14">
        <v>5</v>
      </c>
      <c r="BJ71" s="13">
        <v>5</v>
      </c>
      <c r="BK71" s="44">
        <v>5</v>
      </c>
      <c r="BL71" s="44">
        <v>5</v>
      </c>
      <c r="BM71" s="14">
        <v>5</v>
      </c>
      <c r="BN71" s="13">
        <v>5</v>
      </c>
      <c r="BO71" s="44">
        <v>5</v>
      </c>
      <c r="BP71" s="44">
        <v>5</v>
      </c>
      <c r="BQ71" s="14">
        <v>5</v>
      </c>
      <c r="BR71" s="13">
        <v>5</v>
      </c>
      <c r="BS71" s="44">
        <v>5</v>
      </c>
      <c r="BT71" s="44">
        <v>5</v>
      </c>
      <c r="BU71" s="14">
        <v>5</v>
      </c>
      <c r="BV71" s="13">
        <v>5</v>
      </c>
      <c r="BW71" s="44">
        <v>5</v>
      </c>
      <c r="BX71" s="44">
        <v>5</v>
      </c>
      <c r="BY71" s="14">
        <v>5</v>
      </c>
      <c r="BZ71" s="13">
        <v>5</v>
      </c>
      <c r="CA71" s="44">
        <v>5</v>
      </c>
      <c r="CB71" s="44">
        <v>5</v>
      </c>
      <c r="CC71" s="14">
        <v>5</v>
      </c>
      <c r="CD71" s="13">
        <v>5</v>
      </c>
      <c r="CE71" s="44">
        <v>5</v>
      </c>
      <c r="CF71" s="44">
        <v>5</v>
      </c>
      <c r="CG71" s="14">
        <v>5</v>
      </c>
      <c r="CH71" s="13">
        <v>5</v>
      </c>
      <c r="CI71" s="44">
        <v>5</v>
      </c>
      <c r="CJ71" s="44">
        <v>5</v>
      </c>
      <c r="CK71" s="14">
        <v>5</v>
      </c>
      <c r="CL71" s="49"/>
      <c r="CM71" s="28"/>
    </row>
    <row r="72" spans="2:91" ht="14.25" x14ac:dyDescent="0.25">
      <c r="B72" s="55"/>
      <c r="C72" s="10" t="s">
        <v>299</v>
      </c>
      <c r="D72" s="93" t="s">
        <v>490</v>
      </c>
      <c r="E72" s="127">
        <f t="shared" ref="E72:AG72" si="220">E70*EXP(-(E13/3600)*E71)*E26/E28</f>
        <v>340.8593077786349</v>
      </c>
      <c r="F72" s="13">
        <f t="shared" si="220"/>
        <v>494.25952375837142</v>
      </c>
      <c r="G72" s="44">
        <f t="shared" si="220"/>
        <v>503.96417057785845</v>
      </c>
      <c r="H72" s="44">
        <f t="shared" si="220"/>
        <v>986.10783673240689</v>
      </c>
      <c r="I72" s="14">
        <f t="shared" si="220"/>
        <v>917.39991937877812</v>
      </c>
      <c r="J72" s="13" t="e">
        <f t="shared" si="220"/>
        <v>#DIV/0!</v>
      </c>
      <c r="K72" s="44" t="e">
        <f t="shared" si="220"/>
        <v>#DIV/0!</v>
      </c>
      <c r="L72" s="44" t="e">
        <f t="shared" si="220"/>
        <v>#DIV/0!</v>
      </c>
      <c r="M72" s="14" t="e">
        <f t="shared" si="220"/>
        <v>#DIV/0!</v>
      </c>
      <c r="N72" s="13">
        <f t="shared" si="220"/>
        <v>750.48738247905919</v>
      </c>
      <c r="O72" s="44">
        <f t="shared" si="220"/>
        <v>244.6424802366368</v>
      </c>
      <c r="P72" s="44">
        <f t="shared" si="220"/>
        <v>862.61186445781152</v>
      </c>
      <c r="Q72" s="14">
        <f t="shared" si="220"/>
        <v>1818.0516763460228</v>
      </c>
      <c r="R72" s="13" t="e">
        <f t="shared" si="220"/>
        <v>#DIV/0!</v>
      </c>
      <c r="S72" s="44" t="e">
        <f t="shared" si="220"/>
        <v>#DIV/0!</v>
      </c>
      <c r="T72" s="44" t="e">
        <f t="shared" si="220"/>
        <v>#DIV/0!</v>
      </c>
      <c r="U72" s="14" t="e">
        <f t="shared" si="220"/>
        <v>#DIV/0!</v>
      </c>
      <c r="V72" s="13">
        <f t="shared" si="220"/>
        <v>114.6296715772112</v>
      </c>
      <c r="W72" s="44" t="e">
        <f t="shared" si="220"/>
        <v>#DIV/0!</v>
      </c>
      <c r="X72" s="44">
        <f t="shared" si="220"/>
        <v>1391.304347826087</v>
      </c>
      <c r="Y72" s="14">
        <f t="shared" si="220"/>
        <v>815.82513953842374</v>
      </c>
      <c r="Z72" s="13">
        <f t="shared" si="220"/>
        <v>501.99173684896272</v>
      </c>
      <c r="AA72" s="44" t="e">
        <f t="shared" si="220"/>
        <v>#DIV/0!</v>
      </c>
      <c r="AB72" s="44">
        <f t="shared" si="220"/>
        <v>1240</v>
      </c>
      <c r="AC72" s="14">
        <f t="shared" si="220"/>
        <v>703.19912418465094</v>
      </c>
      <c r="AD72" s="13">
        <f t="shared" si="220"/>
        <v>404.13742769232812</v>
      </c>
      <c r="AE72" s="44" t="e">
        <f t="shared" si="220"/>
        <v>#DIV/0!</v>
      </c>
      <c r="AF72" s="44">
        <f t="shared" si="220"/>
        <v>879.31034482758616</v>
      </c>
      <c r="AG72" s="14">
        <f t="shared" si="220"/>
        <v>867.18211989551253</v>
      </c>
      <c r="AH72" s="13" t="e">
        <f>AH70*EXP(-(AH13/3600)*AH71)*AH26/#REF!</f>
        <v>#REF!</v>
      </c>
      <c r="AI72" s="44" t="e">
        <f>AI70*EXP(-(AI13/3600)*AI71)*AI26/#REF!</f>
        <v>#REF!</v>
      </c>
      <c r="AJ72" s="44" t="e">
        <f>AJ70*EXP(-(AJ13/3600)*AJ71)*AJ26/#REF!</f>
        <v>#REF!</v>
      </c>
      <c r="AK72" s="14" t="e">
        <f>AK70*EXP(-(AK13/3600)*AK71)*AK26/#REF!</f>
        <v>#REF!</v>
      </c>
      <c r="AL72" s="13" t="e">
        <f t="shared" ref="AL72:BP72" si="221">AL70*EXP(-(AL13/3600)*AL71)*AL26/AL28</f>
        <v>#DIV/0!</v>
      </c>
      <c r="AM72" s="44" t="e">
        <f t="shared" si="221"/>
        <v>#DIV/0!</v>
      </c>
      <c r="AN72" s="44" t="e">
        <f t="shared" si="221"/>
        <v>#DIV/0!</v>
      </c>
      <c r="AO72" s="14" t="e">
        <f t="shared" si="221"/>
        <v>#DIV/0!</v>
      </c>
      <c r="AP72" s="13" t="e">
        <f t="shared" si="221"/>
        <v>#DIV/0!</v>
      </c>
      <c r="AQ72" s="44" t="e">
        <f t="shared" si="221"/>
        <v>#DIV/0!</v>
      </c>
      <c r="AR72" s="44" t="e">
        <f t="shared" si="221"/>
        <v>#DIV/0!</v>
      </c>
      <c r="AS72" s="14" t="e">
        <f t="shared" si="221"/>
        <v>#DIV/0!</v>
      </c>
      <c r="AT72" s="13" t="e">
        <f t="shared" si="221"/>
        <v>#DIV/0!</v>
      </c>
      <c r="AU72" s="44" t="e">
        <f t="shared" si="221"/>
        <v>#DIV/0!</v>
      </c>
      <c r="AV72" s="44" t="e">
        <f t="shared" si="221"/>
        <v>#DIV/0!</v>
      </c>
      <c r="AW72" s="14" t="e">
        <f t="shared" si="221"/>
        <v>#DIV/0!</v>
      </c>
      <c r="AX72" s="13" t="e">
        <f t="shared" si="221"/>
        <v>#DIV/0!</v>
      </c>
      <c r="AY72" s="44" t="e">
        <f t="shared" si="221"/>
        <v>#DIV/0!</v>
      </c>
      <c r="AZ72" s="44" t="e">
        <f t="shared" si="221"/>
        <v>#DIV/0!</v>
      </c>
      <c r="BA72" s="14" t="e">
        <f t="shared" si="221"/>
        <v>#DIV/0!</v>
      </c>
      <c r="BB72" s="13" t="e">
        <f t="shared" si="221"/>
        <v>#DIV/0!</v>
      </c>
      <c r="BC72" s="44" t="e">
        <f t="shared" si="221"/>
        <v>#DIV/0!</v>
      </c>
      <c r="BD72" s="44" t="e">
        <f t="shared" si="221"/>
        <v>#DIV/0!</v>
      </c>
      <c r="BE72" s="14" t="e">
        <f t="shared" si="221"/>
        <v>#DIV/0!</v>
      </c>
      <c r="BF72" s="13" t="e">
        <f t="shared" si="221"/>
        <v>#DIV/0!</v>
      </c>
      <c r="BG72" s="44" t="e">
        <f t="shared" si="221"/>
        <v>#DIV/0!</v>
      </c>
      <c r="BH72" s="44" t="e">
        <f t="shared" si="221"/>
        <v>#DIV/0!</v>
      </c>
      <c r="BI72" s="14" t="e">
        <f t="shared" si="221"/>
        <v>#DIV/0!</v>
      </c>
      <c r="BJ72" s="13" t="e">
        <f t="shared" si="221"/>
        <v>#DIV/0!</v>
      </c>
      <c r="BK72" s="44" t="e">
        <f t="shared" si="221"/>
        <v>#DIV/0!</v>
      </c>
      <c r="BL72" s="44" t="e">
        <f t="shared" si="221"/>
        <v>#DIV/0!</v>
      </c>
      <c r="BM72" s="14" t="e">
        <f t="shared" si="221"/>
        <v>#DIV/0!</v>
      </c>
      <c r="BN72" s="13" t="e">
        <f t="shared" si="221"/>
        <v>#DIV/0!</v>
      </c>
      <c r="BO72" s="44" t="e">
        <f t="shared" si="221"/>
        <v>#DIV/0!</v>
      </c>
      <c r="BP72" s="44" t="e">
        <f t="shared" si="221"/>
        <v>#DIV/0!</v>
      </c>
      <c r="BQ72" s="14" t="e">
        <f t="shared" ref="BQ72:CK72" si="222">BQ70*EXP(-(BQ13/3600)*BQ71)*BQ26/BQ28</f>
        <v>#DIV/0!</v>
      </c>
      <c r="BR72" s="13" t="e">
        <f t="shared" si="222"/>
        <v>#DIV/0!</v>
      </c>
      <c r="BS72" s="44" t="e">
        <f t="shared" si="222"/>
        <v>#DIV/0!</v>
      </c>
      <c r="BT72" s="44" t="e">
        <f t="shared" si="222"/>
        <v>#DIV/0!</v>
      </c>
      <c r="BU72" s="14" t="e">
        <f t="shared" si="222"/>
        <v>#DIV/0!</v>
      </c>
      <c r="BV72" s="13" t="e">
        <f t="shared" si="222"/>
        <v>#DIV/0!</v>
      </c>
      <c r="BW72" s="44" t="e">
        <f t="shared" si="222"/>
        <v>#DIV/0!</v>
      </c>
      <c r="BX72" s="44" t="e">
        <f t="shared" si="222"/>
        <v>#DIV/0!</v>
      </c>
      <c r="BY72" s="14" t="e">
        <f t="shared" si="222"/>
        <v>#DIV/0!</v>
      </c>
      <c r="BZ72" s="13" t="e">
        <f t="shared" si="222"/>
        <v>#DIV/0!</v>
      </c>
      <c r="CA72" s="44" t="e">
        <f t="shared" si="222"/>
        <v>#DIV/0!</v>
      </c>
      <c r="CB72" s="44" t="e">
        <f t="shared" si="222"/>
        <v>#DIV/0!</v>
      </c>
      <c r="CC72" s="14" t="e">
        <f t="shared" si="222"/>
        <v>#DIV/0!</v>
      </c>
      <c r="CD72" s="13" t="e">
        <f t="shared" si="222"/>
        <v>#DIV/0!</v>
      </c>
      <c r="CE72" s="44" t="e">
        <f t="shared" si="222"/>
        <v>#DIV/0!</v>
      </c>
      <c r="CF72" s="44" t="e">
        <f t="shared" si="222"/>
        <v>#DIV/0!</v>
      </c>
      <c r="CG72" s="14" t="e">
        <f t="shared" si="222"/>
        <v>#DIV/0!</v>
      </c>
      <c r="CH72" s="13" t="e">
        <f t="shared" si="222"/>
        <v>#DIV/0!</v>
      </c>
      <c r="CI72" s="44" t="e">
        <f t="shared" si="222"/>
        <v>#DIV/0!</v>
      </c>
      <c r="CJ72" s="44" t="e">
        <f t="shared" si="222"/>
        <v>#DIV/0!</v>
      </c>
      <c r="CK72" s="14" t="e">
        <f t="shared" si="222"/>
        <v>#DIV/0!</v>
      </c>
      <c r="CL72" s="49"/>
      <c r="CM72" s="28"/>
    </row>
    <row r="73" spans="2:91" ht="14.25" x14ac:dyDescent="0.25">
      <c r="B73" s="55"/>
      <c r="C73" s="205" t="s">
        <v>513</v>
      </c>
      <c r="D73" s="178" t="s">
        <v>514</v>
      </c>
      <c r="E73" s="126">
        <f t="shared" ref="E73:AG73" si="223">0.5*E28*(1-E26/E28)^2/(1-MIN(E21/E72,1)*(E26/E28))</f>
        <v>25.051207048108033</v>
      </c>
      <c r="F73" s="13">
        <f t="shared" si="223"/>
        <v>19.225232265313345</v>
      </c>
      <c r="G73" s="44">
        <f t="shared" si="223"/>
        <v>19.218519388066571</v>
      </c>
      <c r="H73" s="44">
        <f t="shared" si="223"/>
        <v>19.443727461270942</v>
      </c>
      <c r="I73" s="14">
        <f t="shared" si="223"/>
        <v>19.45660610390712</v>
      </c>
      <c r="J73" s="13" t="e">
        <f t="shared" si="223"/>
        <v>#DIV/0!</v>
      </c>
      <c r="K73" s="44" t="e">
        <f t="shared" si="223"/>
        <v>#DIV/0!</v>
      </c>
      <c r="L73" s="44" t="e">
        <f t="shared" si="223"/>
        <v>#DIV/0!</v>
      </c>
      <c r="M73" s="14" t="e">
        <f t="shared" si="223"/>
        <v>#DIV/0!</v>
      </c>
      <c r="N73" s="13">
        <f t="shared" si="223"/>
        <v>24.416898144813203</v>
      </c>
      <c r="O73" s="44">
        <f t="shared" si="223"/>
        <v>24.877940043204848</v>
      </c>
      <c r="P73" s="44">
        <f t="shared" si="223"/>
        <v>20.867090872576952</v>
      </c>
      <c r="Q73" s="14">
        <f t="shared" si="223"/>
        <v>6.4776460499994988</v>
      </c>
      <c r="R73" s="13" t="e">
        <f t="shared" si="223"/>
        <v>#DIV/0!</v>
      </c>
      <c r="S73" s="44" t="e">
        <f t="shared" si="223"/>
        <v>#DIV/0!</v>
      </c>
      <c r="T73" s="44" t="e">
        <f t="shared" si="223"/>
        <v>#DIV/0!</v>
      </c>
      <c r="U73" s="14" t="e">
        <f t="shared" si="223"/>
        <v>#DIV/0!</v>
      </c>
      <c r="V73" s="13">
        <f t="shared" si="223"/>
        <v>29.31685380564069</v>
      </c>
      <c r="W73" s="44" t="e">
        <f t="shared" si="223"/>
        <v>#DIV/0!</v>
      </c>
      <c r="X73" s="44">
        <f t="shared" si="223"/>
        <v>10.003653635367188</v>
      </c>
      <c r="Y73" s="14">
        <f t="shared" si="223"/>
        <v>18.270108009634473</v>
      </c>
      <c r="Z73" s="13">
        <f t="shared" si="223"/>
        <v>14.383647167362986</v>
      </c>
      <c r="AA73" s="44" t="e">
        <f t="shared" si="223"/>
        <v>#DIV/0!</v>
      </c>
      <c r="AB73" s="44">
        <f t="shared" si="223"/>
        <v>13.01512605042017</v>
      </c>
      <c r="AC73" s="14">
        <f t="shared" si="223"/>
        <v>21.846402988030118</v>
      </c>
      <c r="AD73" s="13">
        <f t="shared" si="223"/>
        <v>15.470905506937948</v>
      </c>
      <c r="AE73" s="44" t="e">
        <f t="shared" si="223"/>
        <v>#DIV/0!</v>
      </c>
      <c r="AF73" s="44">
        <f t="shared" si="223"/>
        <v>5.0496785505552335</v>
      </c>
      <c r="AG73" s="14">
        <f t="shared" si="223"/>
        <v>5.0508758467712394</v>
      </c>
      <c r="AH73" s="13" t="e">
        <f>0.5*#REF!*(1-AH26/#REF!)^2/(1-MIN(AH21/AH72,1)*(AH26/#REF!))</f>
        <v>#REF!</v>
      </c>
      <c r="AI73" s="44" t="e">
        <f>0.5*#REF!*(1-AI26/#REF!)^2/(1-MIN(AI21/AI72,1)*(AI26/#REF!))</f>
        <v>#REF!</v>
      </c>
      <c r="AJ73" s="44" t="e">
        <f>0.5*#REF!*(1-AJ26/#REF!)^2/(1-MIN(AJ21/AJ72,1)*(AJ26/#REF!))</f>
        <v>#REF!</v>
      </c>
      <c r="AK73" s="14" t="e">
        <f>0.5*#REF!*(1-AK26/#REF!)^2/(1-MIN(AK21/AK72,1)*(AK26/#REF!))</f>
        <v>#REF!</v>
      </c>
      <c r="AL73" s="13" t="e">
        <f t="shared" ref="AL73:BP73" si="224">0.5*AL28*(1-AL26/AL28)^2/(1-MIN(AL21/AL72,1)*(AL26/AL28))</f>
        <v>#DIV/0!</v>
      </c>
      <c r="AM73" s="44" t="e">
        <f t="shared" si="224"/>
        <v>#DIV/0!</v>
      </c>
      <c r="AN73" s="44" t="e">
        <f t="shared" si="224"/>
        <v>#DIV/0!</v>
      </c>
      <c r="AO73" s="14" t="e">
        <f t="shared" si="224"/>
        <v>#DIV/0!</v>
      </c>
      <c r="AP73" s="13" t="e">
        <f t="shared" si="224"/>
        <v>#DIV/0!</v>
      </c>
      <c r="AQ73" s="44" t="e">
        <f t="shared" si="224"/>
        <v>#DIV/0!</v>
      </c>
      <c r="AR73" s="44" t="e">
        <f t="shared" si="224"/>
        <v>#DIV/0!</v>
      </c>
      <c r="AS73" s="14" t="e">
        <f t="shared" si="224"/>
        <v>#DIV/0!</v>
      </c>
      <c r="AT73" s="13" t="e">
        <f t="shared" si="224"/>
        <v>#DIV/0!</v>
      </c>
      <c r="AU73" s="44" t="e">
        <f t="shared" si="224"/>
        <v>#DIV/0!</v>
      </c>
      <c r="AV73" s="44" t="e">
        <f t="shared" si="224"/>
        <v>#DIV/0!</v>
      </c>
      <c r="AW73" s="14" t="e">
        <f t="shared" si="224"/>
        <v>#DIV/0!</v>
      </c>
      <c r="AX73" s="13" t="e">
        <f t="shared" si="224"/>
        <v>#DIV/0!</v>
      </c>
      <c r="AY73" s="44" t="e">
        <f t="shared" si="224"/>
        <v>#DIV/0!</v>
      </c>
      <c r="AZ73" s="44" t="e">
        <f t="shared" si="224"/>
        <v>#DIV/0!</v>
      </c>
      <c r="BA73" s="14" t="e">
        <f t="shared" si="224"/>
        <v>#DIV/0!</v>
      </c>
      <c r="BB73" s="13" t="e">
        <f t="shared" si="224"/>
        <v>#DIV/0!</v>
      </c>
      <c r="BC73" s="44" t="e">
        <f t="shared" si="224"/>
        <v>#DIV/0!</v>
      </c>
      <c r="BD73" s="44" t="e">
        <f t="shared" si="224"/>
        <v>#DIV/0!</v>
      </c>
      <c r="BE73" s="14" t="e">
        <f t="shared" si="224"/>
        <v>#DIV/0!</v>
      </c>
      <c r="BF73" s="13" t="e">
        <f t="shared" si="224"/>
        <v>#DIV/0!</v>
      </c>
      <c r="BG73" s="44" t="e">
        <f t="shared" si="224"/>
        <v>#DIV/0!</v>
      </c>
      <c r="BH73" s="44" t="e">
        <f t="shared" si="224"/>
        <v>#DIV/0!</v>
      </c>
      <c r="BI73" s="14" t="e">
        <f t="shared" si="224"/>
        <v>#DIV/0!</v>
      </c>
      <c r="BJ73" s="13" t="e">
        <f t="shared" si="224"/>
        <v>#DIV/0!</v>
      </c>
      <c r="BK73" s="44" t="e">
        <f t="shared" si="224"/>
        <v>#DIV/0!</v>
      </c>
      <c r="BL73" s="44" t="e">
        <f t="shared" si="224"/>
        <v>#DIV/0!</v>
      </c>
      <c r="BM73" s="14" t="e">
        <f t="shared" si="224"/>
        <v>#DIV/0!</v>
      </c>
      <c r="BN73" s="13" t="e">
        <f t="shared" si="224"/>
        <v>#DIV/0!</v>
      </c>
      <c r="BO73" s="44" t="e">
        <f t="shared" si="224"/>
        <v>#DIV/0!</v>
      </c>
      <c r="BP73" s="44" t="e">
        <f t="shared" si="224"/>
        <v>#DIV/0!</v>
      </c>
      <c r="BQ73" s="14" t="e">
        <f t="shared" ref="BQ73:CK73" si="225">0.5*BQ28*(1-BQ26/BQ28)^2/(1-MIN(BQ21/BQ72,1)*(BQ26/BQ28))</f>
        <v>#DIV/0!</v>
      </c>
      <c r="BR73" s="13" t="e">
        <f t="shared" si="225"/>
        <v>#DIV/0!</v>
      </c>
      <c r="BS73" s="44" t="e">
        <f t="shared" si="225"/>
        <v>#DIV/0!</v>
      </c>
      <c r="BT73" s="44" t="e">
        <f t="shared" si="225"/>
        <v>#DIV/0!</v>
      </c>
      <c r="BU73" s="14" t="e">
        <f t="shared" si="225"/>
        <v>#DIV/0!</v>
      </c>
      <c r="BV73" s="13" t="e">
        <f t="shared" si="225"/>
        <v>#DIV/0!</v>
      </c>
      <c r="BW73" s="44" t="e">
        <f t="shared" si="225"/>
        <v>#DIV/0!</v>
      </c>
      <c r="BX73" s="44" t="e">
        <f t="shared" si="225"/>
        <v>#DIV/0!</v>
      </c>
      <c r="BY73" s="14" t="e">
        <f t="shared" si="225"/>
        <v>#DIV/0!</v>
      </c>
      <c r="BZ73" s="13" t="e">
        <f t="shared" si="225"/>
        <v>#DIV/0!</v>
      </c>
      <c r="CA73" s="44" t="e">
        <f t="shared" si="225"/>
        <v>#DIV/0!</v>
      </c>
      <c r="CB73" s="44" t="e">
        <f t="shared" si="225"/>
        <v>#DIV/0!</v>
      </c>
      <c r="CC73" s="14" t="e">
        <f t="shared" si="225"/>
        <v>#DIV/0!</v>
      </c>
      <c r="CD73" s="13" t="e">
        <f t="shared" si="225"/>
        <v>#DIV/0!</v>
      </c>
      <c r="CE73" s="44" t="e">
        <f t="shared" si="225"/>
        <v>#DIV/0!</v>
      </c>
      <c r="CF73" s="44" t="e">
        <f t="shared" si="225"/>
        <v>#DIV/0!</v>
      </c>
      <c r="CG73" s="14" t="e">
        <f t="shared" si="225"/>
        <v>#DIV/0!</v>
      </c>
      <c r="CH73" s="13" t="e">
        <f t="shared" si="225"/>
        <v>#DIV/0!</v>
      </c>
      <c r="CI73" s="44" t="e">
        <f t="shared" si="225"/>
        <v>#DIV/0!</v>
      </c>
      <c r="CJ73" s="44" t="e">
        <f t="shared" si="225"/>
        <v>#DIV/0!</v>
      </c>
      <c r="CK73" s="14" t="e">
        <f t="shared" si="225"/>
        <v>#DIV/0!</v>
      </c>
      <c r="CL73" s="49"/>
      <c r="CM73" s="28"/>
    </row>
    <row r="74" spans="2:91" x14ac:dyDescent="0.25">
      <c r="B74" s="55"/>
      <c r="C74" s="283" t="s">
        <v>526</v>
      </c>
      <c r="D74" s="284"/>
      <c r="E74" s="238"/>
      <c r="F74" s="13"/>
      <c r="G74" s="44"/>
      <c r="H74" s="44"/>
      <c r="I74" s="14"/>
      <c r="J74" s="13"/>
      <c r="K74" s="44"/>
      <c r="L74" s="44"/>
      <c r="M74" s="14"/>
      <c r="N74" s="13"/>
      <c r="O74" s="44"/>
      <c r="P74" s="44"/>
      <c r="Q74" s="14"/>
      <c r="R74" s="13"/>
      <c r="S74" s="44"/>
      <c r="T74" s="44"/>
      <c r="U74" s="14"/>
      <c r="V74" s="13"/>
      <c r="W74" s="44"/>
      <c r="X74" s="44"/>
      <c r="Y74" s="14"/>
      <c r="Z74" s="13"/>
      <c r="AA74" s="44"/>
      <c r="AB74" s="44"/>
      <c r="AC74" s="14"/>
      <c r="AD74" s="13"/>
      <c r="AE74" s="44"/>
      <c r="AF74" s="44"/>
      <c r="AG74" s="14"/>
      <c r="AH74" s="13"/>
      <c r="AI74" s="44"/>
      <c r="AJ74" s="44"/>
      <c r="AK74" s="14"/>
      <c r="AL74" s="13"/>
      <c r="AM74" s="44"/>
      <c r="AN74" s="44"/>
      <c r="AO74" s="14"/>
      <c r="AP74" s="13"/>
      <c r="AQ74" s="44"/>
      <c r="AR74" s="44"/>
      <c r="AS74" s="14"/>
      <c r="AT74" s="13"/>
      <c r="AU74" s="44"/>
      <c r="AV74" s="44"/>
      <c r="AW74" s="14"/>
      <c r="AX74" s="13"/>
      <c r="AY74" s="44"/>
      <c r="AZ74" s="44"/>
      <c r="BA74" s="14"/>
      <c r="BB74" s="13"/>
      <c r="BC74" s="44"/>
      <c r="BD74" s="44"/>
      <c r="BE74" s="14"/>
      <c r="BF74" s="13"/>
      <c r="BG74" s="44"/>
      <c r="BH74" s="44"/>
      <c r="BI74" s="14"/>
      <c r="BJ74" s="13"/>
      <c r="BK74" s="44"/>
      <c r="BL74" s="44"/>
      <c r="BM74" s="14"/>
      <c r="BN74" s="13"/>
      <c r="BO74" s="44"/>
      <c r="BP74" s="44"/>
      <c r="BQ74" s="14"/>
      <c r="BR74" s="13"/>
      <c r="BS74" s="44"/>
      <c r="BT74" s="44"/>
      <c r="BU74" s="14"/>
      <c r="BV74" s="13"/>
      <c r="BW74" s="44"/>
      <c r="BX74" s="44"/>
      <c r="BY74" s="14"/>
      <c r="BZ74" s="13"/>
      <c r="CA74" s="44"/>
      <c r="CB74" s="44"/>
      <c r="CC74" s="14"/>
      <c r="CD74" s="13"/>
      <c r="CE74" s="44"/>
      <c r="CF74" s="44"/>
      <c r="CG74" s="14"/>
      <c r="CH74" s="13"/>
      <c r="CI74" s="44"/>
      <c r="CJ74" s="44"/>
      <c r="CK74" s="14"/>
      <c r="CL74" s="49"/>
      <c r="CM74" s="28"/>
    </row>
    <row r="75" spans="2:91" ht="14.25" x14ac:dyDescent="0.25">
      <c r="B75" s="55"/>
      <c r="C75" s="10" t="s">
        <v>515</v>
      </c>
      <c r="D75" s="93" t="s">
        <v>516</v>
      </c>
      <c r="E75" s="125">
        <f t="shared" ref="E75:AJ75" si="226">E32/E40 +E41</f>
        <v>3</v>
      </c>
      <c r="F75" s="13">
        <f t="shared" si="226"/>
        <v>9.4</v>
      </c>
      <c r="G75" s="44">
        <f t="shared" si="226"/>
        <v>9.4</v>
      </c>
      <c r="H75" s="44">
        <f t="shared" si="226"/>
        <v>8.1999999999999993</v>
      </c>
      <c r="I75" s="14">
        <f t="shared" si="226"/>
        <v>8.1999999999999993</v>
      </c>
      <c r="J75" s="13">
        <f t="shared" si="226"/>
        <v>8</v>
      </c>
      <c r="K75" s="44" t="e">
        <f t="shared" si="226"/>
        <v>#DIV/0!</v>
      </c>
      <c r="L75" s="44">
        <f t="shared" si="226"/>
        <v>7</v>
      </c>
      <c r="M75" s="14">
        <f t="shared" si="226"/>
        <v>7</v>
      </c>
      <c r="N75" s="13">
        <f t="shared" si="226"/>
        <v>7.8</v>
      </c>
      <c r="O75" s="44">
        <f t="shared" si="226"/>
        <v>8.3000000000000007</v>
      </c>
      <c r="P75" s="44">
        <f t="shared" si="226"/>
        <v>9</v>
      </c>
      <c r="Q75" s="14">
        <f t="shared" si="226"/>
        <v>12</v>
      </c>
      <c r="R75" s="13">
        <f t="shared" si="226"/>
        <v>8</v>
      </c>
      <c r="S75" s="44" t="e">
        <f t="shared" si="226"/>
        <v>#DIV/0!</v>
      </c>
      <c r="T75" s="44">
        <f t="shared" si="226"/>
        <v>5.8</v>
      </c>
      <c r="U75" s="14">
        <f t="shared" si="226"/>
        <v>5.8</v>
      </c>
      <c r="V75" s="13">
        <f t="shared" si="226"/>
        <v>7.5</v>
      </c>
      <c r="W75" s="44" t="e">
        <f t="shared" si="226"/>
        <v>#DIV/0!</v>
      </c>
      <c r="X75" s="44">
        <f t="shared" si="226"/>
        <v>10.4</v>
      </c>
      <c r="Y75" s="14">
        <f t="shared" si="226"/>
        <v>10.4</v>
      </c>
      <c r="Z75" s="13">
        <f t="shared" si="226"/>
        <v>7.2</v>
      </c>
      <c r="AA75" s="44" t="e">
        <f t="shared" si="226"/>
        <v>#DIV/0!</v>
      </c>
      <c r="AB75" s="44">
        <f t="shared" si="226"/>
        <v>6.5</v>
      </c>
      <c r="AC75" s="14">
        <f t="shared" si="226"/>
        <v>6.5</v>
      </c>
      <c r="AD75" s="13">
        <f t="shared" si="226"/>
        <v>6</v>
      </c>
      <c r="AE75" s="44" t="e">
        <f t="shared" si="226"/>
        <v>#DIV/0!</v>
      </c>
      <c r="AF75" s="44">
        <f t="shared" si="226"/>
        <v>6.3</v>
      </c>
      <c r="AG75" s="14">
        <f t="shared" si="226"/>
        <v>6.3</v>
      </c>
      <c r="AH75" s="13">
        <f t="shared" si="226"/>
        <v>7.1</v>
      </c>
      <c r="AI75" s="44">
        <f t="shared" si="226"/>
        <v>7.1</v>
      </c>
      <c r="AJ75" s="44">
        <f t="shared" si="226"/>
        <v>6.4</v>
      </c>
      <c r="AK75" s="14">
        <f t="shared" ref="AK75:BP75" si="227">AK32/AK40 +AK41</f>
        <v>7.4</v>
      </c>
      <c r="AL75" s="13" t="e">
        <f t="shared" si="227"/>
        <v>#DIV/0!</v>
      </c>
      <c r="AM75" s="44" t="e">
        <f t="shared" si="227"/>
        <v>#DIV/0!</v>
      </c>
      <c r="AN75" s="44" t="e">
        <f t="shared" si="227"/>
        <v>#DIV/0!</v>
      </c>
      <c r="AO75" s="14" t="e">
        <f t="shared" si="227"/>
        <v>#DIV/0!</v>
      </c>
      <c r="AP75" s="13" t="e">
        <f t="shared" si="227"/>
        <v>#DIV/0!</v>
      </c>
      <c r="AQ75" s="44" t="e">
        <f t="shared" si="227"/>
        <v>#DIV/0!</v>
      </c>
      <c r="AR75" s="44" t="e">
        <f t="shared" si="227"/>
        <v>#DIV/0!</v>
      </c>
      <c r="AS75" s="14" t="e">
        <f t="shared" si="227"/>
        <v>#DIV/0!</v>
      </c>
      <c r="AT75" s="13" t="e">
        <f t="shared" si="227"/>
        <v>#DIV/0!</v>
      </c>
      <c r="AU75" s="44" t="e">
        <f t="shared" si="227"/>
        <v>#DIV/0!</v>
      </c>
      <c r="AV75" s="44" t="e">
        <f t="shared" si="227"/>
        <v>#DIV/0!</v>
      </c>
      <c r="AW75" s="14" t="e">
        <f t="shared" si="227"/>
        <v>#DIV/0!</v>
      </c>
      <c r="AX75" s="13" t="e">
        <f t="shared" si="227"/>
        <v>#DIV/0!</v>
      </c>
      <c r="AY75" s="44" t="e">
        <f t="shared" si="227"/>
        <v>#DIV/0!</v>
      </c>
      <c r="AZ75" s="44" t="e">
        <f t="shared" si="227"/>
        <v>#DIV/0!</v>
      </c>
      <c r="BA75" s="14" t="e">
        <f t="shared" si="227"/>
        <v>#DIV/0!</v>
      </c>
      <c r="BB75" s="13" t="e">
        <f t="shared" si="227"/>
        <v>#DIV/0!</v>
      </c>
      <c r="BC75" s="44" t="e">
        <f t="shared" si="227"/>
        <v>#DIV/0!</v>
      </c>
      <c r="BD75" s="44" t="e">
        <f t="shared" si="227"/>
        <v>#DIV/0!</v>
      </c>
      <c r="BE75" s="14" t="e">
        <f t="shared" si="227"/>
        <v>#DIV/0!</v>
      </c>
      <c r="BF75" s="13" t="e">
        <f t="shared" si="227"/>
        <v>#DIV/0!</v>
      </c>
      <c r="BG75" s="44" t="e">
        <f t="shared" si="227"/>
        <v>#DIV/0!</v>
      </c>
      <c r="BH75" s="44" t="e">
        <f t="shared" si="227"/>
        <v>#DIV/0!</v>
      </c>
      <c r="BI75" s="14" t="e">
        <f t="shared" si="227"/>
        <v>#DIV/0!</v>
      </c>
      <c r="BJ75" s="13" t="e">
        <f t="shared" si="227"/>
        <v>#DIV/0!</v>
      </c>
      <c r="BK75" s="44" t="e">
        <f t="shared" si="227"/>
        <v>#DIV/0!</v>
      </c>
      <c r="BL75" s="44" t="e">
        <f t="shared" si="227"/>
        <v>#DIV/0!</v>
      </c>
      <c r="BM75" s="14" t="e">
        <f t="shared" si="227"/>
        <v>#DIV/0!</v>
      </c>
      <c r="BN75" s="13" t="e">
        <f t="shared" si="227"/>
        <v>#DIV/0!</v>
      </c>
      <c r="BO75" s="44" t="e">
        <f t="shared" si="227"/>
        <v>#DIV/0!</v>
      </c>
      <c r="BP75" s="44" t="e">
        <f t="shared" si="227"/>
        <v>#DIV/0!</v>
      </c>
      <c r="BQ75" s="14" t="e">
        <f t="shared" ref="BQ75:CK75" si="228">BQ32/BQ40 +BQ41</f>
        <v>#DIV/0!</v>
      </c>
      <c r="BR75" s="13" t="e">
        <f t="shared" si="228"/>
        <v>#DIV/0!</v>
      </c>
      <c r="BS75" s="44" t="e">
        <f t="shared" si="228"/>
        <v>#DIV/0!</v>
      </c>
      <c r="BT75" s="44" t="e">
        <f t="shared" si="228"/>
        <v>#DIV/0!</v>
      </c>
      <c r="BU75" s="14" t="e">
        <f t="shared" si="228"/>
        <v>#DIV/0!</v>
      </c>
      <c r="BV75" s="13" t="e">
        <f t="shared" si="228"/>
        <v>#DIV/0!</v>
      </c>
      <c r="BW75" s="44" t="e">
        <f t="shared" si="228"/>
        <v>#DIV/0!</v>
      </c>
      <c r="BX75" s="44" t="e">
        <f t="shared" si="228"/>
        <v>#DIV/0!</v>
      </c>
      <c r="BY75" s="14" t="e">
        <f t="shared" si="228"/>
        <v>#DIV/0!</v>
      </c>
      <c r="BZ75" s="13" t="e">
        <f t="shared" si="228"/>
        <v>#DIV/0!</v>
      </c>
      <c r="CA75" s="44" t="e">
        <f t="shared" si="228"/>
        <v>#DIV/0!</v>
      </c>
      <c r="CB75" s="44" t="e">
        <f t="shared" si="228"/>
        <v>#DIV/0!</v>
      </c>
      <c r="CC75" s="14" t="e">
        <f t="shared" si="228"/>
        <v>#DIV/0!</v>
      </c>
      <c r="CD75" s="13" t="e">
        <f t="shared" si="228"/>
        <v>#DIV/0!</v>
      </c>
      <c r="CE75" s="44" t="e">
        <f t="shared" si="228"/>
        <v>#DIV/0!</v>
      </c>
      <c r="CF75" s="44" t="e">
        <f t="shared" si="228"/>
        <v>#DIV/0!</v>
      </c>
      <c r="CG75" s="14" t="e">
        <f t="shared" si="228"/>
        <v>#DIV/0!</v>
      </c>
      <c r="CH75" s="13" t="e">
        <f t="shared" si="228"/>
        <v>#DIV/0!</v>
      </c>
      <c r="CI75" s="44" t="e">
        <f t="shared" si="228"/>
        <v>#DIV/0!</v>
      </c>
      <c r="CJ75" s="44" t="e">
        <f t="shared" si="228"/>
        <v>#DIV/0!</v>
      </c>
      <c r="CK75" s="14" t="e">
        <f t="shared" si="228"/>
        <v>#DIV/0!</v>
      </c>
      <c r="CL75" s="49"/>
      <c r="CM75" s="28"/>
    </row>
    <row r="76" spans="2:91" ht="14.25" x14ac:dyDescent="0.25">
      <c r="B76" s="55"/>
      <c r="C76" s="10" t="s">
        <v>521</v>
      </c>
      <c r="D76" s="230" t="s">
        <v>522</v>
      </c>
      <c r="E76" s="125">
        <f t="shared" ref="E76:AJ76" si="229">E17/3600</f>
        <v>0.16666666666666666</v>
      </c>
      <c r="F76" s="169">
        <f t="shared" si="229"/>
        <v>0.28694444444444445</v>
      </c>
      <c r="G76" s="44">
        <f t="shared" si="229"/>
        <v>0.28694444444444445</v>
      </c>
      <c r="H76" s="44">
        <f t="shared" si="229"/>
        <v>0.33250000000000002</v>
      </c>
      <c r="I76" s="14">
        <f t="shared" si="229"/>
        <v>0.33250000000000002</v>
      </c>
      <c r="J76" s="169">
        <f t="shared" si="229"/>
        <v>0.15333333333333332</v>
      </c>
      <c r="K76" s="44">
        <f t="shared" si="229"/>
        <v>0</v>
      </c>
      <c r="L76" s="44">
        <f t="shared" si="229"/>
        <v>1.2500000000000001E-2</v>
      </c>
      <c r="M76" s="14">
        <f t="shared" si="229"/>
        <v>1.2500000000000001E-2</v>
      </c>
      <c r="N76" s="169">
        <f t="shared" si="229"/>
        <v>0.24</v>
      </c>
      <c r="O76" s="44">
        <f t="shared" si="229"/>
        <v>0.24</v>
      </c>
      <c r="P76" s="44">
        <f t="shared" si="229"/>
        <v>0.33527777777777779</v>
      </c>
      <c r="Q76" s="14">
        <f t="shared" si="229"/>
        <v>0.33527777777777779</v>
      </c>
      <c r="R76" s="169">
        <f t="shared" si="229"/>
        <v>0.2772222222222222</v>
      </c>
      <c r="S76" s="44">
        <f t="shared" si="229"/>
        <v>0</v>
      </c>
      <c r="T76" s="44">
        <f t="shared" si="229"/>
        <v>2.4166666666666666E-2</v>
      </c>
      <c r="U76" s="14">
        <f t="shared" si="229"/>
        <v>2.4166666666666666E-2</v>
      </c>
      <c r="V76" s="169">
        <f t="shared" si="229"/>
        <v>0.25111111111111112</v>
      </c>
      <c r="W76" s="44">
        <f t="shared" si="229"/>
        <v>0</v>
      </c>
      <c r="X76" s="44">
        <f t="shared" si="229"/>
        <v>2.6388888888888889E-2</v>
      </c>
      <c r="Y76" s="14">
        <f t="shared" si="229"/>
        <v>2.6388888888888889E-2</v>
      </c>
      <c r="Z76" s="169">
        <f t="shared" si="229"/>
        <v>0.19277777777777777</v>
      </c>
      <c r="AA76" s="44">
        <f t="shared" si="229"/>
        <v>0</v>
      </c>
      <c r="AB76" s="44">
        <f t="shared" si="229"/>
        <v>4.1111111111111112E-2</v>
      </c>
      <c r="AC76" s="14">
        <f t="shared" si="229"/>
        <v>4.1111111111111112E-2</v>
      </c>
      <c r="AD76" s="169">
        <f t="shared" si="229"/>
        <v>0.17666666666666667</v>
      </c>
      <c r="AE76" s="44">
        <f t="shared" si="229"/>
        <v>0</v>
      </c>
      <c r="AF76" s="44">
        <f t="shared" si="229"/>
        <v>7.7777777777777776E-3</v>
      </c>
      <c r="AG76" s="14">
        <f t="shared" si="229"/>
        <v>7.7777777777777776E-3</v>
      </c>
      <c r="AH76" s="169">
        <f t="shared" si="229"/>
        <v>0.13527777777777777</v>
      </c>
      <c r="AI76" s="44">
        <f t="shared" si="229"/>
        <v>0.13527777777777777</v>
      </c>
      <c r="AJ76" s="44">
        <f t="shared" si="229"/>
        <v>0.19055555555555556</v>
      </c>
      <c r="AK76" s="14">
        <f t="shared" ref="AK76:BP76" si="230">AK17/3600</f>
        <v>0.19055555555555556</v>
      </c>
      <c r="AL76" s="169">
        <f t="shared" si="230"/>
        <v>0</v>
      </c>
      <c r="AM76" s="44">
        <f t="shared" si="230"/>
        <v>0</v>
      </c>
      <c r="AN76" s="44">
        <f t="shared" si="230"/>
        <v>0</v>
      </c>
      <c r="AO76" s="14">
        <f t="shared" si="230"/>
        <v>0</v>
      </c>
      <c r="AP76" s="169">
        <f t="shared" si="230"/>
        <v>0</v>
      </c>
      <c r="AQ76" s="44">
        <f t="shared" si="230"/>
        <v>0</v>
      </c>
      <c r="AR76" s="44">
        <f t="shared" si="230"/>
        <v>0</v>
      </c>
      <c r="AS76" s="14">
        <f t="shared" si="230"/>
        <v>0</v>
      </c>
      <c r="AT76" s="169">
        <f t="shared" si="230"/>
        <v>0</v>
      </c>
      <c r="AU76" s="44">
        <f t="shared" si="230"/>
        <v>0</v>
      </c>
      <c r="AV76" s="44">
        <f t="shared" si="230"/>
        <v>0</v>
      </c>
      <c r="AW76" s="14">
        <f t="shared" si="230"/>
        <v>0</v>
      </c>
      <c r="AX76" s="169">
        <f t="shared" si="230"/>
        <v>0</v>
      </c>
      <c r="AY76" s="44">
        <f t="shared" si="230"/>
        <v>0</v>
      </c>
      <c r="AZ76" s="44">
        <f t="shared" si="230"/>
        <v>0</v>
      </c>
      <c r="BA76" s="14">
        <f t="shared" si="230"/>
        <v>0</v>
      </c>
      <c r="BB76" s="169">
        <f t="shared" si="230"/>
        <v>0</v>
      </c>
      <c r="BC76" s="44">
        <f t="shared" si="230"/>
        <v>0</v>
      </c>
      <c r="BD76" s="44">
        <f t="shared" si="230"/>
        <v>0</v>
      </c>
      <c r="BE76" s="14">
        <f t="shared" si="230"/>
        <v>0</v>
      </c>
      <c r="BF76" s="169">
        <f t="shared" si="230"/>
        <v>0</v>
      </c>
      <c r="BG76" s="44">
        <f t="shared" si="230"/>
        <v>0</v>
      </c>
      <c r="BH76" s="44">
        <f t="shared" si="230"/>
        <v>0</v>
      </c>
      <c r="BI76" s="14">
        <f t="shared" si="230"/>
        <v>0</v>
      </c>
      <c r="BJ76" s="169">
        <f t="shared" si="230"/>
        <v>0</v>
      </c>
      <c r="BK76" s="44">
        <f t="shared" si="230"/>
        <v>0</v>
      </c>
      <c r="BL76" s="44">
        <f t="shared" si="230"/>
        <v>0</v>
      </c>
      <c r="BM76" s="14">
        <f t="shared" si="230"/>
        <v>0</v>
      </c>
      <c r="BN76" s="169">
        <f t="shared" si="230"/>
        <v>0</v>
      </c>
      <c r="BO76" s="44">
        <f t="shared" si="230"/>
        <v>0</v>
      </c>
      <c r="BP76" s="44">
        <f t="shared" si="230"/>
        <v>0</v>
      </c>
      <c r="BQ76" s="14">
        <f t="shared" ref="BQ76:CK76" si="231">BQ17/3600</f>
        <v>0</v>
      </c>
      <c r="BR76" s="169">
        <f t="shared" si="231"/>
        <v>0</v>
      </c>
      <c r="BS76" s="44">
        <f t="shared" si="231"/>
        <v>0</v>
      </c>
      <c r="BT76" s="44">
        <f t="shared" si="231"/>
        <v>0</v>
      </c>
      <c r="BU76" s="14">
        <f t="shared" si="231"/>
        <v>0</v>
      </c>
      <c r="BV76" s="169">
        <f t="shared" si="231"/>
        <v>0</v>
      </c>
      <c r="BW76" s="44">
        <f t="shared" si="231"/>
        <v>0</v>
      </c>
      <c r="BX76" s="44">
        <f t="shared" si="231"/>
        <v>0</v>
      </c>
      <c r="BY76" s="14">
        <f t="shared" si="231"/>
        <v>0</v>
      </c>
      <c r="BZ76" s="169">
        <f t="shared" si="231"/>
        <v>0</v>
      </c>
      <c r="CA76" s="44">
        <f t="shared" si="231"/>
        <v>0</v>
      </c>
      <c r="CB76" s="44">
        <f t="shared" si="231"/>
        <v>0</v>
      </c>
      <c r="CC76" s="14">
        <f t="shared" si="231"/>
        <v>0</v>
      </c>
      <c r="CD76" s="169">
        <f t="shared" si="231"/>
        <v>0</v>
      </c>
      <c r="CE76" s="44">
        <f t="shared" si="231"/>
        <v>0</v>
      </c>
      <c r="CF76" s="44">
        <f t="shared" si="231"/>
        <v>0</v>
      </c>
      <c r="CG76" s="14">
        <f t="shared" si="231"/>
        <v>0</v>
      </c>
      <c r="CH76" s="169">
        <f t="shared" si="231"/>
        <v>0</v>
      </c>
      <c r="CI76" s="44">
        <f t="shared" si="231"/>
        <v>0</v>
      </c>
      <c r="CJ76" s="44">
        <f t="shared" si="231"/>
        <v>0</v>
      </c>
      <c r="CK76" s="14">
        <f t="shared" si="231"/>
        <v>0</v>
      </c>
      <c r="CL76" s="49"/>
      <c r="CM76" s="28"/>
    </row>
    <row r="77" spans="2:91" ht="14.25" x14ac:dyDescent="0.25">
      <c r="B77" s="55"/>
      <c r="C77" s="10" t="s">
        <v>301</v>
      </c>
      <c r="D77" s="93" t="s">
        <v>491</v>
      </c>
      <c r="E77" s="125">
        <f t="shared" ref="E77:AJ77" si="232">MAX(IF(E33=0,0,4*E78/E33),1)</f>
        <v>1</v>
      </c>
      <c r="F77" s="13">
        <f t="shared" si="232"/>
        <v>1</v>
      </c>
      <c r="G77" s="44">
        <f t="shared" si="232"/>
        <v>1</v>
      </c>
      <c r="H77" s="44">
        <f t="shared" si="232"/>
        <v>1</v>
      </c>
      <c r="I77" s="14">
        <f t="shared" si="232"/>
        <v>1</v>
      </c>
      <c r="J77" s="13">
        <f t="shared" si="232"/>
        <v>1</v>
      </c>
      <c r="K77" s="44">
        <f t="shared" si="232"/>
        <v>1</v>
      </c>
      <c r="L77" s="44">
        <f t="shared" si="232"/>
        <v>1</v>
      </c>
      <c r="M77" s="14">
        <f t="shared" si="232"/>
        <v>1</v>
      </c>
      <c r="N77" s="13">
        <f t="shared" si="232"/>
        <v>1</v>
      </c>
      <c r="O77" s="44">
        <f t="shared" si="232"/>
        <v>1</v>
      </c>
      <c r="P77" s="44">
        <f t="shared" si="232"/>
        <v>1</v>
      </c>
      <c r="Q77" s="14">
        <f t="shared" si="232"/>
        <v>1</v>
      </c>
      <c r="R77" s="13">
        <f t="shared" si="232"/>
        <v>1</v>
      </c>
      <c r="S77" s="44">
        <f t="shared" si="232"/>
        <v>1</v>
      </c>
      <c r="T77" s="44">
        <f t="shared" si="232"/>
        <v>1</v>
      </c>
      <c r="U77" s="14">
        <f t="shared" si="232"/>
        <v>1</v>
      </c>
      <c r="V77" s="13">
        <f t="shared" si="232"/>
        <v>1</v>
      </c>
      <c r="W77" s="44">
        <f t="shared" si="232"/>
        <v>1</v>
      </c>
      <c r="X77" s="44">
        <f t="shared" si="232"/>
        <v>1</v>
      </c>
      <c r="Y77" s="14">
        <f t="shared" si="232"/>
        <v>1</v>
      </c>
      <c r="Z77" s="13">
        <f t="shared" si="232"/>
        <v>1</v>
      </c>
      <c r="AA77" s="44">
        <f t="shared" si="232"/>
        <v>1</v>
      </c>
      <c r="AB77" s="44">
        <f t="shared" si="232"/>
        <v>1</v>
      </c>
      <c r="AC77" s="14">
        <f t="shared" si="232"/>
        <v>1</v>
      </c>
      <c r="AD77" s="13">
        <f t="shared" si="232"/>
        <v>1</v>
      </c>
      <c r="AE77" s="44">
        <f t="shared" si="232"/>
        <v>1</v>
      </c>
      <c r="AF77" s="44">
        <f t="shared" si="232"/>
        <v>1</v>
      </c>
      <c r="AG77" s="14">
        <f t="shared" si="232"/>
        <v>1</v>
      </c>
      <c r="AH77" s="13">
        <f t="shared" si="232"/>
        <v>1</v>
      </c>
      <c r="AI77" s="44">
        <f t="shared" si="232"/>
        <v>1</v>
      </c>
      <c r="AJ77" s="44">
        <f t="shared" si="232"/>
        <v>1</v>
      </c>
      <c r="AK77" s="14">
        <f t="shared" ref="AK77:BP77" si="233">MAX(IF(AK33=0,0,4*AK78/AK33),1)</f>
        <v>1</v>
      </c>
      <c r="AL77" s="13">
        <f t="shared" si="233"/>
        <v>1</v>
      </c>
      <c r="AM77" s="44">
        <f t="shared" si="233"/>
        <v>1</v>
      </c>
      <c r="AN77" s="44">
        <f t="shared" si="233"/>
        <v>1</v>
      </c>
      <c r="AO77" s="14">
        <f t="shared" si="233"/>
        <v>1</v>
      </c>
      <c r="AP77" s="13">
        <f t="shared" si="233"/>
        <v>1</v>
      </c>
      <c r="AQ77" s="44">
        <f t="shared" si="233"/>
        <v>1</v>
      </c>
      <c r="AR77" s="44">
        <f t="shared" si="233"/>
        <v>1</v>
      </c>
      <c r="AS77" s="14">
        <f t="shared" si="233"/>
        <v>1</v>
      </c>
      <c r="AT77" s="13">
        <f t="shared" si="233"/>
        <v>1</v>
      </c>
      <c r="AU77" s="44">
        <f t="shared" si="233"/>
        <v>1</v>
      </c>
      <c r="AV77" s="44">
        <f t="shared" si="233"/>
        <v>1</v>
      </c>
      <c r="AW77" s="14">
        <f t="shared" si="233"/>
        <v>1</v>
      </c>
      <c r="AX77" s="13">
        <f t="shared" si="233"/>
        <v>1</v>
      </c>
      <c r="AY77" s="44">
        <f t="shared" si="233"/>
        <v>1</v>
      </c>
      <c r="AZ77" s="44">
        <f t="shared" si="233"/>
        <v>1</v>
      </c>
      <c r="BA77" s="14">
        <f t="shared" si="233"/>
        <v>1</v>
      </c>
      <c r="BB77" s="13">
        <f t="shared" si="233"/>
        <v>1</v>
      </c>
      <c r="BC77" s="44">
        <f t="shared" si="233"/>
        <v>1</v>
      </c>
      <c r="BD77" s="44">
        <f t="shared" si="233"/>
        <v>1</v>
      </c>
      <c r="BE77" s="14">
        <f t="shared" si="233"/>
        <v>1</v>
      </c>
      <c r="BF77" s="13">
        <f t="shared" si="233"/>
        <v>1</v>
      </c>
      <c r="BG77" s="44">
        <f t="shared" si="233"/>
        <v>1</v>
      </c>
      <c r="BH77" s="44">
        <f t="shared" si="233"/>
        <v>1</v>
      </c>
      <c r="BI77" s="14">
        <f t="shared" si="233"/>
        <v>1</v>
      </c>
      <c r="BJ77" s="13">
        <f t="shared" si="233"/>
        <v>1</v>
      </c>
      <c r="BK77" s="44">
        <f t="shared" si="233"/>
        <v>1</v>
      </c>
      <c r="BL77" s="44">
        <f t="shared" si="233"/>
        <v>1</v>
      </c>
      <c r="BM77" s="14">
        <f t="shared" si="233"/>
        <v>1</v>
      </c>
      <c r="BN77" s="13">
        <f t="shared" si="233"/>
        <v>1</v>
      </c>
      <c r="BO77" s="44">
        <f t="shared" si="233"/>
        <v>1</v>
      </c>
      <c r="BP77" s="44">
        <f t="shared" si="233"/>
        <v>1</v>
      </c>
      <c r="BQ77" s="14">
        <f t="shared" ref="BQ77:CK77" si="234">MAX(IF(BQ33=0,0,4*BQ78/BQ33),1)</f>
        <v>1</v>
      </c>
      <c r="BR77" s="13">
        <f t="shared" si="234"/>
        <v>1</v>
      </c>
      <c r="BS77" s="44">
        <f t="shared" si="234"/>
        <v>1</v>
      </c>
      <c r="BT77" s="44">
        <f t="shared" si="234"/>
        <v>1</v>
      </c>
      <c r="BU77" s="14">
        <f t="shared" si="234"/>
        <v>1</v>
      </c>
      <c r="BV77" s="13">
        <f t="shared" si="234"/>
        <v>1</v>
      </c>
      <c r="BW77" s="44">
        <f t="shared" si="234"/>
        <v>1</v>
      </c>
      <c r="BX77" s="44">
        <f t="shared" si="234"/>
        <v>1</v>
      </c>
      <c r="BY77" s="14">
        <f t="shared" si="234"/>
        <v>1</v>
      </c>
      <c r="BZ77" s="13">
        <f t="shared" si="234"/>
        <v>1</v>
      </c>
      <c r="CA77" s="44">
        <f t="shared" si="234"/>
        <v>1</v>
      </c>
      <c r="CB77" s="44">
        <f t="shared" si="234"/>
        <v>1</v>
      </c>
      <c r="CC77" s="14">
        <f t="shared" si="234"/>
        <v>1</v>
      </c>
      <c r="CD77" s="13">
        <f t="shared" si="234"/>
        <v>1</v>
      </c>
      <c r="CE77" s="44">
        <f t="shared" si="234"/>
        <v>1</v>
      </c>
      <c r="CF77" s="44">
        <f t="shared" si="234"/>
        <v>1</v>
      </c>
      <c r="CG77" s="14">
        <f t="shared" si="234"/>
        <v>1</v>
      </c>
      <c r="CH77" s="13">
        <f t="shared" si="234"/>
        <v>1</v>
      </c>
      <c r="CI77" s="44">
        <f t="shared" si="234"/>
        <v>1</v>
      </c>
      <c r="CJ77" s="44">
        <f t="shared" si="234"/>
        <v>1</v>
      </c>
      <c r="CK77" s="14">
        <f t="shared" si="234"/>
        <v>1</v>
      </c>
      <c r="CL77" s="49"/>
      <c r="CM77" s="28"/>
    </row>
    <row r="78" spans="2:91" ht="14.25" x14ac:dyDescent="0.25">
      <c r="B78" s="55"/>
      <c r="C78" s="10" t="s">
        <v>302</v>
      </c>
      <c r="D78" s="93" t="s">
        <v>492</v>
      </c>
      <c r="E78" s="125">
        <f t="shared" ref="E78:AJ78" si="235">((E21/3600)*EXP(E75*E21/3600) + E76*EXP(-E76*E75))/(((E21/3600)+E76)*EXP(((E21/3600)-E76))*E75)</f>
        <v>0.24367501251296278</v>
      </c>
      <c r="F78" s="13">
        <f t="shared" si="235"/>
        <v>1.2811806586242215E-2</v>
      </c>
      <c r="G78" s="44">
        <f t="shared" si="235"/>
        <v>1.2811806586242215E-2</v>
      </c>
      <c r="H78" s="44">
        <f t="shared" si="235"/>
        <v>1.4484003005314851E-2</v>
      </c>
      <c r="I78" s="14">
        <f t="shared" si="235"/>
        <v>1.4484003005314851E-2</v>
      </c>
      <c r="J78" s="13">
        <f t="shared" si="235"/>
        <v>4.7226855835058666E-2</v>
      </c>
      <c r="K78" s="44" t="e">
        <f t="shared" si="235"/>
        <v>#DIV/0!</v>
      </c>
      <c r="L78" s="44">
        <f t="shared" si="235"/>
        <v>0.1384715401185814</v>
      </c>
      <c r="M78" s="14">
        <f t="shared" si="235"/>
        <v>0.1384715401185814</v>
      </c>
      <c r="N78" s="13">
        <f t="shared" si="235"/>
        <v>2.9000283847595898E-2</v>
      </c>
      <c r="O78" s="44">
        <f t="shared" si="235"/>
        <v>2.4697798694053426E-2</v>
      </c>
      <c r="P78" s="44">
        <f t="shared" si="235"/>
        <v>1.0728346166549356E-2</v>
      </c>
      <c r="Q78" s="14">
        <f t="shared" si="235"/>
        <v>4.5809089300573045E-3</v>
      </c>
      <c r="R78" s="13">
        <f t="shared" si="235"/>
        <v>2.1624456681086052E-2</v>
      </c>
      <c r="S78" s="44" t="e">
        <f t="shared" si="235"/>
        <v>#DIV/0!</v>
      </c>
      <c r="T78" s="44">
        <f t="shared" si="235"/>
        <v>0.15919772855436914</v>
      </c>
      <c r="U78" s="14">
        <f t="shared" si="235"/>
        <v>0.15919772855436914</v>
      </c>
      <c r="V78" s="13">
        <f t="shared" si="235"/>
        <v>3.0014253129193921E-2</v>
      </c>
      <c r="W78" s="44" t="e">
        <f t="shared" si="235"/>
        <v>#DIV/0!</v>
      </c>
      <c r="X78" s="44">
        <f t="shared" si="235"/>
        <v>8.0943151448209544E-2</v>
      </c>
      <c r="Y78" s="14">
        <f t="shared" si="235"/>
        <v>8.0943151448209544E-2</v>
      </c>
      <c r="Z78" s="13">
        <f t="shared" si="235"/>
        <v>4.6404238162720136E-2</v>
      </c>
      <c r="AA78" s="44" t="e">
        <f t="shared" si="235"/>
        <v>#DIV/0!</v>
      </c>
      <c r="AB78" s="44">
        <f t="shared" si="235"/>
        <v>0.12831977941596315</v>
      </c>
      <c r="AC78" s="14">
        <f t="shared" si="235"/>
        <v>0.12831977941596315</v>
      </c>
      <c r="AD78" s="13">
        <f t="shared" si="235"/>
        <v>7.3623130848851318E-2</v>
      </c>
      <c r="AE78" s="44" t="e">
        <f t="shared" si="235"/>
        <v>#DIV/0!</v>
      </c>
      <c r="AF78" s="44">
        <f t="shared" si="235"/>
        <v>0.15820036266854554</v>
      </c>
      <c r="AG78" s="14">
        <f t="shared" si="235"/>
        <v>0.15820036266854554</v>
      </c>
      <c r="AH78" s="13">
        <f t="shared" si="235"/>
        <v>6.6505867712107702E-2</v>
      </c>
      <c r="AI78" s="44">
        <f t="shared" si="235"/>
        <v>6.6505867712107702E-2</v>
      </c>
      <c r="AJ78" s="44">
        <f t="shared" si="235"/>
        <v>6.0403291245368466E-2</v>
      </c>
      <c r="AK78" s="14">
        <f t="shared" ref="AK78:BP78" si="236">((AK21/3600)*EXP(AK75*AK21/3600) + AK76*EXP(-AK76*AK75))/(((AK21/3600)+AK76)*EXP(((AK21/3600)-AK76))*AK75)</f>
        <v>4.4254086661502032E-2</v>
      </c>
      <c r="AL78" s="13" t="e">
        <f t="shared" si="236"/>
        <v>#DIV/0!</v>
      </c>
      <c r="AM78" s="44" t="e">
        <f t="shared" si="236"/>
        <v>#DIV/0!</v>
      </c>
      <c r="AN78" s="44" t="e">
        <f t="shared" si="236"/>
        <v>#DIV/0!</v>
      </c>
      <c r="AO78" s="14" t="e">
        <f t="shared" si="236"/>
        <v>#DIV/0!</v>
      </c>
      <c r="AP78" s="13" t="e">
        <f t="shared" si="236"/>
        <v>#DIV/0!</v>
      </c>
      <c r="AQ78" s="44" t="e">
        <f t="shared" si="236"/>
        <v>#DIV/0!</v>
      </c>
      <c r="AR78" s="44" t="e">
        <f t="shared" si="236"/>
        <v>#DIV/0!</v>
      </c>
      <c r="AS78" s="14" t="e">
        <f t="shared" si="236"/>
        <v>#DIV/0!</v>
      </c>
      <c r="AT78" s="13" t="e">
        <f t="shared" si="236"/>
        <v>#DIV/0!</v>
      </c>
      <c r="AU78" s="44" t="e">
        <f t="shared" si="236"/>
        <v>#DIV/0!</v>
      </c>
      <c r="AV78" s="44" t="e">
        <f t="shared" si="236"/>
        <v>#DIV/0!</v>
      </c>
      <c r="AW78" s="14" t="e">
        <f t="shared" si="236"/>
        <v>#DIV/0!</v>
      </c>
      <c r="AX78" s="13" t="e">
        <f t="shared" si="236"/>
        <v>#DIV/0!</v>
      </c>
      <c r="AY78" s="44" t="e">
        <f t="shared" si="236"/>
        <v>#DIV/0!</v>
      </c>
      <c r="AZ78" s="44" t="e">
        <f t="shared" si="236"/>
        <v>#DIV/0!</v>
      </c>
      <c r="BA78" s="14" t="e">
        <f t="shared" si="236"/>
        <v>#DIV/0!</v>
      </c>
      <c r="BB78" s="13" t="e">
        <f t="shared" si="236"/>
        <v>#DIV/0!</v>
      </c>
      <c r="BC78" s="44" t="e">
        <f t="shared" si="236"/>
        <v>#DIV/0!</v>
      </c>
      <c r="BD78" s="44" t="e">
        <f t="shared" si="236"/>
        <v>#DIV/0!</v>
      </c>
      <c r="BE78" s="14" t="e">
        <f t="shared" si="236"/>
        <v>#DIV/0!</v>
      </c>
      <c r="BF78" s="13" t="e">
        <f t="shared" si="236"/>
        <v>#DIV/0!</v>
      </c>
      <c r="BG78" s="44" t="e">
        <f t="shared" si="236"/>
        <v>#DIV/0!</v>
      </c>
      <c r="BH78" s="44" t="e">
        <f t="shared" si="236"/>
        <v>#DIV/0!</v>
      </c>
      <c r="BI78" s="14" t="e">
        <f t="shared" si="236"/>
        <v>#DIV/0!</v>
      </c>
      <c r="BJ78" s="13" t="e">
        <f t="shared" si="236"/>
        <v>#DIV/0!</v>
      </c>
      <c r="BK78" s="44" t="e">
        <f t="shared" si="236"/>
        <v>#DIV/0!</v>
      </c>
      <c r="BL78" s="44" t="e">
        <f t="shared" si="236"/>
        <v>#DIV/0!</v>
      </c>
      <c r="BM78" s="14" t="e">
        <f t="shared" si="236"/>
        <v>#DIV/0!</v>
      </c>
      <c r="BN78" s="13" t="e">
        <f t="shared" si="236"/>
        <v>#DIV/0!</v>
      </c>
      <c r="BO78" s="44" t="e">
        <f t="shared" si="236"/>
        <v>#DIV/0!</v>
      </c>
      <c r="BP78" s="44" t="e">
        <f t="shared" si="236"/>
        <v>#DIV/0!</v>
      </c>
      <c r="BQ78" s="14" t="e">
        <f t="shared" ref="BQ78:CK78" si="237">((BQ21/3600)*EXP(BQ75*BQ21/3600) + BQ76*EXP(-BQ76*BQ75))/(((BQ21/3600)+BQ76)*EXP(((BQ21/3600)-BQ76))*BQ75)</f>
        <v>#DIV/0!</v>
      </c>
      <c r="BR78" s="13" t="e">
        <f t="shared" si="237"/>
        <v>#DIV/0!</v>
      </c>
      <c r="BS78" s="44" t="e">
        <f t="shared" si="237"/>
        <v>#DIV/0!</v>
      </c>
      <c r="BT78" s="44" t="e">
        <f t="shared" si="237"/>
        <v>#DIV/0!</v>
      </c>
      <c r="BU78" s="14" t="e">
        <f t="shared" si="237"/>
        <v>#DIV/0!</v>
      </c>
      <c r="BV78" s="13" t="e">
        <f t="shared" si="237"/>
        <v>#DIV/0!</v>
      </c>
      <c r="BW78" s="44" t="e">
        <f t="shared" si="237"/>
        <v>#DIV/0!</v>
      </c>
      <c r="BX78" s="44" t="e">
        <f t="shared" si="237"/>
        <v>#DIV/0!</v>
      </c>
      <c r="BY78" s="14" t="e">
        <f t="shared" si="237"/>
        <v>#DIV/0!</v>
      </c>
      <c r="BZ78" s="13" t="e">
        <f t="shared" si="237"/>
        <v>#DIV/0!</v>
      </c>
      <c r="CA78" s="44" t="e">
        <f t="shared" si="237"/>
        <v>#DIV/0!</v>
      </c>
      <c r="CB78" s="44" t="e">
        <f t="shared" si="237"/>
        <v>#DIV/0!</v>
      </c>
      <c r="CC78" s="14" t="e">
        <f t="shared" si="237"/>
        <v>#DIV/0!</v>
      </c>
      <c r="CD78" s="13" t="e">
        <f t="shared" si="237"/>
        <v>#DIV/0!</v>
      </c>
      <c r="CE78" s="44" t="e">
        <f t="shared" si="237"/>
        <v>#DIV/0!</v>
      </c>
      <c r="CF78" s="44" t="e">
        <f t="shared" si="237"/>
        <v>#DIV/0!</v>
      </c>
      <c r="CG78" s="14" t="e">
        <f t="shared" si="237"/>
        <v>#DIV/0!</v>
      </c>
      <c r="CH78" s="13" t="e">
        <f t="shared" si="237"/>
        <v>#DIV/0!</v>
      </c>
      <c r="CI78" s="44" t="e">
        <f t="shared" si="237"/>
        <v>#DIV/0!</v>
      </c>
      <c r="CJ78" s="44" t="e">
        <f t="shared" si="237"/>
        <v>#DIV/0!</v>
      </c>
      <c r="CK78" s="14" t="e">
        <f t="shared" si="237"/>
        <v>#DIV/0!</v>
      </c>
      <c r="CL78" s="49"/>
      <c r="CM78" s="28"/>
    </row>
    <row r="79" spans="2:91" ht="14.25" x14ac:dyDescent="0.25">
      <c r="B79" s="55"/>
      <c r="C79" s="10" t="s">
        <v>303</v>
      </c>
      <c r="D79" s="93" t="s">
        <v>495</v>
      </c>
      <c r="E79" s="125">
        <f t="shared" ref="E79:AJ79" si="238">E75+2*(E77-1)</f>
        <v>3</v>
      </c>
      <c r="F79" s="13">
        <f t="shared" si="238"/>
        <v>9.4</v>
      </c>
      <c r="G79" s="44">
        <f t="shared" si="238"/>
        <v>9.4</v>
      </c>
      <c r="H79" s="44">
        <f t="shared" si="238"/>
        <v>8.1999999999999993</v>
      </c>
      <c r="I79" s="14">
        <f t="shared" si="238"/>
        <v>8.1999999999999993</v>
      </c>
      <c r="J79" s="13">
        <f t="shared" si="238"/>
        <v>8</v>
      </c>
      <c r="K79" s="44" t="e">
        <f t="shared" si="238"/>
        <v>#DIV/0!</v>
      </c>
      <c r="L79" s="44">
        <f t="shared" si="238"/>
        <v>7</v>
      </c>
      <c r="M79" s="14">
        <f t="shared" si="238"/>
        <v>7</v>
      </c>
      <c r="N79" s="13">
        <f t="shared" si="238"/>
        <v>7.8</v>
      </c>
      <c r="O79" s="44">
        <f t="shared" si="238"/>
        <v>8.3000000000000007</v>
      </c>
      <c r="P79" s="44">
        <f t="shared" si="238"/>
        <v>9</v>
      </c>
      <c r="Q79" s="14">
        <f t="shared" si="238"/>
        <v>12</v>
      </c>
      <c r="R79" s="13">
        <f t="shared" si="238"/>
        <v>8</v>
      </c>
      <c r="S79" s="44" t="e">
        <f t="shared" si="238"/>
        <v>#DIV/0!</v>
      </c>
      <c r="T79" s="44">
        <f t="shared" si="238"/>
        <v>5.8</v>
      </c>
      <c r="U79" s="14">
        <f t="shared" si="238"/>
        <v>5.8</v>
      </c>
      <c r="V79" s="13">
        <f t="shared" si="238"/>
        <v>7.5</v>
      </c>
      <c r="W79" s="44" t="e">
        <f t="shared" si="238"/>
        <v>#DIV/0!</v>
      </c>
      <c r="X79" s="44">
        <f t="shared" si="238"/>
        <v>10.4</v>
      </c>
      <c r="Y79" s="14">
        <f t="shared" si="238"/>
        <v>10.4</v>
      </c>
      <c r="Z79" s="13">
        <f t="shared" si="238"/>
        <v>7.2</v>
      </c>
      <c r="AA79" s="44" t="e">
        <f t="shared" si="238"/>
        <v>#DIV/0!</v>
      </c>
      <c r="AB79" s="44">
        <f t="shared" si="238"/>
        <v>6.5</v>
      </c>
      <c r="AC79" s="14">
        <f t="shared" si="238"/>
        <v>6.5</v>
      </c>
      <c r="AD79" s="13">
        <f t="shared" si="238"/>
        <v>6</v>
      </c>
      <c r="AE79" s="44" t="e">
        <f t="shared" si="238"/>
        <v>#DIV/0!</v>
      </c>
      <c r="AF79" s="44">
        <f t="shared" si="238"/>
        <v>6.3</v>
      </c>
      <c r="AG79" s="14">
        <f t="shared" si="238"/>
        <v>6.3</v>
      </c>
      <c r="AH79" s="13">
        <f t="shared" si="238"/>
        <v>7.1</v>
      </c>
      <c r="AI79" s="44">
        <f t="shared" si="238"/>
        <v>7.1</v>
      </c>
      <c r="AJ79" s="44">
        <f t="shared" si="238"/>
        <v>6.4</v>
      </c>
      <c r="AK79" s="14">
        <f t="shared" ref="AK79:BP79" si="239">AK75+2*(AK77-1)</f>
        <v>7.4</v>
      </c>
      <c r="AL79" s="13" t="e">
        <f t="shared" si="239"/>
        <v>#DIV/0!</v>
      </c>
      <c r="AM79" s="44" t="e">
        <f t="shared" si="239"/>
        <v>#DIV/0!</v>
      </c>
      <c r="AN79" s="44" t="e">
        <f t="shared" si="239"/>
        <v>#DIV/0!</v>
      </c>
      <c r="AO79" s="14" t="e">
        <f t="shared" si="239"/>
        <v>#DIV/0!</v>
      </c>
      <c r="AP79" s="13" t="e">
        <f t="shared" si="239"/>
        <v>#DIV/0!</v>
      </c>
      <c r="AQ79" s="44" t="e">
        <f t="shared" si="239"/>
        <v>#DIV/0!</v>
      </c>
      <c r="AR79" s="44" t="e">
        <f t="shared" si="239"/>
        <v>#DIV/0!</v>
      </c>
      <c r="AS79" s="14" t="e">
        <f t="shared" si="239"/>
        <v>#DIV/0!</v>
      </c>
      <c r="AT79" s="13" t="e">
        <f t="shared" si="239"/>
        <v>#DIV/0!</v>
      </c>
      <c r="AU79" s="44" t="e">
        <f t="shared" si="239"/>
        <v>#DIV/0!</v>
      </c>
      <c r="AV79" s="44" t="e">
        <f t="shared" si="239"/>
        <v>#DIV/0!</v>
      </c>
      <c r="AW79" s="14" t="e">
        <f t="shared" si="239"/>
        <v>#DIV/0!</v>
      </c>
      <c r="AX79" s="13" t="e">
        <f t="shared" si="239"/>
        <v>#DIV/0!</v>
      </c>
      <c r="AY79" s="44" t="e">
        <f t="shared" si="239"/>
        <v>#DIV/0!</v>
      </c>
      <c r="AZ79" s="44" t="e">
        <f t="shared" si="239"/>
        <v>#DIV/0!</v>
      </c>
      <c r="BA79" s="14" t="e">
        <f t="shared" si="239"/>
        <v>#DIV/0!</v>
      </c>
      <c r="BB79" s="13" t="e">
        <f t="shared" si="239"/>
        <v>#DIV/0!</v>
      </c>
      <c r="BC79" s="44" t="e">
        <f t="shared" si="239"/>
        <v>#DIV/0!</v>
      </c>
      <c r="BD79" s="44" t="e">
        <f t="shared" si="239"/>
        <v>#DIV/0!</v>
      </c>
      <c r="BE79" s="14" t="e">
        <f t="shared" si="239"/>
        <v>#DIV/0!</v>
      </c>
      <c r="BF79" s="13" t="e">
        <f t="shared" si="239"/>
        <v>#DIV/0!</v>
      </c>
      <c r="BG79" s="44" t="e">
        <f t="shared" si="239"/>
        <v>#DIV/0!</v>
      </c>
      <c r="BH79" s="44" t="e">
        <f t="shared" si="239"/>
        <v>#DIV/0!</v>
      </c>
      <c r="BI79" s="14" t="e">
        <f t="shared" si="239"/>
        <v>#DIV/0!</v>
      </c>
      <c r="BJ79" s="13" t="e">
        <f t="shared" si="239"/>
        <v>#DIV/0!</v>
      </c>
      <c r="BK79" s="44" t="e">
        <f t="shared" si="239"/>
        <v>#DIV/0!</v>
      </c>
      <c r="BL79" s="44" t="e">
        <f t="shared" si="239"/>
        <v>#DIV/0!</v>
      </c>
      <c r="BM79" s="14" t="e">
        <f t="shared" si="239"/>
        <v>#DIV/0!</v>
      </c>
      <c r="BN79" s="13" t="e">
        <f t="shared" si="239"/>
        <v>#DIV/0!</v>
      </c>
      <c r="BO79" s="44" t="e">
        <f t="shared" si="239"/>
        <v>#DIV/0!</v>
      </c>
      <c r="BP79" s="44" t="e">
        <f t="shared" si="239"/>
        <v>#DIV/0!</v>
      </c>
      <c r="BQ79" s="14" t="e">
        <f t="shared" ref="BQ79:CK79" si="240">BQ75+2*(BQ77-1)</f>
        <v>#DIV/0!</v>
      </c>
      <c r="BR79" s="13" t="e">
        <f t="shared" si="240"/>
        <v>#DIV/0!</v>
      </c>
      <c r="BS79" s="44" t="e">
        <f t="shared" si="240"/>
        <v>#DIV/0!</v>
      </c>
      <c r="BT79" s="44" t="e">
        <f t="shared" si="240"/>
        <v>#DIV/0!</v>
      </c>
      <c r="BU79" s="14" t="e">
        <f t="shared" si="240"/>
        <v>#DIV/0!</v>
      </c>
      <c r="BV79" s="13" t="e">
        <f t="shared" si="240"/>
        <v>#DIV/0!</v>
      </c>
      <c r="BW79" s="44" t="e">
        <f t="shared" si="240"/>
        <v>#DIV/0!</v>
      </c>
      <c r="BX79" s="44" t="e">
        <f t="shared" si="240"/>
        <v>#DIV/0!</v>
      </c>
      <c r="BY79" s="14" t="e">
        <f t="shared" si="240"/>
        <v>#DIV/0!</v>
      </c>
      <c r="BZ79" s="13" t="e">
        <f t="shared" si="240"/>
        <v>#DIV/0!</v>
      </c>
      <c r="CA79" s="44" t="e">
        <f t="shared" si="240"/>
        <v>#DIV/0!</v>
      </c>
      <c r="CB79" s="44" t="e">
        <f t="shared" si="240"/>
        <v>#DIV/0!</v>
      </c>
      <c r="CC79" s="14" t="e">
        <f t="shared" si="240"/>
        <v>#DIV/0!</v>
      </c>
      <c r="CD79" s="13" t="e">
        <f t="shared" si="240"/>
        <v>#DIV/0!</v>
      </c>
      <c r="CE79" s="44" t="e">
        <f t="shared" si="240"/>
        <v>#DIV/0!</v>
      </c>
      <c r="CF79" s="44" t="e">
        <f t="shared" si="240"/>
        <v>#DIV/0!</v>
      </c>
      <c r="CG79" s="14" t="e">
        <f t="shared" si="240"/>
        <v>#DIV/0!</v>
      </c>
      <c r="CH79" s="13" t="e">
        <f t="shared" si="240"/>
        <v>#DIV/0!</v>
      </c>
      <c r="CI79" s="44" t="e">
        <f t="shared" si="240"/>
        <v>#DIV/0!</v>
      </c>
      <c r="CJ79" s="44" t="e">
        <f t="shared" si="240"/>
        <v>#DIV/0!</v>
      </c>
      <c r="CK79" s="14" t="e">
        <f t="shared" si="240"/>
        <v>#DIV/0!</v>
      </c>
      <c r="CL79" s="49"/>
      <c r="CM79" s="28"/>
    </row>
    <row r="80" spans="2:91" ht="14.25" x14ac:dyDescent="0.25">
      <c r="B80" s="55"/>
      <c r="C80" s="10" t="s">
        <v>304</v>
      </c>
      <c r="D80" s="93" t="s">
        <v>493</v>
      </c>
      <c r="E80" s="125" t="e">
        <f t="shared" ref="E80:AJ80" si="241">1-EXP(-E79*E76/E32)</f>
        <v>#DIV/0!</v>
      </c>
      <c r="F80" s="13">
        <f t="shared" si="241"/>
        <v>4.1269212176804237E-2</v>
      </c>
      <c r="G80" s="44">
        <f t="shared" si="241"/>
        <v>4.1269212176804237E-2</v>
      </c>
      <c r="H80" s="44">
        <f t="shared" si="241"/>
        <v>5.108181160015457E-2</v>
      </c>
      <c r="I80" s="14">
        <f t="shared" si="241"/>
        <v>5.108181160015457E-2</v>
      </c>
      <c r="J80" s="13">
        <f t="shared" si="241"/>
        <v>2.4234837129119446E-2</v>
      </c>
      <c r="K80" s="44" t="e">
        <f t="shared" si="241"/>
        <v>#DIV/0!</v>
      </c>
      <c r="L80" s="44">
        <f t="shared" si="241"/>
        <v>2.1851091655095134E-3</v>
      </c>
      <c r="M80" s="14">
        <f t="shared" si="241"/>
        <v>2.1851091655095134E-3</v>
      </c>
      <c r="N80" s="13">
        <f t="shared" si="241"/>
        <v>3.8249290853633267E-2</v>
      </c>
      <c r="O80" s="44">
        <f t="shared" si="241"/>
        <v>3.6887359465564429E-2</v>
      </c>
      <c r="P80" s="44">
        <f t="shared" si="241"/>
        <v>4.9047976958419337E-2</v>
      </c>
      <c r="Q80" s="14">
        <f t="shared" si="241"/>
        <v>4.3719217685395217E-2</v>
      </c>
      <c r="R80" s="13">
        <f t="shared" si="241"/>
        <v>4.3386232341170672E-2</v>
      </c>
      <c r="S80" s="44" t="e">
        <f t="shared" si="241"/>
        <v>#DIV/0!</v>
      </c>
      <c r="T80" s="44">
        <f t="shared" si="241"/>
        <v>4.993443483019222E-3</v>
      </c>
      <c r="U80" s="14">
        <f t="shared" si="241"/>
        <v>4.993443483019222E-3</v>
      </c>
      <c r="V80" s="13">
        <f t="shared" si="241"/>
        <v>4.0988154122112319E-2</v>
      </c>
      <c r="W80" s="44" t="e">
        <f t="shared" si="241"/>
        <v>#DIV/0!</v>
      </c>
      <c r="X80" s="44">
        <f t="shared" si="241"/>
        <v>3.701839942606977E-3</v>
      </c>
      <c r="Y80" s="14">
        <f t="shared" si="241"/>
        <v>3.701839942606977E-3</v>
      </c>
      <c r="Z80" s="13">
        <f t="shared" si="241"/>
        <v>3.250751257874529E-2</v>
      </c>
      <c r="AA80" s="44" t="e">
        <f t="shared" si="241"/>
        <v>#DIV/0!</v>
      </c>
      <c r="AB80" s="44">
        <f t="shared" si="241"/>
        <v>7.6058486628197697E-3</v>
      </c>
      <c r="AC80" s="14">
        <f t="shared" si="241"/>
        <v>7.6058486628197697E-3</v>
      </c>
      <c r="AD80" s="13">
        <f t="shared" si="241"/>
        <v>3.4716398575734053E-2</v>
      </c>
      <c r="AE80" s="44" t="e">
        <f t="shared" si="241"/>
        <v>#DIV/0!</v>
      </c>
      <c r="AF80" s="44">
        <f t="shared" si="241"/>
        <v>1.4837466427606305E-3</v>
      </c>
      <c r="AG80" s="14">
        <f t="shared" si="241"/>
        <v>1.4837466427606305E-3</v>
      </c>
      <c r="AH80" s="13">
        <f t="shared" si="241"/>
        <v>2.3153889630217028E-2</v>
      </c>
      <c r="AI80" s="44">
        <f t="shared" si="241"/>
        <v>2.3153889630217028E-2</v>
      </c>
      <c r="AJ80" s="44">
        <f t="shared" si="241"/>
        <v>3.5233601504508938E-2</v>
      </c>
      <c r="AK80" s="14">
        <f t="shared" ref="AK80:BP80" si="242">1-EXP(-AK79*AK76/AK32)</f>
        <v>3.1539885556189917E-2</v>
      </c>
      <c r="AL80" s="13" t="e">
        <f t="shared" si="242"/>
        <v>#DIV/0!</v>
      </c>
      <c r="AM80" s="44" t="e">
        <f t="shared" si="242"/>
        <v>#DIV/0!</v>
      </c>
      <c r="AN80" s="44" t="e">
        <f t="shared" si="242"/>
        <v>#DIV/0!</v>
      </c>
      <c r="AO80" s="14" t="e">
        <f t="shared" si="242"/>
        <v>#DIV/0!</v>
      </c>
      <c r="AP80" s="13" t="e">
        <f t="shared" si="242"/>
        <v>#DIV/0!</v>
      </c>
      <c r="AQ80" s="44" t="e">
        <f t="shared" si="242"/>
        <v>#DIV/0!</v>
      </c>
      <c r="AR80" s="44" t="e">
        <f t="shared" si="242"/>
        <v>#DIV/0!</v>
      </c>
      <c r="AS80" s="14" t="e">
        <f t="shared" si="242"/>
        <v>#DIV/0!</v>
      </c>
      <c r="AT80" s="13" t="e">
        <f t="shared" si="242"/>
        <v>#DIV/0!</v>
      </c>
      <c r="AU80" s="44" t="e">
        <f t="shared" si="242"/>
        <v>#DIV/0!</v>
      </c>
      <c r="AV80" s="44" t="e">
        <f t="shared" si="242"/>
        <v>#DIV/0!</v>
      </c>
      <c r="AW80" s="14" t="e">
        <f t="shared" si="242"/>
        <v>#DIV/0!</v>
      </c>
      <c r="AX80" s="13" t="e">
        <f t="shared" si="242"/>
        <v>#DIV/0!</v>
      </c>
      <c r="AY80" s="44" t="e">
        <f t="shared" si="242"/>
        <v>#DIV/0!</v>
      </c>
      <c r="AZ80" s="44" t="e">
        <f t="shared" si="242"/>
        <v>#DIV/0!</v>
      </c>
      <c r="BA80" s="14" t="e">
        <f t="shared" si="242"/>
        <v>#DIV/0!</v>
      </c>
      <c r="BB80" s="13" t="e">
        <f t="shared" si="242"/>
        <v>#DIV/0!</v>
      </c>
      <c r="BC80" s="44" t="e">
        <f t="shared" si="242"/>
        <v>#DIV/0!</v>
      </c>
      <c r="BD80" s="44" t="e">
        <f t="shared" si="242"/>
        <v>#DIV/0!</v>
      </c>
      <c r="BE80" s="14" t="e">
        <f t="shared" si="242"/>
        <v>#DIV/0!</v>
      </c>
      <c r="BF80" s="13" t="e">
        <f t="shared" si="242"/>
        <v>#DIV/0!</v>
      </c>
      <c r="BG80" s="44" t="e">
        <f t="shared" si="242"/>
        <v>#DIV/0!</v>
      </c>
      <c r="BH80" s="44" t="e">
        <f t="shared" si="242"/>
        <v>#DIV/0!</v>
      </c>
      <c r="BI80" s="14" t="e">
        <f t="shared" si="242"/>
        <v>#DIV/0!</v>
      </c>
      <c r="BJ80" s="13" t="e">
        <f t="shared" si="242"/>
        <v>#DIV/0!</v>
      </c>
      <c r="BK80" s="44" t="e">
        <f t="shared" si="242"/>
        <v>#DIV/0!</v>
      </c>
      <c r="BL80" s="44" t="e">
        <f t="shared" si="242"/>
        <v>#DIV/0!</v>
      </c>
      <c r="BM80" s="14" t="e">
        <f t="shared" si="242"/>
        <v>#DIV/0!</v>
      </c>
      <c r="BN80" s="13" t="e">
        <f t="shared" si="242"/>
        <v>#DIV/0!</v>
      </c>
      <c r="BO80" s="44" t="e">
        <f t="shared" si="242"/>
        <v>#DIV/0!</v>
      </c>
      <c r="BP80" s="44" t="e">
        <f t="shared" si="242"/>
        <v>#DIV/0!</v>
      </c>
      <c r="BQ80" s="14" t="e">
        <f t="shared" ref="BQ80:CK80" si="243">1-EXP(-BQ79*BQ76/BQ32)</f>
        <v>#DIV/0!</v>
      </c>
      <c r="BR80" s="13" t="e">
        <f t="shared" si="243"/>
        <v>#DIV/0!</v>
      </c>
      <c r="BS80" s="44" t="e">
        <f t="shared" si="243"/>
        <v>#DIV/0!</v>
      </c>
      <c r="BT80" s="44" t="e">
        <f t="shared" si="243"/>
        <v>#DIV/0!</v>
      </c>
      <c r="BU80" s="14" t="e">
        <f t="shared" si="243"/>
        <v>#DIV/0!</v>
      </c>
      <c r="BV80" s="13" t="e">
        <f t="shared" si="243"/>
        <v>#DIV/0!</v>
      </c>
      <c r="BW80" s="44" t="e">
        <f t="shared" si="243"/>
        <v>#DIV/0!</v>
      </c>
      <c r="BX80" s="44" t="e">
        <f t="shared" si="243"/>
        <v>#DIV/0!</v>
      </c>
      <c r="BY80" s="14" t="e">
        <f t="shared" si="243"/>
        <v>#DIV/0!</v>
      </c>
      <c r="BZ80" s="13" t="e">
        <f t="shared" si="243"/>
        <v>#DIV/0!</v>
      </c>
      <c r="CA80" s="44" t="e">
        <f t="shared" si="243"/>
        <v>#DIV/0!</v>
      </c>
      <c r="CB80" s="44" t="e">
        <f t="shared" si="243"/>
        <v>#DIV/0!</v>
      </c>
      <c r="CC80" s="14" t="e">
        <f t="shared" si="243"/>
        <v>#DIV/0!</v>
      </c>
      <c r="CD80" s="13" t="e">
        <f t="shared" si="243"/>
        <v>#DIV/0!</v>
      </c>
      <c r="CE80" s="44" t="e">
        <f t="shared" si="243"/>
        <v>#DIV/0!</v>
      </c>
      <c r="CF80" s="44" t="e">
        <f t="shared" si="243"/>
        <v>#DIV/0!</v>
      </c>
      <c r="CG80" s="14" t="e">
        <f t="shared" si="243"/>
        <v>#DIV/0!</v>
      </c>
      <c r="CH80" s="13" t="e">
        <f t="shared" si="243"/>
        <v>#DIV/0!</v>
      </c>
      <c r="CI80" s="44" t="e">
        <f t="shared" si="243"/>
        <v>#DIV/0!</v>
      </c>
      <c r="CJ80" s="44" t="e">
        <f t="shared" si="243"/>
        <v>#DIV/0!</v>
      </c>
      <c r="CK80" s="14" t="e">
        <f t="shared" si="243"/>
        <v>#DIV/0!</v>
      </c>
      <c r="CL80" s="49"/>
      <c r="CM80" s="28"/>
    </row>
    <row r="81" spans="2:91" ht="14.25" x14ac:dyDescent="0.25">
      <c r="B81" s="55"/>
      <c r="C81" s="10" t="s">
        <v>305</v>
      </c>
      <c r="D81" s="93" t="s">
        <v>520</v>
      </c>
      <c r="E81" s="125" t="e">
        <f t="shared" ref="E81:AJ81" si="244">1 - (1-E80)^E32</f>
        <v>#DIV/0!</v>
      </c>
      <c r="F81" s="13">
        <f t="shared" si="244"/>
        <v>0.9326112896808858</v>
      </c>
      <c r="G81" s="44">
        <f t="shared" si="244"/>
        <v>0.9326112896808858</v>
      </c>
      <c r="H81" s="44">
        <f t="shared" si="244"/>
        <v>0.93455204288343041</v>
      </c>
      <c r="I81" s="14">
        <f t="shared" si="244"/>
        <v>0.93455204288343041</v>
      </c>
      <c r="J81" s="13">
        <f t="shared" si="244"/>
        <v>0.70673148807343766</v>
      </c>
      <c r="K81" s="44" t="e">
        <f t="shared" si="244"/>
        <v>#DIV/0!</v>
      </c>
      <c r="L81" s="44">
        <f t="shared" si="244"/>
        <v>8.3781128349121103E-2</v>
      </c>
      <c r="M81" s="14">
        <f t="shared" si="244"/>
        <v>8.3781128349121103E-2</v>
      </c>
      <c r="N81" s="13">
        <f t="shared" si="244"/>
        <v>0.84618427746657066</v>
      </c>
      <c r="O81" s="44">
        <f t="shared" si="244"/>
        <v>0.86357769219668556</v>
      </c>
      <c r="P81" s="44">
        <f t="shared" si="244"/>
        <v>0.95107662596110853</v>
      </c>
      <c r="Q81" s="14">
        <f t="shared" si="244"/>
        <v>0.98210677864899643</v>
      </c>
      <c r="R81" s="13">
        <f t="shared" si="244"/>
        <v>0.89114926923048132</v>
      </c>
      <c r="S81" s="44" t="e">
        <f t="shared" si="244"/>
        <v>#DIV/0!</v>
      </c>
      <c r="T81" s="44">
        <f t="shared" si="244"/>
        <v>0.13078664556667874</v>
      </c>
      <c r="U81" s="14">
        <f t="shared" si="244"/>
        <v>0.13078664556667874</v>
      </c>
      <c r="V81" s="13">
        <f t="shared" si="244"/>
        <v>0.8479176811472926</v>
      </c>
      <c r="W81" s="44" t="e">
        <f t="shared" si="244"/>
        <v>#DIV/0!</v>
      </c>
      <c r="X81" s="44">
        <f t="shared" si="244"/>
        <v>0.24000577502249998</v>
      </c>
      <c r="Y81" s="14">
        <f t="shared" si="244"/>
        <v>0.24000577502249998</v>
      </c>
      <c r="Z81" s="13">
        <f t="shared" si="244"/>
        <v>0.75042604627619303</v>
      </c>
      <c r="AA81" s="44" t="e">
        <f t="shared" si="244"/>
        <v>#DIV/0!</v>
      </c>
      <c r="AB81" s="44">
        <f t="shared" si="244"/>
        <v>0.23449705920195441</v>
      </c>
      <c r="AC81" s="14">
        <f t="shared" si="244"/>
        <v>0.23449705920195441</v>
      </c>
      <c r="AD81" s="13">
        <f t="shared" si="244"/>
        <v>0.65354418966994277</v>
      </c>
      <c r="AE81" s="44" t="e">
        <f t="shared" si="244"/>
        <v>#DIV/0!</v>
      </c>
      <c r="AF81" s="44">
        <f t="shared" si="244"/>
        <v>4.7818870301494232E-2</v>
      </c>
      <c r="AG81" s="14">
        <f t="shared" si="244"/>
        <v>4.7818870301494232E-2</v>
      </c>
      <c r="AH81" s="13">
        <f t="shared" si="244"/>
        <v>0.61728788186972083</v>
      </c>
      <c r="AI81" s="44">
        <f t="shared" si="244"/>
        <v>0.61728788186972083</v>
      </c>
      <c r="AJ81" s="44">
        <f t="shared" si="244"/>
        <v>0.70463859050560895</v>
      </c>
      <c r="AK81" s="14">
        <f t="shared" ref="AK81:BP81" si="245">1 - (1-AK80)^AK32</f>
        <v>0.75588384237102346</v>
      </c>
      <c r="AL81" s="13" t="e">
        <f t="shared" si="245"/>
        <v>#DIV/0!</v>
      </c>
      <c r="AM81" s="44" t="e">
        <f t="shared" si="245"/>
        <v>#DIV/0!</v>
      </c>
      <c r="AN81" s="44" t="e">
        <f t="shared" si="245"/>
        <v>#DIV/0!</v>
      </c>
      <c r="AO81" s="14" t="e">
        <f t="shared" si="245"/>
        <v>#DIV/0!</v>
      </c>
      <c r="AP81" s="13" t="e">
        <f t="shared" si="245"/>
        <v>#DIV/0!</v>
      </c>
      <c r="AQ81" s="44" t="e">
        <f t="shared" si="245"/>
        <v>#DIV/0!</v>
      </c>
      <c r="AR81" s="44" t="e">
        <f t="shared" si="245"/>
        <v>#DIV/0!</v>
      </c>
      <c r="AS81" s="14" t="e">
        <f t="shared" si="245"/>
        <v>#DIV/0!</v>
      </c>
      <c r="AT81" s="13" t="e">
        <f t="shared" si="245"/>
        <v>#DIV/0!</v>
      </c>
      <c r="AU81" s="44" t="e">
        <f t="shared" si="245"/>
        <v>#DIV/0!</v>
      </c>
      <c r="AV81" s="44" t="e">
        <f t="shared" si="245"/>
        <v>#DIV/0!</v>
      </c>
      <c r="AW81" s="14" t="e">
        <f t="shared" si="245"/>
        <v>#DIV/0!</v>
      </c>
      <c r="AX81" s="13" t="e">
        <f t="shared" si="245"/>
        <v>#DIV/0!</v>
      </c>
      <c r="AY81" s="44" t="e">
        <f t="shared" si="245"/>
        <v>#DIV/0!</v>
      </c>
      <c r="AZ81" s="44" t="e">
        <f t="shared" si="245"/>
        <v>#DIV/0!</v>
      </c>
      <c r="BA81" s="14" t="e">
        <f t="shared" si="245"/>
        <v>#DIV/0!</v>
      </c>
      <c r="BB81" s="13" t="e">
        <f t="shared" si="245"/>
        <v>#DIV/0!</v>
      </c>
      <c r="BC81" s="44" t="e">
        <f t="shared" si="245"/>
        <v>#DIV/0!</v>
      </c>
      <c r="BD81" s="44" t="e">
        <f t="shared" si="245"/>
        <v>#DIV/0!</v>
      </c>
      <c r="BE81" s="14" t="e">
        <f t="shared" si="245"/>
        <v>#DIV/0!</v>
      </c>
      <c r="BF81" s="13" t="e">
        <f t="shared" si="245"/>
        <v>#DIV/0!</v>
      </c>
      <c r="BG81" s="44" t="e">
        <f t="shared" si="245"/>
        <v>#DIV/0!</v>
      </c>
      <c r="BH81" s="44" t="e">
        <f t="shared" si="245"/>
        <v>#DIV/0!</v>
      </c>
      <c r="BI81" s="14" t="e">
        <f t="shared" si="245"/>
        <v>#DIV/0!</v>
      </c>
      <c r="BJ81" s="13" t="e">
        <f t="shared" si="245"/>
        <v>#DIV/0!</v>
      </c>
      <c r="BK81" s="44" t="e">
        <f t="shared" si="245"/>
        <v>#DIV/0!</v>
      </c>
      <c r="BL81" s="44" t="e">
        <f t="shared" si="245"/>
        <v>#DIV/0!</v>
      </c>
      <c r="BM81" s="14" t="e">
        <f t="shared" si="245"/>
        <v>#DIV/0!</v>
      </c>
      <c r="BN81" s="13" t="e">
        <f t="shared" si="245"/>
        <v>#DIV/0!</v>
      </c>
      <c r="BO81" s="44" t="e">
        <f t="shared" si="245"/>
        <v>#DIV/0!</v>
      </c>
      <c r="BP81" s="44" t="e">
        <f t="shared" si="245"/>
        <v>#DIV/0!</v>
      </c>
      <c r="BQ81" s="14" t="e">
        <f t="shared" ref="BQ81:CK81" si="246">1 - (1-BQ80)^BQ32</f>
        <v>#DIV/0!</v>
      </c>
      <c r="BR81" s="13" t="e">
        <f t="shared" si="246"/>
        <v>#DIV/0!</v>
      </c>
      <c r="BS81" s="44" t="e">
        <f t="shared" si="246"/>
        <v>#DIV/0!</v>
      </c>
      <c r="BT81" s="44" t="e">
        <f t="shared" si="246"/>
        <v>#DIV/0!</v>
      </c>
      <c r="BU81" s="14" t="e">
        <f t="shared" si="246"/>
        <v>#DIV/0!</v>
      </c>
      <c r="BV81" s="13" t="e">
        <f t="shared" si="246"/>
        <v>#DIV/0!</v>
      </c>
      <c r="BW81" s="44" t="e">
        <f t="shared" si="246"/>
        <v>#DIV/0!</v>
      </c>
      <c r="BX81" s="44" t="e">
        <f t="shared" si="246"/>
        <v>#DIV/0!</v>
      </c>
      <c r="BY81" s="14" t="e">
        <f t="shared" si="246"/>
        <v>#DIV/0!</v>
      </c>
      <c r="BZ81" s="13" t="e">
        <f t="shared" si="246"/>
        <v>#DIV/0!</v>
      </c>
      <c r="CA81" s="44" t="e">
        <f t="shared" si="246"/>
        <v>#DIV/0!</v>
      </c>
      <c r="CB81" s="44" t="e">
        <f t="shared" si="246"/>
        <v>#DIV/0!</v>
      </c>
      <c r="CC81" s="14" t="e">
        <f t="shared" si="246"/>
        <v>#DIV/0!</v>
      </c>
      <c r="CD81" s="13" t="e">
        <f t="shared" si="246"/>
        <v>#DIV/0!</v>
      </c>
      <c r="CE81" s="44" t="e">
        <f t="shared" si="246"/>
        <v>#DIV/0!</v>
      </c>
      <c r="CF81" s="44" t="e">
        <f t="shared" si="246"/>
        <v>#DIV/0!</v>
      </c>
      <c r="CG81" s="14" t="e">
        <f t="shared" si="246"/>
        <v>#DIV/0!</v>
      </c>
      <c r="CH81" s="13" t="e">
        <f t="shared" si="246"/>
        <v>#DIV/0!</v>
      </c>
      <c r="CI81" s="44" t="e">
        <f t="shared" si="246"/>
        <v>#DIV/0!</v>
      </c>
      <c r="CJ81" s="44" t="e">
        <f t="shared" si="246"/>
        <v>#DIV/0!</v>
      </c>
      <c r="CK81" s="14" t="e">
        <f t="shared" si="246"/>
        <v>#DIV/0!</v>
      </c>
      <c r="CL81" s="49"/>
      <c r="CM81" s="28"/>
    </row>
    <row r="82" spans="2:91" ht="14.25" x14ac:dyDescent="0.25">
      <c r="B82" s="55"/>
      <c r="C82" s="10" t="s">
        <v>306</v>
      </c>
      <c r="D82" s="93" t="s">
        <v>496</v>
      </c>
      <c r="E82" s="125" t="e">
        <f t="shared" ref="E82:AJ82" si="247">(1/E76)*(EXP(E76*E75)-E49*E75-1)/E81</f>
        <v>#DIV/0!</v>
      </c>
      <c r="F82" s="13">
        <f t="shared" si="247"/>
        <v>40.035409063819664</v>
      </c>
      <c r="G82" s="44">
        <f t="shared" si="247"/>
        <v>40.035409063819664</v>
      </c>
      <c r="H82" s="44">
        <f t="shared" si="247"/>
        <v>38.380725892883454</v>
      </c>
      <c r="I82" s="14">
        <f t="shared" si="247"/>
        <v>38.380725892883454</v>
      </c>
      <c r="J82" s="13">
        <f t="shared" si="247"/>
        <v>21.315312840306337</v>
      </c>
      <c r="K82" s="44" t="e">
        <f t="shared" si="247"/>
        <v>#DIV/0!</v>
      </c>
      <c r="L82" s="44">
        <f t="shared" si="247"/>
        <v>-937.57731674253046</v>
      </c>
      <c r="M82" s="14">
        <f t="shared" si="247"/>
        <v>-937.57731674253046</v>
      </c>
      <c r="N82" s="13">
        <f t="shared" si="247"/>
        <v>14.211440046820572</v>
      </c>
      <c r="O82" s="44">
        <f t="shared" si="247"/>
        <v>17.11568603477167</v>
      </c>
      <c r="P82" s="44">
        <f t="shared" si="247"/>
        <v>54.190937361329347</v>
      </c>
      <c r="Q82" s="14">
        <f t="shared" si="247"/>
        <v>157.94251252233039</v>
      </c>
      <c r="R82" s="13">
        <f t="shared" si="247"/>
        <v>32.356513341402781</v>
      </c>
      <c r="S82" s="44" t="e">
        <f t="shared" si="247"/>
        <v>#DIV/0!</v>
      </c>
      <c r="T82" s="44">
        <f t="shared" si="247"/>
        <v>-461.11109684446529</v>
      </c>
      <c r="U82" s="14">
        <f t="shared" si="247"/>
        <v>-461.11109684446529</v>
      </c>
      <c r="V82" s="13">
        <f t="shared" si="247"/>
        <v>25.255638211451419</v>
      </c>
      <c r="W82" s="44" t="e">
        <f t="shared" si="247"/>
        <v>#DIV/0!</v>
      </c>
      <c r="X82" s="44">
        <f t="shared" si="247"/>
        <v>-362.4790804690997</v>
      </c>
      <c r="Y82" s="14">
        <f t="shared" si="247"/>
        <v>-362.4790804690997</v>
      </c>
      <c r="Z82" s="13">
        <f t="shared" si="247"/>
        <v>18.738600579104379</v>
      </c>
      <c r="AA82" s="44" t="e">
        <f t="shared" si="247"/>
        <v>#DIV/0!</v>
      </c>
      <c r="AB82" s="44">
        <f t="shared" si="247"/>
        <v>-98.203543671881278</v>
      </c>
      <c r="AC82" s="14">
        <f t="shared" si="247"/>
        <v>-98.203543671881278</v>
      </c>
      <c r="AD82" s="13">
        <f t="shared" si="247"/>
        <v>15.933766772876721</v>
      </c>
      <c r="AE82" s="44" t="e">
        <f t="shared" si="247"/>
        <v>#DIV/0!</v>
      </c>
      <c r="AF82" s="44">
        <f t="shared" si="247"/>
        <v>-2857.5141340745272</v>
      </c>
      <c r="AG82" s="14">
        <f t="shared" si="247"/>
        <v>-2857.5141340745272</v>
      </c>
      <c r="AH82" s="13">
        <f t="shared" si="247"/>
        <v>3.1134014113562865</v>
      </c>
      <c r="AI82" s="44">
        <f t="shared" si="247"/>
        <v>3.1134014113562865</v>
      </c>
      <c r="AJ82" s="44">
        <f t="shared" si="247"/>
        <v>11.319529311205866</v>
      </c>
      <c r="AK82" s="14">
        <f t="shared" ref="AK82:BP82" si="248">(1/AK76)*(EXP(AK76*AK75)-AK49*AK75-1)/AK81</f>
        <v>14.547250977469062</v>
      </c>
      <c r="AL82" s="13" t="e">
        <f t="shared" si="248"/>
        <v>#DIV/0!</v>
      </c>
      <c r="AM82" s="44" t="e">
        <f t="shared" si="248"/>
        <v>#DIV/0!</v>
      </c>
      <c r="AN82" s="44" t="e">
        <f t="shared" si="248"/>
        <v>#DIV/0!</v>
      </c>
      <c r="AO82" s="14" t="e">
        <f t="shared" si="248"/>
        <v>#DIV/0!</v>
      </c>
      <c r="AP82" s="13" t="e">
        <f t="shared" si="248"/>
        <v>#DIV/0!</v>
      </c>
      <c r="AQ82" s="44" t="e">
        <f t="shared" si="248"/>
        <v>#DIV/0!</v>
      </c>
      <c r="AR82" s="44" t="e">
        <f t="shared" si="248"/>
        <v>#DIV/0!</v>
      </c>
      <c r="AS82" s="14" t="e">
        <f t="shared" si="248"/>
        <v>#DIV/0!</v>
      </c>
      <c r="AT82" s="13" t="e">
        <f t="shared" si="248"/>
        <v>#DIV/0!</v>
      </c>
      <c r="AU82" s="44" t="e">
        <f t="shared" si="248"/>
        <v>#DIV/0!</v>
      </c>
      <c r="AV82" s="44" t="e">
        <f t="shared" si="248"/>
        <v>#DIV/0!</v>
      </c>
      <c r="AW82" s="14" t="e">
        <f t="shared" si="248"/>
        <v>#DIV/0!</v>
      </c>
      <c r="AX82" s="13" t="e">
        <f t="shared" si="248"/>
        <v>#DIV/0!</v>
      </c>
      <c r="AY82" s="44" t="e">
        <f t="shared" si="248"/>
        <v>#DIV/0!</v>
      </c>
      <c r="AZ82" s="44" t="e">
        <f t="shared" si="248"/>
        <v>#DIV/0!</v>
      </c>
      <c r="BA82" s="14" t="e">
        <f t="shared" si="248"/>
        <v>#DIV/0!</v>
      </c>
      <c r="BB82" s="13" t="e">
        <f t="shared" si="248"/>
        <v>#DIV/0!</v>
      </c>
      <c r="BC82" s="44" t="e">
        <f t="shared" si="248"/>
        <v>#DIV/0!</v>
      </c>
      <c r="BD82" s="44" t="e">
        <f t="shared" si="248"/>
        <v>#DIV/0!</v>
      </c>
      <c r="BE82" s="14" t="e">
        <f t="shared" si="248"/>
        <v>#DIV/0!</v>
      </c>
      <c r="BF82" s="13" t="e">
        <f t="shared" si="248"/>
        <v>#DIV/0!</v>
      </c>
      <c r="BG82" s="44" t="e">
        <f t="shared" si="248"/>
        <v>#DIV/0!</v>
      </c>
      <c r="BH82" s="44" t="e">
        <f t="shared" si="248"/>
        <v>#DIV/0!</v>
      </c>
      <c r="BI82" s="14" t="e">
        <f t="shared" si="248"/>
        <v>#DIV/0!</v>
      </c>
      <c r="BJ82" s="13" t="e">
        <f t="shared" si="248"/>
        <v>#DIV/0!</v>
      </c>
      <c r="BK82" s="44" t="e">
        <f t="shared" si="248"/>
        <v>#DIV/0!</v>
      </c>
      <c r="BL82" s="44" t="e">
        <f t="shared" si="248"/>
        <v>#DIV/0!</v>
      </c>
      <c r="BM82" s="14" t="e">
        <f t="shared" si="248"/>
        <v>#DIV/0!</v>
      </c>
      <c r="BN82" s="13" t="e">
        <f t="shared" si="248"/>
        <v>#DIV/0!</v>
      </c>
      <c r="BO82" s="44" t="e">
        <f t="shared" si="248"/>
        <v>#DIV/0!</v>
      </c>
      <c r="BP82" s="44" t="e">
        <f t="shared" si="248"/>
        <v>#DIV/0!</v>
      </c>
      <c r="BQ82" s="14" t="e">
        <f t="shared" ref="BQ82:CK82" si="249">(1/BQ76)*(EXP(BQ76*BQ75)-BQ49*BQ75-1)/BQ81</f>
        <v>#DIV/0!</v>
      </c>
      <c r="BR82" s="13" t="e">
        <f t="shared" si="249"/>
        <v>#DIV/0!</v>
      </c>
      <c r="BS82" s="44" t="e">
        <f t="shared" si="249"/>
        <v>#DIV/0!</v>
      </c>
      <c r="BT82" s="44" t="e">
        <f t="shared" si="249"/>
        <v>#DIV/0!</v>
      </c>
      <c r="BU82" s="14" t="e">
        <f t="shared" si="249"/>
        <v>#DIV/0!</v>
      </c>
      <c r="BV82" s="13" t="e">
        <f t="shared" si="249"/>
        <v>#DIV/0!</v>
      </c>
      <c r="BW82" s="44" t="e">
        <f t="shared" si="249"/>
        <v>#DIV/0!</v>
      </c>
      <c r="BX82" s="44" t="e">
        <f t="shared" si="249"/>
        <v>#DIV/0!</v>
      </c>
      <c r="BY82" s="14" t="e">
        <f t="shared" si="249"/>
        <v>#DIV/0!</v>
      </c>
      <c r="BZ82" s="13" t="e">
        <f t="shared" si="249"/>
        <v>#DIV/0!</v>
      </c>
      <c r="CA82" s="44" t="e">
        <f t="shared" si="249"/>
        <v>#DIV/0!</v>
      </c>
      <c r="CB82" s="44" t="e">
        <f t="shared" si="249"/>
        <v>#DIV/0!</v>
      </c>
      <c r="CC82" s="14" t="e">
        <f t="shared" si="249"/>
        <v>#DIV/0!</v>
      </c>
      <c r="CD82" s="13" t="e">
        <f t="shared" si="249"/>
        <v>#DIV/0!</v>
      </c>
      <c r="CE82" s="44" t="e">
        <f t="shared" si="249"/>
        <v>#DIV/0!</v>
      </c>
      <c r="CF82" s="44" t="e">
        <f t="shared" si="249"/>
        <v>#DIV/0!</v>
      </c>
      <c r="CG82" s="14" t="e">
        <f t="shared" si="249"/>
        <v>#DIV/0!</v>
      </c>
      <c r="CH82" s="13" t="e">
        <f t="shared" si="249"/>
        <v>#DIV/0!</v>
      </c>
      <c r="CI82" s="44" t="e">
        <f t="shared" si="249"/>
        <v>#DIV/0!</v>
      </c>
      <c r="CJ82" s="44" t="e">
        <f t="shared" si="249"/>
        <v>#DIV/0!</v>
      </c>
      <c r="CK82" s="14" t="e">
        <f t="shared" si="249"/>
        <v>#DIV/0!</v>
      </c>
      <c r="CL82" s="49"/>
      <c r="CM82" s="28"/>
    </row>
    <row r="83" spans="2:91" x14ac:dyDescent="0.25">
      <c r="B83" s="55"/>
      <c r="C83" s="10" t="s">
        <v>287</v>
      </c>
      <c r="D83" s="93" t="s">
        <v>497</v>
      </c>
      <c r="E83" s="125">
        <f t="shared" ref="E83:AJ83" si="250">((1/E76) - (E90+(1/E76))*EXP(-E76*E90))/(1-EXP(-E76*E90))</f>
        <v>1.3755177523896056</v>
      </c>
      <c r="F83" s="13">
        <f t="shared" si="250"/>
        <v>2.6233328749445941</v>
      </c>
      <c r="G83" s="44">
        <f t="shared" si="250"/>
        <v>2.6233328749445941</v>
      </c>
      <c r="H83" s="44">
        <f t="shared" si="250"/>
        <v>2.5757572784913623</v>
      </c>
      <c r="I83" s="14">
        <f t="shared" si="250"/>
        <v>2.5757572784913623</v>
      </c>
      <c r="J83" s="13">
        <f t="shared" si="250"/>
        <v>2.8855901613648549</v>
      </c>
      <c r="K83" s="44" t="e">
        <f t="shared" si="250"/>
        <v>#DIV/0!</v>
      </c>
      <c r="L83" s="44">
        <f t="shared" si="250"/>
        <v>3.9333444417996333</v>
      </c>
      <c r="M83" s="14">
        <f t="shared" si="250"/>
        <v>3.9333444417996333</v>
      </c>
      <c r="N83" s="13">
        <f t="shared" si="250"/>
        <v>2.9934378183914143</v>
      </c>
      <c r="O83" s="44">
        <f t="shared" si="250"/>
        <v>3.4529872901147054</v>
      </c>
      <c r="P83" s="44">
        <f t="shared" si="250"/>
        <v>2.3669494588766979</v>
      </c>
      <c r="Q83" s="14">
        <f t="shared" si="250"/>
        <v>2.4352635970513732</v>
      </c>
      <c r="R83" s="13">
        <f t="shared" si="250"/>
        <v>2.154403558665988</v>
      </c>
      <c r="S83" s="44" t="e">
        <f t="shared" si="250"/>
        <v>#DIV/0!</v>
      </c>
      <c r="T83" s="44">
        <f t="shared" si="250"/>
        <v>3.8711913327254162</v>
      </c>
      <c r="U83" s="14">
        <f t="shared" si="250"/>
        <v>3.8711913327254162</v>
      </c>
      <c r="V83" s="13">
        <f t="shared" si="250"/>
        <v>3.1582265936707863</v>
      </c>
      <c r="W83" s="44" t="e">
        <f t="shared" si="250"/>
        <v>#DIV/0!</v>
      </c>
      <c r="X83" s="44">
        <f t="shared" si="250"/>
        <v>3.6263827642894957</v>
      </c>
      <c r="Y83" s="14">
        <f t="shared" si="250"/>
        <v>3.6263827642894957</v>
      </c>
      <c r="Z83" s="13">
        <f t="shared" si="250"/>
        <v>2.588384621242398</v>
      </c>
      <c r="AA83" s="44" t="e">
        <f t="shared" si="250"/>
        <v>#DIV/0!</v>
      </c>
      <c r="AB83" s="44">
        <f t="shared" si="250"/>
        <v>3.4226588035274736</v>
      </c>
      <c r="AC83" s="14">
        <f t="shared" si="250"/>
        <v>3.4226588035274736</v>
      </c>
      <c r="AD83" s="13">
        <f t="shared" si="250"/>
        <v>2.5773939234756962</v>
      </c>
      <c r="AE83" s="44" t="e">
        <f t="shared" si="250"/>
        <v>#DIV/0!</v>
      </c>
      <c r="AF83" s="44">
        <f t="shared" si="250"/>
        <v>2.976667513536114</v>
      </c>
      <c r="AG83" s="14">
        <f t="shared" si="250"/>
        <v>2.976667513536114</v>
      </c>
      <c r="AH83" s="13">
        <f t="shared" si="250"/>
        <v>2.7439193458784001</v>
      </c>
      <c r="AI83" s="44">
        <f t="shared" si="250"/>
        <v>3.092752773571803</v>
      </c>
      <c r="AJ83" s="44">
        <f t="shared" si="250"/>
        <v>2.7729112231525117</v>
      </c>
      <c r="AK83" s="14">
        <f t="shared" ref="AK83:BP83" si="251">((1/AK76) - (AK90+(1/AK76))*EXP(-AK76*AK90))/(1-EXP(-AK76*AK90))</f>
        <v>2.7729112231525117</v>
      </c>
      <c r="AL83" s="13" t="e">
        <f t="shared" si="251"/>
        <v>#DIV/0!</v>
      </c>
      <c r="AM83" s="44" t="e">
        <f t="shared" si="251"/>
        <v>#DIV/0!</v>
      </c>
      <c r="AN83" s="44" t="e">
        <f t="shared" si="251"/>
        <v>#DIV/0!</v>
      </c>
      <c r="AO83" s="14" t="e">
        <f t="shared" si="251"/>
        <v>#DIV/0!</v>
      </c>
      <c r="AP83" s="13" t="e">
        <f t="shared" si="251"/>
        <v>#DIV/0!</v>
      </c>
      <c r="AQ83" s="44" t="e">
        <f t="shared" si="251"/>
        <v>#DIV/0!</v>
      </c>
      <c r="AR83" s="44" t="e">
        <f t="shared" si="251"/>
        <v>#DIV/0!</v>
      </c>
      <c r="AS83" s="14" t="e">
        <f t="shared" si="251"/>
        <v>#DIV/0!</v>
      </c>
      <c r="AT83" s="13" t="e">
        <f t="shared" si="251"/>
        <v>#DIV/0!</v>
      </c>
      <c r="AU83" s="44" t="e">
        <f t="shared" si="251"/>
        <v>#DIV/0!</v>
      </c>
      <c r="AV83" s="44" t="e">
        <f t="shared" si="251"/>
        <v>#DIV/0!</v>
      </c>
      <c r="AW83" s="14" t="e">
        <f t="shared" si="251"/>
        <v>#DIV/0!</v>
      </c>
      <c r="AX83" s="13" t="e">
        <f t="shared" si="251"/>
        <v>#DIV/0!</v>
      </c>
      <c r="AY83" s="44" t="e">
        <f t="shared" si="251"/>
        <v>#DIV/0!</v>
      </c>
      <c r="AZ83" s="44" t="e">
        <f t="shared" si="251"/>
        <v>#DIV/0!</v>
      </c>
      <c r="BA83" s="14" t="e">
        <f t="shared" si="251"/>
        <v>#DIV/0!</v>
      </c>
      <c r="BB83" s="13" t="e">
        <f t="shared" si="251"/>
        <v>#DIV/0!</v>
      </c>
      <c r="BC83" s="44" t="e">
        <f t="shared" si="251"/>
        <v>#DIV/0!</v>
      </c>
      <c r="BD83" s="44" t="e">
        <f t="shared" si="251"/>
        <v>#DIV/0!</v>
      </c>
      <c r="BE83" s="14" t="e">
        <f t="shared" si="251"/>
        <v>#DIV/0!</v>
      </c>
      <c r="BF83" s="13" t="e">
        <f t="shared" si="251"/>
        <v>#DIV/0!</v>
      </c>
      <c r="BG83" s="44" t="e">
        <f t="shared" si="251"/>
        <v>#DIV/0!</v>
      </c>
      <c r="BH83" s="44" t="e">
        <f t="shared" si="251"/>
        <v>#DIV/0!</v>
      </c>
      <c r="BI83" s="14" t="e">
        <f t="shared" si="251"/>
        <v>#DIV/0!</v>
      </c>
      <c r="BJ83" s="13" t="e">
        <f t="shared" si="251"/>
        <v>#DIV/0!</v>
      </c>
      <c r="BK83" s="44" t="e">
        <f t="shared" si="251"/>
        <v>#DIV/0!</v>
      </c>
      <c r="BL83" s="44" t="e">
        <f t="shared" si="251"/>
        <v>#DIV/0!</v>
      </c>
      <c r="BM83" s="14" t="e">
        <f t="shared" si="251"/>
        <v>#DIV/0!</v>
      </c>
      <c r="BN83" s="13" t="e">
        <f t="shared" si="251"/>
        <v>#DIV/0!</v>
      </c>
      <c r="BO83" s="44" t="e">
        <f t="shared" si="251"/>
        <v>#DIV/0!</v>
      </c>
      <c r="BP83" s="44" t="e">
        <f t="shared" si="251"/>
        <v>#DIV/0!</v>
      </c>
      <c r="BQ83" s="14" t="e">
        <f t="shared" ref="BQ83:CK83" si="252">((1/BQ76) - (BQ90+(1/BQ76))*EXP(-BQ76*BQ90))/(1-EXP(-BQ76*BQ90))</f>
        <v>#DIV/0!</v>
      </c>
      <c r="BR83" s="13" t="e">
        <f t="shared" si="252"/>
        <v>#DIV/0!</v>
      </c>
      <c r="BS83" s="44" t="e">
        <f t="shared" si="252"/>
        <v>#DIV/0!</v>
      </c>
      <c r="BT83" s="44" t="e">
        <f t="shared" si="252"/>
        <v>#DIV/0!</v>
      </c>
      <c r="BU83" s="14" t="e">
        <f t="shared" si="252"/>
        <v>#DIV/0!</v>
      </c>
      <c r="BV83" s="13" t="e">
        <f t="shared" si="252"/>
        <v>#DIV/0!</v>
      </c>
      <c r="BW83" s="44" t="e">
        <f t="shared" si="252"/>
        <v>#DIV/0!</v>
      </c>
      <c r="BX83" s="44" t="e">
        <f t="shared" si="252"/>
        <v>#DIV/0!</v>
      </c>
      <c r="BY83" s="14" t="e">
        <f t="shared" si="252"/>
        <v>#DIV/0!</v>
      </c>
      <c r="BZ83" s="13" t="e">
        <f t="shared" si="252"/>
        <v>#DIV/0!</v>
      </c>
      <c r="CA83" s="44" t="e">
        <f t="shared" si="252"/>
        <v>#DIV/0!</v>
      </c>
      <c r="CB83" s="44" t="e">
        <f t="shared" si="252"/>
        <v>#DIV/0!</v>
      </c>
      <c r="CC83" s="14" t="e">
        <f t="shared" si="252"/>
        <v>#DIV/0!</v>
      </c>
      <c r="CD83" s="13" t="e">
        <f t="shared" si="252"/>
        <v>#DIV/0!</v>
      </c>
      <c r="CE83" s="44" t="e">
        <f t="shared" si="252"/>
        <v>#DIV/0!</v>
      </c>
      <c r="CF83" s="44" t="e">
        <f t="shared" si="252"/>
        <v>#DIV/0!</v>
      </c>
      <c r="CG83" s="14" t="e">
        <f t="shared" si="252"/>
        <v>#DIV/0!</v>
      </c>
      <c r="CH83" s="13" t="e">
        <f t="shared" si="252"/>
        <v>#DIV/0!</v>
      </c>
      <c r="CI83" s="44" t="e">
        <f t="shared" si="252"/>
        <v>#DIV/0!</v>
      </c>
      <c r="CJ83" s="44" t="e">
        <f t="shared" si="252"/>
        <v>#DIV/0!</v>
      </c>
      <c r="CK83" s="14" t="e">
        <f t="shared" si="252"/>
        <v>#DIV/0!</v>
      </c>
      <c r="CL83" s="49"/>
      <c r="CM83" s="28"/>
    </row>
    <row r="84" spans="2:91" x14ac:dyDescent="0.25">
      <c r="B84" s="55"/>
      <c r="C84" s="10" t="s">
        <v>286</v>
      </c>
      <c r="D84" s="93" t="s">
        <v>296</v>
      </c>
      <c r="E84" s="125">
        <f t="shared" ref="E84:AJ84" si="253">ROUND(1/EXP(-E76*E79),0)</f>
        <v>2</v>
      </c>
      <c r="F84" s="13">
        <f t="shared" si="253"/>
        <v>15</v>
      </c>
      <c r="G84" s="44">
        <f t="shared" si="253"/>
        <v>15</v>
      </c>
      <c r="H84" s="44">
        <f t="shared" si="253"/>
        <v>15</v>
      </c>
      <c r="I84" s="14">
        <f t="shared" si="253"/>
        <v>15</v>
      </c>
      <c r="J84" s="13">
        <f t="shared" si="253"/>
        <v>3</v>
      </c>
      <c r="K84" s="44" t="e">
        <f t="shared" si="253"/>
        <v>#DIV/0!</v>
      </c>
      <c r="L84" s="44">
        <f t="shared" si="253"/>
        <v>1</v>
      </c>
      <c r="M84" s="14">
        <f t="shared" si="253"/>
        <v>1</v>
      </c>
      <c r="N84" s="13">
        <f t="shared" si="253"/>
        <v>7</v>
      </c>
      <c r="O84" s="44">
        <f t="shared" si="253"/>
        <v>7</v>
      </c>
      <c r="P84" s="44">
        <f t="shared" si="253"/>
        <v>20</v>
      </c>
      <c r="Q84" s="14">
        <f t="shared" si="253"/>
        <v>56</v>
      </c>
      <c r="R84" s="13">
        <f t="shared" si="253"/>
        <v>9</v>
      </c>
      <c r="S84" s="44" t="e">
        <f t="shared" si="253"/>
        <v>#DIV/0!</v>
      </c>
      <c r="T84" s="44">
        <f t="shared" si="253"/>
        <v>1</v>
      </c>
      <c r="U84" s="14">
        <f t="shared" si="253"/>
        <v>1</v>
      </c>
      <c r="V84" s="13">
        <f t="shared" si="253"/>
        <v>7</v>
      </c>
      <c r="W84" s="44" t="e">
        <f t="shared" si="253"/>
        <v>#DIV/0!</v>
      </c>
      <c r="X84" s="44">
        <f t="shared" si="253"/>
        <v>1</v>
      </c>
      <c r="Y84" s="14">
        <f t="shared" si="253"/>
        <v>1</v>
      </c>
      <c r="Z84" s="13">
        <f t="shared" si="253"/>
        <v>4</v>
      </c>
      <c r="AA84" s="44" t="e">
        <f t="shared" si="253"/>
        <v>#DIV/0!</v>
      </c>
      <c r="AB84" s="44">
        <f t="shared" si="253"/>
        <v>1</v>
      </c>
      <c r="AC84" s="14">
        <f t="shared" si="253"/>
        <v>1</v>
      </c>
      <c r="AD84" s="13">
        <f t="shared" si="253"/>
        <v>3</v>
      </c>
      <c r="AE84" s="44" t="e">
        <f t="shared" si="253"/>
        <v>#DIV/0!</v>
      </c>
      <c r="AF84" s="44">
        <f t="shared" si="253"/>
        <v>1</v>
      </c>
      <c r="AG84" s="14">
        <f t="shared" si="253"/>
        <v>1</v>
      </c>
      <c r="AH84" s="13">
        <f t="shared" si="253"/>
        <v>3</v>
      </c>
      <c r="AI84" s="44">
        <f t="shared" si="253"/>
        <v>3</v>
      </c>
      <c r="AJ84" s="44">
        <f t="shared" si="253"/>
        <v>3</v>
      </c>
      <c r="AK84" s="14">
        <f t="shared" ref="AK84:BP84" si="254">ROUND(1/EXP(-AK76*AK79),0)</f>
        <v>4</v>
      </c>
      <c r="AL84" s="13" t="e">
        <f t="shared" si="254"/>
        <v>#DIV/0!</v>
      </c>
      <c r="AM84" s="44" t="e">
        <f t="shared" si="254"/>
        <v>#DIV/0!</v>
      </c>
      <c r="AN84" s="44" t="e">
        <f t="shared" si="254"/>
        <v>#DIV/0!</v>
      </c>
      <c r="AO84" s="14" t="e">
        <f t="shared" si="254"/>
        <v>#DIV/0!</v>
      </c>
      <c r="AP84" s="13" t="e">
        <f t="shared" si="254"/>
        <v>#DIV/0!</v>
      </c>
      <c r="AQ84" s="44" t="e">
        <f t="shared" si="254"/>
        <v>#DIV/0!</v>
      </c>
      <c r="AR84" s="44" t="e">
        <f t="shared" si="254"/>
        <v>#DIV/0!</v>
      </c>
      <c r="AS84" s="14" t="e">
        <f t="shared" si="254"/>
        <v>#DIV/0!</v>
      </c>
      <c r="AT84" s="13" t="e">
        <f t="shared" si="254"/>
        <v>#DIV/0!</v>
      </c>
      <c r="AU84" s="44" t="e">
        <f t="shared" si="254"/>
        <v>#DIV/0!</v>
      </c>
      <c r="AV84" s="44" t="e">
        <f t="shared" si="254"/>
        <v>#DIV/0!</v>
      </c>
      <c r="AW84" s="14" t="e">
        <f t="shared" si="254"/>
        <v>#DIV/0!</v>
      </c>
      <c r="AX84" s="13" t="e">
        <f t="shared" si="254"/>
        <v>#DIV/0!</v>
      </c>
      <c r="AY84" s="44" t="e">
        <f t="shared" si="254"/>
        <v>#DIV/0!</v>
      </c>
      <c r="AZ84" s="44" t="e">
        <f t="shared" si="254"/>
        <v>#DIV/0!</v>
      </c>
      <c r="BA84" s="14" t="e">
        <f t="shared" si="254"/>
        <v>#DIV/0!</v>
      </c>
      <c r="BB84" s="13" t="e">
        <f t="shared" si="254"/>
        <v>#DIV/0!</v>
      </c>
      <c r="BC84" s="44" t="e">
        <f t="shared" si="254"/>
        <v>#DIV/0!</v>
      </c>
      <c r="BD84" s="44" t="e">
        <f t="shared" si="254"/>
        <v>#DIV/0!</v>
      </c>
      <c r="BE84" s="14" t="e">
        <f t="shared" si="254"/>
        <v>#DIV/0!</v>
      </c>
      <c r="BF84" s="13" t="e">
        <f t="shared" si="254"/>
        <v>#DIV/0!</v>
      </c>
      <c r="BG84" s="44" t="e">
        <f t="shared" si="254"/>
        <v>#DIV/0!</v>
      </c>
      <c r="BH84" s="44" t="e">
        <f t="shared" si="254"/>
        <v>#DIV/0!</v>
      </c>
      <c r="BI84" s="14" t="e">
        <f t="shared" si="254"/>
        <v>#DIV/0!</v>
      </c>
      <c r="BJ84" s="13" t="e">
        <f t="shared" si="254"/>
        <v>#DIV/0!</v>
      </c>
      <c r="BK84" s="44" t="e">
        <f t="shared" si="254"/>
        <v>#DIV/0!</v>
      </c>
      <c r="BL84" s="44" t="e">
        <f t="shared" si="254"/>
        <v>#DIV/0!</v>
      </c>
      <c r="BM84" s="14" t="e">
        <f t="shared" si="254"/>
        <v>#DIV/0!</v>
      </c>
      <c r="BN84" s="13" t="e">
        <f t="shared" si="254"/>
        <v>#DIV/0!</v>
      </c>
      <c r="BO84" s="44" t="e">
        <f t="shared" si="254"/>
        <v>#DIV/0!</v>
      </c>
      <c r="BP84" s="44" t="e">
        <f t="shared" si="254"/>
        <v>#DIV/0!</v>
      </c>
      <c r="BQ84" s="14" t="e">
        <f t="shared" ref="BQ84:CK84" si="255">ROUND(1/EXP(-BQ76*BQ79),0)</f>
        <v>#DIV/0!</v>
      </c>
      <c r="BR84" s="13" t="e">
        <f t="shared" si="255"/>
        <v>#DIV/0!</v>
      </c>
      <c r="BS84" s="44" t="e">
        <f t="shared" si="255"/>
        <v>#DIV/0!</v>
      </c>
      <c r="BT84" s="44" t="e">
        <f t="shared" si="255"/>
        <v>#DIV/0!</v>
      </c>
      <c r="BU84" s="14" t="e">
        <f t="shared" si="255"/>
        <v>#DIV/0!</v>
      </c>
      <c r="BV84" s="13" t="e">
        <f t="shared" si="255"/>
        <v>#DIV/0!</v>
      </c>
      <c r="BW84" s="44" t="e">
        <f t="shared" si="255"/>
        <v>#DIV/0!</v>
      </c>
      <c r="BX84" s="44" t="e">
        <f t="shared" si="255"/>
        <v>#DIV/0!</v>
      </c>
      <c r="BY84" s="14" t="e">
        <f t="shared" si="255"/>
        <v>#DIV/0!</v>
      </c>
      <c r="BZ84" s="13" t="e">
        <f t="shared" si="255"/>
        <v>#DIV/0!</v>
      </c>
      <c r="CA84" s="44" t="e">
        <f t="shared" si="255"/>
        <v>#DIV/0!</v>
      </c>
      <c r="CB84" s="44" t="e">
        <f t="shared" si="255"/>
        <v>#DIV/0!</v>
      </c>
      <c r="CC84" s="14" t="e">
        <f t="shared" si="255"/>
        <v>#DIV/0!</v>
      </c>
      <c r="CD84" s="13" t="e">
        <f t="shared" si="255"/>
        <v>#DIV/0!</v>
      </c>
      <c r="CE84" s="44" t="e">
        <f t="shared" si="255"/>
        <v>#DIV/0!</v>
      </c>
      <c r="CF84" s="44" t="e">
        <f t="shared" si="255"/>
        <v>#DIV/0!</v>
      </c>
      <c r="CG84" s="14" t="e">
        <f t="shared" si="255"/>
        <v>#DIV/0!</v>
      </c>
      <c r="CH84" s="13" t="e">
        <f t="shared" si="255"/>
        <v>#DIV/0!</v>
      </c>
      <c r="CI84" s="44" t="e">
        <f t="shared" si="255"/>
        <v>#DIV/0!</v>
      </c>
      <c r="CJ84" s="44" t="e">
        <f t="shared" si="255"/>
        <v>#DIV/0!</v>
      </c>
      <c r="CK84" s="14" t="e">
        <f t="shared" si="255"/>
        <v>#DIV/0!</v>
      </c>
      <c r="CL84" s="49"/>
      <c r="CM84" s="28"/>
    </row>
    <row r="85" spans="2:91" ht="14.25" x14ac:dyDescent="0.25">
      <c r="B85" s="55"/>
      <c r="C85" s="205" t="s">
        <v>510</v>
      </c>
      <c r="D85" s="178" t="s">
        <v>511</v>
      </c>
      <c r="E85" s="126" t="e">
        <f t="shared" ref="E85:AJ85" si="256">ONESTAGELEFT_BIKE_DELAY(E10,E84,E83,E80,E81,E39,E82)</f>
        <v>#VALUE!</v>
      </c>
      <c r="F85" s="13">
        <f t="shared" si="256"/>
        <v>37.337474479910682</v>
      </c>
      <c r="G85" s="44">
        <f t="shared" si="256"/>
        <v>37.337474479910682</v>
      </c>
      <c r="H85" s="44">
        <f t="shared" si="256"/>
        <v>35.868785790543207</v>
      </c>
      <c r="I85" s="14">
        <f t="shared" si="256"/>
        <v>35.868785790543207</v>
      </c>
      <c r="J85" s="13">
        <f t="shared" si="256"/>
        <v>15.064202762380551</v>
      </c>
      <c r="K85" s="44" t="e">
        <f t="shared" si="256"/>
        <v>#VALUE!</v>
      </c>
      <c r="L85" s="44">
        <f t="shared" si="256"/>
        <v>-78.141536622992476</v>
      </c>
      <c r="M85" s="14">
        <f t="shared" si="256"/>
        <v>-78.551285511230517</v>
      </c>
      <c r="N85" s="13">
        <f t="shared" si="256"/>
        <v>12.025497127778353</v>
      </c>
      <c r="O85" s="44">
        <f t="shared" si="256"/>
        <v>14.780724646271159</v>
      </c>
      <c r="P85" s="44">
        <f t="shared" si="256"/>
        <v>51.539733863282891</v>
      </c>
      <c r="Q85" s="14">
        <f t="shared" si="256"/>
        <v>155.11641218503468</v>
      </c>
      <c r="R85" s="13">
        <f t="shared" si="256"/>
        <v>15.649649249881946</v>
      </c>
      <c r="S85" s="44" t="e">
        <f t="shared" si="256"/>
        <v>#VALUE!</v>
      </c>
      <c r="T85" s="44">
        <f t="shared" si="256"/>
        <v>-59.846927799270993</v>
      </c>
      <c r="U85" s="14">
        <f t="shared" si="256"/>
        <v>-60.307173589859559</v>
      </c>
      <c r="V85" s="13">
        <f t="shared" si="256"/>
        <v>21.414702188148844</v>
      </c>
      <c r="W85" s="44" t="e">
        <f t="shared" si="256"/>
        <v>#VALUE!</v>
      </c>
      <c r="X85" s="44">
        <f t="shared" si="256"/>
        <v>-86.997072637429412</v>
      </c>
      <c r="Y85" s="14">
        <f t="shared" si="256"/>
        <v>-86.997072637429412</v>
      </c>
      <c r="Z85" s="13">
        <f t="shared" si="256"/>
        <v>14.06193394532608</v>
      </c>
      <c r="AA85" s="44" t="e">
        <f t="shared" si="256"/>
        <v>#VALUE!</v>
      </c>
      <c r="AB85" s="44">
        <f t="shared" si="256"/>
        <v>-22.877552907602645</v>
      </c>
      <c r="AC85" s="14">
        <f t="shared" si="256"/>
        <v>-23.028442194266859</v>
      </c>
      <c r="AD85" s="13">
        <f t="shared" si="256"/>
        <v>10.171823547875402</v>
      </c>
      <c r="AE85" s="44" t="e">
        <f t="shared" si="256"/>
        <v>#VALUE!</v>
      </c>
      <c r="AF85" s="44">
        <f t="shared" si="256"/>
        <v>-135.79588657941298</v>
      </c>
      <c r="AG85" s="14">
        <f t="shared" si="256"/>
        <v>-136.64309776199642</v>
      </c>
      <c r="AH85" s="13">
        <f t="shared" si="256"/>
        <v>1.9218649626263216</v>
      </c>
      <c r="AI85" s="44">
        <f t="shared" si="256"/>
        <v>1.9218649626263216</v>
      </c>
      <c r="AJ85" s="44">
        <f t="shared" si="256"/>
        <v>7.830634132955951</v>
      </c>
      <c r="AK85" s="14">
        <f t="shared" ref="AK85:BP85" si="257">ONESTAGELEFT_BIKE_DELAY(AK10,AK84,AK83,AK80,AK81,AK39,AK82)</f>
        <v>10.776840629418324</v>
      </c>
      <c r="AL85" s="13" t="e">
        <f t="shared" si="257"/>
        <v>#VALUE!</v>
      </c>
      <c r="AM85" s="44" t="e">
        <f t="shared" si="257"/>
        <v>#VALUE!</v>
      </c>
      <c r="AN85" s="44" t="e">
        <f t="shared" si="257"/>
        <v>#VALUE!</v>
      </c>
      <c r="AO85" s="14" t="e">
        <f t="shared" si="257"/>
        <v>#VALUE!</v>
      </c>
      <c r="AP85" s="13" t="e">
        <f t="shared" si="257"/>
        <v>#VALUE!</v>
      </c>
      <c r="AQ85" s="44" t="e">
        <f t="shared" si="257"/>
        <v>#VALUE!</v>
      </c>
      <c r="AR85" s="44" t="e">
        <f t="shared" si="257"/>
        <v>#VALUE!</v>
      </c>
      <c r="AS85" s="14" t="e">
        <f t="shared" si="257"/>
        <v>#VALUE!</v>
      </c>
      <c r="AT85" s="13" t="e">
        <f t="shared" si="257"/>
        <v>#VALUE!</v>
      </c>
      <c r="AU85" s="44" t="e">
        <f t="shared" si="257"/>
        <v>#VALUE!</v>
      </c>
      <c r="AV85" s="44" t="e">
        <f t="shared" si="257"/>
        <v>#VALUE!</v>
      </c>
      <c r="AW85" s="14" t="e">
        <f t="shared" si="257"/>
        <v>#VALUE!</v>
      </c>
      <c r="AX85" s="13" t="e">
        <f t="shared" si="257"/>
        <v>#VALUE!</v>
      </c>
      <c r="AY85" s="44" t="e">
        <f t="shared" si="257"/>
        <v>#VALUE!</v>
      </c>
      <c r="AZ85" s="44" t="e">
        <f t="shared" si="257"/>
        <v>#VALUE!</v>
      </c>
      <c r="BA85" s="14" t="e">
        <f t="shared" si="257"/>
        <v>#VALUE!</v>
      </c>
      <c r="BB85" s="13" t="e">
        <f t="shared" si="257"/>
        <v>#VALUE!</v>
      </c>
      <c r="BC85" s="44" t="e">
        <f t="shared" si="257"/>
        <v>#VALUE!</v>
      </c>
      <c r="BD85" s="44" t="e">
        <f t="shared" si="257"/>
        <v>#VALUE!</v>
      </c>
      <c r="BE85" s="14" t="e">
        <f t="shared" si="257"/>
        <v>#VALUE!</v>
      </c>
      <c r="BF85" s="13" t="e">
        <f t="shared" si="257"/>
        <v>#VALUE!</v>
      </c>
      <c r="BG85" s="44" t="e">
        <f t="shared" si="257"/>
        <v>#VALUE!</v>
      </c>
      <c r="BH85" s="44" t="e">
        <f t="shared" si="257"/>
        <v>#VALUE!</v>
      </c>
      <c r="BI85" s="14" t="e">
        <f t="shared" si="257"/>
        <v>#VALUE!</v>
      </c>
      <c r="BJ85" s="13" t="e">
        <f t="shared" si="257"/>
        <v>#VALUE!</v>
      </c>
      <c r="BK85" s="44" t="e">
        <f t="shared" si="257"/>
        <v>#VALUE!</v>
      </c>
      <c r="BL85" s="44" t="e">
        <f t="shared" si="257"/>
        <v>#VALUE!</v>
      </c>
      <c r="BM85" s="14" t="e">
        <f t="shared" si="257"/>
        <v>#VALUE!</v>
      </c>
      <c r="BN85" s="13" t="e">
        <f t="shared" si="257"/>
        <v>#VALUE!</v>
      </c>
      <c r="BO85" s="44" t="e">
        <f t="shared" si="257"/>
        <v>#VALUE!</v>
      </c>
      <c r="BP85" s="44" t="e">
        <f t="shared" si="257"/>
        <v>#VALUE!</v>
      </c>
      <c r="BQ85" s="14" t="e">
        <f t="shared" ref="BQ85:CK85" si="258">ONESTAGELEFT_BIKE_DELAY(BQ10,BQ84,BQ83,BQ80,BQ81,BQ39,BQ82)</f>
        <v>#VALUE!</v>
      </c>
      <c r="BR85" s="13" t="e">
        <f t="shared" si="258"/>
        <v>#VALUE!</v>
      </c>
      <c r="BS85" s="44" t="e">
        <f t="shared" si="258"/>
        <v>#VALUE!</v>
      </c>
      <c r="BT85" s="44" t="e">
        <f t="shared" si="258"/>
        <v>#VALUE!</v>
      </c>
      <c r="BU85" s="14" t="e">
        <f t="shared" si="258"/>
        <v>#VALUE!</v>
      </c>
      <c r="BV85" s="13" t="e">
        <f t="shared" si="258"/>
        <v>#VALUE!</v>
      </c>
      <c r="BW85" s="44" t="e">
        <f t="shared" si="258"/>
        <v>#VALUE!</v>
      </c>
      <c r="BX85" s="44" t="e">
        <f t="shared" si="258"/>
        <v>#VALUE!</v>
      </c>
      <c r="BY85" s="14" t="e">
        <f t="shared" si="258"/>
        <v>#VALUE!</v>
      </c>
      <c r="BZ85" s="13" t="e">
        <f t="shared" si="258"/>
        <v>#VALUE!</v>
      </c>
      <c r="CA85" s="44" t="e">
        <f t="shared" si="258"/>
        <v>#VALUE!</v>
      </c>
      <c r="CB85" s="44" t="e">
        <f t="shared" si="258"/>
        <v>#VALUE!</v>
      </c>
      <c r="CC85" s="14" t="e">
        <f t="shared" si="258"/>
        <v>#VALUE!</v>
      </c>
      <c r="CD85" s="13" t="e">
        <f t="shared" si="258"/>
        <v>#VALUE!</v>
      </c>
      <c r="CE85" s="44" t="e">
        <f t="shared" si="258"/>
        <v>#VALUE!</v>
      </c>
      <c r="CF85" s="44" t="e">
        <f t="shared" si="258"/>
        <v>#VALUE!</v>
      </c>
      <c r="CG85" s="14" t="e">
        <f t="shared" si="258"/>
        <v>#VALUE!</v>
      </c>
      <c r="CH85" s="13" t="e">
        <f t="shared" si="258"/>
        <v>#VALUE!</v>
      </c>
      <c r="CI85" s="44" t="e">
        <f t="shared" si="258"/>
        <v>#VALUE!</v>
      </c>
      <c r="CJ85" s="44" t="e">
        <f t="shared" si="258"/>
        <v>#VALUE!</v>
      </c>
      <c r="CK85" s="14" t="e">
        <f t="shared" si="258"/>
        <v>#VALUE!</v>
      </c>
      <c r="CL85" s="49"/>
      <c r="CM85" s="28"/>
    </row>
    <row r="86" spans="2:91" x14ac:dyDescent="0.25">
      <c r="B86" s="55"/>
      <c r="C86" s="283" t="s">
        <v>525</v>
      </c>
      <c r="D86" s="284"/>
      <c r="E86" s="125"/>
      <c r="F86" s="13"/>
      <c r="G86" s="44"/>
      <c r="H86" s="44"/>
      <c r="I86" s="14"/>
      <c r="J86" s="13"/>
      <c r="K86" s="44"/>
      <c r="L86" s="44"/>
      <c r="M86" s="14"/>
      <c r="N86" s="13"/>
      <c r="O86" s="44"/>
      <c r="P86" s="44"/>
      <c r="Q86" s="14"/>
      <c r="R86" s="13"/>
      <c r="S86" s="44"/>
      <c r="T86" s="44"/>
      <c r="U86" s="14"/>
      <c r="V86" s="13"/>
      <c r="W86" s="44"/>
      <c r="X86" s="44"/>
      <c r="Y86" s="14"/>
      <c r="Z86" s="13"/>
      <c r="AA86" s="44"/>
      <c r="AB86" s="44"/>
      <c r="AC86" s="14"/>
      <c r="AD86" s="13"/>
      <c r="AE86" s="44"/>
      <c r="AF86" s="44"/>
      <c r="AG86" s="14"/>
      <c r="AH86" s="13"/>
      <c r="AI86" s="44"/>
      <c r="AJ86" s="44"/>
      <c r="AK86" s="14"/>
      <c r="AL86" s="13"/>
      <c r="AM86" s="44"/>
      <c r="AN86" s="44"/>
      <c r="AO86" s="14"/>
      <c r="AP86" s="13"/>
      <c r="AQ86" s="44"/>
      <c r="AR86" s="44"/>
      <c r="AS86" s="14"/>
      <c r="AT86" s="13"/>
      <c r="AU86" s="44"/>
      <c r="AV86" s="44"/>
      <c r="AW86" s="14"/>
      <c r="AX86" s="13"/>
      <c r="AY86" s="44"/>
      <c r="AZ86" s="44"/>
      <c r="BA86" s="14"/>
      <c r="BB86" s="13"/>
      <c r="BC86" s="44"/>
      <c r="BD86" s="44"/>
      <c r="BE86" s="14"/>
      <c r="BF86" s="13"/>
      <c r="BG86" s="44"/>
      <c r="BH86" s="44"/>
      <c r="BI86" s="14"/>
      <c r="BJ86" s="13"/>
      <c r="BK86" s="44"/>
      <c r="BL86" s="44"/>
      <c r="BM86" s="14"/>
      <c r="BN86" s="13"/>
      <c r="BO86" s="44"/>
      <c r="BP86" s="44"/>
      <c r="BQ86" s="14"/>
      <c r="BR86" s="13"/>
      <c r="BS86" s="44"/>
      <c r="BT86" s="44"/>
      <c r="BU86" s="14"/>
      <c r="BV86" s="13"/>
      <c r="BW86" s="44"/>
      <c r="BX86" s="44"/>
      <c r="BY86" s="14"/>
      <c r="BZ86" s="13"/>
      <c r="CA86" s="44"/>
      <c r="CB86" s="44"/>
      <c r="CC86" s="14"/>
      <c r="CD86" s="13"/>
      <c r="CE86" s="44"/>
      <c r="CF86" s="44"/>
      <c r="CG86" s="14"/>
      <c r="CH86" s="13"/>
      <c r="CI86" s="44"/>
      <c r="CJ86" s="44"/>
      <c r="CK86" s="14"/>
      <c r="CL86" s="49"/>
      <c r="CM86" s="28"/>
    </row>
    <row r="87" spans="2:91" ht="14.25" x14ac:dyDescent="0.25">
      <c r="B87" s="55"/>
      <c r="C87" s="10" t="s">
        <v>298</v>
      </c>
      <c r="D87" s="93" t="s">
        <v>517</v>
      </c>
      <c r="E87" s="125">
        <f t="shared" ref="E87:AJ87" si="259">E31/E40 +E41</f>
        <v>3</v>
      </c>
      <c r="F87" s="13">
        <f t="shared" si="259"/>
        <v>8.1999999999999993</v>
      </c>
      <c r="G87" s="44">
        <f t="shared" si="259"/>
        <v>8.1999999999999993</v>
      </c>
      <c r="H87" s="44">
        <f t="shared" si="259"/>
        <v>9.4</v>
      </c>
      <c r="I87" s="14">
        <f t="shared" si="259"/>
        <v>9.4</v>
      </c>
      <c r="J87" s="13">
        <f t="shared" si="259"/>
        <v>7</v>
      </c>
      <c r="K87" s="44" t="e">
        <f t="shared" si="259"/>
        <v>#DIV/0!</v>
      </c>
      <c r="L87" s="44">
        <f t="shared" si="259"/>
        <v>8</v>
      </c>
      <c r="M87" s="14">
        <f t="shared" si="259"/>
        <v>8</v>
      </c>
      <c r="N87" s="13">
        <f t="shared" si="259"/>
        <v>9</v>
      </c>
      <c r="O87" s="44">
        <f t="shared" si="259"/>
        <v>12</v>
      </c>
      <c r="P87" s="44">
        <f t="shared" si="259"/>
        <v>7.8</v>
      </c>
      <c r="Q87" s="14">
        <f t="shared" si="259"/>
        <v>8.3000000000000007</v>
      </c>
      <c r="R87" s="13">
        <f t="shared" si="259"/>
        <v>5.8</v>
      </c>
      <c r="S87" s="44" t="e">
        <f t="shared" si="259"/>
        <v>#DIV/0!</v>
      </c>
      <c r="T87" s="44">
        <f t="shared" si="259"/>
        <v>8</v>
      </c>
      <c r="U87" s="14">
        <f t="shared" si="259"/>
        <v>8</v>
      </c>
      <c r="V87" s="13">
        <f t="shared" si="259"/>
        <v>10.4</v>
      </c>
      <c r="W87" s="44" t="e">
        <f t="shared" si="259"/>
        <v>#DIV/0!</v>
      </c>
      <c r="X87" s="44">
        <f t="shared" si="259"/>
        <v>7.5</v>
      </c>
      <c r="Y87" s="14">
        <f t="shared" si="259"/>
        <v>7.5</v>
      </c>
      <c r="Z87" s="13">
        <f t="shared" si="259"/>
        <v>6.5</v>
      </c>
      <c r="AA87" s="44" t="e">
        <f t="shared" si="259"/>
        <v>#DIV/0!</v>
      </c>
      <c r="AB87" s="44">
        <f t="shared" si="259"/>
        <v>7.2</v>
      </c>
      <c r="AC87" s="14">
        <f t="shared" si="259"/>
        <v>7.2</v>
      </c>
      <c r="AD87" s="13">
        <f t="shared" si="259"/>
        <v>6.3</v>
      </c>
      <c r="AE87" s="44" t="e">
        <f t="shared" si="259"/>
        <v>#DIV/0!</v>
      </c>
      <c r="AF87" s="44">
        <f t="shared" si="259"/>
        <v>6</v>
      </c>
      <c r="AG87" s="14">
        <f t="shared" si="259"/>
        <v>6</v>
      </c>
      <c r="AH87" s="13">
        <f t="shared" si="259"/>
        <v>6.4</v>
      </c>
      <c r="AI87" s="44">
        <f t="shared" si="259"/>
        <v>7.4</v>
      </c>
      <c r="AJ87" s="44">
        <f t="shared" si="259"/>
        <v>7.1</v>
      </c>
      <c r="AK87" s="14">
        <f t="shared" ref="AK87:BP87" si="260">AK31/AK40 +AK41</f>
        <v>7.1</v>
      </c>
      <c r="AL87" s="13" t="e">
        <f t="shared" si="260"/>
        <v>#DIV/0!</v>
      </c>
      <c r="AM87" s="44" t="e">
        <f t="shared" si="260"/>
        <v>#DIV/0!</v>
      </c>
      <c r="AN87" s="44" t="e">
        <f t="shared" si="260"/>
        <v>#DIV/0!</v>
      </c>
      <c r="AO87" s="14" t="e">
        <f t="shared" si="260"/>
        <v>#DIV/0!</v>
      </c>
      <c r="AP87" s="13" t="e">
        <f t="shared" si="260"/>
        <v>#DIV/0!</v>
      </c>
      <c r="AQ87" s="44" t="e">
        <f t="shared" si="260"/>
        <v>#DIV/0!</v>
      </c>
      <c r="AR87" s="44" t="e">
        <f t="shared" si="260"/>
        <v>#DIV/0!</v>
      </c>
      <c r="AS87" s="14" t="e">
        <f t="shared" si="260"/>
        <v>#DIV/0!</v>
      </c>
      <c r="AT87" s="13" t="e">
        <f t="shared" si="260"/>
        <v>#DIV/0!</v>
      </c>
      <c r="AU87" s="44" t="e">
        <f t="shared" si="260"/>
        <v>#DIV/0!</v>
      </c>
      <c r="AV87" s="44" t="e">
        <f t="shared" si="260"/>
        <v>#DIV/0!</v>
      </c>
      <c r="AW87" s="14" t="e">
        <f t="shared" si="260"/>
        <v>#DIV/0!</v>
      </c>
      <c r="AX87" s="13" t="e">
        <f t="shared" si="260"/>
        <v>#DIV/0!</v>
      </c>
      <c r="AY87" s="44" t="e">
        <f t="shared" si="260"/>
        <v>#DIV/0!</v>
      </c>
      <c r="AZ87" s="44" t="e">
        <f t="shared" si="260"/>
        <v>#DIV/0!</v>
      </c>
      <c r="BA87" s="14" t="e">
        <f t="shared" si="260"/>
        <v>#DIV/0!</v>
      </c>
      <c r="BB87" s="13" t="e">
        <f t="shared" si="260"/>
        <v>#DIV/0!</v>
      </c>
      <c r="BC87" s="44" t="e">
        <f t="shared" si="260"/>
        <v>#DIV/0!</v>
      </c>
      <c r="BD87" s="44" t="e">
        <f t="shared" si="260"/>
        <v>#DIV/0!</v>
      </c>
      <c r="BE87" s="14" t="e">
        <f t="shared" si="260"/>
        <v>#DIV/0!</v>
      </c>
      <c r="BF87" s="13" t="e">
        <f t="shared" si="260"/>
        <v>#DIV/0!</v>
      </c>
      <c r="BG87" s="44" t="e">
        <f t="shared" si="260"/>
        <v>#DIV/0!</v>
      </c>
      <c r="BH87" s="44" t="e">
        <f t="shared" si="260"/>
        <v>#DIV/0!</v>
      </c>
      <c r="BI87" s="14" t="e">
        <f t="shared" si="260"/>
        <v>#DIV/0!</v>
      </c>
      <c r="BJ87" s="13" t="e">
        <f t="shared" si="260"/>
        <v>#DIV/0!</v>
      </c>
      <c r="BK87" s="44" t="e">
        <f t="shared" si="260"/>
        <v>#DIV/0!</v>
      </c>
      <c r="BL87" s="44" t="e">
        <f t="shared" si="260"/>
        <v>#DIV/0!</v>
      </c>
      <c r="BM87" s="14" t="e">
        <f t="shared" si="260"/>
        <v>#DIV/0!</v>
      </c>
      <c r="BN87" s="13" t="e">
        <f t="shared" si="260"/>
        <v>#DIV/0!</v>
      </c>
      <c r="BO87" s="44" t="e">
        <f t="shared" si="260"/>
        <v>#DIV/0!</v>
      </c>
      <c r="BP87" s="44" t="e">
        <f t="shared" si="260"/>
        <v>#DIV/0!</v>
      </c>
      <c r="BQ87" s="14" t="e">
        <f t="shared" ref="BQ87:CK87" si="261">BQ31/BQ40 +BQ41</f>
        <v>#DIV/0!</v>
      </c>
      <c r="BR87" s="13" t="e">
        <f t="shared" si="261"/>
        <v>#DIV/0!</v>
      </c>
      <c r="BS87" s="44" t="e">
        <f t="shared" si="261"/>
        <v>#DIV/0!</v>
      </c>
      <c r="BT87" s="44" t="e">
        <f t="shared" si="261"/>
        <v>#DIV/0!</v>
      </c>
      <c r="BU87" s="14" t="e">
        <f t="shared" si="261"/>
        <v>#DIV/0!</v>
      </c>
      <c r="BV87" s="13" t="e">
        <f t="shared" si="261"/>
        <v>#DIV/0!</v>
      </c>
      <c r="BW87" s="44" t="e">
        <f t="shared" si="261"/>
        <v>#DIV/0!</v>
      </c>
      <c r="BX87" s="44" t="e">
        <f t="shared" si="261"/>
        <v>#DIV/0!</v>
      </c>
      <c r="BY87" s="14" t="e">
        <f t="shared" si="261"/>
        <v>#DIV/0!</v>
      </c>
      <c r="BZ87" s="13" t="e">
        <f t="shared" si="261"/>
        <v>#DIV/0!</v>
      </c>
      <c r="CA87" s="44" t="e">
        <f t="shared" si="261"/>
        <v>#DIV/0!</v>
      </c>
      <c r="CB87" s="44" t="e">
        <f t="shared" si="261"/>
        <v>#DIV/0!</v>
      </c>
      <c r="CC87" s="14" t="e">
        <f t="shared" si="261"/>
        <v>#DIV/0!</v>
      </c>
      <c r="CD87" s="13" t="e">
        <f t="shared" si="261"/>
        <v>#DIV/0!</v>
      </c>
      <c r="CE87" s="44" t="e">
        <f t="shared" si="261"/>
        <v>#DIV/0!</v>
      </c>
      <c r="CF87" s="44" t="e">
        <f t="shared" si="261"/>
        <v>#DIV/0!</v>
      </c>
      <c r="CG87" s="14" t="e">
        <f t="shared" si="261"/>
        <v>#DIV/0!</v>
      </c>
      <c r="CH87" s="13" t="e">
        <f t="shared" si="261"/>
        <v>#DIV/0!</v>
      </c>
      <c r="CI87" s="44" t="e">
        <f t="shared" si="261"/>
        <v>#DIV/0!</v>
      </c>
      <c r="CJ87" s="44" t="e">
        <f t="shared" si="261"/>
        <v>#DIV/0!</v>
      </c>
      <c r="CK87" s="14" t="e">
        <f t="shared" si="261"/>
        <v>#DIV/0!</v>
      </c>
      <c r="CL87" s="49"/>
      <c r="CM87" s="28"/>
    </row>
    <row r="88" spans="2:91" ht="14.25" x14ac:dyDescent="0.25">
      <c r="B88" s="55"/>
      <c r="C88" s="10" t="s">
        <v>301</v>
      </c>
      <c r="D88" s="93" t="s">
        <v>491</v>
      </c>
      <c r="E88" s="125">
        <f>MAX(IF(E33=0,0,4*E89/E33),1)</f>
        <v>1</v>
      </c>
      <c r="F88" s="13">
        <f t="shared" ref="F88:AK88" si="262">MAX(IF(F33=0,0,2.5*F89/F33),1)</f>
        <v>1</v>
      </c>
      <c r="G88" s="44">
        <f t="shared" si="262"/>
        <v>1</v>
      </c>
      <c r="H88" s="44">
        <f t="shared" si="262"/>
        <v>1</v>
      </c>
      <c r="I88" s="14">
        <f t="shared" si="262"/>
        <v>1</v>
      </c>
      <c r="J88" s="13">
        <f t="shared" si="262"/>
        <v>1</v>
      </c>
      <c r="K88" s="44">
        <f t="shared" si="262"/>
        <v>1</v>
      </c>
      <c r="L88" s="44">
        <f t="shared" si="262"/>
        <v>1</v>
      </c>
      <c r="M88" s="14">
        <f t="shared" si="262"/>
        <v>1</v>
      </c>
      <c r="N88" s="13">
        <f t="shared" si="262"/>
        <v>1</v>
      </c>
      <c r="O88" s="44">
        <f t="shared" si="262"/>
        <v>1</v>
      </c>
      <c r="P88" s="44">
        <f t="shared" si="262"/>
        <v>1</v>
      </c>
      <c r="Q88" s="14">
        <f t="shared" si="262"/>
        <v>1</v>
      </c>
      <c r="R88" s="13">
        <f t="shared" si="262"/>
        <v>1</v>
      </c>
      <c r="S88" s="44">
        <f t="shared" si="262"/>
        <v>1</v>
      </c>
      <c r="T88" s="44">
        <f t="shared" si="262"/>
        <v>1</v>
      </c>
      <c r="U88" s="14">
        <f t="shared" si="262"/>
        <v>1</v>
      </c>
      <c r="V88" s="13">
        <f t="shared" si="262"/>
        <v>1</v>
      </c>
      <c r="W88" s="44">
        <f t="shared" si="262"/>
        <v>1</v>
      </c>
      <c r="X88" s="44">
        <f t="shared" si="262"/>
        <v>1</v>
      </c>
      <c r="Y88" s="14">
        <f t="shared" si="262"/>
        <v>1</v>
      </c>
      <c r="Z88" s="13">
        <f t="shared" si="262"/>
        <v>1</v>
      </c>
      <c r="AA88" s="44">
        <f t="shared" si="262"/>
        <v>1</v>
      </c>
      <c r="AB88" s="44">
        <f t="shared" si="262"/>
        <v>1</v>
      </c>
      <c r="AC88" s="14">
        <f t="shared" si="262"/>
        <v>1</v>
      </c>
      <c r="AD88" s="13">
        <f t="shared" si="262"/>
        <v>1</v>
      </c>
      <c r="AE88" s="44">
        <f t="shared" si="262"/>
        <v>1</v>
      </c>
      <c r="AF88" s="44">
        <f t="shared" si="262"/>
        <v>1</v>
      </c>
      <c r="AG88" s="14">
        <f t="shared" si="262"/>
        <v>1</v>
      </c>
      <c r="AH88" s="13">
        <f t="shared" si="262"/>
        <v>1</v>
      </c>
      <c r="AI88" s="44">
        <f t="shared" si="262"/>
        <v>1</v>
      </c>
      <c r="AJ88" s="44">
        <f t="shared" si="262"/>
        <v>1</v>
      </c>
      <c r="AK88" s="14">
        <f t="shared" si="262"/>
        <v>1</v>
      </c>
      <c r="AL88" s="13">
        <f t="shared" ref="AL88:BQ88" si="263">MAX(IF(AL33=0,0,2.5*AL89/AL33),1)</f>
        <v>1</v>
      </c>
      <c r="AM88" s="44">
        <f t="shared" si="263"/>
        <v>1</v>
      </c>
      <c r="AN88" s="44">
        <f t="shared" si="263"/>
        <v>1</v>
      </c>
      <c r="AO88" s="14">
        <f t="shared" si="263"/>
        <v>1</v>
      </c>
      <c r="AP88" s="13">
        <f t="shared" si="263"/>
        <v>1</v>
      </c>
      <c r="AQ88" s="44">
        <f t="shared" si="263"/>
        <v>1</v>
      </c>
      <c r="AR88" s="44">
        <f t="shared" si="263"/>
        <v>1</v>
      </c>
      <c r="AS88" s="14">
        <f t="shared" si="263"/>
        <v>1</v>
      </c>
      <c r="AT88" s="13">
        <f t="shared" si="263"/>
        <v>1</v>
      </c>
      <c r="AU88" s="44">
        <f t="shared" si="263"/>
        <v>1</v>
      </c>
      <c r="AV88" s="44">
        <f t="shared" si="263"/>
        <v>1</v>
      </c>
      <c r="AW88" s="14">
        <f t="shared" si="263"/>
        <v>1</v>
      </c>
      <c r="AX88" s="13">
        <f t="shared" si="263"/>
        <v>1</v>
      </c>
      <c r="AY88" s="44">
        <f t="shared" si="263"/>
        <v>1</v>
      </c>
      <c r="AZ88" s="44">
        <f t="shared" si="263"/>
        <v>1</v>
      </c>
      <c r="BA88" s="14">
        <f t="shared" si="263"/>
        <v>1</v>
      </c>
      <c r="BB88" s="13">
        <f t="shared" si="263"/>
        <v>1</v>
      </c>
      <c r="BC88" s="44">
        <f t="shared" si="263"/>
        <v>1</v>
      </c>
      <c r="BD88" s="44">
        <f t="shared" si="263"/>
        <v>1</v>
      </c>
      <c r="BE88" s="14">
        <f t="shared" si="263"/>
        <v>1</v>
      </c>
      <c r="BF88" s="13">
        <f t="shared" si="263"/>
        <v>1</v>
      </c>
      <c r="BG88" s="44">
        <f t="shared" si="263"/>
        <v>1</v>
      </c>
      <c r="BH88" s="44">
        <f t="shared" si="263"/>
        <v>1</v>
      </c>
      <c r="BI88" s="14">
        <f t="shared" si="263"/>
        <v>1</v>
      </c>
      <c r="BJ88" s="13">
        <f t="shared" si="263"/>
        <v>1</v>
      </c>
      <c r="BK88" s="44">
        <f t="shared" si="263"/>
        <v>1</v>
      </c>
      <c r="BL88" s="44">
        <f t="shared" si="263"/>
        <v>1</v>
      </c>
      <c r="BM88" s="14">
        <f t="shared" si="263"/>
        <v>1</v>
      </c>
      <c r="BN88" s="13">
        <f t="shared" si="263"/>
        <v>1</v>
      </c>
      <c r="BO88" s="44">
        <f t="shared" si="263"/>
        <v>1</v>
      </c>
      <c r="BP88" s="44">
        <f t="shared" si="263"/>
        <v>1</v>
      </c>
      <c r="BQ88" s="14">
        <f t="shared" si="263"/>
        <v>1</v>
      </c>
      <c r="BR88" s="13">
        <f t="shared" ref="BR88:CK88" si="264">MAX(IF(BR33=0,0,2.5*BR89/BR33),1)</f>
        <v>1</v>
      </c>
      <c r="BS88" s="44">
        <f t="shared" si="264"/>
        <v>1</v>
      </c>
      <c r="BT88" s="44">
        <f t="shared" si="264"/>
        <v>1</v>
      </c>
      <c r="BU88" s="14">
        <f t="shared" si="264"/>
        <v>1</v>
      </c>
      <c r="BV88" s="13">
        <f t="shared" si="264"/>
        <v>1</v>
      </c>
      <c r="BW88" s="44">
        <f t="shared" si="264"/>
        <v>1</v>
      </c>
      <c r="BX88" s="44">
        <f t="shared" si="264"/>
        <v>1</v>
      </c>
      <c r="BY88" s="14">
        <f t="shared" si="264"/>
        <v>1</v>
      </c>
      <c r="BZ88" s="13">
        <f t="shared" si="264"/>
        <v>1</v>
      </c>
      <c r="CA88" s="44">
        <f t="shared" si="264"/>
        <v>1</v>
      </c>
      <c r="CB88" s="44">
        <f t="shared" si="264"/>
        <v>1</v>
      </c>
      <c r="CC88" s="14">
        <f t="shared" si="264"/>
        <v>1</v>
      </c>
      <c r="CD88" s="13">
        <f t="shared" si="264"/>
        <v>1</v>
      </c>
      <c r="CE88" s="44">
        <f t="shared" si="264"/>
        <v>1</v>
      </c>
      <c r="CF88" s="44">
        <f t="shared" si="264"/>
        <v>1</v>
      </c>
      <c r="CG88" s="14">
        <f t="shared" si="264"/>
        <v>1</v>
      </c>
      <c r="CH88" s="13">
        <f t="shared" si="264"/>
        <v>1</v>
      </c>
      <c r="CI88" s="44">
        <f t="shared" si="264"/>
        <v>1</v>
      </c>
      <c r="CJ88" s="44">
        <f t="shared" si="264"/>
        <v>1</v>
      </c>
      <c r="CK88" s="14">
        <f t="shared" si="264"/>
        <v>1</v>
      </c>
      <c r="CL88" s="49"/>
      <c r="CM88" s="28"/>
    </row>
    <row r="89" spans="2:91" ht="14.25" x14ac:dyDescent="0.25">
      <c r="B89" s="55"/>
      <c r="C89" s="10" t="s">
        <v>302</v>
      </c>
      <c r="D89" s="93" t="s">
        <v>492</v>
      </c>
      <c r="E89" s="125">
        <f t="shared" ref="E89:AJ89" si="265">((E21/3600)*EXP(E87*E21/3600) + E49*EXP(-E49*E87))/(((E21/3600)+E49)*EXP(((E21/3600)-E49))*E87)</f>
        <v>0.24367501251296278</v>
      </c>
      <c r="F89" s="13">
        <f t="shared" si="265"/>
        <v>1.4484003005314851E-2</v>
      </c>
      <c r="G89" s="44">
        <f t="shared" si="265"/>
        <v>1.4484003005314851E-2</v>
      </c>
      <c r="H89" s="44">
        <f t="shared" si="265"/>
        <v>1.2811806586242215E-2</v>
      </c>
      <c r="I89" s="14">
        <f t="shared" si="265"/>
        <v>1.2811806586242215E-2</v>
      </c>
      <c r="J89" s="13">
        <f t="shared" si="265"/>
        <v>0.1384715401185814</v>
      </c>
      <c r="K89" s="44" t="e">
        <f t="shared" si="265"/>
        <v>#DIV/0!</v>
      </c>
      <c r="L89" s="44">
        <f t="shared" si="265"/>
        <v>4.7226855835058666E-2</v>
      </c>
      <c r="M89" s="14">
        <f t="shared" si="265"/>
        <v>4.7226855835058666E-2</v>
      </c>
      <c r="N89" s="13">
        <f t="shared" si="265"/>
        <v>1.0728346166549356E-2</v>
      </c>
      <c r="O89" s="44">
        <f t="shared" si="265"/>
        <v>4.5809089300573045E-3</v>
      </c>
      <c r="P89" s="44">
        <f t="shared" si="265"/>
        <v>2.9000283847595898E-2</v>
      </c>
      <c r="Q89" s="14">
        <f t="shared" si="265"/>
        <v>2.4697798694053426E-2</v>
      </c>
      <c r="R89" s="13">
        <f t="shared" si="265"/>
        <v>0.15919772855436914</v>
      </c>
      <c r="S89" s="44" t="e">
        <f t="shared" si="265"/>
        <v>#DIV/0!</v>
      </c>
      <c r="T89" s="44">
        <f t="shared" si="265"/>
        <v>2.1624456681086052E-2</v>
      </c>
      <c r="U89" s="14">
        <f t="shared" si="265"/>
        <v>2.1624456681086052E-2</v>
      </c>
      <c r="V89" s="13">
        <f t="shared" si="265"/>
        <v>8.0943151448209544E-2</v>
      </c>
      <c r="W89" s="44" t="e">
        <f t="shared" si="265"/>
        <v>#DIV/0!</v>
      </c>
      <c r="X89" s="44">
        <f t="shared" si="265"/>
        <v>3.0014253129193921E-2</v>
      </c>
      <c r="Y89" s="14">
        <f t="shared" si="265"/>
        <v>3.0014253129193921E-2</v>
      </c>
      <c r="Z89" s="13">
        <f t="shared" si="265"/>
        <v>0.12831977941596315</v>
      </c>
      <c r="AA89" s="44" t="e">
        <f t="shared" si="265"/>
        <v>#DIV/0!</v>
      </c>
      <c r="AB89" s="44">
        <f t="shared" si="265"/>
        <v>4.6404238162720136E-2</v>
      </c>
      <c r="AC89" s="14">
        <f t="shared" si="265"/>
        <v>4.6404238162720136E-2</v>
      </c>
      <c r="AD89" s="13">
        <f t="shared" si="265"/>
        <v>0.15820036266854554</v>
      </c>
      <c r="AE89" s="44" t="e">
        <f t="shared" si="265"/>
        <v>#DIV/0!</v>
      </c>
      <c r="AF89" s="44">
        <f t="shared" si="265"/>
        <v>7.3623130848851318E-2</v>
      </c>
      <c r="AG89" s="14">
        <f t="shared" si="265"/>
        <v>7.3623130848851318E-2</v>
      </c>
      <c r="AH89" s="13">
        <f t="shared" si="265"/>
        <v>6.0403291245368466E-2</v>
      </c>
      <c r="AI89" s="44">
        <f t="shared" si="265"/>
        <v>4.4254086661502032E-2</v>
      </c>
      <c r="AJ89" s="44">
        <f t="shared" si="265"/>
        <v>6.6505867712107702E-2</v>
      </c>
      <c r="AK89" s="14">
        <f t="shared" ref="AK89:BP89" si="266">((AK21/3600)*EXP(AK87*AK21/3600) + AK49*EXP(-AK49*AK87))/(((AK21/3600)+AK49)*EXP(((AK21/3600)-AK49))*AK87)</f>
        <v>6.6505867712107702E-2</v>
      </c>
      <c r="AL89" s="13" t="e">
        <f t="shared" si="266"/>
        <v>#DIV/0!</v>
      </c>
      <c r="AM89" s="44" t="e">
        <f t="shared" si="266"/>
        <v>#DIV/0!</v>
      </c>
      <c r="AN89" s="44" t="e">
        <f t="shared" si="266"/>
        <v>#DIV/0!</v>
      </c>
      <c r="AO89" s="14" t="e">
        <f t="shared" si="266"/>
        <v>#DIV/0!</v>
      </c>
      <c r="AP89" s="13" t="e">
        <f t="shared" si="266"/>
        <v>#DIV/0!</v>
      </c>
      <c r="AQ89" s="44" t="e">
        <f t="shared" si="266"/>
        <v>#DIV/0!</v>
      </c>
      <c r="AR89" s="44" t="e">
        <f t="shared" si="266"/>
        <v>#DIV/0!</v>
      </c>
      <c r="AS89" s="14" t="e">
        <f t="shared" si="266"/>
        <v>#DIV/0!</v>
      </c>
      <c r="AT89" s="13" t="e">
        <f t="shared" si="266"/>
        <v>#DIV/0!</v>
      </c>
      <c r="AU89" s="44" t="e">
        <f t="shared" si="266"/>
        <v>#DIV/0!</v>
      </c>
      <c r="AV89" s="44" t="e">
        <f t="shared" si="266"/>
        <v>#DIV/0!</v>
      </c>
      <c r="AW89" s="14" t="e">
        <f t="shared" si="266"/>
        <v>#DIV/0!</v>
      </c>
      <c r="AX89" s="13" t="e">
        <f t="shared" si="266"/>
        <v>#DIV/0!</v>
      </c>
      <c r="AY89" s="44" t="e">
        <f t="shared" si="266"/>
        <v>#DIV/0!</v>
      </c>
      <c r="AZ89" s="44" t="e">
        <f t="shared" si="266"/>
        <v>#DIV/0!</v>
      </c>
      <c r="BA89" s="14" t="e">
        <f t="shared" si="266"/>
        <v>#DIV/0!</v>
      </c>
      <c r="BB89" s="13" t="e">
        <f t="shared" si="266"/>
        <v>#DIV/0!</v>
      </c>
      <c r="BC89" s="44" t="e">
        <f t="shared" si="266"/>
        <v>#DIV/0!</v>
      </c>
      <c r="BD89" s="44" t="e">
        <f t="shared" si="266"/>
        <v>#DIV/0!</v>
      </c>
      <c r="BE89" s="14" t="e">
        <f t="shared" si="266"/>
        <v>#DIV/0!</v>
      </c>
      <c r="BF89" s="13" t="e">
        <f t="shared" si="266"/>
        <v>#DIV/0!</v>
      </c>
      <c r="BG89" s="44" t="e">
        <f t="shared" si="266"/>
        <v>#DIV/0!</v>
      </c>
      <c r="BH89" s="44" t="e">
        <f t="shared" si="266"/>
        <v>#DIV/0!</v>
      </c>
      <c r="BI89" s="14" t="e">
        <f t="shared" si="266"/>
        <v>#DIV/0!</v>
      </c>
      <c r="BJ89" s="13" t="e">
        <f t="shared" si="266"/>
        <v>#DIV/0!</v>
      </c>
      <c r="BK89" s="44" t="e">
        <f t="shared" si="266"/>
        <v>#DIV/0!</v>
      </c>
      <c r="BL89" s="44" t="e">
        <f t="shared" si="266"/>
        <v>#DIV/0!</v>
      </c>
      <c r="BM89" s="14" t="e">
        <f t="shared" si="266"/>
        <v>#DIV/0!</v>
      </c>
      <c r="BN89" s="13" t="e">
        <f t="shared" si="266"/>
        <v>#DIV/0!</v>
      </c>
      <c r="BO89" s="44" t="e">
        <f t="shared" si="266"/>
        <v>#DIV/0!</v>
      </c>
      <c r="BP89" s="44" t="e">
        <f t="shared" si="266"/>
        <v>#DIV/0!</v>
      </c>
      <c r="BQ89" s="14" t="e">
        <f t="shared" ref="BQ89:CK89" si="267">((BQ21/3600)*EXP(BQ87*BQ21/3600) + BQ49*EXP(-BQ49*BQ87))/(((BQ21/3600)+BQ49)*EXP(((BQ21/3600)-BQ49))*BQ87)</f>
        <v>#DIV/0!</v>
      </c>
      <c r="BR89" s="13" t="e">
        <f t="shared" si="267"/>
        <v>#DIV/0!</v>
      </c>
      <c r="BS89" s="44" t="e">
        <f t="shared" si="267"/>
        <v>#DIV/0!</v>
      </c>
      <c r="BT89" s="44" t="e">
        <f t="shared" si="267"/>
        <v>#DIV/0!</v>
      </c>
      <c r="BU89" s="14" t="e">
        <f t="shared" si="267"/>
        <v>#DIV/0!</v>
      </c>
      <c r="BV89" s="13" t="e">
        <f t="shared" si="267"/>
        <v>#DIV/0!</v>
      </c>
      <c r="BW89" s="44" t="e">
        <f t="shared" si="267"/>
        <v>#DIV/0!</v>
      </c>
      <c r="BX89" s="44" t="e">
        <f t="shared" si="267"/>
        <v>#DIV/0!</v>
      </c>
      <c r="BY89" s="14" t="e">
        <f t="shared" si="267"/>
        <v>#DIV/0!</v>
      </c>
      <c r="BZ89" s="13" t="e">
        <f t="shared" si="267"/>
        <v>#DIV/0!</v>
      </c>
      <c r="CA89" s="44" t="e">
        <f t="shared" si="267"/>
        <v>#DIV/0!</v>
      </c>
      <c r="CB89" s="44" t="e">
        <f t="shared" si="267"/>
        <v>#DIV/0!</v>
      </c>
      <c r="CC89" s="14" t="e">
        <f t="shared" si="267"/>
        <v>#DIV/0!</v>
      </c>
      <c r="CD89" s="13" t="e">
        <f t="shared" si="267"/>
        <v>#DIV/0!</v>
      </c>
      <c r="CE89" s="44" t="e">
        <f t="shared" si="267"/>
        <v>#DIV/0!</v>
      </c>
      <c r="CF89" s="44" t="e">
        <f t="shared" si="267"/>
        <v>#DIV/0!</v>
      </c>
      <c r="CG89" s="14" t="e">
        <f t="shared" si="267"/>
        <v>#DIV/0!</v>
      </c>
      <c r="CH89" s="13" t="e">
        <f t="shared" si="267"/>
        <v>#DIV/0!</v>
      </c>
      <c r="CI89" s="44" t="e">
        <f t="shared" si="267"/>
        <v>#DIV/0!</v>
      </c>
      <c r="CJ89" s="44" t="e">
        <f t="shared" si="267"/>
        <v>#DIV/0!</v>
      </c>
      <c r="CK89" s="14" t="e">
        <f t="shared" si="267"/>
        <v>#DIV/0!</v>
      </c>
      <c r="CL89" s="49"/>
      <c r="CM89" s="28"/>
    </row>
    <row r="90" spans="2:91" ht="14.25" x14ac:dyDescent="0.25">
      <c r="B90" s="55"/>
      <c r="C90" s="10" t="s">
        <v>303</v>
      </c>
      <c r="D90" s="93" t="s">
        <v>495</v>
      </c>
      <c r="E90" s="125">
        <f t="shared" ref="E90:AJ90" si="268">E87+2*(E88-1)</f>
        <v>3</v>
      </c>
      <c r="F90" s="13">
        <f t="shared" si="268"/>
        <v>8.1999999999999993</v>
      </c>
      <c r="G90" s="44">
        <f t="shared" si="268"/>
        <v>8.1999999999999993</v>
      </c>
      <c r="H90" s="44">
        <f t="shared" si="268"/>
        <v>9.4</v>
      </c>
      <c r="I90" s="14">
        <f t="shared" si="268"/>
        <v>9.4</v>
      </c>
      <c r="J90" s="13">
        <f t="shared" si="268"/>
        <v>7</v>
      </c>
      <c r="K90" s="44" t="e">
        <f t="shared" si="268"/>
        <v>#DIV/0!</v>
      </c>
      <c r="L90" s="44">
        <f t="shared" si="268"/>
        <v>8</v>
      </c>
      <c r="M90" s="14">
        <f t="shared" si="268"/>
        <v>8</v>
      </c>
      <c r="N90" s="13">
        <f t="shared" si="268"/>
        <v>9</v>
      </c>
      <c r="O90" s="44">
        <f t="shared" si="268"/>
        <v>12</v>
      </c>
      <c r="P90" s="44">
        <f t="shared" si="268"/>
        <v>7.8</v>
      </c>
      <c r="Q90" s="14">
        <f t="shared" si="268"/>
        <v>8.3000000000000007</v>
      </c>
      <c r="R90" s="13">
        <f t="shared" si="268"/>
        <v>5.8</v>
      </c>
      <c r="S90" s="44" t="e">
        <f t="shared" si="268"/>
        <v>#DIV/0!</v>
      </c>
      <c r="T90" s="44">
        <f t="shared" si="268"/>
        <v>8</v>
      </c>
      <c r="U90" s="14">
        <f t="shared" si="268"/>
        <v>8</v>
      </c>
      <c r="V90" s="13">
        <f t="shared" si="268"/>
        <v>10.4</v>
      </c>
      <c r="W90" s="44" t="e">
        <f t="shared" si="268"/>
        <v>#DIV/0!</v>
      </c>
      <c r="X90" s="44">
        <f t="shared" si="268"/>
        <v>7.5</v>
      </c>
      <c r="Y90" s="14">
        <f t="shared" si="268"/>
        <v>7.5</v>
      </c>
      <c r="Z90" s="13">
        <f t="shared" si="268"/>
        <v>6.5</v>
      </c>
      <c r="AA90" s="44" t="e">
        <f t="shared" si="268"/>
        <v>#DIV/0!</v>
      </c>
      <c r="AB90" s="44">
        <f t="shared" si="268"/>
        <v>7.2</v>
      </c>
      <c r="AC90" s="14">
        <f t="shared" si="268"/>
        <v>7.2</v>
      </c>
      <c r="AD90" s="13">
        <f t="shared" si="268"/>
        <v>6.3</v>
      </c>
      <c r="AE90" s="44" t="e">
        <f t="shared" si="268"/>
        <v>#DIV/0!</v>
      </c>
      <c r="AF90" s="44">
        <f t="shared" si="268"/>
        <v>6</v>
      </c>
      <c r="AG90" s="14">
        <f t="shared" si="268"/>
        <v>6</v>
      </c>
      <c r="AH90" s="13">
        <f t="shared" si="268"/>
        <v>6.4</v>
      </c>
      <c r="AI90" s="44">
        <f t="shared" si="268"/>
        <v>7.4</v>
      </c>
      <c r="AJ90" s="44">
        <f t="shared" si="268"/>
        <v>7.1</v>
      </c>
      <c r="AK90" s="14">
        <f t="shared" ref="AK90:BP90" si="269">AK87+2*(AK88-1)</f>
        <v>7.1</v>
      </c>
      <c r="AL90" s="13" t="e">
        <f t="shared" si="269"/>
        <v>#DIV/0!</v>
      </c>
      <c r="AM90" s="44" t="e">
        <f t="shared" si="269"/>
        <v>#DIV/0!</v>
      </c>
      <c r="AN90" s="44" t="e">
        <f t="shared" si="269"/>
        <v>#DIV/0!</v>
      </c>
      <c r="AO90" s="14" t="e">
        <f t="shared" si="269"/>
        <v>#DIV/0!</v>
      </c>
      <c r="AP90" s="13" t="e">
        <f t="shared" si="269"/>
        <v>#DIV/0!</v>
      </c>
      <c r="AQ90" s="44" t="e">
        <f t="shared" si="269"/>
        <v>#DIV/0!</v>
      </c>
      <c r="AR90" s="44" t="e">
        <f t="shared" si="269"/>
        <v>#DIV/0!</v>
      </c>
      <c r="AS90" s="14" t="e">
        <f t="shared" si="269"/>
        <v>#DIV/0!</v>
      </c>
      <c r="AT90" s="13" t="e">
        <f t="shared" si="269"/>
        <v>#DIV/0!</v>
      </c>
      <c r="AU90" s="44" t="e">
        <f t="shared" si="269"/>
        <v>#DIV/0!</v>
      </c>
      <c r="AV90" s="44" t="e">
        <f t="shared" si="269"/>
        <v>#DIV/0!</v>
      </c>
      <c r="AW90" s="14" t="e">
        <f t="shared" si="269"/>
        <v>#DIV/0!</v>
      </c>
      <c r="AX90" s="13" t="e">
        <f t="shared" si="269"/>
        <v>#DIV/0!</v>
      </c>
      <c r="AY90" s="44" t="e">
        <f t="shared" si="269"/>
        <v>#DIV/0!</v>
      </c>
      <c r="AZ90" s="44" t="e">
        <f t="shared" si="269"/>
        <v>#DIV/0!</v>
      </c>
      <c r="BA90" s="14" t="e">
        <f t="shared" si="269"/>
        <v>#DIV/0!</v>
      </c>
      <c r="BB90" s="13" t="e">
        <f t="shared" si="269"/>
        <v>#DIV/0!</v>
      </c>
      <c r="BC90" s="44" t="e">
        <f t="shared" si="269"/>
        <v>#DIV/0!</v>
      </c>
      <c r="BD90" s="44" t="e">
        <f t="shared" si="269"/>
        <v>#DIV/0!</v>
      </c>
      <c r="BE90" s="14" t="e">
        <f t="shared" si="269"/>
        <v>#DIV/0!</v>
      </c>
      <c r="BF90" s="13" t="e">
        <f t="shared" si="269"/>
        <v>#DIV/0!</v>
      </c>
      <c r="BG90" s="44" t="e">
        <f t="shared" si="269"/>
        <v>#DIV/0!</v>
      </c>
      <c r="BH90" s="44" t="e">
        <f t="shared" si="269"/>
        <v>#DIV/0!</v>
      </c>
      <c r="BI90" s="14" t="e">
        <f t="shared" si="269"/>
        <v>#DIV/0!</v>
      </c>
      <c r="BJ90" s="13" t="e">
        <f t="shared" si="269"/>
        <v>#DIV/0!</v>
      </c>
      <c r="BK90" s="44" t="e">
        <f t="shared" si="269"/>
        <v>#DIV/0!</v>
      </c>
      <c r="BL90" s="44" t="e">
        <f t="shared" si="269"/>
        <v>#DIV/0!</v>
      </c>
      <c r="BM90" s="14" t="e">
        <f t="shared" si="269"/>
        <v>#DIV/0!</v>
      </c>
      <c r="BN90" s="13" t="e">
        <f t="shared" si="269"/>
        <v>#DIV/0!</v>
      </c>
      <c r="BO90" s="44" t="e">
        <f t="shared" si="269"/>
        <v>#DIV/0!</v>
      </c>
      <c r="BP90" s="44" t="e">
        <f t="shared" si="269"/>
        <v>#DIV/0!</v>
      </c>
      <c r="BQ90" s="14" t="e">
        <f t="shared" ref="BQ90:CK90" si="270">BQ87+2*(BQ88-1)</f>
        <v>#DIV/0!</v>
      </c>
      <c r="BR90" s="13" t="e">
        <f t="shared" si="270"/>
        <v>#DIV/0!</v>
      </c>
      <c r="BS90" s="44" t="e">
        <f t="shared" si="270"/>
        <v>#DIV/0!</v>
      </c>
      <c r="BT90" s="44" t="e">
        <f t="shared" si="270"/>
        <v>#DIV/0!</v>
      </c>
      <c r="BU90" s="14" t="e">
        <f t="shared" si="270"/>
        <v>#DIV/0!</v>
      </c>
      <c r="BV90" s="13" t="e">
        <f t="shared" si="270"/>
        <v>#DIV/0!</v>
      </c>
      <c r="BW90" s="44" t="e">
        <f t="shared" si="270"/>
        <v>#DIV/0!</v>
      </c>
      <c r="BX90" s="44" t="e">
        <f t="shared" si="270"/>
        <v>#DIV/0!</v>
      </c>
      <c r="BY90" s="14" t="e">
        <f t="shared" si="270"/>
        <v>#DIV/0!</v>
      </c>
      <c r="BZ90" s="13" t="e">
        <f t="shared" si="270"/>
        <v>#DIV/0!</v>
      </c>
      <c r="CA90" s="44" t="e">
        <f t="shared" si="270"/>
        <v>#DIV/0!</v>
      </c>
      <c r="CB90" s="44" t="e">
        <f t="shared" si="270"/>
        <v>#DIV/0!</v>
      </c>
      <c r="CC90" s="14" t="e">
        <f t="shared" si="270"/>
        <v>#DIV/0!</v>
      </c>
      <c r="CD90" s="13" t="e">
        <f t="shared" si="270"/>
        <v>#DIV/0!</v>
      </c>
      <c r="CE90" s="44" t="e">
        <f t="shared" si="270"/>
        <v>#DIV/0!</v>
      </c>
      <c r="CF90" s="44" t="e">
        <f t="shared" si="270"/>
        <v>#DIV/0!</v>
      </c>
      <c r="CG90" s="14" t="e">
        <f t="shared" si="270"/>
        <v>#DIV/0!</v>
      </c>
      <c r="CH90" s="13" t="e">
        <f t="shared" si="270"/>
        <v>#DIV/0!</v>
      </c>
      <c r="CI90" s="44" t="e">
        <f t="shared" si="270"/>
        <v>#DIV/0!</v>
      </c>
      <c r="CJ90" s="44" t="e">
        <f t="shared" si="270"/>
        <v>#DIV/0!</v>
      </c>
      <c r="CK90" s="14" t="e">
        <f t="shared" si="270"/>
        <v>#DIV/0!</v>
      </c>
      <c r="CL90" s="49"/>
      <c r="CM90" s="28"/>
    </row>
    <row r="91" spans="2:91" ht="14.25" x14ac:dyDescent="0.25">
      <c r="B91" s="55"/>
      <c r="C91" s="10" t="s">
        <v>304</v>
      </c>
      <c r="D91" s="93" t="s">
        <v>493</v>
      </c>
      <c r="E91" s="125">
        <f t="shared" ref="E91:AJ91" si="271">1-EXP(-E90*E49)</f>
        <v>0.39346934028736658</v>
      </c>
      <c r="F91" s="13">
        <f t="shared" si="271"/>
        <v>0.93455204288343052</v>
      </c>
      <c r="G91" s="44">
        <f t="shared" si="271"/>
        <v>0.93455204288343052</v>
      </c>
      <c r="H91" s="44">
        <f t="shared" si="271"/>
        <v>0.93261128968088547</v>
      </c>
      <c r="I91" s="14">
        <f t="shared" si="271"/>
        <v>0.93261128968088547</v>
      </c>
      <c r="J91" s="13">
        <f t="shared" si="271"/>
        <v>8.3781128349122436E-2</v>
      </c>
      <c r="K91" s="44" t="e">
        <f t="shared" si="271"/>
        <v>#DIV/0!</v>
      </c>
      <c r="L91" s="44">
        <f t="shared" si="271"/>
        <v>0.70673148807343744</v>
      </c>
      <c r="M91" s="14">
        <f t="shared" si="271"/>
        <v>0.70673148807343744</v>
      </c>
      <c r="N91" s="13">
        <f t="shared" si="271"/>
        <v>0.95107662596110865</v>
      </c>
      <c r="O91" s="44">
        <f t="shared" si="271"/>
        <v>0.98210677864899654</v>
      </c>
      <c r="P91" s="44">
        <f t="shared" si="271"/>
        <v>0.84618427746657066</v>
      </c>
      <c r="Q91" s="14">
        <f t="shared" si="271"/>
        <v>0.86357769219668579</v>
      </c>
      <c r="R91" s="13">
        <f t="shared" si="271"/>
        <v>0.13078664556667818</v>
      </c>
      <c r="S91" s="44" t="e">
        <f t="shared" si="271"/>
        <v>#DIV/0!</v>
      </c>
      <c r="T91" s="44">
        <f t="shared" si="271"/>
        <v>0.89114926923048099</v>
      </c>
      <c r="U91" s="14">
        <f t="shared" si="271"/>
        <v>0.89114926923048099</v>
      </c>
      <c r="V91" s="13">
        <f t="shared" si="271"/>
        <v>0.24000577502249842</v>
      </c>
      <c r="W91" s="44" t="e">
        <f t="shared" si="271"/>
        <v>#DIV/0!</v>
      </c>
      <c r="X91" s="44">
        <f t="shared" si="271"/>
        <v>0.84791768114729249</v>
      </c>
      <c r="Y91" s="14">
        <f t="shared" si="271"/>
        <v>0.84791768114729249</v>
      </c>
      <c r="Z91" s="13">
        <f t="shared" si="271"/>
        <v>0.23449705920195518</v>
      </c>
      <c r="AA91" s="44" t="e">
        <f t="shared" si="271"/>
        <v>#DIV/0!</v>
      </c>
      <c r="AB91" s="44">
        <f t="shared" si="271"/>
        <v>0.75042604627619269</v>
      </c>
      <c r="AC91" s="14">
        <f t="shared" si="271"/>
        <v>0.75042604627619269</v>
      </c>
      <c r="AD91" s="13">
        <f t="shared" si="271"/>
        <v>4.781887030149512E-2</v>
      </c>
      <c r="AE91" s="44" t="e">
        <f t="shared" si="271"/>
        <v>#DIV/0!</v>
      </c>
      <c r="AF91" s="44">
        <f t="shared" si="271"/>
        <v>0.65354418966994254</v>
      </c>
      <c r="AG91" s="14">
        <f t="shared" si="271"/>
        <v>0.65354418966994254</v>
      </c>
      <c r="AH91" s="13">
        <f t="shared" si="271"/>
        <v>0.70463859050560873</v>
      </c>
      <c r="AI91" s="44">
        <f t="shared" si="271"/>
        <v>0.75588384237102302</v>
      </c>
      <c r="AJ91" s="44">
        <f t="shared" si="271"/>
        <v>0.61728788186972028</v>
      </c>
      <c r="AK91" s="14">
        <f t="shared" ref="AK91:BP91" si="272">1-EXP(-AK90*AK49)</f>
        <v>0.61728788186972028</v>
      </c>
      <c r="AL91" s="13" t="e">
        <f t="shared" si="272"/>
        <v>#DIV/0!</v>
      </c>
      <c r="AM91" s="44" t="e">
        <f t="shared" si="272"/>
        <v>#DIV/0!</v>
      </c>
      <c r="AN91" s="44" t="e">
        <f t="shared" si="272"/>
        <v>#DIV/0!</v>
      </c>
      <c r="AO91" s="14" t="e">
        <f t="shared" si="272"/>
        <v>#DIV/0!</v>
      </c>
      <c r="AP91" s="13" t="e">
        <f t="shared" si="272"/>
        <v>#DIV/0!</v>
      </c>
      <c r="AQ91" s="44" t="e">
        <f t="shared" si="272"/>
        <v>#DIV/0!</v>
      </c>
      <c r="AR91" s="44" t="e">
        <f t="shared" si="272"/>
        <v>#DIV/0!</v>
      </c>
      <c r="AS91" s="14" t="e">
        <f t="shared" si="272"/>
        <v>#DIV/0!</v>
      </c>
      <c r="AT91" s="13" t="e">
        <f t="shared" si="272"/>
        <v>#DIV/0!</v>
      </c>
      <c r="AU91" s="44" t="e">
        <f t="shared" si="272"/>
        <v>#DIV/0!</v>
      </c>
      <c r="AV91" s="44" t="e">
        <f t="shared" si="272"/>
        <v>#DIV/0!</v>
      </c>
      <c r="AW91" s="14" t="e">
        <f t="shared" si="272"/>
        <v>#DIV/0!</v>
      </c>
      <c r="AX91" s="13" t="e">
        <f t="shared" si="272"/>
        <v>#DIV/0!</v>
      </c>
      <c r="AY91" s="44" t="e">
        <f t="shared" si="272"/>
        <v>#DIV/0!</v>
      </c>
      <c r="AZ91" s="44" t="e">
        <f t="shared" si="272"/>
        <v>#DIV/0!</v>
      </c>
      <c r="BA91" s="14" t="e">
        <f t="shared" si="272"/>
        <v>#DIV/0!</v>
      </c>
      <c r="BB91" s="13" t="e">
        <f t="shared" si="272"/>
        <v>#DIV/0!</v>
      </c>
      <c r="BC91" s="44" t="e">
        <f t="shared" si="272"/>
        <v>#DIV/0!</v>
      </c>
      <c r="BD91" s="44" t="e">
        <f t="shared" si="272"/>
        <v>#DIV/0!</v>
      </c>
      <c r="BE91" s="14" t="e">
        <f t="shared" si="272"/>
        <v>#DIV/0!</v>
      </c>
      <c r="BF91" s="13" t="e">
        <f t="shared" si="272"/>
        <v>#DIV/0!</v>
      </c>
      <c r="BG91" s="44" t="e">
        <f t="shared" si="272"/>
        <v>#DIV/0!</v>
      </c>
      <c r="BH91" s="44" t="e">
        <f t="shared" si="272"/>
        <v>#DIV/0!</v>
      </c>
      <c r="BI91" s="14" t="e">
        <f t="shared" si="272"/>
        <v>#DIV/0!</v>
      </c>
      <c r="BJ91" s="13" t="e">
        <f t="shared" si="272"/>
        <v>#DIV/0!</v>
      </c>
      <c r="BK91" s="44" t="e">
        <f t="shared" si="272"/>
        <v>#DIV/0!</v>
      </c>
      <c r="BL91" s="44" t="e">
        <f t="shared" si="272"/>
        <v>#DIV/0!</v>
      </c>
      <c r="BM91" s="14" t="e">
        <f t="shared" si="272"/>
        <v>#DIV/0!</v>
      </c>
      <c r="BN91" s="13" t="e">
        <f t="shared" si="272"/>
        <v>#DIV/0!</v>
      </c>
      <c r="BO91" s="44" t="e">
        <f t="shared" si="272"/>
        <v>#DIV/0!</v>
      </c>
      <c r="BP91" s="44" t="e">
        <f t="shared" si="272"/>
        <v>#DIV/0!</v>
      </c>
      <c r="BQ91" s="14" t="e">
        <f t="shared" ref="BQ91:CK91" si="273">1-EXP(-BQ90*BQ49)</f>
        <v>#DIV/0!</v>
      </c>
      <c r="BR91" s="13" t="e">
        <f t="shared" si="273"/>
        <v>#DIV/0!</v>
      </c>
      <c r="BS91" s="44" t="e">
        <f t="shared" si="273"/>
        <v>#DIV/0!</v>
      </c>
      <c r="BT91" s="44" t="e">
        <f t="shared" si="273"/>
        <v>#DIV/0!</v>
      </c>
      <c r="BU91" s="14" t="e">
        <f t="shared" si="273"/>
        <v>#DIV/0!</v>
      </c>
      <c r="BV91" s="13" t="e">
        <f t="shared" si="273"/>
        <v>#DIV/0!</v>
      </c>
      <c r="BW91" s="44" t="e">
        <f t="shared" si="273"/>
        <v>#DIV/0!</v>
      </c>
      <c r="BX91" s="44" t="e">
        <f t="shared" si="273"/>
        <v>#DIV/0!</v>
      </c>
      <c r="BY91" s="14" t="e">
        <f t="shared" si="273"/>
        <v>#DIV/0!</v>
      </c>
      <c r="BZ91" s="13" t="e">
        <f t="shared" si="273"/>
        <v>#DIV/0!</v>
      </c>
      <c r="CA91" s="44" t="e">
        <f t="shared" si="273"/>
        <v>#DIV/0!</v>
      </c>
      <c r="CB91" s="44" t="e">
        <f t="shared" si="273"/>
        <v>#DIV/0!</v>
      </c>
      <c r="CC91" s="14" t="e">
        <f t="shared" si="273"/>
        <v>#DIV/0!</v>
      </c>
      <c r="CD91" s="13" t="e">
        <f t="shared" si="273"/>
        <v>#DIV/0!</v>
      </c>
      <c r="CE91" s="44" t="e">
        <f t="shared" si="273"/>
        <v>#DIV/0!</v>
      </c>
      <c r="CF91" s="44" t="e">
        <f t="shared" si="273"/>
        <v>#DIV/0!</v>
      </c>
      <c r="CG91" s="14" t="e">
        <f t="shared" si="273"/>
        <v>#DIV/0!</v>
      </c>
      <c r="CH91" s="13" t="e">
        <f t="shared" si="273"/>
        <v>#DIV/0!</v>
      </c>
      <c r="CI91" s="44" t="e">
        <f t="shared" si="273"/>
        <v>#DIV/0!</v>
      </c>
      <c r="CJ91" s="44" t="e">
        <f t="shared" si="273"/>
        <v>#DIV/0!</v>
      </c>
      <c r="CK91" s="14" t="e">
        <f t="shared" si="273"/>
        <v>#DIV/0!</v>
      </c>
      <c r="CL91" s="49"/>
      <c r="CM91" s="28"/>
    </row>
    <row r="92" spans="2:91" ht="14.25" x14ac:dyDescent="0.25">
      <c r="B92" s="55"/>
      <c r="C92" s="10" t="s">
        <v>305</v>
      </c>
      <c r="D92" s="93" t="s">
        <v>494</v>
      </c>
      <c r="E92" s="125">
        <f t="shared" ref="E92:AJ92" si="274">1-(1-E91)^E31</f>
        <v>0</v>
      </c>
      <c r="F92" s="13">
        <f t="shared" si="274"/>
        <v>1</v>
      </c>
      <c r="G92" s="44">
        <f t="shared" si="274"/>
        <v>1</v>
      </c>
      <c r="H92" s="44">
        <f t="shared" si="274"/>
        <v>1</v>
      </c>
      <c r="I92" s="14">
        <f t="shared" si="274"/>
        <v>1</v>
      </c>
      <c r="J92" s="13">
        <f t="shared" si="274"/>
        <v>0.96980261657768163</v>
      </c>
      <c r="K92" s="44" t="e">
        <f t="shared" si="274"/>
        <v>#DIV/0!</v>
      </c>
      <c r="L92" s="44">
        <f t="shared" si="274"/>
        <v>1</v>
      </c>
      <c r="M92" s="14">
        <f t="shared" si="274"/>
        <v>1</v>
      </c>
      <c r="N92" s="13">
        <f t="shared" si="274"/>
        <v>1</v>
      </c>
      <c r="O92" s="44">
        <f t="shared" si="274"/>
        <v>1</v>
      </c>
      <c r="P92" s="44">
        <f t="shared" si="274"/>
        <v>1</v>
      </c>
      <c r="Q92" s="14">
        <f t="shared" si="274"/>
        <v>1</v>
      </c>
      <c r="R92" s="13">
        <f t="shared" si="274"/>
        <v>0.9802512813193095</v>
      </c>
      <c r="S92" s="44" t="e">
        <f t="shared" si="274"/>
        <v>#DIV/0!</v>
      </c>
      <c r="T92" s="44">
        <f t="shared" si="274"/>
        <v>1</v>
      </c>
      <c r="U92" s="14">
        <f t="shared" si="274"/>
        <v>1</v>
      </c>
      <c r="V92" s="13">
        <f t="shared" si="274"/>
        <v>0.99999999848657251</v>
      </c>
      <c r="W92" s="44" t="e">
        <f t="shared" si="274"/>
        <v>#DIV/0!</v>
      </c>
      <c r="X92" s="44">
        <f t="shared" si="274"/>
        <v>1</v>
      </c>
      <c r="Y92" s="14">
        <f t="shared" si="274"/>
        <v>1</v>
      </c>
      <c r="Z92" s="13">
        <f t="shared" si="274"/>
        <v>0.99991327581630995</v>
      </c>
      <c r="AA92" s="44" t="e">
        <f t="shared" si="274"/>
        <v>#DIV/0!</v>
      </c>
      <c r="AB92" s="44">
        <f t="shared" si="274"/>
        <v>1</v>
      </c>
      <c r="AC92" s="14">
        <f t="shared" si="274"/>
        <v>1</v>
      </c>
      <c r="AD92" s="13">
        <f t="shared" si="274"/>
        <v>0.8015067133837761</v>
      </c>
      <c r="AE92" s="44" t="e">
        <f t="shared" si="274"/>
        <v>#DIV/0!</v>
      </c>
      <c r="AF92" s="44">
        <f t="shared" si="274"/>
        <v>0.99999999999998457</v>
      </c>
      <c r="AG92" s="14">
        <f t="shared" si="274"/>
        <v>0.99999999999998457</v>
      </c>
      <c r="AH92" s="13">
        <f t="shared" si="274"/>
        <v>1</v>
      </c>
      <c r="AI92" s="44">
        <f t="shared" si="274"/>
        <v>1</v>
      </c>
      <c r="AJ92" s="44">
        <f t="shared" si="274"/>
        <v>1</v>
      </c>
      <c r="AK92" s="14">
        <f t="shared" ref="AK92:BP92" si="275">1-(1-AK91)^AK31</f>
        <v>1</v>
      </c>
      <c r="AL92" s="13" t="e">
        <f t="shared" si="275"/>
        <v>#DIV/0!</v>
      </c>
      <c r="AM92" s="44" t="e">
        <f t="shared" si="275"/>
        <v>#DIV/0!</v>
      </c>
      <c r="AN92" s="44" t="e">
        <f t="shared" si="275"/>
        <v>#DIV/0!</v>
      </c>
      <c r="AO92" s="14" t="e">
        <f t="shared" si="275"/>
        <v>#DIV/0!</v>
      </c>
      <c r="AP92" s="13" t="e">
        <f t="shared" si="275"/>
        <v>#DIV/0!</v>
      </c>
      <c r="AQ92" s="44" t="e">
        <f t="shared" si="275"/>
        <v>#DIV/0!</v>
      </c>
      <c r="AR92" s="44" t="e">
        <f t="shared" si="275"/>
        <v>#DIV/0!</v>
      </c>
      <c r="AS92" s="14" t="e">
        <f t="shared" si="275"/>
        <v>#DIV/0!</v>
      </c>
      <c r="AT92" s="13" t="e">
        <f t="shared" si="275"/>
        <v>#DIV/0!</v>
      </c>
      <c r="AU92" s="44" t="e">
        <f t="shared" si="275"/>
        <v>#DIV/0!</v>
      </c>
      <c r="AV92" s="44" t="e">
        <f t="shared" si="275"/>
        <v>#DIV/0!</v>
      </c>
      <c r="AW92" s="14" t="e">
        <f t="shared" si="275"/>
        <v>#DIV/0!</v>
      </c>
      <c r="AX92" s="13" t="e">
        <f t="shared" si="275"/>
        <v>#DIV/0!</v>
      </c>
      <c r="AY92" s="44" t="e">
        <f t="shared" si="275"/>
        <v>#DIV/0!</v>
      </c>
      <c r="AZ92" s="44" t="e">
        <f t="shared" si="275"/>
        <v>#DIV/0!</v>
      </c>
      <c r="BA92" s="14" t="e">
        <f t="shared" si="275"/>
        <v>#DIV/0!</v>
      </c>
      <c r="BB92" s="13" t="e">
        <f t="shared" si="275"/>
        <v>#DIV/0!</v>
      </c>
      <c r="BC92" s="44" t="e">
        <f t="shared" si="275"/>
        <v>#DIV/0!</v>
      </c>
      <c r="BD92" s="44" t="e">
        <f t="shared" si="275"/>
        <v>#DIV/0!</v>
      </c>
      <c r="BE92" s="14" t="e">
        <f t="shared" si="275"/>
        <v>#DIV/0!</v>
      </c>
      <c r="BF92" s="13" t="e">
        <f t="shared" si="275"/>
        <v>#DIV/0!</v>
      </c>
      <c r="BG92" s="44" t="e">
        <f t="shared" si="275"/>
        <v>#DIV/0!</v>
      </c>
      <c r="BH92" s="44" t="e">
        <f t="shared" si="275"/>
        <v>#DIV/0!</v>
      </c>
      <c r="BI92" s="14" t="e">
        <f t="shared" si="275"/>
        <v>#DIV/0!</v>
      </c>
      <c r="BJ92" s="13" t="e">
        <f t="shared" si="275"/>
        <v>#DIV/0!</v>
      </c>
      <c r="BK92" s="44" t="e">
        <f t="shared" si="275"/>
        <v>#DIV/0!</v>
      </c>
      <c r="BL92" s="44" t="e">
        <f t="shared" si="275"/>
        <v>#DIV/0!</v>
      </c>
      <c r="BM92" s="14" t="e">
        <f t="shared" si="275"/>
        <v>#DIV/0!</v>
      </c>
      <c r="BN92" s="13" t="e">
        <f t="shared" si="275"/>
        <v>#DIV/0!</v>
      </c>
      <c r="BO92" s="44" t="e">
        <f t="shared" si="275"/>
        <v>#DIV/0!</v>
      </c>
      <c r="BP92" s="44" t="e">
        <f t="shared" si="275"/>
        <v>#DIV/0!</v>
      </c>
      <c r="BQ92" s="14" t="e">
        <f t="shared" ref="BQ92:CK92" si="276">1-(1-BQ91)^BQ31</f>
        <v>#DIV/0!</v>
      </c>
      <c r="BR92" s="13" t="e">
        <f t="shared" si="276"/>
        <v>#DIV/0!</v>
      </c>
      <c r="BS92" s="44" t="e">
        <f t="shared" si="276"/>
        <v>#DIV/0!</v>
      </c>
      <c r="BT92" s="44" t="e">
        <f t="shared" si="276"/>
        <v>#DIV/0!</v>
      </c>
      <c r="BU92" s="14" t="e">
        <f t="shared" si="276"/>
        <v>#DIV/0!</v>
      </c>
      <c r="BV92" s="13" t="e">
        <f t="shared" si="276"/>
        <v>#DIV/0!</v>
      </c>
      <c r="BW92" s="44" t="e">
        <f t="shared" si="276"/>
        <v>#DIV/0!</v>
      </c>
      <c r="BX92" s="44" t="e">
        <f t="shared" si="276"/>
        <v>#DIV/0!</v>
      </c>
      <c r="BY92" s="14" t="e">
        <f t="shared" si="276"/>
        <v>#DIV/0!</v>
      </c>
      <c r="BZ92" s="13" t="e">
        <f t="shared" si="276"/>
        <v>#DIV/0!</v>
      </c>
      <c r="CA92" s="44" t="e">
        <f t="shared" si="276"/>
        <v>#DIV/0!</v>
      </c>
      <c r="CB92" s="44" t="e">
        <f t="shared" si="276"/>
        <v>#DIV/0!</v>
      </c>
      <c r="CC92" s="14" t="e">
        <f t="shared" si="276"/>
        <v>#DIV/0!</v>
      </c>
      <c r="CD92" s="13" t="e">
        <f t="shared" si="276"/>
        <v>#DIV/0!</v>
      </c>
      <c r="CE92" s="44" t="e">
        <f t="shared" si="276"/>
        <v>#DIV/0!</v>
      </c>
      <c r="CF92" s="44" t="e">
        <f t="shared" si="276"/>
        <v>#DIV/0!</v>
      </c>
      <c r="CG92" s="14" t="e">
        <f t="shared" si="276"/>
        <v>#DIV/0!</v>
      </c>
      <c r="CH92" s="13" t="e">
        <f t="shared" si="276"/>
        <v>#DIV/0!</v>
      </c>
      <c r="CI92" s="44" t="e">
        <f t="shared" si="276"/>
        <v>#DIV/0!</v>
      </c>
      <c r="CJ92" s="44" t="e">
        <f t="shared" si="276"/>
        <v>#DIV/0!</v>
      </c>
      <c r="CK92" s="14" t="e">
        <f t="shared" si="276"/>
        <v>#DIV/0!</v>
      </c>
      <c r="CL92" s="49"/>
      <c r="CM92" s="28"/>
    </row>
    <row r="93" spans="2:91" ht="14.25" x14ac:dyDescent="0.25">
      <c r="B93" s="55"/>
      <c r="C93" s="10" t="s">
        <v>306</v>
      </c>
      <c r="D93" s="93" t="s">
        <v>496</v>
      </c>
      <c r="E93" s="125" t="e">
        <f t="shared" ref="E93:AJ93" si="277">(1/E49)*(EXP(E49*E90)-E49*E90-1)/E92</f>
        <v>#DIV/0!</v>
      </c>
      <c r="F93" s="13">
        <f t="shared" si="277"/>
        <v>34.745310435488904</v>
      </c>
      <c r="G93" s="44">
        <f t="shared" si="277"/>
        <v>34.745310435488904</v>
      </c>
      <c r="H93" s="44">
        <f t="shared" si="277"/>
        <v>38.829826851643496</v>
      </c>
      <c r="I93" s="14">
        <f t="shared" si="277"/>
        <v>38.829826851643496</v>
      </c>
      <c r="J93" s="13">
        <f t="shared" si="277"/>
        <v>0.3252013863904516</v>
      </c>
      <c r="K93" s="44" t="e">
        <f t="shared" si="277"/>
        <v>#DIV/0!</v>
      </c>
      <c r="L93" s="44">
        <f t="shared" si="277"/>
        <v>7.7163766754240308</v>
      </c>
      <c r="M93" s="14">
        <f t="shared" si="277"/>
        <v>7.7163766754240308</v>
      </c>
      <c r="N93" s="13">
        <f t="shared" si="277"/>
        <v>48.982153084492509</v>
      </c>
      <c r="O93" s="44">
        <f t="shared" si="277"/>
        <v>151.70630447998082</v>
      </c>
      <c r="P93" s="44">
        <f t="shared" si="277"/>
        <v>15.122024905556131</v>
      </c>
      <c r="Q93" s="14">
        <f t="shared" si="277"/>
        <v>18.075747794419311</v>
      </c>
      <c r="R93" s="13">
        <f t="shared" si="277"/>
        <v>0.43474540823880525</v>
      </c>
      <c r="S93" s="44" t="e">
        <f t="shared" si="277"/>
        <v>#DIV/0!</v>
      </c>
      <c r="T93" s="44">
        <f t="shared" si="277"/>
        <v>21.531878008616566</v>
      </c>
      <c r="U93" s="14">
        <f t="shared" si="277"/>
        <v>21.531878008616566</v>
      </c>
      <c r="V93" s="13">
        <f t="shared" si="277"/>
        <v>1.567137891258126</v>
      </c>
      <c r="W93" s="44" t="e">
        <f t="shared" si="277"/>
        <v>#DIV/0!</v>
      </c>
      <c r="X93" s="44">
        <f t="shared" si="277"/>
        <v>14.702865904963007</v>
      </c>
      <c r="Y93" s="14">
        <f t="shared" si="277"/>
        <v>14.702865904963007</v>
      </c>
      <c r="Z93" s="13">
        <f t="shared" si="277"/>
        <v>0.95137004225317079</v>
      </c>
      <c r="AA93" s="44" t="e">
        <f t="shared" si="277"/>
        <v>#DIV/0!</v>
      </c>
      <c r="AB93" s="44">
        <f t="shared" si="277"/>
        <v>8.3973806312050439</v>
      </c>
      <c r="AC93" s="14">
        <f t="shared" si="277"/>
        <v>8.3973806312050439</v>
      </c>
      <c r="AD93" s="13">
        <f t="shared" si="277"/>
        <v>0.1957591064224676</v>
      </c>
      <c r="AE93" s="44" t="e">
        <f t="shared" si="277"/>
        <v>#DIV/0!</v>
      </c>
      <c r="AF93" s="44">
        <f t="shared" si="277"/>
        <v>4.6775716373658742</v>
      </c>
      <c r="AG93" s="14">
        <f t="shared" si="277"/>
        <v>4.6775716373658742</v>
      </c>
      <c r="AH93" s="13">
        <f t="shared" si="277"/>
        <v>6.1196174122711779</v>
      </c>
      <c r="AI93" s="44">
        <f t="shared" si="277"/>
        <v>8.8493847344642411</v>
      </c>
      <c r="AJ93" s="44">
        <f t="shared" si="277"/>
        <v>4.8230969954805314</v>
      </c>
      <c r="AK93" s="14">
        <f t="shared" ref="AK93:BP93" si="278">(1/AK49)*(EXP(AK49*AK90)-AK49*AK90-1)/AK92</f>
        <v>4.8230969954805314</v>
      </c>
      <c r="AL93" s="13" t="e">
        <f t="shared" si="278"/>
        <v>#DIV/0!</v>
      </c>
      <c r="AM93" s="44" t="e">
        <f t="shared" si="278"/>
        <v>#DIV/0!</v>
      </c>
      <c r="AN93" s="44" t="e">
        <f t="shared" si="278"/>
        <v>#DIV/0!</v>
      </c>
      <c r="AO93" s="14" t="e">
        <f t="shared" si="278"/>
        <v>#DIV/0!</v>
      </c>
      <c r="AP93" s="13" t="e">
        <f t="shared" si="278"/>
        <v>#DIV/0!</v>
      </c>
      <c r="AQ93" s="44" t="e">
        <f t="shared" si="278"/>
        <v>#DIV/0!</v>
      </c>
      <c r="AR93" s="44" t="e">
        <f t="shared" si="278"/>
        <v>#DIV/0!</v>
      </c>
      <c r="AS93" s="14" t="e">
        <f t="shared" si="278"/>
        <v>#DIV/0!</v>
      </c>
      <c r="AT93" s="13" t="e">
        <f t="shared" si="278"/>
        <v>#DIV/0!</v>
      </c>
      <c r="AU93" s="44" t="e">
        <f t="shared" si="278"/>
        <v>#DIV/0!</v>
      </c>
      <c r="AV93" s="44" t="e">
        <f t="shared" si="278"/>
        <v>#DIV/0!</v>
      </c>
      <c r="AW93" s="14" t="e">
        <f t="shared" si="278"/>
        <v>#DIV/0!</v>
      </c>
      <c r="AX93" s="13" t="e">
        <f t="shared" si="278"/>
        <v>#DIV/0!</v>
      </c>
      <c r="AY93" s="44" t="e">
        <f t="shared" si="278"/>
        <v>#DIV/0!</v>
      </c>
      <c r="AZ93" s="44" t="e">
        <f t="shared" si="278"/>
        <v>#DIV/0!</v>
      </c>
      <c r="BA93" s="14" t="e">
        <f t="shared" si="278"/>
        <v>#DIV/0!</v>
      </c>
      <c r="BB93" s="13" t="e">
        <f t="shared" si="278"/>
        <v>#DIV/0!</v>
      </c>
      <c r="BC93" s="44" t="e">
        <f t="shared" si="278"/>
        <v>#DIV/0!</v>
      </c>
      <c r="BD93" s="44" t="e">
        <f t="shared" si="278"/>
        <v>#DIV/0!</v>
      </c>
      <c r="BE93" s="14" t="e">
        <f t="shared" si="278"/>
        <v>#DIV/0!</v>
      </c>
      <c r="BF93" s="13" t="e">
        <f t="shared" si="278"/>
        <v>#DIV/0!</v>
      </c>
      <c r="BG93" s="44" t="e">
        <f t="shared" si="278"/>
        <v>#DIV/0!</v>
      </c>
      <c r="BH93" s="44" t="e">
        <f t="shared" si="278"/>
        <v>#DIV/0!</v>
      </c>
      <c r="BI93" s="14" t="e">
        <f t="shared" si="278"/>
        <v>#DIV/0!</v>
      </c>
      <c r="BJ93" s="13" t="e">
        <f t="shared" si="278"/>
        <v>#DIV/0!</v>
      </c>
      <c r="BK93" s="44" t="e">
        <f t="shared" si="278"/>
        <v>#DIV/0!</v>
      </c>
      <c r="BL93" s="44" t="e">
        <f t="shared" si="278"/>
        <v>#DIV/0!</v>
      </c>
      <c r="BM93" s="14" t="e">
        <f t="shared" si="278"/>
        <v>#DIV/0!</v>
      </c>
      <c r="BN93" s="13" t="e">
        <f t="shared" si="278"/>
        <v>#DIV/0!</v>
      </c>
      <c r="BO93" s="44" t="e">
        <f t="shared" si="278"/>
        <v>#DIV/0!</v>
      </c>
      <c r="BP93" s="44" t="e">
        <f t="shared" si="278"/>
        <v>#DIV/0!</v>
      </c>
      <c r="BQ93" s="14" t="e">
        <f t="shared" ref="BQ93:CK93" si="279">(1/BQ49)*(EXP(BQ49*BQ90)-BQ49*BQ90-1)/BQ92</f>
        <v>#DIV/0!</v>
      </c>
      <c r="BR93" s="13" t="e">
        <f t="shared" si="279"/>
        <v>#DIV/0!</v>
      </c>
      <c r="BS93" s="44" t="e">
        <f t="shared" si="279"/>
        <v>#DIV/0!</v>
      </c>
      <c r="BT93" s="44" t="e">
        <f t="shared" si="279"/>
        <v>#DIV/0!</v>
      </c>
      <c r="BU93" s="14" t="e">
        <f t="shared" si="279"/>
        <v>#DIV/0!</v>
      </c>
      <c r="BV93" s="13" t="e">
        <f t="shared" si="279"/>
        <v>#DIV/0!</v>
      </c>
      <c r="BW93" s="44" t="e">
        <f t="shared" si="279"/>
        <v>#DIV/0!</v>
      </c>
      <c r="BX93" s="44" t="e">
        <f t="shared" si="279"/>
        <v>#DIV/0!</v>
      </c>
      <c r="BY93" s="14" t="e">
        <f t="shared" si="279"/>
        <v>#DIV/0!</v>
      </c>
      <c r="BZ93" s="13" t="e">
        <f t="shared" si="279"/>
        <v>#DIV/0!</v>
      </c>
      <c r="CA93" s="44" t="e">
        <f t="shared" si="279"/>
        <v>#DIV/0!</v>
      </c>
      <c r="CB93" s="44" t="e">
        <f t="shared" si="279"/>
        <v>#DIV/0!</v>
      </c>
      <c r="CC93" s="14" t="e">
        <f t="shared" si="279"/>
        <v>#DIV/0!</v>
      </c>
      <c r="CD93" s="13" t="e">
        <f t="shared" si="279"/>
        <v>#DIV/0!</v>
      </c>
      <c r="CE93" s="44" t="e">
        <f t="shared" si="279"/>
        <v>#DIV/0!</v>
      </c>
      <c r="CF93" s="44" t="e">
        <f t="shared" si="279"/>
        <v>#DIV/0!</v>
      </c>
      <c r="CG93" s="14" t="e">
        <f t="shared" si="279"/>
        <v>#DIV/0!</v>
      </c>
      <c r="CH93" s="13" t="e">
        <f t="shared" si="279"/>
        <v>#DIV/0!</v>
      </c>
      <c r="CI93" s="44" t="e">
        <f t="shared" si="279"/>
        <v>#DIV/0!</v>
      </c>
      <c r="CJ93" s="44" t="e">
        <f t="shared" si="279"/>
        <v>#DIV/0!</v>
      </c>
      <c r="CK93" s="14" t="e">
        <f t="shared" si="279"/>
        <v>#DIV/0!</v>
      </c>
      <c r="CL93" s="49"/>
      <c r="CM93" s="28"/>
    </row>
    <row r="94" spans="2:91" x14ac:dyDescent="0.25">
      <c r="B94" s="55"/>
      <c r="C94" s="10" t="s">
        <v>287</v>
      </c>
      <c r="D94" s="93" t="s">
        <v>497</v>
      </c>
      <c r="E94" s="125">
        <f t="shared" ref="E94:AJ94" si="280">((1/E49) - (E90+(1/E49))*EXP(-E49*E90))/(1-EXP(-E49*E90))</f>
        <v>1.3755177523896056</v>
      </c>
      <c r="F94" s="13">
        <f t="shared" si="280"/>
        <v>2.4332615874099748</v>
      </c>
      <c r="G94" s="44">
        <f t="shared" si="280"/>
        <v>2.4332615874099748</v>
      </c>
      <c r="H94" s="44">
        <f t="shared" si="280"/>
        <v>2.8057691156002842</v>
      </c>
      <c r="I94" s="14">
        <f t="shared" si="280"/>
        <v>2.8057691156002842</v>
      </c>
      <c r="J94" s="13">
        <f t="shared" si="280"/>
        <v>3.4489648452756025</v>
      </c>
      <c r="K94" s="44" t="e">
        <f t="shared" si="280"/>
        <v>#DIV/0!</v>
      </c>
      <c r="L94" s="44">
        <f t="shared" si="280"/>
        <v>3.2020227529911507</v>
      </c>
      <c r="M94" s="14">
        <f t="shared" si="280"/>
        <v>3.2020227529911507</v>
      </c>
      <c r="N94" s="13">
        <f t="shared" si="280"/>
        <v>2.5196415632244276</v>
      </c>
      <c r="O94" s="44">
        <f t="shared" si="280"/>
        <v>2.7639708282404492</v>
      </c>
      <c r="P94" s="44">
        <f t="shared" si="280"/>
        <v>2.7488163618219912</v>
      </c>
      <c r="Q94" s="14">
        <f t="shared" si="280"/>
        <v>2.8554874120390261</v>
      </c>
      <c r="R94" s="13">
        <f t="shared" si="280"/>
        <v>2.8322749508888792</v>
      </c>
      <c r="S94" s="44" t="e">
        <f t="shared" si="280"/>
        <v>#DIV/0!</v>
      </c>
      <c r="T94" s="44">
        <f t="shared" si="280"/>
        <v>2.6300427290951114</v>
      </c>
      <c r="U94" s="14">
        <f t="shared" si="280"/>
        <v>2.6300427290951114</v>
      </c>
      <c r="V94" s="13">
        <f t="shared" si="280"/>
        <v>4.9624461960777069</v>
      </c>
      <c r="W94" s="44" t="e">
        <f t="shared" si="280"/>
        <v>#DIV/0!</v>
      </c>
      <c r="X94" s="44">
        <f t="shared" si="280"/>
        <v>2.6371026224876664</v>
      </c>
      <c r="Y94" s="14">
        <f t="shared" si="280"/>
        <v>2.6371026224876664</v>
      </c>
      <c r="Z94" s="13">
        <f t="shared" si="280"/>
        <v>3.1054266028734694</v>
      </c>
      <c r="AA94" s="44" t="e">
        <f t="shared" si="280"/>
        <v>#DIV/0!</v>
      </c>
      <c r="AB94" s="44">
        <f t="shared" si="280"/>
        <v>2.7927701809569401</v>
      </c>
      <c r="AC94" s="14">
        <f t="shared" si="280"/>
        <v>2.7927701809569401</v>
      </c>
      <c r="AD94" s="13">
        <f t="shared" si="280"/>
        <v>3.1242760293694785</v>
      </c>
      <c r="AE94" s="44" t="e">
        <f t="shared" si="280"/>
        <v>#DIV/0!</v>
      </c>
      <c r="AF94" s="44">
        <f t="shared" si="280"/>
        <v>2.4796668650958331</v>
      </c>
      <c r="AG94" s="14">
        <f t="shared" si="280"/>
        <v>2.4796668650958331</v>
      </c>
      <c r="AH94" s="13">
        <f t="shared" si="280"/>
        <v>2.5651431085513998</v>
      </c>
      <c r="AI94" s="44">
        <f t="shared" si="280"/>
        <v>2.8579494330526645</v>
      </c>
      <c r="AJ94" s="44">
        <f t="shared" si="280"/>
        <v>2.9902703767603107</v>
      </c>
      <c r="AK94" s="14">
        <f t="shared" ref="AK94:BP94" si="281">((1/AK49) - (AK90+(1/AK49))*EXP(-AK49*AK90))/(1-EXP(-AK49*AK90))</f>
        <v>2.9902703767603107</v>
      </c>
      <c r="AL94" s="13" t="e">
        <f t="shared" si="281"/>
        <v>#DIV/0!</v>
      </c>
      <c r="AM94" s="44" t="e">
        <f t="shared" si="281"/>
        <v>#DIV/0!</v>
      </c>
      <c r="AN94" s="44" t="e">
        <f t="shared" si="281"/>
        <v>#DIV/0!</v>
      </c>
      <c r="AO94" s="14" t="e">
        <f t="shared" si="281"/>
        <v>#DIV/0!</v>
      </c>
      <c r="AP94" s="13" t="e">
        <f t="shared" si="281"/>
        <v>#DIV/0!</v>
      </c>
      <c r="AQ94" s="44" t="e">
        <f t="shared" si="281"/>
        <v>#DIV/0!</v>
      </c>
      <c r="AR94" s="44" t="e">
        <f t="shared" si="281"/>
        <v>#DIV/0!</v>
      </c>
      <c r="AS94" s="14" t="e">
        <f t="shared" si="281"/>
        <v>#DIV/0!</v>
      </c>
      <c r="AT94" s="13" t="e">
        <f t="shared" si="281"/>
        <v>#DIV/0!</v>
      </c>
      <c r="AU94" s="44" t="e">
        <f t="shared" si="281"/>
        <v>#DIV/0!</v>
      </c>
      <c r="AV94" s="44" t="e">
        <f t="shared" si="281"/>
        <v>#DIV/0!</v>
      </c>
      <c r="AW94" s="14" t="e">
        <f t="shared" si="281"/>
        <v>#DIV/0!</v>
      </c>
      <c r="AX94" s="13" t="e">
        <f t="shared" si="281"/>
        <v>#DIV/0!</v>
      </c>
      <c r="AY94" s="44" t="e">
        <f t="shared" si="281"/>
        <v>#DIV/0!</v>
      </c>
      <c r="AZ94" s="44" t="e">
        <f t="shared" si="281"/>
        <v>#DIV/0!</v>
      </c>
      <c r="BA94" s="14" t="e">
        <f t="shared" si="281"/>
        <v>#DIV/0!</v>
      </c>
      <c r="BB94" s="13" t="e">
        <f t="shared" si="281"/>
        <v>#DIV/0!</v>
      </c>
      <c r="BC94" s="44" t="e">
        <f t="shared" si="281"/>
        <v>#DIV/0!</v>
      </c>
      <c r="BD94" s="44" t="e">
        <f t="shared" si="281"/>
        <v>#DIV/0!</v>
      </c>
      <c r="BE94" s="14" t="e">
        <f t="shared" si="281"/>
        <v>#DIV/0!</v>
      </c>
      <c r="BF94" s="13" t="e">
        <f t="shared" si="281"/>
        <v>#DIV/0!</v>
      </c>
      <c r="BG94" s="44" t="e">
        <f t="shared" si="281"/>
        <v>#DIV/0!</v>
      </c>
      <c r="BH94" s="44" t="e">
        <f t="shared" si="281"/>
        <v>#DIV/0!</v>
      </c>
      <c r="BI94" s="14" t="e">
        <f t="shared" si="281"/>
        <v>#DIV/0!</v>
      </c>
      <c r="BJ94" s="13" t="e">
        <f t="shared" si="281"/>
        <v>#DIV/0!</v>
      </c>
      <c r="BK94" s="44" t="e">
        <f t="shared" si="281"/>
        <v>#DIV/0!</v>
      </c>
      <c r="BL94" s="44" t="e">
        <f t="shared" si="281"/>
        <v>#DIV/0!</v>
      </c>
      <c r="BM94" s="14" t="e">
        <f t="shared" si="281"/>
        <v>#DIV/0!</v>
      </c>
      <c r="BN94" s="13" t="e">
        <f t="shared" si="281"/>
        <v>#DIV/0!</v>
      </c>
      <c r="BO94" s="44" t="e">
        <f t="shared" si="281"/>
        <v>#DIV/0!</v>
      </c>
      <c r="BP94" s="44" t="e">
        <f t="shared" si="281"/>
        <v>#DIV/0!</v>
      </c>
      <c r="BQ94" s="14" t="e">
        <f t="shared" ref="BQ94:CK94" si="282">((1/BQ49) - (BQ90+(1/BQ49))*EXP(-BQ49*BQ90))/(1-EXP(-BQ49*BQ90))</f>
        <v>#DIV/0!</v>
      </c>
      <c r="BR94" s="13" t="e">
        <f t="shared" si="282"/>
        <v>#DIV/0!</v>
      </c>
      <c r="BS94" s="44" t="e">
        <f t="shared" si="282"/>
        <v>#DIV/0!</v>
      </c>
      <c r="BT94" s="44" t="e">
        <f t="shared" si="282"/>
        <v>#DIV/0!</v>
      </c>
      <c r="BU94" s="14" t="e">
        <f t="shared" si="282"/>
        <v>#DIV/0!</v>
      </c>
      <c r="BV94" s="13" t="e">
        <f t="shared" si="282"/>
        <v>#DIV/0!</v>
      </c>
      <c r="BW94" s="44" t="e">
        <f t="shared" si="282"/>
        <v>#DIV/0!</v>
      </c>
      <c r="BX94" s="44" t="e">
        <f t="shared" si="282"/>
        <v>#DIV/0!</v>
      </c>
      <c r="BY94" s="14" t="e">
        <f t="shared" si="282"/>
        <v>#DIV/0!</v>
      </c>
      <c r="BZ94" s="13" t="e">
        <f t="shared" si="282"/>
        <v>#DIV/0!</v>
      </c>
      <c r="CA94" s="44" t="e">
        <f t="shared" si="282"/>
        <v>#DIV/0!</v>
      </c>
      <c r="CB94" s="44" t="e">
        <f t="shared" si="282"/>
        <v>#DIV/0!</v>
      </c>
      <c r="CC94" s="14" t="e">
        <f t="shared" si="282"/>
        <v>#DIV/0!</v>
      </c>
      <c r="CD94" s="13" t="e">
        <f t="shared" si="282"/>
        <v>#DIV/0!</v>
      </c>
      <c r="CE94" s="44" t="e">
        <f t="shared" si="282"/>
        <v>#DIV/0!</v>
      </c>
      <c r="CF94" s="44" t="e">
        <f t="shared" si="282"/>
        <v>#DIV/0!</v>
      </c>
      <c r="CG94" s="14" t="e">
        <f t="shared" si="282"/>
        <v>#DIV/0!</v>
      </c>
      <c r="CH94" s="13" t="e">
        <f t="shared" si="282"/>
        <v>#DIV/0!</v>
      </c>
      <c r="CI94" s="44" t="e">
        <f t="shared" si="282"/>
        <v>#DIV/0!</v>
      </c>
      <c r="CJ94" s="44" t="e">
        <f t="shared" si="282"/>
        <v>#DIV/0!</v>
      </c>
      <c r="CK94" s="14" t="e">
        <f t="shared" si="282"/>
        <v>#DIV/0!</v>
      </c>
      <c r="CL94" s="49"/>
      <c r="CM94" s="28"/>
    </row>
    <row r="95" spans="2:91" x14ac:dyDescent="0.25">
      <c r="B95" s="55"/>
      <c r="C95" s="10" t="s">
        <v>286</v>
      </c>
      <c r="D95" s="93" t="s">
        <v>296</v>
      </c>
      <c r="E95" s="127">
        <f t="shared" ref="E95:AJ95" si="283">ROUND(1/EXP(-E49*E90),0)</f>
        <v>2</v>
      </c>
      <c r="F95" s="13">
        <f t="shared" si="283"/>
        <v>15</v>
      </c>
      <c r="G95" s="44">
        <f t="shared" si="283"/>
        <v>15</v>
      </c>
      <c r="H95" s="44">
        <f t="shared" si="283"/>
        <v>15</v>
      </c>
      <c r="I95" s="14">
        <f t="shared" si="283"/>
        <v>15</v>
      </c>
      <c r="J95" s="13">
        <f t="shared" si="283"/>
        <v>1</v>
      </c>
      <c r="K95" s="44" t="e">
        <f t="shared" si="283"/>
        <v>#DIV/0!</v>
      </c>
      <c r="L95" s="44">
        <f t="shared" si="283"/>
        <v>3</v>
      </c>
      <c r="M95" s="14">
        <f t="shared" si="283"/>
        <v>3</v>
      </c>
      <c r="N95" s="13">
        <f t="shared" si="283"/>
        <v>20</v>
      </c>
      <c r="O95" s="44">
        <f t="shared" si="283"/>
        <v>56</v>
      </c>
      <c r="P95" s="44">
        <f t="shared" si="283"/>
        <v>7</v>
      </c>
      <c r="Q95" s="14">
        <f t="shared" si="283"/>
        <v>7</v>
      </c>
      <c r="R95" s="13">
        <f t="shared" si="283"/>
        <v>1</v>
      </c>
      <c r="S95" s="44" t="e">
        <f t="shared" si="283"/>
        <v>#DIV/0!</v>
      </c>
      <c r="T95" s="44">
        <f t="shared" si="283"/>
        <v>9</v>
      </c>
      <c r="U95" s="14">
        <f t="shared" si="283"/>
        <v>9</v>
      </c>
      <c r="V95" s="13">
        <f t="shared" si="283"/>
        <v>1</v>
      </c>
      <c r="W95" s="44" t="e">
        <f t="shared" si="283"/>
        <v>#DIV/0!</v>
      </c>
      <c r="X95" s="44">
        <f t="shared" si="283"/>
        <v>7</v>
      </c>
      <c r="Y95" s="14">
        <f t="shared" si="283"/>
        <v>7</v>
      </c>
      <c r="Z95" s="13">
        <f t="shared" si="283"/>
        <v>1</v>
      </c>
      <c r="AA95" s="44" t="e">
        <f t="shared" si="283"/>
        <v>#DIV/0!</v>
      </c>
      <c r="AB95" s="44">
        <f t="shared" si="283"/>
        <v>4</v>
      </c>
      <c r="AC95" s="14">
        <f t="shared" si="283"/>
        <v>4</v>
      </c>
      <c r="AD95" s="13">
        <f t="shared" si="283"/>
        <v>1</v>
      </c>
      <c r="AE95" s="44" t="e">
        <f t="shared" si="283"/>
        <v>#DIV/0!</v>
      </c>
      <c r="AF95" s="44">
        <f t="shared" si="283"/>
        <v>3</v>
      </c>
      <c r="AG95" s="14">
        <f t="shared" si="283"/>
        <v>3</v>
      </c>
      <c r="AH95" s="13">
        <f t="shared" si="283"/>
        <v>3</v>
      </c>
      <c r="AI95" s="44">
        <f t="shared" si="283"/>
        <v>4</v>
      </c>
      <c r="AJ95" s="44">
        <f t="shared" si="283"/>
        <v>3</v>
      </c>
      <c r="AK95" s="14">
        <f t="shared" ref="AK95:BP95" si="284">ROUND(1/EXP(-AK49*AK90),0)</f>
        <v>3</v>
      </c>
      <c r="AL95" s="13" t="e">
        <f t="shared" si="284"/>
        <v>#DIV/0!</v>
      </c>
      <c r="AM95" s="44" t="e">
        <f t="shared" si="284"/>
        <v>#DIV/0!</v>
      </c>
      <c r="AN95" s="44" t="e">
        <f t="shared" si="284"/>
        <v>#DIV/0!</v>
      </c>
      <c r="AO95" s="14" t="e">
        <f t="shared" si="284"/>
        <v>#DIV/0!</v>
      </c>
      <c r="AP95" s="13" t="e">
        <f t="shared" si="284"/>
        <v>#DIV/0!</v>
      </c>
      <c r="AQ95" s="44" t="e">
        <f t="shared" si="284"/>
        <v>#DIV/0!</v>
      </c>
      <c r="AR95" s="44" t="e">
        <f t="shared" si="284"/>
        <v>#DIV/0!</v>
      </c>
      <c r="AS95" s="14" t="e">
        <f t="shared" si="284"/>
        <v>#DIV/0!</v>
      </c>
      <c r="AT95" s="13" t="e">
        <f t="shared" si="284"/>
        <v>#DIV/0!</v>
      </c>
      <c r="AU95" s="44" t="e">
        <f t="shared" si="284"/>
        <v>#DIV/0!</v>
      </c>
      <c r="AV95" s="44" t="e">
        <f t="shared" si="284"/>
        <v>#DIV/0!</v>
      </c>
      <c r="AW95" s="14" t="e">
        <f t="shared" si="284"/>
        <v>#DIV/0!</v>
      </c>
      <c r="AX95" s="13" t="e">
        <f t="shared" si="284"/>
        <v>#DIV/0!</v>
      </c>
      <c r="AY95" s="44" t="e">
        <f t="shared" si="284"/>
        <v>#DIV/0!</v>
      </c>
      <c r="AZ95" s="44" t="e">
        <f t="shared" si="284"/>
        <v>#DIV/0!</v>
      </c>
      <c r="BA95" s="14" t="e">
        <f t="shared" si="284"/>
        <v>#DIV/0!</v>
      </c>
      <c r="BB95" s="13" t="e">
        <f t="shared" si="284"/>
        <v>#DIV/0!</v>
      </c>
      <c r="BC95" s="44" t="e">
        <f t="shared" si="284"/>
        <v>#DIV/0!</v>
      </c>
      <c r="BD95" s="44" t="e">
        <f t="shared" si="284"/>
        <v>#DIV/0!</v>
      </c>
      <c r="BE95" s="14" t="e">
        <f t="shared" si="284"/>
        <v>#DIV/0!</v>
      </c>
      <c r="BF95" s="13" t="e">
        <f t="shared" si="284"/>
        <v>#DIV/0!</v>
      </c>
      <c r="BG95" s="44" t="e">
        <f t="shared" si="284"/>
        <v>#DIV/0!</v>
      </c>
      <c r="BH95" s="44" t="e">
        <f t="shared" si="284"/>
        <v>#DIV/0!</v>
      </c>
      <c r="BI95" s="14" t="e">
        <f t="shared" si="284"/>
        <v>#DIV/0!</v>
      </c>
      <c r="BJ95" s="13" t="e">
        <f t="shared" si="284"/>
        <v>#DIV/0!</v>
      </c>
      <c r="BK95" s="44" t="e">
        <f t="shared" si="284"/>
        <v>#DIV/0!</v>
      </c>
      <c r="BL95" s="44" t="e">
        <f t="shared" si="284"/>
        <v>#DIV/0!</v>
      </c>
      <c r="BM95" s="14" t="e">
        <f t="shared" si="284"/>
        <v>#DIV/0!</v>
      </c>
      <c r="BN95" s="13" t="e">
        <f t="shared" si="284"/>
        <v>#DIV/0!</v>
      </c>
      <c r="BO95" s="44" t="e">
        <f t="shared" si="284"/>
        <v>#DIV/0!</v>
      </c>
      <c r="BP95" s="44" t="e">
        <f t="shared" si="284"/>
        <v>#DIV/0!</v>
      </c>
      <c r="BQ95" s="14" t="e">
        <f t="shared" ref="BQ95:CK95" si="285">ROUND(1/EXP(-BQ49*BQ90),0)</f>
        <v>#DIV/0!</v>
      </c>
      <c r="BR95" s="13" t="e">
        <f t="shared" si="285"/>
        <v>#DIV/0!</v>
      </c>
      <c r="BS95" s="44" t="e">
        <f t="shared" si="285"/>
        <v>#DIV/0!</v>
      </c>
      <c r="BT95" s="44" t="e">
        <f t="shared" si="285"/>
        <v>#DIV/0!</v>
      </c>
      <c r="BU95" s="14" t="e">
        <f t="shared" si="285"/>
        <v>#DIV/0!</v>
      </c>
      <c r="BV95" s="13" t="e">
        <f t="shared" si="285"/>
        <v>#DIV/0!</v>
      </c>
      <c r="BW95" s="44" t="e">
        <f t="shared" si="285"/>
        <v>#DIV/0!</v>
      </c>
      <c r="BX95" s="44" t="e">
        <f t="shared" si="285"/>
        <v>#DIV/0!</v>
      </c>
      <c r="BY95" s="14" t="e">
        <f t="shared" si="285"/>
        <v>#DIV/0!</v>
      </c>
      <c r="BZ95" s="13" t="e">
        <f t="shared" si="285"/>
        <v>#DIV/0!</v>
      </c>
      <c r="CA95" s="44" t="e">
        <f t="shared" si="285"/>
        <v>#DIV/0!</v>
      </c>
      <c r="CB95" s="44" t="e">
        <f t="shared" si="285"/>
        <v>#DIV/0!</v>
      </c>
      <c r="CC95" s="14" t="e">
        <f t="shared" si="285"/>
        <v>#DIV/0!</v>
      </c>
      <c r="CD95" s="13" t="e">
        <f t="shared" si="285"/>
        <v>#DIV/0!</v>
      </c>
      <c r="CE95" s="44" t="e">
        <f t="shared" si="285"/>
        <v>#DIV/0!</v>
      </c>
      <c r="CF95" s="44" t="e">
        <f t="shared" si="285"/>
        <v>#DIV/0!</v>
      </c>
      <c r="CG95" s="14" t="e">
        <f t="shared" si="285"/>
        <v>#DIV/0!</v>
      </c>
      <c r="CH95" s="13" t="e">
        <f t="shared" si="285"/>
        <v>#DIV/0!</v>
      </c>
      <c r="CI95" s="44" t="e">
        <f t="shared" si="285"/>
        <v>#DIV/0!</v>
      </c>
      <c r="CJ95" s="44" t="e">
        <f t="shared" si="285"/>
        <v>#DIV/0!</v>
      </c>
      <c r="CK95" s="14" t="e">
        <f t="shared" si="285"/>
        <v>#DIV/0!</v>
      </c>
      <c r="CL95" s="49"/>
      <c r="CM95" s="28"/>
    </row>
    <row r="96" spans="2:91" ht="14.25" x14ac:dyDescent="0.25">
      <c r="B96" s="55"/>
      <c r="C96" s="10" t="s">
        <v>307</v>
      </c>
      <c r="D96" s="93" t="s">
        <v>498</v>
      </c>
      <c r="E96" s="125" t="e">
        <f t="shared" ref="E96:AJ96" si="286">ONESTAGELEFT_BIKE_DELAY(E9,E95,E94,E91,E92,E38,E93)</f>
        <v>#VALUE!</v>
      </c>
      <c r="F96" s="13">
        <f t="shared" si="286"/>
        <v>34.745310435488904</v>
      </c>
      <c r="G96" s="44">
        <f t="shared" si="286"/>
        <v>34.745310435488904</v>
      </c>
      <c r="H96" s="44">
        <f t="shared" si="286"/>
        <v>38.829826851643496</v>
      </c>
      <c r="I96" s="14">
        <f t="shared" si="286"/>
        <v>38.829826851643496</v>
      </c>
      <c r="J96" s="13">
        <f t="shared" si="286"/>
        <v>0.42524804314420883</v>
      </c>
      <c r="K96" s="44" t="e">
        <f t="shared" si="286"/>
        <v>#VALUE!</v>
      </c>
      <c r="L96" s="44">
        <f t="shared" si="286"/>
        <v>7.7163766754240308</v>
      </c>
      <c r="M96" s="14">
        <f t="shared" si="286"/>
        <v>7.7163766754240308</v>
      </c>
      <c r="N96" s="13">
        <f t="shared" si="286"/>
        <v>48.982153084492509</v>
      </c>
      <c r="O96" s="44">
        <f t="shared" si="286"/>
        <v>151.70630447998082</v>
      </c>
      <c r="P96" s="44">
        <f t="shared" si="286"/>
        <v>15.122024905556131</v>
      </c>
      <c r="Q96" s="14">
        <f t="shared" si="286"/>
        <v>18.075747794419311</v>
      </c>
      <c r="R96" s="13">
        <f t="shared" si="286"/>
        <v>0.54192257850000569</v>
      </c>
      <c r="S96" s="44" t="e">
        <f t="shared" si="286"/>
        <v>#VALUE!</v>
      </c>
      <c r="T96" s="44">
        <f t="shared" si="286"/>
        <v>3.933182119722975</v>
      </c>
      <c r="U96" s="14">
        <f t="shared" si="286"/>
        <v>3.933182119722975</v>
      </c>
      <c r="V96" s="13">
        <f t="shared" si="286"/>
        <v>1.5671378888863765</v>
      </c>
      <c r="W96" s="44" t="e">
        <f t="shared" si="286"/>
        <v>#VALUE!</v>
      </c>
      <c r="X96" s="44">
        <f t="shared" si="286"/>
        <v>14.702865904963007</v>
      </c>
      <c r="Y96" s="14">
        <f t="shared" si="286"/>
        <v>13.46596733742231</v>
      </c>
      <c r="Z96" s="13">
        <f t="shared" si="286"/>
        <v>1.0675003712346236</v>
      </c>
      <c r="AA96" s="44" t="e">
        <f t="shared" si="286"/>
        <v>#VALUE!</v>
      </c>
      <c r="AB96" s="44">
        <f t="shared" si="286"/>
        <v>8.3973806312050439</v>
      </c>
      <c r="AC96" s="14">
        <f t="shared" si="286"/>
        <v>8.3973806312050439</v>
      </c>
      <c r="AD96" s="13">
        <f t="shared" si="286"/>
        <v>0.21989761683552361</v>
      </c>
      <c r="AE96" s="44" t="e">
        <f t="shared" si="286"/>
        <v>#VALUE!</v>
      </c>
      <c r="AF96" s="44">
        <f t="shared" si="286"/>
        <v>4.533938257369754</v>
      </c>
      <c r="AG96" s="14">
        <f t="shared" si="286"/>
        <v>4.533938257369754</v>
      </c>
      <c r="AH96" s="13">
        <f t="shared" si="286"/>
        <v>4.0842677712268376</v>
      </c>
      <c r="AI96" s="44">
        <f t="shared" si="286"/>
        <v>5.2616499774072789</v>
      </c>
      <c r="AJ96" s="44">
        <f t="shared" si="286"/>
        <v>4.8230969954805314</v>
      </c>
      <c r="AK96" s="14">
        <f t="shared" ref="AK96:BP96" si="287">ONESTAGELEFT_BIKE_DELAY(AK9,AK95,AK94,AK91,AK92,AK38,AK93)</f>
        <v>4.8230969954805314</v>
      </c>
      <c r="AL96" s="13" t="e">
        <f t="shared" si="287"/>
        <v>#VALUE!</v>
      </c>
      <c r="AM96" s="44" t="e">
        <f t="shared" si="287"/>
        <v>#VALUE!</v>
      </c>
      <c r="AN96" s="44" t="e">
        <f t="shared" si="287"/>
        <v>#VALUE!</v>
      </c>
      <c r="AO96" s="14" t="e">
        <f t="shared" si="287"/>
        <v>#VALUE!</v>
      </c>
      <c r="AP96" s="13" t="e">
        <f t="shared" si="287"/>
        <v>#VALUE!</v>
      </c>
      <c r="AQ96" s="44" t="e">
        <f t="shared" si="287"/>
        <v>#VALUE!</v>
      </c>
      <c r="AR96" s="44" t="e">
        <f t="shared" si="287"/>
        <v>#VALUE!</v>
      </c>
      <c r="AS96" s="14" t="e">
        <f t="shared" si="287"/>
        <v>#VALUE!</v>
      </c>
      <c r="AT96" s="13" t="e">
        <f t="shared" si="287"/>
        <v>#VALUE!</v>
      </c>
      <c r="AU96" s="44" t="e">
        <f t="shared" si="287"/>
        <v>#VALUE!</v>
      </c>
      <c r="AV96" s="44" t="e">
        <f t="shared" si="287"/>
        <v>#VALUE!</v>
      </c>
      <c r="AW96" s="14" t="e">
        <f t="shared" si="287"/>
        <v>#VALUE!</v>
      </c>
      <c r="AX96" s="13" t="e">
        <f t="shared" si="287"/>
        <v>#VALUE!</v>
      </c>
      <c r="AY96" s="44" t="e">
        <f t="shared" si="287"/>
        <v>#VALUE!</v>
      </c>
      <c r="AZ96" s="44" t="e">
        <f t="shared" si="287"/>
        <v>#VALUE!</v>
      </c>
      <c r="BA96" s="14" t="e">
        <f t="shared" si="287"/>
        <v>#VALUE!</v>
      </c>
      <c r="BB96" s="13" t="e">
        <f t="shared" si="287"/>
        <v>#VALUE!</v>
      </c>
      <c r="BC96" s="44" t="e">
        <f t="shared" si="287"/>
        <v>#VALUE!</v>
      </c>
      <c r="BD96" s="44" t="e">
        <f t="shared" si="287"/>
        <v>#VALUE!</v>
      </c>
      <c r="BE96" s="14" t="e">
        <f t="shared" si="287"/>
        <v>#VALUE!</v>
      </c>
      <c r="BF96" s="13" t="e">
        <f t="shared" si="287"/>
        <v>#VALUE!</v>
      </c>
      <c r="BG96" s="44" t="e">
        <f t="shared" si="287"/>
        <v>#VALUE!</v>
      </c>
      <c r="BH96" s="44" t="e">
        <f t="shared" si="287"/>
        <v>#VALUE!</v>
      </c>
      <c r="BI96" s="14" t="e">
        <f t="shared" si="287"/>
        <v>#VALUE!</v>
      </c>
      <c r="BJ96" s="13" t="e">
        <f t="shared" si="287"/>
        <v>#VALUE!</v>
      </c>
      <c r="BK96" s="44" t="e">
        <f t="shared" si="287"/>
        <v>#VALUE!</v>
      </c>
      <c r="BL96" s="44" t="e">
        <f t="shared" si="287"/>
        <v>#VALUE!</v>
      </c>
      <c r="BM96" s="14" t="e">
        <f t="shared" si="287"/>
        <v>#VALUE!</v>
      </c>
      <c r="BN96" s="13" t="e">
        <f t="shared" si="287"/>
        <v>#VALUE!</v>
      </c>
      <c r="BO96" s="44" t="e">
        <f t="shared" si="287"/>
        <v>#VALUE!</v>
      </c>
      <c r="BP96" s="44" t="e">
        <f t="shared" si="287"/>
        <v>#VALUE!</v>
      </c>
      <c r="BQ96" s="14" t="e">
        <f t="shared" ref="BQ96:CK96" si="288">ONESTAGELEFT_BIKE_DELAY(BQ9,BQ95,BQ94,BQ91,BQ92,BQ38,BQ93)</f>
        <v>#VALUE!</v>
      </c>
      <c r="BR96" s="13" t="e">
        <f t="shared" si="288"/>
        <v>#VALUE!</v>
      </c>
      <c r="BS96" s="44" t="e">
        <f t="shared" si="288"/>
        <v>#VALUE!</v>
      </c>
      <c r="BT96" s="44" t="e">
        <f t="shared" si="288"/>
        <v>#VALUE!</v>
      </c>
      <c r="BU96" s="14" t="e">
        <f t="shared" si="288"/>
        <v>#VALUE!</v>
      </c>
      <c r="BV96" s="13" t="e">
        <f t="shared" si="288"/>
        <v>#VALUE!</v>
      </c>
      <c r="BW96" s="44" t="e">
        <f t="shared" si="288"/>
        <v>#VALUE!</v>
      </c>
      <c r="BX96" s="44" t="e">
        <f t="shared" si="288"/>
        <v>#VALUE!</v>
      </c>
      <c r="BY96" s="14" t="e">
        <f t="shared" si="288"/>
        <v>#VALUE!</v>
      </c>
      <c r="BZ96" s="13" t="e">
        <f t="shared" si="288"/>
        <v>#VALUE!</v>
      </c>
      <c r="CA96" s="44" t="e">
        <f t="shared" si="288"/>
        <v>#VALUE!</v>
      </c>
      <c r="CB96" s="44" t="e">
        <f t="shared" si="288"/>
        <v>#VALUE!</v>
      </c>
      <c r="CC96" s="14" t="e">
        <f t="shared" si="288"/>
        <v>#VALUE!</v>
      </c>
      <c r="CD96" s="13" t="e">
        <f t="shared" si="288"/>
        <v>#VALUE!</v>
      </c>
      <c r="CE96" s="44" t="e">
        <f t="shared" si="288"/>
        <v>#VALUE!</v>
      </c>
      <c r="CF96" s="44" t="e">
        <f t="shared" si="288"/>
        <v>#VALUE!</v>
      </c>
      <c r="CG96" s="14" t="e">
        <f t="shared" si="288"/>
        <v>#VALUE!</v>
      </c>
      <c r="CH96" s="13" t="e">
        <f t="shared" si="288"/>
        <v>#VALUE!</v>
      </c>
      <c r="CI96" s="44" t="e">
        <f t="shared" si="288"/>
        <v>#VALUE!</v>
      </c>
      <c r="CJ96" s="44" t="e">
        <f t="shared" si="288"/>
        <v>#VALUE!</v>
      </c>
      <c r="CK96" s="14" t="e">
        <f t="shared" si="288"/>
        <v>#VALUE!</v>
      </c>
      <c r="CL96" s="49"/>
      <c r="CM96" s="28"/>
    </row>
    <row r="97" spans="1:91" ht="14.25" x14ac:dyDescent="0.25">
      <c r="B97" s="55"/>
      <c r="C97" s="10" t="s">
        <v>308</v>
      </c>
      <c r="D97" s="93" t="s">
        <v>499</v>
      </c>
      <c r="E97" s="126">
        <f t="shared" ref="E97:AJ97" si="289">(E26)/2 + E27 + E41</f>
        <v>23</v>
      </c>
      <c r="F97" s="13">
        <f t="shared" si="289"/>
        <v>22.150000000000002</v>
      </c>
      <c r="G97" s="44">
        <f t="shared" si="289"/>
        <v>22.150000000000002</v>
      </c>
      <c r="H97" s="44">
        <f t="shared" si="289"/>
        <v>22.45</v>
      </c>
      <c r="I97" s="14">
        <f t="shared" si="289"/>
        <v>22.45</v>
      </c>
      <c r="J97" s="13">
        <f t="shared" si="289"/>
        <v>3</v>
      </c>
      <c r="K97" s="44">
        <f t="shared" si="289"/>
        <v>0</v>
      </c>
      <c r="L97" s="44">
        <f t="shared" si="289"/>
        <v>3</v>
      </c>
      <c r="M97" s="14">
        <f t="shared" si="289"/>
        <v>3</v>
      </c>
      <c r="N97" s="13">
        <f t="shared" si="289"/>
        <v>18</v>
      </c>
      <c r="O97" s="44">
        <f t="shared" si="289"/>
        <v>18</v>
      </c>
      <c r="P97" s="44">
        <f t="shared" si="289"/>
        <v>20.5</v>
      </c>
      <c r="Q97" s="14">
        <f t="shared" si="289"/>
        <v>34</v>
      </c>
      <c r="R97" s="13">
        <f t="shared" si="289"/>
        <v>3</v>
      </c>
      <c r="S97" s="44">
        <f t="shared" si="289"/>
        <v>0</v>
      </c>
      <c r="T97" s="44">
        <f t="shared" si="289"/>
        <v>3</v>
      </c>
      <c r="U97" s="14">
        <f t="shared" si="289"/>
        <v>3</v>
      </c>
      <c r="V97" s="13">
        <f t="shared" si="289"/>
        <v>9</v>
      </c>
      <c r="W97" s="44">
        <f t="shared" si="289"/>
        <v>0</v>
      </c>
      <c r="X97" s="44">
        <f t="shared" si="289"/>
        <v>22</v>
      </c>
      <c r="Y97" s="14">
        <f t="shared" si="289"/>
        <v>15.5</v>
      </c>
      <c r="Z97" s="13">
        <f t="shared" si="289"/>
        <v>20.5</v>
      </c>
      <c r="AA97" s="44">
        <f t="shared" si="289"/>
        <v>0</v>
      </c>
      <c r="AB97" s="44">
        <f t="shared" si="289"/>
        <v>21.5</v>
      </c>
      <c r="AC97" s="14">
        <f t="shared" si="289"/>
        <v>15</v>
      </c>
      <c r="AD97" s="13">
        <f t="shared" si="289"/>
        <v>15</v>
      </c>
      <c r="AE97" s="44">
        <f t="shared" si="289"/>
        <v>0</v>
      </c>
      <c r="AF97" s="44">
        <f t="shared" si="289"/>
        <v>24</v>
      </c>
      <c r="AG97" s="14">
        <f t="shared" si="289"/>
        <v>24</v>
      </c>
      <c r="AH97" s="13">
        <f t="shared" si="289"/>
        <v>23.75</v>
      </c>
      <c r="AI97" s="44">
        <f t="shared" si="289"/>
        <v>23.75</v>
      </c>
      <c r="AJ97" s="44">
        <f t="shared" si="289"/>
        <v>17.25</v>
      </c>
      <c r="AK97" s="14">
        <f t="shared" ref="AK97:BP97" si="290">(AK26)/2 + AK27 + AK41</f>
        <v>17.25</v>
      </c>
      <c r="AL97" s="13">
        <f t="shared" si="290"/>
        <v>0</v>
      </c>
      <c r="AM97" s="44">
        <f t="shared" si="290"/>
        <v>0</v>
      </c>
      <c r="AN97" s="44">
        <f t="shared" si="290"/>
        <v>0</v>
      </c>
      <c r="AO97" s="14">
        <f t="shared" si="290"/>
        <v>0</v>
      </c>
      <c r="AP97" s="13">
        <f t="shared" si="290"/>
        <v>0</v>
      </c>
      <c r="AQ97" s="44">
        <f t="shared" si="290"/>
        <v>0</v>
      </c>
      <c r="AR97" s="44">
        <f t="shared" si="290"/>
        <v>0</v>
      </c>
      <c r="AS97" s="14">
        <f t="shared" si="290"/>
        <v>0</v>
      </c>
      <c r="AT97" s="13">
        <f t="shared" si="290"/>
        <v>0</v>
      </c>
      <c r="AU97" s="44">
        <f t="shared" si="290"/>
        <v>0</v>
      </c>
      <c r="AV97" s="44">
        <f t="shared" si="290"/>
        <v>0</v>
      </c>
      <c r="AW97" s="14">
        <f t="shared" si="290"/>
        <v>0</v>
      </c>
      <c r="AX97" s="13">
        <f t="shared" si="290"/>
        <v>0</v>
      </c>
      <c r="AY97" s="44">
        <f t="shared" si="290"/>
        <v>0</v>
      </c>
      <c r="AZ97" s="44">
        <f t="shared" si="290"/>
        <v>0</v>
      </c>
      <c r="BA97" s="14">
        <f t="shared" si="290"/>
        <v>0</v>
      </c>
      <c r="BB97" s="13">
        <f t="shared" si="290"/>
        <v>0</v>
      </c>
      <c r="BC97" s="44">
        <f t="shared" si="290"/>
        <v>0</v>
      </c>
      <c r="BD97" s="44">
        <f t="shared" si="290"/>
        <v>0</v>
      </c>
      <c r="BE97" s="14">
        <f t="shared" si="290"/>
        <v>0</v>
      </c>
      <c r="BF97" s="13">
        <f t="shared" si="290"/>
        <v>0</v>
      </c>
      <c r="BG97" s="44">
        <f t="shared" si="290"/>
        <v>0</v>
      </c>
      <c r="BH97" s="44">
        <f t="shared" si="290"/>
        <v>0</v>
      </c>
      <c r="BI97" s="14">
        <f t="shared" si="290"/>
        <v>0</v>
      </c>
      <c r="BJ97" s="13">
        <f t="shared" si="290"/>
        <v>0</v>
      </c>
      <c r="BK97" s="44">
        <f t="shared" si="290"/>
        <v>0</v>
      </c>
      <c r="BL97" s="44">
        <f t="shared" si="290"/>
        <v>0</v>
      </c>
      <c r="BM97" s="14">
        <f t="shared" si="290"/>
        <v>0</v>
      </c>
      <c r="BN97" s="13">
        <f t="shared" si="290"/>
        <v>0</v>
      </c>
      <c r="BO97" s="44">
        <f t="shared" si="290"/>
        <v>0</v>
      </c>
      <c r="BP97" s="44">
        <f t="shared" si="290"/>
        <v>0</v>
      </c>
      <c r="BQ97" s="14">
        <f t="shared" ref="BQ97:CK97" si="291">(BQ26)/2 + BQ27 + BQ41</f>
        <v>0</v>
      </c>
      <c r="BR97" s="13">
        <f t="shared" si="291"/>
        <v>0</v>
      </c>
      <c r="BS97" s="44">
        <f t="shared" si="291"/>
        <v>0</v>
      </c>
      <c r="BT97" s="44">
        <f t="shared" si="291"/>
        <v>0</v>
      </c>
      <c r="BU97" s="14">
        <f t="shared" si="291"/>
        <v>0</v>
      </c>
      <c r="BV97" s="13">
        <f t="shared" si="291"/>
        <v>0</v>
      </c>
      <c r="BW97" s="44">
        <f t="shared" si="291"/>
        <v>0</v>
      </c>
      <c r="BX97" s="44">
        <f t="shared" si="291"/>
        <v>0</v>
      </c>
      <c r="BY97" s="14">
        <f t="shared" si="291"/>
        <v>0</v>
      </c>
      <c r="BZ97" s="13">
        <f t="shared" si="291"/>
        <v>0</v>
      </c>
      <c r="CA97" s="44">
        <f t="shared" si="291"/>
        <v>0</v>
      </c>
      <c r="CB97" s="44">
        <f t="shared" si="291"/>
        <v>0</v>
      </c>
      <c r="CC97" s="14">
        <f t="shared" si="291"/>
        <v>0</v>
      </c>
      <c r="CD97" s="13">
        <f t="shared" si="291"/>
        <v>0</v>
      </c>
      <c r="CE97" s="44">
        <f t="shared" si="291"/>
        <v>0</v>
      </c>
      <c r="CF97" s="44">
        <f t="shared" si="291"/>
        <v>0</v>
      </c>
      <c r="CG97" s="14">
        <f t="shared" si="291"/>
        <v>0</v>
      </c>
      <c r="CH97" s="13">
        <f t="shared" si="291"/>
        <v>0</v>
      </c>
      <c r="CI97" s="44">
        <f t="shared" si="291"/>
        <v>0</v>
      </c>
      <c r="CJ97" s="44">
        <f t="shared" si="291"/>
        <v>0</v>
      </c>
      <c r="CK97" s="14">
        <f t="shared" si="291"/>
        <v>0</v>
      </c>
      <c r="CL97" s="49"/>
      <c r="CM97" s="28"/>
    </row>
    <row r="98" spans="1:91" ht="14.25" x14ac:dyDescent="0.25">
      <c r="B98" s="55"/>
      <c r="C98" s="10" t="s">
        <v>324</v>
      </c>
      <c r="D98" s="93" t="s">
        <v>500</v>
      </c>
      <c r="E98" s="126">
        <f t="shared" ref="E98:AG98" si="292">((E28-E26)/2)+E26+E27+2*E41</f>
        <v>76</v>
      </c>
      <c r="F98" s="13">
        <f t="shared" si="292"/>
        <v>70.150000000000006</v>
      </c>
      <c r="G98" s="44">
        <f t="shared" si="292"/>
        <v>70.150000000000006</v>
      </c>
      <c r="H98" s="44">
        <f t="shared" si="292"/>
        <v>70.45</v>
      </c>
      <c r="I98" s="14">
        <f t="shared" si="292"/>
        <v>70.45</v>
      </c>
      <c r="J98" s="13">
        <f t="shared" si="292"/>
        <v>6</v>
      </c>
      <c r="K98" s="44">
        <f t="shared" si="292"/>
        <v>0</v>
      </c>
      <c r="L98" s="44">
        <f t="shared" si="292"/>
        <v>6</v>
      </c>
      <c r="M98" s="14">
        <f t="shared" si="292"/>
        <v>6</v>
      </c>
      <c r="N98" s="13">
        <f t="shared" si="292"/>
        <v>66</v>
      </c>
      <c r="O98" s="44">
        <f t="shared" si="292"/>
        <v>66</v>
      </c>
      <c r="P98" s="44">
        <f t="shared" si="292"/>
        <v>68.5</v>
      </c>
      <c r="Q98" s="14">
        <f t="shared" si="292"/>
        <v>82</v>
      </c>
      <c r="R98" s="13">
        <f t="shared" si="292"/>
        <v>6</v>
      </c>
      <c r="S98" s="44">
        <f t="shared" si="292"/>
        <v>0</v>
      </c>
      <c r="T98" s="44">
        <f t="shared" si="292"/>
        <v>6</v>
      </c>
      <c r="U98" s="14">
        <f t="shared" si="292"/>
        <v>6</v>
      </c>
      <c r="V98" s="13">
        <f t="shared" si="292"/>
        <v>46.5</v>
      </c>
      <c r="W98" s="44">
        <f t="shared" si="292"/>
        <v>0</v>
      </c>
      <c r="X98" s="44">
        <f t="shared" si="292"/>
        <v>59.5</v>
      </c>
      <c r="Y98" s="14">
        <f t="shared" si="292"/>
        <v>53</v>
      </c>
      <c r="Z98" s="13">
        <f t="shared" si="292"/>
        <v>61</v>
      </c>
      <c r="AA98" s="44">
        <f t="shared" si="292"/>
        <v>0</v>
      </c>
      <c r="AB98" s="44">
        <f t="shared" si="292"/>
        <v>62</v>
      </c>
      <c r="AC98" s="14">
        <f t="shared" si="292"/>
        <v>55.5</v>
      </c>
      <c r="AD98" s="13">
        <f t="shared" si="292"/>
        <v>47</v>
      </c>
      <c r="AE98" s="44">
        <f t="shared" si="292"/>
        <v>0</v>
      </c>
      <c r="AF98" s="44">
        <f t="shared" si="292"/>
        <v>56</v>
      </c>
      <c r="AG98" s="14">
        <f t="shared" si="292"/>
        <v>56</v>
      </c>
      <c r="AH98" s="13" t="e">
        <f>((#REF!-AH26)/2)+AH26+AH27+2*AH41</f>
        <v>#REF!</v>
      </c>
      <c r="AI98" s="44" t="e">
        <f>((#REF!-AI26)/2)+AI26+AI27+2*AI41</f>
        <v>#REF!</v>
      </c>
      <c r="AJ98" s="44" t="e">
        <f>((#REF!-AJ26)/2)+AJ26+AJ27+2*AJ41</f>
        <v>#REF!</v>
      </c>
      <c r="AK98" s="14" t="e">
        <f>((#REF!-AK26)/2)+AK26+AK27+2*AK41</f>
        <v>#REF!</v>
      </c>
      <c r="AL98" s="13">
        <f t="shared" ref="AL98:BP98" si="293">((AL28-AL26)/2)+AL26+AL27+2*AL41</f>
        <v>0</v>
      </c>
      <c r="AM98" s="44">
        <f t="shared" si="293"/>
        <v>0</v>
      </c>
      <c r="AN98" s="44">
        <f t="shared" si="293"/>
        <v>0</v>
      </c>
      <c r="AO98" s="14">
        <f t="shared" si="293"/>
        <v>0</v>
      </c>
      <c r="AP98" s="13">
        <f t="shared" si="293"/>
        <v>0</v>
      </c>
      <c r="AQ98" s="44">
        <f t="shared" si="293"/>
        <v>0</v>
      </c>
      <c r="AR98" s="44">
        <f t="shared" si="293"/>
        <v>0</v>
      </c>
      <c r="AS98" s="14">
        <f t="shared" si="293"/>
        <v>0</v>
      </c>
      <c r="AT98" s="13">
        <f t="shared" si="293"/>
        <v>0</v>
      </c>
      <c r="AU98" s="44">
        <f t="shared" si="293"/>
        <v>0</v>
      </c>
      <c r="AV98" s="44">
        <f t="shared" si="293"/>
        <v>0</v>
      </c>
      <c r="AW98" s="14">
        <f t="shared" si="293"/>
        <v>0</v>
      </c>
      <c r="AX98" s="13">
        <f t="shared" si="293"/>
        <v>0</v>
      </c>
      <c r="AY98" s="44">
        <f t="shared" si="293"/>
        <v>0</v>
      </c>
      <c r="AZ98" s="44">
        <f t="shared" si="293"/>
        <v>0</v>
      </c>
      <c r="BA98" s="14">
        <f t="shared" si="293"/>
        <v>0</v>
      </c>
      <c r="BB98" s="13">
        <f t="shared" si="293"/>
        <v>0</v>
      </c>
      <c r="BC98" s="44">
        <f t="shared" si="293"/>
        <v>0</v>
      </c>
      <c r="BD98" s="44">
        <f t="shared" si="293"/>
        <v>0</v>
      </c>
      <c r="BE98" s="14">
        <f t="shared" si="293"/>
        <v>0</v>
      </c>
      <c r="BF98" s="13">
        <f t="shared" si="293"/>
        <v>0</v>
      </c>
      <c r="BG98" s="44">
        <f t="shared" si="293"/>
        <v>0</v>
      </c>
      <c r="BH98" s="44">
        <f t="shared" si="293"/>
        <v>0</v>
      </c>
      <c r="BI98" s="14">
        <f t="shared" si="293"/>
        <v>0</v>
      </c>
      <c r="BJ98" s="13">
        <f t="shared" si="293"/>
        <v>0</v>
      </c>
      <c r="BK98" s="44">
        <f t="shared" si="293"/>
        <v>0</v>
      </c>
      <c r="BL98" s="44">
        <f t="shared" si="293"/>
        <v>0</v>
      </c>
      <c r="BM98" s="14">
        <f t="shared" si="293"/>
        <v>0</v>
      </c>
      <c r="BN98" s="13">
        <f t="shared" si="293"/>
        <v>0</v>
      </c>
      <c r="BO98" s="44">
        <f t="shared" si="293"/>
        <v>0</v>
      </c>
      <c r="BP98" s="44">
        <f t="shared" si="293"/>
        <v>0</v>
      </c>
      <c r="BQ98" s="14">
        <f t="shared" ref="BQ98:CK98" si="294">((BQ28-BQ26)/2)+BQ26+BQ27+2*BQ41</f>
        <v>0</v>
      </c>
      <c r="BR98" s="13">
        <f t="shared" si="294"/>
        <v>0</v>
      </c>
      <c r="BS98" s="44">
        <f t="shared" si="294"/>
        <v>0</v>
      </c>
      <c r="BT98" s="44">
        <f t="shared" si="294"/>
        <v>0</v>
      </c>
      <c r="BU98" s="14">
        <f t="shared" si="294"/>
        <v>0</v>
      </c>
      <c r="BV98" s="13">
        <f t="shared" si="294"/>
        <v>0</v>
      </c>
      <c r="BW98" s="44">
        <f t="shared" si="294"/>
        <v>0</v>
      </c>
      <c r="BX98" s="44">
        <f t="shared" si="294"/>
        <v>0</v>
      </c>
      <c r="BY98" s="14">
        <f t="shared" si="294"/>
        <v>0</v>
      </c>
      <c r="BZ98" s="13">
        <f t="shared" si="294"/>
        <v>0</v>
      </c>
      <c r="CA98" s="44">
        <f t="shared" si="294"/>
        <v>0</v>
      </c>
      <c r="CB98" s="44">
        <f t="shared" si="294"/>
        <v>0</v>
      </c>
      <c r="CC98" s="14">
        <f t="shared" si="294"/>
        <v>0</v>
      </c>
      <c r="CD98" s="13">
        <f t="shared" si="294"/>
        <v>0</v>
      </c>
      <c r="CE98" s="44">
        <f t="shared" si="294"/>
        <v>0</v>
      </c>
      <c r="CF98" s="44">
        <f t="shared" si="294"/>
        <v>0</v>
      </c>
      <c r="CG98" s="14">
        <f t="shared" si="294"/>
        <v>0</v>
      </c>
      <c r="CH98" s="13">
        <f t="shared" si="294"/>
        <v>0</v>
      </c>
      <c r="CI98" s="44">
        <f t="shared" si="294"/>
        <v>0</v>
      </c>
      <c r="CJ98" s="44">
        <f t="shared" si="294"/>
        <v>0</v>
      </c>
      <c r="CK98" s="14">
        <f t="shared" si="294"/>
        <v>0</v>
      </c>
      <c r="CL98" s="49"/>
      <c r="CM98" s="28"/>
    </row>
    <row r="99" spans="1:91" ht="14.25" x14ac:dyDescent="0.25">
      <c r="B99" s="55"/>
      <c r="C99" s="10" t="s">
        <v>309</v>
      </c>
      <c r="D99" s="93" t="s">
        <v>501</v>
      </c>
      <c r="E99" s="126">
        <f t="shared" ref="E99:AG99" si="295">(E26/E28)*E97+((E28-E26)/E28)*E98</f>
        <v>60.099999999999994</v>
      </c>
      <c r="F99" s="13">
        <f t="shared" si="295"/>
        <v>53.243333333333339</v>
      </c>
      <c r="G99" s="44">
        <f t="shared" si="295"/>
        <v>53.243333333333339</v>
      </c>
      <c r="H99" s="44">
        <f t="shared" si="295"/>
        <v>53.86333333333333</v>
      </c>
      <c r="I99" s="14">
        <f t="shared" si="295"/>
        <v>53.86333333333333</v>
      </c>
      <c r="J99" s="13" t="e">
        <f t="shared" si="295"/>
        <v>#DIV/0!</v>
      </c>
      <c r="K99" s="44" t="e">
        <f t="shared" si="295"/>
        <v>#DIV/0!</v>
      </c>
      <c r="L99" s="44" t="e">
        <f t="shared" si="295"/>
        <v>#DIV/0!</v>
      </c>
      <c r="M99" s="14" t="e">
        <f t="shared" si="295"/>
        <v>#DIV/0!</v>
      </c>
      <c r="N99" s="13">
        <f t="shared" si="295"/>
        <v>53.199999999999996</v>
      </c>
      <c r="O99" s="44">
        <f t="shared" si="295"/>
        <v>53.199999999999996</v>
      </c>
      <c r="P99" s="44">
        <f t="shared" si="295"/>
        <v>53.033333333333331</v>
      </c>
      <c r="Q99" s="14">
        <f t="shared" si="295"/>
        <v>52.133333333333333</v>
      </c>
      <c r="R99" s="13" t="e">
        <f t="shared" si="295"/>
        <v>#DIV/0!</v>
      </c>
      <c r="S99" s="44" t="e">
        <f t="shared" si="295"/>
        <v>#DIV/0!</v>
      </c>
      <c r="T99" s="44" t="e">
        <f t="shared" si="295"/>
        <v>#DIV/0!</v>
      </c>
      <c r="U99" s="14" t="e">
        <f t="shared" si="295"/>
        <v>#DIV/0!</v>
      </c>
      <c r="V99" s="13">
        <f t="shared" si="295"/>
        <v>43.239130434782602</v>
      </c>
      <c r="W99" s="44" t="e">
        <f t="shared" si="295"/>
        <v>#DIV/0!</v>
      </c>
      <c r="X99" s="44">
        <f t="shared" si="295"/>
        <v>42.108695652173914</v>
      </c>
      <c r="Y99" s="14">
        <f t="shared" si="295"/>
        <v>42.673913043478258</v>
      </c>
      <c r="Z99" s="13">
        <f t="shared" si="295"/>
        <v>45.339999999999996</v>
      </c>
      <c r="AA99" s="44" t="e">
        <f t="shared" si="295"/>
        <v>#DIV/0!</v>
      </c>
      <c r="AB99" s="44">
        <f t="shared" si="295"/>
        <v>45.260000000000005</v>
      </c>
      <c r="AC99" s="14">
        <f t="shared" si="295"/>
        <v>45.78</v>
      </c>
      <c r="AD99" s="13">
        <f t="shared" si="295"/>
        <v>38.172413793103452</v>
      </c>
      <c r="AE99" s="44" t="e">
        <f t="shared" si="295"/>
        <v>#DIV/0!</v>
      </c>
      <c r="AF99" s="44">
        <f t="shared" si="295"/>
        <v>37.241379310344826</v>
      </c>
      <c r="AG99" s="14">
        <f t="shared" si="295"/>
        <v>37.241379310344826</v>
      </c>
      <c r="AH99" s="13" t="e">
        <f>(AH26/#REF!)*AH97+((#REF!-AH26)/#REF!)*AH98</f>
        <v>#REF!</v>
      </c>
      <c r="AI99" s="44" t="e">
        <f>(AI26/#REF!)*AI97+((#REF!-AI26)/#REF!)*AI98</f>
        <v>#REF!</v>
      </c>
      <c r="AJ99" s="44" t="e">
        <f>(AJ26/#REF!)*AJ97+((#REF!-AJ26)/#REF!)*AJ98</f>
        <v>#REF!</v>
      </c>
      <c r="AK99" s="14" t="e">
        <f>(AK26/#REF!)*AK97+((#REF!-AK26)/#REF!)*AK98</f>
        <v>#REF!</v>
      </c>
      <c r="AL99" s="13" t="e">
        <f t="shared" ref="AL99:BP99" si="296">(AL26/AL28)*AL97+((AL28-AL26)/AL28)*AL98</f>
        <v>#DIV/0!</v>
      </c>
      <c r="AM99" s="44" t="e">
        <f t="shared" si="296"/>
        <v>#DIV/0!</v>
      </c>
      <c r="AN99" s="44" t="e">
        <f t="shared" si="296"/>
        <v>#DIV/0!</v>
      </c>
      <c r="AO99" s="14" t="e">
        <f t="shared" si="296"/>
        <v>#DIV/0!</v>
      </c>
      <c r="AP99" s="13" t="e">
        <f t="shared" si="296"/>
        <v>#DIV/0!</v>
      </c>
      <c r="AQ99" s="44" t="e">
        <f t="shared" si="296"/>
        <v>#DIV/0!</v>
      </c>
      <c r="AR99" s="44" t="e">
        <f t="shared" si="296"/>
        <v>#DIV/0!</v>
      </c>
      <c r="AS99" s="14" t="e">
        <f t="shared" si="296"/>
        <v>#DIV/0!</v>
      </c>
      <c r="AT99" s="13" t="e">
        <f t="shared" si="296"/>
        <v>#DIV/0!</v>
      </c>
      <c r="AU99" s="44" t="e">
        <f t="shared" si="296"/>
        <v>#DIV/0!</v>
      </c>
      <c r="AV99" s="44" t="e">
        <f t="shared" si="296"/>
        <v>#DIV/0!</v>
      </c>
      <c r="AW99" s="14" t="e">
        <f t="shared" si="296"/>
        <v>#DIV/0!</v>
      </c>
      <c r="AX99" s="13" t="e">
        <f t="shared" si="296"/>
        <v>#DIV/0!</v>
      </c>
      <c r="AY99" s="44" t="e">
        <f t="shared" si="296"/>
        <v>#DIV/0!</v>
      </c>
      <c r="AZ99" s="44" t="e">
        <f t="shared" si="296"/>
        <v>#DIV/0!</v>
      </c>
      <c r="BA99" s="14" t="e">
        <f t="shared" si="296"/>
        <v>#DIV/0!</v>
      </c>
      <c r="BB99" s="13" t="e">
        <f t="shared" si="296"/>
        <v>#DIV/0!</v>
      </c>
      <c r="BC99" s="44" t="e">
        <f t="shared" si="296"/>
        <v>#DIV/0!</v>
      </c>
      <c r="BD99" s="44" t="e">
        <f t="shared" si="296"/>
        <v>#DIV/0!</v>
      </c>
      <c r="BE99" s="14" t="e">
        <f t="shared" si="296"/>
        <v>#DIV/0!</v>
      </c>
      <c r="BF99" s="13" t="e">
        <f t="shared" si="296"/>
        <v>#DIV/0!</v>
      </c>
      <c r="BG99" s="44" t="e">
        <f t="shared" si="296"/>
        <v>#DIV/0!</v>
      </c>
      <c r="BH99" s="44" t="e">
        <f t="shared" si="296"/>
        <v>#DIV/0!</v>
      </c>
      <c r="BI99" s="14" t="e">
        <f t="shared" si="296"/>
        <v>#DIV/0!</v>
      </c>
      <c r="BJ99" s="13" t="e">
        <f t="shared" si="296"/>
        <v>#DIV/0!</v>
      </c>
      <c r="BK99" s="44" t="e">
        <f t="shared" si="296"/>
        <v>#DIV/0!</v>
      </c>
      <c r="BL99" s="44" t="e">
        <f t="shared" si="296"/>
        <v>#DIV/0!</v>
      </c>
      <c r="BM99" s="14" t="e">
        <f t="shared" si="296"/>
        <v>#DIV/0!</v>
      </c>
      <c r="BN99" s="13" t="e">
        <f t="shared" si="296"/>
        <v>#DIV/0!</v>
      </c>
      <c r="BO99" s="44" t="e">
        <f t="shared" si="296"/>
        <v>#DIV/0!</v>
      </c>
      <c r="BP99" s="44" t="e">
        <f t="shared" si="296"/>
        <v>#DIV/0!</v>
      </c>
      <c r="BQ99" s="14" t="e">
        <f t="shared" ref="BQ99:CK99" si="297">(BQ26/BQ28)*BQ97+((BQ28-BQ26)/BQ28)*BQ98</f>
        <v>#DIV/0!</v>
      </c>
      <c r="BR99" s="13" t="e">
        <f t="shared" si="297"/>
        <v>#DIV/0!</v>
      </c>
      <c r="BS99" s="44" t="e">
        <f t="shared" si="297"/>
        <v>#DIV/0!</v>
      </c>
      <c r="BT99" s="44" t="e">
        <f t="shared" si="297"/>
        <v>#DIV/0!</v>
      </c>
      <c r="BU99" s="14" t="e">
        <f t="shared" si="297"/>
        <v>#DIV/0!</v>
      </c>
      <c r="BV99" s="13" t="e">
        <f t="shared" si="297"/>
        <v>#DIV/0!</v>
      </c>
      <c r="BW99" s="44" t="e">
        <f t="shared" si="297"/>
        <v>#DIV/0!</v>
      </c>
      <c r="BX99" s="44" t="e">
        <f t="shared" si="297"/>
        <v>#DIV/0!</v>
      </c>
      <c r="BY99" s="14" t="e">
        <f t="shared" si="297"/>
        <v>#DIV/0!</v>
      </c>
      <c r="BZ99" s="13" t="e">
        <f t="shared" si="297"/>
        <v>#DIV/0!</v>
      </c>
      <c r="CA99" s="44" t="e">
        <f t="shared" si="297"/>
        <v>#DIV/0!</v>
      </c>
      <c r="CB99" s="44" t="e">
        <f t="shared" si="297"/>
        <v>#DIV/0!</v>
      </c>
      <c r="CC99" s="14" t="e">
        <f t="shared" si="297"/>
        <v>#DIV/0!</v>
      </c>
      <c r="CD99" s="13" t="e">
        <f t="shared" si="297"/>
        <v>#DIV/0!</v>
      </c>
      <c r="CE99" s="44" t="e">
        <f t="shared" si="297"/>
        <v>#DIV/0!</v>
      </c>
      <c r="CF99" s="44" t="e">
        <f t="shared" si="297"/>
        <v>#DIV/0!</v>
      </c>
      <c r="CG99" s="14" t="e">
        <f t="shared" si="297"/>
        <v>#DIV/0!</v>
      </c>
      <c r="CH99" s="13" t="e">
        <f t="shared" si="297"/>
        <v>#DIV/0!</v>
      </c>
      <c r="CI99" s="44" t="e">
        <f t="shared" si="297"/>
        <v>#DIV/0!</v>
      </c>
      <c r="CJ99" s="44" t="e">
        <f t="shared" si="297"/>
        <v>#DIV/0!</v>
      </c>
      <c r="CK99" s="14" t="e">
        <f t="shared" si="297"/>
        <v>#DIV/0!</v>
      </c>
      <c r="CL99" s="49"/>
      <c r="CM99" s="28"/>
    </row>
    <row r="100" spans="1:91" ht="14.25" x14ac:dyDescent="0.25">
      <c r="B100" s="55"/>
      <c r="C100" s="10" t="s">
        <v>300</v>
      </c>
      <c r="D100" s="93" t="s">
        <v>512</v>
      </c>
      <c r="E100" s="126">
        <f t="shared" ref="E100:AJ100" si="298">E73+(E22/E21)*((1-E24)*80 + E24*E99)</f>
        <v>39.061207048108031</v>
      </c>
      <c r="F100" s="13">
        <f t="shared" si="298"/>
        <v>32.54956559864668</v>
      </c>
      <c r="G100" s="44">
        <f t="shared" si="298"/>
        <v>32.54285272139991</v>
      </c>
      <c r="H100" s="44">
        <f t="shared" si="298"/>
        <v>32.830060794604279</v>
      </c>
      <c r="I100" s="14">
        <f t="shared" si="298"/>
        <v>32.842939437240453</v>
      </c>
      <c r="J100" s="13" t="e">
        <f t="shared" si="298"/>
        <v>#DIV/0!</v>
      </c>
      <c r="K100" s="44" t="e">
        <f t="shared" si="298"/>
        <v>#DIV/0!</v>
      </c>
      <c r="L100" s="44" t="e">
        <f t="shared" si="298"/>
        <v>#DIV/0!</v>
      </c>
      <c r="M100" s="14" t="e">
        <f t="shared" si="298"/>
        <v>#DIV/0!</v>
      </c>
      <c r="N100" s="13">
        <f t="shared" si="298"/>
        <v>37.736898144813203</v>
      </c>
      <c r="O100" s="44">
        <f t="shared" si="298"/>
        <v>38.197940043204852</v>
      </c>
      <c r="P100" s="44">
        <f t="shared" si="298"/>
        <v>34.170424205910287</v>
      </c>
      <c r="Q100" s="14">
        <f t="shared" si="298"/>
        <v>19.690979383332831</v>
      </c>
      <c r="R100" s="13" t="e">
        <f t="shared" si="298"/>
        <v>#DIV/0!</v>
      </c>
      <c r="S100" s="44" t="e">
        <f t="shared" si="298"/>
        <v>#DIV/0!</v>
      </c>
      <c r="T100" s="44" t="e">
        <f t="shared" si="298"/>
        <v>#DIV/0!</v>
      </c>
      <c r="U100" s="14" t="e">
        <f t="shared" si="298"/>
        <v>#DIV/0!</v>
      </c>
      <c r="V100" s="13">
        <f t="shared" si="298"/>
        <v>41.640766849118947</v>
      </c>
      <c r="W100" s="44" t="e">
        <f t="shared" si="298"/>
        <v>#DIV/0!</v>
      </c>
      <c r="X100" s="44">
        <f t="shared" si="298"/>
        <v>22.21452320058458</v>
      </c>
      <c r="Y100" s="14">
        <f t="shared" si="298"/>
        <v>30.537499313982298</v>
      </c>
      <c r="Z100" s="13">
        <f t="shared" si="298"/>
        <v>26.917647167362986</v>
      </c>
      <c r="AA100" s="44" t="e">
        <f t="shared" si="298"/>
        <v>#DIV/0!</v>
      </c>
      <c r="AB100" s="44">
        <f t="shared" si="298"/>
        <v>25.541126050420171</v>
      </c>
      <c r="AC100" s="14">
        <f t="shared" si="298"/>
        <v>34.424402988030117</v>
      </c>
      <c r="AD100" s="13">
        <f t="shared" si="298"/>
        <v>27.288146886248292</v>
      </c>
      <c r="AE100" s="44" t="e">
        <f t="shared" si="298"/>
        <v>#DIV/0!</v>
      </c>
      <c r="AF100" s="44">
        <f t="shared" si="298"/>
        <v>16.773816481589719</v>
      </c>
      <c r="AG100" s="14">
        <f t="shared" si="298"/>
        <v>16.775013777805725</v>
      </c>
      <c r="AH100" s="13" t="e">
        <f t="shared" si="298"/>
        <v>#REF!</v>
      </c>
      <c r="AI100" s="44" t="e">
        <f t="shared" si="298"/>
        <v>#REF!</v>
      </c>
      <c r="AJ100" s="44" t="e">
        <f t="shared" si="298"/>
        <v>#REF!</v>
      </c>
      <c r="AK100" s="14" t="e">
        <f t="shared" ref="AK100:BP100" si="299">AK73+(AK22/AK21)*((1-AK24)*80 + AK24*AK99)</f>
        <v>#REF!</v>
      </c>
      <c r="AL100" s="13" t="e">
        <f t="shared" si="299"/>
        <v>#DIV/0!</v>
      </c>
      <c r="AM100" s="44" t="e">
        <f t="shared" si="299"/>
        <v>#DIV/0!</v>
      </c>
      <c r="AN100" s="44" t="e">
        <f t="shared" si="299"/>
        <v>#DIV/0!</v>
      </c>
      <c r="AO100" s="14" t="e">
        <f t="shared" si="299"/>
        <v>#DIV/0!</v>
      </c>
      <c r="AP100" s="13" t="e">
        <f t="shared" si="299"/>
        <v>#DIV/0!</v>
      </c>
      <c r="AQ100" s="44" t="e">
        <f t="shared" si="299"/>
        <v>#DIV/0!</v>
      </c>
      <c r="AR100" s="44" t="e">
        <f t="shared" si="299"/>
        <v>#DIV/0!</v>
      </c>
      <c r="AS100" s="14" t="e">
        <f t="shared" si="299"/>
        <v>#DIV/0!</v>
      </c>
      <c r="AT100" s="13" t="e">
        <f t="shared" si="299"/>
        <v>#DIV/0!</v>
      </c>
      <c r="AU100" s="44" t="e">
        <f t="shared" si="299"/>
        <v>#DIV/0!</v>
      </c>
      <c r="AV100" s="44" t="e">
        <f t="shared" si="299"/>
        <v>#DIV/0!</v>
      </c>
      <c r="AW100" s="14" t="e">
        <f t="shared" si="299"/>
        <v>#DIV/0!</v>
      </c>
      <c r="AX100" s="13" t="e">
        <f t="shared" si="299"/>
        <v>#DIV/0!</v>
      </c>
      <c r="AY100" s="44" t="e">
        <f t="shared" si="299"/>
        <v>#DIV/0!</v>
      </c>
      <c r="AZ100" s="44" t="e">
        <f t="shared" si="299"/>
        <v>#DIV/0!</v>
      </c>
      <c r="BA100" s="14" t="e">
        <f t="shared" si="299"/>
        <v>#DIV/0!</v>
      </c>
      <c r="BB100" s="13" t="e">
        <f t="shared" si="299"/>
        <v>#DIV/0!</v>
      </c>
      <c r="BC100" s="44" t="e">
        <f t="shared" si="299"/>
        <v>#DIV/0!</v>
      </c>
      <c r="BD100" s="44" t="e">
        <f t="shared" si="299"/>
        <v>#DIV/0!</v>
      </c>
      <c r="BE100" s="14" t="e">
        <f t="shared" si="299"/>
        <v>#DIV/0!</v>
      </c>
      <c r="BF100" s="13" t="e">
        <f t="shared" si="299"/>
        <v>#DIV/0!</v>
      </c>
      <c r="BG100" s="44" t="e">
        <f t="shared" si="299"/>
        <v>#DIV/0!</v>
      </c>
      <c r="BH100" s="44" t="e">
        <f t="shared" si="299"/>
        <v>#DIV/0!</v>
      </c>
      <c r="BI100" s="14" t="e">
        <f t="shared" si="299"/>
        <v>#DIV/0!</v>
      </c>
      <c r="BJ100" s="13" t="e">
        <f t="shared" si="299"/>
        <v>#DIV/0!</v>
      </c>
      <c r="BK100" s="44" t="e">
        <f t="shared" si="299"/>
        <v>#DIV/0!</v>
      </c>
      <c r="BL100" s="44" t="e">
        <f t="shared" si="299"/>
        <v>#DIV/0!</v>
      </c>
      <c r="BM100" s="14" t="e">
        <f t="shared" si="299"/>
        <v>#DIV/0!</v>
      </c>
      <c r="BN100" s="13" t="e">
        <f t="shared" si="299"/>
        <v>#DIV/0!</v>
      </c>
      <c r="BO100" s="44" t="e">
        <f t="shared" si="299"/>
        <v>#DIV/0!</v>
      </c>
      <c r="BP100" s="44" t="e">
        <f t="shared" si="299"/>
        <v>#DIV/0!</v>
      </c>
      <c r="BQ100" s="14" t="e">
        <f t="shared" ref="BQ100:CK100" si="300">BQ73+(BQ22/BQ21)*((1-BQ24)*80 + BQ24*BQ99)</f>
        <v>#DIV/0!</v>
      </c>
      <c r="BR100" s="13" t="e">
        <f t="shared" si="300"/>
        <v>#DIV/0!</v>
      </c>
      <c r="BS100" s="44" t="e">
        <f t="shared" si="300"/>
        <v>#DIV/0!</v>
      </c>
      <c r="BT100" s="44" t="e">
        <f t="shared" si="300"/>
        <v>#DIV/0!</v>
      </c>
      <c r="BU100" s="14" t="e">
        <f t="shared" si="300"/>
        <v>#DIV/0!</v>
      </c>
      <c r="BV100" s="13" t="e">
        <f t="shared" si="300"/>
        <v>#DIV/0!</v>
      </c>
      <c r="BW100" s="44" t="e">
        <f t="shared" si="300"/>
        <v>#DIV/0!</v>
      </c>
      <c r="BX100" s="44" t="e">
        <f t="shared" si="300"/>
        <v>#DIV/0!</v>
      </c>
      <c r="BY100" s="14" t="e">
        <f t="shared" si="300"/>
        <v>#DIV/0!</v>
      </c>
      <c r="BZ100" s="13" t="e">
        <f t="shared" si="300"/>
        <v>#DIV/0!</v>
      </c>
      <c r="CA100" s="44" t="e">
        <f t="shared" si="300"/>
        <v>#DIV/0!</v>
      </c>
      <c r="CB100" s="44" t="e">
        <f t="shared" si="300"/>
        <v>#DIV/0!</v>
      </c>
      <c r="CC100" s="14" t="e">
        <f t="shared" si="300"/>
        <v>#DIV/0!</v>
      </c>
      <c r="CD100" s="13" t="e">
        <f t="shared" si="300"/>
        <v>#DIV/0!</v>
      </c>
      <c r="CE100" s="44" t="e">
        <f t="shared" si="300"/>
        <v>#DIV/0!</v>
      </c>
      <c r="CF100" s="44" t="e">
        <f t="shared" si="300"/>
        <v>#DIV/0!</v>
      </c>
      <c r="CG100" s="14" t="e">
        <f t="shared" si="300"/>
        <v>#DIV/0!</v>
      </c>
      <c r="CH100" s="13" t="e">
        <f t="shared" si="300"/>
        <v>#DIV/0!</v>
      </c>
      <c r="CI100" s="44" t="e">
        <f t="shared" si="300"/>
        <v>#DIV/0!</v>
      </c>
      <c r="CJ100" s="44" t="e">
        <f t="shared" si="300"/>
        <v>#DIV/0!</v>
      </c>
      <c r="CK100" s="14" t="e">
        <f t="shared" si="300"/>
        <v>#DIV/0!</v>
      </c>
      <c r="CL100" s="49"/>
      <c r="CM100" s="28"/>
    </row>
    <row r="101" spans="1:91" x14ac:dyDescent="0.25">
      <c r="B101" s="55"/>
      <c r="C101" s="205"/>
      <c r="D101" s="231"/>
      <c r="E101" s="126"/>
      <c r="F101" s="13"/>
      <c r="G101" s="44"/>
      <c r="H101" s="44"/>
      <c r="I101" s="14"/>
      <c r="J101" s="13"/>
      <c r="K101" s="44"/>
      <c r="L101" s="44"/>
      <c r="M101" s="14"/>
      <c r="N101" s="13"/>
      <c r="O101" s="44"/>
      <c r="P101" s="44"/>
      <c r="Q101" s="14"/>
      <c r="R101" s="13"/>
      <c r="S101" s="44"/>
      <c r="T101" s="44"/>
      <c r="U101" s="14"/>
      <c r="V101" s="13"/>
      <c r="W101" s="44"/>
      <c r="X101" s="44"/>
      <c r="Y101" s="14"/>
      <c r="Z101" s="13"/>
      <c r="AA101" s="44"/>
      <c r="AB101" s="44"/>
      <c r="AC101" s="14"/>
      <c r="AD101" s="13"/>
      <c r="AE101" s="44"/>
      <c r="AF101" s="44"/>
      <c r="AG101" s="14"/>
      <c r="AH101" s="13"/>
      <c r="AI101" s="44"/>
      <c r="AJ101" s="44"/>
      <c r="AK101" s="14"/>
      <c r="AL101" s="13"/>
      <c r="AM101" s="44"/>
      <c r="AN101" s="44"/>
      <c r="AO101" s="14"/>
      <c r="AP101" s="13"/>
      <c r="AQ101" s="44"/>
      <c r="AR101" s="44"/>
      <c r="AS101" s="14"/>
      <c r="AT101" s="13"/>
      <c r="AU101" s="44"/>
      <c r="AV101" s="44"/>
      <c r="AW101" s="14"/>
      <c r="AX101" s="13"/>
      <c r="AY101" s="44"/>
      <c r="AZ101" s="44"/>
      <c r="BA101" s="14"/>
      <c r="BB101" s="13"/>
      <c r="BC101" s="44"/>
      <c r="BD101" s="44"/>
      <c r="BE101" s="14"/>
      <c r="BF101" s="13"/>
      <c r="BG101" s="44"/>
      <c r="BH101" s="44"/>
      <c r="BI101" s="14"/>
      <c r="BJ101" s="13"/>
      <c r="BK101" s="44"/>
      <c r="BL101" s="44"/>
      <c r="BM101" s="14"/>
      <c r="BN101" s="13"/>
      <c r="BO101" s="44"/>
      <c r="BP101" s="44"/>
      <c r="BQ101" s="14"/>
      <c r="BR101" s="13"/>
      <c r="BS101" s="44"/>
      <c r="BT101" s="44"/>
      <c r="BU101" s="14"/>
      <c r="BV101" s="13"/>
      <c r="BW101" s="44"/>
      <c r="BX101" s="44"/>
      <c r="BY101" s="14"/>
      <c r="BZ101" s="13"/>
      <c r="CA101" s="44"/>
      <c r="CB101" s="44"/>
      <c r="CC101" s="14"/>
      <c r="CD101" s="13"/>
      <c r="CE101" s="44"/>
      <c r="CF101" s="44"/>
      <c r="CG101" s="14"/>
      <c r="CH101" s="13"/>
      <c r="CI101" s="44"/>
      <c r="CJ101" s="44"/>
      <c r="CK101" s="14"/>
      <c r="CL101" s="49"/>
      <c r="CM101" s="28"/>
    </row>
    <row r="102" spans="1:91" ht="14.25" x14ac:dyDescent="0.25">
      <c r="B102" s="55"/>
      <c r="C102" s="10" t="s">
        <v>527</v>
      </c>
      <c r="D102" s="93" t="s">
        <v>528</v>
      </c>
      <c r="E102" s="126">
        <f>E74</f>
        <v>0</v>
      </c>
      <c r="F102" s="13">
        <f t="shared" ref="F102:AK102" si="301">IF(F42="Signalized",F100,IF(F42="Stop - Two way",F85,IF(F42="Stop - All way",0,IF(F42="Free",0,"Control N/A!"))))</f>
        <v>32.54956559864668</v>
      </c>
      <c r="G102" s="44">
        <f t="shared" si="301"/>
        <v>32.54285272139991</v>
      </c>
      <c r="H102" s="44">
        <f t="shared" si="301"/>
        <v>32.830060794604279</v>
      </c>
      <c r="I102" s="14">
        <f t="shared" si="301"/>
        <v>32.842939437240453</v>
      </c>
      <c r="J102" s="13">
        <f t="shared" si="301"/>
        <v>15.064202762380551</v>
      </c>
      <c r="K102" s="44" t="str">
        <f t="shared" si="301"/>
        <v>Control N/A!</v>
      </c>
      <c r="L102" s="44">
        <f t="shared" si="301"/>
        <v>0</v>
      </c>
      <c r="M102" s="14">
        <f t="shared" si="301"/>
        <v>0</v>
      </c>
      <c r="N102" s="13">
        <f t="shared" si="301"/>
        <v>37.736898144813203</v>
      </c>
      <c r="O102" s="44">
        <f t="shared" si="301"/>
        <v>38.197940043204852</v>
      </c>
      <c r="P102" s="44">
        <f t="shared" si="301"/>
        <v>34.170424205910287</v>
      </c>
      <c r="Q102" s="14">
        <f t="shared" si="301"/>
        <v>19.690979383332831</v>
      </c>
      <c r="R102" s="13">
        <f t="shared" si="301"/>
        <v>15.649649249881946</v>
      </c>
      <c r="S102" s="44" t="str">
        <f t="shared" si="301"/>
        <v>Control N/A!</v>
      </c>
      <c r="T102" s="44">
        <f t="shared" si="301"/>
        <v>0</v>
      </c>
      <c r="U102" s="14">
        <f t="shared" si="301"/>
        <v>0</v>
      </c>
      <c r="V102" s="13">
        <f t="shared" si="301"/>
        <v>41.640766849118947</v>
      </c>
      <c r="W102" s="44" t="str">
        <f t="shared" si="301"/>
        <v>Control N/A!</v>
      </c>
      <c r="X102" s="44">
        <f t="shared" si="301"/>
        <v>22.21452320058458</v>
      </c>
      <c r="Y102" s="14">
        <f t="shared" si="301"/>
        <v>30.537499313982298</v>
      </c>
      <c r="Z102" s="13">
        <f t="shared" si="301"/>
        <v>26.917647167362986</v>
      </c>
      <c r="AA102" s="44" t="str">
        <f t="shared" si="301"/>
        <v>Control N/A!</v>
      </c>
      <c r="AB102" s="44">
        <f t="shared" si="301"/>
        <v>25.541126050420171</v>
      </c>
      <c r="AC102" s="14">
        <f t="shared" si="301"/>
        <v>34.424402988030117</v>
      </c>
      <c r="AD102" s="13">
        <f t="shared" si="301"/>
        <v>27.288146886248292</v>
      </c>
      <c r="AE102" s="44" t="str">
        <f t="shared" si="301"/>
        <v>Control N/A!</v>
      </c>
      <c r="AF102" s="44">
        <f t="shared" si="301"/>
        <v>16.773816481589719</v>
      </c>
      <c r="AG102" s="14">
        <f t="shared" si="301"/>
        <v>16.775013777805725</v>
      </c>
      <c r="AH102" s="13" t="e">
        <f t="shared" si="301"/>
        <v>#REF!</v>
      </c>
      <c r="AI102" s="44" t="e">
        <f t="shared" si="301"/>
        <v>#REF!</v>
      </c>
      <c r="AJ102" s="44" t="e">
        <f t="shared" si="301"/>
        <v>#REF!</v>
      </c>
      <c r="AK102" s="14" t="e">
        <f t="shared" si="301"/>
        <v>#REF!</v>
      </c>
      <c r="AL102" s="13" t="str">
        <f t="shared" ref="AL102:BQ102" si="302">IF(AL42="Signalized",AL100,IF(AL42="Stop - Two way",AL85,IF(AL42="Stop - All way",0,IF(AL42="Free",0,"Control N/A!"))))</f>
        <v>Control N/A!</v>
      </c>
      <c r="AM102" s="44" t="str">
        <f t="shared" si="302"/>
        <v>Control N/A!</v>
      </c>
      <c r="AN102" s="44" t="str">
        <f t="shared" si="302"/>
        <v>Control N/A!</v>
      </c>
      <c r="AO102" s="14" t="str">
        <f t="shared" si="302"/>
        <v>Control N/A!</v>
      </c>
      <c r="AP102" s="13" t="str">
        <f t="shared" si="302"/>
        <v>Control N/A!</v>
      </c>
      <c r="AQ102" s="44" t="str">
        <f t="shared" si="302"/>
        <v>Control N/A!</v>
      </c>
      <c r="AR102" s="44" t="str">
        <f t="shared" si="302"/>
        <v>Control N/A!</v>
      </c>
      <c r="AS102" s="14" t="str">
        <f t="shared" si="302"/>
        <v>Control N/A!</v>
      </c>
      <c r="AT102" s="13" t="str">
        <f t="shared" si="302"/>
        <v>Control N/A!</v>
      </c>
      <c r="AU102" s="44" t="str">
        <f t="shared" si="302"/>
        <v>Control N/A!</v>
      </c>
      <c r="AV102" s="44" t="str">
        <f t="shared" si="302"/>
        <v>Control N/A!</v>
      </c>
      <c r="AW102" s="14" t="str">
        <f t="shared" si="302"/>
        <v>Control N/A!</v>
      </c>
      <c r="AX102" s="13" t="str">
        <f t="shared" si="302"/>
        <v>Control N/A!</v>
      </c>
      <c r="AY102" s="44" t="str">
        <f t="shared" si="302"/>
        <v>Control N/A!</v>
      </c>
      <c r="AZ102" s="44" t="str">
        <f t="shared" si="302"/>
        <v>Control N/A!</v>
      </c>
      <c r="BA102" s="14" t="str">
        <f t="shared" si="302"/>
        <v>Control N/A!</v>
      </c>
      <c r="BB102" s="13" t="str">
        <f t="shared" si="302"/>
        <v>Control N/A!</v>
      </c>
      <c r="BC102" s="44" t="str">
        <f t="shared" si="302"/>
        <v>Control N/A!</v>
      </c>
      <c r="BD102" s="44" t="str">
        <f t="shared" si="302"/>
        <v>Control N/A!</v>
      </c>
      <c r="BE102" s="14" t="str">
        <f t="shared" si="302"/>
        <v>Control N/A!</v>
      </c>
      <c r="BF102" s="13" t="str">
        <f t="shared" si="302"/>
        <v>Control N/A!</v>
      </c>
      <c r="BG102" s="44" t="str">
        <f t="shared" si="302"/>
        <v>Control N/A!</v>
      </c>
      <c r="BH102" s="44" t="str">
        <f t="shared" si="302"/>
        <v>Control N/A!</v>
      </c>
      <c r="BI102" s="14" t="str">
        <f t="shared" si="302"/>
        <v>Control N/A!</v>
      </c>
      <c r="BJ102" s="13" t="str">
        <f t="shared" si="302"/>
        <v>Control N/A!</v>
      </c>
      <c r="BK102" s="44" t="str">
        <f t="shared" si="302"/>
        <v>Control N/A!</v>
      </c>
      <c r="BL102" s="44" t="str">
        <f t="shared" si="302"/>
        <v>Control N/A!</v>
      </c>
      <c r="BM102" s="14" t="str">
        <f t="shared" si="302"/>
        <v>Control N/A!</v>
      </c>
      <c r="BN102" s="13" t="str">
        <f t="shared" si="302"/>
        <v>Control N/A!</v>
      </c>
      <c r="BO102" s="44" t="str">
        <f t="shared" si="302"/>
        <v>Control N/A!</v>
      </c>
      <c r="BP102" s="44" t="str">
        <f t="shared" si="302"/>
        <v>Control N/A!</v>
      </c>
      <c r="BQ102" s="14" t="str">
        <f t="shared" si="302"/>
        <v>Control N/A!</v>
      </c>
      <c r="BR102" s="13" t="str">
        <f t="shared" ref="BR102:CK102" si="303">IF(BR42="Signalized",BR100,IF(BR42="Stop - Two way",BR85,IF(BR42="Stop - All way",0,IF(BR42="Free",0,"Control N/A!"))))</f>
        <v>Control N/A!</v>
      </c>
      <c r="BS102" s="44" t="str">
        <f t="shared" si="303"/>
        <v>Control N/A!</v>
      </c>
      <c r="BT102" s="44" t="str">
        <f t="shared" si="303"/>
        <v>Control N/A!</v>
      </c>
      <c r="BU102" s="14" t="str">
        <f t="shared" si="303"/>
        <v>Control N/A!</v>
      </c>
      <c r="BV102" s="13" t="str">
        <f t="shared" si="303"/>
        <v>Control N/A!</v>
      </c>
      <c r="BW102" s="44" t="str">
        <f t="shared" si="303"/>
        <v>Control N/A!</v>
      </c>
      <c r="BX102" s="44" t="str">
        <f t="shared" si="303"/>
        <v>Control N/A!</v>
      </c>
      <c r="BY102" s="14" t="str">
        <f t="shared" si="303"/>
        <v>Control N/A!</v>
      </c>
      <c r="BZ102" s="13" t="str">
        <f t="shared" si="303"/>
        <v>Control N/A!</v>
      </c>
      <c r="CA102" s="44" t="str">
        <f t="shared" si="303"/>
        <v>Control N/A!</v>
      </c>
      <c r="CB102" s="44" t="str">
        <f t="shared" si="303"/>
        <v>Control N/A!</v>
      </c>
      <c r="CC102" s="14" t="str">
        <f t="shared" si="303"/>
        <v>Control N/A!</v>
      </c>
      <c r="CD102" s="13" t="str">
        <f t="shared" si="303"/>
        <v>Control N/A!</v>
      </c>
      <c r="CE102" s="44" t="str">
        <f t="shared" si="303"/>
        <v>Control N/A!</v>
      </c>
      <c r="CF102" s="44" t="str">
        <f t="shared" si="303"/>
        <v>Control N/A!</v>
      </c>
      <c r="CG102" s="14" t="str">
        <f t="shared" si="303"/>
        <v>Control N/A!</v>
      </c>
      <c r="CH102" s="13" t="str">
        <f t="shared" si="303"/>
        <v>Control N/A!</v>
      </c>
      <c r="CI102" s="44" t="str">
        <f t="shared" si="303"/>
        <v>Control N/A!</v>
      </c>
      <c r="CJ102" s="44" t="str">
        <f t="shared" si="303"/>
        <v>Control N/A!</v>
      </c>
      <c r="CK102" s="14" t="str">
        <f t="shared" si="303"/>
        <v>Control N/A!</v>
      </c>
      <c r="CL102" s="49"/>
      <c r="CM102" s="28"/>
    </row>
    <row r="103" spans="1:91" ht="14.25" x14ac:dyDescent="0.25">
      <c r="B103" s="55"/>
      <c r="C103" s="10" t="s">
        <v>109</v>
      </c>
      <c r="D103" s="93" t="s">
        <v>110</v>
      </c>
      <c r="E103" s="126">
        <f t="shared" ref="E103:AJ103" si="304">IF(AND(E43="Yes",(E37-1.5)&gt;0),E37-1.5,E37)</f>
        <v>0</v>
      </c>
      <c r="F103" s="13">
        <f t="shared" si="304"/>
        <v>0</v>
      </c>
      <c r="G103" s="44">
        <f t="shared" si="304"/>
        <v>0</v>
      </c>
      <c r="H103" s="44">
        <f t="shared" si="304"/>
        <v>0</v>
      </c>
      <c r="I103" s="14">
        <f t="shared" si="304"/>
        <v>0</v>
      </c>
      <c r="J103" s="13">
        <f t="shared" si="304"/>
        <v>0</v>
      </c>
      <c r="K103" s="44">
        <f t="shared" si="304"/>
        <v>0</v>
      </c>
      <c r="L103" s="44">
        <f t="shared" si="304"/>
        <v>0</v>
      </c>
      <c r="M103" s="14">
        <f t="shared" si="304"/>
        <v>0</v>
      </c>
      <c r="N103" s="13">
        <f t="shared" si="304"/>
        <v>0</v>
      </c>
      <c r="O103" s="44">
        <f t="shared" si="304"/>
        <v>0</v>
      </c>
      <c r="P103" s="44">
        <f t="shared" si="304"/>
        <v>0</v>
      </c>
      <c r="Q103" s="14">
        <f t="shared" si="304"/>
        <v>0</v>
      </c>
      <c r="R103" s="13">
        <f t="shared" si="304"/>
        <v>0</v>
      </c>
      <c r="S103" s="44">
        <f t="shared" si="304"/>
        <v>0</v>
      </c>
      <c r="T103" s="44">
        <f t="shared" si="304"/>
        <v>0</v>
      </c>
      <c r="U103" s="14">
        <f t="shared" si="304"/>
        <v>0</v>
      </c>
      <c r="V103" s="13">
        <f t="shared" si="304"/>
        <v>0</v>
      </c>
      <c r="W103" s="44">
        <f t="shared" si="304"/>
        <v>0</v>
      </c>
      <c r="X103" s="44">
        <f t="shared" si="304"/>
        <v>0</v>
      </c>
      <c r="Y103" s="14">
        <f t="shared" si="304"/>
        <v>0</v>
      </c>
      <c r="Z103" s="13">
        <f t="shared" si="304"/>
        <v>0</v>
      </c>
      <c r="AA103" s="44">
        <f t="shared" si="304"/>
        <v>0</v>
      </c>
      <c r="AB103" s="44">
        <f t="shared" si="304"/>
        <v>0</v>
      </c>
      <c r="AC103" s="14">
        <f t="shared" si="304"/>
        <v>0</v>
      </c>
      <c r="AD103" s="13">
        <f t="shared" si="304"/>
        <v>0</v>
      </c>
      <c r="AE103" s="44">
        <f t="shared" si="304"/>
        <v>0</v>
      </c>
      <c r="AF103" s="44">
        <f t="shared" si="304"/>
        <v>0</v>
      </c>
      <c r="AG103" s="14">
        <f t="shared" si="304"/>
        <v>0</v>
      </c>
      <c r="AH103" s="13">
        <f t="shared" si="304"/>
        <v>0</v>
      </c>
      <c r="AI103" s="44">
        <f t="shared" si="304"/>
        <v>0</v>
      </c>
      <c r="AJ103" s="44">
        <f t="shared" si="304"/>
        <v>0</v>
      </c>
      <c r="AK103" s="14">
        <f t="shared" ref="AK103:BP103" si="305">IF(AND(AK43="Yes",(AK37-1.5)&gt;0),AK37-1.5,AK37)</f>
        <v>0</v>
      </c>
      <c r="AL103" s="13">
        <f t="shared" si="305"/>
        <v>0</v>
      </c>
      <c r="AM103" s="44">
        <f t="shared" si="305"/>
        <v>0</v>
      </c>
      <c r="AN103" s="44">
        <f t="shared" si="305"/>
        <v>0</v>
      </c>
      <c r="AO103" s="14">
        <f t="shared" si="305"/>
        <v>0</v>
      </c>
      <c r="AP103" s="13">
        <f t="shared" si="305"/>
        <v>0</v>
      </c>
      <c r="AQ103" s="44">
        <f t="shared" si="305"/>
        <v>0</v>
      </c>
      <c r="AR103" s="44">
        <f t="shared" si="305"/>
        <v>0</v>
      </c>
      <c r="AS103" s="14">
        <f t="shared" si="305"/>
        <v>0</v>
      </c>
      <c r="AT103" s="13">
        <f t="shared" si="305"/>
        <v>0</v>
      </c>
      <c r="AU103" s="44">
        <f t="shared" si="305"/>
        <v>0</v>
      </c>
      <c r="AV103" s="44">
        <f t="shared" si="305"/>
        <v>0</v>
      </c>
      <c r="AW103" s="14">
        <f t="shared" si="305"/>
        <v>0</v>
      </c>
      <c r="AX103" s="13">
        <f t="shared" si="305"/>
        <v>0</v>
      </c>
      <c r="AY103" s="44">
        <f t="shared" si="305"/>
        <v>0</v>
      </c>
      <c r="AZ103" s="44">
        <f t="shared" si="305"/>
        <v>0</v>
      </c>
      <c r="BA103" s="14">
        <f t="shared" si="305"/>
        <v>0</v>
      </c>
      <c r="BB103" s="13">
        <f t="shared" si="305"/>
        <v>0</v>
      </c>
      <c r="BC103" s="44">
        <f t="shared" si="305"/>
        <v>0</v>
      </c>
      <c r="BD103" s="44">
        <f t="shared" si="305"/>
        <v>0</v>
      </c>
      <c r="BE103" s="14">
        <f t="shared" si="305"/>
        <v>0</v>
      </c>
      <c r="BF103" s="13">
        <f t="shared" si="305"/>
        <v>0</v>
      </c>
      <c r="BG103" s="44">
        <f t="shared" si="305"/>
        <v>0</v>
      </c>
      <c r="BH103" s="44">
        <f t="shared" si="305"/>
        <v>0</v>
      </c>
      <c r="BI103" s="14">
        <f t="shared" si="305"/>
        <v>0</v>
      </c>
      <c r="BJ103" s="13">
        <f t="shared" si="305"/>
        <v>0</v>
      </c>
      <c r="BK103" s="44">
        <f t="shared" si="305"/>
        <v>0</v>
      </c>
      <c r="BL103" s="44">
        <f t="shared" si="305"/>
        <v>0</v>
      </c>
      <c r="BM103" s="14">
        <f t="shared" si="305"/>
        <v>0</v>
      </c>
      <c r="BN103" s="13">
        <f t="shared" si="305"/>
        <v>0</v>
      </c>
      <c r="BO103" s="44">
        <f t="shared" si="305"/>
        <v>0</v>
      </c>
      <c r="BP103" s="44">
        <f t="shared" si="305"/>
        <v>0</v>
      </c>
      <c r="BQ103" s="14">
        <f t="shared" ref="BQ103:CK103" si="306">IF(AND(BQ43="Yes",(BQ37-1.5)&gt;0),BQ37-1.5,BQ37)</f>
        <v>0</v>
      </c>
      <c r="BR103" s="13">
        <f t="shared" si="306"/>
        <v>0</v>
      </c>
      <c r="BS103" s="44">
        <f t="shared" si="306"/>
        <v>0</v>
      </c>
      <c r="BT103" s="44">
        <f t="shared" si="306"/>
        <v>0</v>
      </c>
      <c r="BU103" s="14">
        <f t="shared" si="306"/>
        <v>0</v>
      </c>
      <c r="BV103" s="13">
        <f t="shared" si="306"/>
        <v>0</v>
      </c>
      <c r="BW103" s="44">
        <f t="shared" si="306"/>
        <v>0</v>
      </c>
      <c r="BX103" s="44">
        <f t="shared" si="306"/>
        <v>0</v>
      </c>
      <c r="BY103" s="14">
        <f t="shared" si="306"/>
        <v>0</v>
      </c>
      <c r="BZ103" s="13">
        <f t="shared" si="306"/>
        <v>0</v>
      </c>
      <c r="CA103" s="44">
        <f t="shared" si="306"/>
        <v>0</v>
      </c>
      <c r="CB103" s="44">
        <f t="shared" si="306"/>
        <v>0</v>
      </c>
      <c r="CC103" s="14">
        <f t="shared" si="306"/>
        <v>0</v>
      </c>
      <c r="CD103" s="13">
        <f t="shared" si="306"/>
        <v>0</v>
      </c>
      <c r="CE103" s="44">
        <f t="shared" si="306"/>
        <v>0</v>
      </c>
      <c r="CF103" s="44">
        <f t="shared" si="306"/>
        <v>0</v>
      </c>
      <c r="CG103" s="14">
        <f t="shared" si="306"/>
        <v>0</v>
      </c>
      <c r="CH103" s="13">
        <f t="shared" si="306"/>
        <v>0</v>
      </c>
      <c r="CI103" s="44">
        <f t="shared" si="306"/>
        <v>0</v>
      </c>
      <c r="CJ103" s="44">
        <f t="shared" si="306"/>
        <v>0</v>
      </c>
      <c r="CK103" s="14">
        <f t="shared" si="306"/>
        <v>0</v>
      </c>
      <c r="CL103" s="49"/>
      <c r="CM103" s="28"/>
    </row>
    <row r="104" spans="1:91" ht="14.25" x14ac:dyDescent="0.25">
      <c r="B104" s="55"/>
      <c r="C104" s="10" t="s">
        <v>174</v>
      </c>
      <c r="D104" s="93" t="s">
        <v>175</v>
      </c>
      <c r="E104" s="127">
        <f>IF(E35&gt;0,0,1)</f>
        <v>0</v>
      </c>
      <c r="F104" s="42">
        <f>IF(F35&gt;0,0,1)</f>
        <v>0</v>
      </c>
      <c r="G104" s="45">
        <f t="shared" ref="G104:I104" si="307">IF(G35&gt;0,0,1)</f>
        <v>0</v>
      </c>
      <c r="H104" s="45">
        <f t="shared" si="307"/>
        <v>0</v>
      </c>
      <c r="I104" s="94">
        <f t="shared" si="307"/>
        <v>0</v>
      </c>
      <c r="J104" s="173">
        <f>IF(J35&gt;0,0,1)</f>
        <v>0</v>
      </c>
      <c r="K104" s="174">
        <f t="shared" ref="K104:M104" si="308">IF(K35&gt;0,0,1)</f>
        <v>1</v>
      </c>
      <c r="L104" s="174">
        <f t="shared" si="308"/>
        <v>0</v>
      </c>
      <c r="M104" s="175">
        <f t="shared" si="308"/>
        <v>0</v>
      </c>
      <c r="N104" s="173">
        <f>IF(N35&gt;0,0,1)</f>
        <v>0</v>
      </c>
      <c r="O104" s="174">
        <f t="shared" ref="O104:Q104" si="309">IF(O35&gt;0,0,1)</f>
        <v>0</v>
      </c>
      <c r="P104" s="174">
        <f t="shared" si="309"/>
        <v>0</v>
      </c>
      <c r="Q104" s="175">
        <f t="shared" si="309"/>
        <v>0</v>
      </c>
      <c r="R104" s="173">
        <f>IF(R35&gt;0,0,1)</f>
        <v>0</v>
      </c>
      <c r="S104" s="174">
        <f t="shared" ref="S104:U104" si="310">IF(S35&gt;0,0,1)</f>
        <v>1</v>
      </c>
      <c r="T104" s="174">
        <f t="shared" si="310"/>
        <v>0</v>
      </c>
      <c r="U104" s="175">
        <f t="shared" si="310"/>
        <v>0</v>
      </c>
      <c r="V104" s="173">
        <f>IF(V35&gt;0,0,1)</f>
        <v>0</v>
      </c>
      <c r="W104" s="174">
        <f t="shared" ref="W104:Y104" si="311">IF(W35&gt;0,0,1)</f>
        <v>1</v>
      </c>
      <c r="X104" s="174">
        <f t="shared" si="311"/>
        <v>0</v>
      </c>
      <c r="Y104" s="175">
        <f t="shared" si="311"/>
        <v>0</v>
      </c>
      <c r="Z104" s="173">
        <f>IF(Z35&gt;0,0,1)</f>
        <v>0</v>
      </c>
      <c r="AA104" s="174">
        <f t="shared" ref="AA104:AC104" si="312">IF(AA35&gt;0,0,1)</f>
        <v>1</v>
      </c>
      <c r="AB104" s="174">
        <f t="shared" si="312"/>
        <v>0</v>
      </c>
      <c r="AC104" s="175">
        <f t="shared" si="312"/>
        <v>0</v>
      </c>
      <c r="AD104" s="173">
        <f>IF(AD35&gt;0,0,1)</f>
        <v>0</v>
      </c>
      <c r="AE104" s="174">
        <f t="shared" ref="AE104:AG104" si="313">IF(AE35&gt;0,0,1)</f>
        <v>1</v>
      </c>
      <c r="AF104" s="174">
        <f t="shared" si="313"/>
        <v>0</v>
      </c>
      <c r="AG104" s="175">
        <f t="shared" si="313"/>
        <v>0</v>
      </c>
      <c r="AH104" s="173">
        <f>IF(AH35&gt;0,0,1)</f>
        <v>0</v>
      </c>
      <c r="AI104" s="174">
        <f t="shared" ref="AI104:AK104" si="314">IF(AI35&gt;0,0,1)</f>
        <v>0</v>
      </c>
      <c r="AJ104" s="174">
        <f t="shared" si="314"/>
        <v>0</v>
      </c>
      <c r="AK104" s="175">
        <f t="shared" si="314"/>
        <v>0</v>
      </c>
      <c r="AL104" s="173">
        <f>IF(AL35&gt;0,0,1)</f>
        <v>1</v>
      </c>
      <c r="AM104" s="174">
        <f t="shared" ref="AM104:AO104" si="315">IF(AM35&gt;0,0,1)</f>
        <v>1</v>
      </c>
      <c r="AN104" s="174">
        <f t="shared" si="315"/>
        <v>1</v>
      </c>
      <c r="AO104" s="175">
        <f t="shared" si="315"/>
        <v>1</v>
      </c>
      <c r="AP104" s="173">
        <f>IF(AP35&gt;0,0,1)</f>
        <v>1</v>
      </c>
      <c r="AQ104" s="174">
        <f t="shared" ref="AQ104:AS104" si="316">IF(AQ35&gt;0,0,1)</f>
        <v>1</v>
      </c>
      <c r="AR104" s="174">
        <f t="shared" si="316"/>
        <v>1</v>
      </c>
      <c r="AS104" s="175">
        <f t="shared" si="316"/>
        <v>1</v>
      </c>
      <c r="AT104" s="173">
        <f>IF(AT35&gt;0,0,1)</f>
        <v>1</v>
      </c>
      <c r="AU104" s="174">
        <f t="shared" ref="AU104:AW104" si="317">IF(AU35&gt;0,0,1)</f>
        <v>1</v>
      </c>
      <c r="AV104" s="174">
        <f t="shared" si="317"/>
        <v>1</v>
      </c>
      <c r="AW104" s="175">
        <f t="shared" si="317"/>
        <v>1</v>
      </c>
      <c r="AX104" s="173">
        <f>IF(AX35&gt;0,0,1)</f>
        <v>1</v>
      </c>
      <c r="AY104" s="174">
        <f t="shared" ref="AY104:BA104" si="318">IF(AY35&gt;0,0,1)</f>
        <v>1</v>
      </c>
      <c r="AZ104" s="174">
        <f t="shared" si="318"/>
        <v>1</v>
      </c>
      <c r="BA104" s="175">
        <f t="shared" si="318"/>
        <v>1</v>
      </c>
      <c r="BB104" s="173">
        <f>IF(BB35&gt;0,0,1)</f>
        <v>1</v>
      </c>
      <c r="BC104" s="174">
        <f t="shared" ref="BC104:BE104" si="319">IF(BC35&gt;0,0,1)</f>
        <v>1</v>
      </c>
      <c r="BD104" s="174">
        <f t="shared" si="319"/>
        <v>1</v>
      </c>
      <c r="BE104" s="175">
        <f t="shared" si="319"/>
        <v>1</v>
      </c>
      <c r="BF104" s="173">
        <f>IF(BF35&gt;0,0,1)</f>
        <v>1</v>
      </c>
      <c r="BG104" s="174">
        <f t="shared" ref="BG104:BI104" si="320">IF(BG35&gt;0,0,1)</f>
        <v>1</v>
      </c>
      <c r="BH104" s="174">
        <f t="shared" si="320"/>
        <v>1</v>
      </c>
      <c r="BI104" s="175">
        <f t="shared" si="320"/>
        <v>1</v>
      </c>
      <c r="BJ104" s="173">
        <f>IF(BJ35&gt;0,0,1)</f>
        <v>1</v>
      </c>
      <c r="BK104" s="174">
        <f t="shared" ref="BK104:BM104" si="321">IF(BK35&gt;0,0,1)</f>
        <v>1</v>
      </c>
      <c r="BL104" s="174">
        <f t="shared" si="321"/>
        <v>1</v>
      </c>
      <c r="BM104" s="175">
        <f t="shared" si="321"/>
        <v>1</v>
      </c>
      <c r="BN104" s="173">
        <f>IF(BN35&gt;0,0,1)</f>
        <v>1</v>
      </c>
      <c r="BO104" s="174">
        <f t="shared" ref="BO104:BQ104" si="322">IF(BO35&gt;0,0,1)</f>
        <v>1</v>
      </c>
      <c r="BP104" s="174">
        <f t="shared" si="322"/>
        <v>1</v>
      </c>
      <c r="BQ104" s="175">
        <f t="shared" si="322"/>
        <v>1</v>
      </c>
      <c r="BR104" s="173">
        <f>IF(BR35&gt;0,0,1)</f>
        <v>1</v>
      </c>
      <c r="BS104" s="174">
        <f t="shared" ref="BS104:BU104" si="323">IF(BS35&gt;0,0,1)</f>
        <v>1</v>
      </c>
      <c r="BT104" s="174">
        <f t="shared" si="323"/>
        <v>1</v>
      </c>
      <c r="BU104" s="175">
        <f t="shared" si="323"/>
        <v>1</v>
      </c>
      <c r="BV104" s="173">
        <f>IF(BV35&gt;0,0,1)</f>
        <v>1</v>
      </c>
      <c r="BW104" s="174">
        <f t="shared" ref="BW104:BY104" si="324">IF(BW35&gt;0,0,1)</f>
        <v>1</v>
      </c>
      <c r="BX104" s="174">
        <f t="shared" si="324"/>
        <v>1</v>
      </c>
      <c r="BY104" s="175">
        <f t="shared" si="324"/>
        <v>1</v>
      </c>
      <c r="BZ104" s="173">
        <f>IF(BZ35&gt;0,0,1)</f>
        <v>1</v>
      </c>
      <c r="CA104" s="174">
        <f t="shared" ref="CA104:CC104" si="325">IF(CA35&gt;0,0,1)</f>
        <v>1</v>
      </c>
      <c r="CB104" s="174">
        <f t="shared" si="325"/>
        <v>1</v>
      </c>
      <c r="CC104" s="175">
        <f t="shared" si="325"/>
        <v>1</v>
      </c>
      <c r="CD104" s="173">
        <f>IF(CD35&gt;0,0,1)</f>
        <v>1</v>
      </c>
      <c r="CE104" s="174">
        <f t="shared" ref="CE104:CG104" si="326">IF(CE35&gt;0,0,1)</f>
        <v>1</v>
      </c>
      <c r="CF104" s="174">
        <f t="shared" si="326"/>
        <v>1</v>
      </c>
      <c r="CG104" s="175">
        <f t="shared" si="326"/>
        <v>1</v>
      </c>
      <c r="CH104" s="173">
        <f>IF(CH35&gt;0,0,1)</f>
        <v>1</v>
      </c>
      <c r="CI104" s="174">
        <f t="shared" ref="CI104:CK104" si="327">IF(CI35&gt;0,0,1)</f>
        <v>1</v>
      </c>
      <c r="CJ104" s="174">
        <f t="shared" si="327"/>
        <v>1</v>
      </c>
      <c r="CK104" s="175">
        <f t="shared" si="327"/>
        <v>1</v>
      </c>
      <c r="CL104" s="49"/>
      <c r="CM104" s="28"/>
    </row>
    <row r="105" spans="1:91" ht="14.25" x14ac:dyDescent="0.25">
      <c r="B105" s="55"/>
      <c r="C105" s="10" t="s">
        <v>45</v>
      </c>
      <c r="D105" s="93" t="s">
        <v>107</v>
      </c>
      <c r="E105" s="124">
        <f t="shared" ref="E105:AJ105" si="328">E34+E33+E103+E104*E36</f>
        <v>12</v>
      </c>
      <c r="F105" s="10">
        <f t="shared" si="328"/>
        <v>12</v>
      </c>
      <c r="G105" s="71">
        <f t="shared" si="328"/>
        <v>12</v>
      </c>
      <c r="H105" s="71">
        <f t="shared" si="328"/>
        <v>17</v>
      </c>
      <c r="I105" s="75">
        <f t="shared" si="328"/>
        <v>17</v>
      </c>
      <c r="J105" s="10">
        <f t="shared" si="328"/>
        <v>12</v>
      </c>
      <c r="K105" s="167">
        <f t="shared" si="328"/>
        <v>0</v>
      </c>
      <c r="L105" s="167">
        <f t="shared" si="328"/>
        <v>17</v>
      </c>
      <c r="M105" s="171">
        <f t="shared" si="328"/>
        <v>17</v>
      </c>
      <c r="N105" s="10">
        <f t="shared" si="328"/>
        <v>17</v>
      </c>
      <c r="O105" s="167">
        <f t="shared" si="328"/>
        <v>12</v>
      </c>
      <c r="P105" s="167">
        <f t="shared" si="328"/>
        <v>17</v>
      </c>
      <c r="Q105" s="171">
        <f t="shared" si="328"/>
        <v>17</v>
      </c>
      <c r="R105" s="10">
        <f t="shared" si="328"/>
        <v>12</v>
      </c>
      <c r="S105" s="167">
        <f t="shared" si="328"/>
        <v>0</v>
      </c>
      <c r="T105" s="167">
        <f t="shared" si="328"/>
        <v>17</v>
      </c>
      <c r="U105" s="171">
        <f t="shared" si="328"/>
        <v>17</v>
      </c>
      <c r="V105" s="10">
        <f t="shared" si="328"/>
        <v>12</v>
      </c>
      <c r="W105" s="167">
        <f t="shared" si="328"/>
        <v>0</v>
      </c>
      <c r="X105" s="167">
        <f t="shared" si="328"/>
        <v>17</v>
      </c>
      <c r="Y105" s="171">
        <f t="shared" si="328"/>
        <v>17</v>
      </c>
      <c r="Z105" s="10">
        <f t="shared" si="328"/>
        <v>12</v>
      </c>
      <c r="AA105" s="167">
        <f t="shared" si="328"/>
        <v>0</v>
      </c>
      <c r="AB105" s="167">
        <f t="shared" si="328"/>
        <v>17</v>
      </c>
      <c r="AC105" s="171">
        <f t="shared" si="328"/>
        <v>17</v>
      </c>
      <c r="AD105" s="10">
        <f t="shared" si="328"/>
        <v>12</v>
      </c>
      <c r="AE105" s="167">
        <f t="shared" si="328"/>
        <v>0</v>
      </c>
      <c r="AF105" s="167">
        <f t="shared" si="328"/>
        <v>12</v>
      </c>
      <c r="AG105" s="171">
        <f t="shared" si="328"/>
        <v>12</v>
      </c>
      <c r="AH105" s="10">
        <f t="shared" si="328"/>
        <v>12</v>
      </c>
      <c r="AI105" s="167">
        <f t="shared" si="328"/>
        <v>12</v>
      </c>
      <c r="AJ105" s="167">
        <f t="shared" si="328"/>
        <v>12</v>
      </c>
      <c r="AK105" s="171">
        <f t="shared" ref="AK105:BP105" si="329">AK34+AK33+AK103+AK104*AK36</f>
        <v>12</v>
      </c>
      <c r="AL105" s="10">
        <f t="shared" si="329"/>
        <v>0</v>
      </c>
      <c r="AM105" s="167">
        <f t="shared" si="329"/>
        <v>0</v>
      </c>
      <c r="AN105" s="167">
        <f t="shared" si="329"/>
        <v>0</v>
      </c>
      <c r="AO105" s="171">
        <f t="shared" si="329"/>
        <v>0</v>
      </c>
      <c r="AP105" s="10">
        <f t="shared" si="329"/>
        <v>0</v>
      </c>
      <c r="AQ105" s="167">
        <f t="shared" si="329"/>
        <v>0</v>
      </c>
      <c r="AR105" s="167">
        <f t="shared" si="329"/>
        <v>0</v>
      </c>
      <c r="AS105" s="171">
        <f t="shared" si="329"/>
        <v>0</v>
      </c>
      <c r="AT105" s="10">
        <f t="shared" si="329"/>
        <v>0</v>
      </c>
      <c r="AU105" s="167">
        <f t="shared" si="329"/>
        <v>0</v>
      </c>
      <c r="AV105" s="167">
        <f t="shared" si="329"/>
        <v>0</v>
      </c>
      <c r="AW105" s="171">
        <f t="shared" si="329"/>
        <v>0</v>
      </c>
      <c r="AX105" s="10">
        <f t="shared" si="329"/>
        <v>0</v>
      </c>
      <c r="AY105" s="167">
        <f t="shared" si="329"/>
        <v>0</v>
      </c>
      <c r="AZ105" s="167">
        <f t="shared" si="329"/>
        <v>0</v>
      </c>
      <c r="BA105" s="171">
        <f t="shared" si="329"/>
        <v>0</v>
      </c>
      <c r="BB105" s="10">
        <f t="shared" si="329"/>
        <v>0</v>
      </c>
      <c r="BC105" s="167">
        <f t="shared" si="329"/>
        <v>0</v>
      </c>
      <c r="BD105" s="167">
        <f t="shared" si="329"/>
        <v>0</v>
      </c>
      <c r="BE105" s="171">
        <f t="shared" si="329"/>
        <v>0</v>
      </c>
      <c r="BF105" s="10">
        <f t="shared" si="329"/>
        <v>0</v>
      </c>
      <c r="BG105" s="167">
        <f t="shared" si="329"/>
        <v>0</v>
      </c>
      <c r="BH105" s="167">
        <f t="shared" si="329"/>
        <v>0</v>
      </c>
      <c r="BI105" s="171">
        <f t="shared" si="329"/>
        <v>0</v>
      </c>
      <c r="BJ105" s="10">
        <f t="shared" si="329"/>
        <v>0</v>
      </c>
      <c r="BK105" s="167">
        <f t="shared" si="329"/>
        <v>0</v>
      </c>
      <c r="BL105" s="167">
        <f t="shared" si="329"/>
        <v>0</v>
      </c>
      <c r="BM105" s="171">
        <f t="shared" si="329"/>
        <v>0</v>
      </c>
      <c r="BN105" s="10">
        <f t="shared" si="329"/>
        <v>0</v>
      </c>
      <c r="BO105" s="167">
        <f t="shared" si="329"/>
        <v>0</v>
      </c>
      <c r="BP105" s="167">
        <f t="shared" si="329"/>
        <v>0</v>
      </c>
      <c r="BQ105" s="171">
        <f t="shared" ref="BQ105:CK105" si="330">BQ34+BQ33+BQ103+BQ104*BQ36</f>
        <v>0</v>
      </c>
      <c r="BR105" s="10">
        <f t="shared" si="330"/>
        <v>0</v>
      </c>
      <c r="BS105" s="167">
        <f t="shared" si="330"/>
        <v>0</v>
      </c>
      <c r="BT105" s="167">
        <f t="shared" si="330"/>
        <v>0</v>
      </c>
      <c r="BU105" s="171">
        <f t="shared" si="330"/>
        <v>0</v>
      </c>
      <c r="BV105" s="10">
        <f t="shared" si="330"/>
        <v>0</v>
      </c>
      <c r="BW105" s="167">
        <f t="shared" si="330"/>
        <v>0</v>
      </c>
      <c r="BX105" s="167">
        <f t="shared" si="330"/>
        <v>0</v>
      </c>
      <c r="BY105" s="171">
        <f t="shared" si="330"/>
        <v>0</v>
      </c>
      <c r="BZ105" s="10">
        <f t="shared" si="330"/>
        <v>0</v>
      </c>
      <c r="CA105" s="167">
        <f t="shared" si="330"/>
        <v>0</v>
      </c>
      <c r="CB105" s="167">
        <f t="shared" si="330"/>
        <v>0</v>
      </c>
      <c r="CC105" s="171">
        <f t="shared" si="330"/>
        <v>0</v>
      </c>
      <c r="CD105" s="10">
        <f t="shared" si="330"/>
        <v>0</v>
      </c>
      <c r="CE105" s="167">
        <f t="shared" si="330"/>
        <v>0</v>
      </c>
      <c r="CF105" s="167">
        <f t="shared" si="330"/>
        <v>0</v>
      </c>
      <c r="CG105" s="171">
        <f t="shared" si="330"/>
        <v>0</v>
      </c>
      <c r="CH105" s="10">
        <f t="shared" si="330"/>
        <v>0</v>
      </c>
      <c r="CI105" s="167">
        <f t="shared" si="330"/>
        <v>0</v>
      </c>
      <c r="CJ105" s="167">
        <f t="shared" si="330"/>
        <v>0</v>
      </c>
      <c r="CK105" s="171">
        <f t="shared" si="330"/>
        <v>0</v>
      </c>
      <c r="CL105" s="49"/>
      <c r="CM105" s="28"/>
    </row>
    <row r="106" spans="1:91" ht="14.25" x14ac:dyDescent="0.25">
      <c r="B106" s="55"/>
      <c r="C106" s="10" t="s">
        <v>103</v>
      </c>
      <c r="D106" s="93" t="s">
        <v>39</v>
      </c>
      <c r="E106" s="125">
        <f t="shared" ref="E106:AJ106" si="331">0.0153*E31-0.2144*E105</f>
        <v>-2.5728</v>
      </c>
      <c r="F106" s="72">
        <f t="shared" si="331"/>
        <v>-1.7772000000000001</v>
      </c>
      <c r="G106" s="73">
        <f t="shared" si="331"/>
        <v>-1.7772000000000001</v>
      </c>
      <c r="H106" s="73">
        <f t="shared" si="331"/>
        <v>-2.6656</v>
      </c>
      <c r="I106" s="74">
        <f t="shared" si="331"/>
        <v>-2.6656</v>
      </c>
      <c r="J106" s="169">
        <f t="shared" si="331"/>
        <v>-1.9607999999999999</v>
      </c>
      <c r="K106" s="172">
        <f t="shared" si="331"/>
        <v>0</v>
      </c>
      <c r="L106" s="172">
        <f t="shared" si="331"/>
        <v>-2.8797999999999999</v>
      </c>
      <c r="M106" s="170">
        <f t="shared" si="331"/>
        <v>-2.8797999999999999</v>
      </c>
      <c r="N106" s="169">
        <f t="shared" si="331"/>
        <v>-2.7267999999999999</v>
      </c>
      <c r="O106" s="172">
        <f t="shared" si="331"/>
        <v>-1.1958</v>
      </c>
      <c r="P106" s="172">
        <f t="shared" si="331"/>
        <v>-2.9104000000000001</v>
      </c>
      <c r="Q106" s="170">
        <f t="shared" si="331"/>
        <v>-2.8338999999999999</v>
      </c>
      <c r="R106" s="169">
        <f t="shared" si="331"/>
        <v>-2.1444000000000001</v>
      </c>
      <c r="S106" s="172">
        <f t="shared" si="331"/>
        <v>0</v>
      </c>
      <c r="T106" s="172">
        <f t="shared" si="331"/>
        <v>-2.8797999999999999</v>
      </c>
      <c r="U106" s="170">
        <f t="shared" si="331"/>
        <v>-2.8797999999999999</v>
      </c>
      <c r="V106" s="169">
        <f t="shared" si="331"/>
        <v>-1.4406000000000001</v>
      </c>
      <c r="W106" s="172">
        <f t="shared" si="331"/>
        <v>0</v>
      </c>
      <c r="X106" s="172">
        <f t="shared" si="331"/>
        <v>-2.9563000000000001</v>
      </c>
      <c r="Y106" s="170">
        <f t="shared" si="331"/>
        <v>-2.9563000000000001</v>
      </c>
      <c r="Z106" s="169">
        <f t="shared" si="331"/>
        <v>-2.0373000000000001</v>
      </c>
      <c r="AA106" s="172">
        <f t="shared" si="331"/>
        <v>0</v>
      </c>
      <c r="AB106" s="172">
        <f t="shared" si="331"/>
        <v>-3.0022000000000002</v>
      </c>
      <c r="AC106" s="170">
        <f t="shared" si="331"/>
        <v>-3.0022000000000002</v>
      </c>
      <c r="AD106" s="169">
        <f t="shared" si="331"/>
        <v>-2.0678999999999998</v>
      </c>
      <c r="AE106" s="172">
        <f t="shared" si="331"/>
        <v>0</v>
      </c>
      <c r="AF106" s="172">
        <f t="shared" si="331"/>
        <v>-2.1137999999999999</v>
      </c>
      <c r="AG106" s="170">
        <f t="shared" si="331"/>
        <v>-2.1137999999999999</v>
      </c>
      <c r="AH106" s="169">
        <f t="shared" si="331"/>
        <v>-2.0526</v>
      </c>
      <c r="AI106" s="172">
        <f t="shared" si="331"/>
        <v>-1.8996</v>
      </c>
      <c r="AJ106" s="172">
        <f t="shared" si="331"/>
        <v>-1.9455</v>
      </c>
      <c r="AK106" s="170">
        <f t="shared" ref="AK106:BP106" si="332">0.0153*AK31-0.2144*AK105</f>
        <v>-1.9455</v>
      </c>
      <c r="AL106" s="169">
        <f t="shared" si="332"/>
        <v>0</v>
      </c>
      <c r="AM106" s="172">
        <f t="shared" si="332"/>
        <v>0</v>
      </c>
      <c r="AN106" s="172">
        <f t="shared" si="332"/>
        <v>0</v>
      </c>
      <c r="AO106" s="170">
        <f t="shared" si="332"/>
        <v>0</v>
      </c>
      <c r="AP106" s="169">
        <f t="shared" si="332"/>
        <v>0</v>
      </c>
      <c r="AQ106" s="172">
        <f t="shared" si="332"/>
        <v>0</v>
      </c>
      <c r="AR106" s="172">
        <f t="shared" si="332"/>
        <v>0</v>
      </c>
      <c r="AS106" s="170">
        <f t="shared" si="332"/>
        <v>0</v>
      </c>
      <c r="AT106" s="169">
        <f t="shared" si="332"/>
        <v>0</v>
      </c>
      <c r="AU106" s="172">
        <f t="shared" si="332"/>
        <v>0</v>
      </c>
      <c r="AV106" s="172">
        <f t="shared" si="332"/>
        <v>0</v>
      </c>
      <c r="AW106" s="170">
        <f t="shared" si="332"/>
        <v>0</v>
      </c>
      <c r="AX106" s="169">
        <f t="shared" si="332"/>
        <v>0</v>
      </c>
      <c r="AY106" s="172">
        <f t="shared" si="332"/>
        <v>0</v>
      </c>
      <c r="AZ106" s="172">
        <f t="shared" si="332"/>
        <v>0</v>
      </c>
      <c r="BA106" s="170">
        <f t="shared" si="332"/>
        <v>0</v>
      </c>
      <c r="BB106" s="169">
        <f t="shared" si="332"/>
        <v>0</v>
      </c>
      <c r="BC106" s="172">
        <f t="shared" si="332"/>
        <v>0</v>
      </c>
      <c r="BD106" s="172">
        <f t="shared" si="332"/>
        <v>0</v>
      </c>
      <c r="BE106" s="170">
        <f t="shared" si="332"/>
        <v>0</v>
      </c>
      <c r="BF106" s="169">
        <f t="shared" si="332"/>
        <v>0</v>
      </c>
      <c r="BG106" s="172">
        <f t="shared" si="332"/>
        <v>0</v>
      </c>
      <c r="BH106" s="172">
        <f t="shared" si="332"/>
        <v>0</v>
      </c>
      <c r="BI106" s="170">
        <f t="shared" si="332"/>
        <v>0</v>
      </c>
      <c r="BJ106" s="169">
        <f t="shared" si="332"/>
        <v>0</v>
      </c>
      <c r="BK106" s="172">
        <f t="shared" si="332"/>
        <v>0</v>
      </c>
      <c r="BL106" s="172">
        <f t="shared" si="332"/>
        <v>0</v>
      </c>
      <c r="BM106" s="170">
        <f t="shared" si="332"/>
        <v>0</v>
      </c>
      <c r="BN106" s="169">
        <f t="shared" si="332"/>
        <v>0</v>
      </c>
      <c r="BO106" s="172">
        <f t="shared" si="332"/>
        <v>0</v>
      </c>
      <c r="BP106" s="172">
        <f t="shared" si="332"/>
        <v>0</v>
      </c>
      <c r="BQ106" s="170">
        <f t="shared" ref="BQ106:CK106" si="333">0.0153*BQ31-0.2144*BQ105</f>
        <v>0</v>
      </c>
      <c r="BR106" s="169">
        <f t="shared" si="333"/>
        <v>0</v>
      </c>
      <c r="BS106" s="172">
        <f t="shared" si="333"/>
        <v>0</v>
      </c>
      <c r="BT106" s="172">
        <f t="shared" si="333"/>
        <v>0</v>
      </c>
      <c r="BU106" s="170">
        <f t="shared" si="333"/>
        <v>0</v>
      </c>
      <c r="BV106" s="169">
        <f t="shared" si="333"/>
        <v>0</v>
      </c>
      <c r="BW106" s="172">
        <f t="shared" si="333"/>
        <v>0</v>
      </c>
      <c r="BX106" s="172">
        <f t="shared" si="333"/>
        <v>0</v>
      </c>
      <c r="BY106" s="170">
        <f t="shared" si="333"/>
        <v>0</v>
      </c>
      <c r="BZ106" s="169">
        <f t="shared" si="333"/>
        <v>0</v>
      </c>
      <c r="CA106" s="172">
        <f t="shared" si="333"/>
        <v>0</v>
      </c>
      <c r="CB106" s="172">
        <f t="shared" si="333"/>
        <v>0</v>
      </c>
      <c r="CC106" s="170">
        <f t="shared" si="333"/>
        <v>0</v>
      </c>
      <c r="CD106" s="169">
        <f t="shared" si="333"/>
        <v>0</v>
      </c>
      <c r="CE106" s="172">
        <f t="shared" si="333"/>
        <v>0</v>
      </c>
      <c r="CF106" s="172">
        <f t="shared" si="333"/>
        <v>0</v>
      </c>
      <c r="CG106" s="170">
        <f t="shared" si="333"/>
        <v>0</v>
      </c>
      <c r="CH106" s="169">
        <f t="shared" si="333"/>
        <v>0</v>
      </c>
      <c r="CI106" s="172">
        <f t="shared" si="333"/>
        <v>0</v>
      </c>
      <c r="CJ106" s="172">
        <f t="shared" si="333"/>
        <v>0</v>
      </c>
      <c r="CK106" s="170">
        <f t="shared" si="333"/>
        <v>0</v>
      </c>
      <c r="CL106" s="49"/>
      <c r="CM106" s="28"/>
    </row>
    <row r="107" spans="1:91" ht="14.25" x14ac:dyDescent="0.25">
      <c r="B107" s="55"/>
      <c r="C107" s="10" t="s">
        <v>102</v>
      </c>
      <c r="D107" s="93" t="s">
        <v>33</v>
      </c>
      <c r="E107" s="125" t="e">
        <f t="shared" ref="E107:AJ107" si="334">0.0066*SUM(E13:E15)/(4*E11)</f>
        <v>#DIV/0!</v>
      </c>
      <c r="F107" s="72">
        <f t="shared" si="334"/>
        <v>0.35557499999999997</v>
      </c>
      <c r="G107" s="73">
        <f t="shared" si="334"/>
        <v>0.13818749999999999</v>
      </c>
      <c r="H107" s="73">
        <f t="shared" si="334"/>
        <v>0.53047500000000003</v>
      </c>
      <c r="I107" s="74">
        <f t="shared" si="334"/>
        <v>0.32174999999999998</v>
      </c>
      <c r="J107" s="169">
        <f t="shared" si="334"/>
        <v>3.7124999999999998E-2</v>
      </c>
      <c r="K107" s="172" t="e">
        <f t="shared" si="334"/>
        <v>#DIV/0!</v>
      </c>
      <c r="L107" s="172">
        <f t="shared" si="334"/>
        <v>0.27224999999999999</v>
      </c>
      <c r="M107" s="170">
        <f t="shared" si="334"/>
        <v>0.18315000000000001</v>
      </c>
      <c r="N107" s="169">
        <f t="shared" si="334"/>
        <v>0.22976250000000001</v>
      </c>
      <c r="O107" s="172">
        <f t="shared" si="334"/>
        <v>0.268125</v>
      </c>
      <c r="P107" s="172">
        <f t="shared" si="334"/>
        <v>0.165825</v>
      </c>
      <c r="Q107" s="170">
        <f t="shared" si="334"/>
        <v>0.19057499999999999</v>
      </c>
      <c r="R107" s="169">
        <f t="shared" si="334"/>
        <v>7.1775000000000005E-2</v>
      </c>
      <c r="S107" s="172" t="e">
        <f t="shared" si="334"/>
        <v>#DIV/0!</v>
      </c>
      <c r="T107" s="172">
        <f t="shared" si="334"/>
        <v>0.53790000000000004</v>
      </c>
      <c r="U107" s="170">
        <f t="shared" si="334"/>
        <v>0.28544999999999998</v>
      </c>
      <c r="V107" s="169">
        <f t="shared" si="334"/>
        <v>7.8375E-2</v>
      </c>
      <c r="W107" s="172" t="e">
        <f t="shared" si="334"/>
        <v>#DIV/0!</v>
      </c>
      <c r="X107" s="172">
        <f t="shared" si="334"/>
        <v>0.52964999999999995</v>
      </c>
      <c r="Y107" s="170">
        <f t="shared" si="334"/>
        <v>0.21615000000000001</v>
      </c>
      <c r="Z107" s="169">
        <f t="shared" si="334"/>
        <v>0.1221</v>
      </c>
      <c r="AA107" s="172" t="e">
        <f t="shared" si="334"/>
        <v>#DIV/0!</v>
      </c>
      <c r="AB107" s="172">
        <f t="shared" si="334"/>
        <v>0.40260000000000001</v>
      </c>
      <c r="AC107" s="170">
        <f t="shared" si="334"/>
        <v>0.16994999999999999</v>
      </c>
      <c r="AD107" s="169">
        <f t="shared" si="334"/>
        <v>2.3099999999999999E-2</v>
      </c>
      <c r="AE107" s="172" t="e">
        <f t="shared" si="334"/>
        <v>#DIV/0!</v>
      </c>
      <c r="AF107" s="172">
        <f t="shared" si="334"/>
        <v>0.36712499999999998</v>
      </c>
      <c r="AG107" s="170">
        <f t="shared" si="334"/>
        <v>0.15757499999999999</v>
      </c>
      <c r="AH107" s="169">
        <f t="shared" si="334"/>
        <v>0.205425</v>
      </c>
      <c r="AI107" s="172">
        <f t="shared" si="334"/>
        <v>0.36052499999999998</v>
      </c>
      <c r="AJ107" s="172">
        <f t="shared" si="334"/>
        <v>0.35557499999999997</v>
      </c>
      <c r="AK107" s="170">
        <f t="shared" ref="AK107:BP107" si="335">0.0066*SUM(AK13:AK15)/(4*AK11)</f>
        <v>4.6199999999999998E-2</v>
      </c>
      <c r="AL107" s="169" t="e">
        <f t="shared" si="335"/>
        <v>#DIV/0!</v>
      </c>
      <c r="AM107" s="172" t="e">
        <f t="shared" si="335"/>
        <v>#DIV/0!</v>
      </c>
      <c r="AN107" s="172" t="e">
        <f t="shared" si="335"/>
        <v>#DIV/0!</v>
      </c>
      <c r="AO107" s="170" t="e">
        <f t="shared" si="335"/>
        <v>#DIV/0!</v>
      </c>
      <c r="AP107" s="169" t="e">
        <f t="shared" si="335"/>
        <v>#DIV/0!</v>
      </c>
      <c r="AQ107" s="172" t="e">
        <f t="shared" si="335"/>
        <v>#DIV/0!</v>
      </c>
      <c r="AR107" s="172" t="e">
        <f t="shared" si="335"/>
        <v>#DIV/0!</v>
      </c>
      <c r="AS107" s="170" t="e">
        <f t="shared" si="335"/>
        <v>#DIV/0!</v>
      </c>
      <c r="AT107" s="169" t="e">
        <f t="shared" si="335"/>
        <v>#DIV/0!</v>
      </c>
      <c r="AU107" s="172" t="e">
        <f t="shared" si="335"/>
        <v>#DIV/0!</v>
      </c>
      <c r="AV107" s="172" t="e">
        <f t="shared" si="335"/>
        <v>#DIV/0!</v>
      </c>
      <c r="AW107" s="170" t="e">
        <f t="shared" si="335"/>
        <v>#DIV/0!</v>
      </c>
      <c r="AX107" s="169" t="e">
        <f t="shared" si="335"/>
        <v>#DIV/0!</v>
      </c>
      <c r="AY107" s="172" t="e">
        <f t="shared" si="335"/>
        <v>#DIV/0!</v>
      </c>
      <c r="AZ107" s="172" t="e">
        <f t="shared" si="335"/>
        <v>#DIV/0!</v>
      </c>
      <c r="BA107" s="170" t="e">
        <f t="shared" si="335"/>
        <v>#DIV/0!</v>
      </c>
      <c r="BB107" s="169" t="e">
        <f t="shared" si="335"/>
        <v>#DIV/0!</v>
      </c>
      <c r="BC107" s="172" t="e">
        <f t="shared" si="335"/>
        <v>#DIV/0!</v>
      </c>
      <c r="BD107" s="172" t="e">
        <f t="shared" si="335"/>
        <v>#DIV/0!</v>
      </c>
      <c r="BE107" s="170" t="e">
        <f t="shared" si="335"/>
        <v>#DIV/0!</v>
      </c>
      <c r="BF107" s="169" t="e">
        <f t="shared" si="335"/>
        <v>#DIV/0!</v>
      </c>
      <c r="BG107" s="172" t="e">
        <f t="shared" si="335"/>
        <v>#DIV/0!</v>
      </c>
      <c r="BH107" s="172" t="e">
        <f t="shared" si="335"/>
        <v>#DIV/0!</v>
      </c>
      <c r="BI107" s="170" t="e">
        <f t="shared" si="335"/>
        <v>#DIV/0!</v>
      </c>
      <c r="BJ107" s="169" t="e">
        <f t="shared" si="335"/>
        <v>#DIV/0!</v>
      </c>
      <c r="BK107" s="172" t="e">
        <f t="shared" si="335"/>
        <v>#DIV/0!</v>
      </c>
      <c r="BL107" s="172" t="e">
        <f t="shared" si="335"/>
        <v>#DIV/0!</v>
      </c>
      <c r="BM107" s="170" t="e">
        <f t="shared" si="335"/>
        <v>#DIV/0!</v>
      </c>
      <c r="BN107" s="169" t="e">
        <f t="shared" si="335"/>
        <v>#DIV/0!</v>
      </c>
      <c r="BO107" s="172" t="e">
        <f t="shared" si="335"/>
        <v>#DIV/0!</v>
      </c>
      <c r="BP107" s="172" t="e">
        <f t="shared" si="335"/>
        <v>#DIV/0!</v>
      </c>
      <c r="BQ107" s="170" t="e">
        <f t="shared" ref="BQ107:CK107" si="336">0.0066*SUM(BQ13:BQ15)/(4*BQ11)</f>
        <v>#DIV/0!</v>
      </c>
      <c r="BR107" s="169" t="e">
        <f t="shared" si="336"/>
        <v>#DIV/0!</v>
      </c>
      <c r="BS107" s="172" t="e">
        <f t="shared" si="336"/>
        <v>#DIV/0!</v>
      </c>
      <c r="BT107" s="172" t="e">
        <f t="shared" si="336"/>
        <v>#DIV/0!</v>
      </c>
      <c r="BU107" s="170" t="e">
        <f t="shared" si="336"/>
        <v>#DIV/0!</v>
      </c>
      <c r="BV107" s="169" t="e">
        <f t="shared" si="336"/>
        <v>#DIV/0!</v>
      </c>
      <c r="BW107" s="172" t="e">
        <f t="shared" si="336"/>
        <v>#DIV/0!</v>
      </c>
      <c r="BX107" s="172" t="e">
        <f t="shared" si="336"/>
        <v>#DIV/0!</v>
      </c>
      <c r="BY107" s="170" t="e">
        <f t="shared" si="336"/>
        <v>#DIV/0!</v>
      </c>
      <c r="BZ107" s="169" t="e">
        <f t="shared" si="336"/>
        <v>#DIV/0!</v>
      </c>
      <c r="CA107" s="172" t="e">
        <f t="shared" si="336"/>
        <v>#DIV/0!</v>
      </c>
      <c r="CB107" s="172" t="e">
        <f t="shared" si="336"/>
        <v>#DIV/0!</v>
      </c>
      <c r="CC107" s="170" t="e">
        <f t="shared" si="336"/>
        <v>#DIV/0!</v>
      </c>
      <c r="CD107" s="169" t="e">
        <f t="shared" si="336"/>
        <v>#DIV/0!</v>
      </c>
      <c r="CE107" s="172" t="e">
        <f t="shared" si="336"/>
        <v>#DIV/0!</v>
      </c>
      <c r="CF107" s="172" t="e">
        <f t="shared" si="336"/>
        <v>#DIV/0!</v>
      </c>
      <c r="CG107" s="170" t="e">
        <f t="shared" si="336"/>
        <v>#DIV/0!</v>
      </c>
      <c r="CH107" s="169" t="e">
        <f t="shared" si="336"/>
        <v>#DIV/0!</v>
      </c>
      <c r="CI107" s="172" t="e">
        <f t="shared" si="336"/>
        <v>#DIV/0!</v>
      </c>
      <c r="CJ107" s="172" t="e">
        <f t="shared" si="336"/>
        <v>#DIV/0!</v>
      </c>
      <c r="CK107" s="170" t="e">
        <f t="shared" si="336"/>
        <v>#DIV/0!</v>
      </c>
      <c r="CL107" s="49"/>
      <c r="CM107" s="28"/>
    </row>
    <row r="108" spans="1:91" ht="14.25" x14ac:dyDescent="0.25">
      <c r="B108" s="55"/>
      <c r="C108" s="10" t="s">
        <v>98</v>
      </c>
      <c r="D108" s="93" t="s">
        <v>211</v>
      </c>
      <c r="E108" s="125" t="e">
        <f t="shared" ref="E108:AJ108" si="337">IF(E9&gt;0,4.1324+E107+E106,0)</f>
        <v>#DIV/0!</v>
      </c>
      <c r="F108" s="72">
        <f t="shared" si="337"/>
        <v>2.7107749999999995</v>
      </c>
      <c r="G108" s="73">
        <f t="shared" si="337"/>
        <v>2.4933874999999994</v>
      </c>
      <c r="H108" s="73">
        <f t="shared" si="337"/>
        <v>1.9972749999999997</v>
      </c>
      <c r="I108" s="74">
        <f t="shared" si="337"/>
        <v>1.7885499999999994</v>
      </c>
      <c r="J108" s="169">
        <f t="shared" si="337"/>
        <v>2.2087249999999994</v>
      </c>
      <c r="K108" s="172">
        <f t="shared" si="337"/>
        <v>0</v>
      </c>
      <c r="L108" s="172">
        <f t="shared" si="337"/>
        <v>1.5248499999999994</v>
      </c>
      <c r="M108" s="170">
        <f t="shared" si="337"/>
        <v>1.4357500000000001</v>
      </c>
      <c r="N108" s="169">
        <f t="shared" si="337"/>
        <v>1.6353624999999994</v>
      </c>
      <c r="O108" s="172">
        <f t="shared" si="337"/>
        <v>3.2047249999999998</v>
      </c>
      <c r="P108" s="172">
        <f t="shared" si="337"/>
        <v>1.3878249999999994</v>
      </c>
      <c r="Q108" s="170">
        <f t="shared" si="337"/>
        <v>1.4890749999999997</v>
      </c>
      <c r="R108" s="169">
        <f t="shared" si="337"/>
        <v>2.0597749999999992</v>
      </c>
      <c r="S108" s="172">
        <f t="shared" si="337"/>
        <v>0</v>
      </c>
      <c r="T108" s="172">
        <f t="shared" si="337"/>
        <v>1.7904999999999993</v>
      </c>
      <c r="U108" s="170">
        <f t="shared" si="337"/>
        <v>1.5380499999999997</v>
      </c>
      <c r="V108" s="169">
        <f t="shared" si="337"/>
        <v>2.7701750000000001</v>
      </c>
      <c r="W108" s="172">
        <f t="shared" si="337"/>
        <v>0</v>
      </c>
      <c r="X108" s="172">
        <f t="shared" si="337"/>
        <v>1.7057499999999997</v>
      </c>
      <c r="Y108" s="170">
        <f t="shared" si="337"/>
        <v>1.3922499999999993</v>
      </c>
      <c r="Z108" s="169">
        <f t="shared" si="337"/>
        <v>2.2171999999999992</v>
      </c>
      <c r="AA108" s="172">
        <f t="shared" si="337"/>
        <v>0</v>
      </c>
      <c r="AB108" s="172">
        <f t="shared" si="337"/>
        <v>1.5327999999999991</v>
      </c>
      <c r="AC108" s="170">
        <f t="shared" si="337"/>
        <v>1.3001499999999995</v>
      </c>
      <c r="AD108" s="169">
        <f t="shared" si="337"/>
        <v>2.0876000000000001</v>
      </c>
      <c r="AE108" s="172">
        <f t="shared" si="337"/>
        <v>0</v>
      </c>
      <c r="AF108" s="172">
        <f t="shared" si="337"/>
        <v>2.3857249999999994</v>
      </c>
      <c r="AG108" s="170">
        <f t="shared" si="337"/>
        <v>2.1761749999999993</v>
      </c>
      <c r="AH108" s="169">
        <f t="shared" si="337"/>
        <v>2.2852249999999996</v>
      </c>
      <c r="AI108" s="172">
        <f t="shared" si="337"/>
        <v>2.5933249999999997</v>
      </c>
      <c r="AJ108" s="172">
        <f t="shared" si="337"/>
        <v>2.5424749999999996</v>
      </c>
      <c r="AK108" s="170">
        <f t="shared" ref="AK108:BP108" si="338">IF(AK9&gt;0,4.1324+AK107+AK106,0)</f>
        <v>2.2330999999999994</v>
      </c>
      <c r="AL108" s="169">
        <f t="shared" si="338"/>
        <v>0</v>
      </c>
      <c r="AM108" s="172">
        <f t="shared" si="338"/>
        <v>0</v>
      </c>
      <c r="AN108" s="172">
        <f t="shared" si="338"/>
        <v>0</v>
      </c>
      <c r="AO108" s="170">
        <f t="shared" si="338"/>
        <v>0</v>
      </c>
      <c r="AP108" s="169">
        <f t="shared" si="338"/>
        <v>0</v>
      </c>
      <c r="AQ108" s="172">
        <f t="shared" si="338"/>
        <v>0</v>
      </c>
      <c r="AR108" s="172">
        <f t="shared" si="338"/>
        <v>0</v>
      </c>
      <c r="AS108" s="170">
        <f t="shared" si="338"/>
        <v>0</v>
      </c>
      <c r="AT108" s="169">
        <f t="shared" si="338"/>
        <v>0</v>
      </c>
      <c r="AU108" s="172">
        <f t="shared" si="338"/>
        <v>0</v>
      </c>
      <c r="AV108" s="172">
        <f t="shared" si="338"/>
        <v>0</v>
      </c>
      <c r="AW108" s="170">
        <f t="shared" si="338"/>
        <v>0</v>
      </c>
      <c r="AX108" s="169">
        <f t="shared" si="338"/>
        <v>0</v>
      </c>
      <c r="AY108" s="172">
        <f t="shared" si="338"/>
        <v>0</v>
      </c>
      <c r="AZ108" s="172">
        <f t="shared" si="338"/>
        <v>0</v>
      </c>
      <c r="BA108" s="170">
        <f t="shared" si="338"/>
        <v>0</v>
      </c>
      <c r="BB108" s="169">
        <f t="shared" si="338"/>
        <v>0</v>
      </c>
      <c r="BC108" s="172">
        <f t="shared" si="338"/>
        <v>0</v>
      </c>
      <c r="BD108" s="172">
        <f t="shared" si="338"/>
        <v>0</v>
      </c>
      <c r="BE108" s="170">
        <f t="shared" si="338"/>
        <v>0</v>
      </c>
      <c r="BF108" s="169">
        <f t="shared" si="338"/>
        <v>0</v>
      </c>
      <c r="BG108" s="172">
        <f t="shared" si="338"/>
        <v>0</v>
      </c>
      <c r="BH108" s="172">
        <f t="shared" si="338"/>
        <v>0</v>
      </c>
      <c r="BI108" s="170">
        <f t="shared" si="338"/>
        <v>0</v>
      </c>
      <c r="BJ108" s="169">
        <f t="shared" si="338"/>
        <v>0</v>
      </c>
      <c r="BK108" s="172">
        <f t="shared" si="338"/>
        <v>0</v>
      </c>
      <c r="BL108" s="172">
        <f t="shared" si="338"/>
        <v>0</v>
      </c>
      <c r="BM108" s="170">
        <f t="shared" si="338"/>
        <v>0</v>
      </c>
      <c r="BN108" s="169">
        <f t="shared" si="338"/>
        <v>0</v>
      </c>
      <c r="BO108" s="172">
        <f t="shared" si="338"/>
        <v>0</v>
      </c>
      <c r="BP108" s="172">
        <f t="shared" si="338"/>
        <v>0</v>
      </c>
      <c r="BQ108" s="170">
        <f t="shared" ref="BQ108:CK108" si="339">IF(BQ9&gt;0,4.1324+BQ107+BQ106,0)</f>
        <v>0</v>
      </c>
      <c r="BR108" s="169">
        <f t="shared" si="339"/>
        <v>0</v>
      </c>
      <c r="BS108" s="172">
        <f t="shared" si="339"/>
        <v>0</v>
      </c>
      <c r="BT108" s="172">
        <f t="shared" si="339"/>
        <v>0</v>
      </c>
      <c r="BU108" s="170">
        <f t="shared" si="339"/>
        <v>0</v>
      </c>
      <c r="BV108" s="169">
        <f t="shared" si="339"/>
        <v>0</v>
      </c>
      <c r="BW108" s="172">
        <f t="shared" si="339"/>
        <v>0</v>
      </c>
      <c r="BX108" s="172">
        <f t="shared" si="339"/>
        <v>0</v>
      </c>
      <c r="BY108" s="170">
        <f t="shared" si="339"/>
        <v>0</v>
      </c>
      <c r="BZ108" s="169">
        <f t="shared" si="339"/>
        <v>0</v>
      </c>
      <c r="CA108" s="172">
        <f t="shared" si="339"/>
        <v>0</v>
      </c>
      <c r="CB108" s="172">
        <f t="shared" si="339"/>
        <v>0</v>
      </c>
      <c r="CC108" s="170">
        <f t="shared" si="339"/>
        <v>0</v>
      </c>
      <c r="CD108" s="169">
        <f t="shared" si="339"/>
        <v>0</v>
      </c>
      <c r="CE108" s="172">
        <f t="shared" si="339"/>
        <v>0</v>
      </c>
      <c r="CF108" s="172">
        <f t="shared" si="339"/>
        <v>0</v>
      </c>
      <c r="CG108" s="170">
        <f t="shared" si="339"/>
        <v>0</v>
      </c>
      <c r="CH108" s="169">
        <f t="shared" si="339"/>
        <v>0</v>
      </c>
      <c r="CI108" s="172">
        <f t="shared" si="339"/>
        <v>0</v>
      </c>
      <c r="CJ108" s="172">
        <f t="shared" si="339"/>
        <v>0</v>
      </c>
      <c r="CK108" s="170">
        <f t="shared" si="339"/>
        <v>0</v>
      </c>
      <c r="CL108" s="49"/>
      <c r="CM108" s="28"/>
    </row>
    <row r="109" spans="1:91" x14ac:dyDescent="0.25">
      <c r="B109" s="55"/>
      <c r="C109" s="10"/>
      <c r="D109" s="93" t="s">
        <v>51</v>
      </c>
      <c r="E109" s="124" t="e">
        <f>IF(E108&lt;=2,"A",IF(E108&lt;=2.75,"B",IF(E108&lt;=3.5,"C",IF(E108&lt;=4.25,"D",IF(E108&lt;=5,"E","F")))))</f>
        <v>#DIV/0!</v>
      </c>
      <c r="F109" s="10" t="str">
        <f t="shared" ref="F109" si="340">IF(F108&lt;=2,"A",IF(F108&lt;=2.75,"B",IF(F108&lt;=3.5,"C",IF(F108&lt;=4.25,"D",IF(F108&lt;=5,"E","F")))))</f>
        <v>B</v>
      </c>
      <c r="G109" s="71" t="str">
        <f t="shared" ref="G109:J109" si="341">IF(G108&lt;=2,"A",IF(G108&lt;=2.75,"B",IF(G108&lt;=3.5,"C",IF(G108&lt;=4.25,"D",IF(G108&lt;=5,"E","F")))))</f>
        <v>B</v>
      </c>
      <c r="H109" s="71" t="str">
        <f t="shared" si="341"/>
        <v>A</v>
      </c>
      <c r="I109" s="75" t="str">
        <f t="shared" si="341"/>
        <v>A</v>
      </c>
      <c r="J109" s="10" t="str">
        <f t="shared" si="341"/>
        <v>B</v>
      </c>
      <c r="K109" s="167" t="str">
        <f t="shared" ref="K109:N109" si="342">IF(K108&lt;=2,"A",IF(K108&lt;=2.75,"B",IF(K108&lt;=3.5,"C",IF(K108&lt;=4.25,"D",IF(K108&lt;=5,"E","F")))))</f>
        <v>A</v>
      </c>
      <c r="L109" s="167" t="str">
        <f t="shared" si="342"/>
        <v>A</v>
      </c>
      <c r="M109" s="171" t="str">
        <f t="shared" si="342"/>
        <v>A</v>
      </c>
      <c r="N109" s="10" t="str">
        <f t="shared" si="342"/>
        <v>A</v>
      </c>
      <c r="O109" s="167" t="str">
        <f t="shared" ref="O109:BZ109" si="343">IF(O108&lt;=2,"A",IF(O108&lt;=2.75,"B",IF(O108&lt;=3.5,"C",IF(O108&lt;=4.25,"D",IF(O108&lt;=5,"E","F")))))</f>
        <v>C</v>
      </c>
      <c r="P109" s="167" t="str">
        <f t="shared" si="343"/>
        <v>A</v>
      </c>
      <c r="Q109" s="171" t="str">
        <f t="shared" si="343"/>
        <v>A</v>
      </c>
      <c r="R109" s="10" t="str">
        <f t="shared" si="343"/>
        <v>B</v>
      </c>
      <c r="S109" s="167" t="str">
        <f t="shared" si="343"/>
        <v>A</v>
      </c>
      <c r="T109" s="167" t="str">
        <f t="shared" si="343"/>
        <v>A</v>
      </c>
      <c r="U109" s="171" t="str">
        <f t="shared" si="343"/>
        <v>A</v>
      </c>
      <c r="V109" s="10" t="str">
        <f t="shared" si="343"/>
        <v>C</v>
      </c>
      <c r="W109" s="167" t="str">
        <f t="shared" si="343"/>
        <v>A</v>
      </c>
      <c r="X109" s="167" t="str">
        <f t="shared" si="343"/>
        <v>A</v>
      </c>
      <c r="Y109" s="171" t="str">
        <f t="shared" si="343"/>
        <v>A</v>
      </c>
      <c r="Z109" s="10" t="str">
        <f t="shared" si="343"/>
        <v>B</v>
      </c>
      <c r="AA109" s="167" t="str">
        <f t="shared" si="343"/>
        <v>A</v>
      </c>
      <c r="AB109" s="167" t="str">
        <f t="shared" si="343"/>
        <v>A</v>
      </c>
      <c r="AC109" s="171" t="str">
        <f t="shared" si="343"/>
        <v>A</v>
      </c>
      <c r="AD109" s="10" t="str">
        <f t="shared" si="343"/>
        <v>B</v>
      </c>
      <c r="AE109" s="167" t="str">
        <f t="shared" si="343"/>
        <v>A</v>
      </c>
      <c r="AF109" s="167" t="str">
        <f t="shared" si="343"/>
        <v>B</v>
      </c>
      <c r="AG109" s="171" t="str">
        <f t="shared" si="343"/>
        <v>B</v>
      </c>
      <c r="AH109" s="10" t="str">
        <f t="shared" si="343"/>
        <v>B</v>
      </c>
      <c r="AI109" s="167" t="str">
        <f t="shared" si="343"/>
        <v>B</v>
      </c>
      <c r="AJ109" s="167" t="str">
        <f t="shared" si="343"/>
        <v>B</v>
      </c>
      <c r="AK109" s="171" t="str">
        <f t="shared" si="343"/>
        <v>B</v>
      </c>
      <c r="AL109" s="10" t="str">
        <f t="shared" si="343"/>
        <v>A</v>
      </c>
      <c r="AM109" s="167" t="str">
        <f t="shared" si="343"/>
        <v>A</v>
      </c>
      <c r="AN109" s="167" t="str">
        <f t="shared" si="343"/>
        <v>A</v>
      </c>
      <c r="AO109" s="171" t="str">
        <f t="shared" si="343"/>
        <v>A</v>
      </c>
      <c r="AP109" s="10" t="str">
        <f t="shared" si="343"/>
        <v>A</v>
      </c>
      <c r="AQ109" s="167" t="str">
        <f t="shared" si="343"/>
        <v>A</v>
      </c>
      <c r="AR109" s="167" t="str">
        <f t="shared" si="343"/>
        <v>A</v>
      </c>
      <c r="AS109" s="171" t="str">
        <f t="shared" si="343"/>
        <v>A</v>
      </c>
      <c r="AT109" s="10" t="str">
        <f t="shared" si="343"/>
        <v>A</v>
      </c>
      <c r="AU109" s="167" t="str">
        <f t="shared" si="343"/>
        <v>A</v>
      </c>
      <c r="AV109" s="167" t="str">
        <f t="shared" si="343"/>
        <v>A</v>
      </c>
      <c r="AW109" s="171" t="str">
        <f t="shared" si="343"/>
        <v>A</v>
      </c>
      <c r="AX109" s="10" t="str">
        <f t="shared" si="343"/>
        <v>A</v>
      </c>
      <c r="AY109" s="167" t="str">
        <f t="shared" si="343"/>
        <v>A</v>
      </c>
      <c r="AZ109" s="167" t="str">
        <f t="shared" si="343"/>
        <v>A</v>
      </c>
      <c r="BA109" s="171" t="str">
        <f t="shared" si="343"/>
        <v>A</v>
      </c>
      <c r="BB109" s="10" t="str">
        <f t="shared" si="343"/>
        <v>A</v>
      </c>
      <c r="BC109" s="167" t="str">
        <f t="shared" si="343"/>
        <v>A</v>
      </c>
      <c r="BD109" s="167" t="str">
        <f t="shared" si="343"/>
        <v>A</v>
      </c>
      <c r="BE109" s="171" t="str">
        <f t="shared" si="343"/>
        <v>A</v>
      </c>
      <c r="BF109" s="10" t="str">
        <f t="shared" si="343"/>
        <v>A</v>
      </c>
      <c r="BG109" s="167" t="str">
        <f t="shared" si="343"/>
        <v>A</v>
      </c>
      <c r="BH109" s="167" t="str">
        <f t="shared" si="343"/>
        <v>A</v>
      </c>
      <c r="BI109" s="171" t="str">
        <f t="shared" si="343"/>
        <v>A</v>
      </c>
      <c r="BJ109" s="10" t="str">
        <f t="shared" si="343"/>
        <v>A</v>
      </c>
      <c r="BK109" s="167" t="str">
        <f t="shared" si="343"/>
        <v>A</v>
      </c>
      <c r="BL109" s="167" t="str">
        <f t="shared" si="343"/>
        <v>A</v>
      </c>
      <c r="BM109" s="171" t="str">
        <f t="shared" si="343"/>
        <v>A</v>
      </c>
      <c r="BN109" s="10" t="str">
        <f t="shared" si="343"/>
        <v>A</v>
      </c>
      <c r="BO109" s="167" t="str">
        <f t="shared" si="343"/>
        <v>A</v>
      </c>
      <c r="BP109" s="167" t="str">
        <f t="shared" si="343"/>
        <v>A</v>
      </c>
      <c r="BQ109" s="171" t="str">
        <f t="shared" si="343"/>
        <v>A</v>
      </c>
      <c r="BR109" s="10" t="str">
        <f t="shared" si="343"/>
        <v>A</v>
      </c>
      <c r="BS109" s="167" t="str">
        <f t="shared" si="343"/>
        <v>A</v>
      </c>
      <c r="BT109" s="167" t="str">
        <f t="shared" si="343"/>
        <v>A</v>
      </c>
      <c r="BU109" s="171" t="str">
        <f t="shared" si="343"/>
        <v>A</v>
      </c>
      <c r="BV109" s="10" t="str">
        <f t="shared" si="343"/>
        <v>A</v>
      </c>
      <c r="BW109" s="167" t="str">
        <f t="shared" si="343"/>
        <v>A</v>
      </c>
      <c r="BX109" s="167" t="str">
        <f t="shared" si="343"/>
        <v>A</v>
      </c>
      <c r="BY109" s="171" t="str">
        <f t="shared" si="343"/>
        <v>A</v>
      </c>
      <c r="BZ109" s="10" t="str">
        <f t="shared" si="343"/>
        <v>A</v>
      </c>
      <c r="CA109" s="167" t="str">
        <f t="shared" ref="CA109:CK109" si="344">IF(CA108&lt;=2,"A",IF(CA108&lt;=2.75,"B",IF(CA108&lt;=3.5,"C",IF(CA108&lt;=4.25,"D",IF(CA108&lt;=5,"E","F")))))</f>
        <v>A</v>
      </c>
      <c r="CB109" s="167" t="str">
        <f t="shared" si="344"/>
        <v>A</v>
      </c>
      <c r="CC109" s="171" t="str">
        <f t="shared" si="344"/>
        <v>A</v>
      </c>
      <c r="CD109" s="10" t="str">
        <f t="shared" si="344"/>
        <v>A</v>
      </c>
      <c r="CE109" s="167" t="str">
        <f t="shared" si="344"/>
        <v>A</v>
      </c>
      <c r="CF109" s="167" t="str">
        <f t="shared" si="344"/>
        <v>A</v>
      </c>
      <c r="CG109" s="171" t="str">
        <f t="shared" si="344"/>
        <v>A</v>
      </c>
      <c r="CH109" s="10" t="str">
        <f t="shared" si="344"/>
        <v>A</v>
      </c>
      <c r="CI109" s="167" t="str">
        <f t="shared" si="344"/>
        <v>A</v>
      </c>
      <c r="CJ109" s="167" t="str">
        <f t="shared" si="344"/>
        <v>A</v>
      </c>
      <c r="CK109" s="171" t="str">
        <f t="shared" si="344"/>
        <v>A</v>
      </c>
      <c r="CL109" s="49"/>
      <c r="CM109" s="28"/>
    </row>
    <row r="110" spans="1:91" x14ac:dyDescent="0.25">
      <c r="B110" s="55"/>
      <c r="C110" s="10"/>
      <c r="D110" s="93" t="s">
        <v>177</v>
      </c>
      <c r="E110" s="131"/>
      <c r="F110" s="293">
        <f>F13*IF(F44="Yes",1,0)+G13*IF(G44="Yes",1,0)+H13*IF(H44="Yes",1,0)+I13*IF(I44="Yes",1,0)</f>
        <v>206</v>
      </c>
      <c r="G110" s="312"/>
      <c r="H110" s="312"/>
      <c r="I110" s="313"/>
      <c r="J110" s="293">
        <f>J13*IF(J44="Yes",1,0)+K13*IF(K44="Yes",1,0)+L13*IF(L44="Yes",1,0)+M13*IF(M44="Yes",1,0)</f>
        <v>46</v>
      </c>
      <c r="K110" s="312"/>
      <c r="L110" s="312"/>
      <c r="M110" s="313"/>
      <c r="N110" s="293">
        <f>N13*IF(N44="Yes",1,0)+O13*IF(O44="Yes",1,0)+P13*IF(P44="Yes",1,0)+Q13*IF(Q44="Yes",1,0)</f>
        <v>501</v>
      </c>
      <c r="O110" s="312"/>
      <c r="P110" s="312"/>
      <c r="Q110" s="313"/>
      <c r="R110" s="293">
        <f>R13*IF(R44="Yes",1,0)+S13*IF(S44="Yes",1,0)+T13*IF(T44="Yes",1,0)+U13*IF(U44="Yes",1,0)</f>
        <v>96</v>
      </c>
      <c r="S110" s="312"/>
      <c r="T110" s="312"/>
      <c r="U110" s="313"/>
      <c r="V110" s="293">
        <f>V13*IF(V44="Yes",1,0)+W13*IF(W44="Yes",1,0)+X13*IF(X44="Yes",1,0)+Y13*IF(Y44="Yes",1,0)</f>
        <v>102</v>
      </c>
      <c r="W110" s="312"/>
      <c r="X110" s="312"/>
      <c r="Y110" s="313"/>
      <c r="Z110" s="293">
        <f>Z13*IF(Z44="Yes",1,0)+AA13*IF(AA44="Yes",1,0)+AB13*IF(AB44="Yes",1,0)+AC13*IF(AC44="Yes",1,0)</f>
        <v>121</v>
      </c>
      <c r="AA110" s="312"/>
      <c r="AB110" s="312"/>
      <c r="AC110" s="313"/>
      <c r="AD110" s="293">
        <f>AD13*IF(AD44="Yes",1,0)+AE13*IF(AE44="Yes",1,0)+AF13*IF(AF44="Yes",1,0)+AG13*IF(AG44="Yes",1,0)</f>
        <v>27</v>
      </c>
      <c r="AE110" s="312"/>
      <c r="AF110" s="312"/>
      <c r="AG110" s="313"/>
      <c r="AH110" s="293">
        <f>AH13*IF(AH44="Yes",1,0)+AI13*IF(AI44="Yes",1,0)+AJ13*IF(AJ44="Yes",1,0)+AK13*IF(AK44="Yes",1,0)</f>
        <v>358</v>
      </c>
      <c r="AI110" s="312"/>
      <c r="AJ110" s="312"/>
      <c r="AK110" s="313"/>
      <c r="AL110" s="293">
        <f>AL13*IF(AL44="Yes",1,0)+AM13*IF(AM44="Yes",1,0)+AN13*IF(AN44="Yes",1,0)+AO13*IF(AO44="Yes",1,0)</f>
        <v>0</v>
      </c>
      <c r="AM110" s="312"/>
      <c r="AN110" s="312"/>
      <c r="AO110" s="313"/>
      <c r="AP110" s="293">
        <f>AP13*IF(AP44="Yes",1,0)+AQ13*IF(AQ44="Yes",1,0)+AR13*IF(AR44="Yes",1,0)+AS13*IF(AS44="Yes",1,0)</f>
        <v>0</v>
      </c>
      <c r="AQ110" s="312"/>
      <c r="AR110" s="312"/>
      <c r="AS110" s="313"/>
      <c r="AT110" s="293">
        <f>AT13*IF(AT44="Yes",1,0)+AU13*IF(AU44="Yes",1,0)+AV13*IF(AV44="Yes",1,0)+AW13*IF(AW44="Yes",1,0)</f>
        <v>0</v>
      </c>
      <c r="AU110" s="312"/>
      <c r="AV110" s="312"/>
      <c r="AW110" s="313"/>
      <c r="AX110" s="293">
        <f>AX13*IF(AX44="Yes",1,0)+AY13*IF(AY44="Yes",1,0)+AZ13*IF(AZ44="Yes",1,0)+BA13*IF(BA44="Yes",1,0)</f>
        <v>0</v>
      </c>
      <c r="AY110" s="312"/>
      <c r="AZ110" s="312"/>
      <c r="BA110" s="313"/>
      <c r="BB110" s="293">
        <f>BB13*IF(BB44="Yes",1,0)+BC13*IF(BC44="Yes",1,0)+BD13*IF(BD44="Yes",1,0)+BE13*IF(BE44="Yes",1,0)</f>
        <v>0</v>
      </c>
      <c r="BC110" s="312"/>
      <c r="BD110" s="312"/>
      <c r="BE110" s="313"/>
      <c r="BF110" s="293">
        <f>BF13*IF(BF44="Yes",1,0)+BG13*IF(BG44="Yes",1,0)+BH13*IF(BH44="Yes",1,0)+BI13*IF(BI44="Yes",1,0)</f>
        <v>0</v>
      </c>
      <c r="BG110" s="312"/>
      <c r="BH110" s="312"/>
      <c r="BI110" s="313"/>
      <c r="BJ110" s="293">
        <f>BJ13*IF(BJ44="Yes",1,0)+BK13*IF(BK44="Yes",1,0)+BL13*IF(BL44="Yes",1,0)+BM13*IF(BM44="Yes",1,0)</f>
        <v>0</v>
      </c>
      <c r="BK110" s="312"/>
      <c r="BL110" s="312"/>
      <c r="BM110" s="313"/>
      <c r="BN110" s="293">
        <f>BN13*IF(BN44="Yes",1,0)+BO13*IF(BO44="Yes",1,0)+BP13*IF(BP44="Yes",1,0)+BQ13*IF(BQ44="Yes",1,0)</f>
        <v>0</v>
      </c>
      <c r="BO110" s="312"/>
      <c r="BP110" s="312"/>
      <c r="BQ110" s="313"/>
      <c r="BR110" s="293">
        <f>BR13*IF(BR44="Yes",1,0)+BS13*IF(BS44="Yes",1,0)+BT13*IF(BT44="Yes",1,0)+BU13*IF(BU44="Yes",1,0)</f>
        <v>0</v>
      </c>
      <c r="BS110" s="312"/>
      <c r="BT110" s="312"/>
      <c r="BU110" s="313"/>
      <c r="BV110" s="293">
        <f>BV13*IF(BV44="Yes",1,0)+BW13*IF(BW44="Yes",1,0)+BX13*IF(BX44="Yes",1,0)+BY13*IF(BY44="Yes",1,0)</f>
        <v>0</v>
      </c>
      <c r="BW110" s="312"/>
      <c r="BX110" s="312"/>
      <c r="BY110" s="313"/>
      <c r="BZ110" s="293">
        <f>BZ13*IF(BZ44="Yes",1,0)+CA13*IF(CA44="Yes",1,0)+CB13*IF(CB44="Yes",1,0)+CC13*IF(CC44="Yes",1,0)</f>
        <v>0</v>
      </c>
      <c r="CA110" s="312"/>
      <c r="CB110" s="312"/>
      <c r="CC110" s="313"/>
      <c r="CD110" s="293">
        <f>CD13*IF(CD44="Yes",1,0)+CE13*IF(CE44="Yes",1,0)+CF13*IF(CF44="Yes",1,0)+CG13*IF(CG44="Yes",1,0)</f>
        <v>0</v>
      </c>
      <c r="CE110" s="312"/>
      <c r="CF110" s="312"/>
      <c r="CG110" s="313"/>
      <c r="CH110" s="293">
        <f>CH13*IF(CH44="Yes",1,0)+CI13*IF(CI44="Yes",1,0)+CJ13*IF(CJ44="Yes",1,0)+CK13*IF(CK44="Yes",1,0)</f>
        <v>0</v>
      </c>
      <c r="CI110" s="312"/>
      <c r="CJ110" s="312"/>
      <c r="CK110" s="313"/>
      <c r="CL110" s="49"/>
      <c r="CM110" s="28"/>
    </row>
    <row r="111" spans="1:91" ht="14.25" thickBot="1" x14ac:dyDescent="0.3">
      <c r="B111" s="55"/>
      <c r="C111" s="37"/>
      <c r="D111" s="60"/>
      <c r="E111" s="11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28"/>
    </row>
    <row r="112" spans="1:91" x14ac:dyDescent="0.25">
      <c r="A112" s="21"/>
      <c r="B112" s="57"/>
      <c r="C112" s="280" t="s">
        <v>49</v>
      </c>
      <c r="D112" s="301"/>
      <c r="E112" s="88"/>
      <c r="F112" s="280" t="str">
        <f>F3</f>
        <v>Intersection 1 (Shattuck)</v>
      </c>
      <c r="G112" s="281"/>
      <c r="H112" s="281"/>
      <c r="I112" s="301"/>
      <c r="J112" s="280" t="str">
        <f>J3</f>
        <v>Intersection 2 (Walnut)</v>
      </c>
      <c r="K112" s="281"/>
      <c r="L112" s="281"/>
      <c r="M112" s="301"/>
      <c r="N112" s="280" t="str">
        <f>N3</f>
        <v>Intersection 3 (Oxford)</v>
      </c>
      <c r="O112" s="281"/>
      <c r="P112" s="281"/>
      <c r="Q112" s="301"/>
      <c r="R112" s="280" t="str">
        <f>R3</f>
        <v>Intersection 4 (Spruce)</v>
      </c>
      <c r="S112" s="281"/>
      <c r="T112" s="281"/>
      <c r="U112" s="301"/>
      <c r="V112" s="280" t="str">
        <f>V3</f>
        <v>Intersection 5 (Arch, Le Conte)</v>
      </c>
      <c r="W112" s="281"/>
      <c r="X112" s="281"/>
      <c r="Y112" s="301"/>
      <c r="Z112" s="280" t="str">
        <f>Z3</f>
        <v>Intersection 6 (Euclid)</v>
      </c>
      <c r="AA112" s="281"/>
      <c r="AB112" s="281"/>
      <c r="AC112" s="301"/>
      <c r="AD112" s="280" t="str">
        <f>AD3</f>
        <v>Intersection 7 (Le Roy)</v>
      </c>
      <c r="AE112" s="281"/>
      <c r="AF112" s="281"/>
      <c r="AG112" s="301"/>
      <c r="AH112" s="280" t="str">
        <f>AH3</f>
        <v>Intersection 8 (La Loma)</v>
      </c>
      <c r="AI112" s="281"/>
      <c r="AJ112" s="281"/>
      <c r="AK112" s="301"/>
      <c r="AL112" s="280" t="str">
        <f>AL3</f>
        <v>Intersection 9</v>
      </c>
      <c r="AM112" s="281"/>
      <c r="AN112" s="281"/>
      <c r="AO112" s="301"/>
      <c r="AP112" s="280" t="str">
        <f>AP3</f>
        <v>Intersection 10</v>
      </c>
      <c r="AQ112" s="281"/>
      <c r="AR112" s="281"/>
      <c r="AS112" s="301"/>
      <c r="AT112" s="280" t="str">
        <f>AT3</f>
        <v>Intersection 11</v>
      </c>
      <c r="AU112" s="281"/>
      <c r="AV112" s="281"/>
      <c r="AW112" s="301"/>
      <c r="AX112" s="280" t="str">
        <f>AX3</f>
        <v>Intersection 12</v>
      </c>
      <c r="AY112" s="281"/>
      <c r="AZ112" s="281"/>
      <c r="BA112" s="301"/>
      <c r="BB112" s="280" t="str">
        <f>BB3</f>
        <v>Intersection 13</v>
      </c>
      <c r="BC112" s="281"/>
      <c r="BD112" s="281"/>
      <c r="BE112" s="301"/>
      <c r="BF112" s="280" t="str">
        <f>BF3</f>
        <v>Intersection 14</v>
      </c>
      <c r="BG112" s="281"/>
      <c r="BH112" s="281"/>
      <c r="BI112" s="301"/>
      <c r="BJ112" s="280" t="str">
        <f>BJ3</f>
        <v>Intersection 15</v>
      </c>
      <c r="BK112" s="281"/>
      <c r="BL112" s="281"/>
      <c r="BM112" s="301"/>
      <c r="BN112" s="280" t="str">
        <f>BN3</f>
        <v>Intersection 16</v>
      </c>
      <c r="BO112" s="281"/>
      <c r="BP112" s="281"/>
      <c r="BQ112" s="301"/>
      <c r="BR112" s="280" t="str">
        <f>BR3</f>
        <v>Intersection 17</v>
      </c>
      <c r="BS112" s="281"/>
      <c r="BT112" s="281"/>
      <c r="BU112" s="301"/>
      <c r="BV112" s="280" t="str">
        <f>BV3</f>
        <v>Intersection 18</v>
      </c>
      <c r="BW112" s="281"/>
      <c r="BX112" s="281"/>
      <c r="BY112" s="301"/>
      <c r="BZ112" s="280" t="str">
        <f>BZ3</f>
        <v>Intersection 19</v>
      </c>
      <c r="CA112" s="281"/>
      <c r="CB112" s="281"/>
      <c r="CC112" s="301"/>
      <c r="CD112" s="280" t="str">
        <f>CD3</f>
        <v>Intersection 20</v>
      </c>
      <c r="CE112" s="281"/>
      <c r="CF112" s="281"/>
      <c r="CG112" s="301"/>
      <c r="CH112" s="280" t="str">
        <f>CH3</f>
        <v>Intersection 21</v>
      </c>
      <c r="CI112" s="281"/>
      <c r="CJ112" s="281"/>
      <c r="CK112" s="301"/>
      <c r="CL112" s="47" t="str">
        <f>CL3</f>
        <v>Total</v>
      </c>
      <c r="CM112" s="28"/>
    </row>
    <row r="113" spans="2:91" x14ac:dyDescent="0.25">
      <c r="B113" s="55"/>
      <c r="C113" s="4"/>
      <c r="D113" s="8" t="s">
        <v>50</v>
      </c>
      <c r="E113" s="115"/>
      <c r="F113" s="4"/>
      <c r="G113" s="19"/>
      <c r="H113" s="19"/>
      <c r="I113" s="5"/>
      <c r="J113" s="4"/>
      <c r="K113" s="19"/>
      <c r="L113" s="19"/>
      <c r="M113" s="5"/>
      <c r="N113" s="4"/>
      <c r="O113" s="19"/>
      <c r="P113" s="19"/>
      <c r="Q113" s="5"/>
      <c r="R113" s="4"/>
      <c r="S113" s="19"/>
      <c r="T113" s="19"/>
      <c r="U113" s="5"/>
      <c r="V113" s="4"/>
      <c r="W113" s="19"/>
      <c r="X113" s="19"/>
      <c r="Y113" s="5"/>
      <c r="Z113" s="4"/>
      <c r="AA113" s="19"/>
      <c r="AB113" s="19"/>
      <c r="AC113" s="5"/>
      <c r="AD113" s="4"/>
      <c r="AE113" s="19"/>
      <c r="AF113" s="19"/>
      <c r="AG113" s="5"/>
      <c r="AH113" s="4"/>
      <c r="AI113" s="19"/>
      <c r="AJ113" s="19"/>
      <c r="AK113" s="5"/>
      <c r="AL113" s="4"/>
      <c r="AM113" s="19"/>
      <c r="AN113" s="19"/>
      <c r="AO113" s="5"/>
      <c r="AP113" s="4"/>
      <c r="AQ113" s="19"/>
      <c r="AR113" s="19"/>
      <c r="AS113" s="5"/>
      <c r="AT113" s="4"/>
      <c r="AU113" s="19"/>
      <c r="AV113" s="19"/>
      <c r="AW113" s="5"/>
      <c r="AX113" s="4"/>
      <c r="AY113" s="19"/>
      <c r="AZ113" s="19"/>
      <c r="BA113" s="5"/>
      <c r="BB113" s="4"/>
      <c r="BC113" s="19"/>
      <c r="BD113" s="19"/>
      <c r="BE113" s="5"/>
      <c r="BF113" s="4"/>
      <c r="BG113" s="19"/>
      <c r="BH113" s="19"/>
      <c r="BI113" s="5"/>
      <c r="BJ113" s="4"/>
      <c r="BK113" s="19"/>
      <c r="BL113" s="19"/>
      <c r="BM113" s="5"/>
      <c r="BN113" s="4"/>
      <c r="BO113" s="19"/>
      <c r="BP113" s="19"/>
      <c r="BQ113" s="5"/>
      <c r="BR113" s="4"/>
      <c r="BS113" s="19"/>
      <c r="BT113" s="19"/>
      <c r="BU113" s="5"/>
      <c r="BV113" s="4"/>
      <c r="BW113" s="19"/>
      <c r="BX113" s="19"/>
      <c r="BY113" s="5"/>
      <c r="BZ113" s="4"/>
      <c r="CA113" s="19"/>
      <c r="CB113" s="19"/>
      <c r="CC113" s="5"/>
      <c r="CD113" s="4"/>
      <c r="CE113" s="19"/>
      <c r="CF113" s="19"/>
      <c r="CG113" s="5"/>
      <c r="CH113" s="4"/>
      <c r="CI113" s="19"/>
      <c r="CJ113" s="19"/>
      <c r="CK113" s="5"/>
      <c r="CL113" s="46"/>
      <c r="CM113" s="28"/>
    </row>
    <row r="114" spans="2:91" ht="14.25" x14ac:dyDescent="0.25">
      <c r="B114" s="55"/>
      <c r="C114" s="10" t="s">
        <v>214</v>
      </c>
      <c r="D114" s="11" t="s">
        <v>210</v>
      </c>
      <c r="E114" s="115"/>
      <c r="F114" s="295">
        <f>IF(SUM(F9:I9)=0,"",MAX(F66*IF(F44="Yes",1,0), G66*IF(G44="Yes",1,0), H66*IF(H44="Yes",1,0), I66*IF(I44="Yes",1,0)))</f>
        <v>2.8023711156342199</v>
      </c>
      <c r="G114" s="311"/>
      <c r="H114" s="311"/>
      <c r="I114" s="299"/>
      <c r="J114" s="295">
        <f>IF(SUM(J9:M9)=0,"",MAX(J66*IF(J44="Yes",1,0), K66*IF(K44="Yes",1,0), L66*IF(L44="Yes",1,0), M66*IF(M44="Yes",1,0)))</f>
        <v>2.1235729316016991</v>
      </c>
      <c r="K114" s="311"/>
      <c r="L114" s="311"/>
      <c r="M114" s="299"/>
      <c r="N114" s="295">
        <f>IF(SUM(N9:Q9)=0,"",MAX(N66*IF(N44="Yes",1,0), O66*IF(O44="Yes",1,0), P66*IF(P44="Yes",1,0), Q66*IF(Q44="Yes",1,0)))</f>
        <v>2.4097444022034544</v>
      </c>
      <c r="O114" s="311"/>
      <c r="P114" s="311"/>
      <c r="Q114" s="299"/>
      <c r="R114" s="295">
        <f>IF(SUM(R9:U9)=0,"",MAX(R66*IF(R44="Yes",1,0), S66*IF(S44="Yes",1,0), T66*IF(T44="Yes",1,0), U66*IF(U44="Yes",1,0)))</f>
        <v>2.2501490583568136</v>
      </c>
      <c r="S114" s="311"/>
      <c r="T114" s="311"/>
      <c r="U114" s="299"/>
      <c r="V114" s="295">
        <f>IF(SUM(V9:Y9)=0,"",MAX(V66*IF(V44="Yes",1,0), W66*IF(W44="Yes",1,0), X66*IF(X44="Yes",1,0), Y66*IF(Y44="Yes",1,0)))</f>
        <v>2.176378994406754</v>
      </c>
      <c r="W114" s="311"/>
      <c r="X114" s="311"/>
      <c r="Y114" s="299"/>
      <c r="Z114" s="295">
        <f>IF(SUM(Z9:AC9)=0,"",MAX(Z66*IF(Z44="Yes",1,0), AA66*IF(AA44="Yes",1,0), AB66*IF(AB44="Yes",1,0), AC66*IF(AC44="Yes",1,0)))</f>
        <v>2.1324011176786235</v>
      </c>
      <c r="AA114" s="311"/>
      <c r="AB114" s="311"/>
      <c r="AC114" s="299"/>
      <c r="AD114" s="295">
        <f>IF(SUM(AD9:AG9)=0,"",MAX(AD66*IF(AD44="Yes",1,0), AE66*IF(AE44="Yes",1,0), AF66*IF(AF44="Yes",1,0), AG66*IF(AG44="Yes",1,0)))</f>
        <v>1.9911370140366187</v>
      </c>
      <c r="AE114" s="311"/>
      <c r="AF114" s="311"/>
      <c r="AG114" s="299"/>
      <c r="AH114" s="295" t="e">
        <f>IF(SUM(AH9:AK9)=0,"",MAX(AH66*IF(AH44="Yes",1,0), AI66*IF(AI44="Yes",1,0), AJ66*IF(AJ44="Yes",1,0), AK66*IF(AK44="Yes",1,0)))</f>
        <v>#REF!</v>
      </c>
      <c r="AI114" s="311"/>
      <c r="AJ114" s="311"/>
      <c r="AK114" s="299"/>
      <c r="AL114" s="295" t="str">
        <f>IF(SUM(AL9:AO9)=0,"",MAX(AL66*IF(AL44="Yes",1,0), AM66*IF(AM44="Yes",1,0), AN66*IF(AN44="Yes",1,0), AO66*IF(AO44="Yes",1,0)))</f>
        <v/>
      </c>
      <c r="AM114" s="311"/>
      <c r="AN114" s="311"/>
      <c r="AO114" s="299"/>
      <c r="AP114" s="295" t="str">
        <f>IF(SUM(AP9:AS9)=0,"",MAX(AP66*IF(AP44="Yes",1,0), AQ66*IF(AQ44="Yes",1,0), AR66*IF(AR44="Yes",1,0), AS66*IF(AS44="Yes",1,0)))</f>
        <v/>
      </c>
      <c r="AQ114" s="311"/>
      <c r="AR114" s="311"/>
      <c r="AS114" s="299"/>
      <c r="AT114" s="295" t="str">
        <f>IF(SUM(AT9:AW9)=0,"",MAX(AT66*IF(AT44="Yes",1,0), AU66*IF(AU44="Yes",1,0), AV66*IF(AV44="Yes",1,0), AW66*IF(AW44="Yes",1,0)))</f>
        <v/>
      </c>
      <c r="AU114" s="311"/>
      <c r="AV114" s="311"/>
      <c r="AW114" s="299"/>
      <c r="AX114" s="295" t="str">
        <f>IF(SUM(AX9:BA9)=0,"",MAX(AX66*IF(AX44="Yes",1,0), AY66*IF(AY44="Yes",1,0), AZ66*IF(AZ44="Yes",1,0), BA66*IF(BA44="Yes",1,0)))</f>
        <v/>
      </c>
      <c r="AY114" s="311"/>
      <c r="AZ114" s="311"/>
      <c r="BA114" s="299"/>
      <c r="BB114" s="295" t="str">
        <f>IF(SUM(BB9:BE9)=0,"",MAX(BB66*IF(BB44="Yes",1,0), BC66*IF(BC44="Yes",1,0), BD66*IF(BD44="Yes",1,0), BE66*IF(BE44="Yes",1,0)))</f>
        <v/>
      </c>
      <c r="BC114" s="311"/>
      <c r="BD114" s="311"/>
      <c r="BE114" s="299"/>
      <c r="BF114" s="295" t="str">
        <f>IF(SUM(BF9:BI9)=0,"",MAX(BF66*IF(BF44="Yes",1,0), BG66*IF(BG44="Yes",1,0), BH66*IF(BH44="Yes",1,0), BI66*IF(BI44="Yes",1,0)))</f>
        <v/>
      </c>
      <c r="BG114" s="311"/>
      <c r="BH114" s="311"/>
      <c r="BI114" s="299"/>
      <c r="BJ114" s="295" t="str">
        <f>IF(SUM(BJ9:BM9)=0,"",MAX(BJ66*IF(BJ44="Yes",1,0), BK66*IF(BK44="Yes",1,0), BL66*IF(BL44="Yes",1,0), BM66*IF(BM44="Yes",1,0)))</f>
        <v/>
      </c>
      <c r="BK114" s="311"/>
      <c r="BL114" s="311"/>
      <c r="BM114" s="299"/>
      <c r="BN114" s="295" t="str">
        <f>IF(SUM(BN9:BQ9)=0,"",MAX(BN66*IF(BN44="Yes",1,0), BO66*IF(BO44="Yes",1,0), BP66*IF(BP44="Yes",1,0), BQ66*IF(BQ44="Yes",1,0)))</f>
        <v/>
      </c>
      <c r="BO114" s="311"/>
      <c r="BP114" s="311"/>
      <c r="BQ114" s="299"/>
      <c r="BR114" s="295" t="str">
        <f>IF(SUM(BR9:BU9)=0,"",MAX(BR66*IF(BR44="Yes",1,0), BS66*IF(BS44="Yes",1,0), BT66*IF(BT44="Yes",1,0), BU66*IF(BU44="Yes",1,0)))</f>
        <v/>
      </c>
      <c r="BS114" s="311"/>
      <c r="BT114" s="311"/>
      <c r="BU114" s="299"/>
      <c r="BV114" s="295" t="str">
        <f>IF(SUM(BV9:BY9)=0,"",MAX(BV66*IF(BV44="Yes",1,0), BW66*IF(BW44="Yes",1,0), BX66*IF(BX44="Yes",1,0), BY66*IF(BY44="Yes",1,0)))</f>
        <v/>
      </c>
      <c r="BW114" s="311"/>
      <c r="BX114" s="311"/>
      <c r="BY114" s="299"/>
      <c r="BZ114" s="295" t="str">
        <f>IF(SUM(BZ9:CC9)=0,"",MAX(BZ66*IF(BZ44="Yes",1,0), CA66*IF(CA44="Yes",1,0), CB66*IF(CB44="Yes",1,0), CC66*IF(CC44="Yes",1,0)))</f>
        <v/>
      </c>
      <c r="CA114" s="311"/>
      <c r="CB114" s="311"/>
      <c r="CC114" s="299"/>
      <c r="CD114" s="295" t="str">
        <f>IF(SUM(CD9:CG9)=0,"",MAX(CD66*IF(CD44="Yes",1,0), CE66*IF(CE44="Yes",1,0), CF66*IF(CF44="Yes",1,0), CG66*IF(CG44="Yes",1,0)))</f>
        <v/>
      </c>
      <c r="CE114" s="311"/>
      <c r="CF114" s="311"/>
      <c r="CG114" s="299"/>
      <c r="CH114" s="295" t="str">
        <f>IF(SUM(CH9:CK9)=0,"",MAX(CH66*IF(CH44="Yes",1,0), CI66*IF(CI44="Yes",1,0), CJ66*IF(CJ44="Yes",1,0), CK66*IF(CK44="Yes",1,0)))</f>
        <v/>
      </c>
      <c r="CI114" s="311"/>
      <c r="CJ114" s="311"/>
      <c r="CK114" s="299"/>
      <c r="CL114" s="67" t="e">
        <f>SUMPRODUCT(F114:CK114,F68:CK68)/SUM(F68:CK68)</f>
        <v>#REF!</v>
      </c>
      <c r="CM114" s="28"/>
    </row>
    <row r="115" spans="2:91" x14ac:dyDescent="0.25">
      <c r="B115" s="55"/>
      <c r="C115" s="10"/>
      <c r="D115" s="11" t="s">
        <v>41</v>
      </c>
      <c r="E115" s="115"/>
      <c r="F115" s="283" t="str">
        <f>IF(F114="","",IF(F114&lt;=2,"A",IF(F114&lt;=2.75,"B",IF(F114&lt;=3.5,"C",IF(F114&lt;=4.25,"D",IF(F114&lt;=5,"E","F"))))))</f>
        <v>C</v>
      </c>
      <c r="G115" s="309"/>
      <c r="H115" s="309"/>
      <c r="I115" s="284"/>
      <c r="J115" s="283" t="str">
        <f t="shared" ref="J115" si="345">IF(J114="","",IF(J114&lt;=2,"A",IF(J114&lt;=2.75,"B",IF(J114&lt;=3.5,"C",IF(J114&lt;=4.25,"D",IF(J114&lt;=5,"E","F"))))))</f>
        <v>B</v>
      </c>
      <c r="K115" s="309"/>
      <c r="L115" s="309"/>
      <c r="M115" s="284"/>
      <c r="N115" s="283" t="str">
        <f t="shared" ref="N115" si="346">IF(N114="","",IF(N114&lt;=2,"A",IF(N114&lt;=2.75,"B",IF(N114&lt;=3.5,"C",IF(N114&lt;=4.25,"D",IF(N114&lt;=5,"E","F"))))))</f>
        <v>B</v>
      </c>
      <c r="O115" s="309"/>
      <c r="P115" s="309"/>
      <c r="Q115" s="284"/>
      <c r="R115" s="283" t="str">
        <f t="shared" ref="R115" si="347">IF(R114="","",IF(R114&lt;=2,"A",IF(R114&lt;=2.75,"B",IF(R114&lt;=3.5,"C",IF(R114&lt;=4.25,"D",IF(R114&lt;=5,"E","F"))))))</f>
        <v>B</v>
      </c>
      <c r="S115" s="309"/>
      <c r="T115" s="309"/>
      <c r="U115" s="284"/>
      <c r="V115" s="283" t="str">
        <f t="shared" ref="V115" si="348">IF(V114="","",IF(V114&lt;=2,"A",IF(V114&lt;=2.75,"B",IF(V114&lt;=3.5,"C",IF(V114&lt;=4.25,"D",IF(V114&lt;=5,"E","F"))))))</f>
        <v>B</v>
      </c>
      <c r="W115" s="309"/>
      <c r="X115" s="309"/>
      <c r="Y115" s="284"/>
      <c r="Z115" s="283" t="str">
        <f t="shared" ref="Z115" si="349">IF(Z114="","",IF(Z114&lt;=2,"A",IF(Z114&lt;=2.75,"B",IF(Z114&lt;=3.5,"C",IF(Z114&lt;=4.25,"D",IF(Z114&lt;=5,"E","F"))))))</f>
        <v>B</v>
      </c>
      <c r="AA115" s="309"/>
      <c r="AB115" s="309"/>
      <c r="AC115" s="284"/>
      <c r="AD115" s="283" t="str">
        <f t="shared" ref="AD115" si="350">IF(AD114="","",IF(AD114&lt;=2,"A",IF(AD114&lt;=2.75,"B",IF(AD114&lt;=3.5,"C",IF(AD114&lt;=4.25,"D",IF(AD114&lt;=5,"E","F"))))))</f>
        <v>A</v>
      </c>
      <c r="AE115" s="309"/>
      <c r="AF115" s="309"/>
      <c r="AG115" s="284"/>
      <c r="AH115" s="283" t="e">
        <f t="shared" ref="AH115" si="351">IF(AH114="","",IF(AH114&lt;=2,"A",IF(AH114&lt;=2.75,"B",IF(AH114&lt;=3.5,"C",IF(AH114&lt;=4.25,"D",IF(AH114&lt;=5,"E","F"))))))</f>
        <v>#REF!</v>
      </c>
      <c r="AI115" s="309"/>
      <c r="AJ115" s="309"/>
      <c r="AK115" s="284"/>
      <c r="AL115" s="283" t="str">
        <f t="shared" ref="AL115" si="352">IF(AL114="","",IF(AL114&lt;=2,"A",IF(AL114&lt;=2.75,"B",IF(AL114&lt;=3.5,"C",IF(AL114&lt;=4.25,"D",IF(AL114&lt;=5,"E","F"))))))</f>
        <v/>
      </c>
      <c r="AM115" s="309"/>
      <c r="AN115" s="309"/>
      <c r="AO115" s="284"/>
      <c r="AP115" s="283" t="str">
        <f t="shared" ref="AP115" si="353">IF(AP114="","",IF(AP114&lt;=2,"A",IF(AP114&lt;=2.75,"B",IF(AP114&lt;=3.5,"C",IF(AP114&lt;=4.25,"D",IF(AP114&lt;=5,"E","F"))))))</f>
        <v/>
      </c>
      <c r="AQ115" s="309"/>
      <c r="AR115" s="309"/>
      <c r="AS115" s="284"/>
      <c r="AT115" s="283" t="str">
        <f t="shared" ref="AT115" si="354">IF(AT114="","",IF(AT114&lt;=2,"A",IF(AT114&lt;=2.75,"B",IF(AT114&lt;=3.5,"C",IF(AT114&lt;=4.25,"D",IF(AT114&lt;=5,"E","F"))))))</f>
        <v/>
      </c>
      <c r="AU115" s="309"/>
      <c r="AV115" s="309"/>
      <c r="AW115" s="284"/>
      <c r="AX115" s="283" t="str">
        <f t="shared" ref="AX115" si="355">IF(AX114="","",IF(AX114&lt;=2,"A",IF(AX114&lt;=2.75,"B",IF(AX114&lt;=3.5,"C",IF(AX114&lt;=4.25,"D",IF(AX114&lt;=5,"E","F"))))))</f>
        <v/>
      </c>
      <c r="AY115" s="309"/>
      <c r="AZ115" s="309"/>
      <c r="BA115" s="284"/>
      <c r="BB115" s="283" t="str">
        <f t="shared" ref="BB115" si="356">IF(BB114="","",IF(BB114&lt;=2,"A",IF(BB114&lt;=2.75,"B",IF(BB114&lt;=3.5,"C",IF(BB114&lt;=4.25,"D",IF(BB114&lt;=5,"E","F"))))))</f>
        <v/>
      </c>
      <c r="BC115" s="309"/>
      <c r="BD115" s="309"/>
      <c r="BE115" s="284"/>
      <c r="BF115" s="283" t="str">
        <f t="shared" ref="BF115" si="357">IF(BF114="","",IF(BF114&lt;=2,"A",IF(BF114&lt;=2.75,"B",IF(BF114&lt;=3.5,"C",IF(BF114&lt;=4.25,"D",IF(BF114&lt;=5,"E","F"))))))</f>
        <v/>
      </c>
      <c r="BG115" s="309"/>
      <c r="BH115" s="309"/>
      <c r="BI115" s="284"/>
      <c r="BJ115" s="283" t="str">
        <f t="shared" ref="BJ115" si="358">IF(BJ114="","",IF(BJ114&lt;=2,"A",IF(BJ114&lt;=2.75,"B",IF(BJ114&lt;=3.5,"C",IF(BJ114&lt;=4.25,"D",IF(BJ114&lt;=5,"E","F"))))))</f>
        <v/>
      </c>
      <c r="BK115" s="309"/>
      <c r="BL115" s="309"/>
      <c r="BM115" s="284"/>
      <c r="BN115" s="283" t="str">
        <f t="shared" ref="BN115" si="359">IF(BN114="","",IF(BN114&lt;=2,"A",IF(BN114&lt;=2.75,"B",IF(BN114&lt;=3.5,"C",IF(BN114&lt;=4.25,"D",IF(BN114&lt;=5,"E","F"))))))</f>
        <v/>
      </c>
      <c r="BO115" s="309"/>
      <c r="BP115" s="309"/>
      <c r="BQ115" s="284"/>
      <c r="BR115" s="283" t="str">
        <f t="shared" ref="BR115" si="360">IF(BR114="","",IF(BR114&lt;=2,"A",IF(BR114&lt;=2.75,"B",IF(BR114&lt;=3.5,"C",IF(BR114&lt;=4.25,"D",IF(BR114&lt;=5,"E","F"))))))</f>
        <v/>
      </c>
      <c r="BS115" s="309"/>
      <c r="BT115" s="309"/>
      <c r="BU115" s="284"/>
      <c r="BV115" s="283" t="str">
        <f t="shared" ref="BV115" si="361">IF(BV114="","",IF(BV114&lt;=2,"A",IF(BV114&lt;=2.75,"B",IF(BV114&lt;=3.5,"C",IF(BV114&lt;=4.25,"D",IF(BV114&lt;=5,"E","F"))))))</f>
        <v/>
      </c>
      <c r="BW115" s="309"/>
      <c r="BX115" s="309"/>
      <c r="BY115" s="284"/>
      <c r="BZ115" s="283" t="str">
        <f t="shared" ref="BZ115" si="362">IF(BZ114="","",IF(BZ114&lt;=2,"A",IF(BZ114&lt;=2.75,"B",IF(BZ114&lt;=3.5,"C",IF(BZ114&lt;=4.25,"D",IF(BZ114&lt;=5,"E","F"))))))</f>
        <v/>
      </c>
      <c r="CA115" s="309"/>
      <c r="CB115" s="309"/>
      <c r="CC115" s="284"/>
      <c r="CD115" s="283" t="str">
        <f t="shared" ref="CD115" si="363">IF(CD114="","",IF(CD114&lt;=2,"A",IF(CD114&lt;=2.75,"B",IF(CD114&lt;=3.5,"C",IF(CD114&lt;=4.25,"D",IF(CD114&lt;=5,"E","F"))))))</f>
        <v/>
      </c>
      <c r="CE115" s="309"/>
      <c r="CF115" s="309"/>
      <c r="CG115" s="284"/>
      <c r="CH115" s="283" t="str">
        <f t="shared" ref="CH115" si="364">IF(CH114="","",IF(CH114&lt;=2,"A",IF(CH114&lt;=2.75,"B",IF(CH114&lt;=3.5,"C",IF(CH114&lt;=4.25,"D",IF(CH114&lt;=5,"E","F"))))))</f>
        <v/>
      </c>
      <c r="CI115" s="309"/>
      <c r="CJ115" s="309"/>
      <c r="CK115" s="284"/>
      <c r="CL115" s="68" t="e">
        <f>IF(CL114&lt;=2,"A",IF(CL114&lt;=2.75,"B",IF(CL114&lt;=3.5,"C",IF(CL114&lt;=4.25,"D",IF(CL114&lt;=5,"E","F")))))</f>
        <v>#REF!</v>
      </c>
      <c r="CM115" s="28"/>
    </row>
    <row r="116" spans="2:91" x14ac:dyDescent="0.25">
      <c r="B116" s="55"/>
      <c r="C116" s="4"/>
      <c r="D116" s="8" t="s">
        <v>20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2:91" ht="14.25" x14ac:dyDescent="0.25">
      <c r="B117" s="55"/>
      <c r="C117" s="10" t="s">
        <v>215</v>
      </c>
      <c r="D117" s="11" t="s">
        <v>211</v>
      </c>
      <c r="E117" s="115"/>
      <c r="F117" s="295">
        <f>IF(SUM(F9:I9)=0,"",MAX(F108*IF(F44="Yes",1,0),G108*IF(G44="Yes",1,0),H108*IF(H44="Yes",1,0),I108*IF(I44="Yes",1,0)))</f>
        <v>2.7107749999999995</v>
      </c>
      <c r="G117" s="311"/>
      <c r="H117" s="311"/>
      <c r="I117" s="299"/>
      <c r="J117" s="295">
        <f>IF(SUM(J9:M9)=0,"",MAX(J108*IF(J44="Yes",1,0),K108*IF(K44="Yes",1,0),L108*IF(L44="Yes",1,0),M108*IF(M44="Yes",1,0)))</f>
        <v>2.2087249999999994</v>
      </c>
      <c r="K117" s="311"/>
      <c r="L117" s="311"/>
      <c r="M117" s="299"/>
      <c r="N117" s="295">
        <f>IF(SUM(N9:Q9)=0,"",MAX(N108*IF(N44="Yes",1,0),O108*IF(O44="Yes",1,0),P108*IF(P44="Yes",1,0),Q108*IF(Q44="Yes",1,0)))</f>
        <v>3.2047249999999998</v>
      </c>
      <c r="O117" s="311"/>
      <c r="P117" s="311"/>
      <c r="Q117" s="299"/>
      <c r="R117" s="295">
        <f>IF(SUM(R9:U9)=0,"",MAX(R108*IF(R44="Yes",1,0),S108*IF(S44="Yes",1,0),T108*IF(T44="Yes",1,0),U108*IF(U44="Yes",1,0)))</f>
        <v>2.0597749999999992</v>
      </c>
      <c r="S117" s="311"/>
      <c r="T117" s="311"/>
      <c r="U117" s="299"/>
      <c r="V117" s="295">
        <f>IF(SUM(V9:Y9)=0,"",MAX(V108*IF(V44="Yes",1,0),W108*IF(W44="Yes",1,0),X108*IF(X44="Yes",1,0),Y108*IF(Y44="Yes",1,0)))</f>
        <v>2.7701750000000001</v>
      </c>
      <c r="W117" s="311"/>
      <c r="X117" s="311"/>
      <c r="Y117" s="299"/>
      <c r="Z117" s="295">
        <f>IF(SUM(Z9:AC9)=0,"",MAX(Z108*IF(Z44="Yes",1,0),AA108*IF(AA44="Yes",1,0),AB108*IF(AB44="Yes",1,0),AC108*IF(AC44="Yes",1,0)))</f>
        <v>2.2171999999999992</v>
      </c>
      <c r="AA117" s="311"/>
      <c r="AB117" s="311"/>
      <c r="AC117" s="299"/>
      <c r="AD117" s="295">
        <f>IF(SUM(AD9:AG9)=0,"",MAX(AD108*IF(AD44="Yes",1,0),AE108*IF(AE44="Yes",1,0),AF108*IF(AF44="Yes",1,0),AG108*IF(AG44="Yes",1,0)))</f>
        <v>2.3857249999999994</v>
      </c>
      <c r="AE117" s="311"/>
      <c r="AF117" s="311"/>
      <c r="AG117" s="299"/>
      <c r="AH117" s="295">
        <f>IF(SUM(AH9:AK9)=0,"",MAX(AH108*IF(AH44="Yes",1,0),AI108*IF(AI44="Yes",1,0),AJ108*IF(AJ44="Yes",1,0),AK108*IF(AK44="Yes",1,0)))</f>
        <v>2.5933249999999997</v>
      </c>
      <c r="AI117" s="311"/>
      <c r="AJ117" s="311"/>
      <c r="AK117" s="299"/>
      <c r="AL117" s="295" t="str">
        <f>IF(SUM(AL9:AO9)=0,"",MAX(AL108*IF(AL44="Yes",1,0),AM108*IF(AM44="Yes",1,0),AN108*IF(AN44="Yes",1,0),AO108*IF(AO44="Yes",1,0)))</f>
        <v/>
      </c>
      <c r="AM117" s="311"/>
      <c r="AN117" s="311"/>
      <c r="AO117" s="299"/>
      <c r="AP117" s="295" t="str">
        <f>IF(SUM(AP9:AS9)=0,"",MAX(AP108*IF(AP44="Yes",1,0),AQ108*IF(AQ44="Yes",1,0),AR108*IF(AR44="Yes",1,0),AS108*IF(AS44="Yes",1,0)))</f>
        <v/>
      </c>
      <c r="AQ117" s="311"/>
      <c r="AR117" s="311"/>
      <c r="AS117" s="299"/>
      <c r="AT117" s="295" t="str">
        <f>IF(SUM(AT9:AW9)=0,"",MAX(AT108*IF(AT44="Yes",1,0),AU108*IF(AU44="Yes",1,0),AV108*IF(AV44="Yes",1,0),AW108*IF(AW44="Yes",1,0)))</f>
        <v/>
      </c>
      <c r="AU117" s="311"/>
      <c r="AV117" s="311"/>
      <c r="AW117" s="299"/>
      <c r="AX117" s="295" t="str">
        <f>IF(SUM(AX9:BA9)=0,"",MAX(AX108*IF(AX44="Yes",1,0),AY108*IF(AY44="Yes",1,0),AZ108*IF(AZ44="Yes",1,0),BA108*IF(BA44="Yes",1,0)))</f>
        <v/>
      </c>
      <c r="AY117" s="311"/>
      <c r="AZ117" s="311"/>
      <c r="BA117" s="299"/>
      <c r="BB117" s="295" t="str">
        <f>IF(SUM(BB9:BE9)=0,"",MAX(BB108*IF(BB44="Yes",1,0),BC108*IF(BC44="Yes",1,0),BD108*IF(BD44="Yes",1,0),BE108*IF(BE44="Yes",1,0)))</f>
        <v/>
      </c>
      <c r="BC117" s="311"/>
      <c r="BD117" s="311"/>
      <c r="BE117" s="299"/>
      <c r="BF117" s="295" t="str">
        <f>IF(SUM(BF9:BI9)=0,"",MAX(BF108*IF(BF44="Yes",1,0),BG108*IF(BG44="Yes",1,0),BH108*IF(BH44="Yes",1,0),BI108*IF(BI44="Yes",1,0)))</f>
        <v/>
      </c>
      <c r="BG117" s="311"/>
      <c r="BH117" s="311"/>
      <c r="BI117" s="299"/>
      <c r="BJ117" s="295" t="str">
        <f>IF(SUM(BJ9:BM9)=0,"",MAX(BJ108*IF(BJ44="Yes",1,0),BK108*IF(BK44="Yes",1,0),BL108*IF(BL44="Yes",1,0),BM108*IF(BM44="Yes",1,0)))</f>
        <v/>
      </c>
      <c r="BK117" s="311"/>
      <c r="BL117" s="311"/>
      <c r="BM117" s="299"/>
      <c r="BN117" s="295" t="str">
        <f>IF(SUM(BN9:BQ9)=0,"",MAX(BN108*IF(BN44="Yes",1,0),BO108*IF(BO44="Yes",1,0),BP108*IF(BP44="Yes",1,0),BQ108*IF(BQ44="Yes",1,0)))</f>
        <v/>
      </c>
      <c r="BO117" s="311"/>
      <c r="BP117" s="311"/>
      <c r="BQ117" s="299"/>
      <c r="BR117" s="295" t="str">
        <f>IF(SUM(BR9:BU9)=0,"",MAX(BR108*IF(BR44="Yes",1,0),BS108*IF(BS44="Yes",1,0),BT108*IF(BT44="Yes",1,0),BU108*IF(BU44="Yes",1,0)))</f>
        <v/>
      </c>
      <c r="BS117" s="311"/>
      <c r="BT117" s="311"/>
      <c r="BU117" s="299"/>
      <c r="BV117" s="295" t="str">
        <f>IF(SUM(BV9:BY9)=0,"",MAX(BV108*IF(BV44="Yes",1,0),BW108*IF(BW44="Yes",1,0),BX108*IF(BX44="Yes",1,0),BY108*IF(BY44="Yes",1,0)))</f>
        <v/>
      </c>
      <c r="BW117" s="311"/>
      <c r="BX117" s="311"/>
      <c r="BY117" s="299"/>
      <c r="BZ117" s="295" t="str">
        <f>IF(SUM(BZ9:CC9)=0,"",MAX(BZ108*IF(BZ44="Yes",1,0),CA108*IF(CA44="Yes",1,0),CB108*IF(CB44="Yes",1,0),CC108*IF(CC44="Yes",1,0)))</f>
        <v/>
      </c>
      <c r="CA117" s="311"/>
      <c r="CB117" s="311"/>
      <c r="CC117" s="299"/>
      <c r="CD117" s="295" t="str">
        <f>IF(SUM(CD9:CG9)=0,"",MAX(CD108*IF(CD44="Yes",1,0),CE108*IF(CE44="Yes",1,0),CF108*IF(CF44="Yes",1,0),CG108*IF(CG44="Yes",1,0)))</f>
        <v/>
      </c>
      <c r="CE117" s="311"/>
      <c r="CF117" s="311"/>
      <c r="CG117" s="299"/>
      <c r="CH117" s="295" t="str">
        <f>IF(SUM(CH9:CK9)=0,"",MAX(CH108*IF(CH44="Yes",1,0),CI108*IF(CI44="Yes",1,0),CJ108*IF(CJ44="Yes",1,0),CK108*IF(CK44="Yes",1,0)))</f>
        <v/>
      </c>
      <c r="CI117" s="311"/>
      <c r="CJ117" s="311"/>
      <c r="CK117" s="299"/>
      <c r="CL117" s="67">
        <f>SUMPRODUCT(F117:CK117,F110:CK110)/SUM(F110:CK110)</f>
        <v>2.7501651338366502</v>
      </c>
      <c r="CM117" s="28"/>
    </row>
    <row r="118" spans="2:91" ht="14.25" thickBot="1" x14ac:dyDescent="0.3">
      <c r="B118" s="55"/>
      <c r="C118" s="10"/>
      <c r="D118" s="11" t="s">
        <v>51</v>
      </c>
      <c r="E118" s="115"/>
      <c r="F118" s="283" t="str">
        <f>IF(F117="","",IF(F117&lt;=2,"A",IF(F117&lt;=2.75,"B",IF(F117&lt;=3.5,"C",IF(F117&lt;=4.25,"D",IF(F117&lt;=5,"E","F"))))))</f>
        <v>B</v>
      </c>
      <c r="G118" s="309"/>
      <c r="H118" s="309"/>
      <c r="I118" s="284"/>
      <c r="J118" s="283" t="str">
        <f t="shared" ref="J118" si="365">IF(J117="","",IF(J117&lt;=2,"A",IF(J117&lt;=2.75,"B",IF(J117&lt;=3.5,"C",IF(J117&lt;=4.25,"D",IF(J117&lt;=5,"E","F"))))))</f>
        <v>B</v>
      </c>
      <c r="K118" s="309"/>
      <c r="L118" s="309"/>
      <c r="M118" s="284"/>
      <c r="N118" s="283" t="str">
        <f t="shared" ref="N118" si="366">IF(N117="","",IF(N117&lt;=2,"A",IF(N117&lt;=2.75,"B",IF(N117&lt;=3.5,"C",IF(N117&lt;=4.25,"D",IF(N117&lt;=5,"E","F"))))))</f>
        <v>C</v>
      </c>
      <c r="O118" s="309"/>
      <c r="P118" s="309"/>
      <c r="Q118" s="284"/>
      <c r="R118" s="283" t="str">
        <f t="shared" ref="R118" si="367">IF(R117="","",IF(R117&lt;=2,"A",IF(R117&lt;=2.75,"B",IF(R117&lt;=3.5,"C",IF(R117&lt;=4.25,"D",IF(R117&lt;=5,"E","F"))))))</f>
        <v>B</v>
      </c>
      <c r="S118" s="309"/>
      <c r="T118" s="309"/>
      <c r="U118" s="284"/>
      <c r="V118" s="283" t="str">
        <f t="shared" ref="V118" si="368">IF(V117="","",IF(V117&lt;=2,"A",IF(V117&lt;=2.75,"B",IF(V117&lt;=3.5,"C",IF(V117&lt;=4.25,"D",IF(V117&lt;=5,"E","F"))))))</f>
        <v>C</v>
      </c>
      <c r="W118" s="309"/>
      <c r="X118" s="309"/>
      <c r="Y118" s="284"/>
      <c r="Z118" s="283" t="str">
        <f t="shared" ref="Z118" si="369">IF(Z117="","",IF(Z117&lt;=2,"A",IF(Z117&lt;=2.75,"B",IF(Z117&lt;=3.5,"C",IF(Z117&lt;=4.25,"D",IF(Z117&lt;=5,"E","F"))))))</f>
        <v>B</v>
      </c>
      <c r="AA118" s="309"/>
      <c r="AB118" s="309"/>
      <c r="AC118" s="284"/>
      <c r="AD118" s="283" t="str">
        <f t="shared" ref="AD118" si="370">IF(AD117="","",IF(AD117&lt;=2,"A",IF(AD117&lt;=2.75,"B",IF(AD117&lt;=3.5,"C",IF(AD117&lt;=4.25,"D",IF(AD117&lt;=5,"E","F"))))))</f>
        <v>B</v>
      </c>
      <c r="AE118" s="309"/>
      <c r="AF118" s="309"/>
      <c r="AG118" s="284"/>
      <c r="AH118" s="283" t="str">
        <f t="shared" ref="AH118" si="371">IF(AH117="","",IF(AH117&lt;=2,"A",IF(AH117&lt;=2.75,"B",IF(AH117&lt;=3.5,"C",IF(AH117&lt;=4.25,"D",IF(AH117&lt;=5,"E","F"))))))</f>
        <v>B</v>
      </c>
      <c r="AI118" s="309"/>
      <c r="AJ118" s="309"/>
      <c r="AK118" s="284"/>
      <c r="AL118" s="283" t="str">
        <f t="shared" ref="AL118" si="372">IF(AL117="","",IF(AL117&lt;=2,"A",IF(AL117&lt;=2.75,"B",IF(AL117&lt;=3.5,"C",IF(AL117&lt;=4.25,"D",IF(AL117&lt;=5,"E","F"))))))</f>
        <v/>
      </c>
      <c r="AM118" s="309"/>
      <c r="AN118" s="309"/>
      <c r="AO118" s="284"/>
      <c r="AP118" s="283" t="str">
        <f t="shared" ref="AP118" si="373">IF(AP117="","",IF(AP117&lt;=2,"A",IF(AP117&lt;=2.75,"B",IF(AP117&lt;=3.5,"C",IF(AP117&lt;=4.25,"D",IF(AP117&lt;=5,"E","F"))))))</f>
        <v/>
      </c>
      <c r="AQ118" s="309"/>
      <c r="AR118" s="309"/>
      <c r="AS118" s="284"/>
      <c r="AT118" s="283" t="str">
        <f t="shared" ref="AT118" si="374">IF(AT117="","",IF(AT117&lt;=2,"A",IF(AT117&lt;=2.75,"B",IF(AT117&lt;=3.5,"C",IF(AT117&lt;=4.25,"D",IF(AT117&lt;=5,"E","F"))))))</f>
        <v/>
      </c>
      <c r="AU118" s="309"/>
      <c r="AV118" s="309"/>
      <c r="AW118" s="284"/>
      <c r="AX118" s="283" t="str">
        <f t="shared" ref="AX118" si="375">IF(AX117="","",IF(AX117&lt;=2,"A",IF(AX117&lt;=2.75,"B",IF(AX117&lt;=3.5,"C",IF(AX117&lt;=4.25,"D",IF(AX117&lt;=5,"E","F"))))))</f>
        <v/>
      </c>
      <c r="AY118" s="309"/>
      <c r="AZ118" s="309"/>
      <c r="BA118" s="284"/>
      <c r="BB118" s="283" t="str">
        <f t="shared" ref="BB118" si="376">IF(BB117="","",IF(BB117&lt;=2,"A",IF(BB117&lt;=2.75,"B",IF(BB117&lt;=3.5,"C",IF(BB117&lt;=4.25,"D",IF(BB117&lt;=5,"E","F"))))))</f>
        <v/>
      </c>
      <c r="BC118" s="309"/>
      <c r="BD118" s="309"/>
      <c r="BE118" s="284"/>
      <c r="BF118" s="283" t="str">
        <f t="shared" ref="BF118" si="377">IF(BF117="","",IF(BF117&lt;=2,"A",IF(BF117&lt;=2.75,"B",IF(BF117&lt;=3.5,"C",IF(BF117&lt;=4.25,"D",IF(BF117&lt;=5,"E","F"))))))</f>
        <v/>
      </c>
      <c r="BG118" s="309"/>
      <c r="BH118" s="309"/>
      <c r="BI118" s="284"/>
      <c r="BJ118" s="283" t="str">
        <f t="shared" ref="BJ118" si="378">IF(BJ117="","",IF(BJ117&lt;=2,"A",IF(BJ117&lt;=2.75,"B",IF(BJ117&lt;=3.5,"C",IF(BJ117&lt;=4.25,"D",IF(BJ117&lt;=5,"E","F"))))))</f>
        <v/>
      </c>
      <c r="BK118" s="309"/>
      <c r="BL118" s="309"/>
      <c r="BM118" s="284"/>
      <c r="BN118" s="283" t="str">
        <f t="shared" ref="BN118" si="379">IF(BN117="","",IF(BN117&lt;=2,"A",IF(BN117&lt;=2.75,"B",IF(BN117&lt;=3.5,"C",IF(BN117&lt;=4.25,"D",IF(BN117&lt;=5,"E","F"))))))</f>
        <v/>
      </c>
      <c r="BO118" s="309"/>
      <c r="BP118" s="309"/>
      <c r="BQ118" s="284"/>
      <c r="BR118" s="283" t="str">
        <f t="shared" ref="BR118" si="380">IF(BR117="","",IF(BR117&lt;=2,"A",IF(BR117&lt;=2.75,"B",IF(BR117&lt;=3.5,"C",IF(BR117&lt;=4.25,"D",IF(BR117&lt;=5,"E","F"))))))</f>
        <v/>
      </c>
      <c r="BS118" s="309"/>
      <c r="BT118" s="309"/>
      <c r="BU118" s="284"/>
      <c r="BV118" s="283" t="str">
        <f t="shared" ref="BV118" si="381">IF(BV117="","",IF(BV117&lt;=2,"A",IF(BV117&lt;=2.75,"B",IF(BV117&lt;=3.5,"C",IF(BV117&lt;=4.25,"D",IF(BV117&lt;=5,"E","F"))))))</f>
        <v/>
      </c>
      <c r="BW118" s="309"/>
      <c r="BX118" s="309"/>
      <c r="BY118" s="284"/>
      <c r="BZ118" s="283" t="str">
        <f t="shared" ref="BZ118" si="382">IF(BZ117="","",IF(BZ117&lt;=2,"A",IF(BZ117&lt;=2.75,"B",IF(BZ117&lt;=3.5,"C",IF(BZ117&lt;=4.25,"D",IF(BZ117&lt;=5,"E","F"))))))</f>
        <v/>
      </c>
      <c r="CA118" s="309"/>
      <c r="CB118" s="309"/>
      <c r="CC118" s="284"/>
      <c r="CD118" s="283" t="str">
        <f t="shared" ref="CD118" si="383">IF(CD117="","",IF(CD117&lt;=2,"A",IF(CD117&lt;=2.75,"B",IF(CD117&lt;=3.5,"C",IF(CD117&lt;=4.25,"D",IF(CD117&lt;=5,"E","F"))))))</f>
        <v/>
      </c>
      <c r="CE118" s="309"/>
      <c r="CF118" s="309"/>
      <c r="CG118" s="284"/>
      <c r="CH118" s="283" t="str">
        <f t="shared" ref="CH118" si="384">IF(CH117="","",IF(CH117&lt;=2,"A",IF(CH117&lt;=2.75,"B",IF(CH117&lt;=3.5,"C",IF(CH117&lt;=4.25,"D",IF(CH117&lt;=5,"E","F"))))))</f>
        <v/>
      </c>
      <c r="CI118" s="309"/>
      <c r="CJ118" s="309"/>
      <c r="CK118" s="284"/>
      <c r="CL118" s="69" t="str">
        <f>IF(CL117&lt;=2,"A",IF(CL117&lt;=2.75,"B",IF(CL117&lt;=3.5,"C",IF(CL117&lt;=4.25,"D",IF(CL117&lt;=5,"E","F")))))</f>
        <v>C</v>
      </c>
      <c r="CM118" s="28"/>
    </row>
    <row r="119" spans="2:91" ht="14.25" thickBot="1" x14ac:dyDescent="0.3">
      <c r="B119" s="63"/>
      <c r="C119" s="30"/>
      <c r="D119" s="64"/>
      <c r="E119" s="135"/>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c r="CK119" s="30"/>
      <c r="CL119" s="30"/>
      <c r="CM119" s="31"/>
    </row>
    <row r="121" spans="2:91" ht="25.5" x14ac:dyDescent="0.25">
      <c r="C121" s="21" t="s">
        <v>199</v>
      </c>
      <c r="D121" s="142" t="s">
        <v>229</v>
      </c>
    </row>
    <row r="122" spans="2:91" ht="15.75" x14ac:dyDescent="0.25">
      <c r="C122" s="21" t="s">
        <v>200</v>
      </c>
      <c r="D122" s="20" t="s">
        <v>204</v>
      </c>
    </row>
    <row r="123" spans="2:91" ht="15.75" x14ac:dyDescent="0.25">
      <c r="C123" s="21" t="s">
        <v>201</v>
      </c>
      <c r="D123" s="20" t="s">
        <v>205</v>
      </c>
    </row>
  </sheetData>
  <mergeCells count="218">
    <mergeCell ref="C112:D112"/>
    <mergeCell ref="F112:I112"/>
    <mergeCell ref="J114:M114"/>
    <mergeCell ref="F114:I114"/>
    <mergeCell ref="F115:I115"/>
    <mergeCell ref="F117:I117"/>
    <mergeCell ref="F118:I118"/>
    <mergeCell ref="C3:D4"/>
    <mergeCell ref="F3:I3"/>
    <mergeCell ref="C7:D7"/>
    <mergeCell ref="F7:I7"/>
    <mergeCell ref="C46:D46"/>
    <mergeCell ref="F46:I46"/>
    <mergeCell ref="F68:I68"/>
    <mergeCell ref="F110:I110"/>
    <mergeCell ref="J115:M115"/>
    <mergeCell ref="J117:M117"/>
    <mergeCell ref="J118:M118"/>
    <mergeCell ref="E3:E4"/>
    <mergeCell ref="C74:D74"/>
    <mergeCell ref="C86:D86"/>
    <mergeCell ref="N3:Q3"/>
    <mergeCell ref="N7:Q7"/>
    <mergeCell ref="N46:Q46"/>
    <mergeCell ref="N68:Q68"/>
    <mergeCell ref="N110:Q110"/>
    <mergeCell ref="N112:Q112"/>
    <mergeCell ref="N114:Q114"/>
    <mergeCell ref="N115:Q115"/>
    <mergeCell ref="N117:Q117"/>
    <mergeCell ref="N118:Q118"/>
    <mergeCell ref="J3:M3"/>
    <mergeCell ref="J7:M7"/>
    <mergeCell ref="J46:M46"/>
    <mergeCell ref="J68:M68"/>
    <mergeCell ref="J110:M110"/>
    <mergeCell ref="J112:M112"/>
    <mergeCell ref="R118:U118"/>
    <mergeCell ref="V3:Y3"/>
    <mergeCell ref="V7:Y7"/>
    <mergeCell ref="V46:Y46"/>
    <mergeCell ref="V68:Y68"/>
    <mergeCell ref="V110:Y110"/>
    <mergeCell ref="V112:Y112"/>
    <mergeCell ref="V114:Y114"/>
    <mergeCell ref="V115:Y115"/>
    <mergeCell ref="V117:Y117"/>
    <mergeCell ref="V118:Y118"/>
    <mergeCell ref="R3:U3"/>
    <mergeCell ref="R7:U7"/>
    <mergeCell ref="R46:U46"/>
    <mergeCell ref="R68:U68"/>
    <mergeCell ref="R110:U110"/>
    <mergeCell ref="R112:U112"/>
    <mergeCell ref="R114:U114"/>
    <mergeCell ref="R115:U115"/>
    <mergeCell ref="R117:U117"/>
    <mergeCell ref="Z118:AC118"/>
    <mergeCell ref="AD3:AG3"/>
    <mergeCell ref="AD7:AG7"/>
    <mergeCell ref="AD46:AG46"/>
    <mergeCell ref="AD68:AG68"/>
    <mergeCell ref="AD110:AG110"/>
    <mergeCell ref="AD112:AG112"/>
    <mergeCell ref="AD114:AG114"/>
    <mergeCell ref="AD115:AG115"/>
    <mergeCell ref="AD117:AG117"/>
    <mergeCell ref="AD118:AG118"/>
    <mergeCell ref="Z3:AC3"/>
    <mergeCell ref="Z7:AC7"/>
    <mergeCell ref="Z46:AC46"/>
    <mergeCell ref="Z68:AC68"/>
    <mergeCell ref="Z110:AC110"/>
    <mergeCell ref="Z112:AC112"/>
    <mergeCell ref="Z114:AC114"/>
    <mergeCell ref="Z115:AC115"/>
    <mergeCell ref="Z117:AC117"/>
    <mergeCell ref="AH118:AK118"/>
    <mergeCell ref="AL3:AO3"/>
    <mergeCell ref="AL7:AO7"/>
    <mergeCell ref="AL46:AO46"/>
    <mergeCell ref="AL68:AO68"/>
    <mergeCell ref="AL110:AO110"/>
    <mergeCell ref="AL112:AO112"/>
    <mergeCell ref="AL114:AO114"/>
    <mergeCell ref="AL115:AO115"/>
    <mergeCell ref="AL117:AO117"/>
    <mergeCell ref="AL118:AO118"/>
    <mergeCell ref="AH3:AK3"/>
    <mergeCell ref="AH7:AK7"/>
    <mergeCell ref="AH46:AK46"/>
    <mergeCell ref="AH68:AK68"/>
    <mergeCell ref="AH110:AK110"/>
    <mergeCell ref="AH112:AK112"/>
    <mergeCell ref="AH114:AK114"/>
    <mergeCell ref="AH115:AK115"/>
    <mergeCell ref="AH117:AK117"/>
    <mergeCell ref="AP118:AS118"/>
    <mergeCell ref="AT3:AW3"/>
    <mergeCell ref="AT7:AW7"/>
    <mergeCell ref="AT46:AW46"/>
    <mergeCell ref="AT68:AW68"/>
    <mergeCell ref="AT110:AW110"/>
    <mergeCell ref="AT112:AW112"/>
    <mergeCell ref="AT114:AW114"/>
    <mergeCell ref="AT115:AW115"/>
    <mergeCell ref="AT117:AW117"/>
    <mergeCell ref="AT118:AW118"/>
    <mergeCell ref="AP3:AS3"/>
    <mergeCell ref="AP7:AS7"/>
    <mergeCell ref="AP46:AS46"/>
    <mergeCell ref="AP68:AS68"/>
    <mergeCell ref="AP110:AS110"/>
    <mergeCell ref="AP112:AS112"/>
    <mergeCell ref="AP114:AS114"/>
    <mergeCell ref="AP115:AS115"/>
    <mergeCell ref="AP117:AS117"/>
    <mergeCell ref="AX118:BA118"/>
    <mergeCell ref="BB3:BE3"/>
    <mergeCell ref="BB7:BE7"/>
    <mergeCell ref="BB46:BE46"/>
    <mergeCell ref="BB68:BE68"/>
    <mergeCell ref="BB110:BE110"/>
    <mergeCell ref="BB112:BE112"/>
    <mergeCell ref="BB114:BE114"/>
    <mergeCell ref="BB115:BE115"/>
    <mergeCell ref="BB117:BE117"/>
    <mergeCell ref="BB118:BE118"/>
    <mergeCell ref="AX3:BA3"/>
    <mergeCell ref="AX7:BA7"/>
    <mergeCell ref="AX46:BA46"/>
    <mergeCell ref="AX68:BA68"/>
    <mergeCell ref="AX110:BA110"/>
    <mergeCell ref="AX112:BA112"/>
    <mergeCell ref="AX114:BA114"/>
    <mergeCell ref="AX115:BA115"/>
    <mergeCell ref="AX117:BA117"/>
    <mergeCell ref="BF118:BI118"/>
    <mergeCell ref="BJ3:BM3"/>
    <mergeCell ref="BJ7:BM7"/>
    <mergeCell ref="BJ46:BM46"/>
    <mergeCell ref="BJ68:BM68"/>
    <mergeCell ref="BJ110:BM110"/>
    <mergeCell ref="BJ112:BM112"/>
    <mergeCell ref="BJ114:BM114"/>
    <mergeCell ref="BJ115:BM115"/>
    <mergeCell ref="BJ117:BM117"/>
    <mergeCell ref="BJ118:BM118"/>
    <mergeCell ref="BF3:BI3"/>
    <mergeCell ref="BF7:BI7"/>
    <mergeCell ref="BF46:BI46"/>
    <mergeCell ref="BF68:BI68"/>
    <mergeCell ref="BF110:BI110"/>
    <mergeCell ref="BF112:BI112"/>
    <mergeCell ref="BF114:BI114"/>
    <mergeCell ref="BF115:BI115"/>
    <mergeCell ref="BF117:BI117"/>
    <mergeCell ref="BN118:BQ118"/>
    <mergeCell ref="BR3:BU3"/>
    <mergeCell ref="BR7:BU7"/>
    <mergeCell ref="BR46:BU46"/>
    <mergeCell ref="BR68:BU68"/>
    <mergeCell ref="BR110:BU110"/>
    <mergeCell ref="BR112:BU112"/>
    <mergeCell ref="BR114:BU114"/>
    <mergeCell ref="BR115:BU115"/>
    <mergeCell ref="BR117:BU117"/>
    <mergeCell ref="BR118:BU118"/>
    <mergeCell ref="BN3:BQ3"/>
    <mergeCell ref="BN7:BQ7"/>
    <mergeCell ref="BN46:BQ46"/>
    <mergeCell ref="BN68:BQ68"/>
    <mergeCell ref="BN110:BQ110"/>
    <mergeCell ref="BN112:BQ112"/>
    <mergeCell ref="BN114:BQ114"/>
    <mergeCell ref="BN115:BQ115"/>
    <mergeCell ref="BN117:BQ117"/>
    <mergeCell ref="BV118:BY118"/>
    <mergeCell ref="BZ3:CC3"/>
    <mergeCell ref="BZ7:CC7"/>
    <mergeCell ref="BZ46:CC46"/>
    <mergeCell ref="BZ68:CC68"/>
    <mergeCell ref="BZ110:CC110"/>
    <mergeCell ref="BZ112:CC112"/>
    <mergeCell ref="BZ114:CC114"/>
    <mergeCell ref="BZ115:CC115"/>
    <mergeCell ref="BZ117:CC117"/>
    <mergeCell ref="BZ118:CC118"/>
    <mergeCell ref="BV3:BY3"/>
    <mergeCell ref="BV7:BY7"/>
    <mergeCell ref="BV46:BY46"/>
    <mergeCell ref="BV68:BY68"/>
    <mergeCell ref="BV110:BY110"/>
    <mergeCell ref="BV112:BY112"/>
    <mergeCell ref="BV114:BY114"/>
    <mergeCell ref="BV115:BY115"/>
    <mergeCell ref="BV117:BY117"/>
    <mergeCell ref="CH118:CK118"/>
    <mergeCell ref="CL3:CL5"/>
    <mergeCell ref="CD114:CG114"/>
    <mergeCell ref="CD115:CG115"/>
    <mergeCell ref="CD117:CG117"/>
    <mergeCell ref="CD118:CG118"/>
    <mergeCell ref="CH3:CK3"/>
    <mergeCell ref="CH7:CK7"/>
    <mergeCell ref="CH46:CK46"/>
    <mergeCell ref="CH68:CK68"/>
    <mergeCell ref="CH110:CK110"/>
    <mergeCell ref="CH112:CK112"/>
    <mergeCell ref="CD3:CG3"/>
    <mergeCell ref="CD7:CG7"/>
    <mergeCell ref="CD46:CG46"/>
    <mergeCell ref="CD68:CG68"/>
    <mergeCell ref="CD110:CG110"/>
    <mergeCell ref="CD112:CG112"/>
    <mergeCell ref="CH114:CK114"/>
    <mergeCell ref="CH115:CK115"/>
    <mergeCell ref="CH117:CK117"/>
  </mergeCells>
  <dataValidations count="4">
    <dataValidation type="list" allowBlank="1" showInputMessage="1" showErrorMessage="1" sqref="E43:CK44"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2" xr:uid="{AB79CDA3-FCBB-483B-8A3D-CE3BB4F5D7D4}">
      <formula1>"Signalized, Stop, Free"</formula1>
    </dataValidation>
    <dataValidation type="list" allowBlank="1" showInputMessage="1" showErrorMessage="1" sqref="F42:CK42"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ignoredErrors>
    <ignoredError sqref="G16" formula="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314" t="s">
        <v>240</v>
      </c>
      <c r="C2" s="315"/>
      <c r="D2" s="314" t="s">
        <v>241</v>
      </c>
      <c r="E2" s="315"/>
    </row>
    <row r="3" spans="2:5" x14ac:dyDescent="0.25">
      <c r="B3" s="4"/>
      <c r="C3" s="8" t="s">
        <v>115</v>
      </c>
      <c r="D3" s="4"/>
      <c r="E3" s="8" t="s">
        <v>115</v>
      </c>
    </row>
    <row r="4" spans="2:5" x14ac:dyDescent="0.25">
      <c r="B4" s="151"/>
      <c r="C4" s="152" t="s">
        <v>88</v>
      </c>
      <c r="D4" s="153" t="s">
        <v>145</v>
      </c>
      <c r="E4" s="152" t="s">
        <v>146</v>
      </c>
    </row>
    <row r="5" spans="2:5" x14ac:dyDescent="0.25">
      <c r="B5" s="153" t="s">
        <v>122</v>
      </c>
      <c r="C5" s="152" t="s">
        <v>17</v>
      </c>
      <c r="D5" s="153" t="s">
        <v>117</v>
      </c>
      <c r="E5" s="152" t="s">
        <v>173</v>
      </c>
    </row>
    <row r="6" spans="2:5" x14ac:dyDescent="0.25">
      <c r="B6" s="153" t="s">
        <v>108</v>
      </c>
      <c r="C6" s="152" t="s">
        <v>90</v>
      </c>
      <c r="D6" s="153" t="s">
        <v>147</v>
      </c>
      <c r="E6" s="152" t="s">
        <v>148</v>
      </c>
    </row>
    <row r="7" spans="2:5" x14ac:dyDescent="0.25">
      <c r="B7" s="153" t="s">
        <v>31</v>
      </c>
      <c r="C7" s="152" t="s">
        <v>18</v>
      </c>
      <c r="D7" s="153" t="s">
        <v>152</v>
      </c>
      <c r="E7" s="152" t="s">
        <v>242</v>
      </c>
    </row>
    <row r="8" spans="2:5" x14ac:dyDescent="0.25">
      <c r="B8" s="153" t="s">
        <v>117</v>
      </c>
      <c r="C8" s="152" t="s">
        <v>118</v>
      </c>
      <c r="D8" s="153" t="s">
        <v>151</v>
      </c>
      <c r="E8" s="152" t="s">
        <v>156</v>
      </c>
    </row>
    <row r="9" spans="2:5" x14ac:dyDescent="0.25">
      <c r="B9" s="153" t="s">
        <v>25</v>
      </c>
      <c r="C9" s="152" t="s">
        <v>243</v>
      </c>
      <c r="D9" s="153" t="s">
        <v>169</v>
      </c>
      <c r="E9" s="152" t="s">
        <v>157</v>
      </c>
    </row>
    <row r="10" spans="2:5" x14ac:dyDescent="0.25">
      <c r="B10" s="153" t="s">
        <v>26</v>
      </c>
      <c r="C10" s="152" t="s">
        <v>11</v>
      </c>
      <c r="D10" s="153" t="s">
        <v>244</v>
      </c>
      <c r="E10" s="152" t="s">
        <v>153</v>
      </c>
    </row>
    <row r="11" spans="2:5" x14ac:dyDescent="0.25">
      <c r="B11" s="153" t="s">
        <v>28</v>
      </c>
      <c r="C11" s="152" t="s">
        <v>15</v>
      </c>
      <c r="D11" s="153" t="s">
        <v>154</v>
      </c>
      <c r="E11" s="152" t="s">
        <v>155</v>
      </c>
    </row>
    <row r="12" spans="2:5" x14ac:dyDescent="0.25">
      <c r="B12" s="153" t="s">
        <v>29</v>
      </c>
      <c r="C12" s="152" t="s">
        <v>22</v>
      </c>
      <c r="D12" s="153" t="s">
        <v>158</v>
      </c>
      <c r="E12" s="152" t="s">
        <v>159</v>
      </c>
    </row>
    <row r="13" spans="2:5" x14ac:dyDescent="0.25">
      <c r="B13" s="153" t="s">
        <v>30</v>
      </c>
      <c r="C13" s="152" t="s">
        <v>16</v>
      </c>
      <c r="D13" s="153" t="s">
        <v>160</v>
      </c>
      <c r="E13" s="152" t="s">
        <v>161</v>
      </c>
    </row>
    <row r="14" spans="2:5" x14ac:dyDescent="0.25">
      <c r="B14" s="153" t="s">
        <v>27</v>
      </c>
      <c r="C14" s="152" t="s">
        <v>14</v>
      </c>
      <c r="D14" s="153" t="s">
        <v>162</v>
      </c>
      <c r="E14" s="152" t="s">
        <v>164</v>
      </c>
    </row>
    <row r="15" spans="2:5" x14ac:dyDescent="0.25">
      <c r="B15" s="153" t="s">
        <v>121</v>
      </c>
      <c r="C15" s="152" t="s">
        <v>23</v>
      </c>
      <c r="D15" s="153" t="s">
        <v>170</v>
      </c>
      <c r="E15" s="152" t="s">
        <v>171</v>
      </c>
    </row>
    <row r="16" spans="2:5" x14ac:dyDescent="0.25">
      <c r="B16" s="153" t="s">
        <v>116</v>
      </c>
      <c r="C16" s="152" t="s">
        <v>91</v>
      </c>
      <c r="D16" s="153" t="s">
        <v>28</v>
      </c>
      <c r="E16" s="152" t="s">
        <v>15</v>
      </c>
    </row>
    <row r="17" spans="2:5" x14ac:dyDescent="0.25">
      <c r="B17" s="153"/>
      <c r="C17" s="152" t="s">
        <v>245</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172</v>
      </c>
      <c r="D20" s="153" t="s">
        <v>29</v>
      </c>
      <c r="E20" s="152" t="s">
        <v>22</v>
      </c>
    </row>
    <row r="21" spans="2:5" x14ac:dyDescent="0.25">
      <c r="B21" s="4"/>
      <c r="C21" s="8" t="s">
        <v>21</v>
      </c>
      <c r="D21" s="154"/>
      <c r="E21" s="155" t="s">
        <v>172</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 sqref="C2"/>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246</v>
      </c>
      <c r="C2" s="157" t="s">
        <v>247</v>
      </c>
      <c r="D2" s="157" t="s">
        <v>248</v>
      </c>
    </row>
    <row r="3" spans="2:4" ht="25.5" x14ac:dyDescent="0.25">
      <c r="B3" s="159" t="s">
        <v>249</v>
      </c>
      <c r="C3" s="160" t="s">
        <v>250</v>
      </c>
      <c r="D3" s="161" t="s">
        <v>251</v>
      </c>
    </row>
    <row r="4" spans="2:4" ht="38.25" x14ac:dyDescent="0.25">
      <c r="B4" s="159" t="s">
        <v>252</v>
      </c>
      <c r="C4" s="160" t="s">
        <v>253</v>
      </c>
      <c r="D4" s="161" t="s">
        <v>251</v>
      </c>
    </row>
    <row r="5" spans="2:4" ht="38.25" x14ac:dyDescent="0.25">
      <c r="B5" s="159" t="s">
        <v>254</v>
      </c>
      <c r="C5" s="160" t="s">
        <v>255</v>
      </c>
      <c r="D5" s="160" t="s">
        <v>256</v>
      </c>
    </row>
    <row r="6" spans="2:4" ht="51" x14ac:dyDescent="0.25">
      <c r="B6" s="159" t="s">
        <v>257</v>
      </c>
      <c r="C6" s="160" t="s">
        <v>258</v>
      </c>
      <c r="D6" s="160" t="s">
        <v>259</v>
      </c>
    </row>
    <row r="7" spans="2:4" ht="38.1" customHeight="1" x14ac:dyDescent="0.25">
      <c r="B7" s="159" t="s">
        <v>260</v>
      </c>
      <c r="C7" s="160" t="s">
        <v>261</v>
      </c>
      <c r="D7" s="160" t="s">
        <v>262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A5E12-3CC0-4582-BBB4-F772CE0E6146}">
  <sheetPr codeName="Sheet8"/>
  <dimension ref="A2:S109"/>
  <sheetViews>
    <sheetView zoomScaleNormal="100" workbookViewId="0">
      <selection activeCell="L10" sqref="L10"/>
    </sheetView>
  </sheetViews>
  <sheetFormatPr defaultColWidth="8.875" defaultRowHeight="15.75" x14ac:dyDescent="0.25"/>
  <cols>
    <col min="1" max="5" width="9" style="181"/>
    <col min="7" max="10" width="9" style="181"/>
  </cols>
  <sheetData>
    <row r="2" spans="1:19" x14ac:dyDescent="0.25">
      <c r="B2"/>
      <c r="C2"/>
      <c r="D2"/>
      <c r="E2"/>
      <c r="G2"/>
      <c r="H2"/>
      <c r="I2"/>
      <c r="J2"/>
    </row>
    <row r="3" spans="1:19" x14ac:dyDescent="0.25">
      <c r="A3"/>
      <c r="B3"/>
      <c r="C3"/>
      <c r="D3"/>
      <c r="E3"/>
      <c r="G3"/>
      <c r="H3"/>
      <c r="I3"/>
      <c r="J3"/>
    </row>
    <row r="4" spans="1:19" x14ac:dyDescent="0.25">
      <c r="K4" t="s">
        <v>559</v>
      </c>
      <c r="L4" s="240" t="s">
        <v>550</v>
      </c>
    </row>
    <row r="5" spans="1:19" x14ac:dyDescent="0.25">
      <c r="K5" t="s">
        <v>560</v>
      </c>
      <c r="L5" s="240" t="s">
        <v>558</v>
      </c>
      <c r="Q5" s="240"/>
    </row>
    <row r="9" spans="1:19" x14ac:dyDescent="0.25">
      <c r="A9" s="181" t="s">
        <v>553</v>
      </c>
      <c r="C9" s="181" t="s">
        <v>554</v>
      </c>
      <c r="F9" t="s">
        <v>557</v>
      </c>
      <c r="G9" s="181" t="s">
        <v>555</v>
      </c>
      <c r="H9" s="181" t="s">
        <v>556</v>
      </c>
      <c r="I9" s="181" t="s">
        <v>555</v>
      </c>
      <c r="J9" s="181" t="s">
        <v>556</v>
      </c>
    </row>
    <row r="10" spans="1:19" x14ac:dyDescent="0.25">
      <c r="A10" s="181">
        <v>0</v>
      </c>
      <c r="B10" s="181" t="s">
        <v>231</v>
      </c>
      <c r="C10" s="181">
        <f t="shared" ref="C10:C41" si="0">COUNTIF($G$10:$G$108,A10)+COUNTIF($H$10:$H$108,A10)</f>
        <v>0</v>
      </c>
      <c r="F10">
        <v>1</v>
      </c>
      <c r="G10" s="181">
        <v>1</v>
      </c>
      <c r="H10" s="181">
        <v>4</v>
      </c>
      <c r="I10" s="181" t="str">
        <f t="shared" ref="I10:I39" si="1">INDEX($B$11:$B$109,G10,1)</f>
        <v>F</v>
      </c>
      <c r="J10" s="181" t="str">
        <f t="shared" ref="J10:J39" si="2">INDEX($B$11:$B$109,H10,1)</f>
        <v>I</v>
      </c>
      <c r="L10" t="str">
        <f>_xlfn.CONCAT("=INDEX(Intersections!",I10,"64:",J10,"64,1,MATCH(LEFT(",B10,"9,1)",",Intersections!",I10,"5:",J10,"5,0))")</f>
        <v>=INDEX(Intersections!F64:I64,1,MATCH(LEFT(E9,1),Intersections!F5:I5,0))</v>
      </c>
      <c r="S10" t="s">
        <v>558</v>
      </c>
    </row>
    <row r="11" spans="1:19" x14ac:dyDescent="0.25">
      <c r="A11" s="181">
        <v>1</v>
      </c>
      <c r="B11" s="181" t="s">
        <v>341</v>
      </c>
      <c r="C11" s="181">
        <f t="shared" si="0"/>
        <v>2</v>
      </c>
      <c r="F11">
        <v>1</v>
      </c>
      <c r="G11" s="181">
        <v>1</v>
      </c>
      <c r="H11" s="181">
        <v>4</v>
      </c>
      <c r="I11" s="181" t="str">
        <f t="shared" si="1"/>
        <v>F</v>
      </c>
      <c r="J11" s="181" t="str">
        <f t="shared" si="2"/>
        <v>I</v>
      </c>
      <c r="L11" t="str">
        <f t="shared" ref="L11:L51" si="3">_xlfn.CONCAT("=INDEX(Intersections!",I11,"64:",J11,"64,1,MATCH(LEFT(",B11,"9,1)",",Intersections!",I11,"5:",J11,"5,0))")</f>
        <v>=INDEX(Intersections!F64:I64,1,MATCH(LEFT(F9,1),Intersections!F5:I5,0))</v>
      </c>
      <c r="S11" t="s">
        <v>561</v>
      </c>
    </row>
    <row r="12" spans="1:19" x14ac:dyDescent="0.25">
      <c r="A12" s="181">
        <v>2</v>
      </c>
      <c r="B12" s="181" t="s">
        <v>338</v>
      </c>
      <c r="C12" s="181">
        <f t="shared" si="0"/>
        <v>0</v>
      </c>
      <c r="F12">
        <f>F11+1</f>
        <v>2</v>
      </c>
      <c r="G12" s="181">
        <f t="shared" ref="G12:H38" si="4">G10+4</f>
        <v>5</v>
      </c>
      <c r="H12" s="181">
        <f t="shared" si="4"/>
        <v>8</v>
      </c>
      <c r="I12" s="181" t="str">
        <f t="shared" si="1"/>
        <v>J</v>
      </c>
      <c r="J12" s="181" t="str">
        <f t="shared" si="2"/>
        <v>M</v>
      </c>
      <c r="L12" t="str">
        <f t="shared" si="3"/>
        <v>=INDEX(Intersections!J64:M64,1,MATCH(LEFT(G9,1),Intersections!J5:M5,0))</v>
      </c>
      <c r="S12" t="s">
        <v>562</v>
      </c>
    </row>
    <row r="13" spans="1:19" x14ac:dyDescent="0.25">
      <c r="A13" s="181">
        <v>3</v>
      </c>
      <c r="B13" s="181" t="s">
        <v>342</v>
      </c>
      <c r="C13" s="181">
        <f t="shared" si="0"/>
        <v>0</v>
      </c>
      <c r="F13">
        <f>F11+1</f>
        <v>2</v>
      </c>
      <c r="G13" s="181">
        <f t="shared" si="4"/>
        <v>5</v>
      </c>
      <c r="H13" s="181">
        <f t="shared" si="4"/>
        <v>8</v>
      </c>
      <c r="I13" s="181" t="str">
        <f t="shared" si="1"/>
        <v>J</v>
      </c>
      <c r="J13" s="181" t="str">
        <f t="shared" si="2"/>
        <v>M</v>
      </c>
      <c r="L13" t="str">
        <f t="shared" si="3"/>
        <v>=INDEX(Intersections!J64:M64,1,MATCH(LEFT(H9,1),Intersections!J5:M5,0))</v>
      </c>
      <c r="S13" t="s">
        <v>563</v>
      </c>
    </row>
    <row r="14" spans="1:19" x14ac:dyDescent="0.25">
      <c r="A14" s="181">
        <v>4</v>
      </c>
      <c r="B14" s="181" t="s">
        <v>339</v>
      </c>
      <c r="C14" s="181">
        <f t="shared" si="0"/>
        <v>2</v>
      </c>
      <c r="F14">
        <f>F13+1</f>
        <v>3</v>
      </c>
      <c r="G14" s="181">
        <f t="shared" si="4"/>
        <v>9</v>
      </c>
      <c r="H14" s="181">
        <f t="shared" si="4"/>
        <v>12</v>
      </c>
      <c r="I14" s="181" t="str">
        <f t="shared" si="1"/>
        <v>N</v>
      </c>
      <c r="J14" s="181" t="str">
        <f t="shared" si="2"/>
        <v>Q</v>
      </c>
      <c r="L14" t="str">
        <f t="shared" si="3"/>
        <v>=INDEX(Intersections!N64:Q64,1,MATCH(LEFT(I9,1),Intersections!N5:Q5,0))</v>
      </c>
      <c r="S14" t="s">
        <v>564</v>
      </c>
    </row>
    <row r="15" spans="1:19" x14ac:dyDescent="0.25">
      <c r="A15" s="181">
        <v>5</v>
      </c>
      <c r="B15" s="181" t="s">
        <v>343</v>
      </c>
      <c r="C15" s="181">
        <f t="shared" si="0"/>
        <v>2</v>
      </c>
      <c r="F15">
        <f>F13+1</f>
        <v>3</v>
      </c>
      <c r="G15" s="181">
        <f t="shared" si="4"/>
        <v>9</v>
      </c>
      <c r="H15" s="181">
        <f t="shared" si="4"/>
        <v>12</v>
      </c>
      <c r="I15" s="181" t="str">
        <f t="shared" si="1"/>
        <v>N</v>
      </c>
      <c r="J15" s="181" t="str">
        <f t="shared" si="2"/>
        <v>Q</v>
      </c>
      <c r="L15" t="str">
        <f t="shared" si="3"/>
        <v>=INDEX(Intersections!N64:Q64,1,MATCH(LEFT(J9,1),Intersections!N5:Q5,0))</v>
      </c>
      <c r="S15" t="s">
        <v>565</v>
      </c>
    </row>
    <row r="16" spans="1:19" x14ac:dyDescent="0.25">
      <c r="A16" s="181">
        <v>6</v>
      </c>
      <c r="B16" s="181" t="s">
        <v>340</v>
      </c>
      <c r="C16" s="181">
        <f t="shared" si="0"/>
        <v>0</v>
      </c>
      <c r="F16">
        <f t="shared" ref="F16" si="5">F15+1</f>
        <v>4</v>
      </c>
      <c r="G16" s="181">
        <f t="shared" si="4"/>
        <v>13</v>
      </c>
      <c r="H16" s="181">
        <f t="shared" si="4"/>
        <v>16</v>
      </c>
      <c r="I16" s="181" t="str">
        <f t="shared" si="1"/>
        <v>R</v>
      </c>
      <c r="J16" s="181" t="str">
        <f t="shared" si="2"/>
        <v>U</v>
      </c>
      <c r="L16" t="str">
        <f t="shared" si="3"/>
        <v>=INDEX(Intersections!R64:U64,1,MATCH(LEFT(K9,1),Intersections!R5:U5,0))</v>
      </c>
      <c r="S16" t="s">
        <v>566</v>
      </c>
    </row>
    <row r="17" spans="1:19" x14ac:dyDescent="0.25">
      <c r="A17" s="181">
        <v>7</v>
      </c>
      <c r="B17" s="181" t="s">
        <v>344</v>
      </c>
      <c r="C17" s="181">
        <f t="shared" si="0"/>
        <v>0</v>
      </c>
      <c r="F17">
        <f t="shared" ref="F17" si="6">F15+1</f>
        <v>4</v>
      </c>
      <c r="G17" s="181">
        <f t="shared" si="4"/>
        <v>13</v>
      </c>
      <c r="H17" s="181">
        <f t="shared" si="4"/>
        <v>16</v>
      </c>
      <c r="I17" s="181" t="str">
        <f t="shared" si="1"/>
        <v>R</v>
      </c>
      <c r="J17" s="181" t="str">
        <f t="shared" si="2"/>
        <v>U</v>
      </c>
      <c r="L17" t="str">
        <f t="shared" si="3"/>
        <v>=INDEX(Intersections!R64:U64,1,MATCH(LEFT(L9,1),Intersections!R5:U5,0))</v>
      </c>
      <c r="S17" t="s">
        <v>567</v>
      </c>
    </row>
    <row r="18" spans="1:19" x14ac:dyDescent="0.25">
      <c r="A18" s="181">
        <v>8</v>
      </c>
      <c r="B18" s="181" t="s">
        <v>345</v>
      </c>
      <c r="C18" s="181">
        <f t="shared" si="0"/>
        <v>2</v>
      </c>
      <c r="F18">
        <f t="shared" ref="F18" si="7">F17+1</f>
        <v>5</v>
      </c>
      <c r="G18" s="181">
        <f t="shared" si="4"/>
        <v>17</v>
      </c>
      <c r="H18" s="181">
        <f t="shared" si="4"/>
        <v>20</v>
      </c>
      <c r="I18" s="181" t="str">
        <f t="shared" si="1"/>
        <v>V</v>
      </c>
      <c r="J18" s="181" t="str">
        <f t="shared" si="2"/>
        <v>Y</v>
      </c>
      <c r="L18" t="str">
        <f t="shared" si="3"/>
        <v>=INDEX(Intersections!V64:Y64,1,MATCH(LEFT(M9,1),Intersections!V5:Y5,0))</v>
      </c>
      <c r="S18" t="s">
        <v>568</v>
      </c>
    </row>
    <row r="19" spans="1:19" x14ac:dyDescent="0.25">
      <c r="A19" s="181">
        <v>9</v>
      </c>
      <c r="B19" s="181" t="s">
        <v>230</v>
      </c>
      <c r="C19" s="181">
        <f t="shared" si="0"/>
        <v>2</v>
      </c>
      <c r="F19">
        <f t="shared" ref="F19" si="8">F17+1</f>
        <v>5</v>
      </c>
      <c r="G19" s="181">
        <f t="shared" si="4"/>
        <v>17</v>
      </c>
      <c r="H19" s="181">
        <f t="shared" si="4"/>
        <v>20</v>
      </c>
      <c r="I19" s="181" t="str">
        <f t="shared" si="1"/>
        <v>V</v>
      </c>
      <c r="J19" s="181" t="str">
        <f t="shared" si="2"/>
        <v>Y</v>
      </c>
      <c r="L19" t="str">
        <f t="shared" si="3"/>
        <v>=INDEX(Intersections!V64:Y64,1,MATCH(LEFT(N9,1),Intersections!V5:Y5,0))</v>
      </c>
      <c r="S19" t="s">
        <v>569</v>
      </c>
    </row>
    <row r="20" spans="1:19" x14ac:dyDescent="0.25">
      <c r="A20" s="181">
        <v>10</v>
      </c>
      <c r="B20" s="181" t="s">
        <v>346</v>
      </c>
      <c r="C20" s="181">
        <f t="shared" si="0"/>
        <v>0</v>
      </c>
      <c r="F20">
        <f t="shared" ref="F20" si="9">F19+1</f>
        <v>6</v>
      </c>
      <c r="G20" s="181">
        <f t="shared" si="4"/>
        <v>21</v>
      </c>
      <c r="H20" s="181">
        <f t="shared" si="4"/>
        <v>24</v>
      </c>
      <c r="I20" s="181" t="str">
        <f t="shared" si="1"/>
        <v>Z</v>
      </c>
      <c r="J20" s="181" t="str">
        <f t="shared" si="2"/>
        <v>AC</v>
      </c>
      <c r="L20" t="str">
        <f t="shared" si="3"/>
        <v>=INDEX(Intersections!Z64:AC64,1,MATCH(LEFT(O9,1),Intersections!Z5:AC5,0))</v>
      </c>
      <c r="S20" t="s">
        <v>570</v>
      </c>
    </row>
    <row r="21" spans="1:19" x14ac:dyDescent="0.25">
      <c r="A21" s="181">
        <v>11</v>
      </c>
      <c r="B21" s="181" t="s">
        <v>347</v>
      </c>
      <c r="C21" s="181">
        <f t="shared" si="0"/>
        <v>0</v>
      </c>
      <c r="F21">
        <f t="shared" ref="F21" si="10">F19+1</f>
        <v>6</v>
      </c>
      <c r="G21" s="181">
        <f t="shared" si="4"/>
        <v>21</v>
      </c>
      <c r="H21" s="181">
        <f t="shared" si="4"/>
        <v>24</v>
      </c>
      <c r="I21" s="181" t="str">
        <f t="shared" si="1"/>
        <v>Z</v>
      </c>
      <c r="J21" s="181" t="str">
        <f t="shared" si="2"/>
        <v>AC</v>
      </c>
      <c r="L21" t="str">
        <f t="shared" si="3"/>
        <v>=INDEX(Intersections!Z64:AC64,1,MATCH(LEFT(P9,1),Intersections!Z5:AC5,0))</v>
      </c>
      <c r="S21" t="s">
        <v>571</v>
      </c>
    </row>
    <row r="22" spans="1:19" x14ac:dyDescent="0.25">
      <c r="A22" s="181">
        <v>12</v>
      </c>
      <c r="B22" s="181" t="s">
        <v>348</v>
      </c>
      <c r="C22" s="181">
        <f t="shared" si="0"/>
        <v>2</v>
      </c>
      <c r="F22">
        <f t="shared" ref="F22" si="11">F21+1</f>
        <v>7</v>
      </c>
      <c r="G22" s="181">
        <f t="shared" si="4"/>
        <v>25</v>
      </c>
      <c r="H22" s="181">
        <f t="shared" si="4"/>
        <v>28</v>
      </c>
      <c r="I22" s="181" t="str">
        <f t="shared" si="1"/>
        <v>AD</v>
      </c>
      <c r="J22" s="181" t="str">
        <f t="shared" si="2"/>
        <v>AG</v>
      </c>
      <c r="L22" t="str">
        <f t="shared" si="3"/>
        <v>=INDEX(Intersections!AD64:AG64,1,MATCH(LEFT(Q9,1),Intersections!AD5:AG5,0))</v>
      </c>
      <c r="S22" t="s">
        <v>572</v>
      </c>
    </row>
    <row r="23" spans="1:19" x14ac:dyDescent="0.25">
      <c r="A23" s="181">
        <v>13</v>
      </c>
      <c r="B23" s="181" t="s">
        <v>327</v>
      </c>
      <c r="C23" s="181">
        <f t="shared" si="0"/>
        <v>2</v>
      </c>
      <c r="F23">
        <f t="shared" ref="F23" si="12">F21+1</f>
        <v>7</v>
      </c>
      <c r="G23" s="181">
        <f t="shared" si="4"/>
        <v>25</v>
      </c>
      <c r="H23" s="181">
        <f t="shared" si="4"/>
        <v>28</v>
      </c>
      <c r="I23" s="181" t="str">
        <f t="shared" si="1"/>
        <v>AD</v>
      </c>
      <c r="J23" s="181" t="str">
        <f t="shared" si="2"/>
        <v>AG</v>
      </c>
      <c r="L23" t="str">
        <f t="shared" si="3"/>
        <v>=INDEX(Intersections!AD64:AG64,1,MATCH(LEFT(R9,1),Intersections!AD5:AG5,0))</v>
      </c>
      <c r="S23" t="s">
        <v>573</v>
      </c>
    </row>
    <row r="24" spans="1:19" x14ac:dyDescent="0.25">
      <c r="A24" s="181">
        <v>14</v>
      </c>
      <c r="B24" s="181" t="s">
        <v>5</v>
      </c>
      <c r="C24" s="181">
        <f t="shared" si="0"/>
        <v>0</v>
      </c>
      <c r="F24">
        <f t="shared" ref="F24" si="13">F23+1</f>
        <v>8</v>
      </c>
      <c r="G24" s="181">
        <f t="shared" si="4"/>
        <v>29</v>
      </c>
      <c r="H24" s="181">
        <f t="shared" si="4"/>
        <v>32</v>
      </c>
      <c r="I24" s="181" t="str">
        <f t="shared" si="1"/>
        <v>AH</v>
      </c>
      <c r="J24" s="181" t="str">
        <f t="shared" si="2"/>
        <v>AK</v>
      </c>
      <c r="L24" t="str">
        <f t="shared" si="3"/>
        <v>=INDEX(Intersections!AH64:AK64,1,MATCH(LEFT(S9,1),Intersections!AH5:AK5,0))</v>
      </c>
      <c r="S24" t="s">
        <v>574</v>
      </c>
    </row>
    <row r="25" spans="1:19" x14ac:dyDescent="0.25">
      <c r="A25" s="181">
        <v>15</v>
      </c>
      <c r="B25" s="181" t="s">
        <v>349</v>
      </c>
      <c r="C25" s="181">
        <f t="shared" si="0"/>
        <v>0</v>
      </c>
      <c r="F25">
        <f t="shared" ref="F25" si="14">F23+1</f>
        <v>8</v>
      </c>
      <c r="G25" s="181">
        <f t="shared" si="4"/>
        <v>29</v>
      </c>
      <c r="H25" s="181">
        <f t="shared" si="4"/>
        <v>32</v>
      </c>
      <c r="I25" s="181" t="str">
        <f t="shared" si="1"/>
        <v>AH</v>
      </c>
      <c r="J25" s="181" t="str">
        <f t="shared" si="2"/>
        <v>AK</v>
      </c>
      <c r="L25" t="str">
        <f t="shared" si="3"/>
        <v>=INDEX(Intersections!AH64:AK64,1,MATCH(LEFT(T9,1),Intersections!AH5:AK5,0))</v>
      </c>
      <c r="S25" t="s">
        <v>575</v>
      </c>
    </row>
    <row r="26" spans="1:19" x14ac:dyDescent="0.25">
      <c r="A26" s="181">
        <v>16</v>
      </c>
      <c r="B26" s="181" t="s">
        <v>350</v>
      </c>
      <c r="C26" s="181">
        <f t="shared" si="0"/>
        <v>2</v>
      </c>
      <c r="F26">
        <f t="shared" ref="F26" si="15">F25+1</f>
        <v>9</v>
      </c>
      <c r="G26" s="181">
        <f t="shared" si="4"/>
        <v>33</v>
      </c>
      <c r="H26" s="181">
        <f t="shared" si="4"/>
        <v>36</v>
      </c>
      <c r="I26" s="181" t="str">
        <f t="shared" si="1"/>
        <v>AL</v>
      </c>
      <c r="J26" s="181" t="str">
        <f t="shared" si="2"/>
        <v>AO</v>
      </c>
      <c r="L26" t="str">
        <f t="shared" si="3"/>
        <v>=INDEX(Intersections!AL64:AO64,1,MATCH(LEFT(U9,1),Intersections!AL5:AO5,0))</v>
      </c>
      <c r="S26" t="s">
        <v>576</v>
      </c>
    </row>
    <row r="27" spans="1:19" x14ac:dyDescent="0.25">
      <c r="A27" s="181">
        <v>17</v>
      </c>
      <c r="B27" s="181" t="s">
        <v>351</v>
      </c>
      <c r="C27" s="181">
        <f t="shared" si="0"/>
        <v>2</v>
      </c>
      <c r="F27">
        <f t="shared" ref="F27" si="16">F25+1</f>
        <v>9</v>
      </c>
      <c r="G27" s="181">
        <f t="shared" si="4"/>
        <v>33</v>
      </c>
      <c r="H27" s="181">
        <f t="shared" si="4"/>
        <v>36</v>
      </c>
      <c r="I27" s="181" t="str">
        <f t="shared" si="1"/>
        <v>AL</v>
      </c>
      <c r="J27" s="181" t="str">
        <f t="shared" si="2"/>
        <v>AO</v>
      </c>
      <c r="L27" t="str">
        <f t="shared" si="3"/>
        <v>=INDEX(Intersections!AL64:AO64,1,MATCH(LEFT(V9,1),Intersections!AL5:AO5,0))</v>
      </c>
      <c r="S27" t="s">
        <v>577</v>
      </c>
    </row>
    <row r="28" spans="1:19" x14ac:dyDescent="0.25">
      <c r="A28" s="181">
        <v>18</v>
      </c>
      <c r="B28" s="181" t="s">
        <v>232</v>
      </c>
      <c r="C28" s="181">
        <f t="shared" si="0"/>
        <v>0</v>
      </c>
      <c r="F28">
        <f t="shared" ref="F28:F40" si="17">F27+1</f>
        <v>10</v>
      </c>
      <c r="G28" s="181">
        <f t="shared" si="4"/>
        <v>37</v>
      </c>
      <c r="H28" s="181">
        <f t="shared" si="4"/>
        <v>40</v>
      </c>
      <c r="I28" s="181" t="str">
        <f t="shared" si="1"/>
        <v>AP</v>
      </c>
      <c r="J28" s="181" t="str">
        <f t="shared" si="2"/>
        <v>AS</v>
      </c>
      <c r="L28" t="str">
        <f t="shared" si="3"/>
        <v>=INDEX(Intersections!AP64:AS64,1,MATCH(LEFT(W9,1),Intersections!AP5:AS5,0))</v>
      </c>
      <c r="S28" t="s">
        <v>578</v>
      </c>
    </row>
    <row r="29" spans="1:19" x14ac:dyDescent="0.25">
      <c r="A29" s="181">
        <v>19</v>
      </c>
      <c r="B29" s="181" t="s">
        <v>352</v>
      </c>
      <c r="C29" s="181">
        <f t="shared" si="0"/>
        <v>0</v>
      </c>
      <c r="F29">
        <f t="shared" ref="F29:F41" si="18">F27+1</f>
        <v>10</v>
      </c>
      <c r="G29" s="181">
        <f t="shared" si="4"/>
        <v>37</v>
      </c>
      <c r="H29" s="181">
        <f t="shared" si="4"/>
        <v>40</v>
      </c>
      <c r="I29" s="181" t="str">
        <f t="shared" si="1"/>
        <v>AP</v>
      </c>
      <c r="J29" s="181" t="str">
        <f t="shared" si="2"/>
        <v>AS</v>
      </c>
      <c r="L29" t="str">
        <f t="shared" si="3"/>
        <v>=INDEX(Intersections!AP64:AS64,1,MATCH(LEFT(X9,1),Intersections!AP5:AS5,0))</v>
      </c>
      <c r="S29" t="s">
        <v>579</v>
      </c>
    </row>
    <row r="30" spans="1:19" x14ac:dyDescent="0.25">
      <c r="A30" s="181">
        <v>20</v>
      </c>
      <c r="B30" s="181" t="s">
        <v>325</v>
      </c>
      <c r="C30" s="181">
        <f t="shared" si="0"/>
        <v>2</v>
      </c>
      <c r="F30">
        <f t="shared" ref="F30:F42" si="19">F29+1</f>
        <v>11</v>
      </c>
      <c r="G30" s="181">
        <f t="shared" si="4"/>
        <v>41</v>
      </c>
      <c r="H30" s="181">
        <f t="shared" si="4"/>
        <v>44</v>
      </c>
      <c r="I30" s="181" t="str">
        <f t="shared" si="1"/>
        <v>AT</v>
      </c>
      <c r="J30" s="181" t="str">
        <f t="shared" si="2"/>
        <v>AW</v>
      </c>
      <c r="L30" t="str">
        <f t="shared" si="3"/>
        <v>=INDEX(Intersections!AT64:AW64,1,MATCH(LEFT(Y9,1),Intersections!AT5:AW5,0))</v>
      </c>
      <c r="S30" t="s">
        <v>580</v>
      </c>
    </row>
    <row r="31" spans="1:19" x14ac:dyDescent="0.25">
      <c r="A31" s="181">
        <v>21</v>
      </c>
      <c r="B31" s="181" t="s">
        <v>353</v>
      </c>
      <c r="C31" s="181">
        <f t="shared" si="0"/>
        <v>2</v>
      </c>
      <c r="F31">
        <f t="shared" ref="F31:F43" si="20">F29+1</f>
        <v>11</v>
      </c>
      <c r="G31" s="181">
        <f t="shared" si="4"/>
        <v>41</v>
      </c>
      <c r="H31" s="181">
        <f t="shared" si="4"/>
        <v>44</v>
      </c>
      <c r="I31" s="181" t="str">
        <f t="shared" si="1"/>
        <v>AT</v>
      </c>
      <c r="J31" s="181" t="str">
        <f t="shared" si="2"/>
        <v>AW</v>
      </c>
      <c r="L31" t="str">
        <f t="shared" si="3"/>
        <v>=INDEX(Intersections!AT64:AW64,1,MATCH(LEFT(Z9,1),Intersections!AT5:AW5,0))</v>
      </c>
      <c r="S31" t="s">
        <v>581</v>
      </c>
    </row>
    <row r="32" spans="1:19" x14ac:dyDescent="0.25">
      <c r="A32" s="181">
        <v>22</v>
      </c>
      <c r="B32" s="181" t="s">
        <v>355</v>
      </c>
      <c r="C32" s="181">
        <f t="shared" si="0"/>
        <v>0</v>
      </c>
      <c r="F32">
        <f t="shared" ref="F32:F44" si="21">F31+1</f>
        <v>12</v>
      </c>
      <c r="G32" s="181">
        <f t="shared" si="4"/>
        <v>45</v>
      </c>
      <c r="H32" s="181">
        <f t="shared" si="4"/>
        <v>48</v>
      </c>
      <c r="I32" s="181" t="str">
        <f t="shared" si="1"/>
        <v>AX</v>
      </c>
      <c r="J32" s="181" t="str">
        <f t="shared" si="2"/>
        <v>BA</v>
      </c>
      <c r="L32" t="str">
        <f t="shared" si="3"/>
        <v>=INDEX(Intersections!AX64:BA64,1,MATCH(LEFT(AA9,1),Intersections!AX5:BA5,0))</v>
      </c>
      <c r="S32" t="s">
        <v>582</v>
      </c>
    </row>
    <row r="33" spans="1:19" x14ac:dyDescent="0.25">
      <c r="A33" s="181">
        <v>23</v>
      </c>
      <c r="B33" s="181" t="s">
        <v>354</v>
      </c>
      <c r="C33" s="181">
        <f t="shared" si="0"/>
        <v>0</v>
      </c>
      <c r="F33">
        <f t="shared" ref="F33:F45" si="22">F31+1</f>
        <v>12</v>
      </c>
      <c r="G33" s="181">
        <f t="shared" si="4"/>
        <v>45</v>
      </c>
      <c r="H33" s="181">
        <f t="shared" si="4"/>
        <v>48</v>
      </c>
      <c r="I33" s="181" t="str">
        <f t="shared" si="1"/>
        <v>AX</v>
      </c>
      <c r="J33" s="181" t="str">
        <f t="shared" si="2"/>
        <v>BA</v>
      </c>
      <c r="L33" t="str">
        <f t="shared" si="3"/>
        <v>=INDEX(Intersections!AX64:BA64,1,MATCH(LEFT(AB9,1),Intersections!AX5:BA5,0))</v>
      </c>
      <c r="S33" t="s">
        <v>583</v>
      </c>
    </row>
    <row r="34" spans="1:19" x14ac:dyDescent="0.25">
      <c r="A34" s="181">
        <v>24</v>
      </c>
      <c r="B34" s="181" t="s">
        <v>358</v>
      </c>
      <c r="C34" s="181">
        <f t="shared" si="0"/>
        <v>2</v>
      </c>
      <c r="F34">
        <f t="shared" ref="F34:F46" si="23">F33+1</f>
        <v>13</v>
      </c>
      <c r="G34" s="181">
        <f t="shared" si="4"/>
        <v>49</v>
      </c>
      <c r="H34" s="181">
        <f t="shared" si="4"/>
        <v>52</v>
      </c>
      <c r="I34" s="181" t="str">
        <f t="shared" si="1"/>
        <v>BB</v>
      </c>
      <c r="J34" s="181" t="str">
        <f t="shared" si="2"/>
        <v>BE</v>
      </c>
      <c r="L34" t="str">
        <f t="shared" si="3"/>
        <v>=INDEX(Intersections!BB64:BE64,1,MATCH(LEFT(AC9,1),Intersections!BB5:BE5,0))</v>
      </c>
      <c r="S34" t="s">
        <v>584</v>
      </c>
    </row>
    <row r="35" spans="1:19" x14ac:dyDescent="0.25">
      <c r="A35" s="181">
        <v>25</v>
      </c>
      <c r="B35" s="181" t="s">
        <v>359</v>
      </c>
      <c r="C35" s="181">
        <f t="shared" si="0"/>
        <v>2</v>
      </c>
      <c r="F35">
        <f t="shared" ref="F35:F47" si="24">F33+1</f>
        <v>13</v>
      </c>
      <c r="G35" s="181">
        <f t="shared" si="4"/>
        <v>49</v>
      </c>
      <c r="H35" s="181">
        <f t="shared" si="4"/>
        <v>52</v>
      </c>
      <c r="I35" s="181" t="str">
        <f t="shared" si="1"/>
        <v>BB</v>
      </c>
      <c r="J35" s="181" t="str">
        <f t="shared" si="2"/>
        <v>BE</v>
      </c>
      <c r="L35" t="str">
        <f t="shared" si="3"/>
        <v>=INDEX(Intersections!BB64:BE64,1,MATCH(LEFT(AD9,1),Intersections!BB5:BE5,0))</v>
      </c>
      <c r="S35" t="s">
        <v>585</v>
      </c>
    </row>
    <row r="36" spans="1:19" x14ac:dyDescent="0.25">
      <c r="A36" s="181">
        <v>26</v>
      </c>
      <c r="B36" s="181" t="s">
        <v>360</v>
      </c>
      <c r="C36" s="181">
        <f t="shared" si="0"/>
        <v>0</v>
      </c>
      <c r="F36">
        <f t="shared" ref="F36" si="25">F35+1</f>
        <v>14</v>
      </c>
      <c r="G36" s="181">
        <f t="shared" si="4"/>
        <v>53</v>
      </c>
      <c r="H36" s="181">
        <f t="shared" si="4"/>
        <v>56</v>
      </c>
      <c r="I36" s="181" t="str">
        <f t="shared" si="1"/>
        <v>BF</v>
      </c>
      <c r="J36" s="181" t="str">
        <f t="shared" si="2"/>
        <v>BI</v>
      </c>
      <c r="L36" t="str">
        <f t="shared" si="3"/>
        <v>=INDEX(Intersections!BF64:BI64,1,MATCH(LEFT(AE9,1),Intersections!BF5:BI5,0))</v>
      </c>
      <c r="S36" t="s">
        <v>586</v>
      </c>
    </row>
    <row r="37" spans="1:19" x14ac:dyDescent="0.25">
      <c r="A37" s="181">
        <v>27</v>
      </c>
      <c r="B37" s="181" t="s">
        <v>361</v>
      </c>
      <c r="C37" s="181">
        <f t="shared" si="0"/>
        <v>0</v>
      </c>
      <c r="F37">
        <f t="shared" ref="F37" si="26">F35+1</f>
        <v>14</v>
      </c>
      <c r="G37" s="181">
        <f t="shared" si="4"/>
        <v>53</v>
      </c>
      <c r="H37" s="181">
        <f t="shared" si="4"/>
        <v>56</v>
      </c>
      <c r="I37" s="181" t="str">
        <f t="shared" si="1"/>
        <v>BF</v>
      </c>
      <c r="J37" s="181" t="str">
        <f t="shared" si="2"/>
        <v>BI</v>
      </c>
      <c r="L37" t="str">
        <f t="shared" si="3"/>
        <v>=INDEX(Intersections!BF64:BI64,1,MATCH(LEFT(AF9,1),Intersections!BF5:BI5,0))</v>
      </c>
      <c r="S37" t="s">
        <v>587</v>
      </c>
    </row>
    <row r="38" spans="1:19" x14ac:dyDescent="0.25">
      <c r="A38" s="181">
        <v>28</v>
      </c>
      <c r="B38" s="181" t="s">
        <v>362</v>
      </c>
      <c r="C38" s="181">
        <f t="shared" si="0"/>
        <v>2</v>
      </c>
      <c r="F38">
        <f t="shared" ref="F38" si="27">F37+1</f>
        <v>15</v>
      </c>
      <c r="G38" s="181">
        <f t="shared" si="4"/>
        <v>57</v>
      </c>
      <c r="H38" s="181">
        <f t="shared" si="4"/>
        <v>60</v>
      </c>
      <c r="I38" s="181" t="str">
        <f t="shared" si="1"/>
        <v>BJ</v>
      </c>
      <c r="J38" s="181" t="str">
        <f t="shared" si="2"/>
        <v>BM</v>
      </c>
      <c r="L38" t="str">
        <f t="shared" si="3"/>
        <v>=INDEX(Intersections!BJ64:BM64,1,MATCH(LEFT(AG9,1),Intersections!BJ5:BM5,0))</v>
      </c>
      <c r="S38" t="s">
        <v>588</v>
      </c>
    </row>
    <row r="39" spans="1:19" x14ac:dyDescent="0.25">
      <c r="A39" s="181">
        <v>29</v>
      </c>
      <c r="B39" s="181" t="s">
        <v>363</v>
      </c>
      <c r="C39" s="181">
        <f t="shared" si="0"/>
        <v>2</v>
      </c>
      <c r="F39">
        <f t="shared" ref="F39" si="28">F37+1</f>
        <v>15</v>
      </c>
      <c r="G39" s="181">
        <f t="shared" ref="G39:H51" si="29">G37+4</f>
        <v>57</v>
      </c>
      <c r="H39" s="181">
        <f>H37+4</f>
        <v>60</v>
      </c>
      <c r="I39" s="181" t="str">
        <f t="shared" si="1"/>
        <v>BJ</v>
      </c>
      <c r="J39" s="181" t="str">
        <f t="shared" si="2"/>
        <v>BM</v>
      </c>
      <c r="L39" t="str">
        <f t="shared" si="3"/>
        <v>=INDEX(Intersections!BJ64:BM64,1,MATCH(LEFT(AH9,1),Intersections!BJ5:BM5,0))</v>
      </c>
      <c r="S39" t="s">
        <v>589</v>
      </c>
    </row>
    <row r="40" spans="1:19" x14ac:dyDescent="0.25">
      <c r="A40" s="181">
        <v>30</v>
      </c>
      <c r="B40" s="181" t="s">
        <v>364</v>
      </c>
      <c r="C40" s="181">
        <f t="shared" si="0"/>
        <v>0</v>
      </c>
      <c r="F40">
        <f t="shared" si="17"/>
        <v>16</v>
      </c>
      <c r="G40" s="181">
        <f t="shared" si="29"/>
        <v>61</v>
      </c>
      <c r="H40" s="181">
        <f t="shared" si="29"/>
        <v>64</v>
      </c>
      <c r="I40" s="181" t="str">
        <f t="shared" ref="I40:I51" si="30">INDEX($B$11:$B$109,G40,1)</f>
        <v>BN</v>
      </c>
      <c r="J40" s="181" t="str">
        <f t="shared" ref="J40:J51" si="31">INDEX($B$11:$B$109,H40,1)</f>
        <v>BQ</v>
      </c>
      <c r="L40" t="str">
        <f t="shared" si="3"/>
        <v>=INDEX(Intersections!BN64:BQ64,1,MATCH(LEFT(AI9,1),Intersections!BN5:BQ5,0))</v>
      </c>
      <c r="S40" t="s">
        <v>590</v>
      </c>
    </row>
    <row r="41" spans="1:19" x14ac:dyDescent="0.25">
      <c r="A41" s="181">
        <v>31</v>
      </c>
      <c r="B41" s="181" t="s">
        <v>365</v>
      </c>
      <c r="C41" s="181">
        <f t="shared" si="0"/>
        <v>0</v>
      </c>
      <c r="F41">
        <f t="shared" si="18"/>
        <v>16</v>
      </c>
      <c r="G41" s="181">
        <f t="shared" si="29"/>
        <v>61</v>
      </c>
      <c r="H41" s="181">
        <f t="shared" si="29"/>
        <v>64</v>
      </c>
      <c r="I41" s="181" t="str">
        <f t="shared" si="30"/>
        <v>BN</v>
      </c>
      <c r="J41" s="181" t="str">
        <f t="shared" si="31"/>
        <v>BQ</v>
      </c>
      <c r="L41" t="str">
        <f t="shared" si="3"/>
        <v>=INDEX(Intersections!BN64:BQ64,1,MATCH(LEFT(AJ9,1),Intersections!BN5:BQ5,0))</v>
      </c>
      <c r="S41" t="s">
        <v>591</v>
      </c>
    </row>
    <row r="42" spans="1:19" x14ac:dyDescent="0.25">
      <c r="A42" s="181">
        <v>32</v>
      </c>
      <c r="B42" s="181" t="s">
        <v>366</v>
      </c>
      <c r="C42" s="181">
        <f t="shared" ref="C42:C73" si="32">COUNTIF($G$10:$G$108,A42)+COUNTIF($H$10:$H$108,A42)</f>
        <v>2</v>
      </c>
      <c r="F42">
        <f t="shared" si="19"/>
        <v>17</v>
      </c>
      <c r="G42" s="181">
        <f t="shared" si="29"/>
        <v>65</v>
      </c>
      <c r="H42" s="181">
        <f t="shared" si="29"/>
        <v>68</v>
      </c>
      <c r="I42" s="181" t="str">
        <f t="shared" si="30"/>
        <v>BR</v>
      </c>
      <c r="J42" s="181" t="str">
        <f t="shared" si="31"/>
        <v>BU</v>
      </c>
      <c r="L42" t="str">
        <f t="shared" si="3"/>
        <v>=INDEX(Intersections!BR64:BU64,1,MATCH(LEFT(AK9,1),Intersections!BR5:BU5,0))</v>
      </c>
      <c r="S42" t="s">
        <v>592</v>
      </c>
    </row>
    <row r="43" spans="1:19" x14ac:dyDescent="0.25">
      <c r="A43" s="181">
        <v>33</v>
      </c>
      <c r="B43" s="181" t="s">
        <v>367</v>
      </c>
      <c r="C43" s="181">
        <f t="shared" si="32"/>
        <v>2</v>
      </c>
      <c r="F43">
        <f t="shared" si="20"/>
        <v>17</v>
      </c>
      <c r="G43" s="181">
        <f t="shared" si="29"/>
        <v>65</v>
      </c>
      <c r="H43" s="181">
        <f t="shared" si="29"/>
        <v>68</v>
      </c>
      <c r="I43" s="181" t="str">
        <f t="shared" si="30"/>
        <v>BR</v>
      </c>
      <c r="J43" s="181" t="str">
        <f t="shared" si="31"/>
        <v>BU</v>
      </c>
      <c r="L43" t="str">
        <f t="shared" si="3"/>
        <v>=INDEX(Intersections!BR64:BU64,1,MATCH(LEFT(AL9,1),Intersections!BR5:BU5,0))</v>
      </c>
      <c r="S43" t="s">
        <v>593</v>
      </c>
    </row>
    <row r="44" spans="1:19" x14ac:dyDescent="0.25">
      <c r="A44" s="181">
        <v>34</v>
      </c>
      <c r="B44" s="181" t="s">
        <v>368</v>
      </c>
      <c r="C44" s="181">
        <f t="shared" si="32"/>
        <v>0</v>
      </c>
      <c r="F44">
        <f t="shared" si="21"/>
        <v>18</v>
      </c>
      <c r="G44" s="181">
        <f t="shared" si="29"/>
        <v>69</v>
      </c>
      <c r="H44" s="181">
        <f t="shared" si="29"/>
        <v>72</v>
      </c>
      <c r="I44" s="181" t="str">
        <f t="shared" si="30"/>
        <v>BV</v>
      </c>
      <c r="J44" s="181" t="str">
        <f t="shared" si="31"/>
        <v>BY</v>
      </c>
      <c r="L44" t="str">
        <f t="shared" si="3"/>
        <v>=INDEX(Intersections!BV64:BY64,1,MATCH(LEFT(AM9,1),Intersections!BV5:BY5,0))</v>
      </c>
      <c r="S44" t="s">
        <v>594</v>
      </c>
    </row>
    <row r="45" spans="1:19" x14ac:dyDescent="0.25">
      <c r="A45" s="181">
        <v>35</v>
      </c>
      <c r="B45" s="181" t="s">
        <v>369</v>
      </c>
      <c r="C45" s="181">
        <f t="shared" si="32"/>
        <v>0</v>
      </c>
      <c r="F45">
        <f t="shared" si="22"/>
        <v>18</v>
      </c>
      <c r="G45" s="181">
        <f t="shared" si="29"/>
        <v>69</v>
      </c>
      <c r="H45" s="181">
        <f t="shared" si="29"/>
        <v>72</v>
      </c>
      <c r="I45" s="181" t="str">
        <f t="shared" si="30"/>
        <v>BV</v>
      </c>
      <c r="J45" s="181" t="str">
        <f t="shared" si="31"/>
        <v>BY</v>
      </c>
      <c r="L45" t="str">
        <f t="shared" si="3"/>
        <v>=INDEX(Intersections!BV64:BY64,1,MATCH(LEFT(AN9,1),Intersections!BV5:BY5,0))</v>
      </c>
      <c r="S45" t="s">
        <v>595</v>
      </c>
    </row>
    <row r="46" spans="1:19" x14ac:dyDescent="0.25">
      <c r="A46" s="181">
        <v>36</v>
      </c>
      <c r="B46" s="181" t="s">
        <v>370</v>
      </c>
      <c r="C46" s="181">
        <f t="shared" si="32"/>
        <v>2</v>
      </c>
      <c r="F46">
        <f t="shared" si="23"/>
        <v>19</v>
      </c>
      <c r="G46" s="181">
        <f t="shared" si="29"/>
        <v>73</v>
      </c>
      <c r="H46" s="181">
        <f t="shared" si="29"/>
        <v>76</v>
      </c>
      <c r="I46" s="181" t="str">
        <f t="shared" si="30"/>
        <v>BZ</v>
      </c>
      <c r="J46" s="181" t="str">
        <f t="shared" si="31"/>
        <v>CC</v>
      </c>
      <c r="L46" t="str">
        <f t="shared" si="3"/>
        <v>=INDEX(Intersections!BZ64:CC64,1,MATCH(LEFT(AO9,1),Intersections!BZ5:CC5,0))</v>
      </c>
      <c r="S46" t="s">
        <v>596</v>
      </c>
    </row>
    <row r="47" spans="1:19" x14ac:dyDescent="0.25">
      <c r="A47" s="181">
        <v>37</v>
      </c>
      <c r="B47" s="181" t="s">
        <v>371</v>
      </c>
      <c r="C47" s="181">
        <f t="shared" si="32"/>
        <v>2</v>
      </c>
      <c r="F47">
        <f t="shared" si="24"/>
        <v>19</v>
      </c>
      <c r="G47" s="181">
        <f t="shared" si="29"/>
        <v>73</v>
      </c>
      <c r="H47" s="181">
        <f t="shared" si="29"/>
        <v>76</v>
      </c>
      <c r="I47" s="181" t="str">
        <f t="shared" si="30"/>
        <v>BZ</v>
      </c>
      <c r="J47" s="181" t="str">
        <f t="shared" si="31"/>
        <v>CC</v>
      </c>
      <c r="L47" t="str">
        <f t="shared" si="3"/>
        <v>=INDEX(Intersections!BZ64:CC64,1,MATCH(LEFT(AP9,1),Intersections!BZ5:CC5,0))</v>
      </c>
      <c r="S47" t="s">
        <v>597</v>
      </c>
    </row>
    <row r="48" spans="1:19" x14ac:dyDescent="0.25">
      <c r="A48" s="181">
        <v>38</v>
      </c>
      <c r="B48" s="181" t="s">
        <v>372</v>
      </c>
      <c r="C48" s="181">
        <f t="shared" si="32"/>
        <v>0</v>
      </c>
      <c r="F48">
        <f t="shared" ref="F48" si="33">F47+1</f>
        <v>20</v>
      </c>
      <c r="G48" s="181">
        <f t="shared" si="29"/>
        <v>77</v>
      </c>
      <c r="H48" s="181">
        <f t="shared" si="29"/>
        <v>80</v>
      </c>
      <c r="I48" s="181" t="str">
        <f t="shared" si="30"/>
        <v>CD</v>
      </c>
      <c r="J48" s="181" t="str">
        <f t="shared" si="31"/>
        <v>CG</v>
      </c>
      <c r="L48" t="str">
        <f t="shared" si="3"/>
        <v>=INDEX(Intersections!CD64:CG64,1,MATCH(LEFT(AQ9,1),Intersections!CD5:CG5,0))</v>
      </c>
      <c r="S48" t="s">
        <v>598</v>
      </c>
    </row>
    <row r="49" spans="1:19" x14ac:dyDescent="0.25">
      <c r="A49" s="181">
        <v>39</v>
      </c>
      <c r="B49" s="181" t="s">
        <v>326</v>
      </c>
      <c r="C49" s="181">
        <f t="shared" si="32"/>
        <v>0</v>
      </c>
      <c r="F49">
        <f t="shared" ref="F49" si="34">F47+1</f>
        <v>20</v>
      </c>
      <c r="G49" s="181">
        <f t="shared" si="29"/>
        <v>77</v>
      </c>
      <c r="H49" s="181">
        <f t="shared" si="29"/>
        <v>80</v>
      </c>
      <c r="I49" s="181" t="str">
        <f t="shared" si="30"/>
        <v>CD</v>
      </c>
      <c r="J49" s="181" t="str">
        <f t="shared" si="31"/>
        <v>CG</v>
      </c>
      <c r="L49" t="str">
        <f t="shared" si="3"/>
        <v>=INDEX(Intersections!CD64:CG64,1,MATCH(LEFT(AR9,1),Intersections!CD5:CG5,0))</v>
      </c>
      <c r="S49" t="s">
        <v>599</v>
      </c>
    </row>
    <row r="50" spans="1:19" x14ac:dyDescent="0.25">
      <c r="A50" s="181">
        <v>40</v>
      </c>
      <c r="B50" s="181" t="s">
        <v>373</v>
      </c>
      <c r="C50" s="181">
        <f t="shared" si="32"/>
        <v>2</v>
      </c>
      <c r="F50">
        <f t="shared" ref="F50" si="35">F49+1</f>
        <v>21</v>
      </c>
      <c r="G50" s="181">
        <f t="shared" si="29"/>
        <v>81</v>
      </c>
      <c r="H50" s="181">
        <f t="shared" si="29"/>
        <v>84</v>
      </c>
      <c r="I50" s="181" t="str">
        <f t="shared" si="30"/>
        <v>CH</v>
      </c>
      <c r="J50" s="181" t="str">
        <f t="shared" si="31"/>
        <v>CK</v>
      </c>
      <c r="L50" t="str">
        <f t="shared" si="3"/>
        <v>=INDEX(Intersections!CH64:CK64,1,MATCH(LEFT(AS9,1),Intersections!CH5:CK5,0))</v>
      </c>
      <c r="S50" t="s">
        <v>600</v>
      </c>
    </row>
    <row r="51" spans="1:19" x14ac:dyDescent="0.25">
      <c r="A51" s="181">
        <v>41</v>
      </c>
      <c r="B51" s="181" t="s">
        <v>374</v>
      </c>
      <c r="C51" s="181">
        <f t="shared" si="32"/>
        <v>2</v>
      </c>
      <c r="F51">
        <f t="shared" ref="F51" si="36">F49+1</f>
        <v>21</v>
      </c>
      <c r="G51" s="181">
        <f t="shared" si="29"/>
        <v>81</v>
      </c>
      <c r="H51" s="181">
        <f t="shared" si="29"/>
        <v>84</v>
      </c>
      <c r="I51" s="181" t="str">
        <f t="shared" si="30"/>
        <v>CH</v>
      </c>
      <c r="J51" s="181" t="str">
        <f t="shared" si="31"/>
        <v>CK</v>
      </c>
      <c r="L51" t="str">
        <f t="shared" si="3"/>
        <v>=INDEX(Intersections!CH64:CK64,1,MATCH(LEFT(AT9,1),Intersections!CH5:CK5,0))</v>
      </c>
      <c r="S51" t="s">
        <v>601</v>
      </c>
    </row>
    <row r="52" spans="1:19" x14ac:dyDescent="0.25">
      <c r="A52" s="181">
        <v>42</v>
      </c>
      <c r="B52" s="181" t="s">
        <v>375</v>
      </c>
      <c r="C52" s="181">
        <f t="shared" si="32"/>
        <v>0</v>
      </c>
    </row>
    <row r="53" spans="1:19" x14ac:dyDescent="0.25">
      <c r="A53" s="181">
        <v>43</v>
      </c>
      <c r="B53" s="181" t="s">
        <v>376</v>
      </c>
      <c r="C53" s="181">
        <f t="shared" si="32"/>
        <v>0</v>
      </c>
    </row>
    <row r="54" spans="1:19" x14ac:dyDescent="0.25">
      <c r="A54" s="181">
        <v>44</v>
      </c>
      <c r="B54" s="181" t="s">
        <v>377</v>
      </c>
      <c r="C54" s="181">
        <f t="shared" si="32"/>
        <v>2</v>
      </c>
    </row>
    <row r="55" spans="1:19" x14ac:dyDescent="0.25">
      <c r="A55" s="181">
        <v>45</v>
      </c>
      <c r="B55" s="181" t="s">
        <v>378</v>
      </c>
      <c r="C55" s="181">
        <f t="shared" si="32"/>
        <v>2</v>
      </c>
    </row>
    <row r="56" spans="1:19" x14ac:dyDescent="0.25">
      <c r="A56" s="181">
        <v>46</v>
      </c>
      <c r="B56" s="181" t="s">
        <v>379</v>
      </c>
      <c r="C56" s="181">
        <f t="shared" si="32"/>
        <v>0</v>
      </c>
    </row>
    <row r="57" spans="1:19" x14ac:dyDescent="0.25">
      <c r="A57" s="181">
        <v>47</v>
      </c>
      <c r="B57" s="181" t="s">
        <v>380</v>
      </c>
      <c r="C57" s="181">
        <f t="shared" si="32"/>
        <v>0</v>
      </c>
    </row>
    <row r="58" spans="1:19" x14ac:dyDescent="0.25">
      <c r="A58" s="181">
        <v>48</v>
      </c>
      <c r="B58" s="181" t="s">
        <v>381</v>
      </c>
      <c r="C58" s="181">
        <f t="shared" si="32"/>
        <v>2</v>
      </c>
    </row>
    <row r="59" spans="1:19" x14ac:dyDescent="0.25">
      <c r="A59" s="181">
        <v>49</v>
      </c>
      <c r="B59" s="181" t="s">
        <v>356</v>
      </c>
      <c r="C59" s="181">
        <f t="shared" si="32"/>
        <v>2</v>
      </c>
    </row>
    <row r="60" spans="1:19" x14ac:dyDescent="0.25">
      <c r="A60" s="181">
        <v>50</v>
      </c>
      <c r="B60" s="181" t="s">
        <v>384</v>
      </c>
      <c r="C60" s="181">
        <f t="shared" si="32"/>
        <v>0</v>
      </c>
    </row>
    <row r="61" spans="1:19" x14ac:dyDescent="0.25">
      <c r="A61" s="181">
        <v>51</v>
      </c>
      <c r="B61" s="181" t="s">
        <v>385</v>
      </c>
      <c r="C61" s="181">
        <f t="shared" si="32"/>
        <v>0</v>
      </c>
    </row>
    <row r="62" spans="1:19" x14ac:dyDescent="0.25">
      <c r="A62" s="181">
        <v>52</v>
      </c>
      <c r="B62" s="181" t="s">
        <v>387</v>
      </c>
      <c r="C62" s="181">
        <f t="shared" si="32"/>
        <v>2</v>
      </c>
    </row>
    <row r="63" spans="1:19" x14ac:dyDescent="0.25">
      <c r="A63" s="181">
        <v>53</v>
      </c>
      <c r="B63" s="181" t="s">
        <v>389</v>
      </c>
      <c r="C63" s="181">
        <f t="shared" si="32"/>
        <v>2</v>
      </c>
    </row>
    <row r="64" spans="1:19" x14ac:dyDescent="0.25">
      <c r="A64" s="181">
        <v>54</v>
      </c>
      <c r="B64" s="181" t="s">
        <v>391</v>
      </c>
      <c r="C64" s="181">
        <f t="shared" si="32"/>
        <v>0</v>
      </c>
    </row>
    <row r="65" spans="1:3" x14ac:dyDescent="0.25">
      <c r="A65" s="181">
        <v>55</v>
      </c>
      <c r="B65" s="181" t="s">
        <v>393</v>
      </c>
      <c r="C65" s="181">
        <f t="shared" si="32"/>
        <v>0</v>
      </c>
    </row>
    <row r="66" spans="1:3" x14ac:dyDescent="0.25">
      <c r="A66" s="181">
        <v>56</v>
      </c>
      <c r="B66" s="181" t="s">
        <v>395</v>
      </c>
      <c r="C66" s="181">
        <f t="shared" si="32"/>
        <v>2</v>
      </c>
    </row>
    <row r="67" spans="1:3" x14ac:dyDescent="0.25">
      <c r="A67" s="181">
        <v>57</v>
      </c>
      <c r="B67" s="181" t="s">
        <v>397</v>
      </c>
      <c r="C67" s="181">
        <f t="shared" si="32"/>
        <v>2</v>
      </c>
    </row>
    <row r="68" spans="1:3" x14ac:dyDescent="0.25">
      <c r="A68" s="181">
        <v>58</v>
      </c>
      <c r="B68" s="181" t="s">
        <v>399</v>
      </c>
      <c r="C68" s="181">
        <f t="shared" si="32"/>
        <v>0</v>
      </c>
    </row>
    <row r="69" spans="1:3" x14ac:dyDescent="0.25">
      <c r="A69" s="181">
        <v>59</v>
      </c>
      <c r="B69" s="181" t="s">
        <v>401</v>
      </c>
      <c r="C69" s="181">
        <f t="shared" si="32"/>
        <v>0</v>
      </c>
    </row>
    <row r="70" spans="1:3" x14ac:dyDescent="0.25">
      <c r="A70" s="181">
        <v>60</v>
      </c>
      <c r="B70" s="181" t="s">
        <v>403</v>
      </c>
      <c r="C70" s="181">
        <f t="shared" si="32"/>
        <v>2</v>
      </c>
    </row>
    <row r="71" spans="1:3" x14ac:dyDescent="0.25">
      <c r="A71" s="181">
        <v>61</v>
      </c>
      <c r="B71" s="181" t="s">
        <v>405</v>
      </c>
      <c r="C71" s="181">
        <f t="shared" si="32"/>
        <v>2</v>
      </c>
    </row>
    <row r="72" spans="1:3" x14ac:dyDescent="0.25">
      <c r="A72" s="181">
        <v>62</v>
      </c>
      <c r="B72" s="181" t="s">
        <v>407</v>
      </c>
      <c r="C72" s="181">
        <f t="shared" si="32"/>
        <v>0</v>
      </c>
    </row>
    <row r="73" spans="1:3" x14ac:dyDescent="0.25">
      <c r="A73" s="181">
        <v>63</v>
      </c>
      <c r="B73" s="181" t="s">
        <v>409</v>
      </c>
      <c r="C73" s="181">
        <f t="shared" si="32"/>
        <v>0</v>
      </c>
    </row>
    <row r="74" spans="1:3" x14ac:dyDescent="0.25">
      <c r="A74" s="181">
        <v>64</v>
      </c>
      <c r="B74" s="181" t="s">
        <v>411</v>
      </c>
      <c r="C74" s="181">
        <f t="shared" ref="C74:C109" si="37">COUNTIF($G$10:$G$108,A74)+COUNTIF($H$10:$H$108,A74)</f>
        <v>2</v>
      </c>
    </row>
    <row r="75" spans="1:3" x14ac:dyDescent="0.25">
      <c r="A75" s="181">
        <v>65</v>
      </c>
      <c r="B75" s="181" t="s">
        <v>413</v>
      </c>
      <c r="C75" s="181">
        <f t="shared" si="37"/>
        <v>2</v>
      </c>
    </row>
    <row r="76" spans="1:3" x14ac:dyDescent="0.25">
      <c r="A76" s="181">
        <v>66</v>
      </c>
      <c r="B76" s="181" t="s">
        <v>415</v>
      </c>
      <c r="C76" s="181">
        <f t="shared" si="37"/>
        <v>0</v>
      </c>
    </row>
    <row r="77" spans="1:3" x14ac:dyDescent="0.25">
      <c r="A77" s="181">
        <v>67</v>
      </c>
      <c r="B77" s="181" t="s">
        <v>417</v>
      </c>
      <c r="C77" s="181">
        <f t="shared" si="37"/>
        <v>0</v>
      </c>
    </row>
    <row r="78" spans="1:3" x14ac:dyDescent="0.25">
      <c r="A78" s="181">
        <v>68</v>
      </c>
      <c r="B78" s="181" t="s">
        <v>419</v>
      </c>
      <c r="C78" s="181">
        <f t="shared" si="37"/>
        <v>2</v>
      </c>
    </row>
    <row r="79" spans="1:3" x14ac:dyDescent="0.25">
      <c r="A79" s="181">
        <v>69</v>
      </c>
      <c r="B79" s="181" t="s">
        <v>421</v>
      </c>
      <c r="C79" s="181">
        <f t="shared" si="37"/>
        <v>2</v>
      </c>
    </row>
    <row r="80" spans="1:3" x14ac:dyDescent="0.25">
      <c r="A80" s="181">
        <v>70</v>
      </c>
      <c r="B80" s="181" t="s">
        <v>551</v>
      </c>
      <c r="C80" s="181">
        <f t="shared" si="37"/>
        <v>0</v>
      </c>
    </row>
    <row r="81" spans="1:3" x14ac:dyDescent="0.25">
      <c r="A81" s="181">
        <v>71</v>
      </c>
      <c r="B81" s="181" t="s">
        <v>423</v>
      </c>
      <c r="C81" s="181">
        <f t="shared" si="37"/>
        <v>0</v>
      </c>
    </row>
    <row r="82" spans="1:3" x14ac:dyDescent="0.25">
      <c r="A82" s="181">
        <v>72</v>
      </c>
      <c r="B82" s="181" t="s">
        <v>425</v>
      </c>
      <c r="C82" s="181">
        <f t="shared" si="37"/>
        <v>2</v>
      </c>
    </row>
    <row r="83" spans="1:3" x14ac:dyDescent="0.25">
      <c r="A83" s="181">
        <v>73</v>
      </c>
      <c r="B83" s="181" t="s">
        <v>427</v>
      </c>
      <c r="C83" s="181">
        <f t="shared" si="37"/>
        <v>2</v>
      </c>
    </row>
    <row r="84" spans="1:3" x14ac:dyDescent="0.25">
      <c r="A84" s="181">
        <v>74</v>
      </c>
      <c r="B84" s="181" t="s">
        <v>382</v>
      </c>
      <c r="C84" s="181">
        <f t="shared" si="37"/>
        <v>0</v>
      </c>
    </row>
    <row r="85" spans="1:3" x14ac:dyDescent="0.25">
      <c r="A85" s="181">
        <v>75</v>
      </c>
      <c r="B85" s="181" t="s">
        <v>383</v>
      </c>
      <c r="C85" s="181">
        <f t="shared" si="37"/>
        <v>0</v>
      </c>
    </row>
    <row r="86" spans="1:3" x14ac:dyDescent="0.25">
      <c r="A86" s="181">
        <v>76</v>
      </c>
      <c r="B86" s="181" t="s">
        <v>357</v>
      </c>
      <c r="C86" s="181">
        <f t="shared" si="37"/>
        <v>2</v>
      </c>
    </row>
    <row r="87" spans="1:3" x14ac:dyDescent="0.25">
      <c r="A87" s="181">
        <v>77</v>
      </c>
      <c r="B87" s="181" t="s">
        <v>386</v>
      </c>
      <c r="C87" s="181">
        <f t="shared" si="37"/>
        <v>2</v>
      </c>
    </row>
    <row r="88" spans="1:3" x14ac:dyDescent="0.25">
      <c r="A88" s="181">
        <v>78</v>
      </c>
      <c r="B88" s="181" t="s">
        <v>388</v>
      </c>
      <c r="C88" s="181">
        <f t="shared" si="37"/>
        <v>0</v>
      </c>
    </row>
    <row r="89" spans="1:3" x14ac:dyDescent="0.25">
      <c r="A89" s="181">
        <v>79</v>
      </c>
      <c r="B89" s="181" t="s">
        <v>390</v>
      </c>
      <c r="C89" s="181">
        <f t="shared" si="37"/>
        <v>0</v>
      </c>
    </row>
    <row r="90" spans="1:3" x14ac:dyDescent="0.25">
      <c r="A90" s="181">
        <v>80</v>
      </c>
      <c r="B90" s="181" t="s">
        <v>392</v>
      </c>
      <c r="C90" s="181">
        <f t="shared" si="37"/>
        <v>2</v>
      </c>
    </row>
    <row r="91" spans="1:3" x14ac:dyDescent="0.25">
      <c r="A91" s="181">
        <v>81</v>
      </c>
      <c r="B91" s="181" t="s">
        <v>394</v>
      </c>
      <c r="C91" s="181">
        <f t="shared" si="37"/>
        <v>2</v>
      </c>
    </row>
    <row r="92" spans="1:3" x14ac:dyDescent="0.25">
      <c r="A92" s="181">
        <v>82</v>
      </c>
      <c r="B92" s="181" t="s">
        <v>396</v>
      </c>
      <c r="C92" s="181">
        <f t="shared" si="37"/>
        <v>0</v>
      </c>
    </row>
    <row r="93" spans="1:3" x14ac:dyDescent="0.25">
      <c r="A93" s="181">
        <v>83</v>
      </c>
      <c r="B93" s="181" t="s">
        <v>398</v>
      </c>
      <c r="C93" s="181">
        <f t="shared" si="37"/>
        <v>0</v>
      </c>
    </row>
    <row r="94" spans="1:3" x14ac:dyDescent="0.25">
      <c r="A94" s="181">
        <v>84</v>
      </c>
      <c r="B94" s="181" t="s">
        <v>400</v>
      </c>
      <c r="C94" s="181">
        <f t="shared" si="37"/>
        <v>2</v>
      </c>
    </row>
    <row r="95" spans="1:3" x14ac:dyDescent="0.25">
      <c r="A95" s="181">
        <v>85</v>
      </c>
      <c r="B95" s="181" t="s">
        <v>402</v>
      </c>
      <c r="C95" s="181">
        <f t="shared" si="37"/>
        <v>0</v>
      </c>
    </row>
    <row r="96" spans="1:3" x14ac:dyDescent="0.25">
      <c r="A96" s="181">
        <v>86</v>
      </c>
      <c r="B96" s="181" t="s">
        <v>404</v>
      </c>
      <c r="C96" s="181">
        <f t="shared" si="37"/>
        <v>0</v>
      </c>
    </row>
    <row r="97" spans="1:3" x14ac:dyDescent="0.25">
      <c r="A97" s="181">
        <v>87</v>
      </c>
      <c r="B97" s="181" t="s">
        <v>406</v>
      </c>
      <c r="C97" s="181">
        <f t="shared" si="37"/>
        <v>0</v>
      </c>
    </row>
    <row r="98" spans="1:3" x14ac:dyDescent="0.25">
      <c r="A98" s="181">
        <v>88</v>
      </c>
      <c r="B98" s="181" t="s">
        <v>408</v>
      </c>
      <c r="C98" s="181">
        <f t="shared" si="37"/>
        <v>0</v>
      </c>
    </row>
    <row r="99" spans="1:3" x14ac:dyDescent="0.25">
      <c r="A99" s="181">
        <v>89</v>
      </c>
      <c r="B99" s="181" t="s">
        <v>410</v>
      </c>
      <c r="C99" s="181">
        <f t="shared" si="37"/>
        <v>0</v>
      </c>
    </row>
    <row r="100" spans="1:3" x14ac:dyDescent="0.25">
      <c r="A100" s="181">
        <v>90</v>
      </c>
      <c r="B100" s="181" t="s">
        <v>412</v>
      </c>
      <c r="C100" s="181">
        <f t="shared" si="37"/>
        <v>0</v>
      </c>
    </row>
    <row r="101" spans="1:3" x14ac:dyDescent="0.25">
      <c r="A101" s="181">
        <v>91</v>
      </c>
      <c r="B101" s="181" t="s">
        <v>414</v>
      </c>
      <c r="C101" s="181">
        <f t="shared" si="37"/>
        <v>0</v>
      </c>
    </row>
    <row r="102" spans="1:3" x14ac:dyDescent="0.25">
      <c r="A102" s="181">
        <v>92</v>
      </c>
      <c r="B102" s="181" t="s">
        <v>416</v>
      </c>
      <c r="C102" s="181">
        <f t="shared" si="37"/>
        <v>0</v>
      </c>
    </row>
    <row r="103" spans="1:3" x14ac:dyDescent="0.25">
      <c r="A103" s="181">
        <v>93</v>
      </c>
      <c r="B103" s="181" t="s">
        <v>418</v>
      </c>
      <c r="C103" s="181">
        <f t="shared" si="37"/>
        <v>0</v>
      </c>
    </row>
    <row r="104" spans="1:3" x14ac:dyDescent="0.25">
      <c r="A104" s="181">
        <v>94</v>
      </c>
      <c r="B104" s="181" t="s">
        <v>420</v>
      </c>
      <c r="C104" s="181">
        <f t="shared" si="37"/>
        <v>0</v>
      </c>
    </row>
    <row r="105" spans="1:3" x14ac:dyDescent="0.25">
      <c r="A105" s="181">
        <v>95</v>
      </c>
      <c r="B105" s="181" t="s">
        <v>422</v>
      </c>
      <c r="C105" s="181">
        <f t="shared" si="37"/>
        <v>0</v>
      </c>
    </row>
    <row r="106" spans="1:3" x14ac:dyDescent="0.25">
      <c r="A106" s="181">
        <v>96</v>
      </c>
      <c r="B106" s="181" t="s">
        <v>552</v>
      </c>
      <c r="C106" s="181">
        <f t="shared" si="37"/>
        <v>0</v>
      </c>
    </row>
    <row r="107" spans="1:3" x14ac:dyDescent="0.25">
      <c r="A107" s="181">
        <v>97</v>
      </c>
      <c r="B107" s="181" t="s">
        <v>424</v>
      </c>
      <c r="C107" s="181">
        <f t="shared" si="37"/>
        <v>0</v>
      </c>
    </row>
    <row r="108" spans="1:3" x14ac:dyDescent="0.25">
      <c r="A108" s="181">
        <v>98</v>
      </c>
      <c r="B108" s="181" t="s">
        <v>426</v>
      </c>
      <c r="C108" s="181">
        <f t="shared" si="37"/>
        <v>0</v>
      </c>
    </row>
    <row r="109" spans="1:3" x14ac:dyDescent="0.25">
      <c r="A109" s="181">
        <v>99</v>
      </c>
      <c r="B109" s="181" t="s">
        <v>428</v>
      </c>
      <c r="C109" s="181">
        <f t="shared" si="37"/>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58D1-34EC-40FF-856E-4DE4D9691C4E}">
  <sheetPr codeName="Sheet9"/>
  <dimension ref="A3:BU104"/>
  <sheetViews>
    <sheetView topLeftCell="AO1" workbookViewId="0">
      <selection activeCell="BH3" sqref="BH3:BK3"/>
    </sheetView>
  </sheetViews>
  <sheetFormatPr defaultColWidth="8.875" defaultRowHeight="15.75" x14ac:dyDescent="0.25"/>
  <sheetData>
    <row r="3" spans="1:73" s="243" customFormat="1" ht="47.25" customHeight="1" x14ac:dyDescent="0.25">
      <c r="D3" s="244"/>
      <c r="E3" s="244"/>
      <c r="X3" s="317" t="s">
        <v>622</v>
      </c>
      <c r="Y3" s="317"/>
      <c r="Z3" s="316" t="s">
        <v>623</v>
      </c>
      <c r="AA3" s="316"/>
      <c r="AB3" s="316" t="s">
        <v>624</v>
      </c>
      <c r="AC3" s="316"/>
      <c r="AD3" s="316" t="s">
        <v>625</v>
      </c>
      <c r="AE3" s="316"/>
      <c r="AF3" s="316" t="s">
        <v>626</v>
      </c>
      <c r="AG3" s="316"/>
      <c r="AH3" s="316" t="s">
        <v>627</v>
      </c>
      <c r="AI3" s="316"/>
      <c r="AJ3" s="316" t="s">
        <v>628</v>
      </c>
      <c r="AK3" s="316"/>
      <c r="AL3" s="316" t="s">
        <v>629</v>
      </c>
      <c r="AM3" s="316"/>
      <c r="AN3" s="316" t="s">
        <v>630</v>
      </c>
      <c r="AO3" s="316"/>
      <c r="AP3" s="316" t="s">
        <v>631</v>
      </c>
      <c r="AQ3" s="316"/>
      <c r="AR3" s="316" t="s">
        <v>632</v>
      </c>
      <c r="AS3" s="316"/>
      <c r="AT3" s="316" t="s">
        <v>633</v>
      </c>
      <c r="AU3" s="316"/>
      <c r="AV3" s="316" t="s">
        <v>634</v>
      </c>
      <c r="AW3" s="316"/>
      <c r="AX3" s="316" t="s">
        <v>635</v>
      </c>
      <c r="AY3" s="316"/>
      <c r="AZ3" s="316" t="s">
        <v>636</v>
      </c>
      <c r="BA3" s="316"/>
      <c r="BB3" s="316" t="s">
        <v>637</v>
      </c>
      <c r="BC3" s="316"/>
      <c r="BD3" s="316" t="s">
        <v>638</v>
      </c>
      <c r="BE3" s="316"/>
      <c r="BF3" s="316" t="s">
        <v>639</v>
      </c>
      <c r="BG3" s="316"/>
      <c r="BH3" s="316" t="s">
        <v>640</v>
      </c>
      <c r="BI3" s="316"/>
      <c r="BJ3" s="316" t="s">
        <v>641</v>
      </c>
      <c r="BK3" s="316"/>
      <c r="BL3" s="316" t="s">
        <v>642</v>
      </c>
      <c r="BM3" s="316"/>
      <c r="BN3" s="316" t="s">
        <v>643</v>
      </c>
      <c r="BO3" s="316"/>
      <c r="BP3" s="316" t="s">
        <v>644</v>
      </c>
      <c r="BQ3" s="316"/>
      <c r="BR3" s="316" t="s">
        <v>645</v>
      </c>
      <c r="BS3" s="316"/>
      <c r="BT3" s="316" t="s">
        <v>646</v>
      </c>
      <c r="BU3" s="316"/>
    </row>
    <row r="4" spans="1:73" x14ac:dyDescent="0.25">
      <c r="D4" s="181"/>
      <c r="E4" s="181"/>
    </row>
    <row r="5" spans="1:73" x14ac:dyDescent="0.25">
      <c r="D5" s="181"/>
      <c r="E5" s="181"/>
    </row>
    <row r="6" spans="1:73" x14ac:dyDescent="0.25">
      <c r="A6" s="181" t="s">
        <v>553</v>
      </c>
      <c r="B6" s="181"/>
      <c r="C6" s="181" t="s">
        <v>554</v>
      </c>
      <c r="D6" s="181"/>
      <c r="E6" s="181"/>
      <c r="F6" t="s">
        <v>557</v>
      </c>
      <c r="G6" s="181"/>
    </row>
    <row r="7" spans="1:73" x14ac:dyDescent="0.25">
      <c r="A7" s="181">
        <v>1</v>
      </c>
      <c r="B7" s="181" t="s">
        <v>341</v>
      </c>
      <c r="C7" s="181">
        <f t="shared" ref="C7:C38" si="0">COUNTIF($F$7:$F$104,A7)</f>
        <v>1</v>
      </c>
      <c r="D7" s="181"/>
      <c r="E7" s="181"/>
      <c r="F7">
        <v>1</v>
      </c>
      <c r="G7" s="181" t="str">
        <f t="shared" ref="G7:G31" si="1">INDEX($B$7:$B$105,F7,1)</f>
        <v>F</v>
      </c>
      <c r="H7" t="str">
        <f>_xlfn.CONCAT("=Intersections!",G7,68)</f>
        <v>=Intersections!F68</v>
      </c>
      <c r="L7" s="165" t="s">
        <v>622</v>
      </c>
      <c r="Q7">
        <v>0</v>
      </c>
    </row>
    <row r="8" spans="1:73" x14ac:dyDescent="0.25">
      <c r="A8" s="181">
        <v>2</v>
      </c>
      <c r="B8" s="181" t="s">
        <v>338</v>
      </c>
      <c r="C8" s="181">
        <f t="shared" si="0"/>
        <v>0</v>
      </c>
      <c r="D8" s="181"/>
      <c r="E8" s="181"/>
      <c r="F8">
        <f t="shared" ref="F8:F13" si="2">F7+4</f>
        <v>5</v>
      </c>
      <c r="G8" s="181" t="str">
        <f t="shared" si="1"/>
        <v>J</v>
      </c>
      <c r="H8" t="str">
        <f t="shared" ref="H8:H31" si="3">_xlfn.CONCAT("=Intersections!",G8,68)</f>
        <v>=Intersections!J68</v>
      </c>
      <c r="L8" t="s">
        <v>623</v>
      </c>
      <c r="Q8">
        <f>Q7+2</f>
        <v>2</v>
      </c>
      <c r="R8" t="str">
        <f t="shared" ref="R8:R27" si="4">INDEX($B$7:$B$105,Q8,1)</f>
        <v>G</v>
      </c>
      <c r="S8" t="str">
        <f>_xlfn.CONCAT("=Segments!",R8,46)</f>
        <v>=Segments!G46</v>
      </c>
      <c r="U8" s="165" t="s">
        <v>602</v>
      </c>
    </row>
    <row r="9" spans="1:73" x14ac:dyDescent="0.25">
      <c r="A9" s="181">
        <v>3</v>
      </c>
      <c r="B9" s="181" t="s">
        <v>342</v>
      </c>
      <c r="C9" s="181">
        <f t="shared" si="0"/>
        <v>0</v>
      </c>
      <c r="D9" s="181"/>
      <c r="E9" s="181"/>
      <c r="F9">
        <f t="shared" si="2"/>
        <v>9</v>
      </c>
      <c r="G9" s="181" t="str">
        <f t="shared" si="1"/>
        <v>N</v>
      </c>
      <c r="H9" t="str">
        <f t="shared" si="3"/>
        <v>=Intersections!N68</v>
      </c>
      <c r="L9" t="s">
        <v>624</v>
      </c>
      <c r="Q9">
        <f t="shared" ref="Q9:Q27" si="5">Q8+2</f>
        <v>4</v>
      </c>
      <c r="R9" t="str">
        <f t="shared" si="4"/>
        <v>I</v>
      </c>
      <c r="S9" t="str">
        <f t="shared" ref="S9:S27" si="6">_xlfn.CONCAT("=Segments!",R9,46)</f>
        <v>=Segments!I46</v>
      </c>
      <c r="U9" t="s">
        <v>603</v>
      </c>
    </row>
    <row r="10" spans="1:73" x14ac:dyDescent="0.25">
      <c r="A10" s="181">
        <v>4</v>
      </c>
      <c r="B10" s="181" t="s">
        <v>339</v>
      </c>
      <c r="C10" s="181">
        <f t="shared" si="0"/>
        <v>0</v>
      </c>
      <c r="D10" s="181"/>
      <c r="E10" s="181"/>
      <c r="F10">
        <f t="shared" si="2"/>
        <v>13</v>
      </c>
      <c r="G10" s="181" t="str">
        <f t="shared" si="1"/>
        <v>R</v>
      </c>
      <c r="H10" t="str">
        <f t="shared" si="3"/>
        <v>=Intersections!R68</v>
      </c>
      <c r="L10" t="s">
        <v>625</v>
      </c>
      <c r="Q10">
        <f t="shared" si="5"/>
        <v>6</v>
      </c>
      <c r="R10" t="str">
        <f t="shared" si="4"/>
        <v>K</v>
      </c>
      <c r="S10" t="str">
        <f t="shared" si="6"/>
        <v>=Segments!K46</v>
      </c>
      <c r="U10" t="s">
        <v>604</v>
      </c>
    </row>
    <row r="11" spans="1:73" x14ac:dyDescent="0.25">
      <c r="A11" s="181">
        <v>5</v>
      </c>
      <c r="B11" s="181" t="s">
        <v>343</v>
      </c>
      <c r="C11" s="181">
        <f t="shared" si="0"/>
        <v>1</v>
      </c>
      <c r="D11" s="181"/>
      <c r="E11" s="181"/>
      <c r="F11">
        <f t="shared" si="2"/>
        <v>17</v>
      </c>
      <c r="G11" s="181" t="str">
        <f t="shared" si="1"/>
        <v>V</v>
      </c>
      <c r="H11" t="str">
        <f t="shared" si="3"/>
        <v>=Intersections!V68</v>
      </c>
      <c r="L11" t="s">
        <v>626</v>
      </c>
      <c r="Q11">
        <f t="shared" si="5"/>
        <v>8</v>
      </c>
      <c r="R11" t="str">
        <f t="shared" si="4"/>
        <v>M</v>
      </c>
      <c r="S11" t="str">
        <f t="shared" si="6"/>
        <v>=Segments!M46</v>
      </c>
      <c r="U11" t="s">
        <v>605</v>
      </c>
    </row>
    <row r="12" spans="1:73" x14ac:dyDescent="0.25">
      <c r="A12" s="181">
        <v>6</v>
      </c>
      <c r="B12" s="181" t="s">
        <v>340</v>
      </c>
      <c r="C12" s="181">
        <f t="shared" si="0"/>
        <v>0</v>
      </c>
      <c r="D12" s="181"/>
      <c r="E12" s="181"/>
      <c r="F12">
        <f t="shared" si="2"/>
        <v>21</v>
      </c>
      <c r="G12" s="181" t="str">
        <f t="shared" si="1"/>
        <v>Z</v>
      </c>
      <c r="H12" t="str">
        <f t="shared" si="3"/>
        <v>=Intersections!Z68</v>
      </c>
      <c r="L12" t="s">
        <v>627</v>
      </c>
      <c r="Q12">
        <f t="shared" si="5"/>
        <v>10</v>
      </c>
      <c r="R12" t="str">
        <f t="shared" si="4"/>
        <v>O</v>
      </c>
      <c r="S12" t="str">
        <f t="shared" si="6"/>
        <v>=Segments!O46</v>
      </c>
      <c r="U12" t="s">
        <v>606</v>
      </c>
    </row>
    <row r="13" spans="1:73" x14ac:dyDescent="0.25">
      <c r="A13" s="181">
        <v>7</v>
      </c>
      <c r="B13" s="181" t="s">
        <v>344</v>
      </c>
      <c r="C13" s="181">
        <f t="shared" si="0"/>
        <v>0</v>
      </c>
      <c r="D13" s="181"/>
      <c r="E13" s="181"/>
      <c r="F13">
        <f t="shared" si="2"/>
        <v>25</v>
      </c>
      <c r="G13" s="181" t="str">
        <f t="shared" si="1"/>
        <v>AD</v>
      </c>
      <c r="H13" t="str">
        <f t="shared" si="3"/>
        <v>=Intersections!AD68</v>
      </c>
      <c r="L13" t="s">
        <v>628</v>
      </c>
      <c r="Q13">
        <f t="shared" si="5"/>
        <v>12</v>
      </c>
      <c r="R13" t="str">
        <f t="shared" si="4"/>
        <v>Q</v>
      </c>
      <c r="S13" t="str">
        <f t="shared" si="6"/>
        <v>=Segments!Q46</v>
      </c>
      <c r="U13" t="s">
        <v>607</v>
      </c>
    </row>
    <row r="14" spans="1:73" x14ac:dyDescent="0.25">
      <c r="A14" s="181">
        <v>8</v>
      </c>
      <c r="B14" s="181" t="s">
        <v>345</v>
      </c>
      <c r="C14" s="181">
        <f t="shared" si="0"/>
        <v>0</v>
      </c>
      <c r="D14" s="181"/>
      <c r="E14" s="181"/>
      <c r="F14">
        <f t="shared" ref="F14:F31" si="7">F13+4</f>
        <v>29</v>
      </c>
      <c r="G14" s="181" t="str">
        <f t="shared" si="1"/>
        <v>AH</v>
      </c>
      <c r="H14" t="str">
        <f t="shared" si="3"/>
        <v>=Intersections!AH68</v>
      </c>
      <c r="L14" t="s">
        <v>629</v>
      </c>
      <c r="Q14">
        <f t="shared" si="5"/>
        <v>14</v>
      </c>
      <c r="R14" t="str">
        <f t="shared" si="4"/>
        <v>S</v>
      </c>
      <c r="S14" t="str">
        <f t="shared" si="6"/>
        <v>=Segments!S46</v>
      </c>
      <c r="U14" t="s">
        <v>608</v>
      </c>
    </row>
    <row r="15" spans="1:73" x14ac:dyDescent="0.25">
      <c r="A15" s="181">
        <v>9</v>
      </c>
      <c r="B15" s="181" t="s">
        <v>230</v>
      </c>
      <c r="C15" s="181">
        <f t="shared" si="0"/>
        <v>1</v>
      </c>
      <c r="D15" s="181"/>
      <c r="E15" s="181"/>
      <c r="F15">
        <f t="shared" si="7"/>
        <v>33</v>
      </c>
      <c r="G15" s="181" t="str">
        <f t="shared" si="1"/>
        <v>AL</v>
      </c>
      <c r="H15" t="str">
        <f t="shared" si="3"/>
        <v>=Intersections!AL68</v>
      </c>
      <c r="L15" t="s">
        <v>630</v>
      </c>
      <c r="Q15">
        <f t="shared" si="5"/>
        <v>16</v>
      </c>
      <c r="R15" t="str">
        <f t="shared" si="4"/>
        <v>U</v>
      </c>
      <c r="S15" t="str">
        <f t="shared" si="6"/>
        <v>=Segments!U46</v>
      </c>
      <c r="U15" t="s">
        <v>609</v>
      </c>
    </row>
    <row r="16" spans="1:73" x14ac:dyDescent="0.25">
      <c r="A16" s="181">
        <v>10</v>
      </c>
      <c r="B16" s="181" t="s">
        <v>346</v>
      </c>
      <c r="C16" s="181">
        <f t="shared" si="0"/>
        <v>0</v>
      </c>
      <c r="D16" s="181"/>
      <c r="E16" s="181"/>
      <c r="F16">
        <f t="shared" si="7"/>
        <v>37</v>
      </c>
      <c r="G16" s="181" t="str">
        <f t="shared" si="1"/>
        <v>AP</v>
      </c>
      <c r="H16" t="str">
        <f t="shared" si="3"/>
        <v>=Intersections!AP68</v>
      </c>
      <c r="L16" t="s">
        <v>631</v>
      </c>
      <c r="Q16">
        <f t="shared" si="5"/>
        <v>18</v>
      </c>
      <c r="R16" t="str">
        <f t="shared" si="4"/>
        <v>W</v>
      </c>
      <c r="S16" t="str">
        <f t="shared" si="6"/>
        <v>=Segments!W46</v>
      </c>
      <c r="U16" t="s">
        <v>610</v>
      </c>
    </row>
    <row r="17" spans="1:21" x14ac:dyDescent="0.25">
      <c r="A17" s="181">
        <v>11</v>
      </c>
      <c r="B17" s="181" t="s">
        <v>347</v>
      </c>
      <c r="C17" s="181">
        <f t="shared" si="0"/>
        <v>0</v>
      </c>
      <c r="D17" s="181"/>
      <c r="E17" s="181"/>
      <c r="F17">
        <f t="shared" si="7"/>
        <v>41</v>
      </c>
      <c r="G17" s="181" t="str">
        <f t="shared" si="1"/>
        <v>AT</v>
      </c>
      <c r="H17" t="str">
        <f t="shared" si="3"/>
        <v>=Intersections!AT68</v>
      </c>
      <c r="L17" t="s">
        <v>632</v>
      </c>
      <c r="Q17">
        <f t="shared" si="5"/>
        <v>20</v>
      </c>
      <c r="R17" t="str">
        <f t="shared" si="4"/>
        <v>Y</v>
      </c>
      <c r="S17" t="str">
        <f t="shared" si="6"/>
        <v>=Segments!Y46</v>
      </c>
      <c r="U17" t="s">
        <v>611</v>
      </c>
    </row>
    <row r="18" spans="1:21" x14ac:dyDescent="0.25">
      <c r="A18" s="181">
        <v>12</v>
      </c>
      <c r="B18" s="181" t="s">
        <v>348</v>
      </c>
      <c r="C18" s="181">
        <f t="shared" si="0"/>
        <v>0</v>
      </c>
      <c r="D18" s="181"/>
      <c r="E18" s="181"/>
      <c r="F18">
        <f t="shared" si="7"/>
        <v>45</v>
      </c>
      <c r="G18" s="181" t="str">
        <f t="shared" si="1"/>
        <v>AX</v>
      </c>
      <c r="H18" t="str">
        <f t="shared" si="3"/>
        <v>=Intersections!AX68</v>
      </c>
      <c r="L18" t="s">
        <v>633</v>
      </c>
      <c r="Q18">
        <f t="shared" si="5"/>
        <v>22</v>
      </c>
      <c r="R18" t="str">
        <f t="shared" si="4"/>
        <v>AA</v>
      </c>
      <c r="S18" t="str">
        <f t="shared" si="6"/>
        <v>=Segments!AA46</v>
      </c>
      <c r="U18" t="s">
        <v>612</v>
      </c>
    </row>
    <row r="19" spans="1:21" x14ac:dyDescent="0.25">
      <c r="A19" s="181">
        <v>13</v>
      </c>
      <c r="B19" s="181" t="s">
        <v>327</v>
      </c>
      <c r="C19" s="181">
        <f t="shared" si="0"/>
        <v>1</v>
      </c>
      <c r="D19" s="181"/>
      <c r="E19" s="181"/>
      <c r="F19">
        <f t="shared" si="7"/>
        <v>49</v>
      </c>
      <c r="G19" s="181" t="str">
        <f t="shared" si="1"/>
        <v>BB</v>
      </c>
      <c r="H19" t="str">
        <f t="shared" si="3"/>
        <v>=Intersections!BB68</v>
      </c>
      <c r="L19" t="s">
        <v>634</v>
      </c>
      <c r="Q19">
        <f t="shared" si="5"/>
        <v>24</v>
      </c>
      <c r="R19" t="str">
        <f t="shared" si="4"/>
        <v>AC</v>
      </c>
      <c r="S19" t="str">
        <f t="shared" si="6"/>
        <v>=Segments!AC46</v>
      </c>
      <c r="U19" t="s">
        <v>613</v>
      </c>
    </row>
    <row r="20" spans="1:21" x14ac:dyDescent="0.25">
      <c r="A20" s="181">
        <v>14</v>
      </c>
      <c r="B20" s="181" t="s">
        <v>5</v>
      </c>
      <c r="C20" s="181">
        <f t="shared" si="0"/>
        <v>0</v>
      </c>
      <c r="D20" s="181"/>
      <c r="E20" s="181"/>
      <c r="F20">
        <f t="shared" si="7"/>
        <v>53</v>
      </c>
      <c r="G20" s="181" t="str">
        <f t="shared" si="1"/>
        <v>BF</v>
      </c>
      <c r="H20" t="str">
        <f t="shared" si="3"/>
        <v>=Intersections!BF68</v>
      </c>
      <c r="L20" t="s">
        <v>635</v>
      </c>
      <c r="Q20">
        <f t="shared" si="5"/>
        <v>26</v>
      </c>
      <c r="R20" t="str">
        <f t="shared" si="4"/>
        <v>AE</v>
      </c>
      <c r="S20" t="str">
        <f t="shared" si="6"/>
        <v>=Segments!AE46</v>
      </c>
      <c r="U20" t="s">
        <v>614</v>
      </c>
    </row>
    <row r="21" spans="1:21" x14ac:dyDescent="0.25">
      <c r="A21" s="181">
        <v>15</v>
      </c>
      <c r="B21" s="181" t="s">
        <v>349</v>
      </c>
      <c r="C21" s="181">
        <f t="shared" si="0"/>
        <v>0</v>
      </c>
      <c r="D21" s="181"/>
      <c r="E21" s="181"/>
      <c r="F21">
        <f t="shared" si="7"/>
        <v>57</v>
      </c>
      <c r="G21" s="181" t="str">
        <f t="shared" si="1"/>
        <v>BJ</v>
      </c>
      <c r="H21" t="str">
        <f t="shared" si="3"/>
        <v>=Intersections!BJ68</v>
      </c>
      <c r="L21" t="s">
        <v>636</v>
      </c>
      <c r="Q21">
        <f t="shared" si="5"/>
        <v>28</v>
      </c>
      <c r="R21" t="str">
        <f t="shared" si="4"/>
        <v>AG</v>
      </c>
      <c r="S21" t="str">
        <f t="shared" si="6"/>
        <v>=Segments!AG46</v>
      </c>
      <c r="U21" t="s">
        <v>615</v>
      </c>
    </row>
    <row r="22" spans="1:21" x14ac:dyDescent="0.25">
      <c r="A22" s="181">
        <v>16</v>
      </c>
      <c r="B22" s="181" t="s">
        <v>350</v>
      </c>
      <c r="C22" s="181">
        <f t="shared" si="0"/>
        <v>0</v>
      </c>
      <c r="D22" s="181"/>
      <c r="E22" s="181"/>
      <c r="F22">
        <f t="shared" si="7"/>
        <v>61</v>
      </c>
      <c r="G22" s="181" t="str">
        <f t="shared" si="1"/>
        <v>BN</v>
      </c>
      <c r="H22" t="str">
        <f t="shared" si="3"/>
        <v>=Intersections!BN68</v>
      </c>
      <c r="L22" t="s">
        <v>637</v>
      </c>
      <c r="Q22">
        <f t="shared" si="5"/>
        <v>30</v>
      </c>
      <c r="R22" t="str">
        <f t="shared" si="4"/>
        <v>AI</v>
      </c>
      <c r="S22" t="str">
        <f t="shared" si="6"/>
        <v>=Segments!AI46</v>
      </c>
      <c r="U22" t="s">
        <v>616</v>
      </c>
    </row>
    <row r="23" spans="1:21" x14ac:dyDescent="0.25">
      <c r="A23" s="181">
        <v>17</v>
      </c>
      <c r="B23" s="181" t="s">
        <v>351</v>
      </c>
      <c r="C23" s="181">
        <f t="shared" si="0"/>
        <v>1</v>
      </c>
      <c r="D23" s="181"/>
      <c r="E23" s="181"/>
      <c r="F23">
        <f t="shared" si="7"/>
        <v>65</v>
      </c>
      <c r="G23" s="181" t="str">
        <f t="shared" si="1"/>
        <v>BR</v>
      </c>
      <c r="H23" t="str">
        <f t="shared" si="3"/>
        <v>=Intersections!BR68</v>
      </c>
      <c r="L23" t="s">
        <v>638</v>
      </c>
      <c r="Q23">
        <f t="shared" si="5"/>
        <v>32</v>
      </c>
      <c r="R23" t="str">
        <f t="shared" si="4"/>
        <v>AK</v>
      </c>
      <c r="S23" t="str">
        <f t="shared" si="6"/>
        <v>=Segments!AK46</v>
      </c>
      <c r="U23" t="s">
        <v>617</v>
      </c>
    </row>
    <row r="24" spans="1:21" x14ac:dyDescent="0.25">
      <c r="A24" s="181">
        <v>18</v>
      </c>
      <c r="B24" s="181" t="s">
        <v>232</v>
      </c>
      <c r="C24" s="181">
        <f t="shared" si="0"/>
        <v>0</v>
      </c>
      <c r="D24" s="181"/>
      <c r="E24" s="181"/>
      <c r="F24">
        <f t="shared" si="7"/>
        <v>69</v>
      </c>
      <c r="G24" s="181" t="str">
        <f t="shared" si="1"/>
        <v>BV</v>
      </c>
      <c r="H24" t="str">
        <f t="shared" si="3"/>
        <v>=Intersections!BV68</v>
      </c>
      <c r="L24" t="s">
        <v>639</v>
      </c>
      <c r="Q24">
        <f t="shared" si="5"/>
        <v>34</v>
      </c>
      <c r="R24" t="str">
        <f t="shared" si="4"/>
        <v>AM</v>
      </c>
      <c r="S24" t="str">
        <f t="shared" si="6"/>
        <v>=Segments!AM46</v>
      </c>
      <c r="U24" t="s">
        <v>618</v>
      </c>
    </row>
    <row r="25" spans="1:21" x14ac:dyDescent="0.25">
      <c r="A25" s="181">
        <v>19</v>
      </c>
      <c r="B25" s="181" t="s">
        <v>352</v>
      </c>
      <c r="C25" s="181">
        <f t="shared" si="0"/>
        <v>0</v>
      </c>
      <c r="D25" s="181"/>
      <c r="E25" s="181"/>
      <c r="F25">
        <f t="shared" si="7"/>
        <v>73</v>
      </c>
      <c r="G25" s="181" t="str">
        <f t="shared" si="1"/>
        <v>BZ</v>
      </c>
      <c r="H25" t="str">
        <f t="shared" si="3"/>
        <v>=Intersections!BZ68</v>
      </c>
      <c r="L25" t="s">
        <v>640</v>
      </c>
      <c r="Q25">
        <f t="shared" si="5"/>
        <v>36</v>
      </c>
      <c r="R25" t="str">
        <f t="shared" si="4"/>
        <v>AO</v>
      </c>
      <c r="S25" t="str">
        <f t="shared" si="6"/>
        <v>=Segments!AO46</v>
      </c>
      <c r="U25" t="s">
        <v>619</v>
      </c>
    </row>
    <row r="26" spans="1:21" x14ac:dyDescent="0.25">
      <c r="A26" s="181">
        <v>20</v>
      </c>
      <c r="B26" s="181" t="s">
        <v>325</v>
      </c>
      <c r="C26" s="181">
        <f t="shared" si="0"/>
        <v>0</v>
      </c>
      <c r="D26" s="181"/>
      <c r="E26" s="181"/>
      <c r="F26">
        <f t="shared" si="7"/>
        <v>77</v>
      </c>
      <c r="G26" s="181" t="str">
        <f t="shared" si="1"/>
        <v>CD</v>
      </c>
      <c r="H26" t="str">
        <f t="shared" si="3"/>
        <v>=Intersections!CD68</v>
      </c>
      <c r="L26" t="s">
        <v>641</v>
      </c>
      <c r="Q26">
        <f t="shared" si="5"/>
        <v>38</v>
      </c>
      <c r="R26" t="str">
        <f t="shared" si="4"/>
        <v>AQ</v>
      </c>
      <c r="S26" t="str">
        <f t="shared" si="6"/>
        <v>=Segments!AQ46</v>
      </c>
      <c r="U26" t="s">
        <v>620</v>
      </c>
    </row>
    <row r="27" spans="1:21" x14ac:dyDescent="0.25">
      <c r="A27" s="181">
        <v>21</v>
      </c>
      <c r="B27" s="181" t="s">
        <v>353</v>
      </c>
      <c r="C27" s="181">
        <f t="shared" si="0"/>
        <v>1</v>
      </c>
      <c r="D27" s="181"/>
      <c r="E27" s="181"/>
      <c r="F27">
        <f t="shared" si="7"/>
        <v>81</v>
      </c>
      <c r="G27" s="181" t="str">
        <f t="shared" si="1"/>
        <v>CH</v>
      </c>
      <c r="H27" t="str">
        <f t="shared" si="3"/>
        <v>=Intersections!CH68</v>
      </c>
      <c r="L27" t="s">
        <v>642</v>
      </c>
      <c r="Q27">
        <f t="shared" si="5"/>
        <v>40</v>
      </c>
      <c r="R27" t="str">
        <f t="shared" si="4"/>
        <v>AS</v>
      </c>
      <c r="S27" t="str">
        <f t="shared" si="6"/>
        <v>=Segments!AS46</v>
      </c>
      <c r="U27" t="s">
        <v>621</v>
      </c>
    </row>
    <row r="28" spans="1:21" x14ac:dyDescent="0.25">
      <c r="A28" s="181">
        <v>22</v>
      </c>
      <c r="B28" s="181" t="s">
        <v>355</v>
      </c>
      <c r="C28" s="181">
        <f t="shared" si="0"/>
        <v>0</v>
      </c>
      <c r="D28" s="181"/>
      <c r="E28" s="181"/>
      <c r="F28">
        <f t="shared" si="7"/>
        <v>85</v>
      </c>
      <c r="G28" s="181" t="str">
        <f t="shared" si="1"/>
        <v>CL</v>
      </c>
      <c r="H28" t="str">
        <f t="shared" si="3"/>
        <v>=Intersections!CL68</v>
      </c>
      <c r="L28" t="s">
        <v>643</v>
      </c>
    </row>
    <row r="29" spans="1:21" x14ac:dyDescent="0.25">
      <c r="A29" s="181">
        <v>23</v>
      </c>
      <c r="B29" s="181" t="s">
        <v>354</v>
      </c>
      <c r="C29" s="181">
        <f t="shared" si="0"/>
        <v>0</v>
      </c>
      <c r="D29" s="181"/>
      <c r="E29" s="181"/>
      <c r="F29">
        <f t="shared" si="7"/>
        <v>89</v>
      </c>
      <c r="G29" s="181" t="str">
        <f t="shared" si="1"/>
        <v>CP</v>
      </c>
      <c r="H29" t="str">
        <f t="shared" si="3"/>
        <v>=Intersections!CP68</v>
      </c>
      <c r="L29" t="s">
        <v>644</v>
      </c>
    </row>
    <row r="30" spans="1:21" x14ac:dyDescent="0.25">
      <c r="A30" s="181">
        <v>24</v>
      </c>
      <c r="B30" s="181" t="s">
        <v>358</v>
      </c>
      <c r="C30" s="181">
        <f t="shared" si="0"/>
        <v>0</v>
      </c>
      <c r="D30" s="181"/>
      <c r="E30" s="181"/>
      <c r="F30">
        <f t="shared" si="7"/>
        <v>93</v>
      </c>
      <c r="G30" s="181" t="str">
        <f t="shared" si="1"/>
        <v>CT</v>
      </c>
      <c r="H30" t="str">
        <f t="shared" si="3"/>
        <v>=Intersections!CT68</v>
      </c>
      <c r="L30" t="s">
        <v>645</v>
      </c>
    </row>
    <row r="31" spans="1:21" x14ac:dyDescent="0.25">
      <c r="A31" s="181">
        <v>25</v>
      </c>
      <c r="B31" s="181" t="s">
        <v>359</v>
      </c>
      <c r="C31" s="181">
        <f t="shared" si="0"/>
        <v>1</v>
      </c>
      <c r="D31" s="181"/>
      <c r="E31" s="181"/>
      <c r="F31">
        <f t="shared" si="7"/>
        <v>97</v>
      </c>
      <c r="G31" s="181" t="str">
        <f t="shared" si="1"/>
        <v>CX</v>
      </c>
      <c r="H31" t="str">
        <f t="shared" si="3"/>
        <v>=Intersections!CX68</v>
      </c>
      <c r="L31" t="s">
        <v>646</v>
      </c>
    </row>
    <row r="32" spans="1:21" x14ac:dyDescent="0.25">
      <c r="A32" s="181">
        <v>26</v>
      </c>
      <c r="B32" s="181" t="s">
        <v>360</v>
      </c>
      <c r="C32" s="181">
        <f t="shared" si="0"/>
        <v>0</v>
      </c>
      <c r="D32" s="181"/>
      <c r="E32" s="181"/>
      <c r="G32" s="181"/>
    </row>
    <row r="33" spans="1:7" x14ac:dyDescent="0.25">
      <c r="A33" s="181">
        <v>27</v>
      </c>
      <c r="B33" s="181" t="s">
        <v>361</v>
      </c>
      <c r="C33" s="181">
        <f t="shared" si="0"/>
        <v>0</v>
      </c>
      <c r="D33" s="181"/>
      <c r="E33" s="181"/>
      <c r="G33" s="181"/>
    </row>
    <row r="34" spans="1:7" x14ac:dyDescent="0.25">
      <c r="A34" s="181">
        <v>28</v>
      </c>
      <c r="B34" s="181" t="s">
        <v>362</v>
      </c>
      <c r="C34" s="181">
        <f t="shared" si="0"/>
        <v>0</v>
      </c>
      <c r="D34" s="181"/>
      <c r="E34" s="181"/>
      <c r="G34" s="181"/>
    </row>
    <row r="35" spans="1:7" x14ac:dyDescent="0.25">
      <c r="A35" s="181">
        <v>29</v>
      </c>
      <c r="B35" s="181" t="s">
        <v>363</v>
      </c>
      <c r="C35" s="181">
        <f t="shared" si="0"/>
        <v>1</v>
      </c>
      <c r="D35" s="181"/>
      <c r="E35" s="181"/>
      <c r="G35" s="181"/>
    </row>
    <row r="36" spans="1:7" x14ac:dyDescent="0.25">
      <c r="A36" s="181">
        <v>30</v>
      </c>
      <c r="B36" s="181" t="s">
        <v>364</v>
      </c>
      <c r="C36" s="181">
        <f t="shared" si="0"/>
        <v>0</v>
      </c>
      <c r="D36" s="181"/>
      <c r="E36" s="181"/>
      <c r="G36" s="181"/>
    </row>
    <row r="37" spans="1:7" x14ac:dyDescent="0.25">
      <c r="A37" s="181">
        <v>31</v>
      </c>
      <c r="B37" s="181" t="s">
        <v>365</v>
      </c>
      <c r="C37" s="181">
        <f t="shared" si="0"/>
        <v>0</v>
      </c>
      <c r="D37" s="181"/>
      <c r="E37" s="181"/>
      <c r="G37" s="181"/>
    </row>
    <row r="38" spans="1:7" x14ac:dyDescent="0.25">
      <c r="A38" s="181">
        <v>32</v>
      </c>
      <c r="B38" s="181" t="s">
        <v>366</v>
      </c>
      <c r="C38" s="181">
        <f t="shared" si="0"/>
        <v>0</v>
      </c>
      <c r="D38" s="181"/>
      <c r="E38" s="181"/>
      <c r="G38" s="181"/>
    </row>
    <row r="39" spans="1:7" x14ac:dyDescent="0.25">
      <c r="A39" s="181">
        <v>33</v>
      </c>
      <c r="B39" s="181" t="s">
        <v>367</v>
      </c>
      <c r="C39" s="181">
        <f t="shared" ref="C39:C70" si="8">COUNTIF($F$7:$F$104,A39)</f>
        <v>1</v>
      </c>
      <c r="D39" s="181"/>
      <c r="E39" s="181"/>
      <c r="G39" s="181"/>
    </row>
    <row r="40" spans="1:7" x14ac:dyDescent="0.25">
      <c r="A40" s="181">
        <v>34</v>
      </c>
      <c r="B40" s="181" t="s">
        <v>368</v>
      </c>
      <c r="C40" s="181">
        <f t="shared" si="8"/>
        <v>0</v>
      </c>
      <c r="D40" s="181"/>
      <c r="E40" s="181"/>
      <c r="G40" s="181"/>
    </row>
    <row r="41" spans="1:7" x14ac:dyDescent="0.25">
      <c r="A41" s="181">
        <v>35</v>
      </c>
      <c r="B41" s="181" t="s">
        <v>369</v>
      </c>
      <c r="C41" s="181">
        <f t="shared" si="8"/>
        <v>0</v>
      </c>
      <c r="D41" s="181"/>
      <c r="E41" s="181"/>
      <c r="G41" s="181"/>
    </row>
    <row r="42" spans="1:7" x14ac:dyDescent="0.25">
      <c r="A42" s="181">
        <v>36</v>
      </c>
      <c r="B42" s="181" t="s">
        <v>370</v>
      </c>
      <c r="C42" s="181">
        <f t="shared" si="8"/>
        <v>0</v>
      </c>
      <c r="D42" s="181"/>
      <c r="E42" s="181"/>
      <c r="G42" s="181"/>
    </row>
    <row r="43" spans="1:7" x14ac:dyDescent="0.25">
      <c r="A43" s="181">
        <v>37</v>
      </c>
      <c r="B43" s="181" t="s">
        <v>371</v>
      </c>
      <c r="C43" s="181">
        <f t="shared" si="8"/>
        <v>1</v>
      </c>
      <c r="D43" s="181"/>
      <c r="E43" s="181"/>
      <c r="G43" s="181"/>
    </row>
    <row r="44" spans="1:7" x14ac:dyDescent="0.25">
      <c r="A44" s="181">
        <v>38</v>
      </c>
      <c r="B44" s="181" t="s">
        <v>372</v>
      </c>
      <c r="C44" s="181">
        <f t="shared" si="8"/>
        <v>0</v>
      </c>
      <c r="D44" s="181"/>
      <c r="E44" s="181"/>
      <c r="G44" s="181"/>
    </row>
    <row r="45" spans="1:7" x14ac:dyDescent="0.25">
      <c r="A45" s="181">
        <v>39</v>
      </c>
      <c r="B45" s="181" t="s">
        <v>326</v>
      </c>
      <c r="C45" s="181">
        <f t="shared" si="8"/>
        <v>0</v>
      </c>
      <c r="D45" s="181"/>
      <c r="E45" s="181"/>
      <c r="G45" s="181"/>
    </row>
    <row r="46" spans="1:7" x14ac:dyDescent="0.25">
      <c r="A46" s="181">
        <v>40</v>
      </c>
      <c r="B46" s="181" t="s">
        <v>373</v>
      </c>
      <c r="C46" s="181">
        <f t="shared" si="8"/>
        <v>0</v>
      </c>
      <c r="D46" s="181"/>
      <c r="E46" s="181"/>
      <c r="G46" s="181"/>
    </row>
    <row r="47" spans="1:7" x14ac:dyDescent="0.25">
      <c r="A47" s="181">
        <v>41</v>
      </c>
      <c r="B47" s="181" t="s">
        <v>374</v>
      </c>
      <c r="C47" s="181">
        <f t="shared" si="8"/>
        <v>1</v>
      </c>
      <c r="D47" s="181"/>
      <c r="E47" s="181"/>
      <c r="G47" s="181"/>
    </row>
    <row r="48" spans="1:7" x14ac:dyDescent="0.25">
      <c r="A48" s="181">
        <v>42</v>
      </c>
      <c r="B48" s="181" t="s">
        <v>375</v>
      </c>
      <c r="C48" s="181">
        <f t="shared" si="8"/>
        <v>0</v>
      </c>
      <c r="D48" s="181"/>
      <c r="E48" s="181"/>
      <c r="G48" s="181"/>
    </row>
    <row r="49" spans="1:7" x14ac:dyDescent="0.25">
      <c r="A49" s="181">
        <v>43</v>
      </c>
      <c r="B49" s="181" t="s">
        <v>376</v>
      </c>
      <c r="C49" s="181">
        <f t="shared" si="8"/>
        <v>0</v>
      </c>
      <c r="D49" s="181"/>
      <c r="E49" s="181"/>
      <c r="G49" s="181"/>
    </row>
    <row r="50" spans="1:7" x14ac:dyDescent="0.25">
      <c r="A50" s="181">
        <v>44</v>
      </c>
      <c r="B50" s="181" t="s">
        <v>377</v>
      </c>
      <c r="C50" s="181">
        <f t="shared" si="8"/>
        <v>0</v>
      </c>
      <c r="D50" s="181"/>
      <c r="E50" s="181"/>
      <c r="G50" s="181"/>
    </row>
    <row r="51" spans="1:7" x14ac:dyDescent="0.25">
      <c r="A51" s="181">
        <v>45</v>
      </c>
      <c r="B51" s="181" t="s">
        <v>378</v>
      </c>
      <c r="C51" s="181">
        <f t="shared" si="8"/>
        <v>1</v>
      </c>
      <c r="D51" s="181"/>
      <c r="E51" s="181"/>
      <c r="G51" s="181"/>
    </row>
    <row r="52" spans="1:7" x14ac:dyDescent="0.25">
      <c r="A52" s="181">
        <v>46</v>
      </c>
      <c r="B52" s="181" t="s">
        <v>379</v>
      </c>
      <c r="C52" s="181">
        <f t="shared" si="8"/>
        <v>0</v>
      </c>
      <c r="D52" s="181"/>
      <c r="E52" s="181"/>
      <c r="G52" s="181"/>
    </row>
    <row r="53" spans="1:7" x14ac:dyDescent="0.25">
      <c r="A53" s="181">
        <v>47</v>
      </c>
      <c r="B53" s="181" t="s">
        <v>380</v>
      </c>
      <c r="C53" s="181">
        <f t="shared" si="8"/>
        <v>0</v>
      </c>
      <c r="D53" s="181"/>
      <c r="E53" s="181"/>
      <c r="G53" s="181"/>
    </row>
    <row r="54" spans="1:7" x14ac:dyDescent="0.25">
      <c r="A54" s="181">
        <v>48</v>
      </c>
      <c r="B54" s="181" t="s">
        <v>381</v>
      </c>
      <c r="C54" s="181">
        <f t="shared" si="8"/>
        <v>0</v>
      </c>
      <c r="D54" s="181"/>
      <c r="E54" s="181"/>
      <c r="G54" s="181"/>
    </row>
    <row r="55" spans="1:7" x14ac:dyDescent="0.25">
      <c r="A55" s="181">
        <v>49</v>
      </c>
      <c r="B55" s="181" t="s">
        <v>356</v>
      </c>
      <c r="C55" s="181">
        <f t="shared" si="8"/>
        <v>1</v>
      </c>
      <c r="D55" s="181"/>
      <c r="E55" s="181"/>
      <c r="G55" s="181"/>
    </row>
    <row r="56" spans="1:7" x14ac:dyDescent="0.25">
      <c r="A56" s="181">
        <v>50</v>
      </c>
      <c r="B56" s="181" t="s">
        <v>384</v>
      </c>
      <c r="C56" s="181">
        <f t="shared" si="8"/>
        <v>0</v>
      </c>
      <c r="D56" s="181"/>
      <c r="E56" s="181"/>
      <c r="G56" s="181"/>
    </row>
    <row r="57" spans="1:7" x14ac:dyDescent="0.25">
      <c r="A57" s="181">
        <v>51</v>
      </c>
      <c r="B57" s="181" t="s">
        <v>385</v>
      </c>
      <c r="C57" s="181">
        <f t="shared" si="8"/>
        <v>0</v>
      </c>
      <c r="D57" s="181"/>
      <c r="E57" s="181"/>
      <c r="G57" s="181"/>
    </row>
    <row r="58" spans="1:7" x14ac:dyDescent="0.25">
      <c r="A58" s="181">
        <v>52</v>
      </c>
      <c r="B58" s="181" t="s">
        <v>387</v>
      </c>
      <c r="C58" s="181">
        <f t="shared" si="8"/>
        <v>0</v>
      </c>
      <c r="D58" s="181"/>
      <c r="E58" s="181"/>
      <c r="G58" s="181"/>
    </row>
    <row r="59" spans="1:7" x14ac:dyDescent="0.25">
      <c r="A59" s="181">
        <v>53</v>
      </c>
      <c r="B59" s="181" t="s">
        <v>389</v>
      </c>
      <c r="C59" s="181">
        <f t="shared" si="8"/>
        <v>1</v>
      </c>
      <c r="D59" s="181"/>
      <c r="E59" s="181"/>
      <c r="G59" s="181"/>
    </row>
    <row r="60" spans="1:7" x14ac:dyDescent="0.25">
      <c r="A60" s="181">
        <v>54</v>
      </c>
      <c r="B60" s="181" t="s">
        <v>391</v>
      </c>
      <c r="C60" s="181">
        <f t="shared" si="8"/>
        <v>0</v>
      </c>
      <c r="D60" s="181"/>
      <c r="E60" s="181"/>
      <c r="G60" s="181"/>
    </row>
    <row r="61" spans="1:7" x14ac:dyDescent="0.25">
      <c r="A61" s="181">
        <v>55</v>
      </c>
      <c r="B61" s="181" t="s">
        <v>393</v>
      </c>
      <c r="C61" s="181">
        <f t="shared" si="8"/>
        <v>0</v>
      </c>
      <c r="D61" s="181"/>
      <c r="E61" s="181"/>
      <c r="G61" s="181"/>
    </row>
    <row r="62" spans="1:7" x14ac:dyDescent="0.25">
      <c r="A62" s="181">
        <v>56</v>
      </c>
      <c r="B62" s="181" t="s">
        <v>395</v>
      </c>
      <c r="C62" s="181">
        <f t="shared" si="8"/>
        <v>0</v>
      </c>
      <c r="D62" s="181"/>
      <c r="E62" s="181"/>
      <c r="G62" s="181"/>
    </row>
    <row r="63" spans="1:7" x14ac:dyDescent="0.25">
      <c r="A63" s="181">
        <v>57</v>
      </c>
      <c r="B63" s="181" t="s">
        <v>397</v>
      </c>
      <c r="C63" s="181">
        <f t="shared" si="8"/>
        <v>1</v>
      </c>
      <c r="D63" s="181"/>
      <c r="E63" s="181"/>
      <c r="G63" s="181"/>
    </row>
    <row r="64" spans="1:7" x14ac:dyDescent="0.25">
      <c r="A64" s="181">
        <v>58</v>
      </c>
      <c r="B64" s="181" t="s">
        <v>399</v>
      </c>
      <c r="C64" s="181">
        <f t="shared" si="8"/>
        <v>0</v>
      </c>
      <c r="D64" s="181"/>
      <c r="E64" s="181"/>
      <c r="G64" s="181"/>
    </row>
    <row r="65" spans="1:7" x14ac:dyDescent="0.25">
      <c r="A65" s="181">
        <v>59</v>
      </c>
      <c r="B65" s="181" t="s">
        <v>401</v>
      </c>
      <c r="C65" s="181">
        <f t="shared" si="8"/>
        <v>0</v>
      </c>
      <c r="D65" s="181"/>
      <c r="E65" s="181"/>
      <c r="G65" s="181"/>
    </row>
    <row r="66" spans="1:7" x14ac:dyDescent="0.25">
      <c r="A66" s="181">
        <v>60</v>
      </c>
      <c r="B66" s="181" t="s">
        <v>403</v>
      </c>
      <c r="C66" s="181">
        <f t="shared" si="8"/>
        <v>0</v>
      </c>
      <c r="D66" s="181"/>
      <c r="E66" s="181"/>
      <c r="G66" s="181"/>
    </row>
    <row r="67" spans="1:7" x14ac:dyDescent="0.25">
      <c r="A67" s="181">
        <v>61</v>
      </c>
      <c r="B67" s="181" t="s">
        <v>405</v>
      </c>
      <c r="C67" s="181">
        <f t="shared" si="8"/>
        <v>1</v>
      </c>
      <c r="D67" s="181"/>
      <c r="E67" s="181"/>
      <c r="G67" s="181"/>
    </row>
    <row r="68" spans="1:7" x14ac:dyDescent="0.25">
      <c r="A68" s="181">
        <v>62</v>
      </c>
      <c r="B68" s="181" t="s">
        <v>407</v>
      </c>
      <c r="C68" s="181">
        <f t="shared" si="8"/>
        <v>0</v>
      </c>
      <c r="D68" s="181"/>
      <c r="E68" s="181"/>
      <c r="G68" s="181"/>
    </row>
    <row r="69" spans="1:7" x14ac:dyDescent="0.25">
      <c r="A69" s="181">
        <v>63</v>
      </c>
      <c r="B69" s="181" t="s">
        <v>409</v>
      </c>
      <c r="C69" s="181">
        <f t="shared" si="8"/>
        <v>0</v>
      </c>
      <c r="D69" s="181"/>
      <c r="E69" s="181"/>
      <c r="G69" s="181"/>
    </row>
    <row r="70" spans="1:7" x14ac:dyDescent="0.25">
      <c r="A70" s="181">
        <v>64</v>
      </c>
      <c r="B70" s="181" t="s">
        <v>411</v>
      </c>
      <c r="C70" s="181">
        <f t="shared" si="8"/>
        <v>0</v>
      </c>
      <c r="D70" s="181"/>
      <c r="E70" s="181"/>
      <c r="G70" s="181"/>
    </row>
    <row r="71" spans="1:7" x14ac:dyDescent="0.25">
      <c r="A71" s="181">
        <v>65</v>
      </c>
      <c r="B71" s="181" t="s">
        <v>413</v>
      </c>
      <c r="C71" s="181">
        <f t="shared" ref="C71:C104" si="9">COUNTIF($F$7:$F$104,A71)</f>
        <v>1</v>
      </c>
      <c r="D71" s="181"/>
      <c r="E71" s="181"/>
      <c r="G71" s="181"/>
    </row>
    <row r="72" spans="1:7" x14ac:dyDescent="0.25">
      <c r="A72" s="181">
        <v>66</v>
      </c>
      <c r="B72" s="181" t="s">
        <v>415</v>
      </c>
      <c r="C72" s="181">
        <f t="shared" si="9"/>
        <v>0</v>
      </c>
      <c r="D72" s="181"/>
      <c r="E72" s="181"/>
      <c r="G72" s="181"/>
    </row>
    <row r="73" spans="1:7" x14ac:dyDescent="0.25">
      <c r="A73" s="181">
        <v>67</v>
      </c>
      <c r="B73" s="181" t="s">
        <v>417</v>
      </c>
      <c r="C73" s="181">
        <f t="shared" si="9"/>
        <v>0</v>
      </c>
      <c r="D73" s="181"/>
      <c r="E73" s="181"/>
      <c r="G73" s="181"/>
    </row>
    <row r="74" spans="1:7" x14ac:dyDescent="0.25">
      <c r="A74" s="181">
        <v>68</v>
      </c>
      <c r="B74" s="181" t="s">
        <v>419</v>
      </c>
      <c r="C74" s="181">
        <f t="shared" si="9"/>
        <v>0</v>
      </c>
      <c r="D74" s="181"/>
      <c r="E74" s="181"/>
      <c r="G74" s="181"/>
    </row>
    <row r="75" spans="1:7" x14ac:dyDescent="0.25">
      <c r="A75" s="181">
        <v>69</v>
      </c>
      <c r="B75" s="181" t="s">
        <v>421</v>
      </c>
      <c r="C75" s="181">
        <f t="shared" si="9"/>
        <v>1</v>
      </c>
      <c r="D75" s="181"/>
      <c r="E75" s="181"/>
      <c r="G75" s="181"/>
    </row>
    <row r="76" spans="1:7" x14ac:dyDescent="0.25">
      <c r="A76" s="181">
        <v>70</v>
      </c>
      <c r="B76" s="181" t="s">
        <v>551</v>
      </c>
      <c r="C76" s="181">
        <f t="shared" si="9"/>
        <v>0</v>
      </c>
      <c r="D76" s="181"/>
      <c r="E76" s="181"/>
      <c r="G76" s="181"/>
    </row>
    <row r="77" spans="1:7" x14ac:dyDescent="0.25">
      <c r="A77" s="181">
        <v>71</v>
      </c>
      <c r="B77" s="181" t="s">
        <v>423</v>
      </c>
      <c r="C77" s="181">
        <f t="shared" si="9"/>
        <v>0</v>
      </c>
      <c r="D77" s="181"/>
      <c r="E77" s="181"/>
      <c r="G77" s="181"/>
    </row>
    <row r="78" spans="1:7" x14ac:dyDescent="0.25">
      <c r="A78" s="181">
        <v>72</v>
      </c>
      <c r="B78" s="181" t="s">
        <v>425</v>
      </c>
      <c r="C78" s="181">
        <f t="shared" si="9"/>
        <v>0</v>
      </c>
      <c r="D78" s="181"/>
      <c r="E78" s="181"/>
      <c r="G78" s="181"/>
    </row>
    <row r="79" spans="1:7" x14ac:dyDescent="0.25">
      <c r="A79" s="181">
        <v>73</v>
      </c>
      <c r="B79" s="181" t="s">
        <v>427</v>
      </c>
      <c r="C79" s="181">
        <f t="shared" si="9"/>
        <v>1</v>
      </c>
      <c r="D79" s="181"/>
      <c r="E79" s="181"/>
      <c r="G79" s="181"/>
    </row>
    <row r="80" spans="1:7" x14ac:dyDescent="0.25">
      <c r="A80" s="181">
        <v>74</v>
      </c>
      <c r="B80" s="181" t="s">
        <v>382</v>
      </c>
      <c r="C80" s="181">
        <f t="shared" si="9"/>
        <v>0</v>
      </c>
      <c r="D80" s="181"/>
      <c r="E80" s="181"/>
      <c r="G80" s="181"/>
    </row>
    <row r="81" spans="1:7" x14ac:dyDescent="0.25">
      <c r="A81" s="181">
        <v>75</v>
      </c>
      <c r="B81" s="181" t="s">
        <v>383</v>
      </c>
      <c r="C81" s="181">
        <f t="shared" si="9"/>
        <v>0</v>
      </c>
      <c r="D81" s="181"/>
      <c r="E81" s="181"/>
      <c r="G81" s="181"/>
    </row>
    <row r="82" spans="1:7" x14ac:dyDescent="0.25">
      <c r="A82" s="181">
        <v>76</v>
      </c>
      <c r="B82" s="181" t="s">
        <v>357</v>
      </c>
      <c r="C82" s="181">
        <f t="shared" si="9"/>
        <v>0</v>
      </c>
      <c r="D82" s="181"/>
      <c r="E82" s="181"/>
      <c r="G82" s="181"/>
    </row>
    <row r="83" spans="1:7" x14ac:dyDescent="0.25">
      <c r="A83" s="181">
        <v>77</v>
      </c>
      <c r="B83" s="181" t="s">
        <v>386</v>
      </c>
      <c r="C83" s="181">
        <f t="shared" si="9"/>
        <v>1</v>
      </c>
      <c r="D83" s="181"/>
      <c r="E83" s="181"/>
      <c r="G83" s="181"/>
    </row>
    <row r="84" spans="1:7" x14ac:dyDescent="0.25">
      <c r="A84" s="181">
        <v>78</v>
      </c>
      <c r="B84" s="181" t="s">
        <v>388</v>
      </c>
      <c r="C84" s="181">
        <f t="shared" si="9"/>
        <v>0</v>
      </c>
      <c r="D84" s="181"/>
      <c r="E84" s="181"/>
      <c r="G84" s="181"/>
    </row>
    <row r="85" spans="1:7" x14ac:dyDescent="0.25">
      <c r="A85" s="181">
        <v>79</v>
      </c>
      <c r="B85" s="181" t="s">
        <v>390</v>
      </c>
      <c r="C85" s="181">
        <f t="shared" si="9"/>
        <v>0</v>
      </c>
      <c r="D85" s="181"/>
      <c r="E85" s="181"/>
      <c r="G85" s="181"/>
    </row>
    <row r="86" spans="1:7" x14ac:dyDescent="0.25">
      <c r="A86" s="181">
        <v>80</v>
      </c>
      <c r="B86" s="181" t="s">
        <v>392</v>
      </c>
      <c r="C86" s="181">
        <f t="shared" si="9"/>
        <v>0</v>
      </c>
      <c r="D86" s="181"/>
      <c r="E86" s="181"/>
      <c r="G86" s="181"/>
    </row>
    <row r="87" spans="1:7" x14ac:dyDescent="0.25">
      <c r="A87" s="181">
        <v>81</v>
      </c>
      <c r="B87" s="181" t="s">
        <v>394</v>
      </c>
      <c r="C87" s="181">
        <f t="shared" si="9"/>
        <v>1</v>
      </c>
      <c r="D87" s="181"/>
      <c r="E87" s="181"/>
      <c r="G87" s="181"/>
    </row>
    <row r="88" spans="1:7" x14ac:dyDescent="0.25">
      <c r="A88" s="181">
        <v>82</v>
      </c>
      <c r="B88" s="181" t="s">
        <v>396</v>
      </c>
      <c r="C88" s="181">
        <f t="shared" si="9"/>
        <v>0</v>
      </c>
      <c r="D88" s="181"/>
      <c r="E88" s="181"/>
      <c r="G88" s="181"/>
    </row>
    <row r="89" spans="1:7" x14ac:dyDescent="0.25">
      <c r="A89" s="181">
        <v>83</v>
      </c>
      <c r="B89" s="181" t="s">
        <v>398</v>
      </c>
      <c r="C89" s="181">
        <f t="shared" si="9"/>
        <v>0</v>
      </c>
      <c r="D89" s="181"/>
      <c r="E89" s="181"/>
      <c r="G89" s="181"/>
    </row>
    <row r="90" spans="1:7" x14ac:dyDescent="0.25">
      <c r="A90" s="181">
        <v>84</v>
      </c>
      <c r="B90" s="181" t="s">
        <v>400</v>
      </c>
      <c r="C90" s="181">
        <f t="shared" si="9"/>
        <v>0</v>
      </c>
      <c r="D90" s="181"/>
      <c r="E90" s="181"/>
      <c r="G90" s="181"/>
    </row>
    <row r="91" spans="1:7" x14ac:dyDescent="0.25">
      <c r="A91" s="181">
        <v>85</v>
      </c>
      <c r="B91" s="181" t="s">
        <v>402</v>
      </c>
      <c r="C91" s="181">
        <f t="shared" si="9"/>
        <v>1</v>
      </c>
      <c r="D91" s="181"/>
      <c r="E91" s="181"/>
      <c r="G91" s="181"/>
    </row>
    <row r="92" spans="1:7" x14ac:dyDescent="0.25">
      <c r="A92" s="181">
        <v>86</v>
      </c>
      <c r="B92" s="181" t="s">
        <v>404</v>
      </c>
      <c r="C92" s="181">
        <f t="shared" si="9"/>
        <v>0</v>
      </c>
      <c r="D92" s="181"/>
      <c r="E92" s="181"/>
      <c r="G92" s="181"/>
    </row>
    <row r="93" spans="1:7" x14ac:dyDescent="0.25">
      <c r="A93" s="181">
        <v>87</v>
      </c>
      <c r="B93" s="181" t="s">
        <v>406</v>
      </c>
      <c r="C93" s="181">
        <f t="shared" si="9"/>
        <v>0</v>
      </c>
      <c r="D93" s="181"/>
      <c r="E93" s="181"/>
      <c r="G93" s="181"/>
    </row>
    <row r="94" spans="1:7" x14ac:dyDescent="0.25">
      <c r="A94" s="181">
        <v>88</v>
      </c>
      <c r="B94" s="181" t="s">
        <v>408</v>
      </c>
      <c r="C94" s="181">
        <f t="shared" si="9"/>
        <v>0</v>
      </c>
      <c r="D94" s="181"/>
      <c r="E94" s="181"/>
      <c r="G94" s="181"/>
    </row>
    <row r="95" spans="1:7" x14ac:dyDescent="0.25">
      <c r="A95" s="181">
        <v>89</v>
      </c>
      <c r="B95" s="181" t="s">
        <v>410</v>
      </c>
      <c r="C95" s="181">
        <f t="shared" si="9"/>
        <v>1</v>
      </c>
      <c r="D95" s="181"/>
      <c r="E95" s="181"/>
      <c r="G95" s="181"/>
    </row>
    <row r="96" spans="1:7" x14ac:dyDescent="0.25">
      <c r="A96" s="181">
        <v>90</v>
      </c>
      <c r="B96" s="181" t="s">
        <v>412</v>
      </c>
      <c r="C96" s="181">
        <f t="shared" si="9"/>
        <v>0</v>
      </c>
      <c r="D96" s="181"/>
      <c r="E96" s="181"/>
      <c r="G96" s="181"/>
    </row>
    <row r="97" spans="1:7" x14ac:dyDescent="0.25">
      <c r="A97" s="181">
        <v>91</v>
      </c>
      <c r="B97" s="181" t="s">
        <v>414</v>
      </c>
      <c r="C97" s="181">
        <f t="shared" si="9"/>
        <v>0</v>
      </c>
      <c r="D97" s="181"/>
      <c r="E97" s="181"/>
      <c r="G97" s="181"/>
    </row>
    <row r="98" spans="1:7" x14ac:dyDescent="0.25">
      <c r="A98" s="181">
        <v>92</v>
      </c>
      <c r="B98" s="181" t="s">
        <v>416</v>
      </c>
      <c r="C98" s="181">
        <f t="shared" si="9"/>
        <v>0</v>
      </c>
      <c r="D98" s="181"/>
      <c r="E98" s="181"/>
      <c r="G98" s="181"/>
    </row>
    <row r="99" spans="1:7" x14ac:dyDescent="0.25">
      <c r="A99" s="181">
        <v>93</v>
      </c>
      <c r="B99" s="181" t="s">
        <v>418</v>
      </c>
      <c r="C99" s="181">
        <f t="shared" si="9"/>
        <v>1</v>
      </c>
      <c r="D99" s="181"/>
      <c r="E99" s="181"/>
      <c r="G99" s="181"/>
    </row>
    <row r="100" spans="1:7" x14ac:dyDescent="0.25">
      <c r="A100" s="181">
        <v>94</v>
      </c>
      <c r="B100" s="181" t="s">
        <v>420</v>
      </c>
      <c r="C100" s="181">
        <f t="shared" si="9"/>
        <v>0</v>
      </c>
      <c r="D100" s="181"/>
      <c r="E100" s="181"/>
      <c r="G100" s="181"/>
    </row>
    <row r="101" spans="1:7" x14ac:dyDescent="0.25">
      <c r="A101" s="181">
        <v>95</v>
      </c>
      <c r="B101" s="181" t="s">
        <v>422</v>
      </c>
      <c r="C101" s="181">
        <f t="shared" si="9"/>
        <v>0</v>
      </c>
      <c r="D101" s="181"/>
      <c r="E101" s="181"/>
      <c r="G101" s="181"/>
    </row>
    <row r="102" spans="1:7" x14ac:dyDescent="0.25">
      <c r="A102" s="181">
        <v>96</v>
      </c>
      <c r="B102" s="181" t="s">
        <v>552</v>
      </c>
      <c r="C102" s="181">
        <f t="shared" si="9"/>
        <v>0</v>
      </c>
      <c r="D102" s="181"/>
      <c r="E102" s="181"/>
      <c r="G102" s="181"/>
    </row>
    <row r="103" spans="1:7" x14ac:dyDescent="0.25">
      <c r="A103" s="181">
        <v>97</v>
      </c>
      <c r="B103" s="181" t="s">
        <v>424</v>
      </c>
      <c r="C103" s="181">
        <f t="shared" si="9"/>
        <v>1</v>
      </c>
      <c r="D103" s="181"/>
      <c r="E103" s="181"/>
      <c r="G103" s="181"/>
    </row>
    <row r="104" spans="1:7" x14ac:dyDescent="0.25">
      <c r="A104" s="181">
        <v>98</v>
      </c>
      <c r="B104" s="181" t="s">
        <v>426</v>
      </c>
      <c r="C104" s="181">
        <f t="shared" si="9"/>
        <v>0</v>
      </c>
      <c r="D104" s="181"/>
      <c r="E104" s="181"/>
      <c r="G104" s="181"/>
    </row>
  </sheetData>
  <mergeCells count="25">
    <mergeCell ref="AJ3:AK3"/>
    <mergeCell ref="X3:Y3"/>
    <mergeCell ref="Z3:AA3"/>
    <mergeCell ref="AB3:AC3"/>
    <mergeCell ref="AD3:AE3"/>
    <mergeCell ref="AF3:AG3"/>
    <mergeCell ref="AH3:AI3"/>
    <mergeCell ref="BH3:BI3"/>
    <mergeCell ref="AL3:AM3"/>
    <mergeCell ref="AN3:AO3"/>
    <mergeCell ref="AP3:AQ3"/>
    <mergeCell ref="AR3:AS3"/>
    <mergeCell ref="AT3:AU3"/>
    <mergeCell ref="AV3:AW3"/>
    <mergeCell ref="AX3:AY3"/>
    <mergeCell ref="AZ3:BA3"/>
    <mergeCell ref="BB3:BC3"/>
    <mergeCell ref="BD3:BE3"/>
    <mergeCell ref="BF3:BG3"/>
    <mergeCell ref="BP3:BQ3"/>
    <mergeCell ref="BR3:BS3"/>
    <mergeCell ref="BT3:BU3"/>
    <mergeCell ref="BJ3:BK3"/>
    <mergeCell ref="BL3:BM3"/>
    <mergeCell ref="BN3:BO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vt:lpstr>
      <vt:lpstr>Segments</vt:lpstr>
      <vt:lpstr>Links</vt:lpstr>
      <vt:lpstr>Intersections</vt:lpstr>
      <vt:lpstr>Variables</vt:lpstr>
      <vt:lpstr>Pavement Condition Rating</vt:lpstr>
      <vt:lpstr>Sheet4</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2020-03-16T17:52:05Z</dcterms:modified>
</cp:coreProperties>
</file>