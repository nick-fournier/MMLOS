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1929" codeName="{1AED2BDD-1FA3-CEF2-32D4-FBADEFEB71EE}"/>
  <workbookPr codeName="ThisWorkbook"/>
  <mc:AlternateContent xmlns:mc="http://schemas.openxmlformats.org/markup-compatibility/2006">
    <mc:Choice Requires="x15">
      <x15ac:absPath xmlns:x15ac="http://schemas.microsoft.com/office/spreadsheetml/2010/11/ac" url="B:\Google Drive\Academics\Projects\2020\Complete Streets Bike LOS\Prototype\"/>
    </mc:Choice>
  </mc:AlternateContent>
  <xr:revisionPtr revIDLastSave="0" documentId="13_ncr:1_{936165E7-9C90-4A0B-8A6E-FAD7294D2AFF}" xr6:coauthVersionLast="44" xr6:coauthVersionMax="44" xr10:uidLastSave="{00000000-0000-0000-0000-000000000000}"/>
  <bookViews>
    <workbookView xWindow="-195" yWindow="150" windowWidth="27930" windowHeight="15180" tabRatio="769" xr2:uid="{00000000-000D-0000-FFFF-FFFF00000000}"/>
  </bookViews>
  <sheets>
    <sheet name="Report" sheetId="9" r:id="rId1"/>
    <sheet name="Segments" sheetId="11" r:id="rId2"/>
    <sheet name="Links" sheetId="2" r:id="rId3"/>
    <sheet name="Intersections" sheetId="3" r:id="rId4"/>
    <sheet name="Variables" sheetId="4" r:id="rId5"/>
    <sheet name="Pavement Condition Rating" sheetId="5" r:id="rId6"/>
    <sheet name="Sheet4" sheetId="12" r:id="rId7"/>
    <sheet name="Sheet5" sheetId="13" r:id="rId8"/>
  </sheets>
  <functionGroups builtInGroupCount="19">
    <functionGroup name=""/>
  </functionGroups>
  <calcPr calcId="191029"/>
  <extLst>
    <ext xmlns:x14="http://schemas.microsoft.com/office/spreadsheetml/2009/9/main" uri="{8193D73E-4604-4355-AFF4-8A2333D13BE4}">
      <x14:definedNames>
        <x14:definedName name="TWSC_PED_DELAY">
          <x14:argumentDescriptions count="7">
            <x14:argumentDescription index="0">Number of lane crossings</x14:argumentDescription>
            <x14:argumentDescription index="1">n</x14:argumentDescription>
            <x14:argumentDescription index="2">h</x14:argumentDescription>
            <x14:argumentDescription index="3">P_b</x14:argumentDescription>
            <x14:argumentDescription index="4">P_d</x14:argumentDescription>
            <x14:argumentDescription index="5">M_y</x14:argumentDescription>
            <x14:argumentDescription index="6">d_gd</x14:argumentDescription>
          </x14:argumentDescriptions>
        </x14:definedName>
      </x14:definedNames>
    </ext>
    <ext xmlns:x14="http://schemas.microsoft.com/office/spreadsheetml/2009/9/main" uri="{79F54976-1DA5-4618-B147-4CDE4B953A38}">
      <x14:workbookPr defaultImageDpi="330"/>
    </ext>
    <ext xmlns:xcalcf="http://schemas.microsoft.com/office/spreadsheetml/2018/calcfeatures" uri="{B58B0392-4F1F-4190-BB64-5DF3571DCE5F}">
      <xcalcf:calcFeatures>
        <xcalcf:feature name="microsoft.com:RD"/>
        <xcalcf:feature name="microsoft.com:FV"/>
      </xcalcf:calcFeatures>
    </ext>
    <ext xmlns:mx="http://schemas.microsoft.com/office/mac/excel/2008/main" uri="{7523E5D3-25F3-A5E0-1632-64F254C22452}">
      <mx:ArchID Flags="2"/>
    </ext>
  </extLst>
</workbook>
</file>

<file path=xl/calcChain.xml><?xml version="1.0" encoding="utf-8"?>
<calcChain xmlns="http://schemas.openxmlformats.org/spreadsheetml/2006/main">
  <c r="S9" i="9" l="1"/>
  <c r="S8" i="9"/>
  <c r="S27" i="9"/>
  <c r="S26" i="9"/>
  <c r="S25" i="9"/>
  <c r="S24" i="9"/>
  <c r="S23" i="9"/>
  <c r="S22" i="9"/>
  <c r="S21" i="9"/>
  <c r="S20" i="9"/>
  <c r="S19" i="9"/>
  <c r="S18" i="9"/>
  <c r="S17" i="9"/>
  <c r="S16" i="9"/>
  <c r="S15" i="9"/>
  <c r="S14" i="9"/>
  <c r="S13" i="9"/>
  <c r="S12" i="9"/>
  <c r="S11" i="9"/>
  <c r="S10" i="9"/>
  <c r="P27" i="9"/>
  <c r="P26" i="9"/>
  <c r="S29" i="9"/>
  <c r="R29" i="9"/>
  <c r="P29" i="9"/>
  <c r="AS48" i="11"/>
  <c r="AS46" i="11"/>
  <c r="AS45" i="11"/>
  <c r="AS47" i="11" s="1"/>
  <c r="AS41" i="11"/>
  <c r="AS40" i="11"/>
  <c r="M9" i="11"/>
  <c r="O9" i="11"/>
  <c r="Q9" i="11"/>
  <c r="S9" i="11"/>
  <c r="U9" i="11"/>
  <c r="W9" i="11"/>
  <c r="Y9" i="11"/>
  <c r="AA9" i="11"/>
  <c r="AC9" i="11"/>
  <c r="AE9" i="11"/>
  <c r="AG9" i="11"/>
  <c r="AI9" i="11"/>
  <c r="AM9" i="11"/>
  <c r="AK9" i="11"/>
  <c r="AO9" i="11"/>
  <c r="AQ9" i="11"/>
  <c r="K9" i="11"/>
  <c r="I9" i="11"/>
  <c r="G9" i="11"/>
  <c r="E9" i="11"/>
  <c r="CL114" i="3"/>
  <c r="F16" i="3"/>
  <c r="S9" i="13"/>
  <c r="S10" i="13"/>
  <c r="S11" i="13"/>
  <c r="S12" i="13"/>
  <c r="S13" i="13"/>
  <c r="S14" i="13"/>
  <c r="S15" i="13"/>
  <c r="S16" i="13"/>
  <c r="S17" i="13"/>
  <c r="S18" i="13"/>
  <c r="S19" i="13"/>
  <c r="S20" i="13"/>
  <c r="S21" i="13"/>
  <c r="S22" i="13"/>
  <c r="S23" i="13"/>
  <c r="S24" i="13"/>
  <c r="S25" i="13"/>
  <c r="S26" i="13"/>
  <c r="S27" i="13"/>
  <c r="S8" i="13"/>
  <c r="G31" i="11"/>
  <c r="E31" i="11"/>
  <c r="G27" i="11"/>
  <c r="G8" i="11"/>
  <c r="G40" i="11" s="1"/>
  <c r="R8" i="13"/>
  <c r="R9" i="13"/>
  <c r="R10" i="13"/>
  <c r="R11" i="13"/>
  <c r="R12" i="13"/>
  <c r="R13" i="13"/>
  <c r="R14" i="13"/>
  <c r="R15" i="13"/>
  <c r="R16" i="13"/>
  <c r="R17" i="13"/>
  <c r="R18" i="13"/>
  <c r="R19" i="13"/>
  <c r="R20" i="13"/>
  <c r="R21" i="13"/>
  <c r="R22" i="13"/>
  <c r="R23" i="13"/>
  <c r="R24" i="13"/>
  <c r="R25" i="13"/>
  <c r="R26" i="13"/>
  <c r="R27" i="13"/>
  <c r="Q15" i="13"/>
  <c r="Q16" i="13" s="1"/>
  <c r="Q17" i="13" s="1"/>
  <c r="Q18" i="13" s="1"/>
  <c r="Q19" i="13" s="1"/>
  <c r="Q20" i="13" s="1"/>
  <c r="Q21" i="13" s="1"/>
  <c r="Q22" i="13" s="1"/>
  <c r="Q23" i="13" s="1"/>
  <c r="Q24" i="13" s="1"/>
  <c r="Q25" i="13" s="1"/>
  <c r="Q26" i="13" s="1"/>
  <c r="Q27" i="13" s="1"/>
  <c r="Q9" i="13"/>
  <c r="Q10" i="13" s="1"/>
  <c r="Q11" i="13" s="1"/>
  <c r="Q12" i="13" s="1"/>
  <c r="Q13" i="13" s="1"/>
  <c r="Q14" i="13" s="1"/>
  <c r="Q8" i="13"/>
  <c r="G7" i="13"/>
  <c r="H7" i="13" s="1"/>
  <c r="AT91" i="2"/>
  <c r="N29" i="9"/>
  <c r="G11" i="11"/>
  <c r="G47" i="11" s="1"/>
  <c r="R9" i="9" s="1"/>
  <c r="AQ53" i="11"/>
  <c r="AO53" i="11"/>
  <c r="AM53" i="11"/>
  <c r="AK53" i="11"/>
  <c r="AI53" i="11"/>
  <c r="AG53" i="11"/>
  <c r="AE53" i="11"/>
  <c r="AC53" i="11"/>
  <c r="AA53" i="11"/>
  <c r="Y53" i="11"/>
  <c r="W53" i="11"/>
  <c r="U53" i="11"/>
  <c r="S53" i="11"/>
  <c r="Q53" i="11"/>
  <c r="O53" i="11"/>
  <c r="M53" i="11"/>
  <c r="K53" i="11"/>
  <c r="I53" i="11"/>
  <c r="G53" i="11"/>
  <c r="E53" i="11"/>
  <c r="K31" i="11"/>
  <c r="M31" i="11"/>
  <c r="O31" i="11"/>
  <c r="Q31" i="11"/>
  <c r="S31" i="11"/>
  <c r="U31" i="11"/>
  <c r="W31" i="11"/>
  <c r="Y31" i="11"/>
  <c r="AA31" i="11"/>
  <c r="AC31" i="11"/>
  <c r="AE31" i="11"/>
  <c r="AG31" i="11"/>
  <c r="AI31" i="11"/>
  <c r="AK31" i="11"/>
  <c r="AM31" i="11"/>
  <c r="AO31" i="11"/>
  <c r="AQ31" i="11"/>
  <c r="I31" i="11"/>
  <c r="AR30" i="11"/>
  <c r="AR32" i="11" s="1"/>
  <c r="AR33" i="11" s="1"/>
  <c r="AQ30" i="11"/>
  <c r="AP30" i="11"/>
  <c r="AO30" i="11"/>
  <c r="AR29" i="11"/>
  <c r="AQ29" i="11"/>
  <c r="AP29" i="11"/>
  <c r="AO29" i="11"/>
  <c r="AR28" i="11"/>
  <c r="AQ28" i="11"/>
  <c r="AP28" i="11"/>
  <c r="AO28" i="11"/>
  <c r="AR27" i="11"/>
  <c r="AQ27" i="11"/>
  <c r="AP27" i="11"/>
  <c r="AO27" i="11"/>
  <c r="AN30" i="11"/>
  <c r="AN32" i="11" s="1"/>
  <c r="AN33" i="11" s="1"/>
  <c r="AM30" i="11"/>
  <c r="AL30" i="11"/>
  <c r="AK30" i="11"/>
  <c r="AK32" i="11" s="1"/>
  <c r="AK33" i="11" s="1"/>
  <c r="AJ30" i="11"/>
  <c r="AJ32" i="11" s="1"/>
  <c r="AJ33" i="11" s="1"/>
  <c r="AI30" i="11"/>
  <c r="AI32" i="11" s="1"/>
  <c r="AI33" i="11" s="1"/>
  <c r="AH30" i="11"/>
  <c r="AH32" i="11" s="1"/>
  <c r="AH33" i="11" s="1"/>
  <c r="AG30" i="11"/>
  <c r="AG32" i="11" s="1"/>
  <c r="AG33" i="11" s="1"/>
  <c r="AF30" i="11"/>
  <c r="AF32" i="11" s="1"/>
  <c r="AF33" i="11" s="1"/>
  <c r="AE30" i="11"/>
  <c r="AD30" i="11"/>
  <c r="AC30" i="11"/>
  <c r="AC32" i="11" s="1"/>
  <c r="AC33" i="11" s="1"/>
  <c r="AN29" i="11"/>
  <c r="AM29" i="11"/>
  <c r="AL29" i="11"/>
  <c r="AK29" i="11"/>
  <c r="AJ29" i="11"/>
  <c r="AI29" i="11"/>
  <c r="AH29" i="11"/>
  <c r="AG29" i="11"/>
  <c r="AF29" i="11"/>
  <c r="AE29" i="11"/>
  <c r="AD29" i="11"/>
  <c r="AC29" i="11"/>
  <c r="AN28" i="11"/>
  <c r="AM28" i="11"/>
  <c r="AL28" i="11"/>
  <c r="AK28" i="11"/>
  <c r="AJ28" i="11"/>
  <c r="AI28" i="11"/>
  <c r="AH28" i="11"/>
  <c r="AG28" i="11"/>
  <c r="AF28" i="11"/>
  <c r="AE28" i="11"/>
  <c r="AD28" i="11"/>
  <c r="AC28" i="11"/>
  <c r="AN27" i="11"/>
  <c r="AM27" i="11"/>
  <c r="AL27" i="11"/>
  <c r="AK27" i="11"/>
  <c r="AJ27" i="11"/>
  <c r="AI27" i="11"/>
  <c r="AH27" i="11"/>
  <c r="AG27" i="11"/>
  <c r="AF27" i="11"/>
  <c r="AE27" i="11"/>
  <c r="AD27" i="11"/>
  <c r="AC27" i="11"/>
  <c r="AB30" i="11"/>
  <c r="AB32" i="11" s="1"/>
  <c r="AB33" i="11" s="1"/>
  <c r="AA30" i="11"/>
  <c r="AA32" i="11" s="1"/>
  <c r="AA33" i="11" s="1"/>
  <c r="Z30" i="11"/>
  <c r="Z32" i="11" s="1"/>
  <c r="Z33" i="11" s="1"/>
  <c r="Y30" i="11"/>
  <c r="Y32" i="11" s="1"/>
  <c r="Y33" i="11" s="1"/>
  <c r="X30" i="11"/>
  <c r="X32" i="11" s="1"/>
  <c r="X33" i="11" s="1"/>
  <c r="W30" i="11"/>
  <c r="V30" i="11"/>
  <c r="U30" i="11"/>
  <c r="U32" i="11" s="1"/>
  <c r="U33" i="11" s="1"/>
  <c r="T30" i="11"/>
  <c r="T32" i="11" s="1"/>
  <c r="T33" i="11" s="1"/>
  <c r="S30" i="11"/>
  <c r="S32" i="11" s="1"/>
  <c r="S33" i="11" s="1"/>
  <c r="R30" i="11"/>
  <c r="R32" i="11" s="1"/>
  <c r="R33" i="11" s="1"/>
  <c r="Q30" i="11"/>
  <c r="Q32" i="11" s="1"/>
  <c r="Q33" i="11" s="1"/>
  <c r="AB29" i="11"/>
  <c r="AA29" i="11"/>
  <c r="Z29" i="11"/>
  <c r="Y29" i="11"/>
  <c r="X29" i="11"/>
  <c r="W29" i="11"/>
  <c r="V29" i="11"/>
  <c r="U29" i="11"/>
  <c r="T29" i="11"/>
  <c r="S29" i="11"/>
  <c r="R29" i="11"/>
  <c r="Q29" i="11"/>
  <c r="AB28" i="11"/>
  <c r="AA28" i="11"/>
  <c r="Z28" i="11"/>
  <c r="Y28" i="11"/>
  <c r="X28" i="11"/>
  <c r="W28" i="11"/>
  <c r="V28" i="11"/>
  <c r="U28" i="11"/>
  <c r="T28" i="11"/>
  <c r="S28" i="11"/>
  <c r="R28" i="11"/>
  <c r="Q28" i="11"/>
  <c r="AB27" i="11"/>
  <c r="AA27" i="11"/>
  <c r="Z27" i="11"/>
  <c r="Y27" i="11"/>
  <c r="X27" i="11"/>
  <c r="W27" i="11"/>
  <c r="V27" i="11"/>
  <c r="U27" i="11"/>
  <c r="T27" i="11"/>
  <c r="S27" i="11"/>
  <c r="R27" i="11"/>
  <c r="Q27" i="11"/>
  <c r="P30" i="11"/>
  <c r="P32" i="11" s="1"/>
  <c r="P33" i="11" s="1"/>
  <c r="O30" i="11"/>
  <c r="P29" i="11"/>
  <c r="O29" i="11"/>
  <c r="P28" i="11"/>
  <c r="O28" i="11"/>
  <c r="P27" i="11"/>
  <c r="O27" i="11"/>
  <c r="N30" i="11"/>
  <c r="M30" i="11"/>
  <c r="N29" i="11"/>
  <c r="M29" i="11"/>
  <c r="N28" i="11"/>
  <c r="M28" i="11"/>
  <c r="N27" i="11"/>
  <c r="M27" i="11"/>
  <c r="L30" i="11"/>
  <c r="L32" i="11" s="1"/>
  <c r="L33" i="11" s="1"/>
  <c r="K30" i="11"/>
  <c r="K32" i="11" s="1"/>
  <c r="K33" i="11" s="1"/>
  <c r="L29" i="11"/>
  <c r="K29" i="11"/>
  <c r="L28" i="11"/>
  <c r="K28" i="11"/>
  <c r="L27" i="11"/>
  <c r="K27" i="11"/>
  <c r="J30" i="11"/>
  <c r="I30" i="11"/>
  <c r="J29" i="11"/>
  <c r="I29" i="11"/>
  <c r="J28" i="11"/>
  <c r="I28" i="11"/>
  <c r="J27" i="11"/>
  <c r="I27" i="11"/>
  <c r="CK64" i="3"/>
  <c r="CJ64" i="3"/>
  <c r="CJ65" i="3" s="1"/>
  <c r="CI64" i="3"/>
  <c r="CH64" i="3"/>
  <c r="CH65" i="3" s="1"/>
  <c r="CG64" i="3"/>
  <c r="CF64" i="3"/>
  <c r="CF65" i="3" s="1"/>
  <c r="CE64" i="3"/>
  <c r="CD64" i="3"/>
  <c r="CD65" i="3" s="1"/>
  <c r="CC64" i="3"/>
  <c r="CB64" i="3"/>
  <c r="CA64" i="3"/>
  <c r="BZ64" i="3"/>
  <c r="BY64" i="3"/>
  <c r="BX64" i="3"/>
  <c r="BX65" i="3" s="1"/>
  <c r="BW64" i="3"/>
  <c r="BV64" i="3"/>
  <c r="BU64" i="3"/>
  <c r="BT64" i="3"/>
  <c r="BT65" i="3" s="1"/>
  <c r="BS64" i="3"/>
  <c r="BR64" i="3"/>
  <c r="BR65" i="3" s="1"/>
  <c r="BQ64" i="3"/>
  <c r="BP64" i="3"/>
  <c r="BP65" i="3" s="1"/>
  <c r="BO64" i="3"/>
  <c r="BN64" i="3"/>
  <c r="BN65" i="3" s="1"/>
  <c r="BM64" i="3"/>
  <c r="BL64" i="3"/>
  <c r="BL65" i="3" s="1"/>
  <c r="BK64" i="3"/>
  <c r="BJ64" i="3"/>
  <c r="BJ65" i="3" s="1"/>
  <c r="BI64" i="3"/>
  <c r="BH64" i="3"/>
  <c r="BH65" i="3" s="1"/>
  <c r="BG64" i="3"/>
  <c r="BF64" i="3"/>
  <c r="BF65" i="3" s="1"/>
  <c r="BE64" i="3"/>
  <c r="BD64" i="3"/>
  <c r="BD65" i="3" s="1"/>
  <c r="BC64" i="3"/>
  <c r="BB64" i="3"/>
  <c r="BA64" i="3"/>
  <c r="AZ64" i="3"/>
  <c r="AY64" i="3"/>
  <c r="AX64" i="3"/>
  <c r="AX65" i="3" s="1"/>
  <c r="AW64" i="3"/>
  <c r="AV64" i="3"/>
  <c r="AV65" i="3" s="1"/>
  <c r="AU64" i="3"/>
  <c r="AT64" i="3"/>
  <c r="AS64" i="3"/>
  <c r="AR64" i="3"/>
  <c r="AR65" i="3" s="1"/>
  <c r="AQ64" i="3"/>
  <c r="AP64" i="3"/>
  <c r="AP65" i="3" s="1"/>
  <c r="AO64" i="3"/>
  <c r="AN64" i="3"/>
  <c r="AN65" i="3" s="1"/>
  <c r="AM64" i="3"/>
  <c r="AL64" i="3"/>
  <c r="AK64" i="3"/>
  <c r="AJ64" i="3"/>
  <c r="AJ65" i="3" s="1"/>
  <c r="AI64" i="3"/>
  <c r="AH64" i="3"/>
  <c r="AG64" i="3"/>
  <c r="AF64" i="3"/>
  <c r="AF65" i="3" s="1"/>
  <c r="AE64" i="3"/>
  <c r="AD64" i="3"/>
  <c r="AC64" i="3"/>
  <c r="AB64" i="3"/>
  <c r="AB65" i="3" s="1"/>
  <c r="AA64" i="3"/>
  <c r="Z64" i="3"/>
  <c r="Y64" i="3"/>
  <c r="X64" i="3"/>
  <c r="X65" i="3" s="1"/>
  <c r="W64" i="3"/>
  <c r="V64" i="3"/>
  <c r="V65" i="3" s="1"/>
  <c r="U64" i="3"/>
  <c r="T64" i="3"/>
  <c r="T65" i="3" s="1"/>
  <c r="S64" i="3"/>
  <c r="R64" i="3"/>
  <c r="R65" i="3" s="1"/>
  <c r="Q64" i="3"/>
  <c r="P64" i="3"/>
  <c r="P65" i="3" s="1"/>
  <c r="O64" i="3"/>
  <c r="N64" i="3"/>
  <c r="N65" i="3" s="1"/>
  <c r="K64" i="3"/>
  <c r="K65" i="3" s="1"/>
  <c r="K66" i="3" s="1"/>
  <c r="J64" i="3"/>
  <c r="I64" i="3"/>
  <c r="H64" i="3"/>
  <c r="G64" i="3"/>
  <c r="F64" i="3"/>
  <c r="W23" i="11"/>
  <c r="W41" i="11" s="1"/>
  <c r="CH117" i="3"/>
  <c r="CH118" i="3" s="1"/>
  <c r="CH114" i="3"/>
  <c r="CH115" i="3" s="1"/>
  <c r="CH112" i="3"/>
  <c r="CH110" i="3"/>
  <c r="CK108" i="3"/>
  <c r="CK109" i="3" s="1"/>
  <c r="CJ108" i="3"/>
  <c r="CJ109" i="3" s="1"/>
  <c r="CI108" i="3"/>
  <c r="CI109" i="3" s="1"/>
  <c r="CH108" i="3"/>
  <c r="CH109" i="3" s="1"/>
  <c r="CK107" i="3"/>
  <c r="CJ107" i="3"/>
  <c r="CI107" i="3"/>
  <c r="CH107" i="3"/>
  <c r="CK104" i="3"/>
  <c r="CJ104" i="3"/>
  <c r="CI104" i="3"/>
  <c r="CH104" i="3"/>
  <c r="CK103" i="3"/>
  <c r="CK105" i="3" s="1"/>
  <c r="CK106" i="3" s="1"/>
  <c r="CJ103" i="3"/>
  <c r="CJ105" i="3" s="1"/>
  <c r="CJ106" i="3" s="1"/>
  <c r="CI103" i="3"/>
  <c r="CI105" i="3" s="1"/>
  <c r="CI106" i="3" s="1"/>
  <c r="CH103" i="3"/>
  <c r="CH105" i="3" s="1"/>
  <c r="CH106" i="3" s="1"/>
  <c r="CK102" i="3"/>
  <c r="CJ102" i="3"/>
  <c r="CI102" i="3"/>
  <c r="CH102" i="3"/>
  <c r="CK98" i="3"/>
  <c r="CJ98" i="3"/>
  <c r="CI98" i="3"/>
  <c r="CH98" i="3"/>
  <c r="CK97" i="3"/>
  <c r="CK99" i="3" s="1"/>
  <c r="CJ97" i="3"/>
  <c r="CJ99" i="3" s="1"/>
  <c r="CI97" i="3"/>
  <c r="CI99" i="3" s="1"/>
  <c r="CH97" i="3"/>
  <c r="CH99" i="3" s="1"/>
  <c r="CK88" i="3"/>
  <c r="CJ88" i="3"/>
  <c r="CI88" i="3"/>
  <c r="CH88" i="3"/>
  <c r="CK87" i="3"/>
  <c r="CK90" i="3" s="1"/>
  <c r="CJ87" i="3"/>
  <c r="CJ90" i="3" s="1"/>
  <c r="CI87" i="3"/>
  <c r="CI90" i="3" s="1"/>
  <c r="CH87" i="3"/>
  <c r="CH90" i="3" s="1"/>
  <c r="CK77" i="3"/>
  <c r="CJ77" i="3"/>
  <c r="CI77" i="3"/>
  <c r="CH77" i="3"/>
  <c r="CK76" i="3"/>
  <c r="CJ76" i="3"/>
  <c r="CJ83" i="3" s="1"/>
  <c r="CI76" i="3"/>
  <c r="CH76" i="3"/>
  <c r="CK75" i="3"/>
  <c r="CK79" i="3" s="1"/>
  <c r="CK80" i="3" s="1"/>
  <c r="CK81" i="3" s="1"/>
  <c r="CJ75" i="3"/>
  <c r="CJ78" i="3" s="1"/>
  <c r="CI75" i="3"/>
  <c r="CI79" i="3" s="1"/>
  <c r="CI80" i="3" s="1"/>
  <c r="CI81" i="3" s="1"/>
  <c r="CH75" i="3"/>
  <c r="CH79" i="3" s="1"/>
  <c r="CH80" i="3" s="1"/>
  <c r="CH81" i="3" s="1"/>
  <c r="CK70" i="3"/>
  <c r="CK72" i="3" s="1"/>
  <c r="CK73" i="3" s="1"/>
  <c r="CK100" i="3" s="1"/>
  <c r="CJ70" i="3"/>
  <c r="CJ72" i="3" s="1"/>
  <c r="CJ73" i="3" s="1"/>
  <c r="CJ100" i="3" s="1"/>
  <c r="CI70" i="3"/>
  <c r="CI72" i="3" s="1"/>
  <c r="CI73" i="3" s="1"/>
  <c r="CI100" i="3" s="1"/>
  <c r="CH70" i="3"/>
  <c r="CH72" i="3" s="1"/>
  <c r="CH73" i="3" s="1"/>
  <c r="CH100" i="3" s="1"/>
  <c r="CD117" i="3"/>
  <c r="CD118" i="3" s="1"/>
  <c r="CD114" i="3"/>
  <c r="CD115" i="3" s="1"/>
  <c r="CD112" i="3"/>
  <c r="CD110" i="3"/>
  <c r="CG108" i="3"/>
  <c r="CG109" i="3" s="1"/>
  <c r="CF108" i="3"/>
  <c r="CF109" i="3" s="1"/>
  <c r="CE108" i="3"/>
  <c r="CE109" i="3" s="1"/>
  <c r="CD108" i="3"/>
  <c r="CD109" i="3" s="1"/>
  <c r="CG107" i="3"/>
  <c r="CF107" i="3"/>
  <c r="CE107" i="3"/>
  <c r="CD107" i="3"/>
  <c r="CG104" i="3"/>
  <c r="CF104" i="3"/>
  <c r="CE104" i="3"/>
  <c r="CD104" i="3"/>
  <c r="CG103" i="3"/>
  <c r="CG105" i="3" s="1"/>
  <c r="CG106" i="3" s="1"/>
  <c r="CF103" i="3"/>
  <c r="CF105" i="3" s="1"/>
  <c r="CF106" i="3" s="1"/>
  <c r="CE103" i="3"/>
  <c r="CE105" i="3" s="1"/>
  <c r="CE106" i="3" s="1"/>
  <c r="CD103" i="3"/>
  <c r="CD105" i="3" s="1"/>
  <c r="CD106" i="3" s="1"/>
  <c r="CG102" i="3"/>
  <c r="CF102" i="3"/>
  <c r="CE102" i="3"/>
  <c r="CD102" i="3"/>
  <c r="CG98" i="3"/>
  <c r="CF98" i="3"/>
  <c r="CE98" i="3"/>
  <c r="CD98" i="3"/>
  <c r="CG97" i="3"/>
  <c r="CG99" i="3" s="1"/>
  <c r="CF97" i="3"/>
  <c r="CF99" i="3" s="1"/>
  <c r="CE97" i="3"/>
  <c r="CE99" i="3" s="1"/>
  <c r="CD97" i="3"/>
  <c r="CD99" i="3" s="1"/>
  <c r="CG88" i="3"/>
  <c r="CF88" i="3"/>
  <c r="CE88" i="3"/>
  <c r="CD88" i="3"/>
  <c r="CG87" i="3"/>
  <c r="CG90" i="3" s="1"/>
  <c r="CF87" i="3"/>
  <c r="CF90" i="3" s="1"/>
  <c r="CE87" i="3"/>
  <c r="CE90" i="3" s="1"/>
  <c r="CD87" i="3"/>
  <c r="CD90" i="3" s="1"/>
  <c r="CG77" i="3"/>
  <c r="CF77" i="3"/>
  <c r="CE77" i="3"/>
  <c r="CD77" i="3"/>
  <c r="CG76" i="3"/>
  <c r="CF76" i="3"/>
  <c r="CE76" i="3"/>
  <c r="CD76" i="3"/>
  <c r="CG75" i="3"/>
  <c r="CG79" i="3" s="1"/>
  <c r="CG80" i="3" s="1"/>
  <c r="CG81" i="3" s="1"/>
  <c r="CF75" i="3"/>
  <c r="CF78" i="3" s="1"/>
  <c r="CE75" i="3"/>
  <c r="CE79" i="3" s="1"/>
  <c r="CE80" i="3" s="1"/>
  <c r="CE81" i="3" s="1"/>
  <c r="CD75" i="3"/>
  <c r="CD79" i="3" s="1"/>
  <c r="CD80" i="3" s="1"/>
  <c r="CD81" i="3" s="1"/>
  <c r="CG70" i="3"/>
  <c r="CG72" i="3" s="1"/>
  <c r="CG73" i="3" s="1"/>
  <c r="CG100" i="3" s="1"/>
  <c r="CF70" i="3"/>
  <c r="CF72" i="3" s="1"/>
  <c r="CF73" i="3" s="1"/>
  <c r="CF100" i="3" s="1"/>
  <c r="CE70" i="3"/>
  <c r="CE72" i="3" s="1"/>
  <c r="CE73" i="3" s="1"/>
  <c r="CE100" i="3" s="1"/>
  <c r="CD70" i="3"/>
  <c r="CD72" i="3" s="1"/>
  <c r="CD73" i="3" s="1"/>
  <c r="CD100" i="3" s="1"/>
  <c r="BZ117" i="3"/>
  <c r="BZ118" i="3" s="1"/>
  <c r="BZ114" i="3"/>
  <c r="BZ115" i="3" s="1"/>
  <c r="BZ112" i="3"/>
  <c r="BZ110" i="3"/>
  <c r="CB109" i="3"/>
  <c r="CC108" i="3"/>
  <c r="CC109" i="3" s="1"/>
  <c r="CB108" i="3"/>
  <c r="CA108" i="3"/>
  <c r="CA109" i="3" s="1"/>
  <c r="BZ108" i="3"/>
  <c r="BZ109" i="3" s="1"/>
  <c r="CC107" i="3"/>
  <c r="CB107" i="3"/>
  <c r="CA107" i="3"/>
  <c r="BZ107" i="3"/>
  <c r="CC104" i="3"/>
  <c r="CB104" i="3"/>
  <c r="CA104" i="3"/>
  <c r="BZ104" i="3"/>
  <c r="CC103" i="3"/>
  <c r="CC105" i="3" s="1"/>
  <c r="CC106" i="3" s="1"/>
  <c r="CB103" i="3"/>
  <c r="CB105" i="3" s="1"/>
  <c r="CB106" i="3" s="1"/>
  <c r="CA103" i="3"/>
  <c r="CA105" i="3" s="1"/>
  <c r="CA106" i="3" s="1"/>
  <c r="BZ103" i="3"/>
  <c r="BZ105" i="3" s="1"/>
  <c r="BZ106" i="3" s="1"/>
  <c r="CC102" i="3"/>
  <c r="CB102" i="3"/>
  <c r="CA102" i="3"/>
  <c r="BZ102" i="3"/>
  <c r="CC98" i="3"/>
  <c r="CB98" i="3"/>
  <c r="CA98" i="3"/>
  <c r="BZ98" i="3"/>
  <c r="CC97" i="3"/>
  <c r="CC99" i="3" s="1"/>
  <c r="CB97" i="3"/>
  <c r="CB99" i="3" s="1"/>
  <c r="CA97" i="3"/>
  <c r="CA99" i="3" s="1"/>
  <c r="BZ97" i="3"/>
  <c r="BZ99" i="3" s="1"/>
  <c r="CC88" i="3"/>
  <c r="CB88" i="3"/>
  <c r="CA88" i="3"/>
  <c r="BZ88" i="3"/>
  <c r="CC87" i="3"/>
  <c r="CC90" i="3" s="1"/>
  <c r="CB87" i="3"/>
  <c r="CB89" i="3" s="1"/>
  <c r="CA87" i="3"/>
  <c r="CA90" i="3" s="1"/>
  <c r="BZ87" i="3"/>
  <c r="BZ90" i="3" s="1"/>
  <c r="CC77" i="3"/>
  <c r="CB77" i="3"/>
  <c r="CA77" i="3"/>
  <c r="BZ77" i="3"/>
  <c r="CC76" i="3"/>
  <c r="CB76" i="3"/>
  <c r="CA76" i="3"/>
  <c r="BZ76" i="3"/>
  <c r="CC75" i="3"/>
  <c r="CC79" i="3" s="1"/>
  <c r="CC80" i="3" s="1"/>
  <c r="CC81" i="3" s="1"/>
  <c r="CB75" i="3"/>
  <c r="CB79" i="3" s="1"/>
  <c r="CB80" i="3" s="1"/>
  <c r="CB81" i="3" s="1"/>
  <c r="CA75" i="3"/>
  <c r="CA79" i="3" s="1"/>
  <c r="CA80" i="3" s="1"/>
  <c r="CA81" i="3" s="1"/>
  <c r="BZ75" i="3"/>
  <c r="BZ79" i="3" s="1"/>
  <c r="BZ80" i="3" s="1"/>
  <c r="BZ81" i="3" s="1"/>
  <c r="CC70" i="3"/>
  <c r="CC72" i="3" s="1"/>
  <c r="CC73" i="3" s="1"/>
  <c r="CC100" i="3" s="1"/>
  <c r="CB70" i="3"/>
  <c r="CB72" i="3" s="1"/>
  <c r="CB73" i="3" s="1"/>
  <c r="CB100" i="3" s="1"/>
  <c r="CA70" i="3"/>
  <c r="CA72" i="3" s="1"/>
  <c r="CA73" i="3" s="1"/>
  <c r="CA100" i="3" s="1"/>
  <c r="BZ70" i="3"/>
  <c r="BZ72" i="3" s="1"/>
  <c r="BZ73" i="3" s="1"/>
  <c r="BZ100" i="3" s="1"/>
  <c r="BV117" i="3"/>
  <c r="BV118" i="3" s="1"/>
  <c r="BV114" i="3"/>
  <c r="BV115" i="3" s="1"/>
  <c r="BV112" i="3"/>
  <c r="BV110" i="3"/>
  <c r="BY108" i="3"/>
  <c r="BY109" i="3" s="1"/>
  <c r="BX108" i="3"/>
  <c r="BX109" i="3" s="1"/>
  <c r="BW108" i="3"/>
  <c r="BW109" i="3" s="1"/>
  <c r="BV108" i="3"/>
  <c r="BV109" i="3" s="1"/>
  <c r="BY107" i="3"/>
  <c r="BX107" i="3"/>
  <c r="BW107" i="3"/>
  <c r="BV107" i="3"/>
  <c r="BY104" i="3"/>
  <c r="BX104" i="3"/>
  <c r="BW104" i="3"/>
  <c r="BV104" i="3"/>
  <c r="BY103" i="3"/>
  <c r="BY105" i="3" s="1"/>
  <c r="BY106" i="3" s="1"/>
  <c r="BX103" i="3"/>
  <c r="BX105" i="3" s="1"/>
  <c r="BX106" i="3" s="1"/>
  <c r="BW103" i="3"/>
  <c r="BW105" i="3" s="1"/>
  <c r="BW106" i="3" s="1"/>
  <c r="BV103" i="3"/>
  <c r="BV105" i="3" s="1"/>
  <c r="BV106" i="3" s="1"/>
  <c r="BY102" i="3"/>
  <c r="BX102" i="3"/>
  <c r="BW102" i="3"/>
  <c r="BV102" i="3"/>
  <c r="BY98" i="3"/>
  <c r="BX98" i="3"/>
  <c r="BW98" i="3"/>
  <c r="BV98" i="3"/>
  <c r="BY97" i="3"/>
  <c r="BY99" i="3" s="1"/>
  <c r="BX97" i="3"/>
  <c r="BX99" i="3" s="1"/>
  <c r="BW97" i="3"/>
  <c r="BW99" i="3" s="1"/>
  <c r="BV97" i="3"/>
  <c r="BV99" i="3" s="1"/>
  <c r="BY88" i="3"/>
  <c r="BX88" i="3"/>
  <c r="BW88" i="3"/>
  <c r="BV88" i="3"/>
  <c r="BY87" i="3"/>
  <c r="BY90" i="3" s="1"/>
  <c r="BX87" i="3"/>
  <c r="BX90" i="3" s="1"/>
  <c r="BW87" i="3"/>
  <c r="BW90" i="3" s="1"/>
  <c r="BV87" i="3"/>
  <c r="BV90" i="3" s="1"/>
  <c r="BY77" i="3"/>
  <c r="BX77" i="3"/>
  <c r="BW77" i="3"/>
  <c r="BV77" i="3"/>
  <c r="BY76" i="3"/>
  <c r="BX76" i="3"/>
  <c r="BW76" i="3"/>
  <c r="BV76" i="3"/>
  <c r="BY75" i="3"/>
  <c r="BY79" i="3" s="1"/>
  <c r="BY80" i="3" s="1"/>
  <c r="BY81" i="3" s="1"/>
  <c r="BX75" i="3"/>
  <c r="BX78" i="3" s="1"/>
  <c r="BW75" i="3"/>
  <c r="BW79" i="3" s="1"/>
  <c r="BW80" i="3" s="1"/>
  <c r="BW81" i="3" s="1"/>
  <c r="BV75" i="3"/>
  <c r="BV79" i="3" s="1"/>
  <c r="BV80" i="3" s="1"/>
  <c r="BV81" i="3" s="1"/>
  <c r="BY70" i="3"/>
  <c r="BY72" i="3" s="1"/>
  <c r="BY73" i="3" s="1"/>
  <c r="BY100" i="3" s="1"/>
  <c r="BX70" i="3"/>
  <c r="BX72" i="3" s="1"/>
  <c r="BX73" i="3" s="1"/>
  <c r="BX100" i="3" s="1"/>
  <c r="BW70" i="3"/>
  <c r="BW72" i="3" s="1"/>
  <c r="BW73" i="3" s="1"/>
  <c r="BW100" i="3" s="1"/>
  <c r="BV70" i="3"/>
  <c r="BV72" i="3" s="1"/>
  <c r="BV73" i="3" s="1"/>
  <c r="BV100" i="3" s="1"/>
  <c r="BR117" i="3"/>
  <c r="BR118" i="3" s="1"/>
  <c r="BR114" i="3"/>
  <c r="BR115" i="3" s="1"/>
  <c r="BR112" i="3"/>
  <c r="BR110" i="3"/>
  <c r="BU108" i="3"/>
  <c r="BU109" i="3" s="1"/>
  <c r="BT108" i="3"/>
  <c r="BT109" i="3" s="1"/>
  <c r="BS108" i="3"/>
  <c r="BS109" i="3" s="1"/>
  <c r="BR108" i="3"/>
  <c r="BR109" i="3" s="1"/>
  <c r="BU107" i="3"/>
  <c r="BT107" i="3"/>
  <c r="BS107" i="3"/>
  <c r="BR107" i="3"/>
  <c r="BU104" i="3"/>
  <c r="BT104" i="3"/>
  <c r="BS104" i="3"/>
  <c r="BR104" i="3"/>
  <c r="BU103" i="3"/>
  <c r="BU105" i="3" s="1"/>
  <c r="BU106" i="3" s="1"/>
  <c r="BT103" i="3"/>
  <c r="BT105" i="3" s="1"/>
  <c r="BT106" i="3" s="1"/>
  <c r="BS103" i="3"/>
  <c r="BS105" i="3" s="1"/>
  <c r="BS106" i="3" s="1"/>
  <c r="BR103" i="3"/>
  <c r="BR105" i="3" s="1"/>
  <c r="BR106" i="3" s="1"/>
  <c r="BU102" i="3"/>
  <c r="BT102" i="3"/>
  <c r="BS102" i="3"/>
  <c r="BR102" i="3"/>
  <c r="BU98" i="3"/>
  <c r="BT98" i="3"/>
  <c r="BS98" i="3"/>
  <c r="BR98" i="3"/>
  <c r="BU97" i="3"/>
  <c r="BU99" i="3" s="1"/>
  <c r="BT97" i="3"/>
  <c r="BT99" i="3" s="1"/>
  <c r="BS97" i="3"/>
  <c r="BS99" i="3" s="1"/>
  <c r="BR97" i="3"/>
  <c r="BR99" i="3" s="1"/>
  <c r="BU88" i="3"/>
  <c r="BT88" i="3"/>
  <c r="BS88" i="3"/>
  <c r="BR88" i="3"/>
  <c r="BU87" i="3"/>
  <c r="BU90" i="3" s="1"/>
  <c r="BT87" i="3"/>
  <c r="BT89" i="3" s="1"/>
  <c r="BS87" i="3"/>
  <c r="BS90" i="3" s="1"/>
  <c r="BR87" i="3"/>
  <c r="BR90" i="3" s="1"/>
  <c r="BU77" i="3"/>
  <c r="BT77" i="3"/>
  <c r="BS77" i="3"/>
  <c r="BR77" i="3"/>
  <c r="BU76" i="3"/>
  <c r="BU83" i="3" s="1"/>
  <c r="BT76" i="3"/>
  <c r="BS76" i="3"/>
  <c r="BR76" i="3"/>
  <c r="BU75" i="3"/>
  <c r="BU78" i="3" s="1"/>
  <c r="BT75" i="3"/>
  <c r="BT79" i="3" s="1"/>
  <c r="BT80" i="3" s="1"/>
  <c r="BT81" i="3" s="1"/>
  <c r="BS75" i="3"/>
  <c r="BS79" i="3" s="1"/>
  <c r="BS80" i="3" s="1"/>
  <c r="BS81" i="3" s="1"/>
  <c r="BR75" i="3"/>
  <c r="BR79" i="3" s="1"/>
  <c r="BR80" i="3" s="1"/>
  <c r="BR81" i="3" s="1"/>
  <c r="BU70" i="3"/>
  <c r="BU72" i="3" s="1"/>
  <c r="BU73" i="3" s="1"/>
  <c r="BU100" i="3" s="1"/>
  <c r="BT70" i="3"/>
  <c r="BT72" i="3" s="1"/>
  <c r="BT73" i="3" s="1"/>
  <c r="BT100" i="3" s="1"/>
  <c r="BS70" i="3"/>
  <c r="BS72" i="3" s="1"/>
  <c r="BS73" i="3" s="1"/>
  <c r="BS100" i="3" s="1"/>
  <c r="BR70" i="3"/>
  <c r="BR72" i="3" s="1"/>
  <c r="BR73" i="3" s="1"/>
  <c r="BR100" i="3" s="1"/>
  <c r="BN117" i="3"/>
  <c r="BN118" i="3" s="1"/>
  <c r="BN114" i="3"/>
  <c r="BN115" i="3" s="1"/>
  <c r="BN112" i="3"/>
  <c r="BN110" i="3"/>
  <c r="BQ108" i="3"/>
  <c r="BQ109" i="3" s="1"/>
  <c r="BP108" i="3"/>
  <c r="BP109" i="3" s="1"/>
  <c r="BO108" i="3"/>
  <c r="BO109" i="3" s="1"/>
  <c r="BN108" i="3"/>
  <c r="BN109" i="3" s="1"/>
  <c r="BQ107" i="3"/>
  <c r="BP107" i="3"/>
  <c r="BO107" i="3"/>
  <c r="BN107" i="3"/>
  <c r="BQ104" i="3"/>
  <c r="BP104" i="3"/>
  <c r="BO104" i="3"/>
  <c r="BN104" i="3"/>
  <c r="BQ103" i="3"/>
  <c r="BQ105" i="3" s="1"/>
  <c r="BQ106" i="3" s="1"/>
  <c r="BP103" i="3"/>
  <c r="BP105" i="3" s="1"/>
  <c r="BP106" i="3" s="1"/>
  <c r="BO103" i="3"/>
  <c r="BO105" i="3" s="1"/>
  <c r="BO106" i="3" s="1"/>
  <c r="BN103" i="3"/>
  <c r="BN105" i="3" s="1"/>
  <c r="BN106" i="3" s="1"/>
  <c r="BQ102" i="3"/>
  <c r="BP102" i="3"/>
  <c r="BO102" i="3"/>
  <c r="BN102" i="3"/>
  <c r="BQ98" i="3"/>
  <c r="BP98" i="3"/>
  <c r="BO98" i="3"/>
  <c r="BN98" i="3"/>
  <c r="BQ97" i="3"/>
  <c r="BQ99" i="3" s="1"/>
  <c r="BP97" i="3"/>
  <c r="BP99" i="3" s="1"/>
  <c r="BO97" i="3"/>
  <c r="BO99" i="3" s="1"/>
  <c r="BN97" i="3"/>
  <c r="BN99" i="3" s="1"/>
  <c r="BQ88" i="3"/>
  <c r="BP88" i="3"/>
  <c r="BO88" i="3"/>
  <c r="BN88" i="3"/>
  <c r="BQ87" i="3"/>
  <c r="BQ90" i="3" s="1"/>
  <c r="BP87" i="3"/>
  <c r="BP90" i="3" s="1"/>
  <c r="BO87" i="3"/>
  <c r="BO90" i="3" s="1"/>
  <c r="BN87" i="3"/>
  <c r="BN90" i="3" s="1"/>
  <c r="BQ77" i="3"/>
  <c r="BP77" i="3"/>
  <c r="BO77" i="3"/>
  <c r="BN77" i="3"/>
  <c r="BQ76" i="3"/>
  <c r="BP76" i="3"/>
  <c r="BO76" i="3"/>
  <c r="BN76" i="3"/>
  <c r="BQ75" i="3"/>
  <c r="BQ79" i="3" s="1"/>
  <c r="BQ80" i="3" s="1"/>
  <c r="BQ81" i="3" s="1"/>
  <c r="BP75" i="3"/>
  <c r="BP79" i="3" s="1"/>
  <c r="BP80" i="3" s="1"/>
  <c r="BP81" i="3" s="1"/>
  <c r="BO75" i="3"/>
  <c r="BO79" i="3" s="1"/>
  <c r="BO80" i="3" s="1"/>
  <c r="BO81" i="3" s="1"/>
  <c r="BN75" i="3"/>
  <c r="BN79" i="3" s="1"/>
  <c r="BN80" i="3" s="1"/>
  <c r="BN81" i="3" s="1"/>
  <c r="BQ70" i="3"/>
  <c r="BQ72" i="3" s="1"/>
  <c r="BQ73" i="3" s="1"/>
  <c r="BQ100" i="3" s="1"/>
  <c r="BP70" i="3"/>
  <c r="BP72" i="3" s="1"/>
  <c r="BP73" i="3" s="1"/>
  <c r="BP100" i="3" s="1"/>
  <c r="BO70" i="3"/>
  <c r="BO72" i="3" s="1"/>
  <c r="BO73" i="3" s="1"/>
  <c r="BO100" i="3" s="1"/>
  <c r="BN70" i="3"/>
  <c r="BN72" i="3" s="1"/>
  <c r="BN73" i="3" s="1"/>
  <c r="BN100" i="3" s="1"/>
  <c r="BJ118" i="3"/>
  <c r="BJ117" i="3"/>
  <c r="BJ114" i="3"/>
  <c r="BJ115" i="3" s="1"/>
  <c r="BJ112" i="3"/>
  <c r="BJ110" i="3"/>
  <c r="BL109" i="3"/>
  <c r="BM108" i="3"/>
  <c r="BM109" i="3" s="1"/>
  <c r="BL108" i="3"/>
  <c r="BK108" i="3"/>
  <c r="BK109" i="3" s="1"/>
  <c r="BJ108" i="3"/>
  <c r="BJ109" i="3" s="1"/>
  <c r="BM107" i="3"/>
  <c r="BL107" i="3"/>
  <c r="BK107" i="3"/>
  <c r="BJ107" i="3"/>
  <c r="BM104" i="3"/>
  <c r="BL104" i="3"/>
  <c r="BK104" i="3"/>
  <c r="BJ104" i="3"/>
  <c r="BM103" i="3"/>
  <c r="BM105" i="3" s="1"/>
  <c r="BM106" i="3" s="1"/>
  <c r="BL103" i="3"/>
  <c r="BL105" i="3" s="1"/>
  <c r="BL106" i="3" s="1"/>
  <c r="BK103" i="3"/>
  <c r="BK105" i="3" s="1"/>
  <c r="BK106" i="3" s="1"/>
  <c r="BJ103" i="3"/>
  <c r="BJ105" i="3" s="1"/>
  <c r="BJ106" i="3" s="1"/>
  <c r="BM102" i="3"/>
  <c r="BL102" i="3"/>
  <c r="BK102" i="3"/>
  <c r="BJ102" i="3"/>
  <c r="BM98" i="3"/>
  <c r="BL98" i="3"/>
  <c r="BK98" i="3"/>
  <c r="BJ98" i="3"/>
  <c r="BM97" i="3"/>
  <c r="BM99" i="3" s="1"/>
  <c r="BL97" i="3"/>
  <c r="BL99" i="3" s="1"/>
  <c r="BK97" i="3"/>
  <c r="BK99" i="3" s="1"/>
  <c r="BJ97" i="3"/>
  <c r="BJ99" i="3" s="1"/>
  <c r="BM88" i="3"/>
  <c r="BL88" i="3"/>
  <c r="BK88" i="3"/>
  <c r="BJ88" i="3"/>
  <c r="BM87" i="3"/>
  <c r="BM90" i="3" s="1"/>
  <c r="BL87" i="3"/>
  <c r="BL90" i="3" s="1"/>
  <c r="BK87" i="3"/>
  <c r="BK90" i="3" s="1"/>
  <c r="BJ87" i="3"/>
  <c r="BJ90" i="3" s="1"/>
  <c r="BM77" i="3"/>
  <c r="BL77" i="3"/>
  <c r="BK77" i="3"/>
  <c r="BJ77" i="3"/>
  <c r="BM76" i="3"/>
  <c r="BL76" i="3"/>
  <c r="BK76" i="3"/>
  <c r="BJ76" i="3"/>
  <c r="BM75" i="3"/>
  <c r="BM79" i="3" s="1"/>
  <c r="BM80" i="3" s="1"/>
  <c r="BM81" i="3" s="1"/>
  <c r="BL75" i="3"/>
  <c r="BL78" i="3" s="1"/>
  <c r="BK75" i="3"/>
  <c r="BK79" i="3" s="1"/>
  <c r="BK80" i="3" s="1"/>
  <c r="BK81" i="3" s="1"/>
  <c r="BJ75" i="3"/>
  <c r="BJ79" i="3" s="1"/>
  <c r="BJ80" i="3" s="1"/>
  <c r="BJ81" i="3" s="1"/>
  <c r="BM70" i="3"/>
  <c r="BM72" i="3" s="1"/>
  <c r="BM73" i="3" s="1"/>
  <c r="BM100" i="3" s="1"/>
  <c r="BL70" i="3"/>
  <c r="BL72" i="3" s="1"/>
  <c r="BL73" i="3" s="1"/>
  <c r="BL100" i="3" s="1"/>
  <c r="BK70" i="3"/>
  <c r="BK72" i="3" s="1"/>
  <c r="BK73" i="3" s="1"/>
  <c r="BK100" i="3" s="1"/>
  <c r="BJ70" i="3"/>
  <c r="BJ72" i="3" s="1"/>
  <c r="BJ73" i="3" s="1"/>
  <c r="BJ100" i="3" s="1"/>
  <c r="BF117" i="3"/>
  <c r="BF118" i="3" s="1"/>
  <c r="BF114" i="3"/>
  <c r="BF115" i="3" s="1"/>
  <c r="BF112" i="3"/>
  <c r="BF110" i="3"/>
  <c r="BI108" i="3"/>
  <c r="BI109" i="3" s="1"/>
  <c r="BH108" i="3"/>
  <c r="BH109" i="3" s="1"/>
  <c r="BG108" i="3"/>
  <c r="BG109" i="3" s="1"/>
  <c r="BF108" i="3"/>
  <c r="BF109" i="3" s="1"/>
  <c r="BI107" i="3"/>
  <c r="BH107" i="3"/>
  <c r="BG107" i="3"/>
  <c r="BF107" i="3"/>
  <c r="BI104" i="3"/>
  <c r="BH104" i="3"/>
  <c r="BG104" i="3"/>
  <c r="BF104" i="3"/>
  <c r="BI103" i="3"/>
  <c r="BI105" i="3" s="1"/>
  <c r="BI106" i="3" s="1"/>
  <c r="BH103" i="3"/>
  <c r="BH105" i="3" s="1"/>
  <c r="BH106" i="3" s="1"/>
  <c r="BG103" i="3"/>
  <c r="BG105" i="3" s="1"/>
  <c r="BG106" i="3" s="1"/>
  <c r="BF103" i="3"/>
  <c r="BF105" i="3" s="1"/>
  <c r="BF106" i="3" s="1"/>
  <c r="BI102" i="3"/>
  <c r="BH102" i="3"/>
  <c r="BG102" i="3"/>
  <c r="BF102" i="3"/>
  <c r="BI98" i="3"/>
  <c r="BH98" i="3"/>
  <c r="BG98" i="3"/>
  <c r="BF98" i="3"/>
  <c r="BI97" i="3"/>
  <c r="BI99" i="3" s="1"/>
  <c r="BH97" i="3"/>
  <c r="BH99" i="3" s="1"/>
  <c r="BG97" i="3"/>
  <c r="BG99" i="3" s="1"/>
  <c r="BF97" i="3"/>
  <c r="BF99" i="3" s="1"/>
  <c r="BI88" i="3"/>
  <c r="BH88" i="3"/>
  <c r="BG88" i="3"/>
  <c r="BF88" i="3"/>
  <c r="BI87" i="3"/>
  <c r="BI90" i="3" s="1"/>
  <c r="BH87" i="3"/>
  <c r="BH90" i="3" s="1"/>
  <c r="BG87" i="3"/>
  <c r="BG90" i="3" s="1"/>
  <c r="BF87" i="3"/>
  <c r="BF90" i="3" s="1"/>
  <c r="BI77" i="3"/>
  <c r="BH77" i="3"/>
  <c r="BG77" i="3"/>
  <c r="BF77" i="3"/>
  <c r="BI76" i="3"/>
  <c r="BH76" i="3"/>
  <c r="BH83" i="3" s="1"/>
  <c r="BG76" i="3"/>
  <c r="BF76" i="3"/>
  <c r="BI75" i="3"/>
  <c r="BI79" i="3" s="1"/>
  <c r="BI80" i="3" s="1"/>
  <c r="BI81" i="3" s="1"/>
  <c r="BH75" i="3"/>
  <c r="BH79" i="3" s="1"/>
  <c r="BH80" i="3" s="1"/>
  <c r="BH81" i="3" s="1"/>
  <c r="BG75" i="3"/>
  <c r="BG79" i="3" s="1"/>
  <c r="BG80" i="3" s="1"/>
  <c r="BG81" i="3" s="1"/>
  <c r="BF75" i="3"/>
  <c r="BF79" i="3" s="1"/>
  <c r="BF80" i="3" s="1"/>
  <c r="BF81" i="3" s="1"/>
  <c r="BI70" i="3"/>
  <c r="BI72" i="3" s="1"/>
  <c r="BI73" i="3" s="1"/>
  <c r="BI100" i="3" s="1"/>
  <c r="BH70" i="3"/>
  <c r="BH72" i="3" s="1"/>
  <c r="BH73" i="3" s="1"/>
  <c r="BH100" i="3" s="1"/>
  <c r="BG70" i="3"/>
  <c r="BG72" i="3" s="1"/>
  <c r="BG73" i="3" s="1"/>
  <c r="BG100" i="3" s="1"/>
  <c r="BF70" i="3"/>
  <c r="BF72" i="3" s="1"/>
  <c r="BF73" i="3" s="1"/>
  <c r="BF100" i="3" s="1"/>
  <c r="BB117" i="3"/>
  <c r="BB118" i="3" s="1"/>
  <c r="BB114" i="3"/>
  <c r="BB115" i="3" s="1"/>
  <c r="BB112" i="3"/>
  <c r="BB110" i="3"/>
  <c r="BE108" i="3"/>
  <c r="BE109" i="3" s="1"/>
  <c r="BD108" i="3"/>
  <c r="BD109" i="3" s="1"/>
  <c r="BC108" i="3"/>
  <c r="BC109" i="3" s="1"/>
  <c r="BB108" i="3"/>
  <c r="BB109" i="3" s="1"/>
  <c r="BE107" i="3"/>
  <c r="BD107" i="3"/>
  <c r="BC107" i="3"/>
  <c r="BB107" i="3"/>
  <c r="BE104" i="3"/>
  <c r="BD104" i="3"/>
  <c r="BC104" i="3"/>
  <c r="BB104" i="3"/>
  <c r="BE103" i="3"/>
  <c r="BE105" i="3" s="1"/>
  <c r="BE106" i="3" s="1"/>
  <c r="BD103" i="3"/>
  <c r="BD105" i="3" s="1"/>
  <c r="BD106" i="3" s="1"/>
  <c r="BC103" i="3"/>
  <c r="BC105" i="3" s="1"/>
  <c r="BC106" i="3" s="1"/>
  <c r="BB103" i="3"/>
  <c r="BB105" i="3" s="1"/>
  <c r="BB106" i="3" s="1"/>
  <c r="BE102" i="3"/>
  <c r="BD102" i="3"/>
  <c r="BC102" i="3"/>
  <c r="BB102" i="3"/>
  <c r="BE98" i="3"/>
  <c r="BD98" i="3"/>
  <c r="BC98" i="3"/>
  <c r="BB98" i="3"/>
  <c r="BE97" i="3"/>
  <c r="BE99" i="3" s="1"/>
  <c r="BD97" i="3"/>
  <c r="BD99" i="3" s="1"/>
  <c r="BC97" i="3"/>
  <c r="BC99" i="3" s="1"/>
  <c r="BB97" i="3"/>
  <c r="BB99" i="3" s="1"/>
  <c r="BE88" i="3"/>
  <c r="BD88" i="3"/>
  <c r="BC88" i="3"/>
  <c r="BB88" i="3"/>
  <c r="BE87" i="3"/>
  <c r="BE90" i="3" s="1"/>
  <c r="BD87" i="3"/>
  <c r="BD90" i="3" s="1"/>
  <c r="BC87" i="3"/>
  <c r="BC90" i="3" s="1"/>
  <c r="BB87" i="3"/>
  <c r="BB90" i="3" s="1"/>
  <c r="BE77" i="3"/>
  <c r="BD77" i="3"/>
  <c r="BC77" i="3"/>
  <c r="BB77" i="3"/>
  <c r="BE76" i="3"/>
  <c r="BD76" i="3"/>
  <c r="BC76" i="3"/>
  <c r="BB76" i="3"/>
  <c r="BE75" i="3"/>
  <c r="BE79" i="3" s="1"/>
  <c r="BE80" i="3" s="1"/>
  <c r="BE81" i="3" s="1"/>
  <c r="BD75" i="3"/>
  <c r="BD79" i="3" s="1"/>
  <c r="BD80" i="3" s="1"/>
  <c r="BD81" i="3" s="1"/>
  <c r="BC75" i="3"/>
  <c r="BC79" i="3" s="1"/>
  <c r="BC80" i="3" s="1"/>
  <c r="BC81" i="3" s="1"/>
  <c r="BB75" i="3"/>
  <c r="BB79" i="3" s="1"/>
  <c r="BB80" i="3" s="1"/>
  <c r="BB81" i="3" s="1"/>
  <c r="BE70" i="3"/>
  <c r="BE72" i="3" s="1"/>
  <c r="BE73" i="3" s="1"/>
  <c r="BE100" i="3" s="1"/>
  <c r="BD70" i="3"/>
  <c r="BD72" i="3" s="1"/>
  <c r="BD73" i="3" s="1"/>
  <c r="BD100" i="3" s="1"/>
  <c r="BC70" i="3"/>
  <c r="BC72" i="3" s="1"/>
  <c r="BC73" i="3" s="1"/>
  <c r="BC100" i="3" s="1"/>
  <c r="BB70" i="3"/>
  <c r="BB72" i="3" s="1"/>
  <c r="BB73" i="3" s="1"/>
  <c r="BB100" i="3" s="1"/>
  <c r="AX117" i="3"/>
  <c r="AX118" i="3" s="1"/>
  <c r="AX114" i="3"/>
  <c r="AX115" i="3" s="1"/>
  <c r="AX112" i="3"/>
  <c r="AX110" i="3"/>
  <c r="BA108" i="3"/>
  <c r="BA109" i="3" s="1"/>
  <c r="AZ108" i="3"/>
  <c r="AZ109" i="3" s="1"/>
  <c r="AY108" i="3"/>
  <c r="AY109" i="3" s="1"/>
  <c r="AX108" i="3"/>
  <c r="AX109" i="3" s="1"/>
  <c r="BA107" i="3"/>
  <c r="AZ107" i="3"/>
  <c r="AY107" i="3"/>
  <c r="AX107" i="3"/>
  <c r="BA104" i="3"/>
  <c r="AZ104" i="3"/>
  <c r="AY104" i="3"/>
  <c r="AX104" i="3"/>
  <c r="BA103" i="3"/>
  <c r="BA105" i="3" s="1"/>
  <c r="BA106" i="3" s="1"/>
  <c r="AZ103" i="3"/>
  <c r="AZ105" i="3" s="1"/>
  <c r="AZ106" i="3" s="1"/>
  <c r="AY103" i="3"/>
  <c r="AY105" i="3" s="1"/>
  <c r="AY106" i="3" s="1"/>
  <c r="AX103" i="3"/>
  <c r="AX105" i="3" s="1"/>
  <c r="AX106" i="3" s="1"/>
  <c r="BA102" i="3"/>
  <c r="AZ102" i="3"/>
  <c r="AY102" i="3"/>
  <c r="AX102" i="3"/>
  <c r="BA98" i="3"/>
  <c r="AZ98" i="3"/>
  <c r="AY98" i="3"/>
  <c r="AX98" i="3"/>
  <c r="BA97" i="3"/>
  <c r="BA99" i="3" s="1"/>
  <c r="AZ97" i="3"/>
  <c r="AZ99" i="3" s="1"/>
  <c r="AY97" i="3"/>
  <c r="AY99" i="3" s="1"/>
  <c r="AX97" i="3"/>
  <c r="AX99" i="3" s="1"/>
  <c r="BA88" i="3"/>
  <c r="AZ88" i="3"/>
  <c r="AY88" i="3"/>
  <c r="AX88" i="3"/>
  <c r="BA87" i="3"/>
  <c r="BA90" i="3" s="1"/>
  <c r="AZ87" i="3"/>
  <c r="AZ89" i="3" s="1"/>
  <c r="AY87" i="3"/>
  <c r="AY90" i="3" s="1"/>
  <c r="AX87" i="3"/>
  <c r="AX90" i="3" s="1"/>
  <c r="BA77" i="3"/>
  <c r="AZ77" i="3"/>
  <c r="AY77" i="3"/>
  <c r="AX77" i="3"/>
  <c r="BA76" i="3"/>
  <c r="AZ76" i="3"/>
  <c r="AY76" i="3"/>
  <c r="AX76" i="3"/>
  <c r="BA75" i="3"/>
  <c r="BA79" i="3" s="1"/>
  <c r="BA80" i="3" s="1"/>
  <c r="BA81" i="3" s="1"/>
  <c r="AZ75" i="3"/>
  <c r="AZ79" i="3" s="1"/>
  <c r="AZ80" i="3" s="1"/>
  <c r="AZ81" i="3" s="1"/>
  <c r="AY75" i="3"/>
  <c r="AY79" i="3" s="1"/>
  <c r="AY80" i="3" s="1"/>
  <c r="AY81" i="3" s="1"/>
  <c r="AX75" i="3"/>
  <c r="AX79" i="3" s="1"/>
  <c r="AX80" i="3" s="1"/>
  <c r="AX81" i="3" s="1"/>
  <c r="BA70" i="3"/>
  <c r="BA72" i="3" s="1"/>
  <c r="BA73" i="3" s="1"/>
  <c r="BA100" i="3" s="1"/>
  <c r="AZ70" i="3"/>
  <c r="AZ72" i="3" s="1"/>
  <c r="AZ73" i="3" s="1"/>
  <c r="AZ100" i="3" s="1"/>
  <c r="AY70" i="3"/>
  <c r="AY72" i="3" s="1"/>
  <c r="AY73" i="3" s="1"/>
  <c r="AY100" i="3" s="1"/>
  <c r="AX70" i="3"/>
  <c r="AX72" i="3" s="1"/>
  <c r="AX73" i="3" s="1"/>
  <c r="AX100" i="3" s="1"/>
  <c r="AT118" i="3"/>
  <c r="AT117" i="3"/>
  <c r="AT114" i="3"/>
  <c r="AT115" i="3" s="1"/>
  <c r="AT112" i="3"/>
  <c r="AT110" i="3"/>
  <c r="AV109" i="3"/>
  <c r="AW108" i="3"/>
  <c r="AW109" i="3" s="1"/>
  <c r="AV108" i="3"/>
  <c r="AU108" i="3"/>
  <c r="AU109" i="3" s="1"/>
  <c r="AT108" i="3"/>
  <c r="AT109" i="3" s="1"/>
  <c r="AW107" i="3"/>
  <c r="AV107" i="3"/>
  <c r="AU107" i="3"/>
  <c r="AT107" i="3"/>
  <c r="AW104" i="3"/>
  <c r="AV104" i="3"/>
  <c r="AU104" i="3"/>
  <c r="AT104" i="3"/>
  <c r="AW103" i="3"/>
  <c r="AW105" i="3" s="1"/>
  <c r="AW106" i="3" s="1"/>
  <c r="AV103" i="3"/>
  <c r="AV105" i="3" s="1"/>
  <c r="AV106" i="3" s="1"/>
  <c r="AU103" i="3"/>
  <c r="AU105" i="3" s="1"/>
  <c r="AU106" i="3" s="1"/>
  <c r="AT103" i="3"/>
  <c r="AT105" i="3" s="1"/>
  <c r="AT106" i="3" s="1"/>
  <c r="AW102" i="3"/>
  <c r="AV102" i="3"/>
  <c r="AU102" i="3"/>
  <c r="AT102" i="3"/>
  <c r="AW98" i="3"/>
  <c r="AV98" i="3"/>
  <c r="AU98" i="3"/>
  <c r="AT98" i="3"/>
  <c r="AW97" i="3"/>
  <c r="AW99" i="3" s="1"/>
  <c r="AV97" i="3"/>
  <c r="AV99" i="3" s="1"/>
  <c r="AU97" i="3"/>
  <c r="AU99" i="3" s="1"/>
  <c r="AT97" i="3"/>
  <c r="AT99" i="3" s="1"/>
  <c r="AW88" i="3"/>
  <c r="AV88" i="3"/>
  <c r="AU88" i="3"/>
  <c r="AT88" i="3"/>
  <c r="AW87" i="3"/>
  <c r="AW90" i="3" s="1"/>
  <c r="AV87" i="3"/>
  <c r="AV89" i="3" s="1"/>
  <c r="AU87" i="3"/>
  <c r="AU90" i="3" s="1"/>
  <c r="AT87" i="3"/>
  <c r="AT90" i="3" s="1"/>
  <c r="AW77" i="3"/>
  <c r="AV77" i="3"/>
  <c r="AU77" i="3"/>
  <c r="AT77" i="3"/>
  <c r="AW76" i="3"/>
  <c r="AV76" i="3"/>
  <c r="AU76" i="3"/>
  <c r="AT76" i="3"/>
  <c r="AW75" i="3"/>
  <c r="AW79" i="3" s="1"/>
  <c r="AW80" i="3" s="1"/>
  <c r="AW81" i="3" s="1"/>
  <c r="AV75" i="3"/>
  <c r="AV78" i="3" s="1"/>
  <c r="AU75" i="3"/>
  <c r="AU79" i="3" s="1"/>
  <c r="AU80" i="3" s="1"/>
  <c r="AU81" i="3" s="1"/>
  <c r="AT75" i="3"/>
  <c r="AT79" i="3" s="1"/>
  <c r="AT80" i="3" s="1"/>
  <c r="AT81" i="3" s="1"/>
  <c r="AW70" i="3"/>
  <c r="AW72" i="3" s="1"/>
  <c r="AW73" i="3" s="1"/>
  <c r="AW100" i="3" s="1"/>
  <c r="AV70" i="3"/>
  <c r="AV72" i="3" s="1"/>
  <c r="AV73" i="3" s="1"/>
  <c r="AV100" i="3" s="1"/>
  <c r="AU70" i="3"/>
  <c r="AU72" i="3" s="1"/>
  <c r="AU73" i="3" s="1"/>
  <c r="AU100" i="3" s="1"/>
  <c r="AT70" i="3"/>
  <c r="AT72" i="3" s="1"/>
  <c r="AT73" i="3" s="1"/>
  <c r="AT100" i="3" s="1"/>
  <c r="AP117" i="3"/>
  <c r="AP118" i="3" s="1"/>
  <c r="AP114" i="3"/>
  <c r="AP115" i="3" s="1"/>
  <c r="AP112" i="3"/>
  <c r="AP110" i="3"/>
  <c r="AS108" i="3"/>
  <c r="AS109" i="3" s="1"/>
  <c r="AR108" i="3"/>
  <c r="AR109" i="3" s="1"/>
  <c r="AQ108" i="3"/>
  <c r="AQ109" i="3" s="1"/>
  <c r="AP108" i="3"/>
  <c r="AP109" i="3" s="1"/>
  <c r="AS107" i="3"/>
  <c r="AR107" i="3"/>
  <c r="AQ107" i="3"/>
  <c r="AP107" i="3"/>
  <c r="AS104" i="3"/>
  <c r="AR104" i="3"/>
  <c r="AQ104" i="3"/>
  <c r="AP104" i="3"/>
  <c r="AS103" i="3"/>
  <c r="AS105" i="3" s="1"/>
  <c r="AS106" i="3" s="1"/>
  <c r="AR103" i="3"/>
  <c r="AR105" i="3" s="1"/>
  <c r="AR106" i="3" s="1"/>
  <c r="AQ103" i="3"/>
  <c r="AQ105" i="3" s="1"/>
  <c r="AQ106" i="3" s="1"/>
  <c r="AP103" i="3"/>
  <c r="AP105" i="3" s="1"/>
  <c r="AP106" i="3" s="1"/>
  <c r="AS102" i="3"/>
  <c r="AR102" i="3"/>
  <c r="AQ102" i="3"/>
  <c r="AP102" i="3"/>
  <c r="AS98" i="3"/>
  <c r="AR98" i="3"/>
  <c r="AQ98" i="3"/>
  <c r="AP98" i="3"/>
  <c r="AS97" i="3"/>
  <c r="AS99" i="3" s="1"/>
  <c r="AR97" i="3"/>
  <c r="AR99" i="3" s="1"/>
  <c r="AQ97" i="3"/>
  <c r="AQ99" i="3" s="1"/>
  <c r="AP97" i="3"/>
  <c r="AP99" i="3" s="1"/>
  <c r="AS88" i="3"/>
  <c r="AR88" i="3"/>
  <c r="AQ88" i="3"/>
  <c r="AP88" i="3"/>
  <c r="AS87" i="3"/>
  <c r="AS90" i="3" s="1"/>
  <c r="AR87" i="3"/>
  <c r="AR90" i="3" s="1"/>
  <c r="AQ87" i="3"/>
  <c r="AQ90" i="3" s="1"/>
  <c r="AP87" i="3"/>
  <c r="AP90" i="3" s="1"/>
  <c r="AS77" i="3"/>
  <c r="AR77" i="3"/>
  <c r="AQ77" i="3"/>
  <c r="AP77" i="3"/>
  <c r="AS76" i="3"/>
  <c r="AR76" i="3"/>
  <c r="AR83" i="3" s="1"/>
  <c r="AQ76" i="3"/>
  <c r="AP76" i="3"/>
  <c r="AS75" i="3"/>
  <c r="AS79" i="3" s="1"/>
  <c r="AS80" i="3" s="1"/>
  <c r="AS81" i="3" s="1"/>
  <c r="AR75" i="3"/>
  <c r="AR78" i="3" s="1"/>
  <c r="AQ75" i="3"/>
  <c r="AQ79" i="3" s="1"/>
  <c r="AQ80" i="3" s="1"/>
  <c r="AQ81" i="3" s="1"/>
  <c r="AP75" i="3"/>
  <c r="AP79" i="3" s="1"/>
  <c r="AP80" i="3" s="1"/>
  <c r="AP81" i="3" s="1"/>
  <c r="AS70" i="3"/>
  <c r="AS72" i="3" s="1"/>
  <c r="AS73" i="3" s="1"/>
  <c r="AS100" i="3" s="1"/>
  <c r="AR70" i="3"/>
  <c r="AR72" i="3" s="1"/>
  <c r="AR73" i="3" s="1"/>
  <c r="AR100" i="3" s="1"/>
  <c r="AQ70" i="3"/>
  <c r="AQ72" i="3" s="1"/>
  <c r="AQ73" i="3" s="1"/>
  <c r="AQ100" i="3" s="1"/>
  <c r="AP70" i="3"/>
  <c r="AP72" i="3" s="1"/>
  <c r="AP73" i="3" s="1"/>
  <c r="AP100" i="3" s="1"/>
  <c r="AL117" i="3"/>
  <c r="AL118" i="3" s="1"/>
  <c r="AL114" i="3"/>
  <c r="AL115" i="3" s="1"/>
  <c r="AL112" i="3"/>
  <c r="AL110" i="3"/>
  <c r="AO108" i="3"/>
  <c r="AO109" i="3" s="1"/>
  <c r="AN108" i="3"/>
  <c r="AN109" i="3" s="1"/>
  <c r="AM108" i="3"/>
  <c r="AM109" i="3" s="1"/>
  <c r="AL108" i="3"/>
  <c r="AL109" i="3" s="1"/>
  <c r="AO107" i="3"/>
  <c r="AN107" i="3"/>
  <c r="AM107" i="3"/>
  <c r="AL107" i="3"/>
  <c r="AO104" i="3"/>
  <c r="AN104" i="3"/>
  <c r="AM104" i="3"/>
  <c r="AL104" i="3"/>
  <c r="AO103" i="3"/>
  <c r="AO105" i="3" s="1"/>
  <c r="AO106" i="3" s="1"/>
  <c r="AN103" i="3"/>
  <c r="AN105" i="3" s="1"/>
  <c r="AN106" i="3" s="1"/>
  <c r="AM103" i="3"/>
  <c r="AM105" i="3" s="1"/>
  <c r="AM106" i="3" s="1"/>
  <c r="AL103" i="3"/>
  <c r="AL105" i="3" s="1"/>
  <c r="AL106" i="3" s="1"/>
  <c r="AO102" i="3"/>
  <c r="AN102" i="3"/>
  <c r="AM102" i="3"/>
  <c r="AL102" i="3"/>
  <c r="AO98" i="3"/>
  <c r="AN98" i="3"/>
  <c r="AM98" i="3"/>
  <c r="AL98" i="3"/>
  <c r="AO97" i="3"/>
  <c r="AO99" i="3" s="1"/>
  <c r="AN97" i="3"/>
  <c r="AN99" i="3" s="1"/>
  <c r="AM97" i="3"/>
  <c r="AM99" i="3" s="1"/>
  <c r="AL97" i="3"/>
  <c r="AL99" i="3" s="1"/>
  <c r="AO88" i="3"/>
  <c r="AN88" i="3"/>
  <c r="AM88" i="3"/>
  <c r="AL88" i="3"/>
  <c r="AO87" i="3"/>
  <c r="AO90" i="3" s="1"/>
  <c r="AN87" i="3"/>
  <c r="AN90" i="3" s="1"/>
  <c r="AM87" i="3"/>
  <c r="AM90" i="3" s="1"/>
  <c r="AL87" i="3"/>
  <c r="AL90" i="3" s="1"/>
  <c r="AO77" i="3"/>
  <c r="AN77" i="3"/>
  <c r="AM77" i="3"/>
  <c r="AL77" i="3"/>
  <c r="AO76" i="3"/>
  <c r="AN76" i="3"/>
  <c r="AM76" i="3"/>
  <c r="AL76" i="3"/>
  <c r="AO75" i="3"/>
  <c r="AO79" i="3" s="1"/>
  <c r="AO80" i="3" s="1"/>
  <c r="AO81" i="3" s="1"/>
  <c r="AN75" i="3"/>
  <c r="AN78" i="3" s="1"/>
  <c r="AM75" i="3"/>
  <c r="AM79" i="3" s="1"/>
  <c r="AM80" i="3" s="1"/>
  <c r="AM81" i="3" s="1"/>
  <c r="AL75" i="3"/>
  <c r="AL79" i="3" s="1"/>
  <c r="AL80" i="3" s="1"/>
  <c r="AL81" i="3" s="1"/>
  <c r="AO70" i="3"/>
  <c r="AO72" i="3" s="1"/>
  <c r="AO73" i="3" s="1"/>
  <c r="AO100" i="3" s="1"/>
  <c r="AN70" i="3"/>
  <c r="AN72" i="3" s="1"/>
  <c r="AN73" i="3" s="1"/>
  <c r="AN100" i="3" s="1"/>
  <c r="AM70" i="3"/>
  <c r="AM72" i="3" s="1"/>
  <c r="AM73" i="3" s="1"/>
  <c r="AM100" i="3" s="1"/>
  <c r="AL70" i="3"/>
  <c r="AL72" i="3" s="1"/>
  <c r="AL73" i="3" s="1"/>
  <c r="AL100" i="3" s="1"/>
  <c r="AH117" i="3"/>
  <c r="AH118" i="3" s="1"/>
  <c r="AH114" i="3"/>
  <c r="AH115" i="3" s="1"/>
  <c r="AH112" i="3"/>
  <c r="AH110" i="3"/>
  <c r="AK108" i="3"/>
  <c r="AK109" i="3" s="1"/>
  <c r="AJ108" i="3"/>
  <c r="AJ109" i="3" s="1"/>
  <c r="AI108" i="3"/>
  <c r="AI109" i="3" s="1"/>
  <c r="AH108" i="3"/>
  <c r="AH109" i="3" s="1"/>
  <c r="AK107" i="3"/>
  <c r="AJ107" i="3"/>
  <c r="AI107" i="3"/>
  <c r="AH107" i="3"/>
  <c r="AK104" i="3"/>
  <c r="AJ104" i="3"/>
  <c r="AI104" i="3"/>
  <c r="AH104" i="3"/>
  <c r="AK103" i="3"/>
  <c r="AK105" i="3" s="1"/>
  <c r="AK106" i="3" s="1"/>
  <c r="AJ103" i="3"/>
  <c r="AJ105" i="3" s="1"/>
  <c r="AJ106" i="3" s="1"/>
  <c r="AI103" i="3"/>
  <c r="AI105" i="3" s="1"/>
  <c r="AI106" i="3" s="1"/>
  <c r="AH103" i="3"/>
  <c r="AH105" i="3" s="1"/>
  <c r="AH106" i="3" s="1"/>
  <c r="AK102" i="3"/>
  <c r="AJ102" i="3"/>
  <c r="AI102" i="3"/>
  <c r="AH102" i="3"/>
  <c r="AK98" i="3"/>
  <c r="AJ98" i="3"/>
  <c r="AI98" i="3"/>
  <c r="AH98" i="3"/>
  <c r="AK97" i="3"/>
  <c r="AK99" i="3" s="1"/>
  <c r="AJ97" i="3"/>
  <c r="AJ99" i="3" s="1"/>
  <c r="AI97" i="3"/>
  <c r="AI99" i="3" s="1"/>
  <c r="AH97" i="3"/>
  <c r="AH99" i="3" s="1"/>
  <c r="AK88" i="3"/>
  <c r="AJ88" i="3"/>
  <c r="AI88" i="3"/>
  <c r="AH88" i="3"/>
  <c r="AK87" i="3"/>
  <c r="AK90" i="3" s="1"/>
  <c r="AJ87" i="3"/>
  <c r="AJ89" i="3" s="1"/>
  <c r="AI87" i="3"/>
  <c r="AI90" i="3" s="1"/>
  <c r="AH87" i="3"/>
  <c r="AH90" i="3" s="1"/>
  <c r="AK77" i="3"/>
  <c r="AJ77" i="3"/>
  <c r="AI77" i="3"/>
  <c r="AH77" i="3"/>
  <c r="AK76" i="3"/>
  <c r="AJ76" i="3"/>
  <c r="AI76" i="3"/>
  <c r="AH76" i="3"/>
  <c r="AK75" i="3"/>
  <c r="AK79" i="3" s="1"/>
  <c r="AK80" i="3" s="1"/>
  <c r="AK81" i="3" s="1"/>
  <c r="AJ75" i="3"/>
  <c r="AJ79" i="3" s="1"/>
  <c r="AJ80" i="3" s="1"/>
  <c r="AJ81" i="3" s="1"/>
  <c r="AI75" i="3"/>
  <c r="AI79" i="3" s="1"/>
  <c r="AI80" i="3" s="1"/>
  <c r="AI81" i="3" s="1"/>
  <c r="AH75" i="3"/>
  <c r="AH79" i="3" s="1"/>
  <c r="AH80" i="3" s="1"/>
  <c r="AH81" i="3" s="1"/>
  <c r="AK70" i="3"/>
  <c r="AK72" i="3" s="1"/>
  <c r="AK73" i="3" s="1"/>
  <c r="AK100" i="3" s="1"/>
  <c r="AJ70" i="3"/>
  <c r="AJ72" i="3" s="1"/>
  <c r="AJ73" i="3" s="1"/>
  <c r="AJ100" i="3" s="1"/>
  <c r="AI70" i="3"/>
  <c r="AI72" i="3" s="1"/>
  <c r="AI73" i="3" s="1"/>
  <c r="AI100" i="3" s="1"/>
  <c r="AH70" i="3"/>
  <c r="AH72" i="3" s="1"/>
  <c r="AH73" i="3" s="1"/>
  <c r="AH100" i="3" s="1"/>
  <c r="AD117" i="3"/>
  <c r="AD118" i="3" s="1"/>
  <c r="AD114" i="3"/>
  <c r="AD115" i="3" s="1"/>
  <c r="AD112" i="3"/>
  <c r="AD110" i="3"/>
  <c r="AG108" i="3"/>
  <c r="AG109" i="3" s="1"/>
  <c r="AF108" i="3"/>
  <c r="AF109" i="3" s="1"/>
  <c r="AE108" i="3"/>
  <c r="AE109" i="3" s="1"/>
  <c r="AD108" i="3"/>
  <c r="AD109" i="3" s="1"/>
  <c r="AG107" i="3"/>
  <c r="AF107" i="3"/>
  <c r="AE107" i="3"/>
  <c r="AD107" i="3"/>
  <c r="AG104" i="3"/>
  <c r="AF104" i="3"/>
  <c r="AE104" i="3"/>
  <c r="AD104" i="3"/>
  <c r="AG103" i="3"/>
  <c r="AG105" i="3" s="1"/>
  <c r="AG106" i="3" s="1"/>
  <c r="AF103" i="3"/>
  <c r="AF105" i="3" s="1"/>
  <c r="AF106" i="3" s="1"/>
  <c r="AE103" i="3"/>
  <c r="AE105" i="3" s="1"/>
  <c r="AE106" i="3" s="1"/>
  <c r="AD103" i="3"/>
  <c r="AD105" i="3" s="1"/>
  <c r="AD106" i="3" s="1"/>
  <c r="AG102" i="3"/>
  <c r="AF102" i="3"/>
  <c r="AE102" i="3"/>
  <c r="AD102" i="3"/>
  <c r="AG98" i="3"/>
  <c r="AF98" i="3"/>
  <c r="AE98" i="3"/>
  <c r="AD98" i="3"/>
  <c r="AG97" i="3"/>
  <c r="AG99" i="3" s="1"/>
  <c r="AF97" i="3"/>
  <c r="AF99" i="3" s="1"/>
  <c r="AE97" i="3"/>
  <c r="AE99" i="3" s="1"/>
  <c r="AD97" i="3"/>
  <c r="AD99" i="3" s="1"/>
  <c r="AG88" i="3"/>
  <c r="AF88" i="3"/>
  <c r="AE88" i="3"/>
  <c r="AD88" i="3"/>
  <c r="AG87" i="3"/>
  <c r="AG90" i="3" s="1"/>
  <c r="AF87" i="3"/>
  <c r="AF89" i="3" s="1"/>
  <c r="AE87" i="3"/>
  <c r="AE90" i="3" s="1"/>
  <c r="AD87" i="3"/>
  <c r="AD90" i="3" s="1"/>
  <c r="AG77" i="3"/>
  <c r="AF77" i="3"/>
  <c r="AE77" i="3"/>
  <c r="AD77" i="3"/>
  <c r="AG76" i="3"/>
  <c r="AF76" i="3"/>
  <c r="AE76" i="3"/>
  <c r="AD76" i="3"/>
  <c r="AG75" i="3"/>
  <c r="AG79" i="3" s="1"/>
  <c r="AG80" i="3" s="1"/>
  <c r="AG81" i="3" s="1"/>
  <c r="AF75" i="3"/>
  <c r="AF78" i="3" s="1"/>
  <c r="AE75" i="3"/>
  <c r="AE79" i="3" s="1"/>
  <c r="AE80" i="3" s="1"/>
  <c r="AE81" i="3" s="1"/>
  <c r="AD75" i="3"/>
  <c r="AD79" i="3" s="1"/>
  <c r="AD80" i="3" s="1"/>
  <c r="AD81" i="3" s="1"/>
  <c r="AG70" i="3"/>
  <c r="AG72" i="3" s="1"/>
  <c r="AG73" i="3" s="1"/>
  <c r="AG100" i="3" s="1"/>
  <c r="AF70" i="3"/>
  <c r="AF72" i="3" s="1"/>
  <c r="AF73" i="3" s="1"/>
  <c r="AF100" i="3" s="1"/>
  <c r="AE70" i="3"/>
  <c r="AE72" i="3" s="1"/>
  <c r="AE73" i="3" s="1"/>
  <c r="AE100" i="3" s="1"/>
  <c r="AD70" i="3"/>
  <c r="AD72" i="3" s="1"/>
  <c r="AD73" i="3" s="1"/>
  <c r="AD100" i="3" s="1"/>
  <c r="Z117" i="3"/>
  <c r="Z118" i="3" s="1"/>
  <c r="Z114" i="3"/>
  <c r="Z115" i="3" s="1"/>
  <c r="Z112" i="3"/>
  <c r="Z110" i="3"/>
  <c r="AC108" i="3"/>
  <c r="AC109" i="3" s="1"/>
  <c r="AB108" i="3"/>
  <c r="AB109" i="3" s="1"/>
  <c r="AA108" i="3"/>
  <c r="AA109" i="3" s="1"/>
  <c r="Z108" i="3"/>
  <c r="Z109" i="3" s="1"/>
  <c r="AC107" i="3"/>
  <c r="AB107" i="3"/>
  <c r="AA107" i="3"/>
  <c r="Z107" i="3"/>
  <c r="AC104" i="3"/>
  <c r="AB104" i="3"/>
  <c r="AA104" i="3"/>
  <c r="Z104" i="3"/>
  <c r="AC103" i="3"/>
  <c r="AC105" i="3" s="1"/>
  <c r="AC106" i="3" s="1"/>
  <c r="AB103" i="3"/>
  <c r="AB105" i="3" s="1"/>
  <c r="AB106" i="3" s="1"/>
  <c r="AA103" i="3"/>
  <c r="AA105" i="3" s="1"/>
  <c r="AA106" i="3" s="1"/>
  <c r="Z103" i="3"/>
  <c r="Z105" i="3" s="1"/>
  <c r="Z106" i="3" s="1"/>
  <c r="AC102" i="3"/>
  <c r="AB102" i="3"/>
  <c r="AA102" i="3"/>
  <c r="Z102" i="3"/>
  <c r="AC99" i="3"/>
  <c r="AC98" i="3"/>
  <c r="AB98" i="3"/>
  <c r="AA98" i="3"/>
  <c r="Z98" i="3"/>
  <c r="AC97" i="3"/>
  <c r="AB97" i="3"/>
  <c r="AB99" i="3" s="1"/>
  <c r="AA97" i="3"/>
  <c r="AA99" i="3" s="1"/>
  <c r="Z97" i="3"/>
  <c r="Z99" i="3" s="1"/>
  <c r="AC88" i="3"/>
  <c r="AB88" i="3"/>
  <c r="AA88" i="3"/>
  <c r="Z88" i="3"/>
  <c r="AC87" i="3"/>
  <c r="AC90" i="3" s="1"/>
  <c r="AB87" i="3"/>
  <c r="AB90" i="3" s="1"/>
  <c r="AA87" i="3"/>
  <c r="AA90" i="3" s="1"/>
  <c r="Z87" i="3"/>
  <c r="Z90" i="3" s="1"/>
  <c r="AC77" i="3"/>
  <c r="AB77" i="3"/>
  <c r="AA77" i="3"/>
  <c r="Z77" i="3"/>
  <c r="AC76" i="3"/>
  <c r="AB76" i="3"/>
  <c r="AB83" i="3" s="1"/>
  <c r="AA76" i="3"/>
  <c r="Z76" i="3"/>
  <c r="AC75" i="3"/>
  <c r="AC79" i="3" s="1"/>
  <c r="AC80" i="3" s="1"/>
  <c r="AC81" i="3" s="1"/>
  <c r="AB75" i="3"/>
  <c r="AB79" i="3" s="1"/>
  <c r="AB80" i="3" s="1"/>
  <c r="AB81" i="3" s="1"/>
  <c r="AA75" i="3"/>
  <c r="AA79" i="3" s="1"/>
  <c r="AA80" i="3" s="1"/>
  <c r="AA81" i="3" s="1"/>
  <c r="Z75" i="3"/>
  <c r="Z79" i="3" s="1"/>
  <c r="Z80" i="3" s="1"/>
  <c r="Z81" i="3" s="1"/>
  <c r="AC70" i="3"/>
  <c r="AC72" i="3" s="1"/>
  <c r="AC73" i="3" s="1"/>
  <c r="AC100" i="3" s="1"/>
  <c r="AB70" i="3"/>
  <c r="AB72" i="3" s="1"/>
  <c r="AB73" i="3" s="1"/>
  <c r="AB100" i="3" s="1"/>
  <c r="AA70" i="3"/>
  <c r="AA72" i="3" s="1"/>
  <c r="AA73" i="3" s="1"/>
  <c r="AA100" i="3" s="1"/>
  <c r="Z70" i="3"/>
  <c r="Z72" i="3" s="1"/>
  <c r="Z73" i="3" s="1"/>
  <c r="Z100" i="3" s="1"/>
  <c r="V117" i="3"/>
  <c r="V118" i="3" s="1"/>
  <c r="V114" i="3"/>
  <c r="V115" i="3" s="1"/>
  <c r="V112" i="3"/>
  <c r="V110" i="3"/>
  <c r="Y108" i="3"/>
  <c r="Y109" i="3" s="1"/>
  <c r="X108" i="3"/>
  <c r="X109" i="3" s="1"/>
  <c r="W108" i="3"/>
  <c r="W109" i="3" s="1"/>
  <c r="V108" i="3"/>
  <c r="V109" i="3" s="1"/>
  <c r="Y107" i="3"/>
  <c r="X107" i="3"/>
  <c r="W107" i="3"/>
  <c r="V107" i="3"/>
  <c r="Y104" i="3"/>
  <c r="X104" i="3"/>
  <c r="W104" i="3"/>
  <c r="V104" i="3"/>
  <c r="Y103" i="3"/>
  <c r="Y105" i="3" s="1"/>
  <c r="Y106" i="3" s="1"/>
  <c r="X103" i="3"/>
  <c r="X105" i="3" s="1"/>
  <c r="X106" i="3" s="1"/>
  <c r="W103" i="3"/>
  <c r="W105" i="3" s="1"/>
  <c r="W106" i="3" s="1"/>
  <c r="V103" i="3"/>
  <c r="V105" i="3" s="1"/>
  <c r="V106" i="3" s="1"/>
  <c r="Y102" i="3"/>
  <c r="X102" i="3"/>
  <c r="W102" i="3"/>
  <c r="V102" i="3"/>
  <c r="Y98" i="3"/>
  <c r="X98" i="3"/>
  <c r="W98" i="3"/>
  <c r="V98" i="3"/>
  <c r="Y97" i="3"/>
  <c r="Y99" i="3" s="1"/>
  <c r="X97" i="3"/>
  <c r="X99" i="3" s="1"/>
  <c r="W97" i="3"/>
  <c r="W99" i="3" s="1"/>
  <c r="V97" i="3"/>
  <c r="V99" i="3" s="1"/>
  <c r="Y88" i="3"/>
  <c r="X88" i="3"/>
  <c r="W88" i="3"/>
  <c r="V88" i="3"/>
  <c r="Y87" i="3"/>
  <c r="Y90" i="3" s="1"/>
  <c r="X87" i="3"/>
  <c r="X90" i="3" s="1"/>
  <c r="W87" i="3"/>
  <c r="W89" i="3" s="1"/>
  <c r="V87" i="3"/>
  <c r="V90" i="3" s="1"/>
  <c r="Y77" i="3"/>
  <c r="X77" i="3"/>
  <c r="W77" i="3"/>
  <c r="V77" i="3"/>
  <c r="Y76" i="3"/>
  <c r="X76" i="3"/>
  <c r="X83" i="3" s="1"/>
  <c r="W76" i="3"/>
  <c r="V76" i="3"/>
  <c r="Y75" i="3"/>
  <c r="Y79" i="3" s="1"/>
  <c r="Y80" i="3" s="1"/>
  <c r="Y81" i="3" s="1"/>
  <c r="X75" i="3"/>
  <c r="X78" i="3" s="1"/>
  <c r="W75" i="3"/>
  <c r="W78" i="3" s="1"/>
  <c r="V75" i="3"/>
  <c r="V79" i="3" s="1"/>
  <c r="V80" i="3" s="1"/>
  <c r="V81" i="3" s="1"/>
  <c r="Y70" i="3"/>
  <c r="Y72" i="3" s="1"/>
  <c r="Y73" i="3" s="1"/>
  <c r="Y100" i="3" s="1"/>
  <c r="X70" i="3"/>
  <c r="X72" i="3" s="1"/>
  <c r="X73" i="3" s="1"/>
  <c r="X100" i="3" s="1"/>
  <c r="W70" i="3"/>
  <c r="W72" i="3" s="1"/>
  <c r="W73" i="3" s="1"/>
  <c r="W100" i="3" s="1"/>
  <c r="V70" i="3"/>
  <c r="V72" i="3" s="1"/>
  <c r="V73" i="3" s="1"/>
  <c r="V100" i="3" s="1"/>
  <c r="R117" i="3"/>
  <c r="R118" i="3" s="1"/>
  <c r="R114" i="3"/>
  <c r="R115" i="3" s="1"/>
  <c r="R112" i="3"/>
  <c r="R110" i="3"/>
  <c r="U108" i="3"/>
  <c r="U109" i="3" s="1"/>
  <c r="T108" i="3"/>
  <c r="T109" i="3" s="1"/>
  <c r="S108" i="3"/>
  <c r="S109" i="3" s="1"/>
  <c r="R108" i="3"/>
  <c r="R109" i="3" s="1"/>
  <c r="U107" i="3"/>
  <c r="T107" i="3"/>
  <c r="S107" i="3"/>
  <c r="R107" i="3"/>
  <c r="U104" i="3"/>
  <c r="T104" i="3"/>
  <c r="S104" i="3"/>
  <c r="R104" i="3"/>
  <c r="U103" i="3"/>
  <c r="U105" i="3" s="1"/>
  <c r="U106" i="3" s="1"/>
  <c r="T103" i="3"/>
  <c r="T105" i="3" s="1"/>
  <c r="T106" i="3" s="1"/>
  <c r="S103" i="3"/>
  <c r="S105" i="3" s="1"/>
  <c r="S106" i="3" s="1"/>
  <c r="R103" i="3"/>
  <c r="R105" i="3" s="1"/>
  <c r="R106" i="3" s="1"/>
  <c r="U102" i="3"/>
  <c r="T102" i="3"/>
  <c r="S102" i="3"/>
  <c r="R102" i="3"/>
  <c r="U98" i="3"/>
  <c r="T98" i="3"/>
  <c r="S98" i="3"/>
  <c r="R98" i="3"/>
  <c r="U97" i="3"/>
  <c r="U99" i="3" s="1"/>
  <c r="T97" i="3"/>
  <c r="T99" i="3" s="1"/>
  <c r="S97" i="3"/>
  <c r="S99" i="3" s="1"/>
  <c r="R97" i="3"/>
  <c r="R99" i="3" s="1"/>
  <c r="U88" i="3"/>
  <c r="T88" i="3"/>
  <c r="S88" i="3"/>
  <c r="R88" i="3"/>
  <c r="U87" i="3"/>
  <c r="U90" i="3" s="1"/>
  <c r="T87" i="3"/>
  <c r="T90" i="3" s="1"/>
  <c r="S87" i="3"/>
  <c r="S90" i="3" s="1"/>
  <c r="R87" i="3"/>
  <c r="R90" i="3" s="1"/>
  <c r="U77" i="3"/>
  <c r="T77" i="3"/>
  <c r="S77" i="3"/>
  <c r="R77" i="3"/>
  <c r="U76" i="3"/>
  <c r="T76" i="3"/>
  <c r="S76" i="3"/>
  <c r="R76" i="3"/>
  <c r="U75" i="3"/>
  <c r="U79" i="3" s="1"/>
  <c r="U80" i="3" s="1"/>
  <c r="U81" i="3" s="1"/>
  <c r="T75" i="3"/>
  <c r="T79" i="3" s="1"/>
  <c r="T80" i="3" s="1"/>
  <c r="T81" i="3" s="1"/>
  <c r="S75" i="3"/>
  <c r="S79" i="3" s="1"/>
  <c r="S80" i="3" s="1"/>
  <c r="S81" i="3" s="1"/>
  <c r="R75" i="3"/>
  <c r="R79" i="3" s="1"/>
  <c r="R80" i="3" s="1"/>
  <c r="R81" i="3" s="1"/>
  <c r="U70" i="3"/>
  <c r="U72" i="3" s="1"/>
  <c r="U73" i="3" s="1"/>
  <c r="U100" i="3" s="1"/>
  <c r="T70" i="3"/>
  <c r="T72" i="3" s="1"/>
  <c r="T73" i="3" s="1"/>
  <c r="T100" i="3" s="1"/>
  <c r="S70" i="3"/>
  <c r="S72" i="3" s="1"/>
  <c r="S73" i="3" s="1"/>
  <c r="S100" i="3" s="1"/>
  <c r="R70" i="3"/>
  <c r="R72" i="3" s="1"/>
  <c r="R73" i="3" s="1"/>
  <c r="R100" i="3" s="1"/>
  <c r="N117" i="3"/>
  <c r="N118" i="3" s="1"/>
  <c r="N114" i="3"/>
  <c r="N115" i="3" s="1"/>
  <c r="N112" i="3"/>
  <c r="N110" i="3"/>
  <c r="Q108" i="3"/>
  <c r="Q109" i="3" s="1"/>
  <c r="P108" i="3"/>
  <c r="P109" i="3" s="1"/>
  <c r="O108" i="3"/>
  <c r="O109" i="3" s="1"/>
  <c r="N108" i="3"/>
  <c r="N109" i="3" s="1"/>
  <c r="Q107" i="3"/>
  <c r="P107" i="3"/>
  <c r="O107" i="3"/>
  <c r="N107" i="3"/>
  <c r="Q104" i="3"/>
  <c r="P104" i="3"/>
  <c r="O104" i="3"/>
  <c r="N104" i="3"/>
  <c r="Q103" i="3"/>
  <c r="Q105" i="3" s="1"/>
  <c r="Q106" i="3" s="1"/>
  <c r="P103" i="3"/>
  <c r="P105" i="3" s="1"/>
  <c r="P106" i="3" s="1"/>
  <c r="O103" i="3"/>
  <c r="O105" i="3" s="1"/>
  <c r="O106" i="3" s="1"/>
  <c r="N103" i="3"/>
  <c r="N105" i="3" s="1"/>
  <c r="N106" i="3" s="1"/>
  <c r="Q102" i="3"/>
  <c r="P102" i="3"/>
  <c r="O102" i="3"/>
  <c r="N102" i="3"/>
  <c r="Q98" i="3"/>
  <c r="P98" i="3"/>
  <c r="O98" i="3"/>
  <c r="N98" i="3"/>
  <c r="Q97" i="3"/>
  <c r="Q99" i="3" s="1"/>
  <c r="P97" i="3"/>
  <c r="P99" i="3" s="1"/>
  <c r="O97" i="3"/>
  <c r="O99" i="3" s="1"/>
  <c r="N97" i="3"/>
  <c r="N99" i="3" s="1"/>
  <c r="Q88" i="3"/>
  <c r="P88" i="3"/>
  <c r="O88" i="3"/>
  <c r="N88" i="3"/>
  <c r="Q87" i="3"/>
  <c r="Q90" i="3" s="1"/>
  <c r="P87" i="3"/>
  <c r="P90" i="3" s="1"/>
  <c r="O87" i="3"/>
  <c r="O90" i="3" s="1"/>
  <c r="N87" i="3"/>
  <c r="N90" i="3" s="1"/>
  <c r="Q77" i="3"/>
  <c r="P77" i="3"/>
  <c r="O77" i="3"/>
  <c r="N77" i="3"/>
  <c r="Q76" i="3"/>
  <c r="P76" i="3"/>
  <c r="O76" i="3"/>
  <c r="N76" i="3"/>
  <c r="Q75" i="3"/>
  <c r="Q79" i="3" s="1"/>
  <c r="Q80" i="3" s="1"/>
  <c r="Q81" i="3" s="1"/>
  <c r="P75" i="3"/>
  <c r="P79" i="3" s="1"/>
  <c r="O75" i="3"/>
  <c r="O79" i="3" s="1"/>
  <c r="O80" i="3" s="1"/>
  <c r="O81" i="3" s="1"/>
  <c r="N75" i="3"/>
  <c r="N79" i="3" s="1"/>
  <c r="N80" i="3" s="1"/>
  <c r="N81" i="3" s="1"/>
  <c r="Q70" i="3"/>
  <c r="Q72" i="3" s="1"/>
  <c r="Q73" i="3" s="1"/>
  <c r="Q100" i="3" s="1"/>
  <c r="P70" i="3"/>
  <c r="P72" i="3" s="1"/>
  <c r="P73" i="3" s="1"/>
  <c r="P100" i="3" s="1"/>
  <c r="O70" i="3"/>
  <c r="O72" i="3" s="1"/>
  <c r="O73" i="3" s="1"/>
  <c r="O100" i="3" s="1"/>
  <c r="N70" i="3"/>
  <c r="N72" i="3" s="1"/>
  <c r="N73" i="3" s="1"/>
  <c r="N100" i="3" s="1"/>
  <c r="CH68" i="3"/>
  <c r="CK66" i="3"/>
  <c r="CK67" i="3" s="1"/>
  <c r="CJ66" i="3"/>
  <c r="CJ67" i="3" s="1"/>
  <c r="CI66" i="3"/>
  <c r="CI67" i="3" s="1"/>
  <c r="CH66" i="3"/>
  <c r="CH67" i="3" s="1"/>
  <c r="CK65" i="3"/>
  <c r="CI65" i="3"/>
  <c r="CK63" i="3"/>
  <c r="CJ63" i="3"/>
  <c r="CI63" i="3"/>
  <c r="CH63" i="3"/>
  <c r="CK60" i="3"/>
  <c r="CK62" i="3" s="1"/>
  <c r="CJ60" i="3"/>
  <c r="CJ62" i="3" s="1"/>
  <c r="CI60" i="3"/>
  <c r="CI62" i="3" s="1"/>
  <c r="CH60" i="3"/>
  <c r="CH62" i="3" s="1"/>
  <c r="CK59" i="3"/>
  <c r="CJ59" i="3"/>
  <c r="CI59" i="3"/>
  <c r="CH59" i="3"/>
  <c r="CK57" i="3"/>
  <c r="CJ57" i="3"/>
  <c r="CI57" i="3"/>
  <c r="CH57" i="3"/>
  <c r="CK56" i="3"/>
  <c r="CJ56" i="3"/>
  <c r="CI56" i="3"/>
  <c r="CH56" i="3"/>
  <c r="CK50" i="3"/>
  <c r="CK52" i="3" s="1"/>
  <c r="CK51" i="3" s="1"/>
  <c r="CJ50" i="3"/>
  <c r="CJ52" i="3" s="1"/>
  <c r="CJ51" i="3" s="1"/>
  <c r="CI50" i="3"/>
  <c r="CI52" i="3" s="1"/>
  <c r="CI51" i="3" s="1"/>
  <c r="CH50" i="3"/>
  <c r="CH52" i="3" s="1"/>
  <c r="CH51" i="3" s="1"/>
  <c r="CK49" i="3"/>
  <c r="CK58" i="3" s="1"/>
  <c r="CJ49" i="3"/>
  <c r="CJ58" i="3" s="1"/>
  <c r="CI49" i="3"/>
  <c r="CI58" i="3" s="1"/>
  <c r="CH49" i="3"/>
  <c r="CH58" i="3" s="1"/>
  <c r="CK48" i="3"/>
  <c r="CK53" i="3" s="1"/>
  <c r="CK54" i="3" s="1"/>
  <c r="CK55" i="3" s="1"/>
  <c r="CJ48" i="3"/>
  <c r="CI48" i="3"/>
  <c r="CI53" i="3" s="1"/>
  <c r="CI54" i="3" s="1"/>
  <c r="CI55" i="3" s="1"/>
  <c r="CH48" i="3"/>
  <c r="CH53" i="3" s="1"/>
  <c r="CH54" i="3" s="1"/>
  <c r="CH55" i="3" s="1"/>
  <c r="CD68" i="3"/>
  <c r="CG66" i="3"/>
  <c r="CG67" i="3" s="1"/>
  <c r="CF66" i="3"/>
  <c r="CF67" i="3" s="1"/>
  <c r="CE66" i="3"/>
  <c r="CE67" i="3" s="1"/>
  <c r="CD66" i="3"/>
  <c r="CD67" i="3" s="1"/>
  <c r="CG65" i="3"/>
  <c r="CE65" i="3"/>
  <c r="CG63" i="3"/>
  <c r="CF63" i="3"/>
  <c r="CE63" i="3"/>
  <c r="CD63" i="3"/>
  <c r="CG60" i="3"/>
  <c r="CG62" i="3" s="1"/>
  <c r="CF60" i="3"/>
  <c r="CF62" i="3" s="1"/>
  <c r="CE60" i="3"/>
  <c r="CE62" i="3" s="1"/>
  <c r="CD60" i="3"/>
  <c r="CD62" i="3" s="1"/>
  <c r="CG59" i="3"/>
  <c r="CF59" i="3"/>
  <c r="CE59" i="3"/>
  <c r="CD59" i="3"/>
  <c r="CG57" i="3"/>
  <c r="CF57" i="3"/>
  <c r="CE57" i="3"/>
  <c r="CD57" i="3"/>
  <c r="CG56" i="3"/>
  <c r="CF56" i="3"/>
  <c r="CE56" i="3"/>
  <c r="CD56" i="3"/>
  <c r="CG50" i="3"/>
  <c r="CG52" i="3" s="1"/>
  <c r="CG51" i="3" s="1"/>
  <c r="CF50" i="3"/>
  <c r="CF52" i="3" s="1"/>
  <c r="CF51" i="3" s="1"/>
  <c r="CE50" i="3"/>
  <c r="CE52" i="3" s="1"/>
  <c r="CE51" i="3" s="1"/>
  <c r="CD50" i="3"/>
  <c r="CD52" i="3" s="1"/>
  <c r="CD51" i="3" s="1"/>
  <c r="CG49" i="3"/>
  <c r="CG58" i="3" s="1"/>
  <c r="CF49" i="3"/>
  <c r="CF58" i="3" s="1"/>
  <c r="CE49" i="3"/>
  <c r="CE58" i="3" s="1"/>
  <c r="CD49" i="3"/>
  <c r="CD58" i="3" s="1"/>
  <c r="CG48" i="3"/>
  <c r="CG53" i="3" s="1"/>
  <c r="CG54" i="3" s="1"/>
  <c r="CG55" i="3" s="1"/>
  <c r="CF48" i="3"/>
  <c r="CF53" i="3" s="1"/>
  <c r="CF54" i="3" s="1"/>
  <c r="CF55" i="3" s="1"/>
  <c r="CE48" i="3"/>
  <c r="CE53" i="3" s="1"/>
  <c r="CE54" i="3" s="1"/>
  <c r="CE55" i="3" s="1"/>
  <c r="CD48" i="3"/>
  <c r="CD53" i="3" s="1"/>
  <c r="CD54" i="3" s="1"/>
  <c r="CD55" i="3" s="1"/>
  <c r="BZ68" i="3"/>
  <c r="CA67" i="3"/>
  <c r="CC66" i="3"/>
  <c r="CC67" i="3" s="1"/>
  <c r="CB66" i="3"/>
  <c r="CB67" i="3" s="1"/>
  <c r="CA66" i="3"/>
  <c r="BZ66" i="3"/>
  <c r="BZ67" i="3" s="1"/>
  <c r="CC65" i="3"/>
  <c r="CB65" i="3"/>
  <c r="CA65" i="3"/>
  <c r="BZ65" i="3"/>
  <c r="CC63" i="3"/>
  <c r="CB63" i="3"/>
  <c r="CA63" i="3"/>
  <c r="BZ63" i="3"/>
  <c r="CC60" i="3"/>
  <c r="CC62" i="3" s="1"/>
  <c r="CB60" i="3"/>
  <c r="CB62" i="3" s="1"/>
  <c r="CA60" i="3"/>
  <c r="CA62" i="3" s="1"/>
  <c r="BZ60" i="3"/>
  <c r="BZ62" i="3" s="1"/>
  <c r="CC59" i="3"/>
  <c r="CB59" i="3"/>
  <c r="CA59" i="3"/>
  <c r="BZ59" i="3"/>
  <c r="CC57" i="3"/>
  <c r="CB57" i="3"/>
  <c r="CA57" i="3"/>
  <c r="BZ57" i="3"/>
  <c r="CC56" i="3"/>
  <c r="CB56" i="3"/>
  <c r="CA56" i="3"/>
  <c r="BZ56" i="3"/>
  <c r="CC50" i="3"/>
  <c r="CC52" i="3" s="1"/>
  <c r="CC51" i="3" s="1"/>
  <c r="CB50" i="3"/>
  <c r="CB52" i="3" s="1"/>
  <c r="CB51" i="3" s="1"/>
  <c r="CA50" i="3"/>
  <c r="CA52" i="3" s="1"/>
  <c r="CA51" i="3" s="1"/>
  <c r="BZ50" i="3"/>
  <c r="BZ52" i="3" s="1"/>
  <c r="BZ51" i="3" s="1"/>
  <c r="CC49" i="3"/>
  <c r="CC58" i="3" s="1"/>
  <c r="CB49" i="3"/>
  <c r="CB58" i="3" s="1"/>
  <c r="CA49" i="3"/>
  <c r="CA58" i="3" s="1"/>
  <c r="BZ49" i="3"/>
  <c r="BZ58" i="3" s="1"/>
  <c r="CC48" i="3"/>
  <c r="CC53" i="3" s="1"/>
  <c r="CC54" i="3" s="1"/>
  <c r="CC55" i="3" s="1"/>
  <c r="CB48" i="3"/>
  <c r="CB53" i="3" s="1"/>
  <c r="CB54" i="3" s="1"/>
  <c r="CB55" i="3" s="1"/>
  <c r="CA48" i="3"/>
  <c r="CA53" i="3" s="1"/>
  <c r="CA54" i="3" s="1"/>
  <c r="CA55" i="3" s="1"/>
  <c r="BZ48" i="3"/>
  <c r="BZ53" i="3" s="1"/>
  <c r="BZ54" i="3" s="1"/>
  <c r="BZ55" i="3" s="1"/>
  <c r="BV68" i="3"/>
  <c r="BY66" i="3"/>
  <c r="BY67" i="3" s="1"/>
  <c r="BX66" i="3"/>
  <c r="BX67" i="3" s="1"/>
  <c r="BW66" i="3"/>
  <c r="BW67" i="3" s="1"/>
  <c r="BV66" i="3"/>
  <c r="BV67" i="3" s="1"/>
  <c r="BY65" i="3"/>
  <c r="BW65" i="3"/>
  <c r="BV65" i="3"/>
  <c r="BY63" i="3"/>
  <c r="BX63" i="3"/>
  <c r="BW63" i="3"/>
  <c r="BV63" i="3"/>
  <c r="BY60" i="3"/>
  <c r="BY62" i="3" s="1"/>
  <c r="BX60" i="3"/>
  <c r="BX62" i="3" s="1"/>
  <c r="BW60" i="3"/>
  <c r="BW61" i="3" s="1"/>
  <c r="BV60" i="3"/>
  <c r="BV62" i="3" s="1"/>
  <c r="BY59" i="3"/>
  <c r="BX59" i="3"/>
  <c r="BW59" i="3"/>
  <c r="BV59" i="3"/>
  <c r="BY57" i="3"/>
  <c r="BX57" i="3"/>
  <c r="BW57" i="3"/>
  <c r="BV57" i="3"/>
  <c r="BY56" i="3"/>
  <c r="BX56" i="3"/>
  <c r="BW56" i="3"/>
  <c r="BV56" i="3"/>
  <c r="BY50" i="3"/>
  <c r="BY52" i="3" s="1"/>
  <c r="BY51" i="3" s="1"/>
  <c r="BX50" i="3"/>
  <c r="BX52" i="3" s="1"/>
  <c r="BX51" i="3" s="1"/>
  <c r="BW50" i="3"/>
  <c r="BW52" i="3" s="1"/>
  <c r="BW51" i="3" s="1"/>
  <c r="BV50" i="3"/>
  <c r="BV52" i="3" s="1"/>
  <c r="BV51" i="3" s="1"/>
  <c r="BY49" i="3"/>
  <c r="BY58" i="3" s="1"/>
  <c r="BX49" i="3"/>
  <c r="BX58" i="3" s="1"/>
  <c r="BW49" i="3"/>
  <c r="BW58" i="3" s="1"/>
  <c r="BV49" i="3"/>
  <c r="BV58" i="3" s="1"/>
  <c r="BY48" i="3"/>
  <c r="BY53" i="3" s="1"/>
  <c r="BY54" i="3" s="1"/>
  <c r="BY55" i="3" s="1"/>
  <c r="BX48" i="3"/>
  <c r="BX53" i="3" s="1"/>
  <c r="BX54" i="3" s="1"/>
  <c r="BX55" i="3" s="1"/>
  <c r="BW48" i="3"/>
  <c r="BW53" i="3" s="1"/>
  <c r="BW54" i="3" s="1"/>
  <c r="BW55" i="3" s="1"/>
  <c r="BV48" i="3"/>
  <c r="BV53" i="3" s="1"/>
  <c r="BV54" i="3" s="1"/>
  <c r="BV55" i="3" s="1"/>
  <c r="BR68" i="3"/>
  <c r="BU66" i="3"/>
  <c r="BU67" i="3" s="1"/>
  <c r="BT66" i="3"/>
  <c r="BT67" i="3" s="1"/>
  <c r="BS66" i="3"/>
  <c r="BS67" i="3" s="1"/>
  <c r="BR66" i="3"/>
  <c r="BR67" i="3" s="1"/>
  <c r="BU65" i="3"/>
  <c r="BS65" i="3"/>
  <c r="BU63" i="3"/>
  <c r="BT63" i="3"/>
  <c r="BS63" i="3"/>
  <c r="BR63" i="3"/>
  <c r="BU60" i="3"/>
  <c r="BU62" i="3" s="1"/>
  <c r="BT60" i="3"/>
  <c r="BT62" i="3" s="1"/>
  <c r="BS60" i="3"/>
  <c r="BS62" i="3" s="1"/>
  <c r="BR60" i="3"/>
  <c r="BR62" i="3" s="1"/>
  <c r="BU59" i="3"/>
  <c r="BT59" i="3"/>
  <c r="BS59" i="3"/>
  <c r="BR59" i="3"/>
  <c r="BU57" i="3"/>
  <c r="BT57" i="3"/>
  <c r="BS57" i="3"/>
  <c r="BR57" i="3"/>
  <c r="BU56" i="3"/>
  <c r="BT56" i="3"/>
  <c r="BS56" i="3"/>
  <c r="BR56" i="3"/>
  <c r="BU50" i="3"/>
  <c r="BU52" i="3" s="1"/>
  <c r="BU51" i="3" s="1"/>
  <c r="BT50" i="3"/>
  <c r="BT52" i="3" s="1"/>
  <c r="BT51" i="3" s="1"/>
  <c r="BS50" i="3"/>
  <c r="BS52" i="3" s="1"/>
  <c r="BS51" i="3" s="1"/>
  <c r="BR50" i="3"/>
  <c r="BR52" i="3" s="1"/>
  <c r="BR51" i="3" s="1"/>
  <c r="BU49" i="3"/>
  <c r="BU58" i="3" s="1"/>
  <c r="BT49" i="3"/>
  <c r="BT58" i="3" s="1"/>
  <c r="BS49" i="3"/>
  <c r="BS58" i="3" s="1"/>
  <c r="BR49" i="3"/>
  <c r="BR58" i="3" s="1"/>
  <c r="BU48" i="3"/>
  <c r="BU53" i="3" s="1"/>
  <c r="BU54" i="3" s="1"/>
  <c r="BU55" i="3" s="1"/>
  <c r="BT48" i="3"/>
  <c r="BT53" i="3" s="1"/>
  <c r="BT54" i="3" s="1"/>
  <c r="BT55" i="3" s="1"/>
  <c r="BS48" i="3"/>
  <c r="BS53" i="3" s="1"/>
  <c r="BS54" i="3" s="1"/>
  <c r="BS55" i="3" s="1"/>
  <c r="BR48" i="3"/>
  <c r="BR53" i="3" s="1"/>
  <c r="BR54" i="3" s="1"/>
  <c r="BR55" i="3" s="1"/>
  <c r="BN68" i="3"/>
  <c r="BQ66" i="3"/>
  <c r="BQ67" i="3" s="1"/>
  <c r="BP66" i="3"/>
  <c r="BP67" i="3" s="1"/>
  <c r="BO66" i="3"/>
  <c r="BO67" i="3" s="1"/>
  <c r="BN66" i="3"/>
  <c r="BN67" i="3" s="1"/>
  <c r="BQ65" i="3"/>
  <c r="BO65" i="3"/>
  <c r="BQ63" i="3"/>
  <c r="BP63" i="3"/>
  <c r="BO63" i="3"/>
  <c r="BN63" i="3"/>
  <c r="BQ60" i="3"/>
  <c r="BQ62" i="3" s="1"/>
  <c r="BP60" i="3"/>
  <c r="BP62" i="3" s="1"/>
  <c r="BO60" i="3"/>
  <c r="BO62" i="3" s="1"/>
  <c r="BN60" i="3"/>
  <c r="BN61" i="3" s="1"/>
  <c r="BQ59" i="3"/>
  <c r="BP59" i="3"/>
  <c r="BO59" i="3"/>
  <c r="BN59" i="3"/>
  <c r="BQ57" i="3"/>
  <c r="BP57" i="3"/>
  <c r="BO57" i="3"/>
  <c r="BN57" i="3"/>
  <c r="BQ56" i="3"/>
  <c r="BP56" i="3"/>
  <c r="BO56" i="3"/>
  <c r="BN56" i="3"/>
  <c r="BQ50" i="3"/>
  <c r="BQ52" i="3" s="1"/>
  <c r="BQ51" i="3" s="1"/>
  <c r="BP50" i="3"/>
  <c r="BP52" i="3" s="1"/>
  <c r="BP51" i="3" s="1"/>
  <c r="BO50" i="3"/>
  <c r="BO52" i="3" s="1"/>
  <c r="BO51" i="3" s="1"/>
  <c r="BN50" i="3"/>
  <c r="BN52" i="3" s="1"/>
  <c r="BN51" i="3" s="1"/>
  <c r="BQ49" i="3"/>
  <c r="BQ58" i="3" s="1"/>
  <c r="BP49" i="3"/>
  <c r="BP58" i="3" s="1"/>
  <c r="BO49" i="3"/>
  <c r="BO58" i="3" s="1"/>
  <c r="BN49" i="3"/>
  <c r="BN58" i="3" s="1"/>
  <c r="BQ48" i="3"/>
  <c r="BQ53" i="3" s="1"/>
  <c r="BQ54" i="3" s="1"/>
  <c r="BQ55" i="3" s="1"/>
  <c r="BP48" i="3"/>
  <c r="BP53" i="3" s="1"/>
  <c r="BP54" i="3" s="1"/>
  <c r="BP55" i="3" s="1"/>
  <c r="BO48" i="3"/>
  <c r="BN48" i="3"/>
  <c r="BN53" i="3" s="1"/>
  <c r="BN54" i="3" s="1"/>
  <c r="BN55" i="3" s="1"/>
  <c r="BJ68" i="3"/>
  <c r="BM66" i="3"/>
  <c r="BM67" i="3" s="1"/>
  <c r="BL66" i="3"/>
  <c r="BL67" i="3" s="1"/>
  <c r="BK66" i="3"/>
  <c r="BK67" i="3" s="1"/>
  <c r="BJ66" i="3"/>
  <c r="BJ67" i="3" s="1"/>
  <c r="BM65" i="3"/>
  <c r="BK65" i="3"/>
  <c r="BM63" i="3"/>
  <c r="BL63" i="3"/>
  <c r="BK63" i="3"/>
  <c r="BJ63" i="3"/>
  <c r="BM60" i="3"/>
  <c r="BM62" i="3" s="1"/>
  <c r="BL60" i="3"/>
  <c r="BL62" i="3" s="1"/>
  <c r="BK60" i="3"/>
  <c r="BK62" i="3" s="1"/>
  <c r="BJ60" i="3"/>
  <c r="BJ62" i="3" s="1"/>
  <c r="BM59" i="3"/>
  <c r="BL59" i="3"/>
  <c r="BK59" i="3"/>
  <c r="BJ59" i="3"/>
  <c r="BM57" i="3"/>
  <c r="BL57" i="3"/>
  <c r="BK57" i="3"/>
  <c r="BJ57" i="3"/>
  <c r="BM56" i="3"/>
  <c r="BL56" i="3"/>
  <c r="BK56" i="3"/>
  <c r="BJ56" i="3"/>
  <c r="BM50" i="3"/>
  <c r="BM52" i="3" s="1"/>
  <c r="BM51" i="3" s="1"/>
  <c r="BL50" i="3"/>
  <c r="BL52" i="3" s="1"/>
  <c r="BL51" i="3" s="1"/>
  <c r="BK50" i="3"/>
  <c r="BK52" i="3" s="1"/>
  <c r="BK51" i="3" s="1"/>
  <c r="BJ50" i="3"/>
  <c r="BJ52" i="3" s="1"/>
  <c r="BJ51" i="3" s="1"/>
  <c r="BM49" i="3"/>
  <c r="BM58" i="3" s="1"/>
  <c r="BL49" i="3"/>
  <c r="BL58" i="3" s="1"/>
  <c r="BK49" i="3"/>
  <c r="BK58" i="3" s="1"/>
  <c r="BJ49" i="3"/>
  <c r="BJ58" i="3" s="1"/>
  <c r="BM48" i="3"/>
  <c r="BM53" i="3" s="1"/>
  <c r="BM54" i="3" s="1"/>
  <c r="BM55" i="3" s="1"/>
  <c r="BL48" i="3"/>
  <c r="BL53" i="3" s="1"/>
  <c r="BL54" i="3" s="1"/>
  <c r="BL55" i="3" s="1"/>
  <c r="BK48" i="3"/>
  <c r="BJ48" i="3"/>
  <c r="BJ53" i="3" s="1"/>
  <c r="BJ54" i="3" s="1"/>
  <c r="BJ55" i="3" s="1"/>
  <c r="BF68" i="3"/>
  <c r="BI66" i="3"/>
  <c r="BI67" i="3" s="1"/>
  <c r="BH66" i="3"/>
  <c r="BH67" i="3" s="1"/>
  <c r="BG66" i="3"/>
  <c r="BG67" i="3" s="1"/>
  <c r="BF66" i="3"/>
  <c r="BF67" i="3" s="1"/>
  <c r="BI65" i="3"/>
  <c r="BG65" i="3"/>
  <c r="BI63" i="3"/>
  <c r="BH63" i="3"/>
  <c r="BG63" i="3"/>
  <c r="BF63" i="3"/>
  <c r="BI60" i="3"/>
  <c r="BI62" i="3" s="1"/>
  <c r="BH60" i="3"/>
  <c r="BH62" i="3" s="1"/>
  <c r="BG60" i="3"/>
  <c r="BG62" i="3" s="1"/>
  <c r="BF60" i="3"/>
  <c r="BF62" i="3" s="1"/>
  <c r="BI59" i="3"/>
  <c r="BH59" i="3"/>
  <c r="BG59" i="3"/>
  <c r="BF59" i="3"/>
  <c r="BI57" i="3"/>
  <c r="BH57" i="3"/>
  <c r="BG57" i="3"/>
  <c r="BF57" i="3"/>
  <c r="BI56" i="3"/>
  <c r="BH56" i="3"/>
  <c r="BG56" i="3"/>
  <c r="BF56" i="3"/>
  <c r="BI50" i="3"/>
  <c r="BI52" i="3" s="1"/>
  <c r="BI51" i="3" s="1"/>
  <c r="BH50" i="3"/>
  <c r="BH52" i="3" s="1"/>
  <c r="BH51" i="3" s="1"/>
  <c r="BG50" i="3"/>
  <c r="BG52" i="3" s="1"/>
  <c r="BG51" i="3" s="1"/>
  <c r="BF50" i="3"/>
  <c r="BF52" i="3" s="1"/>
  <c r="BF51" i="3" s="1"/>
  <c r="BI49" i="3"/>
  <c r="BI58" i="3" s="1"/>
  <c r="BH49" i="3"/>
  <c r="BH58" i="3" s="1"/>
  <c r="BG49" i="3"/>
  <c r="BG58" i="3" s="1"/>
  <c r="BF49" i="3"/>
  <c r="BF58" i="3" s="1"/>
  <c r="BI48" i="3"/>
  <c r="BI53" i="3" s="1"/>
  <c r="BI54" i="3" s="1"/>
  <c r="BI55" i="3" s="1"/>
  <c r="BH48" i="3"/>
  <c r="BH53" i="3" s="1"/>
  <c r="BH54" i="3" s="1"/>
  <c r="BH55" i="3" s="1"/>
  <c r="BG48" i="3"/>
  <c r="BG53" i="3" s="1"/>
  <c r="BG54" i="3" s="1"/>
  <c r="BG55" i="3" s="1"/>
  <c r="BF48" i="3"/>
  <c r="BF53" i="3" s="1"/>
  <c r="BF54" i="3" s="1"/>
  <c r="BF55" i="3" s="1"/>
  <c r="BB68" i="3"/>
  <c r="BE66" i="3"/>
  <c r="BE67" i="3" s="1"/>
  <c r="BD66" i="3"/>
  <c r="BD67" i="3" s="1"/>
  <c r="BC66" i="3"/>
  <c r="BC67" i="3" s="1"/>
  <c r="BB66" i="3"/>
  <c r="BB67" i="3" s="1"/>
  <c r="BE65" i="3"/>
  <c r="BC65" i="3"/>
  <c r="BB65" i="3"/>
  <c r="BE63" i="3"/>
  <c r="BD63" i="3"/>
  <c r="BC63" i="3"/>
  <c r="BB63" i="3"/>
  <c r="BE60" i="3"/>
  <c r="BE62" i="3" s="1"/>
  <c r="BD60" i="3"/>
  <c r="BD62" i="3" s="1"/>
  <c r="BC60" i="3"/>
  <c r="BC62" i="3" s="1"/>
  <c r="BB60" i="3"/>
  <c r="BB62" i="3" s="1"/>
  <c r="BE59" i="3"/>
  <c r="BD59" i="3"/>
  <c r="BC59" i="3"/>
  <c r="BB59" i="3"/>
  <c r="BE57" i="3"/>
  <c r="BD57" i="3"/>
  <c r="BC57" i="3"/>
  <c r="BB57" i="3"/>
  <c r="BE56" i="3"/>
  <c r="BD56" i="3"/>
  <c r="BC56" i="3"/>
  <c r="BB56" i="3"/>
  <c r="BE50" i="3"/>
  <c r="BE52" i="3" s="1"/>
  <c r="BE51" i="3" s="1"/>
  <c r="BD50" i="3"/>
  <c r="BD52" i="3" s="1"/>
  <c r="BD51" i="3" s="1"/>
  <c r="BC50" i="3"/>
  <c r="BC52" i="3" s="1"/>
  <c r="BC51" i="3" s="1"/>
  <c r="BB50" i="3"/>
  <c r="BB52" i="3" s="1"/>
  <c r="BB51" i="3" s="1"/>
  <c r="BE49" i="3"/>
  <c r="BE58" i="3" s="1"/>
  <c r="BD49" i="3"/>
  <c r="BD58" i="3" s="1"/>
  <c r="BC49" i="3"/>
  <c r="BC58" i="3" s="1"/>
  <c r="BB49" i="3"/>
  <c r="BB58" i="3" s="1"/>
  <c r="BE48" i="3"/>
  <c r="BE53" i="3" s="1"/>
  <c r="BE54" i="3" s="1"/>
  <c r="BE55" i="3" s="1"/>
  <c r="BD48" i="3"/>
  <c r="BD53" i="3" s="1"/>
  <c r="BD54" i="3" s="1"/>
  <c r="BD55" i="3" s="1"/>
  <c r="BC48" i="3"/>
  <c r="BC53" i="3" s="1"/>
  <c r="BC54" i="3" s="1"/>
  <c r="BC55" i="3" s="1"/>
  <c r="BB48" i="3"/>
  <c r="BB53" i="3" s="1"/>
  <c r="BB54" i="3" s="1"/>
  <c r="BB55" i="3" s="1"/>
  <c r="AX68" i="3"/>
  <c r="BA66" i="3"/>
  <c r="BA67" i="3" s="1"/>
  <c r="AZ66" i="3"/>
  <c r="AZ67" i="3" s="1"/>
  <c r="AY66" i="3"/>
  <c r="AY67" i="3" s="1"/>
  <c r="AX66" i="3"/>
  <c r="AX67" i="3" s="1"/>
  <c r="AY65" i="3"/>
  <c r="BA65" i="3"/>
  <c r="AZ65" i="3"/>
  <c r="BA63" i="3"/>
  <c r="AZ63" i="3"/>
  <c r="AY63" i="3"/>
  <c r="AX63" i="3"/>
  <c r="BA60" i="3"/>
  <c r="BA62" i="3" s="1"/>
  <c r="AZ60" i="3"/>
  <c r="AZ62" i="3" s="1"/>
  <c r="AY60" i="3"/>
  <c r="AY62" i="3" s="1"/>
  <c r="AX60" i="3"/>
  <c r="AX62" i="3" s="1"/>
  <c r="BA59" i="3"/>
  <c r="AZ59" i="3"/>
  <c r="AY59" i="3"/>
  <c r="AX59" i="3"/>
  <c r="BA57" i="3"/>
  <c r="AZ57" i="3"/>
  <c r="AY57" i="3"/>
  <c r="AX57" i="3"/>
  <c r="BA56" i="3"/>
  <c r="AZ56" i="3"/>
  <c r="AY56" i="3"/>
  <c r="AX56" i="3"/>
  <c r="BA50" i="3"/>
  <c r="BA52" i="3" s="1"/>
  <c r="BA51" i="3" s="1"/>
  <c r="AZ50" i="3"/>
  <c r="AZ52" i="3" s="1"/>
  <c r="AZ51" i="3" s="1"/>
  <c r="AY50" i="3"/>
  <c r="AY52" i="3" s="1"/>
  <c r="AY51" i="3" s="1"/>
  <c r="AX50" i="3"/>
  <c r="AX52" i="3" s="1"/>
  <c r="AX51" i="3" s="1"/>
  <c r="BA49" i="3"/>
  <c r="BA58" i="3" s="1"/>
  <c r="AZ49" i="3"/>
  <c r="AZ58" i="3" s="1"/>
  <c r="AY49" i="3"/>
  <c r="AY58" i="3" s="1"/>
  <c r="AX49" i="3"/>
  <c r="AX58" i="3" s="1"/>
  <c r="BA48" i="3"/>
  <c r="BA53" i="3" s="1"/>
  <c r="BA54" i="3" s="1"/>
  <c r="BA55" i="3" s="1"/>
  <c r="AZ48" i="3"/>
  <c r="AZ53" i="3" s="1"/>
  <c r="AZ54" i="3" s="1"/>
  <c r="AZ55" i="3" s="1"/>
  <c r="AY48" i="3"/>
  <c r="AX48" i="3"/>
  <c r="AX53" i="3" s="1"/>
  <c r="AX54" i="3" s="1"/>
  <c r="AX55" i="3" s="1"/>
  <c r="AT68" i="3"/>
  <c r="AW66" i="3"/>
  <c r="AW67" i="3" s="1"/>
  <c r="AV66" i="3"/>
  <c r="AV67" i="3" s="1"/>
  <c r="AU66" i="3"/>
  <c r="AU67" i="3" s="1"/>
  <c r="AT66" i="3"/>
  <c r="AT67" i="3" s="1"/>
  <c r="AW65" i="3"/>
  <c r="AU65" i="3"/>
  <c r="AT65" i="3"/>
  <c r="AW63" i="3"/>
  <c r="AV63" i="3"/>
  <c r="AU63" i="3"/>
  <c r="AT63" i="3"/>
  <c r="AU62" i="3"/>
  <c r="AW60" i="3"/>
  <c r="AW62" i="3" s="1"/>
  <c r="AV60" i="3"/>
  <c r="AV62" i="3" s="1"/>
  <c r="AU60" i="3"/>
  <c r="AU61" i="3" s="1"/>
  <c r="AT60" i="3"/>
  <c r="AT62" i="3" s="1"/>
  <c r="AW59" i="3"/>
  <c r="AV59" i="3"/>
  <c r="AU59" i="3"/>
  <c r="AT59" i="3"/>
  <c r="AW57" i="3"/>
  <c r="AV57" i="3"/>
  <c r="AU57" i="3"/>
  <c r="AT57" i="3"/>
  <c r="AW56" i="3"/>
  <c r="AV56" i="3"/>
  <c r="AU56" i="3"/>
  <c r="AT56" i="3"/>
  <c r="AW50" i="3"/>
  <c r="AW52" i="3" s="1"/>
  <c r="AW51" i="3" s="1"/>
  <c r="AV50" i="3"/>
  <c r="AV52" i="3" s="1"/>
  <c r="AV51" i="3" s="1"/>
  <c r="AU50" i="3"/>
  <c r="AU52" i="3" s="1"/>
  <c r="AU51" i="3" s="1"/>
  <c r="AT50" i="3"/>
  <c r="AT52" i="3" s="1"/>
  <c r="AT51" i="3" s="1"/>
  <c r="AW49" i="3"/>
  <c r="AW58" i="3" s="1"/>
  <c r="AV49" i="3"/>
  <c r="AV58" i="3" s="1"/>
  <c r="AU49" i="3"/>
  <c r="AU58" i="3" s="1"/>
  <c r="AT49" i="3"/>
  <c r="AT58" i="3" s="1"/>
  <c r="AW48" i="3"/>
  <c r="AW53" i="3" s="1"/>
  <c r="AW54" i="3" s="1"/>
  <c r="AW55" i="3" s="1"/>
  <c r="AV48" i="3"/>
  <c r="AU48" i="3"/>
  <c r="AU53" i="3" s="1"/>
  <c r="AU54" i="3" s="1"/>
  <c r="AU55" i="3" s="1"/>
  <c r="AT48" i="3"/>
  <c r="AT53" i="3" s="1"/>
  <c r="AT54" i="3" s="1"/>
  <c r="AT55" i="3" s="1"/>
  <c r="AP68" i="3"/>
  <c r="AS66" i="3"/>
  <c r="AS67" i="3" s="1"/>
  <c r="AR66" i="3"/>
  <c r="AR67" i="3" s="1"/>
  <c r="AQ66" i="3"/>
  <c r="AQ67" i="3" s="1"/>
  <c r="AP66" i="3"/>
  <c r="AP67" i="3" s="1"/>
  <c r="AS65" i="3"/>
  <c r="AQ65" i="3"/>
  <c r="AS63" i="3"/>
  <c r="AR63" i="3"/>
  <c r="AQ63" i="3"/>
  <c r="AP63" i="3"/>
  <c r="AS60" i="3"/>
  <c r="AS62" i="3" s="1"/>
  <c r="AR60" i="3"/>
  <c r="AR62" i="3" s="1"/>
  <c r="AQ60" i="3"/>
  <c r="AQ62" i="3" s="1"/>
  <c r="AP60" i="3"/>
  <c r="AP62" i="3" s="1"/>
  <c r="AS59" i="3"/>
  <c r="AR59" i="3"/>
  <c r="AQ59" i="3"/>
  <c r="AP59" i="3"/>
  <c r="AS57" i="3"/>
  <c r="AR57" i="3"/>
  <c r="AQ57" i="3"/>
  <c r="AP57" i="3"/>
  <c r="AS56" i="3"/>
  <c r="AR56" i="3"/>
  <c r="AQ56" i="3"/>
  <c r="AP56" i="3"/>
  <c r="AS50" i="3"/>
  <c r="AS52" i="3" s="1"/>
  <c r="AS51" i="3" s="1"/>
  <c r="AR50" i="3"/>
  <c r="AR52" i="3" s="1"/>
  <c r="AR51" i="3" s="1"/>
  <c r="AQ50" i="3"/>
  <c r="AQ52" i="3" s="1"/>
  <c r="AQ51" i="3" s="1"/>
  <c r="AP50" i="3"/>
  <c r="AP52" i="3" s="1"/>
  <c r="AP51" i="3" s="1"/>
  <c r="AS49" i="3"/>
  <c r="AS58" i="3" s="1"/>
  <c r="AR49" i="3"/>
  <c r="AR58" i="3" s="1"/>
  <c r="AQ49" i="3"/>
  <c r="AQ58" i="3" s="1"/>
  <c r="AP49" i="3"/>
  <c r="AP58" i="3" s="1"/>
  <c r="AS48" i="3"/>
  <c r="AS53" i="3" s="1"/>
  <c r="AS54" i="3" s="1"/>
  <c r="AS55" i="3" s="1"/>
  <c r="AR48" i="3"/>
  <c r="AR53" i="3" s="1"/>
  <c r="AR54" i="3" s="1"/>
  <c r="AR55" i="3" s="1"/>
  <c r="AQ48" i="3"/>
  <c r="AP48" i="3"/>
  <c r="AP53" i="3" s="1"/>
  <c r="AP54" i="3" s="1"/>
  <c r="AP55" i="3" s="1"/>
  <c r="AL68" i="3"/>
  <c r="AO66" i="3"/>
  <c r="AO67" i="3" s="1"/>
  <c r="AN66" i="3"/>
  <c r="AN67" i="3" s="1"/>
  <c r="AM66" i="3"/>
  <c r="AM67" i="3" s="1"/>
  <c r="AL66" i="3"/>
  <c r="AL67" i="3" s="1"/>
  <c r="AO65" i="3"/>
  <c r="AM65" i="3"/>
  <c r="AL65" i="3"/>
  <c r="AO63" i="3"/>
  <c r="AN63" i="3"/>
  <c r="AM63" i="3"/>
  <c r="AL63" i="3"/>
  <c r="AO60" i="3"/>
  <c r="AO62" i="3" s="1"/>
  <c r="AN60" i="3"/>
  <c r="AN62" i="3" s="1"/>
  <c r="AM60" i="3"/>
  <c r="AM62" i="3" s="1"/>
  <c r="AL60" i="3"/>
  <c r="AL62" i="3" s="1"/>
  <c r="AO59" i="3"/>
  <c r="AN59" i="3"/>
  <c r="AM59" i="3"/>
  <c r="AL59" i="3"/>
  <c r="AO57" i="3"/>
  <c r="AN57" i="3"/>
  <c r="AM57" i="3"/>
  <c r="AL57" i="3"/>
  <c r="AO56" i="3"/>
  <c r="AN56" i="3"/>
  <c r="AM56" i="3"/>
  <c r="AL56" i="3"/>
  <c r="AO50" i="3"/>
  <c r="AO52" i="3" s="1"/>
  <c r="AO51" i="3" s="1"/>
  <c r="AN50" i="3"/>
  <c r="AN52" i="3" s="1"/>
  <c r="AN51" i="3" s="1"/>
  <c r="AM50" i="3"/>
  <c r="AM52" i="3" s="1"/>
  <c r="AM51" i="3" s="1"/>
  <c r="AL50" i="3"/>
  <c r="AL52" i="3" s="1"/>
  <c r="AL51" i="3" s="1"/>
  <c r="AO49" i="3"/>
  <c r="AO58" i="3" s="1"/>
  <c r="AN49" i="3"/>
  <c r="AN58" i="3" s="1"/>
  <c r="AM49" i="3"/>
  <c r="AM58" i="3" s="1"/>
  <c r="AL49" i="3"/>
  <c r="AL58" i="3" s="1"/>
  <c r="AO48" i="3"/>
  <c r="AO53" i="3" s="1"/>
  <c r="AO54" i="3" s="1"/>
  <c r="AO55" i="3" s="1"/>
  <c r="AN48" i="3"/>
  <c r="AN53" i="3" s="1"/>
  <c r="AN54" i="3" s="1"/>
  <c r="AN55" i="3" s="1"/>
  <c r="AM48" i="3"/>
  <c r="AM53" i="3" s="1"/>
  <c r="AM54" i="3" s="1"/>
  <c r="AM55" i="3" s="1"/>
  <c r="AL48" i="3"/>
  <c r="AL53" i="3" s="1"/>
  <c r="AL54" i="3" s="1"/>
  <c r="AL55" i="3" s="1"/>
  <c r="AH68" i="3"/>
  <c r="AK66" i="3"/>
  <c r="AK67" i="3" s="1"/>
  <c r="AJ66" i="3"/>
  <c r="AJ67" i="3" s="1"/>
  <c r="AI66" i="3"/>
  <c r="AI67" i="3" s="1"/>
  <c r="AH66" i="3"/>
  <c r="AH67" i="3" s="1"/>
  <c r="AK65" i="3"/>
  <c r="AI65" i="3"/>
  <c r="AH65" i="3"/>
  <c r="AK63" i="3"/>
  <c r="AJ63" i="3"/>
  <c r="AI63" i="3"/>
  <c r="AH63" i="3"/>
  <c r="AK60" i="3"/>
  <c r="AK62" i="3" s="1"/>
  <c r="AJ60" i="3"/>
  <c r="AJ62" i="3" s="1"/>
  <c r="AI60" i="3"/>
  <c r="AI62" i="3" s="1"/>
  <c r="AH60" i="3"/>
  <c r="AH62" i="3" s="1"/>
  <c r="AK59" i="3"/>
  <c r="AJ59" i="3"/>
  <c r="AI59" i="3"/>
  <c r="AH59" i="3"/>
  <c r="AK57" i="3"/>
  <c r="AJ57" i="3"/>
  <c r="AI57" i="3"/>
  <c r="AH57" i="3"/>
  <c r="AK56" i="3"/>
  <c r="AJ56" i="3"/>
  <c r="AI56" i="3"/>
  <c r="AH56" i="3"/>
  <c r="AK50" i="3"/>
  <c r="AK52" i="3" s="1"/>
  <c r="AK51" i="3" s="1"/>
  <c r="AJ50" i="3"/>
  <c r="AJ52" i="3" s="1"/>
  <c r="AJ51" i="3" s="1"/>
  <c r="AI50" i="3"/>
  <c r="AI52" i="3" s="1"/>
  <c r="AI51" i="3" s="1"/>
  <c r="AH50" i="3"/>
  <c r="AH52" i="3" s="1"/>
  <c r="AH51" i="3" s="1"/>
  <c r="AK49" i="3"/>
  <c r="AK58" i="3" s="1"/>
  <c r="AJ49" i="3"/>
  <c r="AJ58" i="3" s="1"/>
  <c r="AI49" i="3"/>
  <c r="AI58" i="3" s="1"/>
  <c r="AH49" i="3"/>
  <c r="AH58" i="3" s="1"/>
  <c r="AK48" i="3"/>
  <c r="AK53" i="3" s="1"/>
  <c r="AK54" i="3" s="1"/>
  <c r="AK55" i="3" s="1"/>
  <c r="AJ48" i="3"/>
  <c r="AJ53" i="3" s="1"/>
  <c r="AJ54" i="3" s="1"/>
  <c r="AJ55" i="3" s="1"/>
  <c r="AI48" i="3"/>
  <c r="AH48" i="3"/>
  <c r="AH53" i="3" s="1"/>
  <c r="AH54" i="3" s="1"/>
  <c r="AH55" i="3" s="1"/>
  <c r="AD68" i="3"/>
  <c r="AG66" i="3"/>
  <c r="AG67" i="3" s="1"/>
  <c r="AF66" i="3"/>
  <c r="AF67" i="3" s="1"/>
  <c r="AE66" i="3"/>
  <c r="AE67" i="3" s="1"/>
  <c r="AD66" i="3"/>
  <c r="AD67" i="3" s="1"/>
  <c r="AG65" i="3"/>
  <c r="AE65" i="3"/>
  <c r="AD65" i="3"/>
  <c r="AG63" i="3"/>
  <c r="AF63" i="3"/>
  <c r="AE63" i="3"/>
  <c r="AD63" i="3"/>
  <c r="AG60" i="3"/>
  <c r="AG62" i="3" s="1"/>
  <c r="AF60" i="3"/>
  <c r="AF62" i="3" s="1"/>
  <c r="AE60" i="3"/>
  <c r="AE62" i="3" s="1"/>
  <c r="AD60" i="3"/>
  <c r="AD62" i="3" s="1"/>
  <c r="AG59" i="3"/>
  <c r="AF59" i="3"/>
  <c r="AE59" i="3"/>
  <c r="AD59" i="3"/>
  <c r="AG57" i="3"/>
  <c r="AF57" i="3"/>
  <c r="AE57" i="3"/>
  <c r="AD57" i="3"/>
  <c r="AG56" i="3"/>
  <c r="AF56" i="3"/>
  <c r="AE56" i="3"/>
  <c r="AD56" i="3"/>
  <c r="AG50" i="3"/>
  <c r="AG52" i="3" s="1"/>
  <c r="AG51" i="3" s="1"/>
  <c r="AF50" i="3"/>
  <c r="AF52" i="3" s="1"/>
  <c r="AF51" i="3" s="1"/>
  <c r="AE50" i="3"/>
  <c r="AE52" i="3" s="1"/>
  <c r="AE51" i="3" s="1"/>
  <c r="AD50" i="3"/>
  <c r="AD52" i="3" s="1"/>
  <c r="AD51" i="3" s="1"/>
  <c r="AG49" i="3"/>
  <c r="AG58" i="3" s="1"/>
  <c r="AF49" i="3"/>
  <c r="AF58" i="3" s="1"/>
  <c r="AE49" i="3"/>
  <c r="AE58" i="3" s="1"/>
  <c r="AD49" i="3"/>
  <c r="AD58" i="3" s="1"/>
  <c r="AG48" i="3"/>
  <c r="AG53" i="3" s="1"/>
  <c r="AG54" i="3" s="1"/>
  <c r="AG55" i="3" s="1"/>
  <c r="AF48" i="3"/>
  <c r="AF53" i="3" s="1"/>
  <c r="AF54" i="3" s="1"/>
  <c r="AF55" i="3" s="1"/>
  <c r="AE48" i="3"/>
  <c r="AE53" i="3" s="1"/>
  <c r="AE54" i="3" s="1"/>
  <c r="AE55" i="3" s="1"/>
  <c r="AD48" i="3"/>
  <c r="AD53" i="3" s="1"/>
  <c r="AD54" i="3" s="1"/>
  <c r="AD55" i="3" s="1"/>
  <c r="Z68" i="3"/>
  <c r="AC66" i="3"/>
  <c r="AC67" i="3" s="1"/>
  <c r="AB66" i="3"/>
  <c r="AB67" i="3" s="1"/>
  <c r="AA66" i="3"/>
  <c r="AA67" i="3" s="1"/>
  <c r="Z66" i="3"/>
  <c r="Z67" i="3" s="1"/>
  <c r="AA65" i="3"/>
  <c r="AC65" i="3"/>
  <c r="Z65" i="3"/>
  <c r="AC63" i="3"/>
  <c r="AB63" i="3"/>
  <c r="AA63" i="3"/>
  <c r="Z63" i="3"/>
  <c r="AC60" i="3"/>
  <c r="AC62" i="3" s="1"/>
  <c r="AB60" i="3"/>
  <c r="AB62" i="3" s="1"/>
  <c r="AA60" i="3"/>
  <c r="AA62" i="3" s="1"/>
  <c r="Z60" i="3"/>
  <c r="Z62" i="3" s="1"/>
  <c r="AC59" i="3"/>
  <c r="AB59" i="3"/>
  <c r="AA59" i="3"/>
  <c r="Z59" i="3"/>
  <c r="AC57" i="3"/>
  <c r="AB57" i="3"/>
  <c r="AA57" i="3"/>
  <c r="Z57" i="3"/>
  <c r="AC56" i="3"/>
  <c r="AB56" i="3"/>
  <c r="AA56" i="3"/>
  <c r="Z56" i="3"/>
  <c r="AC50" i="3"/>
  <c r="AC52" i="3" s="1"/>
  <c r="AC51" i="3" s="1"/>
  <c r="AB50" i="3"/>
  <c r="AB52" i="3" s="1"/>
  <c r="AB51" i="3" s="1"/>
  <c r="AA50" i="3"/>
  <c r="AA52" i="3" s="1"/>
  <c r="AA51" i="3" s="1"/>
  <c r="Z50" i="3"/>
  <c r="Z52" i="3" s="1"/>
  <c r="Z51" i="3" s="1"/>
  <c r="AC49" i="3"/>
  <c r="AC58" i="3" s="1"/>
  <c r="AB49" i="3"/>
  <c r="AB58" i="3" s="1"/>
  <c r="AA49" i="3"/>
  <c r="AA58" i="3" s="1"/>
  <c r="Z49" i="3"/>
  <c r="Z58" i="3" s="1"/>
  <c r="AC48" i="3"/>
  <c r="AC53" i="3" s="1"/>
  <c r="AC54" i="3" s="1"/>
  <c r="AC55" i="3" s="1"/>
  <c r="AB48" i="3"/>
  <c r="AB53" i="3" s="1"/>
  <c r="AB54" i="3" s="1"/>
  <c r="AB55" i="3" s="1"/>
  <c r="AA48" i="3"/>
  <c r="AA53" i="3" s="1"/>
  <c r="AA54" i="3" s="1"/>
  <c r="AA55" i="3" s="1"/>
  <c r="Z48" i="3"/>
  <c r="V68" i="3"/>
  <c r="Y66" i="3"/>
  <c r="Y67" i="3" s="1"/>
  <c r="X66" i="3"/>
  <c r="X67" i="3" s="1"/>
  <c r="W66" i="3"/>
  <c r="W67" i="3" s="1"/>
  <c r="V66" i="3"/>
  <c r="V67" i="3" s="1"/>
  <c r="Y65" i="3"/>
  <c r="W65" i="3"/>
  <c r="Y63" i="3"/>
  <c r="X63" i="3"/>
  <c r="W63" i="3"/>
  <c r="V63" i="3"/>
  <c r="Y60" i="3"/>
  <c r="Y62" i="3" s="1"/>
  <c r="X60" i="3"/>
  <c r="X62" i="3" s="1"/>
  <c r="W60" i="3"/>
  <c r="W62" i="3" s="1"/>
  <c r="V60" i="3"/>
  <c r="V62" i="3" s="1"/>
  <c r="Y59" i="3"/>
  <c r="X59" i="3"/>
  <c r="W59" i="3"/>
  <c r="V59" i="3"/>
  <c r="Y57" i="3"/>
  <c r="X57" i="3"/>
  <c r="W57" i="3"/>
  <c r="V57" i="3"/>
  <c r="Y56" i="3"/>
  <c r="X56" i="3"/>
  <c r="W56" i="3"/>
  <c r="V56" i="3"/>
  <c r="Y50" i="3"/>
  <c r="Y52" i="3" s="1"/>
  <c r="Y51" i="3" s="1"/>
  <c r="X50" i="3"/>
  <c r="X52" i="3" s="1"/>
  <c r="X51" i="3" s="1"/>
  <c r="W50" i="3"/>
  <c r="W52" i="3" s="1"/>
  <c r="W51" i="3" s="1"/>
  <c r="V50" i="3"/>
  <c r="V52" i="3" s="1"/>
  <c r="V51" i="3" s="1"/>
  <c r="Y49" i="3"/>
  <c r="Y58" i="3" s="1"/>
  <c r="X49" i="3"/>
  <c r="X58" i="3" s="1"/>
  <c r="W49" i="3"/>
  <c r="W58" i="3" s="1"/>
  <c r="V49" i="3"/>
  <c r="V58" i="3" s="1"/>
  <c r="Y48" i="3"/>
  <c r="Y53" i="3" s="1"/>
  <c r="Y54" i="3" s="1"/>
  <c r="Y55" i="3" s="1"/>
  <c r="X48" i="3"/>
  <c r="X53" i="3" s="1"/>
  <c r="X54" i="3" s="1"/>
  <c r="X55" i="3" s="1"/>
  <c r="W48" i="3"/>
  <c r="W53" i="3" s="1"/>
  <c r="W54" i="3" s="1"/>
  <c r="W55" i="3" s="1"/>
  <c r="V48" i="3"/>
  <c r="R68" i="3"/>
  <c r="U66" i="3"/>
  <c r="U67" i="3" s="1"/>
  <c r="T66" i="3"/>
  <c r="T67" i="3" s="1"/>
  <c r="S66" i="3"/>
  <c r="S67" i="3" s="1"/>
  <c r="R66" i="3"/>
  <c r="R67" i="3" s="1"/>
  <c r="U65" i="3"/>
  <c r="S65" i="3"/>
  <c r="U63" i="3"/>
  <c r="T63" i="3"/>
  <c r="S63" i="3"/>
  <c r="R63" i="3"/>
  <c r="U60" i="3"/>
  <c r="U62" i="3" s="1"/>
  <c r="T60" i="3"/>
  <c r="T62" i="3" s="1"/>
  <c r="S60" i="3"/>
  <c r="S62" i="3" s="1"/>
  <c r="R60" i="3"/>
  <c r="R62" i="3" s="1"/>
  <c r="U59" i="3"/>
  <c r="T59" i="3"/>
  <c r="S59" i="3"/>
  <c r="R59" i="3"/>
  <c r="U57" i="3"/>
  <c r="T57" i="3"/>
  <c r="S57" i="3"/>
  <c r="R57" i="3"/>
  <c r="U56" i="3"/>
  <c r="T56" i="3"/>
  <c r="S56" i="3"/>
  <c r="R56" i="3"/>
  <c r="U50" i="3"/>
  <c r="U52" i="3" s="1"/>
  <c r="U51" i="3" s="1"/>
  <c r="T50" i="3"/>
  <c r="T52" i="3" s="1"/>
  <c r="T51" i="3" s="1"/>
  <c r="S50" i="3"/>
  <c r="S52" i="3" s="1"/>
  <c r="S51" i="3" s="1"/>
  <c r="R50" i="3"/>
  <c r="R52" i="3" s="1"/>
  <c r="R51" i="3" s="1"/>
  <c r="U49" i="3"/>
  <c r="U58" i="3" s="1"/>
  <c r="T49" i="3"/>
  <c r="T58" i="3" s="1"/>
  <c r="S49" i="3"/>
  <c r="S58" i="3" s="1"/>
  <c r="R49" i="3"/>
  <c r="R58" i="3" s="1"/>
  <c r="U48" i="3"/>
  <c r="U53" i="3" s="1"/>
  <c r="U54" i="3" s="1"/>
  <c r="U55" i="3" s="1"/>
  <c r="T48" i="3"/>
  <c r="T53" i="3" s="1"/>
  <c r="T54" i="3" s="1"/>
  <c r="T55" i="3" s="1"/>
  <c r="S48" i="3"/>
  <c r="S53" i="3" s="1"/>
  <c r="S54" i="3" s="1"/>
  <c r="S55" i="3" s="1"/>
  <c r="R48" i="3"/>
  <c r="R53" i="3" s="1"/>
  <c r="R54" i="3" s="1"/>
  <c r="R55" i="3" s="1"/>
  <c r="N68" i="3"/>
  <c r="Q66" i="3"/>
  <c r="Q67" i="3" s="1"/>
  <c r="P66" i="3"/>
  <c r="P67" i="3" s="1"/>
  <c r="O66" i="3"/>
  <c r="O67" i="3" s="1"/>
  <c r="N66" i="3"/>
  <c r="N67" i="3" s="1"/>
  <c r="Q65" i="3"/>
  <c r="O65" i="3"/>
  <c r="Q63" i="3"/>
  <c r="P63" i="3"/>
  <c r="O63" i="3"/>
  <c r="N63" i="3"/>
  <c r="Q60" i="3"/>
  <c r="Q62" i="3" s="1"/>
  <c r="P60" i="3"/>
  <c r="P62" i="3" s="1"/>
  <c r="O60" i="3"/>
  <c r="O61" i="3" s="1"/>
  <c r="N60" i="3"/>
  <c r="N62" i="3" s="1"/>
  <c r="Q59" i="3"/>
  <c r="P59" i="3"/>
  <c r="O59" i="3"/>
  <c r="N59" i="3"/>
  <c r="Q57" i="3"/>
  <c r="P57" i="3"/>
  <c r="O57" i="3"/>
  <c r="N57" i="3"/>
  <c r="Q56" i="3"/>
  <c r="P56" i="3"/>
  <c r="O56" i="3"/>
  <c r="N56" i="3"/>
  <c r="Q50" i="3"/>
  <c r="Q52" i="3" s="1"/>
  <c r="Q51" i="3" s="1"/>
  <c r="P50" i="3"/>
  <c r="P52" i="3" s="1"/>
  <c r="P51" i="3" s="1"/>
  <c r="O50" i="3"/>
  <c r="O52" i="3" s="1"/>
  <c r="O51" i="3" s="1"/>
  <c r="N50" i="3"/>
  <c r="N52" i="3" s="1"/>
  <c r="N51" i="3" s="1"/>
  <c r="Q49" i="3"/>
  <c r="Q58" i="3" s="1"/>
  <c r="P49" i="3"/>
  <c r="P58" i="3" s="1"/>
  <c r="O49" i="3"/>
  <c r="O58" i="3" s="1"/>
  <c r="N49" i="3"/>
  <c r="N58" i="3" s="1"/>
  <c r="Q48" i="3"/>
  <c r="Q53" i="3" s="1"/>
  <c r="Q54" i="3" s="1"/>
  <c r="Q55" i="3" s="1"/>
  <c r="P48" i="3"/>
  <c r="P53" i="3" s="1"/>
  <c r="P54" i="3" s="1"/>
  <c r="P55" i="3" s="1"/>
  <c r="O48" i="3"/>
  <c r="N48" i="3"/>
  <c r="N53" i="3" s="1"/>
  <c r="N54" i="3" s="1"/>
  <c r="N55" i="3" s="1"/>
  <c r="AR22" i="11"/>
  <c r="AQ22" i="11"/>
  <c r="AP22" i="11"/>
  <c r="AO22" i="11"/>
  <c r="AN22" i="11"/>
  <c r="AM22" i="11"/>
  <c r="AL22" i="11"/>
  <c r="AK22" i="11"/>
  <c r="AJ22" i="11"/>
  <c r="AI22" i="11"/>
  <c r="AH22" i="11"/>
  <c r="AG22" i="11"/>
  <c r="AF22" i="11"/>
  <c r="AE22" i="11"/>
  <c r="AD22" i="11"/>
  <c r="AC22" i="11"/>
  <c r="AB22" i="11"/>
  <c r="AA22" i="11"/>
  <c r="Z22" i="11"/>
  <c r="Y22" i="11"/>
  <c r="X22" i="11"/>
  <c r="W22" i="11"/>
  <c r="V22" i="11"/>
  <c r="U22" i="11"/>
  <c r="T22" i="11"/>
  <c r="S22" i="11"/>
  <c r="R22" i="11"/>
  <c r="Q22" i="11"/>
  <c r="P22" i="11"/>
  <c r="O22" i="11"/>
  <c r="N22" i="11"/>
  <c r="M22" i="11"/>
  <c r="L22" i="11"/>
  <c r="K22" i="11"/>
  <c r="J22" i="11"/>
  <c r="I22" i="11"/>
  <c r="H22" i="11"/>
  <c r="G22" i="11"/>
  <c r="AR15" i="11"/>
  <c r="AQ15" i="11"/>
  <c r="AP15" i="11"/>
  <c r="AO15" i="11"/>
  <c r="AN15" i="11"/>
  <c r="AM15" i="11"/>
  <c r="AL15" i="11"/>
  <c r="AK15" i="11"/>
  <c r="AJ15" i="11"/>
  <c r="AI15" i="11"/>
  <c r="AH15" i="11"/>
  <c r="AG15" i="11"/>
  <c r="AF15" i="11"/>
  <c r="AE15" i="11"/>
  <c r="AD15" i="11"/>
  <c r="AC15" i="11"/>
  <c r="AB15" i="11"/>
  <c r="AA15" i="11"/>
  <c r="Z15" i="11"/>
  <c r="Y15" i="11"/>
  <c r="X15" i="11"/>
  <c r="W15" i="11"/>
  <c r="V15" i="11"/>
  <c r="U15" i="11"/>
  <c r="T15" i="11"/>
  <c r="S15" i="11"/>
  <c r="R15" i="11"/>
  <c r="Q15" i="11"/>
  <c r="P15" i="11"/>
  <c r="O15" i="11"/>
  <c r="N15" i="11"/>
  <c r="M15" i="11"/>
  <c r="L15" i="11"/>
  <c r="K15" i="11"/>
  <c r="J15" i="11"/>
  <c r="I15" i="11"/>
  <c r="E27" i="11"/>
  <c r="F27" i="11"/>
  <c r="E28" i="11"/>
  <c r="F28" i="11"/>
  <c r="E29" i="11"/>
  <c r="F29" i="11"/>
  <c r="E30" i="11"/>
  <c r="F30" i="11"/>
  <c r="E35" i="11"/>
  <c r="E36" i="11" s="1"/>
  <c r="F35" i="11"/>
  <c r="F36" i="11" s="1"/>
  <c r="E38" i="11"/>
  <c r="F8" i="13"/>
  <c r="F9" i="13" s="1"/>
  <c r="L11" i="12"/>
  <c r="L12" i="12"/>
  <c r="L13" i="12"/>
  <c r="L14" i="12"/>
  <c r="L15" i="12"/>
  <c r="L16" i="12"/>
  <c r="L17" i="12"/>
  <c r="L18" i="12"/>
  <c r="L19" i="12"/>
  <c r="L20" i="12"/>
  <c r="L21" i="12"/>
  <c r="L22" i="12"/>
  <c r="L23" i="12"/>
  <c r="L24" i="12"/>
  <c r="L25" i="12"/>
  <c r="L26" i="12"/>
  <c r="L27" i="12"/>
  <c r="L28" i="12"/>
  <c r="L29" i="12"/>
  <c r="L30" i="12"/>
  <c r="L31" i="12"/>
  <c r="L32" i="12"/>
  <c r="L33" i="12"/>
  <c r="L34" i="12"/>
  <c r="L35" i="12"/>
  <c r="L36" i="12"/>
  <c r="L37" i="12"/>
  <c r="L38" i="12"/>
  <c r="L39" i="12"/>
  <c r="L40" i="12"/>
  <c r="L41" i="12"/>
  <c r="L42" i="12"/>
  <c r="L43" i="12"/>
  <c r="L44" i="12"/>
  <c r="L45" i="12"/>
  <c r="L46" i="12"/>
  <c r="L47" i="12"/>
  <c r="L48" i="12"/>
  <c r="L49" i="12"/>
  <c r="L50" i="12"/>
  <c r="L51" i="12"/>
  <c r="L10" i="12"/>
  <c r="F13" i="12"/>
  <c r="F14" i="12" s="1"/>
  <c r="F12" i="12"/>
  <c r="H38" i="12"/>
  <c r="J38" i="12" s="1"/>
  <c r="I10" i="12"/>
  <c r="H15" i="12"/>
  <c r="J15" i="12" s="1"/>
  <c r="H13" i="12"/>
  <c r="J13" i="12" s="1"/>
  <c r="G13" i="12"/>
  <c r="I13" i="12" s="1"/>
  <c r="J11" i="12"/>
  <c r="I11" i="12"/>
  <c r="G12" i="12"/>
  <c r="J10" i="12"/>
  <c r="G14" i="12"/>
  <c r="G16" i="12" s="1"/>
  <c r="G18" i="12" s="1"/>
  <c r="G20" i="12" s="1"/>
  <c r="G22" i="12" s="1"/>
  <c r="G24" i="12" s="1"/>
  <c r="G26" i="12" s="1"/>
  <c r="G28" i="12" s="1"/>
  <c r="G30" i="12" s="1"/>
  <c r="G32" i="12" s="1"/>
  <c r="G34" i="12" s="1"/>
  <c r="G36" i="12" s="1"/>
  <c r="G38" i="12" s="1"/>
  <c r="I38" i="12" s="1"/>
  <c r="H12" i="12"/>
  <c r="H14" i="12" s="1"/>
  <c r="H16" i="12" s="1"/>
  <c r="H18" i="12" s="1"/>
  <c r="H20" i="12" s="1"/>
  <c r="H22" i="12" s="1"/>
  <c r="H24" i="12" s="1"/>
  <c r="H26" i="12" s="1"/>
  <c r="H28" i="12" s="1"/>
  <c r="H30" i="12" s="1"/>
  <c r="H32" i="12" s="1"/>
  <c r="H34" i="12" s="1"/>
  <c r="H36" i="12" s="1"/>
  <c r="AR5" i="11"/>
  <c r="AQ5" i="11"/>
  <c r="AP5" i="11"/>
  <c r="AO5" i="11"/>
  <c r="AN5" i="11"/>
  <c r="AM5" i="11"/>
  <c r="AL5" i="11"/>
  <c r="AK5" i="11"/>
  <c r="AJ5" i="11"/>
  <c r="AI5" i="11"/>
  <c r="AH5" i="11"/>
  <c r="AG5" i="11"/>
  <c r="AF5" i="11"/>
  <c r="AE5" i="11"/>
  <c r="AD5" i="11"/>
  <c r="AC5" i="11"/>
  <c r="AB5" i="11"/>
  <c r="AA5" i="11"/>
  <c r="Z5" i="11"/>
  <c r="Y5" i="11"/>
  <c r="X5" i="11"/>
  <c r="W5" i="11"/>
  <c r="V5" i="11"/>
  <c r="U5" i="11"/>
  <c r="T5" i="11"/>
  <c r="S5" i="11"/>
  <c r="R5" i="11"/>
  <c r="Q5" i="11"/>
  <c r="P5" i="11"/>
  <c r="O5" i="11"/>
  <c r="N5" i="11"/>
  <c r="M5" i="11"/>
  <c r="L5" i="11"/>
  <c r="K5" i="11"/>
  <c r="J5" i="11"/>
  <c r="I5" i="11"/>
  <c r="H5" i="11"/>
  <c r="G5" i="11"/>
  <c r="F5" i="11"/>
  <c r="E5" i="11"/>
  <c r="AR13" i="11"/>
  <c r="AQ13" i="11"/>
  <c r="AR12" i="11"/>
  <c r="AQ12" i="11"/>
  <c r="AR11" i="11"/>
  <c r="AQ11" i="11"/>
  <c r="AR10" i="11"/>
  <c r="AQ10" i="11"/>
  <c r="AQ8" i="11"/>
  <c r="AP13" i="11"/>
  <c r="AO13" i="11"/>
  <c r="AP12" i="11"/>
  <c r="AO12" i="11"/>
  <c r="AP11" i="11"/>
  <c r="AO11" i="11"/>
  <c r="AO42" i="11" s="1"/>
  <c r="AP10" i="11"/>
  <c r="AO10" i="11"/>
  <c r="AO18" i="11" s="1"/>
  <c r="AO8" i="11"/>
  <c r="AN13" i="11"/>
  <c r="AM13" i="11"/>
  <c r="AN12" i="11"/>
  <c r="AM12" i="11"/>
  <c r="AN11" i="11"/>
  <c r="AM11" i="11"/>
  <c r="AM47" i="11" s="1"/>
  <c r="AN10" i="11"/>
  <c r="AM10" i="11"/>
  <c r="AM46" i="11" s="1"/>
  <c r="AM8" i="11"/>
  <c r="AN24" i="11" s="1"/>
  <c r="AN25" i="11" s="1"/>
  <c r="AL13" i="11"/>
  <c r="AK13" i="11"/>
  <c r="AL12" i="11"/>
  <c r="AK12" i="11"/>
  <c r="AL11" i="11"/>
  <c r="AK11" i="11"/>
  <c r="AK42" i="11" s="1"/>
  <c r="AL10" i="11"/>
  <c r="AK10" i="11"/>
  <c r="AK46" i="11" s="1"/>
  <c r="AK8" i="11"/>
  <c r="AK40" i="11" s="1"/>
  <c r="AJ13" i="11"/>
  <c r="AI13" i="11"/>
  <c r="AJ12" i="11"/>
  <c r="AI12" i="11"/>
  <c r="AJ11" i="11"/>
  <c r="AI11" i="11"/>
  <c r="AJ10" i="11"/>
  <c r="AI10" i="11"/>
  <c r="AI8" i="11"/>
  <c r="AJ24" i="11" s="1"/>
  <c r="AJ25" i="11" s="1"/>
  <c r="AH13" i="11"/>
  <c r="AG13" i="11"/>
  <c r="AH12" i="11"/>
  <c r="AG12" i="11"/>
  <c r="AH11" i="11"/>
  <c r="AG11" i="11"/>
  <c r="AH10" i="11"/>
  <c r="AG10" i="11"/>
  <c r="AG46" i="11" s="1"/>
  <c r="AG8" i="11"/>
  <c r="AF13" i="11"/>
  <c r="AE13" i="11"/>
  <c r="AF12" i="11"/>
  <c r="AE12" i="11"/>
  <c r="AF11" i="11"/>
  <c r="AE11" i="11"/>
  <c r="AE47" i="11" s="1"/>
  <c r="AF10" i="11"/>
  <c r="AE10" i="11"/>
  <c r="AE8" i="11"/>
  <c r="AD13" i="11"/>
  <c r="AC13" i="11"/>
  <c r="AD12" i="11"/>
  <c r="AC12" i="11"/>
  <c r="AD11" i="11"/>
  <c r="AC11" i="11"/>
  <c r="AC42" i="11" s="1"/>
  <c r="AD10" i="11"/>
  <c r="AC10" i="11"/>
  <c r="AC16" i="11" s="1"/>
  <c r="AC17" i="11" s="1"/>
  <c r="AC8" i="11"/>
  <c r="AC45" i="11" s="1"/>
  <c r="AB13" i="11"/>
  <c r="AA13" i="11"/>
  <c r="AB12" i="11"/>
  <c r="AA12" i="11"/>
  <c r="AB11" i="11"/>
  <c r="AA11" i="11"/>
  <c r="AB10" i="11"/>
  <c r="AA10" i="11"/>
  <c r="AA8" i="11"/>
  <c r="Z13" i="11"/>
  <c r="Y13" i="11"/>
  <c r="Z12" i="11"/>
  <c r="Y12" i="11"/>
  <c r="Z11" i="11"/>
  <c r="Y11" i="11"/>
  <c r="Z10" i="11"/>
  <c r="Y10" i="11"/>
  <c r="Y46" i="11" s="1"/>
  <c r="Y8" i="11"/>
  <c r="X13" i="11"/>
  <c r="W13" i="11"/>
  <c r="X12" i="11"/>
  <c r="W12" i="11"/>
  <c r="X11" i="11"/>
  <c r="W11" i="11"/>
  <c r="W47" i="11" s="1"/>
  <c r="X10" i="11"/>
  <c r="W10" i="11"/>
  <c r="W8" i="11"/>
  <c r="X24" i="11" s="1"/>
  <c r="X25" i="11" s="1"/>
  <c r="V13" i="11"/>
  <c r="U13" i="11"/>
  <c r="V12" i="11"/>
  <c r="U12" i="11"/>
  <c r="V11" i="11"/>
  <c r="U11" i="11"/>
  <c r="U42" i="11" s="1"/>
  <c r="V10" i="11"/>
  <c r="U10" i="11"/>
  <c r="U16" i="11" s="1"/>
  <c r="U17" i="11" s="1"/>
  <c r="U8" i="11"/>
  <c r="U45" i="11" s="1"/>
  <c r="T13" i="11"/>
  <c r="S13" i="11"/>
  <c r="T12" i="11"/>
  <c r="S12" i="11"/>
  <c r="T11" i="11"/>
  <c r="S11" i="11"/>
  <c r="T10" i="11"/>
  <c r="S10" i="11"/>
  <c r="S8" i="11"/>
  <c r="R13" i="11"/>
  <c r="Q13" i="11"/>
  <c r="R12" i="11"/>
  <c r="Q12" i="11"/>
  <c r="R11" i="11"/>
  <c r="Q11" i="11"/>
  <c r="R10" i="11"/>
  <c r="Q10" i="11"/>
  <c r="Q46" i="11" s="1"/>
  <c r="Q8" i="11"/>
  <c r="P13" i="11"/>
  <c r="O13" i="11"/>
  <c r="P12" i="11"/>
  <c r="O12" i="11"/>
  <c r="P11" i="11"/>
  <c r="O11" i="11"/>
  <c r="O47" i="11" s="1"/>
  <c r="P10" i="11"/>
  <c r="O10" i="11"/>
  <c r="O8" i="11"/>
  <c r="N13" i="11"/>
  <c r="M13" i="11"/>
  <c r="N12" i="11"/>
  <c r="M12" i="11"/>
  <c r="N11" i="11"/>
  <c r="M11" i="11"/>
  <c r="M42" i="11" s="1"/>
  <c r="N10" i="11"/>
  <c r="M10" i="11"/>
  <c r="M46" i="11" s="1"/>
  <c r="M8" i="11"/>
  <c r="N24" i="11" s="1"/>
  <c r="N25" i="11" s="1"/>
  <c r="L13" i="11"/>
  <c r="K13" i="11"/>
  <c r="L12" i="11"/>
  <c r="K12" i="11"/>
  <c r="L11" i="11"/>
  <c r="K11" i="11"/>
  <c r="L10" i="11"/>
  <c r="L16" i="11" s="1"/>
  <c r="L17" i="11" s="1"/>
  <c r="K10" i="11"/>
  <c r="K46" i="11" s="1"/>
  <c r="K8" i="11"/>
  <c r="J13" i="11"/>
  <c r="I13" i="11"/>
  <c r="J12" i="11"/>
  <c r="I12" i="11"/>
  <c r="J11" i="11"/>
  <c r="I11" i="11"/>
  <c r="J10" i="11"/>
  <c r="J16" i="11" s="1"/>
  <c r="J17" i="11" s="1"/>
  <c r="I10" i="11"/>
  <c r="I46" i="11" s="1"/>
  <c r="I8" i="11"/>
  <c r="I45" i="11" s="1"/>
  <c r="G15" i="11"/>
  <c r="H35" i="11"/>
  <c r="H36" i="11" s="1"/>
  <c r="G35" i="11"/>
  <c r="G36" i="11" s="1"/>
  <c r="H30" i="11"/>
  <c r="G30" i="11"/>
  <c r="H29" i="11"/>
  <c r="G29" i="11"/>
  <c r="H28" i="11"/>
  <c r="G28" i="11"/>
  <c r="H27" i="11"/>
  <c r="H15" i="11"/>
  <c r="H13" i="11"/>
  <c r="G13" i="11"/>
  <c r="H12" i="11"/>
  <c r="G12" i="11"/>
  <c r="H11" i="11"/>
  <c r="E8" i="11"/>
  <c r="H10" i="11"/>
  <c r="H16" i="11" s="1"/>
  <c r="H17" i="11" s="1"/>
  <c r="G10" i="11"/>
  <c r="F10" i="11"/>
  <c r="F16" i="11" s="1"/>
  <c r="F17" i="11" s="1"/>
  <c r="E10" i="11"/>
  <c r="E16" i="11" s="1"/>
  <c r="E17" i="11" s="1"/>
  <c r="F13" i="11"/>
  <c r="F12" i="11"/>
  <c r="E13" i="11"/>
  <c r="E12" i="11"/>
  <c r="F11" i="11"/>
  <c r="E11" i="11"/>
  <c r="F56" i="2"/>
  <c r="E15" i="11" s="1"/>
  <c r="E22" i="11"/>
  <c r="E50" i="11"/>
  <c r="M64" i="3"/>
  <c r="L64" i="3"/>
  <c r="AR20" i="11"/>
  <c r="AO20" i="11"/>
  <c r="AQ20" i="11"/>
  <c r="AP20" i="11"/>
  <c r="AN20" i="11"/>
  <c r="AJ20" i="11"/>
  <c r="AM20" i="11"/>
  <c r="AI20" i="11"/>
  <c r="AL20" i="11"/>
  <c r="AK20" i="11"/>
  <c r="AH20" i="11"/>
  <c r="AD20" i="11"/>
  <c r="AG20" i="11"/>
  <c r="AC20" i="11"/>
  <c r="AF20" i="11"/>
  <c r="AE20" i="11"/>
  <c r="AB20" i="11"/>
  <c r="X20" i="11"/>
  <c r="AA20" i="11"/>
  <c r="W20" i="11"/>
  <c r="Z20" i="11"/>
  <c r="Y20" i="11"/>
  <c r="V20" i="11"/>
  <c r="R20" i="11"/>
  <c r="U20" i="11"/>
  <c r="Q20" i="11"/>
  <c r="T20" i="11"/>
  <c r="S20" i="11"/>
  <c r="P20" i="11"/>
  <c r="L20" i="11"/>
  <c r="O20" i="11"/>
  <c r="K20" i="11"/>
  <c r="N20" i="11"/>
  <c r="M20" i="11"/>
  <c r="J20" i="11"/>
  <c r="I20" i="11"/>
  <c r="H20" i="11"/>
  <c r="G20" i="11"/>
  <c r="AO19" i="11"/>
  <c r="AS42" i="11" l="1"/>
  <c r="Q29" i="9" s="1"/>
  <c r="AS43" i="11"/>
  <c r="AO32" i="11"/>
  <c r="AO33" i="11" s="1"/>
  <c r="H24" i="11"/>
  <c r="H25" i="11" s="1"/>
  <c r="E32" i="11"/>
  <c r="E33" i="11" s="1"/>
  <c r="O32" i="11"/>
  <c r="O33" i="11" s="1"/>
  <c r="W32" i="11"/>
  <c r="W33" i="11" s="1"/>
  <c r="AE32" i="11"/>
  <c r="AE33" i="11" s="1"/>
  <c r="AM32" i="11"/>
  <c r="AM33" i="11" s="1"/>
  <c r="AQ32" i="11"/>
  <c r="AQ33" i="11" s="1"/>
  <c r="AK47" i="11"/>
  <c r="AK48" i="11" s="1"/>
  <c r="Q16" i="11"/>
  <c r="Q17" i="11" s="1"/>
  <c r="I32" i="11"/>
  <c r="I33" i="11" s="1"/>
  <c r="M32" i="11"/>
  <c r="M33" i="11" s="1"/>
  <c r="U40" i="11"/>
  <c r="AM42" i="11"/>
  <c r="E45" i="11"/>
  <c r="G32" i="11"/>
  <c r="G33" i="11" s="1"/>
  <c r="I18" i="11"/>
  <c r="K16" i="11"/>
  <c r="K17" i="11" s="1"/>
  <c r="AG16" i="11"/>
  <c r="AG17" i="11" s="1"/>
  <c r="V32" i="11"/>
  <c r="V33" i="11" s="1"/>
  <c r="AD32" i="11"/>
  <c r="AD33" i="11" s="1"/>
  <c r="AL32" i="11"/>
  <c r="AL33" i="11" s="1"/>
  <c r="AP32" i="11"/>
  <c r="AP33" i="11" s="1"/>
  <c r="AC40" i="11"/>
  <c r="M47" i="11"/>
  <c r="M48" i="11" s="1"/>
  <c r="H32" i="11"/>
  <c r="H33" i="11" s="1"/>
  <c r="Y18" i="11"/>
  <c r="I16" i="11"/>
  <c r="I17" i="11" s="1"/>
  <c r="G42" i="11"/>
  <c r="P9" i="9" s="1"/>
  <c r="Q9" i="9" s="1"/>
  <c r="H18" i="11"/>
  <c r="J32" i="11"/>
  <c r="J33" i="11" s="1"/>
  <c r="N32" i="11"/>
  <c r="N33" i="11" s="1"/>
  <c r="O42" i="11"/>
  <c r="K47" i="11"/>
  <c r="K42" i="11"/>
  <c r="N16" i="11"/>
  <c r="N17" i="11" s="1"/>
  <c r="N18" i="11"/>
  <c r="O16" i="11"/>
  <c r="O17" i="11" s="1"/>
  <c r="O46" i="11"/>
  <c r="Q45" i="11"/>
  <c r="Q40" i="11"/>
  <c r="R24" i="11"/>
  <c r="R25" i="11" s="1"/>
  <c r="V16" i="11"/>
  <c r="V17" i="11" s="1"/>
  <c r="V18" i="11"/>
  <c r="W16" i="11"/>
  <c r="W17" i="11" s="1"/>
  <c r="W18" i="11"/>
  <c r="W46" i="11"/>
  <c r="Y45" i="11"/>
  <c r="Y40" i="11"/>
  <c r="Z24" i="11"/>
  <c r="Z25" i="11" s="1"/>
  <c r="Y24" i="11"/>
  <c r="Y25" i="11" s="1"/>
  <c r="AG45" i="11"/>
  <c r="AG40" i="11"/>
  <c r="AH24" i="11"/>
  <c r="AH25" i="11" s="1"/>
  <c r="AG24" i="11"/>
  <c r="AG25" i="11" s="1"/>
  <c r="AQ47" i="11"/>
  <c r="AK16" i="11"/>
  <c r="AK17" i="11" s="1"/>
  <c r="AC46" i="11"/>
  <c r="G18" i="11"/>
  <c r="G46" i="11"/>
  <c r="K45" i="11"/>
  <c r="K40" i="11"/>
  <c r="L24" i="11"/>
  <c r="L25" i="11" s="1"/>
  <c r="K24" i="11"/>
  <c r="K25" i="11" s="1"/>
  <c r="P16" i="11"/>
  <c r="P17" i="11" s="1"/>
  <c r="P18" i="11"/>
  <c r="S45" i="11"/>
  <c r="S40" i="11"/>
  <c r="T24" i="11"/>
  <c r="T25" i="11" s="1"/>
  <c r="S24" i="11"/>
  <c r="S25" i="11" s="1"/>
  <c r="X16" i="11"/>
  <c r="X17" i="11" s="1"/>
  <c r="X18" i="11"/>
  <c r="AA45" i="11"/>
  <c r="AA40" i="11"/>
  <c r="AA24" i="11"/>
  <c r="AA25" i="11" s="1"/>
  <c r="AF16" i="11"/>
  <c r="AF17" i="11" s="1"/>
  <c r="AF18" i="11"/>
  <c r="AI45" i="11"/>
  <c r="AI40" i="11"/>
  <c r="AI24" i="11"/>
  <c r="AI25" i="11" s="1"/>
  <c r="AN16" i="11"/>
  <c r="AN17" i="11" s="1"/>
  <c r="AN18" i="11"/>
  <c r="AO16" i="11"/>
  <c r="AO17" i="11" s="1"/>
  <c r="AO46" i="11"/>
  <c r="AQ45" i="11"/>
  <c r="AQ40" i="11"/>
  <c r="AQ24" i="11"/>
  <c r="AQ25" i="11" s="1"/>
  <c r="E18" i="11"/>
  <c r="J18" i="11"/>
  <c r="O18" i="11"/>
  <c r="AC18" i="11"/>
  <c r="F32" i="11"/>
  <c r="F33" i="11" s="1"/>
  <c r="G16" i="11"/>
  <c r="G17" i="11" s="1"/>
  <c r="Y16" i="11"/>
  <c r="Y17" i="11" s="1"/>
  <c r="E46" i="11"/>
  <c r="M24" i="11"/>
  <c r="M25" i="11" s="1"/>
  <c r="AB24" i="11"/>
  <c r="AB25" i="11" s="1"/>
  <c r="AR24" i="11"/>
  <c r="AR25" i="11" s="1"/>
  <c r="W42" i="11"/>
  <c r="U46" i="11"/>
  <c r="AC47" i="11"/>
  <c r="I47" i="11"/>
  <c r="I42" i="11"/>
  <c r="P24" i="11"/>
  <c r="P25" i="11" s="1"/>
  <c r="O24" i="11"/>
  <c r="O25" i="11" s="1"/>
  <c r="O45" i="11"/>
  <c r="O40" i="11"/>
  <c r="Q47" i="11"/>
  <c r="Q42" i="11"/>
  <c r="T16" i="11"/>
  <c r="T17" i="11" s="1"/>
  <c r="T18" i="11"/>
  <c r="W24" i="11"/>
  <c r="W25" i="11" s="1"/>
  <c r="W45" i="11"/>
  <c r="W40" i="11"/>
  <c r="Y47" i="11"/>
  <c r="Y42" i="11"/>
  <c r="AB16" i="11"/>
  <c r="AB17" i="11" s="1"/>
  <c r="AB18" i="11"/>
  <c r="AE24" i="11"/>
  <c r="AE25" i="11" s="1"/>
  <c r="AE45" i="11"/>
  <c r="AE40" i="11"/>
  <c r="AG47" i="11"/>
  <c r="AG42" i="11"/>
  <c r="AJ16" i="11"/>
  <c r="AJ17" i="11" s="1"/>
  <c r="AJ18" i="11"/>
  <c r="AM24" i="11"/>
  <c r="AM25" i="11" s="1"/>
  <c r="AM45" i="11"/>
  <c r="AM40" i="11"/>
  <c r="AR16" i="11"/>
  <c r="AR17" i="11" s="1"/>
  <c r="AR18" i="11"/>
  <c r="L18" i="11"/>
  <c r="U18" i="11"/>
  <c r="AK18" i="11"/>
  <c r="J24" i="11"/>
  <c r="J25" i="11" s="1"/>
  <c r="I40" i="11"/>
  <c r="I24" i="11"/>
  <c r="I25" i="11" s="1"/>
  <c r="S47" i="11"/>
  <c r="S42" i="11"/>
  <c r="AA47" i="11"/>
  <c r="AA42" i="11"/>
  <c r="AD16" i="11"/>
  <c r="AD17" i="11" s="1"/>
  <c r="AD18" i="11"/>
  <c r="AE16" i="11"/>
  <c r="AE17" i="11" s="1"/>
  <c r="AE18" i="11"/>
  <c r="AE46" i="11"/>
  <c r="AI47" i="11"/>
  <c r="AI42" i="11"/>
  <c r="AL16" i="11"/>
  <c r="AL17" i="11" s="1"/>
  <c r="AL18" i="11"/>
  <c r="AM16" i="11"/>
  <c r="AM17" i="11" s="1"/>
  <c r="AM18" i="11"/>
  <c r="AO45" i="11"/>
  <c r="AO40" i="11"/>
  <c r="AP24" i="11"/>
  <c r="AP25" i="11" s="1"/>
  <c r="AO24" i="11"/>
  <c r="AO25" i="11" s="1"/>
  <c r="M18" i="11"/>
  <c r="O48" i="11"/>
  <c r="R13" i="9"/>
  <c r="R16" i="11"/>
  <c r="R17" i="11" s="1"/>
  <c r="R18" i="11"/>
  <c r="S46" i="11"/>
  <c r="S16" i="11"/>
  <c r="S17" i="11" s="1"/>
  <c r="S18" i="11"/>
  <c r="V24" i="11"/>
  <c r="V25" i="11" s="1"/>
  <c r="U24" i="11"/>
  <c r="U25" i="11" s="1"/>
  <c r="W48" i="11"/>
  <c r="R17" i="9"/>
  <c r="Z16" i="11"/>
  <c r="Z17" i="11" s="1"/>
  <c r="Z18" i="11"/>
  <c r="AA46" i="11"/>
  <c r="AA16" i="11"/>
  <c r="AA17" i="11" s="1"/>
  <c r="AA18" i="11"/>
  <c r="AD24" i="11"/>
  <c r="AD25" i="11" s="1"/>
  <c r="AC24" i="11"/>
  <c r="AC25" i="11" s="1"/>
  <c r="R21" i="9"/>
  <c r="AE48" i="11"/>
  <c r="AH16" i="11"/>
  <c r="AH17" i="11" s="1"/>
  <c r="AH18" i="11"/>
  <c r="AI46" i="11"/>
  <c r="AI16" i="11"/>
  <c r="AI17" i="11" s="1"/>
  <c r="AI18" i="11"/>
  <c r="AL24" i="11"/>
  <c r="AL25" i="11" s="1"/>
  <c r="AK24" i="11"/>
  <c r="AK25" i="11" s="1"/>
  <c r="AM48" i="11"/>
  <c r="R25" i="9"/>
  <c r="AP16" i="11"/>
  <c r="AP17" i="11" s="1"/>
  <c r="AP18" i="11"/>
  <c r="AQ46" i="11"/>
  <c r="AQ16" i="11"/>
  <c r="AQ17" i="11" s="1"/>
  <c r="AQ18" i="11"/>
  <c r="F18" i="11"/>
  <c r="K18" i="11"/>
  <c r="Q18" i="11"/>
  <c r="AG18" i="11"/>
  <c r="M16" i="11"/>
  <c r="M17" i="11" s="1"/>
  <c r="G45" i="11"/>
  <c r="G24" i="11"/>
  <c r="G25" i="11" s="1"/>
  <c r="Q24" i="11"/>
  <c r="Q25" i="11" s="1"/>
  <c r="AF24" i="11"/>
  <c r="AF25" i="11" s="1"/>
  <c r="M40" i="11"/>
  <c r="AE42" i="11"/>
  <c r="M45" i="11"/>
  <c r="U47" i="11"/>
  <c r="AK45" i="11"/>
  <c r="AO47" i="11"/>
  <c r="R24" i="9"/>
  <c r="M23" i="11"/>
  <c r="M41" i="11" s="1"/>
  <c r="AQ23" i="11"/>
  <c r="AQ41" i="11" s="1"/>
  <c r="AO23" i="11"/>
  <c r="AO41" i="11" s="1"/>
  <c r="AM23" i="11"/>
  <c r="AM41" i="11" s="1"/>
  <c r="AK23" i="11"/>
  <c r="AK41" i="11" s="1"/>
  <c r="AI23" i="11"/>
  <c r="AI41" i="11" s="1"/>
  <c r="AG23" i="11"/>
  <c r="AG41" i="11" s="1"/>
  <c r="AE23" i="11"/>
  <c r="AE41" i="11" s="1"/>
  <c r="AC23" i="11"/>
  <c r="AC41" i="11" s="1"/>
  <c r="AA23" i="11"/>
  <c r="AA41" i="11" s="1"/>
  <c r="Y23" i="11"/>
  <c r="Y41" i="11" s="1"/>
  <c r="Q23" i="11"/>
  <c r="Q41" i="11" s="1"/>
  <c r="U23" i="11"/>
  <c r="U41" i="11" s="1"/>
  <c r="S23" i="11"/>
  <c r="S41" i="11" s="1"/>
  <c r="K23" i="11"/>
  <c r="K41" i="11" s="1"/>
  <c r="O23" i="11"/>
  <c r="O41" i="11" s="1"/>
  <c r="I23" i="11"/>
  <c r="I41" i="11" s="1"/>
  <c r="CH84" i="3"/>
  <c r="CI84" i="3"/>
  <c r="CI95" i="3"/>
  <c r="CI94" i="3"/>
  <c r="CI91" i="3"/>
  <c r="CI92" i="3" s="1"/>
  <c r="CI93" i="3" s="1"/>
  <c r="CJ95" i="3"/>
  <c r="CJ93" i="3"/>
  <c r="CJ94" i="3"/>
  <c r="CJ91" i="3"/>
  <c r="CJ92" i="3" s="1"/>
  <c r="CH95" i="3"/>
  <c r="CH94" i="3"/>
  <c r="CH91" i="3"/>
  <c r="CH92" i="3" s="1"/>
  <c r="CH93" i="3" s="1"/>
  <c r="CK84" i="3"/>
  <c r="CK95" i="3"/>
  <c r="CK94" i="3"/>
  <c r="CK91" i="3"/>
  <c r="CK92" i="3" s="1"/>
  <c r="CK93" i="3" s="1"/>
  <c r="CJ79" i="3"/>
  <c r="CJ80" i="3" s="1"/>
  <c r="CJ81" i="3" s="1"/>
  <c r="CJ82" i="3" s="1"/>
  <c r="CK78" i="3"/>
  <c r="CK82" i="3"/>
  <c r="CK83" i="3"/>
  <c r="CK89" i="3"/>
  <c r="CJ89" i="3"/>
  <c r="CH78" i="3"/>
  <c r="CH82" i="3"/>
  <c r="CH83" i="3"/>
  <c r="CH89" i="3"/>
  <c r="CI78" i="3"/>
  <c r="CI82" i="3"/>
  <c r="CI83" i="3"/>
  <c r="CI89" i="3"/>
  <c r="CD84" i="3"/>
  <c r="CE84" i="3"/>
  <c r="CE95" i="3"/>
  <c r="CE94" i="3"/>
  <c r="CE91" i="3"/>
  <c r="CE92" i="3" s="1"/>
  <c r="CE93" i="3" s="1"/>
  <c r="CF84" i="3"/>
  <c r="CF93" i="3"/>
  <c r="CF95" i="3"/>
  <c r="CF91" i="3"/>
  <c r="CF92" i="3" s="1"/>
  <c r="CF94" i="3"/>
  <c r="CD95" i="3"/>
  <c r="CD94" i="3"/>
  <c r="CD91" i="3"/>
  <c r="CD92" i="3" s="1"/>
  <c r="CD93" i="3" s="1"/>
  <c r="CG84" i="3"/>
  <c r="CG95" i="3"/>
  <c r="CG94" i="3"/>
  <c r="CG91" i="3"/>
  <c r="CG92" i="3" s="1"/>
  <c r="CG93" i="3" s="1"/>
  <c r="CF79" i="3"/>
  <c r="CF80" i="3" s="1"/>
  <c r="CF81" i="3" s="1"/>
  <c r="CF83" i="3"/>
  <c r="CF89" i="3"/>
  <c r="CG78" i="3"/>
  <c r="CG82" i="3"/>
  <c r="CG83" i="3"/>
  <c r="CG89" i="3"/>
  <c r="CD78" i="3"/>
  <c r="CD82" i="3"/>
  <c r="CD83" i="3"/>
  <c r="CD89" i="3"/>
  <c r="CF82" i="3"/>
  <c r="CE78" i="3"/>
  <c r="CE82" i="3"/>
  <c r="CE83" i="3"/>
  <c r="CE89" i="3"/>
  <c r="CA84" i="3"/>
  <c r="CC84" i="3"/>
  <c r="CC95" i="3"/>
  <c r="CC94" i="3"/>
  <c r="CC91" i="3"/>
  <c r="CC92" i="3" s="1"/>
  <c r="CC93" i="3" s="1"/>
  <c r="CA95" i="3"/>
  <c r="CA94" i="3"/>
  <c r="CA91" i="3"/>
  <c r="CA92" i="3" s="1"/>
  <c r="CA93" i="3" s="1"/>
  <c r="BZ84" i="3"/>
  <c r="BZ95" i="3"/>
  <c r="BZ94" i="3"/>
  <c r="BZ91" i="3"/>
  <c r="BZ92" i="3" s="1"/>
  <c r="BZ93" i="3" s="1"/>
  <c r="CB82" i="3"/>
  <c r="CB84" i="3"/>
  <c r="CC78" i="3"/>
  <c r="CC82" i="3"/>
  <c r="CC83" i="3"/>
  <c r="CC89" i="3"/>
  <c r="CB78" i="3"/>
  <c r="CB90" i="3"/>
  <c r="CB83" i="3" s="1"/>
  <c r="BZ78" i="3"/>
  <c r="BZ82" i="3"/>
  <c r="BZ83" i="3"/>
  <c r="BZ89" i="3"/>
  <c r="CA78" i="3"/>
  <c r="CA82" i="3"/>
  <c r="CA83" i="3"/>
  <c r="CA89" i="3"/>
  <c r="BW84" i="3"/>
  <c r="BW95" i="3"/>
  <c r="BW94" i="3"/>
  <c r="BW93" i="3"/>
  <c r="BW91" i="3"/>
  <c r="BW92" i="3" s="1"/>
  <c r="BV84" i="3"/>
  <c r="BX84" i="3"/>
  <c r="BX95" i="3"/>
  <c r="BX91" i="3"/>
  <c r="BX92" i="3" s="1"/>
  <c r="BX94" i="3"/>
  <c r="BX93" i="3"/>
  <c r="BV95" i="3"/>
  <c r="BV94" i="3"/>
  <c r="BV91" i="3"/>
  <c r="BV92" i="3" s="1"/>
  <c r="BV93" i="3" s="1"/>
  <c r="BY84" i="3"/>
  <c r="BY95" i="3"/>
  <c r="BY94" i="3"/>
  <c r="BY91" i="3"/>
  <c r="BY92" i="3" s="1"/>
  <c r="BY93" i="3" s="1"/>
  <c r="BX79" i="3"/>
  <c r="BX80" i="3" s="1"/>
  <c r="BX81" i="3" s="1"/>
  <c r="BX82" i="3"/>
  <c r="BX89" i="3"/>
  <c r="BY78" i="3"/>
  <c r="BY82" i="3"/>
  <c r="BY83" i="3"/>
  <c r="BY89" i="3"/>
  <c r="BX83" i="3"/>
  <c r="BV78" i="3"/>
  <c r="BV82" i="3"/>
  <c r="BV83" i="3"/>
  <c r="BV89" i="3"/>
  <c r="BW78" i="3"/>
  <c r="BW82" i="3"/>
  <c r="BW83" i="3"/>
  <c r="BW89" i="3"/>
  <c r="BR84" i="3"/>
  <c r="BR95" i="3"/>
  <c r="BR94" i="3"/>
  <c r="BR93" i="3"/>
  <c r="BR91" i="3"/>
  <c r="BR92" i="3" s="1"/>
  <c r="BT84" i="3"/>
  <c r="BS84" i="3"/>
  <c r="BS95" i="3"/>
  <c r="BS94" i="3"/>
  <c r="BS91" i="3"/>
  <c r="BS92" i="3" s="1"/>
  <c r="BS93" i="3" s="1"/>
  <c r="BU91" i="3"/>
  <c r="BU92" i="3" s="1"/>
  <c r="BU93" i="3" s="1"/>
  <c r="BU95" i="3"/>
  <c r="BU94" i="3"/>
  <c r="BT90" i="3"/>
  <c r="BU79" i="3"/>
  <c r="BU80" i="3" s="1"/>
  <c r="BU81" i="3" s="1"/>
  <c r="BU82" i="3"/>
  <c r="BU84" i="3"/>
  <c r="BU89" i="3"/>
  <c r="BR78" i="3"/>
  <c r="BR82" i="3"/>
  <c r="BR83" i="3"/>
  <c r="BR89" i="3"/>
  <c r="BT78" i="3"/>
  <c r="BT82" i="3"/>
  <c r="BS78" i="3"/>
  <c r="BS82" i="3"/>
  <c r="BS83" i="3"/>
  <c r="BS89" i="3"/>
  <c r="BN84" i="3"/>
  <c r="BO84" i="3"/>
  <c r="BO95" i="3"/>
  <c r="BO94" i="3"/>
  <c r="BO91" i="3"/>
  <c r="BO92" i="3" s="1"/>
  <c r="BO93" i="3" s="1"/>
  <c r="BP82" i="3"/>
  <c r="BP95" i="3"/>
  <c r="BP91" i="3"/>
  <c r="BP92" i="3" s="1"/>
  <c r="BP93" i="3" s="1"/>
  <c r="BP94" i="3"/>
  <c r="BN95" i="3"/>
  <c r="BN94" i="3"/>
  <c r="BN91" i="3"/>
  <c r="BN92" i="3" s="1"/>
  <c r="BN93" i="3" s="1"/>
  <c r="BQ84" i="3"/>
  <c r="BQ95" i="3"/>
  <c r="BQ94" i="3"/>
  <c r="BQ91" i="3"/>
  <c r="BQ92" i="3" s="1"/>
  <c r="BQ93" i="3" s="1"/>
  <c r="BP84" i="3"/>
  <c r="BQ78" i="3"/>
  <c r="BQ82" i="3"/>
  <c r="BQ83" i="3"/>
  <c r="BQ89" i="3"/>
  <c r="BP78" i="3"/>
  <c r="BP83" i="3"/>
  <c r="BN78" i="3"/>
  <c r="BN82" i="3"/>
  <c r="BN83" i="3"/>
  <c r="BN89" i="3"/>
  <c r="BP89" i="3"/>
  <c r="BO78" i="3"/>
  <c r="BO82" i="3"/>
  <c r="BO83" i="3"/>
  <c r="BO89" i="3"/>
  <c r="BM84" i="3"/>
  <c r="BM95" i="3"/>
  <c r="BM94" i="3"/>
  <c r="BM93" i="3"/>
  <c r="BM91" i="3"/>
  <c r="BM92" i="3" s="1"/>
  <c r="BJ84" i="3"/>
  <c r="BJ95" i="3"/>
  <c r="BJ94" i="3"/>
  <c r="BJ91" i="3"/>
  <c r="BJ92" i="3" s="1"/>
  <c r="BJ93" i="3" s="1"/>
  <c r="BL95" i="3"/>
  <c r="BL94" i="3"/>
  <c r="BL91" i="3"/>
  <c r="BL92" i="3" s="1"/>
  <c r="BL93" i="3" s="1"/>
  <c r="BK84" i="3"/>
  <c r="BK95" i="3"/>
  <c r="BK94" i="3"/>
  <c r="BK91" i="3"/>
  <c r="BK92" i="3" s="1"/>
  <c r="BK93" i="3" s="1"/>
  <c r="BL79" i="3"/>
  <c r="BL80" i="3" s="1"/>
  <c r="BL81" i="3" s="1"/>
  <c r="BL82" i="3" s="1"/>
  <c r="BL83" i="3"/>
  <c r="BM78" i="3"/>
  <c r="BM82" i="3"/>
  <c r="BM83" i="3"/>
  <c r="BM89" i="3"/>
  <c r="BL89" i="3"/>
  <c r="BJ78" i="3"/>
  <c r="BJ82" i="3"/>
  <c r="BJ83" i="3"/>
  <c r="BJ89" i="3"/>
  <c r="BK78" i="3"/>
  <c r="BK82" i="3"/>
  <c r="BK83" i="3"/>
  <c r="BK89" i="3"/>
  <c r="BG84" i="3"/>
  <c r="BG95" i="3"/>
  <c r="BG94" i="3"/>
  <c r="BG93" i="3"/>
  <c r="BG91" i="3"/>
  <c r="BG92" i="3" s="1"/>
  <c r="BF84" i="3"/>
  <c r="BH95" i="3"/>
  <c r="BH94" i="3"/>
  <c r="BH91" i="3"/>
  <c r="BH92" i="3" s="1"/>
  <c r="BH93" i="3" s="1"/>
  <c r="BF95" i="3"/>
  <c r="BF94" i="3"/>
  <c r="BF91" i="3"/>
  <c r="BF92" i="3" s="1"/>
  <c r="BF93" i="3" s="1"/>
  <c r="BI84" i="3"/>
  <c r="BI95" i="3"/>
  <c r="BI94" i="3"/>
  <c r="BI91" i="3"/>
  <c r="BI92" i="3" s="1"/>
  <c r="BI93" i="3" s="1"/>
  <c r="BH78" i="3"/>
  <c r="BH82" i="3"/>
  <c r="BH84" i="3"/>
  <c r="BH89" i="3"/>
  <c r="BI78" i="3"/>
  <c r="BI82" i="3"/>
  <c r="BI83" i="3"/>
  <c r="BI89" i="3"/>
  <c r="BF78" i="3"/>
  <c r="BF82" i="3"/>
  <c r="BF83" i="3"/>
  <c r="BF89" i="3"/>
  <c r="BG78" i="3"/>
  <c r="BG82" i="3"/>
  <c r="BG83" i="3"/>
  <c r="BG89" i="3"/>
  <c r="BB84" i="3"/>
  <c r="BB95" i="3"/>
  <c r="BB94" i="3"/>
  <c r="BB93" i="3"/>
  <c r="BB91" i="3"/>
  <c r="BB92" i="3" s="1"/>
  <c r="BC84" i="3"/>
  <c r="BC95" i="3"/>
  <c r="BC94" i="3"/>
  <c r="BC93" i="3"/>
  <c r="BC91" i="3"/>
  <c r="BC92" i="3" s="1"/>
  <c r="BD84" i="3"/>
  <c r="BD95" i="3"/>
  <c r="BD94" i="3"/>
  <c r="BD91" i="3"/>
  <c r="BD92" i="3" s="1"/>
  <c r="BD93" i="3" s="1"/>
  <c r="BE84" i="3"/>
  <c r="BE95" i="3"/>
  <c r="BE94" i="3"/>
  <c r="BE91" i="3"/>
  <c r="BE92" i="3" s="1"/>
  <c r="BE93" i="3" s="1"/>
  <c r="BD78" i="3"/>
  <c r="BD82" i="3"/>
  <c r="BD83" i="3"/>
  <c r="BD89" i="3"/>
  <c r="BE78" i="3"/>
  <c r="BE82" i="3"/>
  <c r="BE83" i="3"/>
  <c r="BE89" i="3"/>
  <c r="BB78" i="3"/>
  <c r="BB82" i="3"/>
  <c r="BB83" i="3"/>
  <c r="BB89" i="3"/>
  <c r="BC78" i="3"/>
  <c r="BC82" i="3"/>
  <c r="BC83" i="3"/>
  <c r="BC89" i="3"/>
  <c r="AX95" i="3"/>
  <c r="AX94" i="3"/>
  <c r="AX91" i="3"/>
  <c r="AX92" i="3" s="1"/>
  <c r="AX93" i="3" s="1"/>
  <c r="AY84" i="3"/>
  <c r="AY95" i="3"/>
  <c r="AY94" i="3"/>
  <c r="AY93" i="3"/>
  <c r="AY91" i="3"/>
  <c r="AY92" i="3" s="1"/>
  <c r="AZ84" i="3"/>
  <c r="AX84" i="3"/>
  <c r="BA84" i="3"/>
  <c r="BA95" i="3"/>
  <c r="BA94" i="3"/>
  <c r="BA91" i="3"/>
  <c r="BA92" i="3" s="1"/>
  <c r="BA93" i="3" s="1"/>
  <c r="AZ78" i="3"/>
  <c r="AZ90" i="3"/>
  <c r="AZ83" i="3" s="1"/>
  <c r="BA78" i="3"/>
  <c r="BA82" i="3"/>
  <c r="BA83" i="3"/>
  <c r="BA89" i="3"/>
  <c r="AZ82" i="3"/>
  <c r="AX78" i="3"/>
  <c r="AX82" i="3"/>
  <c r="AX83" i="3"/>
  <c r="AX89" i="3"/>
  <c r="AY78" i="3"/>
  <c r="AY82" i="3"/>
  <c r="AY83" i="3"/>
  <c r="AY89" i="3"/>
  <c r="AW84" i="3"/>
  <c r="AW95" i="3"/>
  <c r="AW94" i="3"/>
  <c r="AW93" i="3"/>
  <c r="AW91" i="3"/>
  <c r="AW92" i="3" s="1"/>
  <c r="AT84" i="3"/>
  <c r="AT95" i="3"/>
  <c r="AT94" i="3"/>
  <c r="AT91" i="3"/>
  <c r="AT92" i="3" s="1"/>
  <c r="AT93" i="3" s="1"/>
  <c r="AU84" i="3"/>
  <c r="AU95" i="3"/>
  <c r="AU94" i="3"/>
  <c r="AU91" i="3"/>
  <c r="AU92" i="3" s="1"/>
  <c r="AU93" i="3" s="1"/>
  <c r="AV79" i="3"/>
  <c r="AV80" i="3" s="1"/>
  <c r="AV81" i="3" s="1"/>
  <c r="AV90" i="3"/>
  <c r="AW78" i="3"/>
  <c r="AW82" i="3"/>
  <c r="AW83" i="3"/>
  <c r="AW89" i="3"/>
  <c r="AV82" i="3"/>
  <c r="AV83" i="3"/>
  <c r="AT78" i="3"/>
  <c r="AT82" i="3"/>
  <c r="AT83" i="3"/>
  <c r="AT89" i="3"/>
  <c r="AU78" i="3"/>
  <c r="AU82" i="3"/>
  <c r="AU83" i="3"/>
  <c r="AU89" i="3"/>
  <c r="AP84" i="3"/>
  <c r="AQ84" i="3"/>
  <c r="AQ95" i="3"/>
  <c r="AQ94" i="3"/>
  <c r="AQ91" i="3"/>
  <c r="AQ92" i="3" s="1"/>
  <c r="AQ93" i="3" s="1"/>
  <c r="AP95" i="3"/>
  <c r="AP94" i="3"/>
  <c r="AP91" i="3"/>
  <c r="AP92" i="3" s="1"/>
  <c r="AP93" i="3" s="1"/>
  <c r="AR94" i="3"/>
  <c r="AR91" i="3"/>
  <c r="AR92" i="3" s="1"/>
  <c r="AR93" i="3" s="1"/>
  <c r="AR95" i="3"/>
  <c r="AS84" i="3"/>
  <c r="AS95" i="3"/>
  <c r="AS94" i="3"/>
  <c r="AS91" i="3"/>
  <c r="AS92" i="3" s="1"/>
  <c r="AS93" i="3" s="1"/>
  <c r="AR79" i="3"/>
  <c r="AR80" i="3" s="1"/>
  <c r="AR81" i="3" s="1"/>
  <c r="AR82" i="3" s="1"/>
  <c r="AR89" i="3"/>
  <c r="AS78" i="3"/>
  <c r="AS82" i="3"/>
  <c r="AS83" i="3"/>
  <c r="AS89" i="3"/>
  <c r="AP78" i="3"/>
  <c r="AP82" i="3"/>
  <c r="AP83" i="3"/>
  <c r="AP89" i="3"/>
  <c r="AQ78" i="3"/>
  <c r="AQ82" i="3"/>
  <c r="AQ83" i="3"/>
  <c r="AQ89" i="3"/>
  <c r="AM84" i="3"/>
  <c r="AM95" i="3"/>
  <c r="AM94" i="3"/>
  <c r="AM93" i="3"/>
  <c r="AM91" i="3"/>
  <c r="AM92" i="3" s="1"/>
  <c r="AL84" i="3"/>
  <c r="AN84" i="3"/>
  <c r="AN95" i="3"/>
  <c r="AN94" i="3"/>
  <c r="AN91" i="3"/>
  <c r="AN92" i="3" s="1"/>
  <c r="AN93" i="3" s="1"/>
  <c r="AL95" i="3"/>
  <c r="AL94" i="3"/>
  <c r="AL91" i="3"/>
  <c r="AL92" i="3" s="1"/>
  <c r="AL93" i="3" s="1"/>
  <c r="AO84" i="3"/>
  <c r="AO94" i="3"/>
  <c r="AO95" i="3"/>
  <c r="AO91" i="3"/>
  <c r="AO92" i="3" s="1"/>
  <c r="AO93" i="3" s="1"/>
  <c r="AN79" i="3"/>
  <c r="AN80" i="3" s="1"/>
  <c r="AN81" i="3" s="1"/>
  <c r="AN89" i="3"/>
  <c r="AO78" i="3"/>
  <c r="AO82" i="3"/>
  <c r="AO83" i="3"/>
  <c r="AO89" i="3"/>
  <c r="AN83" i="3"/>
  <c r="AL78" i="3"/>
  <c r="AL82" i="3"/>
  <c r="AL83" i="3"/>
  <c r="AL89" i="3"/>
  <c r="AN82" i="3"/>
  <c r="AM78" i="3"/>
  <c r="AM82" i="3"/>
  <c r="AM83" i="3"/>
  <c r="AM89" i="3"/>
  <c r="AI84" i="3"/>
  <c r="AI95" i="3"/>
  <c r="AI94" i="3"/>
  <c r="AI93" i="3"/>
  <c r="AI91" i="3"/>
  <c r="AI92" i="3" s="1"/>
  <c r="AH84" i="3"/>
  <c r="AH95" i="3"/>
  <c r="AH94" i="3"/>
  <c r="AH91" i="3"/>
  <c r="AH92" i="3" s="1"/>
  <c r="AH93" i="3" s="1"/>
  <c r="AK84" i="3"/>
  <c r="AK95" i="3"/>
  <c r="AK94" i="3"/>
  <c r="AK91" i="3"/>
  <c r="AK92" i="3" s="1"/>
  <c r="AK93" i="3" s="1"/>
  <c r="AJ78" i="3"/>
  <c r="AJ84" i="3"/>
  <c r="AK78" i="3"/>
  <c r="AK82" i="3"/>
  <c r="AK83" i="3"/>
  <c r="AK89" i="3"/>
  <c r="AJ82" i="3"/>
  <c r="AJ90" i="3"/>
  <c r="AH78" i="3"/>
  <c r="AH82" i="3"/>
  <c r="AH83" i="3"/>
  <c r="AH89" i="3"/>
  <c r="AI78" i="3"/>
  <c r="AI82" i="3"/>
  <c r="AI83" i="3"/>
  <c r="AI89" i="3"/>
  <c r="AD84" i="3"/>
  <c r="AE84" i="3"/>
  <c r="AE95" i="3"/>
  <c r="AE94" i="3"/>
  <c r="AE91" i="3"/>
  <c r="AE92" i="3" s="1"/>
  <c r="AE93" i="3" s="1"/>
  <c r="AD95" i="3"/>
  <c r="AD94" i="3"/>
  <c r="AD91" i="3"/>
  <c r="AD92" i="3" s="1"/>
  <c r="AD93" i="3" s="1"/>
  <c r="AF82" i="3"/>
  <c r="AG84" i="3"/>
  <c r="AG95" i="3"/>
  <c r="AG94" i="3"/>
  <c r="AG91" i="3"/>
  <c r="AG92" i="3" s="1"/>
  <c r="AG93" i="3" s="1"/>
  <c r="AF79" i="3"/>
  <c r="AF80" i="3" s="1"/>
  <c r="AF81" i="3" s="1"/>
  <c r="AG78" i="3"/>
  <c r="AG82" i="3"/>
  <c r="AG83" i="3"/>
  <c r="AG89" i="3"/>
  <c r="AF84" i="3"/>
  <c r="AF90" i="3"/>
  <c r="AD78" i="3"/>
  <c r="AD82" i="3"/>
  <c r="AD83" i="3"/>
  <c r="AD89" i="3"/>
  <c r="AE78" i="3"/>
  <c r="AE82" i="3"/>
  <c r="AE83" i="3"/>
  <c r="AE89" i="3"/>
  <c r="AB95" i="3"/>
  <c r="AB94" i="3"/>
  <c r="AB91" i="3"/>
  <c r="AB92" i="3" s="1"/>
  <c r="AB93" i="3" s="1"/>
  <c r="AA95" i="3"/>
  <c r="AA94" i="3"/>
  <c r="AA91" i="3"/>
  <c r="AA92" i="3" s="1"/>
  <c r="AA93" i="3" s="1"/>
  <c r="AC84" i="3"/>
  <c r="AC95" i="3"/>
  <c r="AC94" i="3"/>
  <c r="AC93" i="3"/>
  <c r="AC91" i="3"/>
  <c r="AC92" i="3" s="1"/>
  <c r="AA84" i="3"/>
  <c r="Z84" i="3"/>
  <c r="Z95" i="3"/>
  <c r="Z94" i="3"/>
  <c r="Z91" i="3"/>
  <c r="Z92" i="3" s="1"/>
  <c r="Z93" i="3" s="1"/>
  <c r="AB78" i="3"/>
  <c r="AB82" i="3"/>
  <c r="AB84" i="3"/>
  <c r="AB89" i="3"/>
  <c r="AC78" i="3"/>
  <c r="AC89" i="3"/>
  <c r="Z78" i="3"/>
  <c r="Z82" i="3"/>
  <c r="Z83" i="3"/>
  <c r="Z89" i="3"/>
  <c r="AC82" i="3"/>
  <c r="AC83" i="3"/>
  <c r="AA78" i="3"/>
  <c r="AA82" i="3"/>
  <c r="AA83" i="3"/>
  <c r="AA89" i="3"/>
  <c r="V95" i="3"/>
  <c r="V94" i="3"/>
  <c r="V91" i="3"/>
  <c r="V92" i="3" s="1"/>
  <c r="V93" i="3" s="1"/>
  <c r="X95" i="3"/>
  <c r="X94" i="3"/>
  <c r="X93" i="3"/>
  <c r="X91" i="3"/>
  <c r="X92" i="3" s="1"/>
  <c r="V84" i="3"/>
  <c r="Y84" i="3"/>
  <c r="Y95" i="3"/>
  <c r="Y94" i="3"/>
  <c r="Y91" i="3"/>
  <c r="Y92" i="3" s="1"/>
  <c r="Y93" i="3" s="1"/>
  <c r="W79" i="3"/>
  <c r="W80" i="3" s="1"/>
  <c r="W81" i="3" s="1"/>
  <c r="W82" i="3" s="1"/>
  <c r="W90" i="3"/>
  <c r="W83" i="3" s="1"/>
  <c r="X79" i="3"/>
  <c r="X80" i="3" s="1"/>
  <c r="X81" i="3" s="1"/>
  <c r="X82" i="3" s="1"/>
  <c r="X89" i="3"/>
  <c r="Y78" i="3"/>
  <c r="Y82" i="3"/>
  <c r="Y83" i="3"/>
  <c r="Y89" i="3"/>
  <c r="V78" i="3"/>
  <c r="V82" i="3"/>
  <c r="V83" i="3"/>
  <c r="V89" i="3"/>
  <c r="R84" i="3"/>
  <c r="R95" i="3"/>
  <c r="R94" i="3"/>
  <c r="R93" i="3"/>
  <c r="R91" i="3"/>
  <c r="R92" i="3" s="1"/>
  <c r="S84" i="3"/>
  <c r="S95" i="3"/>
  <c r="S94" i="3"/>
  <c r="S91" i="3"/>
  <c r="S92" i="3" s="1"/>
  <c r="S93" i="3" s="1"/>
  <c r="T84" i="3"/>
  <c r="T95" i="3"/>
  <c r="T94" i="3"/>
  <c r="T91" i="3"/>
  <c r="T92" i="3" s="1"/>
  <c r="T93" i="3" s="1"/>
  <c r="U84" i="3"/>
  <c r="U95" i="3"/>
  <c r="U94" i="3"/>
  <c r="U91" i="3"/>
  <c r="U92" i="3" s="1"/>
  <c r="U93" i="3" s="1"/>
  <c r="T78" i="3"/>
  <c r="T82" i="3"/>
  <c r="T83" i="3"/>
  <c r="T89" i="3"/>
  <c r="U78" i="3"/>
  <c r="U82" i="3"/>
  <c r="U83" i="3"/>
  <c r="U89" i="3"/>
  <c r="R78" i="3"/>
  <c r="R82" i="3"/>
  <c r="R83" i="3"/>
  <c r="R89" i="3"/>
  <c r="S78" i="3"/>
  <c r="S82" i="3"/>
  <c r="S83" i="3"/>
  <c r="S89" i="3"/>
  <c r="N84" i="3"/>
  <c r="N95" i="3"/>
  <c r="N94" i="3"/>
  <c r="N93" i="3"/>
  <c r="N91" i="3"/>
  <c r="N92" i="3" s="1"/>
  <c r="O84" i="3"/>
  <c r="O95" i="3"/>
  <c r="O94" i="3"/>
  <c r="O91" i="3"/>
  <c r="O92" i="3" s="1"/>
  <c r="O93" i="3" s="1"/>
  <c r="P83" i="3"/>
  <c r="P95" i="3"/>
  <c r="P94" i="3"/>
  <c r="P91" i="3"/>
  <c r="P92" i="3" s="1"/>
  <c r="P93" i="3" s="1"/>
  <c r="P84" i="3"/>
  <c r="P80" i="3"/>
  <c r="P81" i="3" s="1"/>
  <c r="P82" i="3" s="1"/>
  <c r="Q84" i="3"/>
  <c r="Q95" i="3"/>
  <c r="Q94" i="3"/>
  <c r="Q91" i="3"/>
  <c r="Q92" i="3" s="1"/>
  <c r="Q93" i="3" s="1"/>
  <c r="P78" i="3"/>
  <c r="P89" i="3"/>
  <c r="Q78" i="3"/>
  <c r="Q82" i="3"/>
  <c r="Q83" i="3"/>
  <c r="Q89" i="3"/>
  <c r="N78" i="3"/>
  <c r="N82" i="3"/>
  <c r="N83" i="3"/>
  <c r="N89" i="3"/>
  <c r="O78" i="3"/>
  <c r="O82" i="3"/>
  <c r="O83" i="3"/>
  <c r="O89" i="3"/>
  <c r="CJ53" i="3"/>
  <c r="CJ54" i="3" s="1"/>
  <c r="CJ55" i="3" s="1"/>
  <c r="CI61" i="3"/>
  <c r="CJ61" i="3"/>
  <c r="CK61" i="3"/>
  <c r="CH61" i="3"/>
  <c r="CE61" i="3"/>
  <c r="CF61" i="3"/>
  <c r="CG61" i="3"/>
  <c r="CD61" i="3"/>
  <c r="AO21" i="11"/>
  <c r="CA61" i="3"/>
  <c r="CB61" i="3"/>
  <c r="CC61" i="3"/>
  <c r="BZ61" i="3"/>
  <c r="BW62" i="3"/>
  <c r="BX61" i="3"/>
  <c r="BY61" i="3"/>
  <c r="BV61" i="3"/>
  <c r="BS61" i="3"/>
  <c r="BT61" i="3"/>
  <c r="BU61" i="3"/>
  <c r="BR61" i="3"/>
  <c r="BO53" i="3"/>
  <c r="BO54" i="3" s="1"/>
  <c r="BO55" i="3" s="1"/>
  <c r="BN62" i="3"/>
  <c r="BO61" i="3"/>
  <c r="BP61" i="3"/>
  <c r="BQ61" i="3"/>
  <c r="BK53" i="3"/>
  <c r="BK54" i="3" s="1"/>
  <c r="BK55" i="3" s="1"/>
  <c r="BL61" i="3"/>
  <c r="BM61" i="3"/>
  <c r="BK61" i="3"/>
  <c r="BJ61" i="3"/>
  <c r="BG61" i="3"/>
  <c r="BH61" i="3"/>
  <c r="BI61" i="3"/>
  <c r="BF61" i="3"/>
  <c r="BD61" i="3"/>
  <c r="BE61" i="3"/>
  <c r="BC61" i="3"/>
  <c r="BB61" i="3"/>
  <c r="AY53" i="3"/>
  <c r="AY54" i="3" s="1"/>
  <c r="AY55" i="3" s="1"/>
  <c r="AY61" i="3"/>
  <c r="AZ61" i="3"/>
  <c r="BA61" i="3"/>
  <c r="AX61" i="3"/>
  <c r="AV53" i="3"/>
  <c r="AV54" i="3" s="1"/>
  <c r="AV55" i="3" s="1"/>
  <c r="AV61" i="3"/>
  <c r="AW61" i="3"/>
  <c r="AT61" i="3"/>
  <c r="AQ53" i="3"/>
  <c r="AQ54" i="3" s="1"/>
  <c r="AQ55" i="3" s="1"/>
  <c r="AS61" i="3"/>
  <c r="AQ61" i="3"/>
  <c r="AR61" i="3"/>
  <c r="AP61" i="3"/>
  <c r="AM61" i="3"/>
  <c r="AN61" i="3"/>
  <c r="AO61" i="3"/>
  <c r="AL61" i="3"/>
  <c r="AI53" i="3"/>
  <c r="AI54" i="3" s="1"/>
  <c r="AI55" i="3" s="1"/>
  <c r="AI61" i="3"/>
  <c r="AJ61" i="3"/>
  <c r="AK61" i="3"/>
  <c r="AH61" i="3"/>
  <c r="AF61" i="3"/>
  <c r="AE61" i="3"/>
  <c r="AG61" i="3"/>
  <c r="AD61" i="3"/>
  <c r="Z53" i="3"/>
  <c r="Z54" i="3" s="1"/>
  <c r="Z55" i="3" s="1"/>
  <c r="AA61" i="3"/>
  <c r="AB61" i="3"/>
  <c r="AC61" i="3"/>
  <c r="Z61" i="3"/>
  <c r="V53" i="3"/>
  <c r="V54" i="3" s="1"/>
  <c r="V55" i="3" s="1"/>
  <c r="W61" i="3"/>
  <c r="X61" i="3"/>
  <c r="Y61" i="3"/>
  <c r="V61" i="3"/>
  <c r="S61" i="3"/>
  <c r="T61" i="3"/>
  <c r="U61" i="3"/>
  <c r="R61" i="3"/>
  <c r="O53" i="3"/>
  <c r="O54" i="3" s="1"/>
  <c r="O55" i="3" s="1"/>
  <c r="O62" i="3"/>
  <c r="P61" i="3"/>
  <c r="Q61" i="3"/>
  <c r="N61" i="3"/>
  <c r="F10" i="13"/>
  <c r="G9" i="13"/>
  <c r="H9" i="13" s="1"/>
  <c r="G8" i="13"/>
  <c r="H8" i="13" s="1"/>
  <c r="G40" i="12"/>
  <c r="I40" i="12" s="1"/>
  <c r="F15" i="12"/>
  <c r="H40" i="12"/>
  <c r="H42" i="12" s="1"/>
  <c r="J42" i="12" s="1"/>
  <c r="G15" i="12"/>
  <c r="H17" i="12"/>
  <c r="G42" i="12"/>
  <c r="H44" i="12"/>
  <c r="I28" i="12"/>
  <c r="I12" i="12"/>
  <c r="J26" i="12"/>
  <c r="I26" i="12"/>
  <c r="J24" i="12"/>
  <c r="I36" i="12"/>
  <c r="I20" i="12"/>
  <c r="J34" i="12"/>
  <c r="J18" i="12"/>
  <c r="I34" i="12"/>
  <c r="I18" i="12"/>
  <c r="J32" i="12"/>
  <c r="J16" i="12"/>
  <c r="I32" i="12"/>
  <c r="I24" i="12"/>
  <c r="I16" i="12"/>
  <c r="J30" i="12"/>
  <c r="J22" i="12"/>
  <c r="J14" i="12"/>
  <c r="I30" i="12"/>
  <c r="I22" i="12"/>
  <c r="I14" i="12"/>
  <c r="J36" i="12"/>
  <c r="J28" i="12"/>
  <c r="J20" i="12"/>
  <c r="J12" i="12"/>
  <c r="F61" i="2"/>
  <c r="AR35" i="11"/>
  <c r="AQ35" i="11"/>
  <c r="AP35" i="11"/>
  <c r="AO35" i="11"/>
  <c r="AN35" i="11"/>
  <c r="AM35" i="11"/>
  <c r="AL35" i="11"/>
  <c r="AK35" i="11"/>
  <c r="AJ35" i="11"/>
  <c r="AI35" i="11"/>
  <c r="AH35" i="11"/>
  <c r="AG35" i="11"/>
  <c r="AF35" i="11"/>
  <c r="AE35" i="11"/>
  <c r="AD35" i="11"/>
  <c r="AC35" i="11"/>
  <c r="AB35" i="11"/>
  <c r="AA35" i="11"/>
  <c r="Z35" i="11"/>
  <c r="Y35" i="11"/>
  <c r="X35" i="11"/>
  <c r="W35" i="11"/>
  <c r="V35" i="11"/>
  <c r="U35" i="11"/>
  <c r="T35" i="11"/>
  <c r="S35" i="11"/>
  <c r="R35" i="11"/>
  <c r="Q35" i="11"/>
  <c r="P35" i="11"/>
  <c r="O35" i="11"/>
  <c r="N35" i="11"/>
  <c r="M35" i="11"/>
  <c r="L35" i="11"/>
  <c r="K35" i="11"/>
  <c r="J35" i="11"/>
  <c r="I35" i="11"/>
  <c r="F62" i="2"/>
  <c r="E46" i="2"/>
  <c r="F46" i="2"/>
  <c r="G46" i="2"/>
  <c r="H46" i="2"/>
  <c r="I46" i="2"/>
  <c r="J46" i="2"/>
  <c r="K46" i="2"/>
  <c r="L46" i="2"/>
  <c r="M46" i="2"/>
  <c r="N46" i="2"/>
  <c r="O46" i="2"/>
  <c r="P46" i="2"/>
  <c r="Q46" i="2"/>
  <c r="R46" i="2"/>
  <c r="S46" i="2"/>
  <c r="T46" i="2"/>
  <c r="U46" i="2"/>
  <c r="V46" i="2"/>
  <c r="W46" i="2"/>
  <c r="X46" i="2"/>
  <c r="Y46" i="2"/>
  <c r="Z46" i="2"/>
  <c r="AA46" i="2"/>
  <c r="AB46" i="2"/>
  <c r="AC46" i="2"/>
  <c r="AD46" i="2"/>
  <c r="AE46" i="2"/>
  <c r="AF46" i="2"/>
  <c r="AG46" i="2"/>
  <c r="AH46" i="2"/>
  <c r="AI46" i="2"/>
  <c r="AJ46" i="2"/>
  <c r="AK46" i="2"/>
  <c r="AL46" i="2"/>
  <c r="AM46" i="2"/>
  <c r="AN46" i="2"/>
  <c r="AO46" i="2"/>
  <c r="AP46" i="2"/>
  <c r="AQ46" i="2"/>
  <c r="AR46" i="2"/>
  <c r="AS46" i="2"/>
  <c r="E47" i="2"/>
  <c r="F47" i="2"/>
  <c r="G47" i="2"/>
  <c r="H47" i="2"/>
  <c r="I47" i="2"/>
  <c r="J47" i="2"/>
  <c r="K47" i="2"/>
  <c r="L47" i="2"/>
  <c r="M47" i="2"/>
  <c r="N47" i="2"/>
  <c r="O47" i="2"/>
  <c r="P47" i="2"/>
  <c r="Q47" i="2"/>
  <c r="R47" i="2"/>
  <c r="S47" i="2"/>
  <c r="T47" i="2"/>
  <c r="U47" i="2"/>
  <c r="V47" i="2"/>
  <c r="W47" i="2"/>
  <c r="X47" i="2"/>
  <c r="Y47" i="2"/>
  <c r="Z47" i="2"/>
  <c r="AA47" i="2"/>
  <c r="AB47" i="2"/>
  <c r="AC47" i="2"/>
  <c r="AD47" i="2"/>
  <c r="AE47" i="2"/>
  <c r="AF47" i="2"/>
  <c r="AG47" i="2"/>
  <c r="AH47" i="2"/>
  <c r="AI47" i="2"/>
  <c r="AJ47" i="2"/>
  <c r="AK47" i="2"/>
  <c r="AL47" i="2"/>
  <c r="AM47" i="2"/>
  <c r="AN47" i="2"/>
  <c r="AO47" i="2"/>
  <c r="AP47" i="2"/>
  <c r="AQ47" i="2"/>
  <c r="AR47" i="2"/>
  <c r="AS47" i="2"/>
  <c r="E48" i="2"/>
  <c r="F48" i="2"/>
  <c r="F49" i="2" s="1"/>
  <c r="G48" i="2"/>
  <c r="H48" i="2"/>
  <c r="I48" i="2"/>
  <c r="J48" i="2"/>
  <c r="J49" i="2" s="1"/>
  <c r="K48" i="2"/>
  <c r="L48" i="2"/>
  <c r="M48" i="2"/>
  <c r="N48" i="2"/>
  <c r="N49" i="2" s="1"/>
  <c r="O48" i="2"/>
  <c r="P48" i="2"/>
  <c r="Q48" i="2"/>
  <c r="R48" i="2"/>
  <c r="R49" i="2" s="1"/>
  <c r="S48" i="2"/>
  <c r="T48" i="2"/>
  <c r="U48" i="2"/>
  <c r="V48" i="2"/>
  <c r="V49" i="2" s="1"/>
  <c r="W48" i="2"/>
  <c r="X48" i="2"/>
  <c r="Y48" i="2"/>
  <c r="Z48" i="2"/>
  <c r="Z49" i="2" s="1"/>
  <c r="AA48" i="2"/>
  <c r="AB48" i="2"/>
  <c r="AC48" i="2"/>
  <c r="AD48" i="2"/>
  <c r="AD49" i="2" s="1"/>
  <c r="AE48" i="2"/>
  <c r="AF48" i="2"/>
  <c r="AG48" i="2"/>
  <c r="AH48" i="2"/>
  <c r="AH49" i="2" s="1"/>
  <c r="AI48" i="2"/>
  <c r="AJ48" i="2"/>
  <c r="AK48" i="2"/>
  <c r="AL48" i="2"/>
  <c r="AL49" i="2" s="1"/>
  <c r="AM48" i="2"/>
  <c r="AN48" i="2"/>
  <c r="AO48" i="2"/>
  <c r="AP48" i="2"/>
  <c r="AP49" i="2" s="1"/>
  <c r="AQ48" i="2"/>
  <c r="AR48" i="2"/>
  <c r="AS48" i="2"/>
  <c r="E49" i="2"/>
  <c r="G49" i="2"/>
  <c r="H49" i="2"/>
  <c r="I49" i="2"/>
  <c r="K49" i="2"/>
  <c r="L49" i="2"/>
  <c r="M49" i="2"/>
  <c r="O49" i="2"/>
  <c r="P49" i="2"/>
  <c r="Q49" i="2"/>
  <c r="S49" i="2"/>
  <c r="T49" i="2"/>
  <c r="U49" i="2"/>
  <c r="W49" i="2"/>
  <c r="X49" i="2"/>
  <c r="Y49" i="2"/>
  <c r="AA49" i="2"/>
  <c r="AB49" i="2"/>
  <c r="AC49" i="2"/>
  <c r="AE49" i="2"/>
  <c r="AF49" i="2"/>
  <c r="AG49" i="2"/>
  <c r="AI49" i="2"/>
  <c r="AJ49" i="2"/>
  <c r="AK49" i="2"/>
  <c r="AM49" i="2"/>
  <c r="AN49" i="2"/>
  <c r="AO49" i="2"/>
  <c r="AQ49" i="2"/>
  <c r="AR49" i="2"/>
  <c r="AS49" i="2"/>
  <c r="E50" i="2"/>
  <c r="F50" i="2"/>
  <c r="G50" i="2"/>
  <c r="H50" i="2"/>
  <c r="I50" i="2"/>
  <c r="J50" i="2"/>
  <c r="K50" i="2"/>
  <c r="L50" i="2"/>
  <c r="M50" i="2"/>
  <c r="N50" i="2"/>
  <c r="O50" i="2"/>
  <c r="P50" i="2"/>
  <c r="Q50" i="2"/>
  <c r="R50" i="2"/>
  <c r="S50" i="2"/>
  <c r="T50" i="2"/>
  <c r="U50" i="2"/>
  <c r="V50" i="2"/>
  <c r="W50" i="2"/>
  <c r="X50" i="2"/>
  <c r="Y50" i="2"/>
  <c r="Z50" i="2"/>
  <c r="AA50" i="2"/>
  <c r="AB50" i="2"/>
  <c r="AC50" i="2"/>
  <c r="AD50" i="2"/>
  <c r="AE50" i="2"/>
  <c r="AF50" i="2"/>
  <c r="AG50" i="2"/>
  <c r="AH50" i="2"/>
  <c r="AI50" i="2"/>
  <c r="AJ50" i="2"/>
  <c r="AK50" i="2"/>
  <c r="AL50" i="2"/>
  <c r="AM50" i="2"/>
  <c r="AN50" i="2"/>
  <c r="AO50" i="2"/>
  <c r="AP50" i="2"/>
  <c r="AQ50" i="2"/>
  <c r="AR50" i="2"/>
  <c r="AS50" i="2"/>
  <c r="E51" i="2"/>
  <c r="F51" i="2"/>
  <c r="G51" i="2"/>
  <c r="H51" i="2"/>
  <c r="I51" i="2"/>
  <c r="J51" i="2"/>
  <c r="K51" i="2"/>
  <c r="L51" i="2"/>
  <c r="M51" i="2"/>
  <c r="N51" i="2"/>
  <c r="O51" i="2"/>
  <c r="P51" i="2"/>
  <c r="Q51" i="2"/>
  <c r="R51" i="2"/>
  <c r="S51" i="2"/>
  <c r="T51" i="2"/>
  <c r="U51" i="2"/>
  <c r="V51" i="2"/>
  <c r="W51" i="2"/>
  <c r="X51" i="2"/>
  <c r="Y51" i="2"/>
  <c r="Z51" i="2"/>
  <c r="AA51" i="2"/>
  <c r="AB51" i="2"/>
  <c r="AC51" i="2"/>
  <c r="AD51" i="2"/>
  <c r="AE51" i="2"/>
  <c r="AF51" i="2"/>
  <c r="AG51" i="2"/>
  <c r="AH51" i="2"/>
  <c r="AI51" i="2"/>
  <c r="AJ51" i="2"/>
  <c r="AK51" i="2"/>
  <c r="AL51" i="2"/>
  <c r="AM51" i="2"/>
  <c r="AN51" i="2"/>
  <c r="AO51" i="2"/>
  <c r="AP51" i="2"/>
  <c r="AQ51" i="2"/>
  <c r="AR51" i="2"/>
  <c r="AS51" i="2"/>
  <c r="F55" i="2"/>
  <c r="G55" i="2"/>
  <c r="I19" i="11"/>
  <c r="H19" i="11"/>
  <c r="Y19" i="11"/>
  <c r="W19" i="11"/>
  <c r="X19" i="11"/>
  <c r="E19" i="11"/>
  <c r="AB19" i="11"/>
  <c r="AR19" i="11"/>
  <c r="AE19" i="11"/>
  <c r="M19" i="11"/>
  <c r="S19" i="11"/>
  <c r="AP19" i="11"/>
  <c r="F19" i="11"/>
  <c r="AA19" i="11"/>
  <c r="K19" i="11"/>
  <c r="V19" i="11"/>
  <c r="AN19" i="11"/>
  <c r="O19" i="11"/>
  <c r="AD19" i="11"/>
  <c r="Z19" i="11"/>
  <c r="N19" i="11"/>
  <c r="AC19" i="11"/>
  <c r="AJ19" i="11"/>
  <c r="AM19" i="11"/>
  <c r="AH19" i="11"/>
  <c r="AQ19" i="11"/>
  <c r="AG19" i="11"/>
  <c r="AF19" i="11"/>
  <c r="J19" i="11"/>
  <c r="T19" i="11"/>
  <c r="L19" i="11"/>
  <c r="AL19" i="11"/>
  <c r="R19" i="11"/>
  <c r="P19" i="11"/>
  <c r="U19" i="11"/>
  <c r="AI19" i="11"/>
  <c r="Q19" i="11"/>
  <c r="G19" i="11"/>
  <c r="AK19" i="11"/>
  <c r="CK85" i="3"/>
  <c r="CH85" i="3"/>
  <c r="CI85" i="3"/>
  <c r="CJ96" i="3"/>
  <c r="CI96" i="3"/>
  <c r="CK96" i="3"/>
  <c r="CH96" i="3"/>
  <c r="CF96" i="3"/>
  <c r="CG85" i="3"/>
  <c r="CD85" i="3"/>
  <c r="CE85" i="3"/>
  <c r="CF85" i="3"/>
  <c r="CE96" i="3"/>
  <c r="CD96" i="3"/>
  <c r="CG96" i="3"/>
  <c r="CC85" i="3"/>
  <c r="BZ85" i="3"/>
  <c r="CA85" i="3"/>
  <c r="CC96" i="3"/>
  <c r="CA96" i="3"/>
  <c r="CB85" i="3"/>
  <c r="BZ96" i="3"/>
  <c r="BV85" i="3"/>
  <c r="BW96" i="3"/>
  <c r="BX85" i="3"/>
  <c r="BY85" i="3"/>
  <c r="BX96" i="3"/>
  <c r="BW85" i="3"/>
  <c r="BV96" i="3"/>
  <c r="BY96" i="3"/>
  <c r="BS85" i="3"/>
  <c r="BU85" i="3"/>
  <c r="BR85" i="3"/>
  <c r="BR96" i="3"/>
  <c r="BS96" i="3"/>
  <c r="BU96" i="3"/>
  <c r="BN85" i="3"/>
  <c r="BP85" i="3"/>
  <c r="BO85" i="3"/>
  <c r="BQ85" i="3"/>
  <c r="BO96" i="3"/>
  <c r="BP96" i="3"/>
  <c r="BN96" i="3"/>
  <c r="BQ96" i="3"/>
  <c r="BJ85" i="3"/>
  <c r="BM96" i="3"/>
  <c r="BM85" i="3"/>
  <c r="BK85" i="3"/>
  <c r="BJ96" i="3"/>
  <c r="BL96" i="3"/>
  <c r="BK96" i="3"/>
  <c r="BH85" i="3"/>
  <c r="BI85" i="3"/>
  <c r="BF85" i="3"/>
  <c r="BG85" i="3"/>
  <c r="BG96" i="3"/>
  <c r="BH96" i="3"/>
  <c r="BI96" i="3"/>
  <c r="BF96" i="3"/>
  <c r="BC96" i="3"/>
  <c r="BB96" i="3"/>
  <c r="BD85" i="3"/>
  <c r="BE85" i="3"/>
  <c r="BB85" i="3"/>
  <c r="BC85" i="3"/>
  <c r="BD96" i="3"/>
  <c r="BE96" i="3"/>
  <c r="AX85" i="3"/>
  <c r="AY85" i="3"/>
  <c r="BA85" i="3"/>
  <c r="AY96" i="3"/>
  <c r="AX96" i="3"/>
  <c r="BA96" i="3"/>
  <c r="AZ85" i="3"/>
  <c r="AW85" i="3"/>
  <c r="AT85" i="3"/>
  <c r="AU85" i="3"/>
  <c r="AW96" i="3"/>
  <c r="AT96" i="3"/>
  <c r="AU96" i="3"/>
  <c r="AS85" i="3"/>
  <c r="AP85" i="3"/>
  <c r="AQ85" i="3"/>
  <c r="AQ96" i="3"/>
  <c r="AR96" i="3"/>
  <c r="AS96" i="3"/>
  <c r="AP96" i="3"/>
  <c r="AO85" i="3"/>
  <c r="AM85" i="3"/>
  <c r="AM96" i="3"/>
  <c r="AN85" i="3"/>
  <c r="AL85" i="3"/>
  <c r="AL96" i="3"/>
  <c r="AO96" i="3"/>
  <c r="AN96" i="3"/>
  <c r="AK85" i="3"/>
  <c r="AH85" i="3"/>
  <c r="AI85" i="3"/>
  <c r="AI96" i="3"/>
  <c r="AH96" i="3"/>
  <c r="AK96" i="3"/>
  <c r="AG85" i="3"/>
  <c r="AF85" i="3"/>
  <c r="AD85" i="3"/>
  <c r="AE85" i="3"/>
  <c r="AE96" i="3"/>
  <c r="AG96" i="3"/>
  <c r="AD96" i="3"/>
  <c r="AC85" i="3"/>
  <c r="Z85" i="3"/>
  <c r="AB85" i="3"/>
  <c r="AA85" i="3"/>
  <c r="AC96" i="3"/>
  <c r="AA96" i="3"/>
  <c r="AB96" i="3"/>
  <c r="Z96" i="3"/>
  <c r="Y85" i="3"/>
  <c r="V85" i="3"/>
  <c r="X96" i="3"/>
  <c r="V96" i="3"/>
  <c r="Y96" i="3"/>
  <c r="T85" i="3"/>
  <c r="U85" i="3"/>
  <c r="S85" i="3"/>
  <c r="R96" i="3"/>
  <c r="R85" i="3"/>
  <c r="S96" i="3"/>
  <c r="T96" i="3"/>
  <c r="U96" i="3"/>
  <c r="O85" i="3"/>
  <c r="N96" i="3"/>
  <c r="Q85" i="3"/>
  <c r="N85" i="3"/>
  <c r="O96" i="3"/>
  <c r="P96" i="3"/>
  <c r="P85" i="3"/>
  <c r="Q96" i="3"/>
  <c r="E20" i="11"/>
  <c r="R12" i="9" l="1"/>
  <c r="Y21" i="11"/>
  <c r="H21" i="11"/>
  <c r="I21" i="11"/>
  <c r="AK21" i="11"/>
  <c r="G21" i="11"/>
  <c r="Q21" i="11"/>
  <c r="AI21" i="11"/>
  <c r="U21" i="11"/>
  <c r="P21" i="11"/>
  <c r="R21" i="11"/>
  <c r="AL21" i="11"/>
  <c r="L21" i="11"/>
  <c r="T21" i="11"/>
  <c r="J21" i="11"/>
  <c r="AF21" i="11"/>
  <c r="AG21" i="11"/>
  <c r="AQ21" i="11"/>
  <c r="AH21" i="11"/>
  <c r="AM21" i="11"/>
  <c r="AJ21" i="11"/>
  <c r="AC21" i="11"/>
  <c r="N21" i="11"/>
  <c r="Z21" i="11"/>
  <c r="AD21" i="11"/>
  <c r="O21" i="11"/>
  <c r="AN21" i="11"/>
  <c r="V21" i="11"/>
  <c r="K21" i="11"/>
  <c r="AA21" i="11"/>
  <c r="AP21" i="11"/>
  <c r="S21" i="11"/>
  <c r="M21" i="11"/>
  <c r="AE21" i="11"/>
  <c r="AR21" i="11"/>
  <c r="AB21" i="11"/>
  <c r="X21" i="11"/>
  <c r="W21" i="11"/>
  <c r="Q48" i="11"/>
  <c r="R14" i="9"/>
  <c r="R15" i="9"/>
  <c r="S48" i="11"/>
  <c r="R18" i="9"/>
  <c r="Y48" i="11"/>
  <c r="AC48" i="11"/>
  <c r="R20" i="9"/>
  <c r="R19" i="9"/>
  <c r="AA48" i="11"/>
  <c r="AQ48" i="11"/>
  <c r="R27" i="9"/>
  <c r="R26" i="9"/>
  <c r="AO48" i="11"/>
  <c r="R23" i="9"/>
  <c r="AI48" i="11"/>
  <c r="U48" i="11"/>
  <c r="R16" i="9"/>
  <c r="R22" i="9"/>
  <c r="AG48" i="11"/>
  <c r="R10" i="9"/>
  <c r="I48" i="11"/>
  <c r="K48" i="11"/>
  <c r="R11" i="9"/>
  <c r="E47" i="11"/>
  <c r="G48" i="11"/>
  <c r="AK43" i="11"/>
  <c r="P24" i="9"/>
  <c r="Q24" i="9" s="1"/>
  <c r="AO43" i="11"/>
  <c r="Q26" i="9"/>
  <c r="AG43" i="11"/>
  <c r="P22" i="9"/>
  <c r="Q22" i="9" s="1"/>
  <c r="AA43" i="11"/>
  <c r="P19" i="9"/>
  <c r="Q19" i="9" s="1"/>
  <c r="Y43" i="11"/>
  <c r="P18" i="9"/>
  <c r="Q18" i="9" s="1"/>
  <c r="CJ84" i="3"/>
  <c r="CB94" i="3"/>
  <c r="CB95" i="3"/>
  <c r="CB91" i="3"/>
  <c r="CB92" i="3" s="1"/>
  <c r="CB93" i="3" s="1"/>
  <c r="BT95" i="3"/>
  <c r="BT94" i="3"/>
  <c r="BT91" i="3"/>
  <c r="BT92" i="3" s="1"/>
  <c r="BT93" i="3" s="1"/>
  <c r="BT83" i="3"/>
  <c r="BL84" i="3"/>
  <c r="AZ94" i="3"/>
  <c r="AZ91" i="3"/>
  <c r="AZ92" i="3" s="1"/>
  <c r="AZ93" i="3" s="1"/>
  <c r="AZ95" i="3"/>
  <c r="AV95" i="3"/>
  <c r="AV94" i="3"/>
  <c r="AV91" i="3"/>
  <c r="AV92" i="3" s="1"/>
  <c r="AV93" i="3" s="1"/>
  <c r="AV84" i="3"/>
  <c r="AR84" i="3"/>
  <c r="AJ94" i="3"/>
  <c r="AJ95" i="3"/>
  <c r="AJ91" i="3"/>
  <c r="AJ92" i="3" s="1"/>
  <c r="AJ93" i="3" s="1"/>
  <c r="AJ83" i="3"/>
  <c r="AF95" i="3"/>
  <c r="AF94" i="3"/>
  <c r="AF91" i="3"/>
  <c r="AF92" i="3" s="1"/>
  <c r="AF93" i="3" s="1"/>
  <c r="AF83" i="3"/>
  <c r="W95" i="3"/>
  <c r="W94" i="3"/>
  <c r="W91" i="3"/>
  <c r="W92" i="3" s="1"/>
  <c r="W93" i="3"/>
  <c r="X84" i="3"/>
  <c r="W84" i="3"/>
  <c r="G10" i="13"/>
  <c r="H10" i="13" s="1"/>
  <c r="F11" i="13"/>
  <c r="I15" i="12"/>
  <c r="G17" i="12"/>
  <c r="J40" i="12"/>
  <c r="F17" i="12"/>
  <c r="F16" i="12"/>
  <c r="J17" i="12"/>
  <c r="H19" i="12"/>
  <c r="G44" i="12"/>
  <c r="I42" i="12"/>
  <c r="J44" i="12"/>
  <c r="H46" i="12"/>
  <c r="E21" i="11"/>
  <c r="AS38" i="11"/>
  <c r="AQ38" i="11"/>
  <c r="AO38" i="11"/>
  <c r="AM38" i="11"/>
  <c r="AK38" i="11"/>
  <c r="AI38" i="11"/>
  <c r="AG38" i="11"/>
  <c r="AE38" i="11"/>
  <c r="AC38" i="11"/>
  <c r="AA38" i="11"/>
  <c r="Y38" i="11"/>
  <c r="W38" i="11"/>
  <c r="U38" i="11"/>
  <c r="S38" i="11"/>
  <c r="Q38" i="11"/>
  <c r="O38" i="11"/>
  <c r="M38" i="11"/>
  <c r="K38" i="11"/>
  <c r="I38" i="11"/>
  <c r="G38" i="11"/>
  <c r="AR36" i="11"/>
  <c r="AQ36" i="11"/>
  <c r="AP36" i="11"/>
  <c r="AO36" i="11"/>
  <c r="AN36" i="11"/>
  <c r="AM36" i="11"/>
  <c r="AL36" i="11"/>
  <c r="AK36" i="11"/>
  <c r="AJ36" i="11"/>
  <c r="AI36" i="11"/>
  <c r="AH36" i="11"/>
  <c r="AG36" i="11"/>
  <c r="AF36" i="11"/>
  <c r="AE36" i="11"/>
  <c r="AD36" i="11"/>
  <c r="AC36" i="11"/>
  <c r="AB36" i="11"/>
  <c r="AA36" i="11"/>
  <c r="Z36" i="11"/>
  <c r="Y36" i="11"/>
  <c r="X36" i="11"/>
  <c r="W36" i="11"/>
  <c r="V36" i="11"/>
  <c r="U36" i="11"/>
  <c r="T36" i="11"/>
  <c r="S36" i="11"/>
  <c r="R36" i="11"/>
  <c r="Q36" i="11"/>
  <c r="P36" i="11"/>
  <c r="O36" i="11"/>
  <c r="N36" i="11"/>
  <c r="M36" i="11"/>
  <c r="L36" i="11"/>
  <c r="K36" i="11"/>
  <c r="J36" i="11"/>
  <c r="I36" i="11"/>
  <c r="M17" i="3"/>
  <c r="M76" i="3" s="1"/>
  <c r="J76" i="3"/>
  <c r="E76" i="3"/>
  <c r="G16" i="3"/>
  <c r="H17" i="3" s="1"/>
  <c r="H76" i="3" s="1"/>
  <c r="J110" i="3"/>
  <c r="J108" i="3"/>
  <c r="J109" i="3" s="1"/>
  <c r="M107" i="3"/>
  <c r="L107" i="3"/>
  <c r="K107" i="3"/>
  <c r="J107" i="3"/>
  <c r="M104" i="3"/>
  <c r="L104" i="3"/>
  <c r="K104" i="3"/>
  <c r="J104" i="3"/>
  <c r="M103" i="3"/>
  <c r="M105" i="3" s="1"/>
  <c r="M106" i="3" s="1"/>
  <c r="L103" i="3"/>
  <c r="L105" i="3" s="1"/>
  <c r="L106" i="3" s="1"/>
  <c r="K103" i="3"/>
  <c r="K105" i="3" s="1"/>
  <c r="K106" i="3" s="1"/>
  <c r="J103" i="3"/>
  <c r="J105" i="3" s="1"/>
  <c r="J106" i="3" s="1"/>
  <c r="M102" i="3"/>
  <c r="L102" i="3"/>
  <c r="J102" i="3"/>
  <c r="M98" i="3"/>
  <c r="L98" i="3"/>
  <c r="K98" i="3"/>
  <c r="J98" i="3"/>
  <c r="M97" i="3"/>
  <c r="M99" i="3" s="1"/>
  <c r="L97" i="3"/>
  <c r="L99" i="3" s="1"/>
  <c r="K97" i="3"/>
  <c r="K99" i="3" s="1"/>
  <c r="J97" i="3"/>
  <c r="J99" i="3" s="1"/>
  <c r="M88" i="3"/>
  <c r="L88" i="3"/>
  <c r="K88" i="3"/>
  <c r="J88" i="3"/>
  <c r="M87" i="3"/>
  <c r="M90" i="3" s="1"/>
  <c r="L87" i="3"/>
  <c r="L90" i="3" s="1"/>
  <c r="K87" i="3"/>
  <c r="K90" i="3" s="1"/>
  <c r="J87" i="3"/>
  <c r="J90" i="3" s="1"/>
  <c r="M77" i="3"/>
  <c r="L77" i="3"/>
  <c r="K77" i="3"/>
  <c r="J77" i="3"/>
  <c r="M75" i="3"/>
  <c r="M79" i="3" s="1"/>
  <c r="L75" i="3"/>
  <c r="L79" i="3" s="1"/>
  <c r="K75" i="3"/>
  <c r="J75" i="3"/>
  <c r="J79" i="3" s="1"/>
  <c r="M70" i="3"/>
  <c r="M72" i="3" s="1"/>
  <c r="M73" i="3" s="1"/>
  <c r="M100" i="3" s="1"/>
  <c r="L70" i="3"/>
  <c r="L72" i="3" s="1"/>
  <c r="L73" i="3" s="1"/>
  <c r="L100" i="3" s="1"/>
  <c r="K70" i="3"/>
  <c r="K72" i="3" s="1"/>
  <c r="K73" i="3" s="1"/>
  <c r="K100" i="3" s="1"/>
  <c r="J70" i="3"/>
  <c r="J72" i="3" s="1"/>
  <c r="J73" i="3" s="1"/>
  <c r="J100" i="3" s="1"/>
  <c r="E102" i="3"/>
  <c r="I77" i="3"/>
  <c r="I75" i="3"/>
  <c r="H77" i="3"/>
  <c r="H75" i="3"/>
  <c r="G77" i="3"/>
  <c r="G75" i="3"/>
  <c r="F77" i="3"/>
  <c r="F75" i="3"/>
  <c r="E75" i="3"/>
  <c r="F88" i="3"/>
  <c r="E87" i="3"/>
  <c r="E48" i="3"/>
  <c r="F48" i="3"/>
  <c r="F63" i="3"/>
  <c r="F60" i="3"/>
  <c r="F62" i="3" s="1"/>
  <c r="F59" i="3"/>
  <c r="F57" i="3"/>
  <c r="F56" i="3"/>
  <c r="G88" i="3"/>
  <c r="H88" i="3"/>
  <c r="I88" i="3"/>
  <c r="E64" i="3"/>
  <c r="I17" i="3"/>
  <c r="I76" i="3" s="1"/>
  <c r="I107" i="3"/>
  <c r="I104" i="3"/>
  <c r="I103" i="3"/>
  <c r="I98" i="3"/>
  <c r="I97" i="3"/>
  <c r="I87" i="3"/>
  <c r="I70" i="3"/>
  <c r="I72" i="3" s="1"/>
  <c r="I73" i="3" s="1"/>
  <c r="H107" i="3"/>
  <c r="H104" i="3"/>
  <c r="H103" i="3"/>
  <c r="H98" i="3"/>
  <c r="H97" i="3"/>
  <c r="H87" i="3"/>
  <c r="H70" i="3"/>
  <c r="H72" i="3" s="1"/>
  <c r="H73" i="3" s="1"/>
  <c r="G107" i="3"/>
  <c r="G104" i="3"/>
  <c r="G103" i="3"/>
  <c r="G98" i="3"/>
  <c r="G97" i="3"/>
  <c r="G87" i="3"/>
  <c r="G70" i="3"/>
  <c r="G72" i="3" s="1"/>
  <c r="G73" i="3" s="1"/>
  <c r="E70" i="3"/>
  <c r="E72" i="3" s="1"/>
  <c r="E73" i="3" s="1"/>
  <c r="F70" i="3"/>
  <c r="F72" i="3" s="1"/>
  <c r="F73" i="3" s="1"/>
  <c r="F98" i="3"/>
  <c r="F97" i="3"/>
  <c r="F87" i="3"/>
  <c r="AS61" i="2"/>
  <c r="AR61" i="2"/>
  <c r="AQ61" i="2"/>
  <c r="AP61" i="2"/>
  <c r="AO61" i="2"/>
  <c r="AN61" i="2"/>
  <c r="AM61" i="2"/>
  <c r="AL61" i="2"/>
  <c r="AK61" i="2"/>
  <c r="AJ61" i="2"/>
  <c r="AI61" i="2"/>
  <c r="AH61" i="2"/>
  <c r="AG61" i="2"/>
  <c r="AF61" i="2"/>
  <c r="AE61" i="2"/>
  <c r="AD61" i="2"/>
  <c r="AC61" i="2"/>
  <c r="AB61" i="2"/>
  <c r="AA61" i="2"/>
  <c r="Z61" i="2"/>
  <c r="Y61" i="2"/>
  <c r="X61" i="2"/>
  <c r="W61" i="2"/>
  <c r="V61" i="2"/>
  <c r="U61" i="2"/>
  <c r="T61" i="2"/>
  <c r="S61" i="2"/>
  <c r="R61" i="2"/>
  <c r="Q61" i="2"/>
  <c r="P61" i="2"/>
  <c r="O61" i="2"/>
  <c r="N61" i="2"/>
  <c r="M61" i="2"/>
  <c r="L61" i="2"/>
  <c r="K61" i="2"/>
  <c r="J61" i="2"/>
  <c r="I61" i="2"/>
  <c r="H61" i="2"/>
  <c r="AS62" i="2"/>
  <c r="AR62" i="2"/>
  <c r="AQ62" i="2"/>
  <c r="AP62" i="2"/>
  <c r="AO62" i="2"/>
  <c r="AN62" i="2"/>
  <c r="AM62" i="2"/>
  <c r="AL62" i="2"/>
  <c r="AK62" i="2"/>
  <c r="AJ62" i="2"/>
  <c r="AI62" i="2"/>
  <c r="AH62" i="2"/>
  <c r="AG62" i="2"/>
  <c r="AF62" i="2"/>
  <c r="AE62" i="2"/>
  <c r="AD62" i="2"/>
  <c r="AC62" i="2"/>
  <c r="AB62" i="2"/>
  <c r="AA62" i="2"/>
  <c r="Z62" i="2"/>
  <c r="Y62" i="2"/>
  <c r="X62" i="2"/>
  <c r="W62" i="2"/>
  <c r="V62" i="2"/>
  <c r="U62" i="2"/>
  <c r="T62" i="2"/>
  <c r="S62" i="2"/>
  <c r="R62" i="2"/>
  <c r="Q62" i="2"/>
  <c r="P62" i="2"/>
  <c r="O62" i="2"/>
  <c r="N62" i="2"/>
  <c r="M62" i="2"/>
  <c r="L62" i="2"/>
  <c r="K62" i="2"/>
  <c r="J62" i="2"/>
  <c r="I62" i="2"/>
  <c r="H62" i="2"/>
  <c r="G62" i="2"/>
  <c r="H63" i="2"/>
  <c r="I63" i="2"/>
  <c r="J63" i="2"/>
  <c r="K63" i="2"/>
  <c r="E62" i="2"/>
  <c r="G61" i="2"/>
  <c r="E61" i="2"/>
  <c r="K48" i="9"/>
  <c r="K47" i="9"/>
  <c r="I39" i="9"/>
  <c r="K39" i="9" s="1"/>
  <c r="J37" i="9"/>
  <c r="J38" i="9" s="1"/>
  <c r="I37" i="9"/>
  <c r="I38" i="9" s="1"/>
  <c r="J35" i="9"/>
  <c r="J36" i="9" s="1"/>
  <c r="I35" i="9"/>
  <c r="I36" i="9" s="1"/>
  <c r="F28" i="9"/>
  <c r="N11" i="9"/>
  <c r="O11" i="9" s="1"/>
  <c r="N12" i="9"/>
  <c r="O12" i="9" s="1"/>
  <c r="N13" i="9"/>
  <c r="O13" i="9" s="1"/>
  <c r="N14" i="9"/>
  <c r="O14" i="9" s="1"/>
  <c r="N15" i="9"/>
  <c r="O15" i="9" s="1"/>
  <c r="N16" i="9"/>
  <c r="O16" i="9" s="1"/>
  <c r="N17" i="9"/>
  <c r="O17" i="9" s="1"/>
  <c r="N18" i="9"/>
  <c r="O18" i="9" s="1"/>
  <c r="N19" i="9"/>
  <c r="O19" i="9" s="1"/>
  <c r="N20" i="9"/>
  <c r="O20" i="9" s="1"/>
  <c r="N21" i="9"/>
  <c r="O21" i="9" s="1"/>
  <c r="N22" i="9"/>
  <c r="O22" i="9" s="1"/>
  <c r="N23" i="9"/>
  <c r="O23" i="9" s="1"/>
  <c r="N24" i="9"/>
  <c r="O24" i="9" s="1"/>
  <c r="N25" i="9"/>
  <c r="O25" i="9" s="1"/>
  <c r="N26" i="9"/>
  <c r="O26" i="9" s="1"/>
  <c r="N27" i="9"/>
  <c r="O27" i="9" s="1"/>
  <c r="N28" i="9"/>
  <c r="O28" i="9" s="1"/>
  <c r="J97" i="2"/>
  <c r="I10" i="9" s="1"/>
  <c r="J10" i="9" s="1"/>
  <c r="L97" i="2"/>
  <c r="L98" i="2" s="1"/>
  <c r="N97" i="2"/>
  <c r="N98" i="2" s="1"/>
  <c r="P97" i="2"/>
  <c r="P98" i="2" s="1"/>
  <c r="R97" i="2"/>
  <c r="R98" i="2" s="1"/>
  <c r="T97" i="2"/>
  <c r="T98" i="2" s="1"/>
  <c r="V97" i="2"/>
  <c r="V98" i="2" s="1"/>
  <c r="X97" i="2"/>
  <c r="X98" i="2" s="1"/>
  <c r="Z97" i="2"/>
  <c r="I18" i="9" s="1"/>
  <c r="J18" i="9" s="1"/>
  <c r="AB97" i="2"/>
  <c r="I19" i="9" s="1"/>
  <c r="J19" i="9" s="1"/>
  <c r="AD97" i="2"/>
  <c r="AD98" i="2" s="1"/>
  <c r="AF97" i="2"/>
  <c r="AF98" i="2" s="1"/>
  <c r="AH97" i="2"/>
  <c r="AH98" i="2" s="1"/>
  <c r="AJ97" i="2"/>
  <c r="AL97" i="2"/>
  <c r="AL98" i="2" s="1"/>
  <c r="AN97" i="2"/>
  <c r="I25" i="9" s="1"/>
  <c r="J25" i="9" s="1"/>
  <c r="AP97" i="2"/>
  <c r="AP98" i="2" s="1"/>
  <c r="AR97" i="2"/>
  <c r="AR98" i="2" s="1"/>
  <c r="Z98" i="2"/>
  <c r="AJ98" i="2"/>
  <c r="J94" i="2"/>
  <c r="J95" i="2" s="1"/>
  <c r="L94" i="2"/>
  <c r="L95" i="2" s="1"/>
  <c r="N94" i="2"/>
  <c r="N95" i="2" s="1"/>
  <c r="P94" i="2"/>
  <c r="P95" i="2" s="1"/>
  <c r="R94" i="2"/>
  <c r="R95" i="2" s="1"/>
  <c r="T94" i="2"/>
  <c r="T95" i="2" s="1"/>
  <c r="V94" i="2"/>
  <c r="V95" i="2" s="1"/>
  <c r="X94" i="2"/>
  <c r="X95" i="2" s="1"/>
  <c r="Z94" i="2"/>
  <c r="G18" i="9" s="1"/>
  <c r="H18" i="9" s="1"/>
  <c r="AB94" i="2"/>
  <c r="AB95" i="2" s="1"/>
  <c r="AD94" i="2"/>
  <c r="AD95" i="2" s="1"/>
  <c r="AF94" i="2"/>
  <c r="G21" i="9" s="1"/>
  <c r="H21" i="9" s="1"/>
  <c r="AH94" i="2"/>
  <c r="AH95" i="2" s="1"/>
  <c r="AJ94" i="2"/>
  <c r="AJ95" i="2" s="1"/>
  <c r="AL94" i="2"/>
  <c r="G24" i="9" s="1"/>
  <c r="H24" i="9" s="1"/>
  <c r="AN94" i="2"/>
  <c r="G25" i="9" s="1"/>
  <c r="H25" i="9" s="1"/>
  <c r="AP94" i="2"/>
  <c r="AP95" i="2" s="1"/>
  <c r="AR94" i="2"/>
  <c r="AR95" i="2" s="1"/>
  <c r="Z95" i="2"/>
  <c r="P91" i="2"/>
  <c r="E13" i="9" s="1"/>
  <c r="F13" i="9" s="1"/>
  <c r="R91" i="2"/>
  <c r="R92" i="2" s="1"/>
  <c r="T91" i="2"/>
  <c r="T92" i="2" s="1"/>
  <c r="V91" i="2"/>
  <c r="V92" i="2" s="1"/>
  <c r="X91" i="2"/>
  <c r="E17" i="9" s="1"/>
  <c r="F17" i="9" s="1"/>
  <c r="Z91" i="2"/>
  <c r="E18" i="9" s="1"/>
  <c r="F18" i="9" s="1"/>
  <c r="AB91" i="2"/>
  <c r="E19" i="9" s="1"/>
  <c r="F19" i="9" s="1"/>
  <c r="AD91" i="2"/>
  <c r="AD92" i="2" s="1"/>
  <c r="AF91" i="2"/>
  <c r="AF92" i="2" s="1"/>
  <c r="AH91" i="2"/>
  <c r="AH92" i="2" s="1"/>
  <c r="AJ91" i="2"/>
  <c r="E23" i="9" s="1"/>
  <c r="F23" i="9" s="1"/>
  <c r="AL91" i="2"/>
  <c r="AL92" i="2" s="1"/>
  <c r="AN91" i="2"/>
  <c r="E25" i="9" s="1"/>
  <c r="F25" i="9" s="1"/>
  <c r="AP91" i="2"/>
  <c r="AP92" i="2" s="1"/>
  <c r="AR91" i="2"/>
  <c r="AR92" i="2" s="1"/>
  <c r="L91" i="2"/>
  <c r="L92" i="2" s="1"/>
  <c r="N91" i="2"/>
  <c r="N92" i="2" s="1"/>
  <c r="J91" i="2"/>
  <c r="J92" i="2" s="1"/>
  <c r="H97" i="2"/>
  <c r="H98" i="2" s="1"/>
  <c r="H94" i="2"/>
  <c r="H95" i="2" s="1"/>
  <c r="H91" i="2"/>
  <c r="H92" i="2" s="1"/>
  <c r="I23" i="9"/>
  <c r="J23" i="9" s="1"/>
  <c r="I22" i="9"/>
  <c r="J22" i="9" s="1"/>
  <c r="I14" i="9"/>
  <c r="J14" i="9" s="1"/>
  <c r="I11" i="9"/>
  <c r="J11" i="9" s="1"/>
  <c r="I9" i="9"/>
  <c r="J9" i="9" s="1"/>
  <c r="G22" i="9"/>
  <c r="H22" i="9" s="1"/>
  <c r="E15" i="9"/>
  <c r="F15" i="9" s="1"/>
  <c r="E98" i="3"/>
  <c r="E97" i="3"/>
  <c r="K56" i="3"/>
  <c r="E49" i="3"/>
  <c r="CJ85" i="3"/>
  <c r="CB96" i="3"/>
  <c r="BT85" i="3"/>
  <c r="BT96" i="3"/>
  <c r="BL85" i="3"/>
  <c r="AZ96" i="3"/>
  <c r="AV85" i="3"/>
  <c r="AV96" i="3"/>
  <c r="AR85" i="3"/>
  <c r="AJ85" i="3"/>
  <c r="AJ96" i="3"/>
  <c r="AF96" i="3"/>
  <c r="X85" i="3"/>
  <c r="W96" i="3"/>
  <c r="W85" i="3"/>
  <c r="J104" i="2"/>
  <c r="R8" i="9" l="1"/>
  <c r="E48" i="11"/>
  <c r="AM43" i="11"/>
  <c r="P25" i="9"/>
  <c r="Q25" i="9" s="1"/>
  <c r="AC43" i="11"/>
  <c r="P20" i="9"/>
  <c r="Q20" i="9" s="1"/>
  <c r="AI43" i="11"/>
  <c r="P23" i="9"/>
  <c r="Q23" i="9" s="1"/>
  <c r="U43" i="11"/>
  <c r="P16" i="9"/>
  <c r="Q16" i="9" s="1"/>
  <c r="W43" i="11"/>
  <c r="P17" i="9"/>
  <c r="Q17" i="9" s="1"/>
  <c r="S43" i="11"/>
  <c r="P15" i="9"/>
  <c r="Q15" i="9" s="1"/>
  <c r="O43" i="11"/>
  <c r="P13" i="9"/>
  <c r="Q13" i="9" s="1"/>
  <c r="K43" i="11"/>
  <c r="P11" i="9"/>
  <c r="Q11" i="9" s="1"/>
  <c r="I43" i="11"/>
  <c r="P10" i="9"/>
  <c r="Q10" i="9" s="1"/>
  <c r="L26" i="9"/>
  <c r="M26" i="9" s="1"/>
  <c r="L25" i="9"/>
  <c r="M25" i="9" s="1"/>
  <c r="L24" i="9"/>
  <c r="M24" i="9" s="1"/>
  <c r="L23" i="9"/>
  <c r="M23" i="9" s="1"/>
  <c r="L19" i="9"/>
  <c r="M19" i="9" s="1"/>
  <c r="L18" i="9"/>
  <c r="M18" i="9" s="1"/>
  <c r="L17" i="9"/>
  <c r="M17" i="9" s="1"/>
  <c r="L16" i="9"/>
  <c r="M16" i="9" s="1"/>
  <c r="L13" i="9"/>
  <c r="M13" i="9" s="1"/>
  <c r="G11" i="13"/>
  <c r="H11" i="13" s="1"/>
  <c r="F12" i="13"/>
  <c r="F18" i="12"/>
  <c r="F19" i="12"/>
  <c r="I17" i="12"/>
  <c r="G19" i="12"/>
  <c r="J19" i="12"/>
  <c r="H21" i="12"/>
  <c r="G46" i="12"/>
  <c r="I44" i="12"/>
  <c r="J46" i="12"/>
  <c r="H48" i="12"/>
  <c r="L28" i="9"/>
  <c r="M28" i="9" s="1"/>
  <c r="L21" i="9"/>
  <c r="M21" i="9" s="1"/>
  <c r="M80" i="3"/>
  <c r="M81" i="3" s="1"/>
  <c r="F99" i="3"/>
  <c r="F100" i="3" s="1"/>
  <c r="F102" i="3" s="1"/>
  <c r="G105" i="3"/>
  <c r="G106" i="3" s="1"/>
  <c r="I99" i="3"/>
  <c r="I100" i="3" s="1"/>
  <c r="I102" i="3" s="1"/>
  <c r="F65" i="3"/>
  <c r="J80" i="3"/>
  <c r="J81" i="3" s="1"/>
  <c r="L108" i="3"/>
  <c r="L109" i="3" s="1"/>
  <c r="M108" i="3"/>
  <c r="M109" i="3" s="1"/>
  <c r="M84" i="3"/>
  <c r="J84" i="3"/>
  <c r="K108" i="3"/>
  <c r="K109" i="3" s="1"/>
  <c r="K79" i="3"/>
  <c r="M78" i="3"/>
  <c r="M83" i="3"/>
  <c r="J78" i="3"/>
  <c r="J83" i="3"/>
  <c r="G79" i="3"/>
  <c r="H79" i="3"/>
  <c r="I79" i="3"/>
  <c r="L12" i="9"/>
  <c r="M12" i="9" s="1"/>
  <c r="E78" i="3"/>
  <c r="E77" i="3" s="1"/>
  <c r="E79" i="3" s="1"/>
  <c r="E89" i="3"/>
  <c r="E88" i="3" s="1"/>
  <c r="E90" i="3" s="1"/>
  <c r="E83" i="3" s="1"/>
  <c r="G108" i="3"/>
  <c r="F79" i="3"/>
  <c r="L20" i="9"/>
  <c r="M20" i="9" s="1"/>
  <c r="H99" i="3"/>
  <c r="H100" i="3" s="1"/>
  <c r="H102" i="3" s="1"/>
  <c r="F61" i="3"/>
  <c r="E99" i="3"/>
  <c r="E100" i="3" s="1"/>
  <c r="G99" i="3"/>
  <c r="G100" i="3" s="1"/>
  <c r="G102" i="3" s="1"/>
  <c r="L11" i="9"/>
  <c r="M11" i="9" s="1"/>
  <c r="L14" i="9"/>
  <c r="M14" i="9" s="1"/>
  <c r="L27" i="9"/>
  <c r="M27" i="9" s="1"/>
  <c r="N10" i="9"/>
  <c r="O10" i="9" s="1"/>
  <c r="H105" i="3"/>
  <c r="H106" i="3" s="1"/>
  <c r="H108" i="3" s="1"/>
  <c r="H109" i="3" s="1"/>
  <c r="I105" i="3"/>
  <c r="I106" i="3" s="1"/>
  <c r="I108" i="3" s="1"/>
  <c r="I109" i="3" s="1"/>
  <c r="L10" i="9"/>
  <c r="M10" i="9" s="1"/>
  <c r="L15" i="9"/>
  <c r="M15" i="9" s="1"/>
  <c r="G17" i="9"/>
  <c r="H17" i="9" s="1"/>
  <c r="AB92" i="2"/>
  <c r="E11" i="9"/>
  <c r="F11" i="9" s="1"/>
  <c r="E24" i="9"/>
  <c r="F24" i="9" s="1"/>
  <c r="I27" i="9"/>
  <c r="J27" i="9" s="1"/>
  <c r="AB98" i="2"/>
  <c r="G23" i="9"/>
  <c r="H23" i="9" s="1"/>
  <c r="E26" i="9"/>
  <c r="F26" i="9" s="1"/>
  <c r="G27" i="9"/>
  <c r="H27" i="9" s="1"/>
  <c r="I15" i="9"/>
  <c r="J15" i="9" s="1"/>
  <c r="G9" i="9"/>
  <c r="H9" i="9" s="1"/>
  <c r="E14" i="9"/>
  <c r="F14" i="9" s="1"/>
  <c r="Z92" i="2"/>
  <c r="G16" i="9"/>
  <c r="H16" i="9" s="1"/>
  <c r="E9" i="9"/>
  <c r="F9" i="9" s="1"/>
  <c r="AL95" i="2"/>
  <c r="E27" i="9"/>
  <c r="F27" i="9" s="1"/>
  <c r="I12" i="9"/>
  <c r="J12" i="9" s="1"/>
  <c r="AN92" i="2"/>
  <c r="G20" i="9"/>
  <c r="H20" i="9" s="1"/>
  <c r="AJ92" i="2"/>
  <c r="G12" i="9"/>
  <c r="H12" i="9" s="1"/>
  <c r="G10" i="9"/>
  <c r="H10" i="9" s="1"/>
  <c r="P92" i="2"/>
  <c r="I26" i="9"/>
  <c r="J26" i="9" s="1"/>
  <c r="X92" i="2"/>
  <c r="J98" i="2"/>
  <c r="G14" i="9"/>
  <c r="H14" i="9" s="1"/>
  <c r="I21" i="9"/>
  <c r="J21" i="9" s="1"/>
  <c r="K35" i="9"/>
  <c r="K36" i="9" s="1"/>
  <c r="K37" i="9"/>
  <c r="K38" i="9" s="1"/>
  <c r="I40" i="9"/>
  <c r="K40" i="9" s="1"/>
  <c r="L22" i="9"/>
  <c r="M22" i="9" s="1"/>
  <c r="I17" i="9"/>
  <c r="J17" i="9" s="1"/>
  <c r="AN98" i="2"/>
  <c r="G13" i="9"/>
  <c r="H13" i="9" s="1"/>
  <c r="AN95" i="2"/>
  <c r="AF95" i="2"/>
  <c r="E16" i="9"/>
  <c r="F16" i="9" s="1"/>
  <c r="I13" i="9"/>
  <c r="J13" i="9" s="1"/>
  <c r="I16" i="9"/>
  <c r="J16" i="9" s="1"/>
  <c r="I20" i="9"/>
  <c r="J20" i="9" s="1"/>
  <c r="I24" i="9"/>
  <c r="J24" i="9" s="1"/>
  <c r="G11" i="9"/>
  <c r="H11" i="9" s="1"/>
  <c r="G15" i="9"/>
  <c r="H15" i="9" s="1"/>
  <c r="G19" i="9"/>
  <c r="H19" i="9" s="1"/>
  <c r="G26" i="9"/>
  <c r="H26" i="9" s="1"/>
  <c r="E22" i="9"/>
  <c r="F22" i="9" s="1"/>
  <c r="E21" i="9"/>
  <c r="F21" i="9" s="1"/>
  <c r="E20" i="9"/>
  <c r="F20" i="9" s="1"/>
  <c r="E12" i="9"/>
  <c r="F12" i="9" s="1"/>
  <c r="E10" i="9"/>
  <c r="F10" i="9" s="1"/>
  <c r="J66" i="3"/>
  <c r="M66" i="3"/>
  <c r="M67" i="3" s="1"/>
  <c r="J85" i="3"/>
  <c r="M85" i="3"/>
  <c r="AE43" i="11" l="1"/>
  <c r="P21" i="9"/>
  <c r="Q21" i="9" s="1"/>
  <c r="M43" i="11"/>
  <c r="P12" i="9"/>
  <c r="Q12" i="9" s="1"/>
  <c r="Q43" i="11"/>
  <c r="P14" i="9"/>
  <c r="Q14" i="9" s="1"/>
  <c r="F13" i="13"/>
  <c r="G13" i="13" s="1"/>
  <c r="H13" i="13" s="1"/>
  <c r="G12" i="13"/>
  <c r="H12" i="13" s="1"/>
  <c r="J21" i="12"/>
  <c r="H23" i="12"/>
  <c r="F20" i="12"/>
  <c r="F21" i="12"/>
  <c r="I19" i="12"/>
  <c r="G21" i="12"/>
  <c r="G48" i="12"/>
  <c r="I46" i="12"/>
  <c r="J48" i="12"/>
  <c r="H50" i="12"/>
  <c r="E84" i="3"/>
  <c r="E80" i="3"/>
  <c r="E81" i="3" s="1"/>
  <c r="E82" i="3" s="1"/>
  <c r="E91" i="3"/>
  <c r="J117" i="3"/>
  <c r="J118" i="3" s="1"/>
  <c r="F90" i="3"/>
  <c r="H90" i="3"/>
  <c r="I90" i="3"/>
  <c r="G90" i="3"/>
  <c r="G109" i="3"/>
  <c r="J67" i="3"/>
  <c r="E107" i="3"/>
  <c r="E57" i="3"/>
  <c r="G57" i="3"/>
  <c r="H57" i="3"/>
  <c r="I57" i="3"/>
  <c r="K57" i="3"/>
  <c r="J57" i="3"/>
  <c r="E85" i="3"/>
  <c r="I21" i="12" l="1"/>
  <c r="G23" i="12"/>
  <c r="J23" i="12"/>
  <c r="H25" i="12"/>
  <c r="F22" i="12"/>
  <c r="F23" i="12"/>
  <c r="G50" i="12"/>
  <c r="I48" i="12"/>
  <c r="J50" i="12"/>
  <c r="AS50" i="11"/>
  <c r="AS53" i="11" s="1"/>
  <c r="N9" i="9"/>
  <c r="O9" i="9" s="1"/>
  <c r="E94" i="3"/>
  <c r="E95" i="3"/>
  <c r="E92" i="3"/>
  <c r="E93" i="3" s="1"/>
  <c r="K16" i="3"/>
  <c r="L17" i="3" s="1"/>
  <c r="L76" i="3" s="1"/>
  <c r="M50" i="3"/>
  <c r="L50" i="3"/>
  <c r="J65" i="3"/>
  <c r="M16" i="3"/>
  <c r="K17" i="3" s="1"/>
  <c r="K76" i="3" s="1"/>
  <c r="L16" i="3"/>
  <c r="M60" i="3"/>
  <c r="M61" i="3" s="1"/>
  <c r="L60" i="3"/>
  <c r="L61" i="3" s="1"/>
  <c r="K60" i="3"/>
  <c r="K61" i="3" s="1"/>
  <c r="J60" i="3"/>
  <c r="J61" i="3" s="1"/>
  <c r="M59" i="3"/>
  <c r="L59" i="3"/>
  <c r="K59" i="3"/>
  <c r="J59" i="3"/>
  <c r="J49" i="3"/>
  <c r="M48" i="3"/>
  <c r="L48" i="3"/>
  <c r="J56" i="3"/>
  <c r="K48" i="3"/>
  <c r="K50" i="3"/>
  <c r="J48" i="3"/>
  <c r="J50" i="3"/>
  <c r="I56" i="3"/>
  <c r="H56" i="3"/>
  <c r="G56" i="3"/>
  <c r="E56" i="3"/>
  <c r="E50" i="3"/>
  <c r="F49" i="3"/>
  <c r="F58" i="3" s="1"/>
  <c r="F50" i="3"/>
  <c r="I63" i="3"/>
  <c r="G56" i="2" s="1"/>
  <c r="F15" i="11" s="1"/>
  <c r="H63" i="3"/>
  <c r="G63" i="3"/>
  <c r="J63" i="3"/>
  <c r="E59" i="3"/>
  <c r="E60" i="3"/>
  <c r="E62" i="3" s="1"/>
  <c r="E63" i="3"/>
  <c r="I16" i="3"/>
  <c r="G17" i="3" s="1"/>
  <c r="G76" i="3" s="1"/>
  <c r="H16" i="3"/>
  <c r="F17" i="3" s="1"/>
  <c r="F76" i="3" s="1"/>
  <c r="I48" i="3"/>
  <c r="I50" i="3"/>
  <c r="G48" i="3"/>
  <c r="G50" i="3"/>
  <c r="H50" i="3"/>
  <c r="H48" i="3"/>
  <c r="G59" i="3"/>
  <c r="G60" i="3"/>
  <c r="G62" i="3" s="1"/>
  <c r="K63" i="3"/>
  <c r="L62" i="3"/>
  <c r="L63" i="3"/>
  <c r="M63" i="3"/>
  <c r="H59" i="3"/>
  <c r="H60" i="3"/>
  <c r="H62" i="3" s="1"/>
  <c r="I59" i="3"/>
  <c r="I60" i="3"/>
  <c r="I61" i="3" s="1"/>
  <c r="F68" i="3"/>
  <c r="J68" i="3"/>
  <c r="E57" i="2"/>
  <c r="F107" i="3"/>
  <c r="F103" i="3"/>
  <c r="F104" i="3"/>
  <c r="F66" i="2"/>
  <c r="F65" i="2"/>
  <c r="G63" i="2"/>
  <c r="G64" i="2" s="1"/>
  <c r="G66" i="2"/>
  <c r="G65" i="2"/>
  <c r="CL112" i="3"/>
  <c r="F110" i="3"/>
  <c r="E68" i="2"/>
  <c r="AS68" i="2"/>
  <c r="AR68" i="2"/>
  <c r="AQ68" i="2"/>
  <c r="AP68" i="2"/>
  <c r="AO68" i="2"/>
  <c r="AN68" i="2"/>
  <c r="AM68" i="2"/>
  <c r="AL68" i="2"/>
  <c r="AK68" i="2"/>
  <c r="AJ68" i="2"/>
  <c r="AI68" i="2"/>
  <c r="AH68" i="2"/>
  <c r="AG68" i="2"/>
  <c r="AF68" i="2"/>
  <c r="AE68" i="2"/>
  <c r="AD68" i="2"/>
  <c r="AC68" i="2"/>
  <c r="AB68" i="2"/>
  <c r="AA68" i="2"/>
  <c r="Z68" i="2"/>
  <c r="Y68" i="2"/>
  <c r="X68" i="2"/>
  <c r="W68" i="2"/>
  <c r="V68" i="2"/>
  <c r="U68" i="2"/>
  <c r="T68" i="2"/>
  <c r="S68" i="2"/>
  <c r="R68" i="2"/>
  <c r="Q68" i="2"/>
  <c r="P68" i="2"/>
  <c r="O68" i="2"/>
  <c r="N68" i="2"/>
  <c r="M68" i="2"/>
  <c r="L68" i="2"/>
  <c r="K68" i="2"/>
  <c r="J68" i="2"/>
  <c r="I68" i="2"/>
  <c r="H68" i="2"/>
  <c r="G68" i="2"/>
  <c r="F68" i="2"/>
  <c r="F77" i="2"/>
  <c r="F78" i="2" s="1"/>
  <c r="F83" i="2"/>
  <c r="F79" i="2"/>
  <c r="F81" i="2"/>
  <c r="F80" i="2"/>
  <c r="G77" i="2"/>
  <c r="G78" i="2" s="1"/>
  <c r="G83" i="2"/>
  <c r="G79" i="2"/>
  <c r="G81" i="2"/>
  <c r="G80" i="2"/>
  <c r="AS63" i="2"/>
  <c r="AS64" i="2" s="1"/>
  <c r="AR63" i="2"/>
  <c r="AR64" i="2" s="1"/>
  <c r="AQ63" i="2"/>
  <c r="AQ64" i="2" s="1"/>
  <c r="AP63" i="2"/>
  <c r="AP64" i="2" s="1"/>
  <c r="AO63" i="2"/>
  <c r="AO64" i="2" s="1"/>
  <c r="AN63" i="2"/>
  <c r="AN64" i="2" s="1"/>
  <c r="AM63" i="2"/>
  <c r="AM64" i="2" s="1"/>
  <c r="AL63" i="2"/>
  <c r="AL64" i="2" s="1"/>
  <c r="AK63" i="2"/>
  <c r="AK64" i="2" s="1"/>
  <c r="AJ63" i="2"/>
  <c r="AJ64" i="2" s="1"/>
  <c r="AI63" i="2"/>
  <c r="AI64" i="2" s="1"/>
  <c r="AH63" i="2"/>
  <c r="AH64" i="2" s="1"/>
  <c r="AG63" i="2"/>
  <c r="AG64" i="2" s="1"/>
  <c r="AF63" i="2"/>
  <c r="AF64" i="2" s="1"/>
  <c r="AE63" i="2"/>
  <c r="AE64" i="2" s="1"/>
  <c r="AD63" i="2"/>
  <c r="AD64" i="2" s="1"/>
  <c r="AC63" i="2"/>
  <c r="AC64" i="2" s="1"/>
  <c r="AB63" i="2"/>
  <c r="AB64" i="2" s="1"/>
  <c r="AA63" i="2"/>
  <c r="AA64" i="2" s="1"/>
  <c r="Z63" i="2"/>
  <c r="Z64" i="2" s="1"/>
  <c r="Y63" i="2"/>
  <c r="Y64" i="2" s="1"/>
  <c r="X63" i="2"/>
  <c r="X64" i="2" s="1"/>
  <c r="W63" i="2"/>
  <c r="W64" i="2" s="1"/>
  <c r="V63" i="2"/>
  <c r="V64" i="2" s="1"/>
  <c r="U63" i="2"/>
  <c r="U64" i="2" s="1"/>
  <c r="T63" i="2"/>
  <c r="T64" i="2" s="1"/>
  <c r="S63" i="2"/>
  <c r="S64" i="2" s="1"/>
  <c r="R63" i="2"/>
  <c r="R64" i="2" s="1"/>
  <c r="Q63" i="2"/>
  <c r="Q64" i="2" s="1"/>
  <c r="P63" i="2"/>
  <c r="P64" i="2" s="1"/>
  <c r="O63" i="2"/>
  <c r="O64" i="2" s="1"/>
  <c r="N63" i="2"/>
  <c r="N64" i="2" s="1"/>
  <c r="M63" i="2"/>
  <c r="M64" i="2" s="1"/>
  <c r="L63" i="2"/>
  <c r="L64" i="2" s="1"/>
  <c r="K64" i="2"/>
  <c r="J64" i="2"/>
  <c r="I64" i="2"/>
  <c r="H64" i="2"/>
  <c r="F63" i="2"/>
  <c r="F64" i="2" s="1"/>
  <c r="E63" i="2"/>
  <c r="E64" i="2" s="1"/>
  <c r="E103" i="3"/>
  <c r="E104" i="3"/>
  <c r="H57" i="2"/>
  <c r="I57" i="2"/>
  <c r="J57" i="2"/>
  <c r="K57" i="2"/>
  <c r="L57" i="2"/>
  <c r="M57" i="2"/>
  <c r="N57" i="2"/>
  <c r="O57" i="2"/>
  <c r="P57" i="2"/>
  <c r="Q57" i="2"/>
  <c r="R57" i="2"/>
  <c r="S57" i="2"/>
  <c r="T57" i="2"/>
  <c r="U57" i="2"/>
  <c r="V57" i="2"/>
  <c r="W57" i="2"/>
  <c r="X57" i="2"/>
  <c r="Y57" i="2"/>
  <c r="Z57" i="2"/>
  <c r="AA57" i="2"/>
  <c r="AB57" i="2"/>
  <c r="AC57" i="2"/>
  <c r="AD57" i="2"/>
  <c r="AE57" i="2"/>
  <c r="AF57" i="2"/>
  <c r="AG57" i="2"/>
  <c r="AH57" i="2"/>
  <c r="AI57" i="2"/>
  <c r="AJ57" i="2"/>
  <c r="AK57" i="2"/>
  <c r="AL57" i="2"/>
  <c r="AM57" i="2"/>
  <c r="AN57" i="2"/>
  <c r="AO57" i="2"/>
  <c r="AP57" i="2"/>
  <c r="AQ57" i="2"/>
  <c r="AR57" i="2"/>
  <c r="AS57" i="2"/>
  <c r="E77" i="2"/>
  <c r="E78" i="2" s="1"/>
  <c r="E83" i="2"/>
  <c r="E79" i="2"/>
  <c r="E81" i="2"/>
  <c r="E80" i="2"/>
  <c r="E86" i="2"/>
  <c r="E87" i="2" s="1"/>
  <c r="E66" i="2"/>
  <c r="E65" i="2"/>
  <c r="E60" i="2"/>
  <c r="E74" i="2"/>
  <c r="E75" i="2" s="1"/>
  <c r="AP69" i="2"/>
  <c r="AP70" i="2" s="1"/>
  <c r="AN71" i="2"/>
  <c r="AH71" i="2"/>
  <c r="AB71" i="2"/>
  <c r="AB69" i="2"/>
  <c r="AB70" i="2" s="1"/>
  <c r="V71" i="2"/>
  <c r="V69" i="2"/>
  <c r="V70" i="2" s="1"/>
  <c r="G60" i="2"/>
  <c r="H77" i="2"/>
  <c r="H78" i="2" s="1"/>
  <c r="H83" i="2"/>
  <c r="H79" i="2"/>
  <c r="H81" i="2"/>
  <c r="H80" i="2"/>
  <c r="H86" i="2"/>
  <c r="H87" i="2" s="1"/>
  <c r="I86" i="2"/>
  <c r="I87" i="2" s="1"/>
  <c r="H66" i="2"/>
  <c r="H65" i="2"/>
  <c r="H60" i="2"/>
  <c r="H74" i="2"/>
  <c r="H75" i="2" s="1"/>
  <c r="I74" i="2"/>
  <c r="I75" i="2" s="1"/>
  <c r="AR86" i="2"/>
  <c r="AR87" i="2" s="1"/>
  <c r="AS86" i="2"/>
  <c r="AS87" i="2" s="1"/>
  <c r="AP86" i="2"/>
  <c r="AP87" i="2" s="1"/>
  <c r="AQ86" i="2"/>
  <c r="AQ87" i="2" s="1"/>
  <c r="AN86" i="2"/>
  <c r="AN87" i="2" s="1"/>
  <c r="AO86" i="2"/>
  <c r="AO87" i="2" s="1"/>
  <c r="AL86" i="2"/>
  <c r="AL87" i="2" s="1"/>
  <c r="AM86" i="2"/>
  <c r="AM87" i="2" s="1"/>
  <c r="AJ86" i="2"/>
  <c r="AJ87" i="2" s="1"/>
  <c r="AK86" i="2"/>
  <c r="AK87" i="2" s="1"/>
  <c r="AH86" i="2"/>
  <c r="AH87" i="2" s="1"/>
  <c r="AI86" i="2"/>
  <c r="AI87" i="2" s="1"/>
  <c r="AF86" i="2"/>
  <c r="AF87" i="2" s="1"/>
  <c r="AG86" i="2"/>
  <c r="AG87" i="2" s="1"/>
  <c r="AD86" i="2"/>
  <c r="AD87" i="2" s="1"/>
  <c r="AE86" i="2"/>
  <c r="AE87" i="2" s="1"/>
  <c r="AB86" i="2"/>
  <c r="AB87" i="2" s="1"/>
  <c r="AC86" i="2"/>
  <c r="AC87" i="2" s="1"/>
  <c r="Z86" i="2"/>
  <c r="Z87" i="2" s="1"/>
  <c r="AA86" i="2"/>
  <c r="AA87" i="2" s="1"/>
  <c r="X86" i="2"/>
  <c r="X87" i="2" s="1"/>
  <c r="Y86" i="2"/>
  <c r="Y87" i="2" s="1"/>
  <c r="V86" i="2"/>
  <c r="V87" i="2" s="1"/>
  <c r="W86" i="2"/>
  <c r="W87" i="2" s="1"/>
  <c r="T86" i="2"/>
  <c r="T87" i="2" s="1"/>
  <c r="U86" i="2"/>
  <c r="U87" i="2" s="1"/>
  <c r="R86" i="2"/>
  <c r="R87" i="2" s="1"/>
  <c r="S86" i="2"/>
  <c r="S87" i="2" s="1"/>
  <c r="P86" i="2"/>
  <c r="P87" i="2" s="1"/>
  <c r="Q86" i="2"/>
  <c r="Q87" i="2" s="1"/>
  <c r="N86" i="2"/>
  <c r="N87" i="2" s="1"/>
  <c r="O86" i="2"/>
  <c r="O87" i="2" s="1"/>
  <c r="L86" i="2"/>
  <c r="L87" i="2" s="1"/>
  <c r="M86" i="2"/>
  <c r="M87" i="2" s="1"/>
  <c r="J86" i="2"/>
  <c r="J87" i="2" s="1"/>
  <c r="K86" i="2"/>
  <c r="K87" i="2" s="1"/>
  <c r="AR74" i="2"/>
  <c r="AR75" i="2" s="1"/>
  <c r="AS74" i="2"/>
  <c r="AS75" i="2" s="1"/>
  <c r="AP74" i="2"/>
  <c r="AP75" i="2" s="1"/>
  <c r="AQ74" i="2"/>
  <c r="AQ75" i="2" s="1"/>
  <c r="AN74" i="2"/>
  <c r="AN75" i="2" s="1"/>
  <c r="AO74" i="2"/>
  <c r="AO75" i="2" s="1"/>
  <c r="AL74" i="2"/>
  <c r="AL75" i="2" s="1"/>
  <c r="AM74" i="2"/>
  <c r="AM75" i="2" s="1"/>
  <c r="AJ74" i="2"/>
  <c r="AJ75" i="2" s="1"/>
  <c r="AK74" i="2"/>
  <c r="AK75" i="2" s="1"/>
  <c r="AH74" i="2"/>
  <c r="AH75" i="2" s="1"/>
  <c r="AI74" i="2"/>
  <c r="AI75" i="2" s="1"/>
  <c r="AF74" i="2"/>
  <c r="AF75" i="2" s="1"/>
  <c r="AG74" i="2"/>
  <c r="AG75" i="2" s="1"/>
  <c r="AD74" i="2"/>
  <c r="AD75" i="2" s="1"/>
  <c r="AE74" i="2"/>
  <c r="AE75" i="2" s="1"/>
  <c r="AB74" i="2"/>
  <c r="AB75" i="2" s="1"/>
  <c r="AC74" i="2"/>
  <c r="AC75" i="2" s="1"/>
  <c r="Z74" i="2"/>
  <c r="Z75" i="2" s="1"/>
  <c r="AA74" i="2"/>
  <c r="AA75" i="2" s="1"/>
  <c r="X74" i="2"/>
  <c r="X75" i="2" s="1"/>
  <c r="Y74" i="2"/>
  <c r="Y75" i="2" s="1"/>
  <c r="V74" i="2"/>
  <c r="V75" i="2" s="1"/>
  <c r="W74" i="2"/>
  <c r="W75" i="2" s="1"/>
  <c r="T74" i="2"/>
  <c r="T75" i="2" s="1"/>
  <c r="U74" i="2"/>
  <c r="U75" i="2" s="1"/>
  <c r="R74" i="2"/>
  <c r="R75" i="2" s="1"/>
  <c r="S74" i="2"/>
  <c r="S75" i="2" s="1"/>
  <c r="P74" i="2"/>
  <c r="P75" i="2" s="1"/>
  <c r="Q74" i="2"/>
  <c r="Q75" i="2" s="1"/>
  <c r="N74" i="2"/>
  <c r="N75" i="2" s="1"/>
  <c r="O74" i="2"/>
  <c r="O75" i="2" s="1"/>
  <c r="L74" i="2"/>
  <c r="L75" i="2" s="1"/>
  <c r="M74" i="2"/>
  <c r="M75" i="2" s="1"/>
  <c r="J74" i="2"/>
  <c r="J75" i="2" s="1"/>
  <c r="K74" i="2"/>
  <c r="K75" i="2" s="1"/>
  <c r="AS77" i="2"/>
  <c r="AS78" i="2" s="1"/>
  <c r="AS83" i="2"/>
  <c r="AS79" i="2"/>
  <c r="AS81" i="2"/>
  <c r="AS80" i="2"/>
  <c r="AR77" i="2"/>
  <c r="AR78" i="2" s="1"/>
  <c r="AR83" i="2"/>
  <c r="AR79" i="2"/>
  <c r="AR81" i="2"/>
  <c r="AR80" i="2"/>
  <c r="AQ77" i="2"/>
  <c r="AQ78" i="2" s="1"/>
  <c r="AQ83" i="2"/>
  <c r="AQ79" i="2"/>
  <c r="AQ81" i="2"/>
  <c r="AQ80" i="2"/>
  <c r="AP77" i="2"/>
  <c r="AP78" i="2" s="1"/>
  <c r="AP83" i="2"/>
  <c r="AP79" i="2"/>
  <c r="AP81" i="2"/>
  <c r="AP80" i="2"/>
  <c r="AO77" i="2"/>
  <c r="AO78" i="2" s="1"/>
  <c r="AO83" i="2"/>
  <c r="AO79" i="2"/>
  <c r="AO81" i="2"/>
  <c r="AO80" i="2"/>
  <c r="AN77" i="2"/>
  <c r="AN78" i="2" s="1"/>
  <c r="AN83" i="2"/>
  <c r="AN79" i="2"/>
  <c r="AN81" i="2"/>
  <c r="AN80" i="2"/>
  <c r="AM77" i="2"/>
  <c r="AM78" i="2" s="1"/>
  <c r="AM83" i="2"/>
  <c r="AM79" i="2"/>
  <c r="AM81" i="2"/>
  <c r="AM80" i="2"/>
  <c r="AL77" i="2"/>
  <c r="AL78" i="2" s="1"/>
  <c r="AL83" i="2"/>
  <c r="AL79" i="2"/>
  <c r="AL81" i="2"/>
  <c r="AL80" i="2"/>
  <c r="AK77" i="2"/>
  <c r="AK78" i="2" s="1"/>
  <c r="AK83" i="2"/>
  <c r="AK79" i="2"/>
  <c r="AK81" i="2"/>
  <c r="AK80" i="2"/>
  <c r="AJ77" i="2"/>
  <c r="AJ78" i="2" s="1"/>
  <c r="AJ83" i="2"/>
  <c r="AJ79" i="2"/>
  <c r="AJ81" i="2"/>
  <c r="AJ80" i="2"/>
  <c r="AI77" i="2"/>
  <c r="AI78" i="2" s="1"/>
  <c r="AI83" i="2"/>
  <c r="AI79" i="2"/>
  <c r="AI81" i="2"/>
  <c r="AI80" i="2"/>
  <c r="AH77" i="2"/>
  <c r="AH78" i="2" s="1"/>
  <c r="AH83" i="2"/>
  <c r="AH79" i="2"/>
  <c r="AH81" i="2"/>
  <c r="AH80" i="2"/>
  <c r="AG77" i="2"/>
  <c r="AG78" i="2" s="1"/>
  <c r="AG83" i="2"/>
  <c r="AG79" i="2"/>
  <c r="AG81" i="2"/>
  <c r="AG80" i="2"/>
  <c r="AF77" i="2"/>
  <c r="AF78" i="2" s="1"/>
  <c r="AF83" i="2"/>
  <c r="AF79" i="2"/>
  <c r="AF81" i="2"/>
  <c r="AF80" i="2"/>
  <c r="AE77" i="2"/>
  <c r="AE78" i="2" s="1"/>
  <c r="AE83" i="2"/>
  <c r="AE79" i="2"/>
  <c r="AE81" i="2"/>
  <c r="AE80" i="2"/>
  <c r="AD77" i="2"/>
  <c r="AD78" i="2" s="1"/>
  <c r="AD83" i="2"/>
  <c r="AD79" i="2"/>
  <c r="AD81" i="2"/>
  <c r="AD80" i="2"/>
  <c r="AC77" i="2"/>
  <c r="AC78" i="2" s="1"/>
  <c r="AC83" i="2"/>
  <c r="AC79" i="2"/>
  <c r="AC81" i="2"/>
  <c r="AC80" i="2"/>
  <c r="AB77" i="2"/>
  <c r="AB78" i="2" s="1"/>
  <c r="AB83" i="2"/>
  <c r="AB79" i="2"/>
  <c r="AB81" i="2"/>
  <c r="AB80" i="2"/>
  <c r="AA77" i="2"/>
  <c r="AA78" i="2" s="1"/>
  <c r="AA83" i="2"/>
  <c r="AA79" i="2"/>
  <c r="AA81" i="2"/>
  <c r="AA80" i="2"/>
  <c r="Z77" i="2"/>
  <c r="Z78" i="2" s="1"/>
  <c r="Z83" i="2"/>
  <c r="Z79" i="2"/>
  <c r="Z81" i="2"/>
  <c r="Z80" i="2"/>
  <c r="Y77" i="2"/>
  <c r="Y78" i="2" s="1"/>
  <c r="Y83" i="2"/>
  <c r="Y79" i="2"/>
  <c r="Y81" i="2"/>
  <c r="Y80" i="2"/>
  <c r="X77" i="2"/>
  <c r="X78" i="2" s="1"/>
  <c r="X83" i="2"/>
  <c r="X79" i="2"/>
  <c r="X81" i="2"/>
  <c r="X80" i="2"/>
  <c r="W77" i="2"/>
  <c r="W78" i="2" s="1"/>
  <c r="W83" i="2"/>
  <c r="W79" i="2"/>
  <c r="W81" i="2"/>
  <c r="W80" i="2"/>
  <c r="V77" i="2"/>
  <c r="V78" i="2" s="1"/>
  <c r="V83" i="2"/>
  <c r="V79" i="2"/>
  <c r="V81" i="2"/>
  <c r="V80" i="2"/>
  <c r="U77" i="2"/>
  <c r="U78" i="2" s="1"/>
  <c r="U83" i="2"/>
  <c r="U79" i="2"/>
  <c r="U81" i="2"/>
  <c r="U80" i="2"/>
  <c r="T77" i="2"/>
  <c r="T78" i="2" s="1"/>
  <c r="T83" i="2"/>
  <c r="T79" i="2"/>
  <c r="T81" i="2"/>
  <c r="T80" i="2"/>
  <c r="S77" i="2"/>
  <c r="S78" i="2" s="1"/>
  <c r="S83" i="2"/>
  <c r="S79" i="2"/>
  <c r="S81" i="2"/>
  <c r="S80" i="2"/>
  <c r="R77" i="2"/>
  <c r="R78" i="2" s="1"/>
  <c r="R83" i="2"/>
  <c r="R79" i="2"/>
  <c r="R81" i="2"/>
  <c r="R80" i="2"/>
  <c r="Q77" i="2"/>
  <c r="Q78" i="2" s="1"/>
  <c r="Q83" i="2"/>
  <c r="Q79" i="2"/>
  <c r="Q81" i="2"/>
  <c r="Q80" i="2"/>
  <c r="P77" i="2"/>
  <c r="P78" i="2" s="1"/>
  <c r="P83" i="2"/>
  <c r="P79" i="2"/>
  <c r="P81" i="2"/>
  <c r="P80" i="2"/>
  <c r="O77" i="2"/>
  <c r="O78" i="2" s="1"/>
  <c r="O83" i="2"/>
  <c r="O79" i="2"/>
  <c r="O81" i="2"/>
  <c r="O80" i="2"/>
  <c r="N77" i="2"/>
  <c r="N78" i="2" s="1"/>
  <c r="N83" i="2"/>
  <c r="N79" i="2"/>
  <c r="N81" i="2"/>
  <c r="N80" i="2"/>
  <c r="M77" i="2"/>
  <c r="M78" i="2" s="1"/>
  <c r="M83" i="2"/>
  <c r="M79" i="2"/>
  <c r="M81" i="2"/>
  <c r="M80" i="2"/>
  <c r="L77" i="2"/>
  <c r="L78" i="2" s="1"/>
  <c r="L83" i="2"/>
  <c r="L79" i="2"/>
  <c r="L81" i="2"/>
  <c r="L80" i="2"/>
  <c r="K77" i="2"/>
  <c r="K78" i="2" s="1"/>
  <c r="K83" i="2"/>
  <c r="K79" i="2"/>
  <c r="K81" i="2"/>
  <c r="K80" i="2"/>
  <c r="J77" i="2"/>
  <c r="J78" i="2" s="1"/>
  <c r="J83" i="2"/>
  <c r="J79" i="2"/>
  <c r="J81" i="2"/>
  <c r="J80" i="2"/>
  <c r="I77" i="2"/>
  <c r="I78" i="2" s="1"/>
  <c r="I83" i="2"/>
  <c r="I79" i="2"/>
  <c r="I81" i="2"/>
  <c r="I80" i="2"/>
  <c r="AS66" i="2"/>
  <c r="AS65" i="2"/>
  <c r="AS60" i="2"/>
  <c r="AR66" i="2"/>
  <c r="AR65" i="2"/>
  <c r="AR60" i="2"/>
  <c r="AQ66" i="2"/>
  <c r="AQ65" i="2"/>
  <c r="AQ60" i="2"/>
  <c r="AP66" i="2"/>
  <c r="AP65" i="2"/>
  <c r="AP60" i="2"/>
  <c r="AO66" i="2"/>
  <c r="AO65" i="2"/>
  <c r="AO60" i="2"/>
  <c r="AN66" i="2"/>
  <c r="AN65" i="2"/>
  <c r="AN60" i="2"/>
  <c r="AM66" i="2"/>
  <c r="AM65" i="2"/>
  <c r="AM60" i="2"/>
  <c r="AL66" i="2"/>
  <c r="AL65" i="2"/>
  <c r="AL60" i="2"/>
  <c r="AK66" i="2"/>
  <c r="AK65" i="2"/>
  <c r="AK60" i="2"/>
  <c r="AJ66" i="2"/>
  <c r="AJ65" i="2"/>
  <c r="AJ60" i="2"/>
  <c r="AI66" i="2"/>
  <c r="AI65" i="2"/>
  <c r="AI60" i="2"/>
  <c r="AH66" i="2"/>
  <c r="AH65" i="2"/>
  <c r="AH60" i="2"/>
  <c r="AG66" i="2"/>
  <c r="AG65" i="2"/>
  <c r="AG60" i="2"/>
  <c r="AF66" i="2"/>
  <c r="AF65" i="2"/>
  <c r="AF60" i="2"/>
  <c r="AE66" i="2"/>
  <c r="AE65" i="2"/>
  <c r="AE60" i="2"/>
  <c r="AD66" i="2"/>
  <c r="AD65" i="2"/>
  <c r="AD60" i="2"/>
  <c r="AC66" i="2"/>
  <c r="AC65" i="2"/>
  <c r="AC60" i="2"/>
  <c r="AB66" i="2"/>
  <c r="AB65" i="2"/>
  <c r="AB60" i="2"/>
  <c r="AA66" i="2"/>
  <c r="AA65" i="2"/>
  <c r="AA60" i="2"/>
  <c r="Z66" i="2"/>
  <c r="Z65" i="2"/>
  <c r="Z60" i="2"/>
  <c r="Y66" i="2"/>
  <c r="Y65" i="2"/>
  <c r="Y60" i="2"/>
  <c r="X66" i="2"/>
  <c r="X65" i="2"/>
  <c r="X60" i="2"/>
  <c r="W66" i="2"/>
  <c r="W65" i="2"/>
  <c r="W60" i="2"/>
  <c r="V66" i="2"/>
  <c r="V65" i="2"/>
  <c r="V60" i="2"/>
  <c r="U66" i="2"/>
  <c r="U65" i="2"/>
  <c r="U60" i="2"/>
  <c r="T66" i="2"/>
  <c r="T65" i="2"/>
  <c r="T60" i="2"/>
  <c r="S66" i="2"/>
  <c r="S65" i="2"/>
  <c r="S60" i="2"/>
  <c r="R66" i="2"/>
  <c r="R65" i="2"/>
  <c r="R60" i="2"/>
  <c r="Q66" i="2"/>
  <c r="Q65" i="2"/>
  <c r="Q60" i="2"/>
  <c r="P66" i="2"/>
  <c r="P65" i="2"/>
  <c r="P60" i="2"/>
  <c r="O66" i="2"/>
  <c r="O65" i="2"/>
  <c r="O60" i="2"/>
  <c r="N66" i="2"/>
  <c r="N65" i="2"/>
  <c r="N60" i="2"/>
  <c r="M66" i="2"/>
  <c r="M65" i="2"/>
  <c r="M60" i="2"/>
  <c r="L66" i="2"/>
  <c r="L65" i="2"/>
  <c r="L60" i="2"/>
  <c r="K66" i="2"/>
  <c r="K65" i="2"/>
  <c r="K60" i="2"/>
  <c r="J66" i="2"/>
  <c r="J65" i="2"/>
  <c r="J60" i="2"/>
  <c r="I66" i="2"/>
  <c r="I65" i="2"/>
  <c r="I60" i="2"/>
  <c r="F60" i="2"/>
  <c r="J112" i="3"/>
  <c r="F112" i="3"/>
  <c r="AT89" i="2"/>
  <c r="AL89" i="2"/>
  <c r="AN89" i="2"/>
  <c r="AP89" i="2"/>
  <c r="AR89" i="2"/>
  <c r="AF89" i="2"/>
  <c r="AH89" i="2"/>
  <c r="AJ89" i="2"/>
  <c r="X89" i="2"/>
  <c r="Z89" i="2"/>
  <c r="AB89" i="2"/>
  <c r="AD89" i="2"/>
  <c r="T89" i="2"/>
  <c r="V89" i="2"/>
  <c r="L89" i="2"/>
  <c r="N89" i="2"/>
  <c r="P89" i="2"/>
  <c r="R89" i="2"/>
  <c r="H89" i="2"/>
  <c r="J89" i="2"/>
  <c r="F89" i="2"/>
  <c r="F20" i="11"/>
  <c r="E96" i="3"/>
  <c r="F14" i="13" l="1"/>
  <c r="G14" i="13" s="1"/>
  <c r="H14" i="13" s="1"/>
  <c r="H27" i="12"/>
  <c r="J25" i="12"/>
  <c r="F24" i="12"/>
  <c r="F25" i="12"/>
  <c r="I23" i="12"/>
  <c r="G25" i="12"/>
  <c r="I50" i="12"/>
  <c r="J95" i="3"/>
  <c r="J82" i="3"/>
  <c r="J94" i="3"/>
  <c r="J91" i="3"/>
  <c r="J92" i="3" s="1"/>
  <c r="J93" i="3" s="1"/>
  <c r="J89" i="3"/>
  <c r="M62" i="3"/>
  <c r="F78" i="3"/>
  <c r="F80" i="3"/>
  <c r="F81" i="3" s="1"/>
  <c r="F82" i="3" s="1"/>
  <c r="F84" i="3"/>
  <c r="F91" i="3"/>
  <c r="L83" i="3"/>
  <c r="L80" i="3"/>
  <c r="L81" i="3" s="1"/>
  <c r="L84" i="3"/>
  <c r="L78" i="3"/>
  <c r="K78" i="3"/>
  <c r="K83" i="3"/>
  <c r="K80" i="3"/>
  <c r="K81" i="3" s="1"/>
  <c r="K84" i="3"/>
  <c r="F83" i="3"/>
  <c r="H52" i="2"/>
  <c r="H53" i="2"/>
  <c r="L52" i="2"/>
  <c r="L53" i="2"/>
  <c r="P52" i="2"/>
  <c r="P53" i="2"/>
  <c r="T52" i="2"/>
  <c r="T53" i="2"/>
  <c r="X52" i="2"/>
  <c r="X53" i="2"/>
  <c r="AB52" i="2"/>
  <c r="AB53" i="2"/>
  <c r="AF52" i="2"/>
  <c r="AF53" i="2"/>
  <c r="AJ52" i="2"/>
  <c r="AJ53" i="2"/>
  <c r="AN52" i="2"/>
  <c r="AN53" i="2"/>
  <c r="AR52" i="2"/>
  <c r="AR53" i="2"/>
  <c r="O52" i="2"/>
  <c r="O53" i="2"/>
  <c r="I69" i="2"/>
  <c r="I70" i="2" s="1"/>
  <c r="I52" i="2"/>
  <c r="I54" i="2" s="1"/>
  <c r="I53" i="2"/>
  <c r="M53" i="2"/>
  <c r="M52" i="2"/>
  <c r="M54" i="2" s="1"/>
  <c r="Q52" i="2"/>
  <c r="Q54" i="2" s="1"/>
  <c r="Q53" i="2"/>
  <c r="U71" i="2"/>
  <c r="U53" i="2"/>
  <c r="U52" i="2"/>
  <c r="U54" i="2" s="1"/>
  <c r="Y52" i="2"/>
  <c r="Y53" i="2"/>
  <c r="AC53" i="2"/>
  <c r="AC52" i="2"/>
  <c r="AC54" i="2" s="1"/>
  <c r="AG53" i="2"/>
  <c r="AG52" i="2"/>
  <c r="AK52" i="2"/>
  <c r="AK53" i="2"/>
  <c r="AO53" i="2"/>
  <c r="AO52" i="2"/>
  <c r="AO54" i="2" s="1"/>
  <c r="AS53" i="2"/>
  <c r="AS52" i="2"/>
  <c r="AS54" i="2" s="1"/>
  <c r="G69" i="2"/>
  <c r="G70" i="2" s="1"/>
  <c r="G52" i="2"/>
  <c r="G53" i="2"/>
  <c r="K52" i="2"/>
  <c r="K54" i="2" s="1"/>
  <c r="K53" i="2"/>
  <c r="S52" i="2"/>
  <c r="S53" i="2"/>
  <c r="W52" i="2"/>
  <c r="W54" i="2" s="1"/>
  <c r="W53" i="2"/>
  <c r="AA52" i="2"/>
  <c r="AA53" i="2"/>
  <c r="AE52" i="2"/>
  <c r="AE54" i="2" s="1"/>
  <c r="AE53" i="2"/>
  <c r="AI52" i="2"/>
  <c r="AI53" i="2"/>
  <c r="AM52" i="2"/>
  <c r="AM54" i="2" s="1"/>
  <c r="AM53" i="2"/>
  <c r="AQ52" i="2"/>
  <c r="AQ53" i="2"/>
  <c r="AE69" i="2"/>
  <c r="AE70" i="2" s="1"/>
  <c r="F71" i="2"/>
  <c r="F53" i="2"/>
  <c r="F52" i="2"/>
  <c r="J53" i="2"/>
  <c r="J52" i="2"/>
  <c r="N53" i="2"/>
  <c r="N52" i="2"/>
  <c r="N54" i="2" s="1"/>
  <c r="R53" i="2"/>
  <c r="R52" i="2"/>
  <c r="V53" i="2"/>
  <c r="V52" i="2"/>
  <c r="V54" i="2" s="1"/>
  <c r="Z53" i="2"/>
  <c r="Z52" i="2"/>
  <c r="AD53" i="2"/>
  <c r="AD52" i="2"/>
  <c r="AD54" i="2" s="1"/>
  <c r="AH53" i="2"/>
  <c r="AH52" i="2"/>
  <c r="AL71" i="2"/>
  <c r="AL53" i="2"/>
  <c r="AL52" i="2"/>
  <c r="AL54" i="2" s="1"/>
  <c r="AP71" i="2"/>
  <c r="AP53" i="2"/>
  <c r="AP52" i="2"/>
  <c r="AP54" i="2" s="1"/>
  <c r="E69" i="2"/>
  <c r="E70" i="2" s="1"/>
  <c r="E53" i="2"/>
  <c r="E52" i="2"/>
  <c r="E54" i="2" s="1"/>
  <c r="AQ58" i="2"/>
  <c r="AI58" i="2"/>
  <c r="AA58" i="2"/>
  <c r="O58" i="2"/>
  <c r="W58" i="2"/>
  <c r="AL58" i="2"/>
  <c r="AD58" i="2"/>
  <c r="V58" i="2"/>
  <c r="N58" i="2"/>
  <c r="AE58" i="2"/>
  <c r="I71" i="2"/>
  <c r="AL69" i="2"/>
  <c r="AL70" i="2" s="1"/>
  <c r="AL72" i="2" s="1"/>
  <c r="AL73" i="2" s="1"/>
  <c r="AS58" i="2"/>
  <c r="AO58" i="2"/>
  <c r="AK58" i="2"/>
  <c r="AG58" i="2"/>
  <c r="AC58" i="2"/>
  <c r="Y58" i="2"/>
  <c r="U58" i="2"/>
  <c r="Q58" i="2"/>
  <c r="M58" i="2"/>
  <c r="I58" i="2"/>
  <c r="AM58" i="2"/>
  <c r="S58" i="2"/>
  <c r="K58" i="2"/>
  <c r="AP58" i="2"/>
  <c r="AH58" i="2"/>
  <c r="Z58" i="2"/>
  <c r="R58" i="2"/>
  <c r="J58" i="2"/>
  <c r="E71" i="2"/>
  <c r="AR58" i="2"/>
  <c r="AN58" i="2"/>
  <c r="AJ58" i="2"/>
  <c r="AF58" i="2"/>
  <c r="AB58" i="2"/>
  <c r="X58" i="2"/>
  <c r="T58" i="2"/>
  <c r="P58" i="2"/>
  <c r="L58" i="2"/>
  <c r="H58" i="2"/>
  <c r="E58" i="2"/>
  <c r="I49" i="3"/>
  <c r="I89" i="3" s="1"/>
  <c r="M49" i="3"/>
  <c r="L49" i="3"/>
  <c r="L58" i="3" s="1"/>
  <c r="H84" i="3"/>
  <c r="H78" i="3"/>
  <c r="H83" i="3"/>
  <c r="H80" i="3"/>
  <c r="H81" i="3" s="1"/>
  <c r="K49" i="3"/>
  <c r="K52" i="3" s="1"/>
  <c r="K51" i="3" s="1"/>
  <c r="K53" i="3" s="1"/>
  <c r="K54" i="3" s="1"/>
  <c r="K55" i="3" s="1"/>
  <c r="G78" i="3"/>
  <c r="G83" i="3"/>
  <c r="G84" i="3"/>
  <c r="G80" i="3"/>
  <c r="G81" i="3" s="1"/>
  <c r="I91" i="3"/>
  <c r="I92" i="3" s="1"/>
  <c r="I93" i="3" s="1"/>
  <c r="H49" i="3"/>
  <c r="H94" i="3" s="1"/>
  <c r="G49" i="3"/>
  <c r="G58" i="3" s="1"/>
  <c r="J58" i="3"/>
  <c r="F89" i="3"/>
  <c r="F95" i="3"/>
  <c r="F94" i="3"/>
  <c r="F92" i="3"/>
  <c r="F93" i="3" s="1"/>
  <c r="R69" i="2"/>
  <c r="R70" i="2" s="1"/>
  <c r="W71" i="2"/>
  <c r="AH69" i="2"/>
  <c r="AH70" i="2" s="1"/>
  <c r="AH72" i="2" s="1"/>
  <c r="AH73" i="2" s="1"/>
  <c r="AM69" i="2"/>
  <c r="AM70" i="2" s="1"/>
  <c r="AQ69" i="2"/>
  <c r="AQ70" i="2" s="1"/>
  <c r="AN67" i="2"/>
  <c r="M67" i="2"/>
  <c r="AH67" i="2"/>
  <c r="L67" i="2"/>
  <c r="W67" i="2"/>
  <c r="AN69" i="2"/>
  <c r="AN70" i="2" s="1"/>
  <c r="AG67" i="2"/>
  <c r="O67" i="2"/>
  <c r="T69" i="2"/>
  <c r="T70" i="2" s="1"/>
  <c r="AF67" i="2"/>
  <c r="N67" i="2"/>
  <c r="AB72" i="2"/>
  <c r="AB73" i="2" s="1"/>
  <c r="H65" i="3"/>
  <c r="I65" i="3"/>
  <c r="AQ67" i="2"/>
  <c r="AP82" i="2"/>
  <c r="AP84" i="2" s="1"/>
  <c r="AP85" i="2" s="1"/>
  <c r="H69" i="2"/>
  <c r="H70" i="2" s="1"/>
  <c r="P69" i="2"/>
  <c r="P70" i="2" s="1"/>
  <c r="I67" i="2"/>
  <c r="J67" i="2"/>
  <c r="X67" i="2"/>
  <c r="Y82" i="2"/>
  <c r="Y84" i="2" s="1"/>
  <c r="Y85" i="2" s="1"/>
  <c r="AH82" i="2"/>
  <c r="AH84" i="2" s="1"/>
  <c r="AH85" i="2" s="1"/>
  <c r="H71" i="2"/>
  <c r="P71" i="2"/>
  <c r="AJ71" i="2"/>
  <c r="T67" i="2"/>
  <c r="AM67" i="2"/>
  <c r="AG82" i="2"/>
  <c r="AG84" i="2" s="1"/>
  <c r="AG85" i="2" s="1"/>
  <c r="AO82" i="2"/>
  <c r="AO84" i="2" s="1"/>
  <c r="AO85" i="2" s="1"/>
  <c r="T71" i="2"/>
  <c r="AR67" i="2"/>
  <c r="AS67" i="2"/>
  <c r="J82" i="2"/>
  <c r="J84" i="2" s="1"/>
  <c r="J85" i="2" s="1"/>
  <c r="R82" i="2"/>
  <c r="R84" i="2" s="1"/>
  <c r="R85" i="2" s="1"/>
  <c r="J69" i="2"/>
  <c r="J70" i="2" s="1"/>
  <c r="AD69" i="2"/>
  <c r="AD70" i="2" s="1"/>
  <c r="AN72" i="2"/>
  <c r="AN73" i="2" s="1"/>
  <c r="K67" i="2"/>
  <c r="S67" i="2"/>
  <c r="Q82" i="2"/>
  <c r="Q84" i="2" s="1"/>
  <c r="Q85" i="2" s="1"/>
  <c r="Z82" i="2"/>
  <c r="Z84" i="2" s="1"/>
  <c r="Z85" i="2" s="1"/>
  <c r="H67" i="2"/>
  <c r="J71" i="2"/>
  <c r="S71" i="2"/>
  <c r="Y69" i="2"/>
  <c r="Y70" i="2" s="1"/>
  <c r="AD71" i="2"/>
  <c r="AJ69" i="2"/>
  <c r="AJ70" i="2" s="1"/>
  <c r="AB67" i="2"/>
  <c r="AC67" i="2"/>
  <c r="AD67" i="2"/>
  <c r="AE67" i="2"/>
  <c r="I82" i="2"/>
  <c r="I84" i="2" s="1"/>
  <c r="I85" i="2" s="1"/>
  <c r="K69" i="2"/>
  <c r="K70" i="2" s="1"/>
  <c r="N69" i="2"/>
  <c r="N70" i="2" s="1"/>
  <c r="AR69" i="2"/>
  <c r="AR70" i="2" s="1"/>
  <c r="E67" i="2"/>
  <c r="P67" i="2"/>
  <c r="Q67" i="2"/>
  <c r="R67" i="2"/>
  <c r="Y67" i="2"/>
  <c r="Z67" i="2"/>
  <c r="AA67" i="2"/>
  <c r="AJ67" i="2"/>
  <c r="K71" i="2"/>
  <c r="N71" i="2"/>
  <c r="AR71" i="2"/>
  <c r="AI67" i="2"/>
  <c r="M71" i="2"/>
  <c r="S69" i="2"/>
  <c r="S70" i="2" s="1"/>
  <c r="W69" i="2"/>
  <c r="W70" i="2" s="1"/>
  <c r="AA69" i="2"/>
  <c r="AA70" i="2" s="1"/>
  <c r="U67" i="2"/>
  <c r="V67" i="2"/>
  <c r="AK67" i="2"/>
  <c r="AL67" i="2"/>
  <c r="K82" i="2"/>
  <c r="K84" i="2" s="1"/>
  <c r="K85" i="2" s="1"/>
  <c r="N82" i="2"/>
  <c r="N84" i="2" s="1"/>
  <c r="N85" i="2" s="1"/>
  <c r="S82" i="2"/>
  <c r="S84" i="2" s="1"/>
  <c r="S85" i="2" s="1"/>
  <c r="V82" i="2"/>
  <c r="V84" i="2" s="1"/>
  <c r="V85" i="2" s="1"/>
  <c r="AA82" i="2"/>
  <c r="AA84" i="2" s="1"/>
  <c r="AA85" i="2" s="1"/>
  <c r="AD82" i="2"/>
  <c r="AD84" i="2" s="1"/>
  <c r="AI82" i="2"/>
  <c r="AI84" i="2" s="1"/>
  <c r="AI85" i="2" s="1"/>
  <c r="AL82" i="2"/>
  <c r="AL84" i="2" s="1"/>
  <c r="AL85" i="2" s="1"/>
  <c r="AQ82" i="2"/>
  <c r="AQ84" i="2" s="1"/>
  <c r="AQ85" i="2" s="1"/>
  <c r="L69" i="2"/>
  <c r="L70" i="2" s="1"/>
  <c r="O69" i="2"/>
  <c r="O70" i="2" s="1"/>
  <c r="R71" i="2"/>
  <c r="V72" i="2"/>
  <c r="V73" i="2" s="1"/>
  <c r="Y71" i="2"/>
  <c r="AF69" i="2"/>
  <c r="AF70" i="2" s="1"/>
  <c r="E82" i="2"/>
  <c r="E84" i="2" s="1"/>
  <c r="E85" i="2" s="1"/>
  <c r="G82" i="2"/>
  <c r="G84" i="2" s="1"/>
  <c r="G85" i="2" s="1"/>
  <c r="F67" i="2"/>
  <c r="AO67" i="2"/>
  <c r="AP67" i="2"/>
  <c r="M82" i="2"/>
  <c r="M84" i="2" s="1"/>
  <c r="M85" i="2" s="1"/>
  <c r="U82" i="2"/>
  <c r="U84" i="2" s="1"/>
  <c r="U85" i="2" s="1"/>
  <c r="AC82" i="2"/>
  <c r="AC84" i="2" s="1"/>
  <c r="AC85" i="2" s="1"/>
  <c r="AK82" i="2"/>
  <c r="AK84" i="2" s="1"/>
  <c r="AK85" i="2" s="1"/>
  <c r="AS82" i="2"/>
  <c r="AS84" i="2" s="1"/>
  <c r="AS85" i="2" s="1"/>
  <c r="L71" i="2"/>
  <c r="O71" i="2"/>
  <c r="X69" i="2"/>
  <c r="X70" i="2" s="1"/>
  <c r="Z69" i="2"/>
  <c r="Z70" i="2" s="1"/>
  <c r="AF71" i="2"/>
  <c r="F69" i="2"/>
  <c r="F70" i="2" s="1"/>
  <c r="F72" i="2" s="1"/>
  <c r="F73" i="2" s="1"/>
  <c r="F74" i="2" s="1"/>
  <c r="O82" i="2"/>
  <c r="O84" i="2" s="1"/>
  <c r="O85" i="2" s="1"/>
  <c r="W82" i="2"/>
  <c r="W84" i="2" s="1"/>
  <c r="W85" i="2" s="1"/>
  <c r="AE82" i="2"/>
  <c r="AE84" i="2" s="1"/>
  <c r="AE85" i="2" s="1"/>
  <c r="AM82" i="2"/>
  <c r="AM84" i="2" s="1"/>
  <c r="AM85" i="2" s="1"/>
  <c r="Q69" i="2"/>
  <c r="Q70" i="2" s="1"/>
  <c r="X71" i="2"/>
  <c r="Z71" i="2"/>
  <c r="AI69" i="2"/>
  <c r="AI70" i="2" s="1"/>
  <c r="H82" i="2"/>
  <c r="H84" i="2" s="1"/>
  <c r="H85" i="2" s="1"/>
  <c r="AG71" i="2"/>
  <c r="AG69" i="2"/>
  <c r="AG70" i="2" s="1"/>
  <c r="L82" i="2"/>
  <c r="L84" i="2" s="1"/>
  <c r="L85" i="2" s="1"/>
  <c r="P82" i="2"/>
  <c r="P84" i="2" s="1"/>
  <c r="P85" i="2" s="1"/>
  <c r="X82" i="2"/>
  <c r="X84" i="2" s="1"/>
  <c r="X85" i="2" s="1"/>
  <c r="AF82" i="2"/>
  <c r="AF84" i="2" s="1"/>
  <c r="AF85" i="2" s="1"/>
  <c r="AJ82" i="2"/>
  <c r="AJ84" i="2" s="1"/>
  <c r="AJ85" i="2" s="1"/>
  <c r="AN82" i="2"/>
  <c r="AN84" i="2" s="1"/>
  <c r="AN85" i="2" s="1"/>
  <c r="AK71" i="2"/>
  <c r="AK69" i="2"/>
  <c r="AK70" i="2" s="1"/>
  <c r="T82" i="2"/>
  <c r="T84" i="2" s="1"/>
  <c r="T85" i="2" s="1"/>
  <c r="AB82" i="2"/>
  <c r="AB84" i="2" s="1"/>
  <c r="AB85" i="2" s="1"/>
  <c r="AR82" i="2"/>
  <c r="AR84" i="2" s="1"/>
  <c r="AR85" i="2" s="1"/>
  <c r="I72" i="2"/>
  <c r="I73" i="2" s="1"/>
  <c r="Q71" i="2"/>
  <c r="F82" i="2"/>
  <c r="F84" i="2" s="1"/>
  <c r="F85" i="2" s="1"/>
  <c r="AC71" i="2"/>
  <c r="AC69" i="2"/>
  <c r="AC70" i="2" s="1"/>
  <c r="AS71" i="2"/>
  <c r="AS69" i="2"/>
  <c r="AS70" i="2" s="1"/>
  <c r="G67" i="2"/>
  <c r="AD85" i="2"/>
  <c r="M69" i="2"/>
  <c r="M70" i="2" s="1"/>
  <c r="U69" i="2"/>
  <c r="U70" i="2" s="1"/>
  <c r="U72" i="2" s="1"/>
  <c r="U73" i="2" s="1"/>
  <c r="AO71" i="2"/>
  <c r="AO69" i="2"/>
  <c r="AO70" i="2" s="1"/>
  <c r="AP72" i="2"/>
  <c r="AP73" i="2" s="1"/>
  <c r="G71" i="2"/>
  <c r="G72" i="2" s="1"/>
  <c r="G73" i="2" s="1"/>
  <c r="AA71" i="2"/>
  <c r="AE71" i="2"/>
  <c r="AI71" i="2"/>
  <c r="AM71" i="2"/>
  <c r="AQ71" i="2"/>
  <c r="H28" i="9"/>
  <c r="E61" i="3"/>
  <c r="J52" i="3"/>
  <c r="J51" i="3" s="1"/>
  <c r="J53" i="3" s="1"/>
  <c r="J54" i="3" s="1"/>
  <c r="J55" i="3" s="1"/>
  <c r="E65" i="3"/>
  <c r="H61" i="3"/>
  <c r="J62" i="3"/>
  <c r="I62" i="3"/>
  <c r="F105" i="3"/>
  <c r="F106" i="3" s="1"/>
  <c r="F108" i="3" s="1"/>
  <c r="F117" i="3" s="1"/>
  <c r="E105" i="3"/>
  <c r="E106" i="3" s="1"/>
  <c r="E108" i="3" s="1"/>
  <c r="E109" i="3" s="1"/>
  <c r="E58" i="3"/>
  <c r="K62" i="3"/>
  <c r="F52" i="3"/>
  <c r="F51" i="3" s="1"/>
  <c r="F53" i="3" s="1"/>
  <c r="F54" i="3" s="1"/>
  <c r="F55" i="3" s="1"/>
  <c r="E52" i="3"/>
  <c r="E51" i="3" s="1"/>
  <c r="E53" i="3" s="1"/>
  <c r="E54" i="3" s="1"/>
  <c r="E55" i="3" s="1"/>
  <c r="G61" i="3"/>
  <c r="L57" i="3"/>
  <c r="I58" i="3"/>
  <c r="J96" i="3"/>
  <c r="F85" i="3"/>
  <c r="F96" i="3"/>
  <c r="F15" i="13" l="1"/>
  <c r="G15" i="13" s="1"/>
  <c r="H15" i="13" s="1"/>
  <c r="F26" i="12"/>
  <c r="F27" i="12"/>
  <c r="I25" i="12"/>
  <c r="G27" i="12"/>
  <c r="J27" i="12"/>
  <c r="H29" i="12"/>
  <c r="K58" i="3"/>
  <c r="L82" i="3"/>
  <c r="I52" i="3"/>
  <c r="I51" i="3" s="1"/>
  <c r="I53" i="3" s="1"/>
  <c r="I54" i="3" s="1"/>
  <c r="I55" i="3" s="1"/>
  <c r="I95" i="3"/>
  <c r="I94" i="3"/>
  <c r="F21" i="11"/>
  <c r="K82" i="3"/>
  <c r="M95" i="3"/>
  <c r="M94" i="3"/>
  <c r="M89" i="3"/>
  <c r="M91" i="3"/>
  <c r="M92" i="3" s="1"/>
  <c r="M93" i="3" s="1"/>
  <c r="M82" i="3"/>
  <c r="E66" i="3"/>
  <c r="E67" i="3" s="1"/>
  <c r="K95" i="3"/>
  <c r="K91" i="3"/>
  <c r="K92" i="3" s="1"/>
  <c r="K93" i="3" s="1"/>
  <c r="K89" i="3"/>
  <c r="K94" i="3"/>
  <c r="M57" i="3"/>
  <c r="M58" i="3"/>
  <c r="H52" i="3"/>
  <c r="H51" i="3" s="1"/>
  <c r="H53" i="3" s="1"/>
  <c r="H54" i="3" s="1"/>
  <c r="H55" i="3" s="1"/>
  <c r="H82" i="3"/>
  <c r="L94" i="3"/>
  <c r="L89" i="3"/>
  <c r="L91" i="3"/>
  <c r="L92" i="3" s="1"/>
  <c r="L93" i="3" s="1"/>
  <c r="L95" i="3"/>
  <c r="E72" i="2"/>
  <c r="E73" i="2" s="1"/>
  <c r="F54" i="2"/>
  <c r="W72" i="2"/>
  <c r="W73" i="2" s="1"/>
  <c r="AG54" i="2"/>
  <c r="AK54" i="2"/>
  <c r="AR54" i="2"/>
  <c r="AJ54" i="2"/>
  <c r="AB54" i="2"/>
  <c r="T54" i="2"/>
  <c r="L54" i="2"/>
  <c r="AQ72" i="2"/>
  <c r="AQ73" i="2" s="1"/>
  <c r="AQ54" i="2"/>
  <c r="AI54" i="2"/>
  <c r="AA54" i="2"/>
  <c r="S54" i="2"/>
  <c r="G54" i="2"/>
  <c r="G57" i="2" s="1"/>
  <c r="AE72" i="2"/>
  <c r="AE73" i="2" s="1"/>
  <c r="AF72" i="2"/>
  <c r="AF73" i="2" s="1"/>
  <c r="L72" i="2"/>
  <c r="L73" i="2" s="1"/>
  <c r="R72" i="2"/>
  <c r="R73" i="2" s="1"/>
  <c r="AH54" i="2"/>
  <c r="Z54" i="2"/>
  <c r="R54" i="2"/>
  <c r="J54" i="2"/>
  <c r="Y54" i="2"/>
  <c r="O54" i="2"/>
  <c r="AN54" i="2"/>
  <c r="AF54" i="2"/>
  <c r="X54" i="2"/>
  <c r="P54" i="2"/>
  <c r="H54" i="2"/>
  <c r="M52" i="3"/>
  <c r="M51" i="3" s="1"/>
  <c r="M53" i="3" s="1"/>
  <c r="M54" i="3" s="1"/>
  <c r="M55" i="3" s="1"/>
  <c r="H91" i="3"/>
  <c r="H92" i="3" s="1"/>
  <c r="H93" i="3" s="1"/>
  <c r="I78" i="3"/>
  <c r="I83" i="3"/>
  <c r="I84" i="3"/>
  <c r="I80" i="3"/>
  <c r="I81" i="3" s="1"/>
  <c r="I82" i="3" s="1"/>
  <c r="L52" i="3"/>
  <c r="L51" i="3" s="1"/>
  <c r="L53" i="3" s="1"/>
  <c r="L54" i="3" s="1"/>
  <c r="L55" i="3" s="1"/>
  <c r="G82" i="3"/>
  <c r="H58" i="3"/>
  <c r="G89" i="3"/>
  <c r="G91" i="3"/>
  <c r="G92" i="3" s="1"/>
  <c r="G93" i="3" s="1"/>
  <c r="G94" i="3"/>
  <c r="G52" i="3"/>
  <c r="G51" i="3" s="1"/>
  <c r="G53" i="3" s="1"/>
  <c r="G54" i="3" s="1"/>
  <c r="G55" i="3" s="1"/>
  <c r="G95" i="3"/>
  <c r="H89" i="3"/>
  <c r="H95" i="3"/>
  <c r="H66" i="3"/>
  <c r="H67" i="3" s="1"/>
  <c r="G65" i="3"/>
  <c r="G66" i="3" s="1"/>
  <c r="G67" i="3" s="1"/>
  <c r="F66" i="3"/>
  <c r="N8" i="9"/>
  <c r="O8" i="9" s="1"/>
  <c r="F118" i="3"/>
  <c r="AM72" i="2"/>
  <c r="AM73" i="2" s="1"/>
  <c r="M72" i="2"/>
  <c r="M73" i="2" s="1"/>
  <c r="AD72" i="2"/>
  <c r="AD73" i="2" s="1"/>
  <c r="O72" i="2"/>
  <c r="O73" i="2" s="1"/>
  <c r="S72" i="2"/>
  <c r="S73" i="2" s="1"/>
  <c r="J72" i="2"/>
  <c r="J73" i="2" s="1"/>
  <c r="H72" i="2"/>
  <c r="H73" i="2" s="1"/>
  <c r="Q72" i="2"/>
  <c r="Q73" i="2" s="1"/>
  <c r="AR72" i="2"/>
  <c r="AR73" i="2" s="1"/>
  <c r="F57" i="2"/>
  <c r="T72" i="2"/>
  <c r="T73" i="2" s="1"/>
  <c r="AI72" i="2"/>
  <c r="AI73" i="2" s="1"/>
  <c r="Y72" i="2"/>
  <c r="Y73" i="2" s="1"/>
  <c r="P72" i="2"/>
  <c r="P73" i="2" s="1"/>
  <c r="AC72" i="2"/>
  <c r="AC73" i="2" s="1"/>
  <c r="X72" i="2"/>
  <c r="X73" i="2" s="1"/>
  <c r="I66" i="3"/>
  <c r="I67" i="3" s="1"/>
  <c r="AK72" i="2"/>
  <c r="AK73" i="2" s="1"/>
  <c r="AJ72" i="2"/>
  <c r="AJ73" i="2" s="1"/>
  <c r="K72" i="2"/>
  <c r="K73" i="2" s="1"/>
  <c r="G74" i="2"/>
  <c r="G75" i="2" s="1"/>
  <c r="N72" i="2"/>
  <c r="N73" i="2" s="1"/>
  <c r="AA72" i="2"/>
  <c r="AA73" i="2" s="1"/>
  <c r="AG72" i="2"/>
  <c r="AG73" i="2" s="1"/>
  <c r="Z72" i="2"/>
  <c r="Z73" i="2" s="1"/>
  <c r="AO72" i="2"/>
  <c r="AO73" i="2" s="1"/>
  <c r="F75" i="2"/>
  <c r="AS72" i="2"/>
  <c r="AS73" i="2" s="1"/>
  <c r="K67" i="3"/>
  <c r="L56" i="3"/>
  <c r="F109" i="3"/>
  <c r="L85" i="3"/>
  <c r="I96" i="3"/>
  <c r="K85" i="3"/>
  <c r="M96" i="3"/>
  <c r="K96" i="3"/>
  <c r="H85" i="3"/>
  <c r="L96" i="3"/>
  <c r="I85" i="3"/>
  <c r="G85" i="3"/>
  <c r="G96" i="3"/>
  <c r="H96" i="3"/>
  <c r="F67" i="3" l="1"/>
  <c r="F114" i="3"/>
  <c r="F16" i="13"/>
  <c r="G16" i="13" s="1"/>
  <c r="H16" i="13" s="1"/>
  <c r="I27" i="12"/>
  <c r="G29" i="12"/>
  <c r="J29" i="12"/>
  <c r="H31" i="12"/>
  <c r="F28" i="12"/>
  <c r="F29" i="12"/>
  <c r="M56" i="3"/>
  <c r="K102" i="3"/>
  <c r="F58" i="2"/>
  <c r="F91" i="2"/>
  <c r="F22" i="11"/>
  <c r="M65" i="3"/>
  <c r="F86" i="2"/>
  <c r="F87" i="2" s="1"/>
  <c r="F94" i="2"/>
  <c r="F95" i="2" s="1"/>
  <c r="G58" i="2"/>
  <c r="G86" i="2"/>
  <c r="G87" i="2" s="1"/>
  <c r="F97" i="2"/>
  <c r="G8" i="9"/>
  <c r="H8" i="9" s="1"/>
  <c r="L65" i="3"/>
  <c r="L66" i="3" s="1"/>
  <c r="J114" i="3" s="1"/>
  <c r="G23" i="11" s="1"/>
  <c r="G41" i="11" s="1"/>
  <c r="CL117" i="3"/>
  <c r="O29" i="9" s="1"/>
  <c r="E40" i="11" l="1"/>
  <c r="E23" i="11"/>
  <c r="E41" i="11" s="1"/>
  <c r="E24" i="11" s="1"/>
  <c r="L8" i="9"/>
  <c r="M8" i="9" s="1"/>
  <c r="F17" i="13"/>
  <c r="G17" i="13" s="1"/>
  <c r="H17" i="13" s="1"/>
  <c r="I29" i="12"/>
  <c r="G31" i="12"/>
  <c r="F31" i="12"/>
  <c r="F30" i="12"/>
  <c r="J31" i="12"/>
  <c r="H33" i="12"/>
  <c r="AT94" i="2"/>
  <c r="G29" i="9" s="1"/>
  <c r="H29" i="9" s="1"/>
  <c r="F115" i="3"/>
  <c r="E8" i="9"/>
  <c r="F8" i="9" s="1"/>
  <c r="F92" i="2"/>
  <c r="I8" i="9"/>
  <c r="J8" i="9" s="1"/>
  <c r="F98" i="2"/>
  <c r="AT97" i="2"/>
  <c r="J115" i="3"/>
  <c r="L9" i="9"/>
  <c r="M9" i="9" s="1"/>
  <c r="CL118" i="3"/>
  <c r="L67" i="3"/>
  <c r="L29" i="9"/>
  <c r="M29" i="9" s="1"/>
  <c r="E25" i="11" l="1"/>
  <c r="F24" i="11"/>
  <c r="F25" i="11" s="1"/>
  <c r="G43" i="11"/>
  <c r="F18" i="13"/>
  <c r="G18" i="13" s="1"/>
  <c r="H18" i="13" s="1"/>
  <c r="J33" i="12"/>
  <c r="H35" i="12"/>
  <c r="I31" i="12"/>
  <c r="G33" i="12"/>
  <c r="F32" i="12"/>
  <c r="F33" i="12"/>
  <c r="AT95" i="2"/>
  <c r="J28" i="9"/>
  <c r="I29" i="9"/>
  <c r="J29" i="9" s="1"/>
  <c r="AT98" i="2"/>
  <c r="E29" i="9"/>
  <c r="F29" i="9" s="1"/>
  <c r="AT92" i="2"/>
  <c r="CL115" i="3"/>
  <c r="E42" i="11" l="1"/>
  <c r="F19" i="13"/>
  <c r="G19" i="13" s="1"/>
  <c r="H19" i="13" s="1"/>
  <c r="I33" i="12"/>
  <c r="G35" i="12"/>
  <c r="J35" i="12"/>
  <c r="H37" i="12"/>
  <c r="F35" i="12"/>
  <c r="F34" i="12"/>
  <c r="P8" i="9" l="1"/>
  <c r="Q8" i="9" s="1"/>
  <c r="E43" i="11"/>
  <c r="F20" i="13"/>
  <c r="G20" i="13" s="1"/>
  <c r="H20" i="13" s="1"/>
  <c r="F37" i="12"/>
  <c r="F36" i="12"/>
  <c r="I35" i="12"/>
  <c r="G37" i="12"/>
  <c r="H39" i="12"/>
  <c r="J37" i="12"/>
  <c r="F21" i="13" l="1"/>
  <c r="G21" i="13" s="1"/>
  <c r="H21" i="13" s="1"/>
  <c r="I37" i="12"/>
  <c r="G39" i="12"/>
  <c r="H41" i="12"/>
  <c r="J39" i="12"/>
  <c r="F38" i="12"/>
  <c r="F39" i="12"/>
  <c r="F22" i="13" l="1"/>
  <c r="G22" i="13" s="1"/>
  <c r="H22" i="13" s="1"/>
  <c r="J41" i="12"/>
  <c r="H43" i="12"/>
  <c r="F40" i="12"/>
  <c r="F41" i="12"/>
  <c r="G41" i="12"/>
  <c r="I39" i="12"/>
  <c r="F23" i="13" l="1"/>
  <c r="G23" i="13" s="1"/>
  <c r="H23" i="13" s="1"/>
  <c r="F42" i="12"/>
  <c r="F43" i="12"/>
  <c r="J43" i="12"/>
  <c r="H45" i="12"/>
  <c r="G43" i="12"/>
  <c r="I41" i="12"/>
  <c r="F24" i="13" l="1"/>
  <c r="G24" i="13" s="1"/>
  <c r="H24" i="13" s="1"/>
  <c r="J45" i="12"/>
  <c r="H47" i="12"/>
  <c r="F44" i="12"/>
  <c r="F45" i="12"/>
  <c r="G45" i="12"/>
  <c r="I43" i="12"/>
  <c r="F25" i="13" l="1"/>
  <c r="G25" i="13" s="1"/>
  <c r="H25" i="13" s="1"/>
  <c r="J47" i="12"/>
  <c r="H49" i="12"/>
  <c r="G47" i="12"/>
  <c r="I45" i="12"/>
  <c r="F47" i="12"/>
  <c r="F46" i="12"/>
  <c r="F26" i="13" l="1"/>
  <c r="G26" i="13" s="1"/>
  <c r="H26" i="13" s="1"/>
  <c r="F49" i="12"/>
  <c r="F48" i="12"/>
  <c r="G49" i="12"/>
  <c r="I47" i="12"/>
  <c r="H51" i="12"/>
  <c r="J49" i="12"/>
  <c r="F27" i="13" l="1"/>
  <c r="G27" i="13" s="1"/>
  <c r="H27" i="13" s="1"/>
  <c r="J51" i="12"/>
  <c r="G51" i="12"/>
  <c r="C23" i="12" s="1"/>
  <c r="I49" i="12"/>
  <c r="C32" i="12"/>
  <c r="C15" i="12"/>
  <c r="C30" i="12"/>
  <c r="C34" i="12"/>
  <c r="C12" i="12"/>
  <c r="C42" i="12"/>
  <c r="C36" i="12"/>
  <c r="C49" i="12"/>
  <c r="C51" i="12"/>
  <c r="F50" i="12"/>
  <c r="F51" i="12"/>
  <c r="F28" i="13" l="1"/>
  <c r="G28" i="13" s="1"/>
  <c r="H28" i="13" s="1"/>
  <c r="C38" i="12"/>
  <c r="C18" i="12"/>
  <c r="C19" i="12"/>
  <c r="I51" i="12"/>
  <c r="C53" i="12"/>
  <c r="C58" i="12"/>
  <c r="C72" i="12"/>
  <c r="C56" i="12"/>
  <c r="C65" i="12"/>
  <c r="C67" i="12"/>
  <c r="C85" i="12"/>
  <c r="C91" i="12"/>
  <c r="C79" i="12"/>
  <c r="C75" i="12"/>
  <c r="C106" i="12"/>
  <c r="C74" i="12"/>
  <c r="C100" i="12"/>
  <c r="C98" i="12"/>
  <c r="C82" i="12"/>
  <c r="C88" i="12"/>
  <c r="C96" i="12"/>
  <c r="C68" i="12"/>
  <c r="C89" i="12"/>
  <c r="C55" i="12"/>
  <c r="C104" i="12"/>
  <c r="C71" i="12"/>
  <c r="C109" i="12"/>
  <c r="C92" i="12"/>
  <c r="C97" i="12"/>
  <c r="C64" i="12"/>
  <c r="C60" i="12"/>
  <c r="C99" i="12"/>
  <c r="C66" i="12"/>
  <c r="C73" i="12"/>
  <c r="C87" i="12"/>
  <c r="C69" i="12"/>
  <c r="C108" i="12"/>
  <c r="C103" i="12"/>
  <c r="C84" i="12"/>
  <c r="C101" i="12"/>
  <c r="C105" i="12"/>
  <c r="C76" i="12"/>
  <c r="C95" i="12"/>
  <c r="C107" i="12"/>
  <c r="C63" i="12"/>
  <c r="C61" i="12"/>
  <c r="C62" i="12"/>
  <c r="C83" i="12"/>
  <c r="C80" i="12"/>
  <c r="C59" i="12"/>
  <c r="C94" i="12"/>
  <c r="C77" i="12"/>
  <c r="C70" i="12"/>
  <c r="C10" i="12"/>
  <c r="C93" i="12"/>
  <c r="C54" i="12"/>
  <c r="C81" i="12"/>
  <c r="C90" i="12"/>
  <c r="C102" i="12"/>
  <c r="C86" i="12"/>
  <c r="C78" i="12"/>
  <c r="C57" i="12"/>
  <c r="C45" i="12"/>
  <c r="C13" i="12"/>
  <c r="C43" i="12"/>
  <c r="C39" i="12"/>
  <c r="C24" i="12"/>
  <c r="C50" i="12"/>
  <c r="C46" i="12"/>
  <c r="C41" i="12"/>
  <c r="C28" i="12"/>
  <c r="C26" i="12"/>
  <c r="C31" i="12"/>
  <c r="C33" i="12"/>
  <c r="C44" i="12"/>
  <c r="C16" i="12"/>
  <c r="C40" i="12"/>
  <c r="C27" i="12"/>
  <c r="C17" i="12"/>
  <c r="C37" i="12"/>
  <c r="C25" i="12"/>
  <c r="C21" i="12"/>
  <c r="C20" i="12"/>
  <c r="C29" i="12"/>
  <c r="C48" i="12"/>
  <c r="C14" i="12"/>
  <c r="C47" i="12"/>
  <c r="C35" i="12"/>
  <c r="C11" i="12"/>
  <c r="C22" i="12"/>
  <c r="C52" i="12"/>
  <c r="F29" i="13" l="1"/>
  <c r="G29" i="13" s="1"/>
  <c r="H29" i="13" s="1"/>
  <c r="F30" i="13" l="1"/>
  <c r="G30" i="13" s="1"/>
  <c r="H30" i="13" s="1"/>
  <c r="F31" i="13" l="1"/>
  <c r="G31" i="13" s="1"/>
  <c r="H31" i="13" s="1"/>
  <c r="C94" i="13" l="1"/>
  <c r="C29" i="13"/>
  <c r="C54" i="13"/>
  <c r="C100" i="13"/>
  <c r="C96" i="13"/>
  <c r="C70" i="13"/>
  <c r="C98" i="13"/>
  <c r="C45" i="13"/>
  <c r="C20" i="13"/>
  <c r="C78" i="13"/>
  <c r="C97" i="13"/>
  <c r="C72" i="13"/>
  <c r="C84" i="13"/>
  <c r="C13" i="13"/>
  <c r="C38" i="13"/>
  <c r="C33" i="13"/>
  <c r="C82" i="13"/>
  <c r="C93" i="13"/>
  <c r="C17" i="13"/>
  <c r="C85" i="13"/>
  <c r="C50" i="13"/>
  <c r="C40" i="13"/>
  <c r="C69" i="13"/>
  <c r="C22" i="13"/>
  <c r="C77" i="13"/>
  <c r="C61" i="13"/>
  <c r="C56" i="13"/>
  <c r="C101" i="13"/>
  <c r="C58" i="13"/>
  <c r="C62" i="13"/>
  <c r="C18" i="13"/>
  <c r="C8" i="13"/>
  <c r="C42" i="13"/>
  <c r="C83" i="13"/>
  <c r="C63" i="13"/>
  <c r="C32" i="13"/>
  <c r="C91" i="13"/>
  <c r="C52" i="13"/>
  <c r="C80" i="13"/>
  <c r="C24" i="13"/>
  <c r="C67" i="13"/>
  <c r="C49" i="13"/>
  <c r="C75" i="13"/>
  <c r="C14" i="13"/>
  <c r="C92" i="13"/>
  <c r="C10" i="13"/>
  <c r="C46" i="13"/>
  <c r="C99" i="13"/>
  <c r="C48" i="13"/>
  <c r="C12" i="13"/>
  <c r="C55" i="13"/>
  <c r="C64" i="13"/>
  <c r="C27" i="13"/>
  <c r="C88" i="13"/>
  <c r="C30" i="13"/>
  <c r="C81" i="13"/>
  <c r="C37" i="13"/>
  <c r="C39" i="13"/>
  <c r="C104" i="13"/>
  <c r="C34" i="13"/>
  <c r="C47" i="13"/>
  <c r="C66" i="13"/>
  <c r="C102" i="13"/>
  <c r="C79" i="13"/>
  <c r="C60" i="13"/>
  <c r="C68" i="13"/>
  <c r="C43" i="13"/>
  <c r="C36" i="13"/>
  <c r="C86" i="13"/>
  <c r="C44" i="13"/>
  <c r="C16" i="13"/>
  <c r="C65" i="13"/>
  <c r="C95" i="13"/>
  <c r="C25" i="13"/>
  <c r="C21" i="13"/>
  <c r="C89" i="13"/>
  <c r="C57" i="13"/>
  <c r="C53" i="13"/>
  <c r="C23" i="13"/>
  <c r="C28" i="13"/>
  <c r="C41" i="13"/>
  <c r="C26" i="13"/>
  <c r="C15" i="13"/>
  <c r="C87" i="13"/>
  <c r="C9" i="13"/>
  <c r="C19" i="13"/>
  <c r="C74" i="13"/>
  <c r="C103" i="13"/>
  <c r="C73" i="13"/>
  <c r="C11" i="13"/>
  <c r="C51" i="13"/>
  <c r="C31" i="13"/>
  <c r="C90" i="13"/>
  <c r="C71" i="13"/>
  <c r="C59" i="13"/>
  <c r="C35" i="13"/>
  <c r="C76" i="13"/>
  <c r="C7" i="13"/>
  <c r="AQ43" i="11"/>
  <c r="Q27" i="9"/>
</calcChain>
</file>

<file path=xl/comments1.xml><?xml version="1.0" encoding="utf-8"?>
<comments xmlns="http://schemas.openxmlformats.org/spreadsheetml/2006/main" xmlns:mc="http://schemas.openxmlformats.org/markup-compatibility/2006" xmlns:xr="http://schemas.microsoft.com/office/spreadsheetml/2014/revision" mc:Ignorable="xr">
  <authors>
    <author>Microsoft Office User</author>
  </authors>
  <commentList>
    <comment ref="D50" authorId="0" shapeId="0" xr:uid="{2B325E65-A84D-4AC4-8C96-089586149EE9}">
      <text>
        <r>
          <rPr>
            <sz val="12"/>
            <color indexed="81"/>
            <rFont val="Times New Roman"/>
            <family val="1"/>
          </rPr>
          <t>Edited in V3</t>
        </r>
        <r>
          <rPr>
            <sz val="10"/>
            <color indexed="81"/>
            <rFont val="Calibri"/>
            <family val="2"/>
          </rPr>
          <t xml:space="preserve">
</t>
        </r>
      </text>
    </comment>
    <comment ref="D51" authorId="0" shapeId="0" xr:uid="{74C268A3-B538-4BB2-AF30-1A3E0FAE73AD}">
      <text>
        <r>
          <rPr>
            <sz val="12"/>
            <color indexed="81"/>
            <rFont val="Times New Roman"/>
            <family val="1"/>
          </rPr>
          <t>Edited in V3</t>
        </r>
        <r>
          <rPr>
            <sz val="10"/>
            <color indexed="81"/>
            <rFont val="Calibri"/>
            <family val="2"/>
          </rPr>
          <t xml:space="preserve">
</t>
        </r>
      </text>
    </comment>
    <comment ref="D52" authorId="0" shapeId="0" xr:uid="{DD79D7C4-91BC-441F-90D2-6F4DCC594932}">
      <text>
        <r>
          <rPr>
            <sz val="12"/>
            <color indexed="81"/>
            <rFont val="Times New Roman"/>
            <family val="1"/>
          </rPr>
          <t>Edited in V3</t>
        </r>
        <r>
          <rPr>
            <sz val="10"/>
            <color indexed="81"/>
            <rFont val="Calibri"/>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Microsoft Office User</author>
  </authors>
  <commentList>
    <comment ref="D20" authorId="0" shapeId="0" xr:uid="{00000000-0006-0000-0100-000001000000}">
      <text>
        <r>
          <rPr>
            <sz val="14"/>
            <color indexed="81"/>
            <rFont val="Times New Roman"/>
            <family val="1"/>
          </rPr>
          <t>Includes the curb width if present.</t>
        </r>
      </text>
    </comment>
    <comment ref="D24" authorId="0" shapeId="0" xr:uid="{00000000-0006-0000-0100-000002000000}">
      <text>
        <r>
          <rPr>
            <sz val="14"/>
            <color indexed="81"/>
            <rFont val="Times New Roman"/>
            <family val="1"/>
          </rPr>
          <t>Included in Annex 1, showed at the end of this sheet.</t>
        </r>
      </text>
    </comment>
    <comment ref="D30" authorId="0" shapeId="0" xr:uid="{00000000-0006-0000-0100-000003000000}">
      <text>
        <r>
          <rPr>
            <sz val="12"/>
            <color indexed="81"/>
            <rFont val="Times New Roman"/>
            <family val="1"/>
          </rPr>
          <t>Added in V2</t>
        </r>
      </text>
    </comment>
    <comment ref="D31" authorId="0" shapeId="0" xr:uid="{00000000-0006-0000-0100-000004000000}">
      <text>
        <r>
          <rPr>
            <sz val="12"/>
            <color indexed="81"/>
            <rFont val="Times New Roman"/>
            <family val="1"/>
          </rPr>
          <t>Added in V3</t>
        </r>
      </text>
    </comment>
    <comment ref="D32" authorId="0" shapeId="0" xr:uid="{00000000-0006-0000-0100-000005000000}">
      <text>
        <r>
          <rPr>
            <sz val="12"/>
            <color indexed="81"/>
            <rFont val="Times New Roman"/>
            <family val="1"/>
          </rPr>
          <t>Capital Metro statistics can be found online, e.g.:
http://connections2025.org/wp-content/uploads/2016/07/Capital-Metro-Service-Review.pdf</t>
        </r>
      </text>
    </comment>
    <comment ref="D38" authorId="0" shapeId="0" xr:uid="{00000000-0006-0000-0100-000006000000}">
      <text>
        <r>
          <rPr>
            <sz val="12"/>
            <color indexed="81"/>
            <rFont val="Times New Roman"/>
            <family val="1"/>
          </rPr>
          <t>In the absence of information, the average passenger trip length will be assumed to be the national average, 3.7 mi (TQCS 3rd Ed. page 5-96).</t>
        </r>
        <r>
          <rPr>
            <sz val="10"/>
            <color indexed="81"/>
            <rFont val="Calibri"/>
            <family val="2"/>
          </rPr>
          <t xml:space="preserve">
</t>
        </r>
      </text>
    </comment>
    <comment ref="D42" authorId="0" shapeId="0" xr:uid="{00000000-0006-0000-0100-000007000000}">
      <text>
        <r>
          <rPr>
            <sz val="12"/>
            <color indexed="81"/>
            <rFont val="Times New Roman"/>
            <family val="1"/>
          </rPr>
          <t>Added in V3</t>
        </r>
      </text>
    </comment>
    <comment ref="D50" authorId="0" shapeId="0" xr:uid="{00000000-0006-0000-0100-000008000000}">
      <text>
        <r>
          <rPr>
            <sz val="12"/>
            <color indexed="81"/>
            <rFont val="Times New Roman"/>
            <family val="1"/>
          </rPr>
          <t>Added in V3</t>
        </r>
      </text>
    </comment>
    <comment ref="D52" authorId="0" shapeId="0" xr:uid="{00000000-0006-0000-0100-000009000000}">
      <text>
        <r>
          <rPr>
            <sz val="12"/>
            <color indexed="81"/>
            <rFont val="Times New Roman"/>
            <family val="1"/>
          </rPr>
          <t>Edited in V3</t>
        </r>
      </text>
    </comment>
    <comment ref="D53" authorId="0" shapeId="0" xr:uid="{00000000-0006-0000-0100-00000A000000}">
      <text>
        <r>
          <rPr>
            <sz val="12"/>
            <color indexed="81"/>
            <rFont val="Times New Roman"/>
            <family val="1"/>
          </rPr>
          <t>Edited in V3</t>
        </r>
      </text>
    </comment>
    <comment ref="D54" authorId="0" shapeId="0" xr:uid="{00000000-0006-0000-0100-00000B000000}">
      <text>
        <r>
          <rPr>
            <sz val="12"/>
            <color indexed="81"/>
            <rFont val="Times New Roman"/>
            <family val="1"/>
          </rPr>
          <t>Edited in V3</t>
        </r>
      </text>
    </comment>
    <comment ref="D73" authorId="0" shapeId="0" xr:uid="{00000000-0006-0000-0100-00000C000000}">
      <text>
        <r>
          <rPr>
            <sz val="12"/>
            <color indexed="81"/>
            <rFont val="Times New Roman"/>
            <family val="1"/>
          </rPr>
          <t>Modified by an increment of 30% if there is any phisical barrier between street and bicycle lane.</t>
        </r>
        <r>
          <rPr>
            <sz val="10"/>
            <color indexed="81"/>
            <rFont val="Calibri"/>
            <family val="2"/>
          </rPr>
          <t xml:space="preserve">
</t>
        </r>
      </text>
    </comment>
    <comment ref="D97" authorId="0" shapeId="0" xr:uid="{00000000-0006-0000-0100-00000D000000}">
      <text>
        <r>
          <rPr>
            <sz val="12"/>
            <color indexed="81"/>
            <rFont val="Times New Roman"/>
            <family val="1"/>
          </rPr>
          <t>Edited in V3</t>
        </r>
        <r>
          <rPr>
            <sz val="10"/>
            <color indexed="81"/>
            <rFont val="Calibri"/>
            <family val="2"/>
          </rPr>
          <t xml:space="preserve">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Microsoft Office User</author>
  </authors>
  <commentList>
    <comment ref="F5" authorId="0" shapeId="0" xr:uid="{00000000-0006-0000-0200-000001000000}">
      <text>
        <r>
          <rPr>
            <sz val="12"/>
            <color indexed="81"/>
            <rFont val="Times New Roman"/>
            <family val="1"/>
          </rPr>
          <t>Updated in V3</t>
        </r>
        <r>
          <rPr>
            <sz val="10"/>
            <color indexed="81"/>
            <rFont val="Calibri"/>
            <family val="2"/>
          </rPr>
          <t xml:space="preserve">
</t>
        </r>
      </text>
    </comment>
    <comment ref="J5" authorId="0" shapeId="0" xr:uid="{0A18D97F-5C6A-4EC6-BEAA-6D7195979C5F}">
      <text>
        <r>
          <rPr>
            <sz val="12"/>
            <color indexed="81"/>
            <rFont val="Times New Roman"/>
            <family val="1"/>
          </rPr>
          <t>Updated in V3</t>
        </r>
        <r>
          <rPr>
            <sz val="10"/>
            <color indexed="81"/>
            <rFont val="Calibri"/>
            <family val="2"/>
          </rPr>
          <t xml:space="preserve">
</t>
        </r>
      </text>
    </comment>
    <comment ref="N5" authorId="0" shapeId="0" xr:uid="{9985C900-CEE3-4B7B-BC36-E30F2557A4E2}">
      <text>
        <r>
          <rPr>
            <sz val="12"/>
            <color indexed="81"/>
            <rFont val="Times New Roman"/>
            <family val="1"/>
          </rPr>
          <t>Updated in V3</t>
        </r>
        <r>
          <rPr>
            <sz val="10"/>
            <color indexed="81"/>
            <rFont val="Calibri"/>
            <family val="2"/>
          </rPr>
          <t xml:space="preserve">
</t>
        </r>
      </text>
    </comment>
    <comment ref="R5" authorId="0" shapeId="0" xr:uid="{CF04F4E3-5C52-4220-8196-84F757701F16}">
      <text>
        <r>
          <rPr>
            <sz val="12"/>
            <color indexed="81"/>
            <rFont val="Times New Roman"/>
            <family val="1"/>
          </rPr>
          <t>Updated in V3</t>
        </r>
        <r>
          <rPr>
            <sz val="10"/>
            <color indexed="81"/>
            <rFont val="Calibri"/>
            <family val="2"/>
          </rPr>
          <t xml:space="preserve">
</t>
        </r>
      </text>
    </comment>
    <comment ref="V5" authorId="0" shapeId="0" xr:uid="{66ADC69B-9217-413B-BBD2-49A27BA49D5C}">
      <text>
        <r>
          <rPr>
            <sz val="12"/>
            <color indexed="81"/>
            <rFont val="Times New Roman"/>
            <family val="1"/>
          </rPr>
          <t>Updated in V3</t>
        </r>
        <r>
          <rPr>
            <sz val="10"/>
            <color indexed="81"/>
            <rFont val="Calibri"/>
            <family val="2"/>
          </rPr>
          <t xml:space="preserve">
</t>
        </r>
      </text>
    </comment>
    <comment ref="Z5" authorId="0" shapeId="0" xr:uid="{DD570667-360D-48BD-BFF9-D838836D9236}">
      <text>
        <r>
          <rPr>
            <sz val="12"/>
            <color indexed="81"/>
            <rFont val="Times New Roman"/>
            <family val="1"/>
          </rPr>
          <t>Updated in V3</t>
        </r>
        <r>
          <rPr>
            <sz val="10"/>
            <color indexed="81"/>
            <rFont val="Calibri"/>
            <family val="2"/>
          </rPr>
          <t xml:space="preserve">
</t>
        </r>
      </text>
    </comment>
    <comment ref="AD5" authorId="0" shapeId="0" xr:uid="{CBDDD3C7-4B55-4864-A3F6-706A4B2A1D63}">
      <text>
        <r>
          <rPr>
            <sz val="12"/>
            <color indexed="81"/>
            <rFont val="Times New Roman"/>
            <family val="1"/>
          </rPr>
          <t>Updated in V3</t>
        </r>
        <r>
          <rPr>
            <sz val="10"/>
            <color indexed="81"/>
            <rFont val="Calibri"/>
            <family val="2"/>
          </rPr>
          <t xml:space="preserve">
</t>
        </r>
      </text>
    </comment>
    <comment ref="AH5" authorId="0" shapeId="0" xr:uid="{317A4FA0-76C7-4679-BFC6-0D5636372673}">
      <text>
        <r>
          <rPr>
            <sz val="12"/>
            <color indexed="81"/>
            <rFont val="Times New Roman"/>
            <family val="1"/>
          </rPr>
          <t>Updated in V3</t>
        </r>
        <r>
          <rPr>
            <sz val="10"/>
            <color indexed="81"/>
            <rFont val="Calibri"/>
            <family val="2"/>
          </rPr>
          <t xml:space="preserve">
</t>
        </r>
      </text>
    </comment>
    <comment ref="AL5" authorId="0" shapeId="0" xr:uid="{C596419A-4F79-494B-87FC-00A3F0E71B46}">
      <text>
        <r>
          <rPr>
            <sz val="12"/>
            <color indexed="81"/>
            <rFont val="Times New Roman"/>
            <family val="1"/>
          </rPr>
          <t>Updated in V3</t>
        </r>
        <r>
          <rPr>
            <sz val="10"/>
            <color indexed="81"/>
            <rFont val="Calibri"/>
            <family val="2"/>
          </rPr>
          <t xml:space="preserve">
</t>
        </r>
      </text>
    </comment>
    <comment ref="AP5" authorId="0" shapeId="0" xr:uid="{15907012-F862-4872-A40F-D0018FD3D722}">
      <text>
        <r>
          <rPr>
            <sz val="12"/>
            <color indexed="81"/>
            <rFont val="Times New Roman"/>
            <family val="1"/>
          </rPr>
          <t>Updated in V3</t>
        </r>
        <r>
          <rPr>
            <sz val="10"/>
            <color indexed="81"/>
            <rFont val="Calibri"/>
            <family val="2"/>
          </rPr>
          <t xml:space="preserve">
</t>
        </r>
      </text>
    </comment>
    <comment ref="AT5" authorId="0" shapeId="0" xr:uid="{4B134CA8-AC20-40ED-8077-7031FC72F6A4}">
      <text>
        <r>
          <rPr>
            <sz val="12"/>
            <color indexed="81"/>
            <rFont val="Times New Roman"/>
            <family val="1"/>
          </rPr>
          <t>Updated in V3</t>
        </r>
        <r>
          <rPr>
            <sz val="10"/>
            <color indexed="81"/>
            <rFont val="Calibri"/>
            <family val="2"/>
          </rPr>
          <t xml:space="preserve">
</t>
        </r>
      </text>
    </comment>
    <comment ref="AX5" authorId="0" shapeId="0" xr:uid="{823E390F-AAB6-47D8-8318-290245320BE0}">
      <text>
        <r>
          <rPr>
            <sz val="12"/>
            <color indexed="81"/>
            <rFont val="Times New Roman"/>
            <family val="1"/>
          </rPr>
          <t>Updated in V3</t>
        </r>
        <r>
          <rPr>
            <sz val="10"/>
            <color indexed="81"/>
            <rFont val="Calibri"/>
            <family val="2"/>
          </rPr>
          <t xml:space="preserve">
</t>
        </r>
      </text>
    </comment>
    <comment ref="BB5" authorId="0" shapeId="0" xr:uid="{42739644-0E70-4D28-8CD1-5F44245C4A9F}">
      <text>
        <r>
          <rPr>
            <sz val="12"/>
            <color indexed="81"/>
            <rFont val="Times New Roman"/>
            <family val="1"/>
          </rPr>
          <t>Updated in V3</t>
        </r>
        <r>
          <rPr>
            <sz val="10"/>
            <color indexed="81"/>
            <rFont val="Calibri"/>
            <family val="2"/>
          </rPr>
          <t xml:space="preserve">
</t>
        </r>
      </text>
    </comment>
    <comment ref="BF5" authorId="0" shapeId="0" xr:uid="{AEC203DE-9B76-4090-99E1-D82496E31DB0}">
      <text>
        <r>
          <rPr>
            <sz val="12"/>
            <color indexed="81"/>
            <rFont val="Times New Roman"/>
            <family val="1"/>
          </rPr>
          <t>Updated in V3</t>
        </r>
        <r>
          <rPr>
            <sz val="10"/>
            <color indexed="81"/>
            <rFont val="Calibri"/>
            <family val="2"/>
          </rPr>
          <t xml:space="preserve">
</t>
        </r>
      </text>
    </comment>
    <comment ref="BJ5" authorId="0" shapeId="0" xr:uid="{E726F598-0D0E-40CB-AB58-1259BE7C6CA3}">
      <text>
        <r>
          <rPr>
            <sz val="12"/>
            <color indexed="81"/>
            <rFont val="Times New Roman"/>
            <family val="1"/>
          </rPr>
          <t>Updated in V3</t>
        </r>
        <r>
          <rPr>
            <sz val="10"/>
            <color indexed="81"/>
            <rFont val="Calibri"/>
            <family val="2"/>
          </rPr>
          <t xml:space="preserve">
</t>
        </r>
      </text>
    </comment>
    <comment ref="BN5" authorId="0" shapeId="0" xr:uid="{AF86DFD2-97AC-40E7-B62D-8E9396139901}">
      <text>
        <r>
          <rPr>
            <sz val="12"/>
            <color indexed="81"/>
            <rFont val="Times New Roman"/>
            <family val="1"/>
          </rPr>
          <t>Updated in V3</t>
        </r>
        <r>
          <rPr>
            <sz val="10"/>
            <color indexed="81"/>
            <rFont val="Calibri"/>
            <family val="2"/>
          </rPr>
          <t xml:space="preserve">
</t>
        </r>
      </text>
    </comment>
    <comment ref="BR5" authorId="0" shapeId="0" xr:uid="{3B1AA55C-ADC6-4B74-8D6D-6BCC38525617}">
      <text>
        <r>
          <rPr>
            <sz val="12"/>
            <color indexed="81"/>
            <rFont val="Times New Roman"/>
            <family val="1"/>
          </rPr>
          <t>Updated in V3</t>
        </r>
        <r>
          <rPr>
            <sz val="10"/>
            <color indexed="81"/>
            <rFont val="Calibri"/>
            <family val="2"/>
          </rPr>
          <t xml:space="preserve">
</t>
        </r>
      </text>
    </comment>
    <comment ref="BV5" authorId="0" shapeId="0" xr:uid="{1A8BC7AB-BC53-41FA-B192-6D5C51B5D00D}">
      <text>
        <r>
          <rPr>
            <sz val="12"/>
            <color indexed="81"/>
            <rFont val="Times New Roman"/>
            <family val="1"/>
          </rPr>
          <t>Updated in V3</t>
        </r>
        <r>
          <rPr>
            <sz val="10"/>
            <color indexed="81"/>
            <rFont val="Calibri"/>
            <family val="2"/>
          </rPr>
          <t xml:space="preserve">
</t>
        </r>
      </text>
    </comment>
    <comment ref="BZ5" authorId="0" shapeId="0" xr:uid="{D8CE943F-EC61-4226-BB01-EE5006BA4B85}">
      <text>
        <r>
          <rPr>
            <sz val="12"/>
            <color indexed="81"/>
            <rFont val="Times New Roman"/>
            <family val="1"/>
          </rPr>
          <t>Updated in V3</t>
        </r>
        <r>
          <rPr>
            <sz val="10"/>
            <color indexed="81"/>
            <rFont val="Calibri"/>
            <family val="2"/>
          </rPr>
          <t xml:space="preserve">
</t>
        </r>
      </text>
    </comment>
    <comment ref="CD5" authorId="0" shapeId="0" xr:uid="{B009B15B-2B52-4D37-977A-E7C233CB3A02}">
      <text>
        <r>
          <rPr>
            <sz val="12"/>
            <color indexed="81"/>
            <rFont val="Times New Roman"/>
            <family val="1"/>
          </rPr>
          <t>Updated in V3</t>
        </r>
        <r>
          <rPr>
            <sz val="10"/>
            <color indexed="81"/>
            <rFont val="Calibri"/>
            <family val="2"/>
          </rPr>
          <t xml:space="preserve">
</t>
        </r>
      </text>
    </comment>
    <comment ref="CH5" authorId="0" shapeId="0" xr:uid="{36AC3850-8ED1-4626-B3F8-E981D10E9ACD}">
      <text>
        <r>
          <rPr>
            <sz val="12"/>
            <color indexed="81"/>
            <rFont val="Times New Roman"/>
            <family val="1"/>
          </rPr>
          <t>Updated in V3</t>
        </r>
        <r>
          <rPr>
            <sz val="10"/>
            <color indexed="81"/>
            <rFont val="Calibri"/>
            <family val="2"/>
          </rPr>
          <t xml:space="preserve">
</t>
        </r>
      </text>
    </comment>
    <comment ref="D29" authorId="0" shapeId="0" xr:uid="{00000000-0006-0000-0200-000002000000}">
      <text>
        <r>
          <rPr>
            <sz val="12"/>
            <color indexed="81"/>
            <rFont val="Times New Roman"/>
            <family val="1"/>
          </rPr>
          <t>Walk_mi is the time the pedestrian has to cross the major street. It is the time given to the minor street through movement signal phase (minus minor street yellow and all-red clearance).</t>
        </r>
        <r>
          <rPr>
            <sz val="14"/>
            <color indexed="81"/>
            <rFont val="Times New Roman"/>
            <family val="1"/>
          </rPr>
          <t xml:space="preserve">  
</t>
        </r>
      </text>
    </comment>
    <comment ref="D35" authorId="0" shapeId="0" xr:uid="{00000000-0006-0000-0200-000003000000}">
      <text>
        <r>
          <rPr>
            <sz val="12"/>
            <color indexed="81"/>
            <rFont val="Times New Roman"/>
            <family val="1"/>
          </rPr>
          <t>It only takes into account parking spaces located in the cross-section of the intersection-leg analyzed.  If the "curb-to-curb width" does not include parking space width, do not include parking information.</t>
        </r>
        <r>
          <rPr>
            <sz val="14"/>
            <color indexed="81"/>
            <rFont val="Times New Roman"/>
            <family val="1"/>
          </rPr>
          <t xml:space="preserve">
</t>
        </r>
        <r>
          <rPr>
            <sz val="12"/>
            <color indexed="81"/>
            <rFont val="Times New Roman"/>
            <family val="1"/>
          </rPr>
          <t>It is used to estimate the available cross-section width for the bicycle LOS.</t>
        </r>
        <r>
          <rPr>
            <sz val="14"/>
            <color indexed="81"/>
            <rFont val="Times New Roman"/>
            <family val="1"/>
          </rPr>
          <t xml:space="preserve">
</t>
        </r>
      </text>
    </comment>
    <comment ref="D36" authorId="0" shapeId="0" xr:uid="{00000000-0006-0000-0200-000004000000}">
      <text>
        <r>
          <rPr>
            <sz val="12"/>
            <color indexed="81"/>
            <rFont val="Times New Roman"/>
            <family val="1"/>
          </rPr>
          <t xml:space="preserve">It only takes into account parking spaces located in the cross-section of the intersection-leg analyzed.  If the "curb-to-curb width" does not include parking space width, do not include parking information.
It is used to estimate the available cross-section width for the bicycle LOS.
</t>
        </r>
      </text>
    </comment>
    <comment ref="D44" authorId="0" shapeId="0" xr:uid="{00000000-0006-0000-0200-000005000000}">
      <text>
        <r>
          <rPr>
            <sz val="12"/>
            <color indexed="81"/>
            <rFont val="Times New Roman"/>
            <family val="1"/>
          </rPr>
          <t>Added in V3</t>
        </r>
      </text>
    </comment>
  </commentList>
</comments>
</file>

<file path=xl/sharedStrings.xml><?xml version="1.0" encoding="utf-8"?>
<sst xmlns="http://schemas.openxmlformats.org/spreadsheetml/2006/main" count="1340" uniqueCount="655">
  <si>
    <t>Inputs</t>
  </si>
  <si>
    <t>Number of local buses on street segment per hour (bus/h)</t>
  </si>
  <si>
    <t>Number of express buses stopping in segment per hour (bus/h)</t>
  </si>
  <si>
    <t>Average excess wait time (min)</t>
  </si>
  <si>
    <t>Average passenger load factor (p/seat)</t>
  </si>
  <si>
    <t>S</t>
  </si>
  <si>
    <t>Average transit travel speed (mi/h)</t>
  </si>
  <si>
    <t>Average passenger trip length (mi)</t>
  </si>
  <si>
    <t>Is the segment in the CBD of a metro area of 5 million or more?</t>
  </si>
  <si>
    <t>Percent stops in segment with a shelter</t>
  </si>
  <si>
    <t>Percent stops in segment with a bench</t>
  </si>
  <si>
    <t>Buffer width from sidewalk to street (ft)</t>
  </si>
  <si>
    <t>Is the street divided?</t>
  </si>
  <si>
    <t>Are parking spaces striped?</t>
  </si>
  <si>
    <t>Proportion of on-street parking occupied</t>
  </si>
  <si>
    <t>Bicycle lane width (ft)</t>
  </si>
  <si>
    <t>Outside travel lane (closest to sidewalk) width (ft)</t>
  </si>
  <si>
    <t>Outside lane demand flow rate at midsegment (veh/h)</t>
  </si>
  <si>
    <t>Average vehicle running speed, including intersection delay (mi/h)</t>
  </si>
  <si>
    <t>Link 1</t>
  </si>
  <si>
    <t>BICYCLE</t>
  </si>
  <si>
    <t xml:space="preserve">TRANSIT </t>
  </si>
  <si>
    <t>Paved outside shoulder width (ft)</t>
  </si>
  <si>
    <t>Striped parking lane width (ft)</t>
  </si>
  <si>
    <t>Calculations</t>
  </si>
  <si>
    <r>
      <t>W</t>
    </r>
    <r>
      <rPr>
        <vertAlign val="subscript"/>
        <sz val="10"/>
        <color theme="1"/>
        <rFont val="Times New Roman"/>
        <family val="1"/>
      </rPr>
      <t>A</t>
    </r>
  </si>
  <si>
    <r>
      <t>W</t>
    </r>
    <r>
      <rPr>
        <vertAlign val="subscript"/>
        <sz val="10"/>
        <color theme="1"/>
        <rFont val="Times New Roman"/>
        <family val="1"/>
      </rPr>
      <t>buf</t>
    </r>
  </si>
  <si>
    <r>
      <t>p</t>
    </r>
    <r>
      <rPr>
        <vertAlign val="subscript"/>
        <sz val="10"/>
        <color theme="1"/>
        <rFont val="Times New Roman"/>
        <family val="1"/>
      </rPr>
      <t>pk</t>
    </r>
  </si>
  <si>
    <r>
      <t>W</t>
    </r>
    <r>
      <rPr>
        <vertAlign val="subscript"/>
        <sz val="10"/>
        <color theme="1"/>
        <rFont val="Times New Roman"/>
        <family val="1"/>
      </rPr>
      <t>bl</t>
    </r>
  </si>
  <si>
    <r>
      <t>W</t>
    </r>
    <r>
      <rPr>
        <vertAlign val="subscript"/>
        <sz val="10"/>
        <color theme="1"/>
        <rFont val="Times New Roman"/>
        <family val="1"/>
      </rPr>
      <t>os</t>
    </r>
  </si>
  <si>
    <r>
      <t>W</t>
    </r>
    <r>
      <rPr>
        <vertAlign val="subscript"/>
        <sz val="10"/>
        <color theme="1"/>
        <rFont val="Times New Roman"/>
        <family val="1"/>
      </rPr>
      <t>ol</t>
    </r>
  </si>
  <si>
    <r>
      <t>S</t>
    </r>
    <r>
      <rPr>
        <vertAlign val="subscript"/>
        <sz val="10"/>
        <color theme="1"/>
        <rFont val="Times New Roman"/>
        <family val="1"/>
      </rPr>
      <t>R</t>
    </r>
  </si>
  <si>
    <t>Motorized vehicle speed adjustment factor</t>
  </si>
  <si>
    <t>Motorized vehicle volume adjustment factor</t>
  </si>
  <si>
    <t>Adjusted available sidewalk width (ft)</t>
  </si>
  <si>
    <t>Sidewalk width coefficient</t>
  </si>
  <si>
    <t>Buffer area coefficient</t>
  </si>
  <si>
    <t>Effective total width as a function of traffic volume (ft)</t>
  </si>
  <si>
    <t>Effective width of combined bike lane and shoulder (ft)</t>
  </si>
  <si>
    <t>Cross-section adjustment factor</t>
  </si>
  <si>
    <t>Pedestrian environment score</t>
  </si>
  <si>
    <t>Pedestrian LOS</t>
  </si>
  <si>
    <r>
      <t>W</t>
    </r>
    <r>
      <rPr>
        <vertAlign val="subscript"/>
        <sz val="10"/>
        <color theme="1"/>
        <rFont val="Times New Roman"/>
        <family val="1"/>
      </rPr>
      <t>aA</t>
    </r>
  </si>
  <si>
    <r>
      <t>f</t>
    </r>
    <r>
      <rPr>
        <vertAlign val="subscript"/>
        <sz val="10"/>
        <color theme="1"/>
        <rFont val="Times New Roman"/>
        <family val="1"/>
      </rPr>
      <t>sw</t>
    </r>
  </si>
  <si>
    <r>
      <t>f</t>
    </r>
    <r>
      <rPr>
        <vertAlign val="subscript"/>
        <sz val="10"/>
        <color theme="1"/>
        <rFont val="Times New Roman"/>
        <family val="1"/>
      </rPr>
      <t>b</t>
    </r>
  </si>
  <si>
    <r>
      <t>W</t>
    </r>
    <r>
      <rPr>
        <vertAlign val="subscript"/>
        <sz val="10"/>
        <color theme="1"/>
        <rFont val="Times New Roman"/>
        <family val="1"/>
      </rPr>
      <t>t</t>
    </r>
  </si>
  <si>
    <r>
      <t>W</t>
    </r>
    <r>
      <rPr>
        <vertAlign val="subscript"/>
        <sz val="10"/>
        <color theme="1"/>
        <rFont val="Times New Roman"/>
        <family val="1"/>
      </rPr>
      <t>v</t>
    </r>
  </si>
  <si>
    <r>
      <t>W</t>
    </r>
    <r>
      <rPr>
        <vertAlign val="subscript"/>
        <sz val="10"/>
        <color theme="1"/>
        <rFont val="Times New Roman"/>
        <family val="1"/>
      </rPr>
      <t>1</t>
    </r>
  </si>
  <si>
    <r>
      <t>I</t>
    </r>
    <r>
      <rPr>
        <vertAlign val="subscript"/>
        <sz val="10"/>
        <color theme="1"/>
        <rFont val="Times New Roman"/>
        <family val="1"/>
      </rPr>
      <t>p</t>
    </r>
  </si>
  <si>
    <t>Output</t>
  </si>
  <si>
    <t xml:space="preserve">PEDESTRIAN </t>
  </si>
  <si>
    <t>Bicycle LOS</t>
  </si>
  <si>
    <t>Transit LOS</t>
  </si>
  <si>
    <t>f</t>
  </si>
  <si>
    <t>Transit frequency (bus/h)</t>
  </si>
  <si>
    <t>Headway factor</t>
  </si>
  <si>
    <t>Passenger load weighting factor</t>
  </si>
  <si>
    <t>Perceived amenity time rate (min/mi)</t>
  </si>
  <si>
    <t>Excess wait time rate due to late arrivals (min/mi)</t>
  </si>
  <si>
    <t>Perceived travel time rate (min/mi)</t>
  </si>
  <si>
    <t>Base travel time rate (min/mi)</t>
  </si>
  <si>
    <t>Perceived travel time factor</t>
  </si>
  <si>
    <t>Transit wait-ride score</t>
  </si>
  <si>
    <t>Transit</t>
  </si>
  <si>
    <t>No</t>
  </si>
  <si>
    <t>Direction</t>
  </si>
  <si>
    <t>Direction 1</t>
  </si>
  <si>
    <t>Direction 2</t>
  </si>
  <si>
    <t>Multimodal Level of Service (MMLOS)</t>
  </si>
  <si>
    <t>Pedestrian</t>
  </si>
  <si>
    <t>Bicycle</t>
  </si>
  <si>
    <t>Mode</t>
  </si>
  <si>
    <t>Score</t>
  </si>
  <si>
    <t>LOS</t>
  </si>
  <si>
    <t>Yes</t>
  </si>
  <si>
    <r>
      <t>t</t>
    </r>
    <r>
      <rPr>
        <vertAlign val="subscript"/>
        <sz val="10"/>
        <color theme="1"/>
        <rFont val="Times New Roman"/>
        <family val="1"/>
      </rPr>
      <t>ex</t>
    </r>
  </si>
  <si>
    <r>
      <t>L</t>
    </r>
    <r>
      <rPr>
        <vertAlign val="subscript"/>
        <sz val="10"/>
        <color theme="1"/>
        <rFont val="Times New Roman"/>
        <family val="1"/>
      </rPr>
      <t>f</t>
    </r>
  </si>
  <si>
    <r>
      <t>l</t>
    </r>
    <r>
      <rPr>
        <vertAlign val="subscript"/>
        <sz val="10"/>
        <color theme="1"/>
        <rFont val="Times New Roman"/>
        <family val="1"/>
      </rPr>
      <t>pt</t>
    </r>
  </si>
  <si>
    <r>
      <t>p</t>
    </r>
    <r>
      <rPr>
        <vertAlign val="subscript"/>
        <sz val="10"/>
        <color theme="1"/>
        <rFont val="Times New Roman"/>
        <family val="1"/>
      </rPr>
      <t>sh</t>
    </r>
  </si>
  <si>
    <r>
      <t>p</t>
    </r>
    <r>
      <rPr>
        <vertAlign val="subscript"/>
        <sz val="10"/>
        <color theme="1"/>
        <rFont val="Times New Roman"/>
        <family val="1"/>
      </rPr>
      <t>be</t>
    </r>
  </si>
  <si>
    <r>
      <t>f</t>
    </r>
    <r>
      <rPr>
        <vertAlign val="subscript"/>
        <sz val="10"/>
        <color theme="1"/>
        <rFont val="Times New Roman"/>
        <family val="1"/>
      </rPr>
      <t>h</t>
    </r>
  </si>
  <si>
    <r>
      <t>f</t>
    </r>
    <r>
      <rPr>
        <vertAlign val="subscript"/>
        <sz val="10"/>
        <color theme="1"/>
        <rFont val="Times New Roman"/>
        <family val="1"/>
      </rPr>
      <t>pl</t>
    </r>
  </si>
  <si>
    <r>
      <t>T</t>
    </r>
    <r>
      <rPr>
        <vertAlign val="subscript"/>
        <sz val="10"/>
        <color theme="1"/>
        <rFont val="Times New Roman"/>
        <family val="1"/>
      </rPr>
      <t>at</t>
    </r>
  </si>
  <si>
    <r>
      <t>T</t>
    </r>
    <r>
      <rPr>
        <vertAlign val="subscript"/>
        <sz val="10"/>
        <color theme="1"/>
        <rFont val="Times New Roman"/>
        <family val="1"/>
      </rPr>
      <t>ex</t>
    </r>
  </si>
  <si>
    <r>
      <t>T</t>
    </r>
    <r>
      <rPr>
        <vertAlign val="subscript"/>
        <sz val="10"/>
        <color theme="1"/>
        <rFont val="Times New Roman"/>
        <family val="1"/>
      </rPr>
      <t>ptt</t>
    </r>
  </si>
  <si>
    <r>
      <t>T</t>
    </r>
    <r>
      <rPr>
        <vertAlign val="subscript"/>
        <sz val="10"/>
        <color theme="1"/>
        <rFont val="Times New Roman"/>
        <family val="1"/>
      </rPr>
      <t>btt</t>
    </r>
  </si>
  <si>
    <r>
      <t>f</t>
    </r>
    <r>
      <rPr>
        <vertAlign val="subscript"/>
        <sz val="10"/>
        <color theme="1"/>
        <rFont val="Times New Roman"/>
        <family val="1"/>
      </rPr>
      <t>tt</t>
    </r>
  </si>
  <si>
    <r>
      <t>s</t>
    </r>
    <r>
      <rPr>
        <vertAlign val="subscript"/>
        <sz val="10"/>
        <color theme="1"/>
        <rFont val="Times New Roman"/>
        <family val="1"/>
      </rPr>
      <t>w-r</t>
    </r>
  </si>
  <si>
    <t>Link length (ft)</t>
  </si>
  <si>
    <t>Transit LOS score</t>
  </si>
  <si>
    <t>Heavy vehicle percentage</t>
  </si>
  <si>
    <t>Pavement condition rating (0 to 5)</t>
  </si>
  <si>
    <t>Bicycle LOS Score for link</t>
  </si>
  <si>
    <t>Pedestrian LOS Score for link</t>
  </si>
  <si>
    <t>Transit LOS Score for link</t>
  </si>
  <si>
    <t>Links</t>
  </si>
  <si>
    <t>Intersections</t>
  </si>
  <si>
    <t>-</t>
  </si>
  <si>
    <r>
      <t>I</t>
    </r>
    <r>
      <rPr>
        <vertAlign val="subscript"/>
        <sz val="10"/>
        <color theme="1"/>
        <rFont val="Times New Roman"/>
        <family val="1"/>
      </rPr>
      <t>b</t>
    </r>
  </si>
  <si>
    <t>Pavement condition adjustment factor</t>
  </si>
  <si>
    <r>
      <t>F</t>
    </r>
    <r>
      <rPr>
        <vertAlign val="subscript"/>
        <sz val="10"/>
        <color theme="1"/>
        <rFont val="Times New Roman"/>
        <family val="1"/>
      </rPr>
      <t>p</t>
    </r>
  </si>
  <si>
    <r>
      <t>F</t>
    </r>
    <r>
      <rPr>
        <vertAlign val="subscript"/>
        <sz val="10"/>
        <color theme="1"/>
        <rFont val="Times New Roman"/>
        <family val="1"/>
      </rPr>
      <t>s</t>
    </r>
  </si>
  <si>
    <r>
      <t>F</t>
    </r>
    <r>
      <rPr>
        <vertAlign val="subscript"/>
        <sz val="10"/>
        <color theme="1"/>
        <rFont val="Times New Roman"/>
        <family val="1"/>
      </rPr>
      <t>v</t>
    </r>
  </si>
  <si>
    <r>
      <t>F</t>
    </r>
    <r>
      <rPr>
        <vertAlign val="subscript"/>
        <sz val="10"/>
        <color theme="1"/>
        <rFont val="Times New Roman"/>
        <family val="1"/>
      </rPr>
      <t>w</t>
    </r>
  </si>
  <si>
    <r>
      <t>P</t>
    </r>
    <r>
      <rPr>
        <vertAlign val="subscript"/>
        <sz val="10"/>
        <color theme="1"/>
        <rFont val="Times New Roman"/>
        <family val="1"/>
      </rPr>
      <t>HVa</t>
    </r>
  </si>
  <si>
    <t>Adjusted percent heavy vehicles</t>
  </si>
  <si>
    <r>
      <t>W</t>
    </r>
    <r>
      <rPr>
        <vertAlign val="subscript"/>
        <sz val="10"/>
        <color theme="1"/>
        <rFont val="Times New Roman"/>
        <family val="1"/>
      </rPr>
      <t>e</t>
    </r>
  </si>
  <si>
    <t>Total width of outside through lane, bicycle lane, and paved shoulder (ft)</t>
  </si>
  <si>
    <r>
      <t>P</t>
    </r>
    <r>
      <rPr>
        <vertAlign val="subscript"/>
        <sz val="10"/>
        <color theme="1"/>
        <rFont val="Times New Roman"/>
        <family val="1"/>
      </rPr>
      <t>HV</t>
    </r>
  </si>
  <si>
    <r>
      <t>W</t>
    </r>
    <r>
      <rPr>
        <vertAlign val="subscript"/>
        <sz val="10"/>
        <color theme="1"/>
        <rFont val="Times New Roman"/>
        <family val="1"/>
      </rPr>
      <t>os*</t>
    </r>
  </si>
  <si>
    <t>Adjusted width of paved outside shoulder (ft)</t>
  </si>
  <si>
    <r>
      <t>S</t>
    </r>
    <r>
      <rPr>
        <vertAlign val="subscript"/>
        <sz val="10"/>
        <color theme="1"/>
        <rFont val="Times New Roman"/>
        <family val="1"/>
      </rPr>
      <t>Ra</t>
    </r>
  </si>
  <si>
    <t>Adjusted motorized vehicle running speed (mph)</t>
  </si>
  <si>
    <r>
      <t>v</t>
    </r>
    <r>
      <rPr>
        <vertAlign val="subscript"/>
        <sz val="10"/>
        <color theme="1"/>
        <rFont val="Times New Roman"/>
        <family val="1"/>
      </rPr>
      <t>ma</t>
    </r>
  </si>
  <si>
    <t>Adjusted midsegment demand flow rate (veh/h)</t>
  </si>
  <si>
    <t>PEDESTRIAN AND BICYCLE</t>
  </si>
  <si>
    <r>
      <t>P</t>
    </r>
    <r>
      <rPr>
        <vertAlign val="subscript"/>
        <sz val="10"/>
        <color theme="1"/>
        <rFont val="Times New Roman"/>
        <family val="1"/>
      </rPr>
      <t>c</t>
    </r>
  </si>
  <si>
    <r>
      <t>N</t>
    </r>
    <r>
      <rPr>
        <vertAlign val="subscript"/>
        <sz val="10"/>
        <color theme="1"/>
        <rFont val="Times New Roman"/>
        <family val="1"/>
      </rPr>
      <t>th</t>
    </r>
  </si>
  <si>
    <t>Number of through lanes in the subject direction of travel</t>
  </si>
  <si>
    <r>
      <t>W</t>
    </r>
    <r>
      <rPr>
        <vertAlign val="subscript"/>
        <sz val="10"/>
        <color theme="1"/>
        <rFont val="Times New Roman"/>
        <family val="1"/>
      </rPr>
      <t>l</t>
    </r>
  </si>
  <si>
    <t>Total width of shoulder, bicycle lane, and parking lane (ft)</t>
  </si>
  <si>
    <r>
      <t>W</t>
    </r>
    <r>
      <rPr>
        <vertAlign val="subscript"/>
        <sz val="10"/>
        <color theme="1"/>
        <rFont val="Times New Roman"/>
        <family val="1"/>
      </rPr>
      <t>pk</t>
    </r>
  </si>
  <si>
    <r>
      <t>V</t>
    </r>
    <r>
      <rPr>
        <vertAlign val="subscript"/>
        <sz val="10"/>
        <color theme="1"/>
        <rFont val="Times New Roman"/>
        <family val="1"/>
      </rPr>
      <t>m</t>
    </r>
  </si>
  <si>
    <t>Link 2</t>
  </si>
  <si>
    <t>Link 3</t>
  </si>
  <si>
    <t>Link 4</t>
  </si>
  <si>
    <t>Link 5</t>
  </si>
  <si>
    <t>Link 6</t>
  </si>
  <si>
    <t>Link 7</t>
  </si>
  <si>
    <t>Link 8</t>
  </si>
  <si>
    <t>Link 9</t>
  </si>
  <si>
    <t>Link 10</t>
  </si>
  <si>
    <t>Link 11</t>
  </si>
  <si>
    <t>Link 12</t>
  </si>
  <si>
    <t>Link 13</t>
  </si>
  <si>
    <t>Link 14</t>
  </si>
  <si>
    <t>Link 15</t>
  </si>
  <si>
    <t>Link 16</t>
  </si>
  <si>
    <t>Link 17</t>
  </si>
  <si>
    <t>Link 18</t>
  </si>
  <si>
    <t>Link 19</t>
  </si>
  <si>
    <t>Link 20</t>
  </si>
  <si>
    <t xml:space="preserve"> </t>
  </si>
  <si>
    <t>Direction 3</t>
  </si>
  <si>
    <t>Direction 4</t>
  </si>
  <si>
    <t>Intersection 1</t>
  </si>
  <si>
    <r>
      <t>N</t>
    </r>
    <r>
      <rPr>
        <vertAlign val="subscript"/>
        <sz val="10"/>
        <color theme="1"/>
        <rFont val="Times New Roman"/>
        <family val="1"/>
      </rPr>
      <t>d</t>
    </r>
  </si>
  <si>
    <t>Number of traffic lanes crossed when traversing the crosswalk</t>
  </si>
  <si>
    <r>
      <t>S</t>
    </r>
    <r>
      <rPr>
        <vertAlign val="subscript"/>
        <sz val="10"/>
        <color theme="1"/>
        <rFont val="Times New Roman"/>
        <family val="1"/>
      </rPr>
      <t>85,mj</t>
    </r>
  </si>
  <si>
    <r>
      <t>85</t>
    </r>
    <r>
      <rPr>
        <vertAlign val="superscript"/>
        <sz val="10"/>
        <color theme="1"/>
        <rFont val="Times New Roman"/>
        <family val="1"/>
      </rPr>
      <t>th</t>
    </r>
    <r>
      <rPr>
        <sz val="10"/>
        <color theme="1"/>
        <rFont val="Times New Roman"/>
        <family val="1"/>
      </rPr>
      <t xml:space="preserve"> Percentile speed at midsegment on the street crossed (mi/h)</t>
    </r>
  </si>
  <si>
    <r>
      <t>n</t>
    </r>
    <r>
      <rPr>
        <vertAlign val="subscript"/>
        <sz val="10"/>
        <color theme="1"/>
        <rFont val="Times New Roman"/>
        <family val="1"/>
      </rPr>
      <t>15,mj</t>
    </r>
  </si>
  <si>
    <t>Count of vehicles traveling during 15-min period (veh/lane)</t>
  </si>
  <si>
    <r>
      <t>v</t>
    </r>
    <r>
      <rPr>
        <vertAlign val="subscript"/>
        <sz val="10"/>
        <color theme="1"/>
        <rFont val="Times New Roman"/>
        <family val="1"/>
      </rPr>
      <t>lt</t>
    </r>
  </si>
  <si>
    <r>
      <t>v</t>
    </r>
    <r>
      <rPr>
        <vertAlign val="subscript"/>
        <sz val="10"/>
        <color theme="1"/>
        <rFont val="Times New Roman"/>
        <family val="1"/>
      </rPr>
      <t>rt</t>
    </r>
  </si>
  <si>
    <t>Right-tun-on-red flow rate (veh/h)</t>
  </si>
  <si>
    <r>
      <t>v</t>
    </r>
    <r>
      <rPr>
        <vertAlign val="subscript"/>
        <sz val="10"/>
        <color theme="1"/>
        <rFont val="Times New Roman"/>
        <family val="1"/>
      </rPr>
      <t>lt,perm</t>
    </r>
  </si>
  <si>
    <t>Permited left-turn demand flow rate (veh/h)</t>
  </si>
  <si>
    <t xml:space="preserve">Left-turn demand flow rate (veh/h) </t>
  </si>
  <si>
    <t xml:space="preserve">Through movement demand flow rate (veh/h) </t>
  </si>
  <si>
    <r>
      <t>N</t>
    </r>
    <r>
      <rPr>
        <vertAlign val="subscript"/>
        <sz val="10"/>
        <color theme="1"/>
        <rFont val="Times New Roman"/>
        <family val="1"/>
      </rPr>
      <t>rtci,d</t>
    </r>
  </si>
  <si>
    <t>Number of right-turn channelizing islands along the crosswalk</t>
  </si>
  <si>
    <t>C</t>
  </si>
  <si>
    <t>Cycle length (s)</t>
  </si>
  <si>
    <r>
      <t>Walk</t>
    </r>
    <r>
      <rPr>
        <vertAlign val="subscript"/>
        <sz val="10"/>
        <color theme="1"/>
        <rFont val="Times New Roman"/>
        <family val="1"/>
      </rPr>
      <t>mi</t>
    </r>
  </si>
  <si>
    <r>
      <t>g</t>
    </r>
    <r>
      <rPr>
        <vertAlign val="subscript"/>
        <sz val="10"/>
        <color theme="1"/>
        <rFont val="Times New Roman"/>
        <family val="1"/>
      </rPr>
      <t>Walk,mi</t>
    </r>
  </si>
  <si>
    <t>Pedestrian walk setting for the phase serving the minor street through movement (s)</t>
  </si>
  <si>
    <r>
      <t>d</t>
    </r>
    <r>
      <rPr>
        <vertAlign val="subscript"/>
        <sz val="10"/>
        <color theme="1"/>
        <rFont val="Times New Roman"/>
        <family val="1"/>
      </rPr>
      <t>p,d</t>
    </r>
  </si>
  <si>
    <t>Pedestrian delay when traversing the crosswalk (s/p)</t>
  </si>
  <si>
    <r>
      <t>F</t>
    </r>
    <r>
      <rPr>
        <vertAlign val="subscript"/>
        <sz val="10"/>
        <color theme="1"/>
        <rFont val="Times New Roman"/>
        <family val="1"/>
      </rPr>
      <t>delay</t>
    </r>
  </si>
  <si>
    <t>Pedestrian delay adjustment factor</t>
  </si>
  <si>
    <r>
      <t>v</t>
    </r>
    <r>
      <rPr>
        <vertAlign val="subscript"/>
        <sz val="10"/>
        <color theme="1"/>
        <rFont val="Times New Roman"/>
        <family val="1"/>
      </rPr>
      <t>th</t>
    </r>
  </si>
  <si>
    <r>
      <t>W</t>
    </r>
    <r>
      <rPr>
        <vertAlign val="subscript"/>
        <sz val="10"/>
        <color theme="1"/>
        <rFont val="Times New Roman"/>
        <family val="1"/>
      </rPr>
      <t>cd</t>
    </r>
  </si>
  <si>
    <t>Curb-to-curb width of the cross street (ft)</t>
  </si>
  <si>
    <t>Curb is present?</t>
  </si>
  <si>
    <t>Number of through lanes in the midsegment</t>
  </si>
  <si>
    <r>
      <t>I</t>
    </r>
    <r>
      <rPr>
        <vertAlign val="subscript"/>
        <sz val="10"/>
        <color theme="1"/>
        <rFont val="Times New Roman"/>
        <family val="1"/>
      </rPr>
      <t>pk</t>
    </r>
  </si>
  <si>
    <t>Indicator variable for on-street parking occupancy</t>
  </si>
  <si>
    <t>Intersection right-turn-on-red and permited left-turn volume</t>
  </si>
  <si>
    <t>Intersection right-turn volume</t>
  </si>
  <si>
    <t>Intersection 2</t>
  </si>
  <si>
    <t>Intersection 3</t>
  </si>
  <si>
    <t>Intersection 4</t>
  </si>
  <si>
    <t>Intersection 5</t>
  </si>
  <si>
    <t>Intersection 6</t>
  </si>
  <si>
    <t>Intersection 7</t>
  </si>
  <si>
    <t>Intersection 8</t>
  </si>
  <si>
    <t>Intersection 9</t>
  </si>
  <si>
    <t>Intersection 10</t>
  </si>
  <si>
    <t>Intersection 11</t>
  </si>
  <si>
    <t>Intersection 12</t>
  </si>
  <si>
    <t>Intersection 13</t>
  </si>
  <si>
    <t>Intersection 14</t>
  </si>
  <si>
    <t>Intersection 15</t>
  </si>
  <si>
    <t>Intersection 16</t>
  </si>
  <si>
    <t>Intersection 17</t>
  </si>
  <si>
    <t>Intersection 18</t>
  </si>
  <si>
    <t>Intersection 19</t>
  </si>
  <si>
    <t>Intersection 20</t>
  </si>
  <si>
    <t>Intersection 21</t>
  </si>
  <si>
    <t>Total</t>
  </si>
  <si>
    <t>Corridor Name: ___________________</t>
  </si>
  <si>
    <t>Segment</t>
  </si>
  <si>
    <t>Weights</t>
  </si>
  <si>
    <t>Direction (do not change the direction's columns)</t>
  </si>
  <si>
    <r>
      <t>PEDESTRIAN</t>
    </r>
    <r>
      <rPr>
        <b/>
        <vertAlign val="superscript"/>
        <sz val="10"/>
        <color theme="1"/>
        <rFont val="Times New Roman"/>
        <family val="1"/>
      </rPr>
      <t xml:space="preserve"> Note 1</t>
    </r>
  </si>
  <si>
    <r>
      <t>BICYCLE</t>
    </r>
    <r>
      <rPr>
        <b/>
        <vertAlign val="superscript"/>
        <sz val="10"/>
        <color theme="1"/>
        <rFont val="Times New Roman"/>
        <family val="1"/>
      </rPr>
      <t xml:space="preserve"> Note 2</t>
    </r>
  </si>
  <si>
    <r>
      <t xml:space="preserve">TRANSIT </t>
    </r>
    <r>
      <rPr>
        <b/>
        <vertAlign val="superscript"/>
        <sz val="10"/>
        <color theme="1"/>
        <rFont val="Times New Roman"/>
        <family val="1"/>
      </rPr>
      <t>Note 3</t>
    </r>
  </si>
  <si>
    <t>Note 1:</t>
  </si>
  <si>
    <t>Note 2:</t>
  </si>
  <si>
    <t>Note 3:</t>
  </si>
  <si>
    <r>
      <t>Chapter 18.4 - Highway Capacity Manual (HCM), 6</t>
    </r>
    <r>
      <rPr>
        <vertAlign val="superscript"/>
        <sz val="10"/>
        <color theme="1"/>
        <rFont val="Times New Roman"/>
        <family val="1"/>
      </rPr>
      <t>th</t>
    </r>
    <r>
      <rPr>
        <sz val="10"/>
        <color theme="1"/>
        <rFont val="Times New Roman"/>
        <family val="1"/>
      </rPr>
      <t xml:space="preserve"> Edition.</t>
    </r>
  </si>
  <si>
    <r>
      <t>Chapter 18.5 - Highway Capacity Manual (HCM), 6</t>
    </r>
    <r>
      <rPr>
        <vertAlign val="superscript"/>
        <sz val="10"/>
        <color theme="1"/>
        <rFont val="Times New Roman"/>
        <family val="1"/>
      </rPr>
      <t>th</t>
    </r>
    <r>
      <rPr>
        <sz val="10"/>
        <color theme="1"/>
        <rFont val="Times New Roman"/>
        <family val="1"/>
      </rPr>
      <t xml:space="preserve"> Edition.</t>
    </r>
  </si>
  <si>
    <r>
      <t>Chapter 19.5 - Highway Capacity Manual (HCM), 6</t>
    </r>
    <r>
      <rPr>
        <vertAlign val="superscript"/>
        <sz val="10"/>
        <color theme="1"/>
        <rFont val="Times New Roman"/>
        <family val="1"/>
      </rPr>
      <t>th</t>
    </r>
    <r>
      <rPr>
        <sz val="10"/>
        <color theme="1"/>
        <rFont val="Times New Roman"/>
        <family val="1"/>
      </rPr>
      <t xml:space="preserve"> Edition.</t>
    </r>
  </si>
  <si>
    <r>
      <t>Chapter 19.6 - Highway Capacity Manual (HCM), 6</t>
    </r>
    <r>
      <rPr>
        <vertAlign val="superscript"/>
        <sz val="10"/>
        <color theme="1"/>
        <rFont val="Times New Roman"/>
        <family val="1"/>
      </rPr>
      <t>th</t>
    </r>
    <r>
      <rPr>
        <sz val="10"/>
        <color theme="1"/>
        <rFont val="Times New Roman"/>
        <family val="1"/>
      </rPr>
      <t xml:space="preserve"> Edition.</t>
    </r>
  </si>
  <si>
    <r>
      <t>Chapter 5.2 - Transit Capacity and Quality of Service (TCQS), 3</t>
    </r>
    <r>
      <rPr>
        <vertAlign val="superscript"/>
        <sz val="10"/>
        <color theme="1"/>
        <rFont val="Times New Roman"/>
        <family val="1"/>
      </rPr>
      <t>rd</t>
    </r>
    <r>
      <rPr>
        <sz val="10"/>
        <color theme="1"/>
        <rFont val="Times New Roman"/>
        <family val="1"/>
      </rPr>
      <t xml:space="preserve"> Edition.</t>
    </r>
  </si>
  <si>
    <t>Does a continuous barrier exist between the street and bicycle lane?</t>
  </si>
  <si>
    <t>Note 4:</t>
  </si>
  <si>
    <t>The bicycle's Cross Section Adjustment Factor (Fw) is modified by 30% if there is any physical barrier between the street and bicycle lane. This is a departure from the HCM Methodology.</t>
  </si>
  <si>
    <t>Pedestrian LOS Score for intersection</t>
  </si>
  <si>
    <t>Bicycle LOS Score for intersection</t>
  </si>
  <si>
    <t>Pedestrian LOS  for intersection</t>
  </si>
  <si>
    <t>Effective walk time for the phase serving the minor street through movement (s)</t>
  </si>
  <si>
    <r>
      <t>I</t>
    </r>
    <r>
      <rPr>
        <vertAlign val="subscript"/>
        <sz val="10"/>
        <color theme="1"/>
        <rFont val="Times New Roman"/>
        <family val="1"/>
      </rPr>
      <t>p,int</t>
    </r>
  </si>
  <si>
    <r>
      <t>I</t>
    </r>
    <r>
      <rPr>
        <vertAlign val="subscript"/>
        <sz val="10"/>
        <color theme="1"/>
        <rFont val="Times New Roman"/>
        <family val="1"/>
      </rPr>
      <t>b,int</t>
    </r>
  </si>
  <si>
    <r>
      <t>I</t>
    </r>
    <r>
      <rPr>
        <vertAlign val="subscript"/>
        <sz val="10"/>
        <color theme="1"/>
        <rFont val="Times New Roman"/>
        <family val="1"/>
      </rPr>
      <t>p,link</t>
    </r>
  </si>
  <si>
    <r>
      <t>I</t>
    </r>
    <r>
      <rPr>
        <vertAlign val="subscript"/>
        <sz val="10"/>
        <color theme="1"/>
        <rFont val="Times New Roman"/>
        <family val="1"/>
      </rPr>
      <t>b,link</t>
    </r>
  </si>
  <si>
    <r>
      <t>I</t>
    </r>
    <r>
      <rPr>
        <vertAlign val="subscript"/>
        <sz val="10"/>
        <color theme="1"/>
        <rFont val="Times New Roman"/>
        <family val="1"/>
      </rPr>
      <t>t,link</t>
    </r>
  </si>
  <si>
    <t>Effective width of outside through lane (ft)</t>
  </si>
  <si>
    <r>
      <t xml:space="preserve">Cross-section adjustment factor </t>
    </r>
    <r>
      <rPr>
        <vertAlign val="superscript"/>
        <sz val="10"/>
        <color theme="1"/>
        <rFont val="Times New Roman"/>
        <family val="1"/>
      </rPr>
      <t>Note 4</t>
    </r>
  </si>
  <si>
    <t>Default Values</t>
  </si>
  <si>
    <t>Annex 1. Pavement Condition Rating</t>
  </si>
  <si>
    <t>Does a continuous barrier (at least 3 feet high) exist between the street and sidewalk?</t>
  </si>
  <si>
    <r>
      <t>v</t>
    </r>
    <r>
      <rPr>
        <vertAlign val="subscript"/>
        <sz val="10"/>
        <color theme="1"/>
        <rFont val="Times New Roman"/>
        <family val="1"/>
      </rPr>
      <t>rtor</t>
    </r>
  </si>
  <si>
    <t>Does the link direction has bus service?</t>
  </si>
  <si>
    <r>
      <t>PEDESTRIAN</t>
    </r>
    <r>
      <rPr>
        <b/>
        <vertAlign val="superscript"/>
        <sz val="10"/>
        <color theme="1"/>
        <rFont val="Times New Roman"/>
        <family val="1"/>
      </rPr>
      <t xml:space="preserve"> Note 2</t>
    </r>
  </si>
  <si>
    <r>
      <t>BICYCLE</t>
    </r>
    <r>
      <rPr>
        <b/>
        <vertAlign val="superscript"/>
        <sz val="10"/>
        <color theme="1"/>
        <rFont val="Times New Roman"/>
        <family val="1"/>
      </rPr>
      <t xml:space="preserve"> Note 3</t>
    </r>
  </si>
  <si>
    <r>
      <t>Is the leg on the major street corridor (as opposed to a minor street approach)?</t>
    </r>
    <r>
      <rPr>
        <vertAlign val="superscript"/>
        <sz val="10"/>
        <color theme="1"/>
        <rFont val="Times New Roman"/>
        <family val="1"/>
      </rPr>
      <t>Note 1</t>
    </r>
  </si>
  <si>
    <t>PLOS/BLOS on include the corridor legs in the analysis, to account for corridor impovements. This is a modification from the HCM Methodology.</t>
  </si>
  <si>
    <t>N</t>
  </si>
  <si>
    <t>E</t>
  </si>
  <si>
    <t>W</t>
  </si>
  <si>
    <t xml:space="preserve">Right-turn demand flow rate (veh/h) </t>
  </si>
  <si>
    <t>Shared bike and pedestrian path? (bikelane and sidewalk)</t>
  </si>
  <si>
    <t>Note 5:</t>
  </si>
  <si>
    <r>
      <t xml:space="preserve">Buffer area coefficient (corrected for clear zone) </t>
    </r>
    <r>
      <rPr>
        <vertAlign val="superscript"/>
        <sz val="10"/>
        <color theme="1"/>
        <rFont val="Times New Roman"/>
        <family val="1"/>
      </rPr>
      <t>Note 5</t>
    </r>
  </si>
  <si>
    <t>Buffer widths less than 30' were accounted for using values obtained from AASHTO's Roadside Design Guide, 4th Edition, Table 3-1.</t>
  </si>
  <si>
    <t>Sidewalk width (ft) (Enter 0 if no sidewalk, Enter entire width if shared use)</t>
  </si>
  <si>
    <t>Bicycle lane width (ft) (Entire entire width if shared with peds)</t>
  </si>
  <si>
    <t>Links Inputs (each direction)</t>
  </si>
  <si>
    <t>Intersection Inputs (leg-to-leg)</t>
  </si>
  <si>
    <t xml:space="preserve">Righ-turn demand flow rate (veh/h) </t>
  </si>
  <si>
    <t>Sidewalk width (ft) (Enter 0 if no sidewalk)</t>
  </si>
  <si>
    <r>
      <t>v</t>
    </r>
    <r>
      <rPr>
        <vertAlign val="subscript"/>
        <sz val="10"/>
        <color theme="1"/>
        <rFont val="Times New Roman"/>
        <family val="1"/>
      </rPr>
      <t>rtot</t>
    </r>
  </si>
  <si>
    <t>Does a continuous barrier exist between the street and sidewalk?</t>
  </si>
  <si>
    <t>Pavement Condition Rating</t>
  </si>
  <si>
    <t>Pavement Description</t>
  </si>
  <si>
    <t>Motorized Vehicle Ride Quality and Traffic Speed</t>
  </si>
  <si>
    <t>4.0 to 5.0</t>
  </si>
  <si>
    <t>New or nearly new superior pavement. Free of cracks and patches.</t>
  </si>
  <si>
    <t>Good ride.</t>
  </si>
  <si>
    <t xml:space="preserve">3.0 to 4.0 </t>
  </si>
  <si>
    <t>Flexible pavements may begin to show evidence of rutting and fine cracks. Rigid pavements may begin to show evidence or minor cracking.</t>
  </si>
  <si>
    <t>2.0 to 3.0</t>
  </si>
  <si>
    <t>Flexible pavements may show rutting and extensive patching. Rigid pavements may have a few joint fractures, faulting, or cracking.</t>
  </si>
  <si>
    <t>Acceptable ride for low speed traffic but barely tolerable for high-speed traffic.</t>
  </si>
  <si>
    <t>1.0 to 2.0</t>
  </si>
  <si>
    <t>Distress occurs over 50% or more of the surface. Flexible pavement may have large potholes and deep cracks. Rigid pavement distress includes joint spalling, patching, and cracking.</t>
  </si>
  <si>
    <t>Pavement deterioration affects the speed of free-flow traffic. Ride quality not acceptable.</t>
  </si>
  <si>
    <t>0.0 to 1.0</t>
  </si>
  <si>
    <t>Destress occurs over 75% or more of the surface. Large potholes and deep cracks exist.</t>
  </si>
  <si>
    <t>Passable only at reduced speed and considerable rider discomfort.</t>
  </si>
  <si>
    <t>EB</t>
  </si>
  <si>
    <t>WB</t>
  </si>
  <si>
    <t>Traffic control?</t>
  </si>
  <si>
    <t>Signalized</t>
  </si>
  <si>
    <t>Stop</t>
  </si>
  <si>
    <t>Free</t>
  </si>
  <si>
    <r>
      <t>t</t>
    </r>
    <r>
      <rPr>
        <vertAlign val="subscript"/>
        <sz val="10"/>
        <color theme="1"/>
        <rFont val="Times New Roman"/>
        <family val="1"/>
      </rPr>
      <t>c</t>
    </r>
  </si>
  <si>
    <r>
      <t>N</t>
    </r>
    <r>
      <rPr>
        <vertAlign val="subscript"/>
        <sz val="10"/>
        <color theme="1"/>
        <rFont val="Times New Roman"/>
        <family val="1"/>
      </rPr>
      <t>c</t>
    </r>
  </si>
  <si>
    <r>
      <t>N</t>
    </r>
    <r>
      <rPr>
        <vertAlign val="subscript"/>
        <sz val="10"/>
        <color theme="1"/>
        <rFont val="Times New Roman"/>
        <family val="1"/>
      </rPr>
      <t>p</t>
    </r>
  </si>
  <si>
    <r>
      <t>t</t>
    </r>
    <r>
      <rPr>
        <vertAlign val="subscript"/>
        <sz val="10"/>
        <color theme="1"/>
        <rFont val="Times New Roman"/>
        <family val="1"/>
      </rPr>
      <t>c,G</t>
    </r>
  </si>
  <si>
    <t>Critical pedestrian headway</t>
  </si>
  <si>
    <r>
      <t>v</t>
    </r>
    <r>
      <rPr>
        <vertAlign val="subscript"/>
        <sz val="10"/>
        <color theme="1"/>
        <rFont val="Times New Roman"/>
        <family val="1"/>
      </rPr>
      <t>p</t>
    </r>
  </si>
  <si>
    <t>Pedestrian demand flow rate (ped/h)</t>
  </si>
  <si>
    <t>v</t>
  </si>
  <si>
    <t>Pedestrian flow rate at crosswalk, in seconds (ped/s)</t>
  </si>
  <si>
    <t>Vehicle flow rate at crosswalk, in seconds (veh/s)</t>
  </si>
  <si>
    <t>Spatial distribution of pedestrians (ped)</t>
  </si>
  <si>
    <t>Total number of pedestrians in the crossing platoon (ped)</t>
  </si>
  <si>
    <t>Group critical headway (s)</t>
  </si>
  <si>
    <r>
      <t>P</t>
    </r>
    <r>
      <rPr>
        <vertAlign val="subscript"/>
        <sz val="10"/>
        <color theme="1"/>
        <rFont val="Times New Roman"/>
        <family val="1"/>
      </rPr>
      <t>d</t>
    </r>
  </si>
  <si>
    <t>Probability of blocked lane</t>
  </si>
  <si>
    <t>Probability of delayed crossing</t>
  </si>
  <si>
    <r>
      <t>d</t>
    </r>
    <r>
      <rPr>
        <vertAlign val="subscript"/>
        <sz val="10"/>
        <color theme="1"/>
        <rFont val="Times New Roman"/>
        <family val="1"/>
      </rPr>
      <t>gd</t>
    </r>
  </si>
  <si>
    <t>n</t>
  </si>
  <si>
    <t>h</t>
  </si>
  <si>
    <r>
      <t>P</t>
    </r>
    <r>
      <rPr>
        <vertAlign val="subscript"/>
        <sz val="10"/>
        <color theme="1"/>
        <rFont val="Times New Roman"/>
        <family val="1"/>
      </rPr>
      <t>b</t>
    </r>
  </si>
  <si>
    <r>
      <t>W</t>
    </r>
    <r>
      <rPr>
        <vertAlign val="subscript"/>
        <sz val="10"/>
        <color theme="1"/>
        <rFont val="Times New Roman"/>
        <family val="1"/>
      </rPr>
      <t>c</t>
    </r>
  </si>
  <si>
    <t>Crosswalk width (ft)</t>
  </si>
  <si>
    <t>Average headway for each through lane at unsignalized with no stop control</t>
  </si>
  <si>
    <r>
      <t>h</t>
    </r>
    <r>
      <rPr>
        <vertAlign val="subscript"/>
        <sz val="10"/>
        <color theme="1"/>
        <rFont val="Times New Roman"/>
        <family val="1"/>
      </rPr>
      <t>v</t>
    </r>
  </si>
  <si>
    <r>
      <t>n</t>
    </r>
    <r>
      <rPr>
        <vertAlign val="subscript"/>
        <sz val="10"/>
        <color theme="1"/>
        <rFont val="Times New Roman"/>
        <family val="1"/>
      </rPr>
      <t>e</t>
    </r>
  </si>
  <si>
    <r>
      <t>v</t>
    </r>
    <r>
      <rPr>
        <vertAlign val="subscript"/>
        <sz val="10"/>
        <color theme="1"/>
        <rFont val="Times New Roman"/>
        <family val="1"/>
      </rPr>
      <t>v</t>
    </r>
  </si>
  <si>
    <r>
      <t xml:space="preserve">Average pedestrian gap delay </t>
    </r>
    <r>
      <rPr>
        <u/>
        <sz val="10"/>
        <color theme="1"/>
        <rFont val="Times New Roman"/>
        <family val="1"/>
      </rPr>
      <t>[for no stop control]</t>
    </r>
  </si>
  <si>
    <t>Average number of crossing events before an adequate gap is available [for no stop control]</t>
  </si>
  <si>
    <t>Right-turn-on-red flow rate (veh/h)</t>
  </si>
  <si>
    <r>
      <t>t</t>
    </r>
    <r>
      <rPr>
        <vertAlign val="subscript"/>
        <sz val="10"/>
        <color theme="1"/>
        <rFont val="Times New Roman"/>
        <family val="1"/>
      </rPr>
      <t>cb</t>
    </r>
  </si>
  <si>
    <r>
      <t>c</t>
    </r>
    <r>
      <rPr>
        <vertAlign val="subscript"/>
        <sz val="10"/>
        <color theme="1"/>
        <rFont val="Times New Roman"/>
        <family val="1"/>
      </rPr>
      <t>b</t>
    </r>
  </si>
  <si>
    <r>
      <t>d</t>
    </r>
    <r>
      <rPr>
        <vertAlign val="subscript"/>
        <sz val="10"/>
        <color theme="1"/>
        <rFont val="Times New Roman"/>
        <family val="1"/>
      </rPr>
      <t>bS</t>
    </r>
  </si>
  <si>
    <r>
      <t>N</t>
    </r>
    <r>
      <rPr>
        <vertAlign val="subscript"/>
        <sz val="10"/>
        <color theme="1"/>
        <rFont val="Times New Roman"/>
        <family val="1"/>
      </rPr>
      <t>b</t>
    </r>
  </si>
  <si>
    <r>
      <t>N</t>
    </r>
    <r>
      <rPr>
        <vertAlign val="subscript"/>
        <sz val="10"/>
        <color theme="1"/>
        <rFont val="Times New Roman"/>
        <family val="1"/>
      </rPr>
      <t>cb</t>
    </r>
  </si>
  <si>
    <r>
      <t>t</t>
    </r>
    <r>
      <rPr>
        <vertAlign val="subscript"/>
        <sz val="10"/>
        <color theme="1"/>
        <rFont val="Times New Roman"/>
        <family val="1"/>
      </rPr>
      <t>cb,G</t>
    </r>
  </si>
  <si>
    <r>
      <t>P</t>
    </r>
    <r>
      <rPr>
        <vertAlign val="subscript"/>
        <sz val="10"/>
        <color theme="1"/>
        <rFont val="Times New Roman"/>
        <family val="1"/>
      </rPr>
      <t>bb</t>
    </r>
  </si>
  <si>
    <r>
      <t>P</t>
    </r>
    <r>
      <rPr>
        <vertAlign val="subscript"/>
        <sz val="10"/>
        <color theme="1"/>
        <rFont val="Times New Roman"/>
        <family val="1"/>
      </rPr>
      <t>bd</t>
    </r>
  </si>
  <si>
    <r>
      <t>d</t>
    </r>
    <r>
      <rPr>
        <vertAlign val="subscript"/>
        <sz val="10"/>
        <color theme="1"/>
        <rFont val="Times New Roman"/>
        <family val="1"/>
      </rPr>
      <t>bgd</t>
    </r>
  </si>
  <si>
    <r>
      <t>d</t>
    </r>
    <r>
      <rPr>
        <vertAlign val="subscript"/>
        <sz val="10"/>
        <color theme="1"/>
        <rFont val="Times New Roman"/>
        <family val="1"/>
      </rPr>
      <t>bL1</t>
    </r>
  </si>
  <si>
    <r>
      <t>d</t>
    </r>
    <r>
      <rPr>
        <vertAlign val="subscript"/>
        <sz val="10"/>
        <color theme="1"/>
        <rFont val="Times New Roman"/>
        <family val="1"/>
      </rPr>
      <t>bL2G</t>
    </r>
  </si>
  <si>
    <r>
      <t>d</t>
    </r>
    <r>
      <rPr>
        <vertAlign val="subscript"/>
        <sz val="10"/>
        <color theme="1"/>
        <rFont val="Times New Roman"/>
        <family val="1"/>
      </rPr>
      <t>bL2</t>
    </r>
  </si>
  <si>
    <r>
      <t>s</t>
    </r>
    <r>
      <rPr>
        <vertAlign val="subscript"/>
        <sz val="10"/>
        <color theme="1"/>
        <rFont val="Times New Roman"/>
        <family val="1"/>
      </rPr>
      <t>b</t>
    </r>
  </si>
  <si>
    <t>g</t>
  </si>
  <si>
    <t>Green time</t>
  </si>
  <si>
    <r>
      <t>v</t>
    </r>
    <r>
      <rPr>
        <vertAlign val="subscript"/>
        <sz val="10"/>
        <color theme="1"/>
        <rFont val="Times New Roman"/>
        <family val="1"/>
      </rPr>
      <t>b</t>
    </r>
  </si>
  <si>
    <t>Bicycle flow rate</t>
  </si>
  <si>
    <r>
      <t>t</t>
    </r>
    <r>
      <rPr>
        <vertAlign val="subscript"/>
        <sz val="10"/>
        <color theme="1"/>
        <rFont val="Times New Roman"/>
        <family val="1"/>
      </rPr>
      <t>c,rt</t>
    </r>
  </si>
  <si>
    <r>
      <t>S</t>
    </r>
    <r>
      <rPr>
        <vertAlign val="subscript"/>
        <sz val="10"/>
        <color theme="1"/>
        <rFont val="Times New Roman"/>
        <family val="1"/>
      </rPr>
      <t>p</t>
    </r>
  </si>
  <si>
    <t>Bicycle crossing speed (ft/s)</t>
  </si>
  <si>
    <r>
      <t>t</t>
    </r>
    <r>
      <rPr>
        <vertAlign val="subscript"/>
        <sz val="10"/>
        <color theme="1"/>
        <rFont val="Times New Roman"/>
        <family val="1"/>
      </rPr>
      <t>sb</t>
    </r>
  </si>
  <si>
    <t>Start-up and clearance time (s)</t>
  </si>
  <si>
    <t>Motorist pedestrian yield rate (decimal)</t>
  </si>
  <si>
    <t>Motorist bicycle yield rate (decimal)</t>
  </si>
  <si>
    <r>
      <t>M</t>
    </r>
    <r>
      <rPr>
        <vertAlign val="subscript"/>
        <sz val="10"/>
        <color theme="1"/>
        <rFont val="Times New Roman"/>
        <family val="1"/>
      </rPr>
      <t>yb</t>
    </r>
  </si>
  <si>
    <r>
      <t>M</t>
    </r>
    <r>
      <rPr>
        <vertAlign val="subscript"/>
        <sz val="10"/>
        <color theme="1"/>
        <rFont val="Times New Roman"/>
        <family val="1"/>
      </rPr>
      <t>yp</t>
    </r>
  </si>
  <si>
    <r>
      <t>d</t>
    </r>
    <r>
      <rPr>
        <vertAlign val="subscript"/>
        <sz val="10"/>
        <color theme="1"/>
        <rFont val="Times New Roman"/>
        <family val="1"/>
      </rPr>
      <t>bL2R</t>
    </r>
  </si>
  <si>
    <t>Y</t>
  </si>
  <si>
    <t>AR</t>
  </si>
  <si>
    <t>R</t>
  </si>
  <si>
    <t>l</t>
  </si>
  <si>
    <t>Clearance time</t>
  </si>
  <si>
    <t>B</t>
  </si>
  <si>
    <t>A</t>
  </si>
  <si>
    <t>Link</t>
  </si>
  <si>
    <t>Intersection</t>
  </si>
  <si>
    <t>No.</t>
  </si>
  <si>
    <t>LOS Grade</t>
  </si>
  <si>
    <r>
      <t>LOS Score (I</t>
    </r>
    <r>
      <rPr>
        <vertAlign val="subscript"/>
        <sz val="10"/>
        <color theme="1"/>
        <rFont val="Times New Roman"/>
        <family val="1"/>
      </rPr>
      <t>b,link</t>
    </r>
    <r>
      <rPr>
        <sz val="10"/>
        <color theme="1"/>
        <rFont val="Times New Roman"/>
        <family val="1"/>
      </rPr>
      <t>)</t>
    </r>
  </si>
  <si>
    <t>D</t>
  </si>
  <si>
    <t>G</t>
  </si>
  <si>
    <t>I</t>
  </si>
  <si>
    <t>K</t>
  </si>
  <si>
    <t>F</t>
  </si>
  <si>
    <t>H</t>
  </si>
  <si>
    <t>J</t>
  </si>
  <si>
    <t>L</t>
  </si>
  <si>
    <t>M</t>
  </si>
  <si>
    <t>O</t>
  </si>
  <si>
    <t>P</t>
  </si>
  <si>
    <t>Q</t>
  </si>
  <si>
    <t>T</t>
  </si>
  <si>
    <t>U</t>
  </si>
  <si>
    <t>V</t>
  </si>
  <si>
    <t>X</t>
  </si>
  <si>
    <t>Z</t>
  </si>
  <si>
    <t>AB</t>
  </si>
  <si>
    <t>AA</t>
  </si>
  <si>
    <t>BB</t>
  </si>
  <si>
    <t>CC</t>
  </si>
  <si>
    <t>AC</t>
  </si>
  <si>
    <t>AD</t>
  </si>
  <si>
    <t>AE</t>
  </si>
  <si>
    <t>AF</t>
  </si>
  <si>
    <t>AG</t>
  </si>
  <si>
    <t>AH</t>
  </si>
  <si>
    <t>AI</t>
  </si>
  <si>
    <t>AJ</t>
  </si>
  <si>
    <t>AK</t>
  </si>
  <si>
    <t>AL</t>
  </si>
  <si>
    <t>AM</t>
  </si>
  <si>
    <t>AN</t>
  </si>
  <si>
    <t>AO</t>
  </si>
  <si>
    <t>AP</t>
  </si>
  <si>
    <t>AQ</t>
  </si>
  <si>
    <t>AS</t>
  </si>
  <si>
    <t>AT</t>
  </si>
  <si>
    <t>AU</t>
  </si>
  <si>
    <t>AV</t>
  </si>
  <si>
    <t>AW</t>
  </si>
  <si>
    <t>AX</t>
  </si>
  <si>
    <t>AY</t>
  </si>
  <si>
    <t>AZ</t>
  </si>
  <si>
    <t>BA</t>
  </si>
  <si>
    <t>CA</t>
  </si>
  <si>
    <t>CB</t>
  </si>
  <si>
    <t>BC</t>
  </si>
  <si>
    <t>BD</t>
  </si>
  <si>
    <t>CD</t>
  </si>
  <si>
    <t>BE</t>
  </si>
  <si>
    <t>CE</t>
  </si>
  <si>
    <t>BF</t>
  </si>
  <si>
    <t>CF</t>
  </si>
  <si>
    <t>BG</t>
  </si>
  <si>
    <t>CG</t>
  </si>
  <si>
    <t>BH</t>
  </si>
  <si>
    <t>CH</t>
  </si>
  <si>
    <t>BI</t>
  </si>
  <si>
    <t>CI</t>
  </si>
  <si>
    <t>BJ</t>
  </si>
  <si>
    <t>CJ</t>
  </si>
  <si>
    <t>BK</t>
  </si>
  <si>
    <t>CK</t>
  </si>
  <si>
    <t>BL</t>
  </si>
  <si>
    <t>CL</t>
  </si>
  <si>
    <t>BM</t>
  </si>
  <si>
    <t>CM</t>
  </si>
  <si>
    <t>BN</t>
  </si>
  <si>
    <t>CN</t>
  </si>
  <si>
    <t>BO</t>
  </si>
  <si>
    <t>CO</t>
  </si>
  <si>
    <t>BP</t>
  </si>
  <si>
    <t>CP</t>
  </si>
  <si>
    <t>BQ</t>
  </si>
  <si>
    <t>CQ</t>
  </si>
  <si>
    <t>BR</t>
  </si>
  <si>
    <t>CR</t>
  </si>
  <si>
    <t>BS</t>
  </si>
  <si>
    <t>CS</t>
  </si>
  <si>
    <t>BT</t>
  </si>
  <si>
    <t>CT</t>
  </si>
  <si>
    <t>BU</t>
  </si>
  <si>
    <t>CU</t>
  </si>
  <si>
    <t>BV</t>
  </si>
  <si>
    <t>CV</t>
  </si>
  <si>
    <t>BX</t>
  </si>
  <si>
    <t>CX</t>
  </si>
  <si>
    <t>BY</t>
  </si>
  <si>
    <t>CY</t>
  </si>
  <si>
    <t>BZ</t>
  </si>
  <si>
    <t>CZ</t>
  </si>
  <si>
    <t>Score Upper Bound</t>
  </si>
  <si>
    <t>Letter Score</t>
  </si>
  <si>
    <t>Spreadsheet modified by UC Berkeley on 3/2020 based on original spreadsheet by UT's Center for Transortation Research, 8/2017</t>
  </si>
  <si>
    <r>
      <t>LOS Score (I</t>
    </r>
    <r>
      <rPr>
        <vertAlign val="subscript"/>
        <sz val="10"/>
        <color theme="1"/>
        <rFont val="Times New Roman"/>
        <family val="1"/>
      </rPr>
      <t>bp,link</t>
    </r>
    <r>
      <rPr>
        <sz val="10"/>
        <color theme="1"/>
        <rFont val="Times New Roman"/>
        <family val="1"/>
      </rPr>
      <t>)</t>
    </r>
  </si>
  <si>
    <r>
      <t>LOS Score (I</t>
    </r>
    <r>
      <rPr>
        <vertAlign val="subscript"/>
        <sz val="10"/>
        <color theme="1"/>
        <rFont val="Times New Roman"/>
        <family val="1"/>
      </rPr>
      <t>t,link</t>
    </r>
    <r>
      <rPr>
        <sz val="10"/>
        <color theme="1"/>
        <rFont val="Times New Roman"/>
        <family val="1"/>
      </rPr>
      <t>)</t>
    </r>
  </si>
  <si>
    <r>
      <t>LOS Score (I</t>
    </r>
    <r>
      <rPr>
        <vertAlign val="subscript"/>
        <sz val="10"/>
        <color theme="1"/>
        <rFont val="Times New Roman"/>
        <family val="1"/>
      </rPr>
      <t>b,int</t>
    </r>
    <r>
      <rPr>
        <sz val="10"/>
        <color theme="1"/>
        <rFont val="Times New Roman"/>
        <family val="1"/>
      </rPr>
      <t>)</t>
    </r>
  </si>
  <si>
    <r>
      <t>LOS Score (I</t>
    </r>
    <r>
      <rPr>
        <vertAlign val="subscript"/>
        <sz val="10"/>
        <color theme="1"/>
        <rFont val="Times New Roman"/>
        <family val="1"/>
      </rPr>
      <t>p,int</t>
    </r>
    <r>
      <rPr>
        <sz val="10"/>
        <color theme="1"/>
        <rFont val="Times New Roman"/>
        <family val="1"/>
      </rPr>
      <t>)</t>
    </r>
  </si>
  <si>
    <r>
      <t>LOS Score (I</t>
    </r>
    <r>
      <rPr>
        <vertAlign val="subscript"/>
        <sz val="10"/>
        <color theme="1"/>
        <rFont val="Times New Roman"/>
        <family val="1"/>
      </rPr>
      <t>b,seg</t>
    </r>
    <r>
      <rPr>
        <sz val="10"/>
        <color theme="1"/>
        <rFont val="Times New Roman"/>
        <family val="1"/>
      </rPr>
      <t>)</t>
    </r>
  </si>
  <si>
    <r>
      <t>N</t>
    </r>
    <r>
      <rPr>
        <vertAlign val="subscript"/>
        <sz val="10"/>
        <color theme="1"/>
        <rFont val="Times New Roman"/>
        <family val="1"/>
      </rPr>
      <t>ap,s</t>
    </r>
  </si>
  <si>
    <t>Number of access point approaches on right side of subject direction</t>
  </si>
  <si>
    <r>
      <t>F</t>
    </r>
    <r>
      <rPr>
        <vertAlign val="subscript"/>
        <sz val="10"/>
        <color theme="1"/>
        <rFont val="Times New Roman"/>
        <family val="1"/>
      </rPr>
      <t>c</t>
    </r>
  </si>
  <si>
    <t>Unsignalized conflict factor</t>
  </si>
  <si>
    <r>
      <t>t</t>
    </r>
    <r>
      <rPr>
        <vertAlign val="subscript"/>
        <sz val="10"/>
        <color theme="1"/>
        <rFont val="Times New Roman"/>
        <family val="1"/>
      </rPr>
      <t>Rb</t>
    </r>
  </si>
  <si>
    <t>Segment running time of through bicycles</t>
  </si>
  <si>
    <r>
      <t>S</t>
    </r>
    <r>
      <rPr>
        <vertAlign val="subscript"/>
        <sz val="10"/>
        <color theme="1"/>
        <rFont val="Times New Roman"/>
        <family val="1"/>
      </rPr>
      <t>b</t>
    </r>
  </si>
  <si>
    <t>Cross Street</t>
  </si>
  <si>
    <t>Arch St. / Le Conte St.</t>
  </si>
  <si>
    <t>Euclid Ave.</t>
  </si>
  <si>
    <t>LeRoy Ave.</t>
  </si>
  <si>
    <t>La Loma Ave.</t>
  </si>
  <si>
    <t>Spruce St.</t>
  </si>
  <si>
    <t>Shattuck Ave.</t>
  </si>
  <si>
    <t>Walnut St.</t>
  </si>
  <si>
    <t>Oxford St.</t>
  </si>
  <si>
    <t>1 (1-2)</t>
  </si>
  <si>
    <t>2 (2-3)</t>
  </si>
  <si>
    <t>3 (3-4)</t>
  </si>
  <si>
    <t>4 (4-5)</t>
  </si>
  <si>
    <t>5 (5-6)</t>
  </si>
  <si>
    <t>6 (6-7)</t>
  </si>
  <si>
    <t>7 (7-8)</t>
  </si>
  <si>
    <t>8 (8-9)</t>
  </si>
  <si>
    <t>9 (9-10)</t>
  </si>
  <si>
    <t>10 (10-11)</t>
  </si>
  <si>
    <t>11 (11-12)</t>
  </si>
  <si>
    <t>12 (12-13)</t>
  </si>
  <si>
    <t>13 (13-14)</t>
  </si>
  <si>
    <t>14 (14-15)</t>
  </si>
  <si>
    <t>15 (15-16)</t>
  </si>
  <si>
    <t>16 (16-17)</t>
  </si>
  <si>
    <t>17 (17-18)</t>
  </si>
  <si>
    <t>18 (18-19)</t>
  </si>
  <si>
    <t>19 (19-20)</t>
  </si>
  <si>
    <t>No. (Between)</t>
  </si>
  <si>
    <r>
      <t>LOS Score (I</t>
    </r>
    <r>
      <rPr>
        <vertAlign val="subscript"/>
        <sz val="10"/>
        <color theme="1"/>
        <rFont val="Times New Roman"/>
        <family val="1"/>
      </rPr>
      <t>p,seg</t>
    </r>
    <r>
      <rPr>
        <sz val="10"/>
        <color theme="1"/>
        <rFont val="Times New Roman"/>
        <family val="1"/>
      </rPr>
      <t>)</t>
    </r>
  </si>
  <si>
    <t>Bicycle running speed (mph)</t>
  </si>
  <si>
    <r>
      <t>p</t>
    </r>
    <r>
      <rPr>
        <i/>
        <vertAlign val="subscript"/>
        <sz val="10"/>
        <color theme="1"/>
        <rFont val="Times New Roman"/>
        <family val="1"/>
      </rPr>
      <t>mx</t>
    </r>
  </si>
  <si>
    <t>Proportion of midblock pedestrian demand (default = 0.35)</t>
  </si>
  <si>
    <r>
      <t>I</t>
    </r>
    <r>
      <rPr>
        <vertAlign val="subscript"/>
        <sz val="10"/>
        <color theme="1"/>
        <rFont val="Times New Roman"/>
        <family val="1"/>
      </rPr>
      <t>p,mx</t>
    </r>
  </si>
  <si>
    <r>
      <t>I</t>
    </r>
    <r>
      <rPr>
        <vertAlign val="subscript"/>
        <sz val="10"/>
        <color theme="1"/>
        <rFont val="Times New Roman"/>
        <family val="1"/>
      </rPr>
      <t>pw</t>
    </r>
  </si>
  <si>
    <r>
      <t>I</t>
    </r>
    <r>
      <rPr>
        <vertAlign val="subscript"/>
        <sz val="10"/>
        <color theme="1"/>
        <rFont val="Times New Roman"/>
        <family val="1"/>
      </rPr>
      <t>pd</t>
    </r>
  </si>
  <si>
    <t>LOS score for pedestrian diversion delay</t>
  </si>
  <si>
    <t>LOS score for pedestrian waiting delay to cross nearest intersection</t>
  </si>
  <si>
    <r>
      <t>D</t>
    </r>
    <r>
      <rPr>
        <vertAlign val="subscript"/>
        <sz val="10"/>
        <color theme="1"/>
        <rFont val="Times New Roman"/>
        <family val="1"/>
      </rPr>
      <t>d</t>
    </r>
  </si>
  <si>
    <t>Diversion distance to nearest signal-controlled crossing (ft)</t>
  </si>
  <si>
    <t>Pedestrian walking speeed (ft/s)</t>
  </si>
  <si>
    <r>
      <t>d</t>
    </r>
    <r>
      <rPr>
        <vertAlign val="subscript"/>
        <sz val="10"/>
        <color theme="1"/>
        <rFont val="Times New Roman"/>
        <family val="1"/>
      </rPr>
      <t>dp,LOS</t>
    </r>
  </si>
  <si>
    <t>Pedestrian LOS score for midsegment crossings</t>
  </si>
  <si>
    <t>Bicycle saturation flow rate per lane</t>
  </si>
  <si>
    <t>Critical headway between right turning vehicles (default = 5 seconds)</t>
  </si>
  <si>
    <t>Intersection delay</t>
  </si>
  <si>
    <t>Bike lane capacity (bicycles per hour per 2.5-foot "sub-lane")</t>
  </si>
  <si>
    <t>Spatial distribution of bicycles (bikes)</t>
  </si>
  <si>
    <t>Total number of bicycles in the crossing platoon (bikes)</t>
  </si>
  <si>
    <t>Probability of blocked bike lane</t>
  </si>
  <si>
    <t>Probability of delayed left turn</t>
  </si>
  <si>
    <t>Critical group headway (s)</t>
  </si>
  <si>
    <t>Average gap delay for bicycles who incur non-zero delay (s)</t>
  </si>
  <si>
    <t>Average headway of all headways less than the group critical gap (s)</t>
  </si>
  <si>
    <t>Delay for one stage left turn</t>
  </si>
  <si>
    <t>Delay for two stage left turn, given green at arrival</t>
  </si>
  <si>
    <t>Delay for two stage left turn, given red at arrival</t>
  </si>
  <si>
    <t>Delay for two stage left turn</t>
  </si>
  <si>
    <r>
      <t>d</t>
    </r>
    <r>
      <rPr>
        <vertAlign val="subscript"/>
        <sz val="10"/>
        <color theme="1"/>
        <rFont val="Times New Roman"/>
        <family val="1"/>
      </rPr>
      <t>b</t>
    </r>
  </si>
  <si>
    <r>
      <t>v</t>
    </r>
    <r>
      <rPr>
        <vertAlign val="subscript"/>
        <sz val="10"/>
        <color theme="1"/>
        <rFont val="Times New Roman"/>
        <family val="1"/>
      </rPr>
      <t>bl</t>
    </r>
  </si>
  <si>
    <r>
      <t>v</t>
    </r>
    <r>
      <rPr>
        <vertAlign val="subscript"/>
        <sz val="10"/>
        <color theme="1"/>
        <rFont val="Times New Roman"/>
        <family val="1"/>
      </rPr>
      <t>br</t>
    </r>
  </si>
  <si>
    <r>
      <t>P</t>
    </r>
    <r>
      <rPr>
        <vertAlign val="subscript"/>
        <sz val="10"/>
        <color theme="1"/>
        <rFont val="Times New Roman"/>
        <family val="1"/>
      </rPr>
      <t>bl2</t>
    </r>
  </si>
  <si>
    <t>Proportion of two-stage left turns for bicycles (decimal)</t>
  </si>
  <si>
    <t>Bicycle right turn volume (veh/hr)</t>
  </si>
  <si>
    <t>Bicycle left turn volume (veh/hr)</t>
  </si>
  <si>
    <t>&gt;5</t>
  </si>
  <si>
    <r>
      <t>d</t>
    </r>
    <r>
      <rPr>
        <vertAlign val="subscript"/>
        <sz val="10"/>
        <color theme="1"/>
        <rFont val="Times New Roman"/>
        <family val="1"/>
      </rPr>
      <t>btwsc</t>
    </r>
  </si>
  <si>
    <t>Two-way stop controlled delay at intersection(s)</t>
  </si>
  <si>
    <t>Overall average signalized intersection bicycle delay (s)</t>
  </si>
  <si>
    <r>
      <t>d</t>
    </r>
    <r>
      <rPr>
        <vertAlign val="subscript"/>
        <sz val="10"/>
        <color theme="1"/>
        <rFont val="Times New Roman"/>
        <family val="1"/>
      </rPr>
      <t>bsc</t>
    </r>
  </si>
  <si>
    <t>Signal control delay (seconds)</t>
  </si>
  <si>
    <r>
      <t>t</t>
    </r>
    <r>
      <rPr>
        <vertAlign val="subscript"/>
        <sz val="10"/>
        <color theme="1"/>
        <rFont val="Times New Roman"/>
        <family val="1"/>
      </rPr>
      <t>cbt</t>
    </r>
  </si>
  <si>
    <t>Critical headway for through bicycles (s)</t>
  </si>
  <si>
    <t>Critical headway for left-turn bicycles (s)</t>
  </si>
  <si>
    <t>Curb-to-curb width of the street being crossed i.e., crosswalk length (ft)</t>
  </si>
  <si>
    <t>Curb-to-curb width of the cross street, i.e., through length (ft)</t>
  </si>
  <si>
    <t>Probability of delayed through</t>
  </si>
  <si>
    <r>
      <t>v</t>
    </r>
    <r>
      <rPr>
        <vertAlign val="subscript"/>
        <sz val="10"/>
        <color theme="1"/>
        <rFont val="Times New Roman"/>
        <family val="1"/>
      </rPr>
      <t>vc</t>
    </r>
  </si>
  <si>
    <t>Conflicting cross street vehicle flow rate (veh/s)</t>
  </si>
  <si>
    <r>
      <t>N</t>
    </r>
    <r>
      <rPr>
        <vertAlign val="subscript"/>
        <sz val="10"/>
        <color theme="1"/>
        <rFont val="Times New Roman"/>
        <family val="1"/>
      </rPr>
      <t>dc</t>
    </r>
  </si>
  <si>
    <t>Number of cross treet traffic lanes crossed when going through intersection</t>
  </si>
  <si>
    <t xml:space="preserve">Signalized intersection delay - bicycle </t>
  </si>
  <si>
    <t>Two-way stop controlled intersetion delay - bicycle</t>
  </si>
  <si>
    <r>
      <t>d</t>
    </r>
    <r>
      <rPr>
        <vertAlign val="subscript"/>
        <sz val="10"/>
        <color theme="1"/>
        <rFont val="Times New Roman"/>
        <family val="1"/>
      </rPr>
      <t>b,int</t>
    </r>
  </si>
  <si>
    <t>Overall average intersection bicycle delay (s)</t>
  </si>
  <si>
    <t>Stop - Two way</t>
  </si>
  <si>
    <t>Vehicle flow rate at crosswalk (veh/h)</t>
  </si>
  <si>
    <t>Vehicle flow rate at cross street (veh/h)</t>
  </si>
  <si>
    <t>Segment 1</t>
  </si>
  <si>
    <t>Link Calculations</t>
  </si>
  <si>
    <r>
      <t>d</t>
    </r>
    <r>
      <rPr>
        <vertAlign val="subscript"/>
        <sz val="10"/>
        <color theme="1"/>
        <rFont val="Times New Roman"/>
        <family val="1"/>
      </rPr>
      <t>pd,LOS</t>
    </r>
  </si>
  <si>
    <t>Diversion delay</t>
  </si>
  <si>
    <r>
      <t>I</t>
    </r>
    <r>
      <rPr>
        <vertAlign val="subscript"/>
        <sz val="10"/>
        <color theme="1"/>
        <rFont val="Times New Roman"/>
        <family val="1"/>
      </rPr>
      <t>p,seg</t>
    </r>
  </si>
  <si>
    <t>Pedestrian LOS Score for segment</t>
  </si>
  <si>
    <r>
      <t>d</t>
    </r>
    <r>
      <rPr>
        <vertAlign val="subscript"/>
        <sz val="10"/>
        <color theme="1"/>
        <rFont val="Times New Roman"/>
        <family val="1"/>
      </rPr>
      <t>pp</t>
    </r>
  </si>
  <si>
    <t>Parallel pedestrian crossing delay</t>
  </si>
  <si>
    <r>
      <t>I</t>
    </r>
    <r>
      <rPr>
        <vertAlign val="subscript"/>
        <sz val="10"/>
        <color theme="1"/>
        <rFont val="Times New Roman"/>
        <family val="1"/>
      </rPr>
      <t>b,seg</t>
    </r>
  </si>
  <si>
    <t>Bicycle LOS Score for segment</t>
  </si>
  <si>
    <t>Transit LOS Score for intersection</t>
  </si>
  <si>
    <t>Transit LOS Score for segment</t>
  </si>
  <si>
    <r>
      <t>I</t>
    </r>
    <r>
      <rPr>
        <vertAlign val="subscript"/>
        <sz val="10"/>
        <color theme="1"/>
        <rFont val="Times New Roman"/>
        <family val="1"/>
      </rPr>
      <t>t,int</t>
    </r>
  </si>
  <si>
    <r>
      <t>I</t>
    </r>
    <r>
      <rPr>
        <vertAlign val="subscript"/>
        <sz val="10"/>
        <color theme="1"/>
        <rFont val="Times New Roman"/>
        <family val="1"/>
      </rPr>
      <t>t,seg</t>
    </r>
  </si>
  <si>
    <r>
      <t>d</t>
    </r>
    <r>
      <rPr>
        <vertAlign val="subscript"/>
        <sz val="10"/>
        <color theme="1"/>
        <rFont val="Times New Roman"/>
        <family val="1"/>
      </rPr>
      <t>p</t>
    </r>
  </si>
  <si>
    <t>Crosswalk wait time delay</t>
  </si>
  <si>
    <t>GENERAL</t>
  </si>
  <si>
    <t>Parallel crossing approach direction</t>
  </si>
  <si>
    <t>=INDEX(Intersections!F64:I64,1,MATCH(E15,Intersections!F5:I5,0))</t>
  </si>
  <si>
    <t>BW</t>
  </si>
  <si>
    <t>CW</t>
  </si>
  <si>
    <t>#</t>
  </si>
  <si>
    <t>In Seq?</t>
  </si>
  <si>
    <t>Start</t>
  </si>
  <si>
    <t>End</t>
  </si>
  <si>
    <t>Seg#</t>
  </si>
  <si>
    <t>=INDEX(Intersections!F64:I64,1,MATCH(LEFT(E9,1),Intersections!F5:I5,0))</t>
  </si>
  <si>
    <t>dpp</t>
  </si>
  <si>
    <t>dp</t>
  </si>
  <si>
    <t>=INDEX(Intersections!F64:I64,1,MATCH(LEFT(F9,1),Intersections!F5:I5,0))</t>
  </si>
  <si>
    <t>=INDEX(Intersections!J64:M64,1,MATCH(LEFT(G9,1),Intersections!J5:M5,0))</t>
  </si>
  <si>
    <t>=INDEX(Intersections!J64:M64,1,MATCH(LEFT(H9,1),Intersections!J5:M5,0))</t>
  </si>
  <si>
    <t>=INDEX(Intersections!N64:Q64,1,MATCH(LEFT(I9,1),Intersections!N5:Q5,0))</t>
  </si>
  <si>
    <t>=INDEX(Intersections!N64:Q64,1,MATCH(LEFT(J9,1),Intersections!N5:Q5,0))</t>
  </si>
  <si>
    <t>=INDEX(Intersections!R64:U64,1,MATCH(LEFT(K9,1),Intersections!R5:U5,0))</t>
  </si>
  <si>
    <t>=INDEX(Intersections!R64:U64,1,MATCH(LEFT(L9,1),Intersections!R5:U5,0))</t>
  </si>
  <si>
    <t>=INDEX(Intersections!V64:Y64,1,MATCH(LEFT(M9,1),Intersections!V5:Y5,0))</t>
  </si>
  <si>
    <t>=INDEX(Intersections!V64:Y64,1,MATCH(LEFT(N9,1),Intersections!V5:Y5,0))</t>
  </si>
  <si>
    <t>=INDEX(Intersections!Z64:AC64,1,MATCH(LEFT(O9,1),Intersections!Z5:AC5,0))</t>
  </si>
  <si>
    <t>=INDEX(Intersections!Z64:AC64,1,MATCH(LEFT(P9,1),Intersections!Z5:AC5,0))</t>
  </si>
  <si>
    <t>=INDEX(Intersections!AD64:AG64,1,MATCH(LEFT(Q9,1),Intersections!AD5:AG5,0))</t>
  </si>
  <si>
    <t>=INDEX(Intersections!AD64:AG64,1,MATCH(LEFT(R9,1),Intersections!AD5:AG5,0))</t>
  </si>
  <si>
    <t>=INDEX(Intersections!AH64:AK64,1,MATCH(LEFT(S9,1),Intersections!AH5:AK5,0))</t>
  </si>
  <si>
    <t>=INDEX(Intersections!AH64:AK64,1,MATCH(LEFT(T9,1),Intersections!AH5:AK5,0))</t>
  </si>
  <si>
    <t>=INDEX(Intersections!AL64:AO64,1,MATCH(LEFT(U9,1),Intersections!AL5:AO5,0))</t>
  </si>
  <si>
    <t>=INDEX(Intersections!AL64:AO64,1,MATCH(LEFT(V9,1),Intersections!AL5:AO5,0))</t>
  </si>
  <si>
    <t>=INDEX(Intersections!AP64:AS64,1,MATCH(LEFT(W9,1),Intersections!AP5:AS5,0))</t>
  </si>
  <si>
    <t>=INDEX(Intersections!AP64:AS64,1,MATCH(LEFT(X9,1),Intersections!AP5:AS5,0))</t>
  </si>
  <si>
    <t>=INDEX(Intersections!AT64:AW64,1,MATCH(LEFT(Y9,1),Intersections!AT5:AW5,0))</t>
  </si>
  <si>
    <t>=INDEX(Intersections!AT64:AW64,1,MATCH(LEFT(Z9,1),Intersections!AT5:AW5,0))</t>
  </si>
  <si>
    <t>=INDEX(Intersections!AX64:BA64,1,MATCH(LEFT(AA9,1),Intersections!AX5:BA5,0))</t>
  </si>
  <si>
    <t>=INDEX(Intersections!AX64:BA64,1,MATCH(LEFT(AB9,1),Intersections!AX5:BA5,0))</t>
  </si>
  <si>
    <t>=INDEX(Intersections!BB64:BE64,1,MATCH(LEFT(AC9,1),Intersections!BB5:BE5,0))</t>
  </si>
  <si>
    <t>=INDEX(Intersections!BB64:BE64,1,MATCH(LEFT(AD9,1),Intersections!BB5:BE5,0))</t>
  </si>
  <si>
    <t>=INDEX(Intersections!BF64:BI64,1,MATCH(LEFT(AE9,1),Intersections!BF5:BI5,0))</t>
  </si>
  <si>
    <t>=INDEX(Intersections!BF64:BI64,1,MATCH(LEFT(AF9,1),Intersections!BF5:BI5,0))</t>
  </si>
  <si>
    <t>=INDEX(Intersections!BJ64:BM64,1,MATCH(LEFT(AG9,1),Intersections!BJ5:BM5,0))</t>
  </si>
  <si>
    <t>=INDEX(Intersections!BJ64:BM64,1,MATCH(LEFT(AH9,1),Intersections!BJ5:BM5,0))</t>
  </si>
  <si>
    <t>=INDEX(Intersections!BN64:BQ64,1,MATCH(LEFT(AI9,1),Intersections!BN5:BQ5,0))</t>
  </si>
  <si>
    <t>=INDEX(Intersections!BN64:BQ64,1,MATCH(LEFT(AJ9,1),Intersections!BN5:BQ5,0))</t>
  </si>
  <si>
    <t>=INDEX(Intersections!BR64:BU64,1,MATCH(LEFT(AK9,1),Intersections!BR5:BU5,0))</t>
  </si>
  <si>
    <t>=INDEX(Intersections!BR64:BU64,1,MATCH(LEFT(AL9,1),Intersections!BR5:BU5,0))</t>
  </si>
  <si>
    <t>=INDEX(Intersections!BV64:BY64,1,MATCH(LEFT(AM9,1),Intersections!BV5:BY5,0))</t>
  </si>
  <si>
    <t>=INDEX(Intersections!BV64:BY64,1,MATCH(LEFT(AN9,1),Intersections!BV5:BY5,0))</t>
  </si>
  <si>
    <t>=INDEX(Intersections!BZ64:CC64,1,MATCH(LEFT(AO9,1),Intersections!BZ5:CC5,0))</t>
  </si>
  <si>
    <t>=INDEX(Intersections!BZ64:CC64,1,MATCH(LEFT(AP9,1),Intersections!BZ5:CC5,0))</t>
  </si>
  <si>
    <t>=INDEX(Intersections!CD64:CG64,1,MATCH(LEFT(AQ9,1),Intersections!CD5:CG5,0))</t>
  </si>
  <si>
    <t>=INDEX(Intersections!CD64:CG64,1,MATCH(LEFT(AR9,1),Intersections!CD5:CG5,0))</t>
  </si>
  <si>
    <t>=INDEX(Intersections!CH64:CK64,1,MATCH(LEFT(AS9,1),Intersections!CH5:CK5,0))</t>
  </si>
  <si>
    <t>=INDEX(Intersections!CH64:CK64,1,MATCH(LEFT(AT9,1),Intersections!CH5:CK5,0))</t>
  </si>
  <si>
    <t>=Segments!G46</t>
  </si>
  <si>
    <t>=Segments!I46</t>
  </si>
  <si>
    <t>=Segments!K46</t>
  </si>
  <si>
    <t>=Segments!M46</t>
  </si>
  <si>
    <t>=Segments!O46</t>
  </si>
  <si>
    <t>=Segments!Q46</t>
  </si>
  <si>
    <t>=Segments!S46</t>
  </si>
  <si>
    <t>=Segments!U46</t>
  </si>
  <si>
    <t>=Segments!W46</t>
  </si>
  <si>
    <t>=Segments!Y46</t>
  </si>
  <si>
    <t>=Segments!AA46</t>
  </si>
  <si>
    <t>=Segments!AC46</t>
  </si>
  <si>
    <t>=Segments!AE46</t>
  </si>
  <si>
    <t>=Segments!AG46</t>
  </si>
  <si>
    <t>=Segments!AI46</t>
  </si>
  <si>
    <t>=Segments!AK46</t>
  </si>
  <si>
    <t>=Segments!AM46</t>
  </si>
  <si>
    <t>=Segments!AO46</t>
  </si>
  <si>
    <t>=Segments!AQ46</t>
  </si>
  <si>
    <t>=Segments!AS46</t>
  </si>
  <si>
    <t>=Intersections!F68</t>
  </si>
  <si>
    <t>=Intersections!J68</t>
  </si>
  <si>
    <t>=Intersections!N68</t>
  </si>
  <si>
    <t>=Intersections!R68</t>
  </si>
  <si>
    <t>=Intersections!V68</t>
  </si>
  <si>
    <t>=Intersections!Z68</t>
  </si>
  <si>
    <t>=Intersections!AD68</t>
  </si>
  <si>
    <t>=Intersections!AH68</t>
  </si>
  <si>
    <t>=Intersections!AL68</t>
  </si>
  <si>
    <t>=Intersections!AP68</t>
  </si>
  <si>
    <t>=Intersections!AT68</t>
  </si>
  <si>
    <t>=Intersections!AX68</t>
  </si>
  <si>
    <t>=Intersections!BB68</t>
  </si>
  <si>
    <t>=Intersections!BF68</t>
  </si>
  <si>
    <t>=Intersections!BJ68</t>
  </si>
  <si>
    <t>=Intersections!BN68</t>
  </si>
  <si>
    <t>=Intersections!BR68</t>
  </si>
  <si>
    <t>=Intersections!BV68</t>
  </si>
  <si>
    <t>=Intersections!BZ68</t>
  </si>
  <si>
    <t>=Intersections!CD68</t>
  </si>
  <si>
    <t>=Intersections!CH68</t>
  </si>
  <si>
    <t>=Intersections!CL68</t>
  </si>
  <si>
    <t>=Intersections!CP68</t>
  </si>
  <si>
    <t>=Intersections!CT68</t>
  </si>
  <si>
    <t>=Intersections!CX68</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</si>
</sst>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32" x14ac:knownFonts="1">
    <font>
      <sz val="12"/>
      <color theme="1"/>
      <name val="Calibri"/>
      <family val="2"/>
      <scheme val="minor"/>
    </font>
    <font>
      <sz val="12"/>
      <color theme="1"/>
      <name val="Calibri"/>
      <family val="2"/>
      <scheme val="minor"/>
    </font>
    <font>
      <b/>
      <sz val="10"/>
      <color theme="1"/>
      <name val="Times New Roman"/>
      <family val="1"/>
    </font>
    <font>
      <sz val="10"/>
      <color theme="1"/>
      <name val="Times New Roman"/>
      <family val="1"/>
    </font>
    <font>
      <vertAlign val="subscript"/>
      <sz val="10"/>
      <color theme="1"/>
      <name val="Times New Roman"/>
      <family val="1"/>
    </font>
    <font>
      <b/>
      <sz val="10"/>
      <color theme="0"/>
      <name val="Times New Roman"/>
      <family val="1"/>
    </font>
    <font>
      <sz val="10"/>
      <name val="Times New Roman"/>
      <family val="1"/>
    </font>
    <font>
      <b/>
      <i/>
      <sz val="10"/>
      <color theme="0"/>
      <name val="Times New Roman"/>
      <family val="1"/>
    </font>
    <font>
      <u/>
      <sz val="12"/>
      <color theme="10"/>
      <name val="Calibri"/>
      <family val="2"/>
      <scheme val="minor"/>
    </font>
    <font>
      <u/>
      <sz val="12"/>
      <color theme="11"/>
      <name val="Calibri"/>
      <family val="2"/>
      <scheme val="minor"/>
    </font>
    <font>
      <i/>
      <sz val="10"/>
      <color theme="0"/>
      <name val="Times New Roman"/>
      <family val="1"/>
    </font>
    <font>
      <b/>
      <i/>
      <u/>
      <sz val="10"/>
      <color theme="0"/>
      <name val="Times New Roman"/>
      <family val="1"/>
    </font>
    <font>
      <b/>
      <u/>
      <sz val="10"/>
      <color theme="1"/>
      <name val="Times New Roman"/>
      <family val="1"/>
    </font>
    <font>
      <i/>
      <sz val="10"/>
      <color theme="1"/>
      <name val="Times New Roman"/>
      <family val="1"/>
    </font>
    <font>
      <b/>
      <u/>
      <sz val="10"/>
      <color theme="0"/>
      <name val="Times New Roman"/>
      <family val="1"/>
    </font>
    <font>
      <u/>
      <sz val="10"/>
      <color theme="0"/>
      <name val="Times New Roman"/>
      <family val="1"/>
    </font>
    <font>
      <vertAlign val="superscript"/>
      <sz val="10"/>
      <color theme="1"/>
      <name val="Times New Roman"/>
      <family val="1"/>
    </font>
    <font>
      <b/>
      <vertAlign val="superscript"/>
      <sz val="10"/>
      <color theme="1"/>
      <name val="Times New Roman"/>
      <family val="1"/>
    </font>
    <font>
      <sz val="9"/>
      <color theme="1"/>
      <name val="Times New Roman"/>
      <family val="1"/>
    </font>
    <font>
      <sz val="10"/>
      <color indexed="81"/>
      <name val="Calibri"/>
      <family val="2"/>
    </font>
    <font>
      <sz val="12"/>
      <color indexed="81"/>
      <name val="Times New Roman"/>
      <family val="1"/>
    </font>
    <font>
      <b/>
      <i/>
      <sz val="10"/>
      <color theme="1"/>
      <name val="Times New Roman"/>
      <family val="1"/>
    </font>
    <font>
      <b/>
      <i/>
      <sz val="10"/>
      <name val="Times New Roman"/>
      <family val="1"/>
    </font>
    <font>
      <sz val="10"/>
      <color theme="1"/>
      <name val="Times New Roman"/>
      <family val="1"/>
    </font>
    <font>
      <sz val="14"/>
      <color indexed="81"/>
      <name val="Times New Roman"/>
      <family val="1"/>
    </font>
    <font>
      <b/>
      <sz val="10"/>
      <color theme="1"/>
      <name val="Times New Roman"/>
      <family val="1"/>
    </font>
    <font>
      <b/>
      <sz val="12"/>
      <color theme="1"/>
      <name val="Times New Roman"/>
      <family val="1"/>
    </font>
    <font>
      <sz val="12"/>
      <color theme="1"/>
      <name val="Times New Roman"/>
      <family val="1"/>
    </font>
    <font>
      <i/>
      <sz val="12"/>
      <color theme="1"/>
      <name val="Times New Roman"/>
      <family val="1"/>
    </font>
    <font>
      <u/>
      <sz val="10"/>
      <color theme="1"/>
      <name val="Times New Roman"/>
      <family val="1"/>
    </font>
    <font>
      <i/>
      <vertAlign val="subscript"/>
      <sz val="10"/>
      <color theme="1"/>
      <name val="Times New Roman"/>
      <family val="1"/>
    </font>
    <font>
      <sz val="8"/>
      <color theme="1"/>
      <name val="Times New Roman"/>
      <family val="1"/>
    </font>
  </fonts>
  <fills count="10">
    <fill>
      <patternFill patternType="none"/>
    </fill>
    <fill>
      <patternFill patternType="gray125"/>
    </fill>
    <fill>
      <patternFill patternType="solid">
        <fgColor theme="9" tint="0.79998168889431442"/>
        <bgColor indexed="64"/>
      </patternFill>
    </fill>
    <fill>
      <patternFill patternType="solid">
        <fgColor theme="4" tint="-0.249977111117893"/>
        <bgColor indexed="64"/>
      </patternFill>
    </fill>
    <fill>
      <patternFill patternType="solid">
        <fgColor theme="4" tint="0.39997558519241921"/>
        <bgColor indexed="64"/>
      </patternFill>
    </fill>
    <fill>
      <patternFill patternType="solid">
        <fgColor theme="4" tint="0.79998168889431442"/>
        <bgColor indexed="64"/>
      </patternFill>
    </fill>
    <fill>
      <patternFill patternType="solid">
        <fgColor theme="0"/>
        <bgColor indexed="64"/>
      </patternFill>
    </fill>
    <fill>
      <patternFill patternType="solid">
        <fgColor theme="9" tint="0.59999389629810485"/>
        <bgColor indexed="64"/>
      </patternFill>
    </fill>
    <fill>
      <patternFill patternType="solid">
        <fgColor theme="4" tint="0.59999389629810485"/>
        <bgColor indexed="64"/>
      </patternFill>
    </fill>
    <fill>
      <patternFill patternType="solid">
        <fgColor theme="4" tint="-0.499984740745262"/>
        <bgColor indexed="64"/>
      </patternFill>
    </fill>
  </fills>
  <borders count="28">
    <border>
      <left/>
      <right/>
      <top/>
      <bottom/>
      <diagonal/>
    </border>
    <border>
      <left style="thin">
        <color auto="1"/>
      </left>
      <right/>
      <top/>
      <bottom/>
      <diagonal/>
    </border>
    <border>
      <left style="thin">
        <color auto="1"/>
      </left>
      <right style="thin">
        <color auto="1"/>
      </right>
      <top/>
      <bottom/>
      <diagonal/>
    </border>
    <border>
      <left/>
      <right style="thin">
        <color auto="1"/>
      </right>
      <top/>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medium">
        <color auto="1"/>
      </left>
      <right/>
      <top/>
      <bottom/>
      <diagonal/>
    </border>
    <border>
      <left/>
      <right style="medium">
        <color auto="1"/>
      </right>
      <top/>
      <bottom/>
      <diagonal/>
    </border>
    <border>
      <left style="medium">
        <color auto="1"/>
      </left>
      <right/>
      <top/>
      <bottom style="medium">
        <color auto="1"/>
      </bottom>
      <diagonal/>
    </border>
    <border>
      <left/>
      <right/>
      <top/>
      <bottom style="medium">
        <color auto="1"/>
      </bottom>
      <diagonal/>
    </border>
    <border>
      <left/>
      <right style="medium">
        <color auto="1"/>
      </right>
      <top/>
      <bottom style="medium">
        <color auto="1"/>
      </bottom>
      <diagonal/>
    </border>
    <border>
      <left style="medium">
        <color auto="1"/>
      </left>
      <right style="medium">
        <color auto="1"/>
      </right>
      <top style="medium">
        <color auto="1"/>
      </top>
      <bottom/>
      <diagonal/>
    </border>
    <border>
      <left style="medium">
        <color auto="1"/>
      </left>
      <right style="medium">
        <color auto="1"/>
      </right>
      <top/>
      <bottom/>
      <diagonal/>
    </border>
    <border>
      <left style="medium">
        <color auto="1"/>
      </left>
      <right style="medium">
        <color auto="1"/>
      </right>
      <top/>
      <bottom style="medium">
        <color auto="1"/>
      </bottom>
      <diagonal/>
    </border>
    <border>
      <left style="thin">
        <color auto="1"/>
      </left>
      <right/>
      <top/>
      <bottom style="thin">
        <color auto="1"/>
      </bottom>
      <diagonal/>
    </border>
    <border>
      <left/>
      <right style="thin">
        <color auto="1"/>
      </right>
      <top/>
      <bottom style="thin">
        <color auto="1"/>
      </bottom>
      <diagonal/>
    </border>
    <border>
      <left style="thin">
        <color auto="1"/>
      </left>
      <right style="thin">
        <color auto="1"/>
      </right>
      <top style="thin">
        <color auto="1"/>
      </top>
      <bottom style="thin">
        <color auto="1"/>
      </bottom>
      <diagonal/>
    </border>
    <border>
      <left style="thin">
        <color indexed="64"/>
      </left>
      <right/>
      <top style="thin">
        <color indexed="64"/>
      </top>
      <bottom/>
      <diagonal/>
    </border>
    <border>
      <left/>
      <right/>
      <top style="thin">
        <color indexed="64"/>
      </top>
      <bottom/>
      <diagonal/>
    </border>
    <border>
      <left/>
      <right style="thin">
        <color auto="1"/>
      </right>
      <top style="thin">
        <color indexed="64"/>
      </top>
      <bottom/>
      <diagonal/>
    </border>
    <border>
      <left/>
      <right/>
      <top/>
      <bottom style="thin">
        <color auto="1"/>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auto="1"/>
      </left>
      <right style="thin">
        <color auto="1"/>
      </right>
      <top style="thin">
        <color indexed="64"/>
      </top>
      <bottom/>
      <diagonal/>
    </border>
  </borders>
  <cellStyleXfs count="22">
    <xf numFmtId="0" fontId="0" fillId="0" borderId="0"/>
    <xf numFmtId="9" fontId="1" fillId="0" borderId="0" applyFon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cellStyleXfs>
  <cellXfs count="304">
    <xf numFmtId="0" fontId="0" fillId="0" borderId="0" xfId="0"/>
    <xf numFmtId="0" fontId="7" fillId="3" borderId="1" xfId="0" applyFont="1" applyFill="1" applyBorder="1" applyAlignment="1">
      <alignment horizontal="center" vertical="center"/>
    </xf>
    <xf numFmtId="0" fontId="7" fillId="3" borderId="3" xfId="0" applyFont="1" applyFill="1" applyBorder="1" applyAlignment="1">
      <alignment horizontal="center" vertical="center"/>
    </xf>
    <xf numFmtId="164" fontId="3" fillId="2" borderId="3" xfId="0" applyNumberFormat="1" applyFont="1" applyFill="1" applyBorder="1" applyAlignment="1">
      <alignment horizontal="center" vertical="center"/>
    </xf>
    <xf numFmtId="0" fontId="3" fillId="4" borderId="1" xfId="0" applyFont="1" applyFill="1" applyBorder="1" applyAlignment="1">
      <alignment horizontal="center" vertical="center"/>
    </xf>
    <xf numFmtId="0" fontId="3" fillId="4" borderId="3" xfId="0" applyFont="1" applyFill="1" applyBorder="1" applyAlignment="1">
      <alignment horizontal="center" vertical="center"/>
    </xf>
    <xf numFmtId="0" fontId="5" fillId="2" borderId="1" xfId="0" applyFont="1" applyFill="1" applyBorder="1" applyAlignment="1">
      <alignment horizontal="center" vertical="center"/>
    </xf>
    <xf numFmtId="0" fontId="3" fillId="2" borderId="3" xfId="0" applyFont="1" applyFill="1" applyBorder="1" applyAlignment="1">
      <alignment vertical="center"/>
    </xf>
    <xf numFmtId="0" fontId="2" fillId="4" borderId="3" xfId="0" applyFont="1" applyFill="1" applyBorder="1" applyAlignment="1">
      <alignment vertical="center"/>
    </xf>
    <xf numFmtId="0" fontId="3" fillId="2" borderId="1" xfId="0" applyFont="1" applyFill="1" applyBorder="1" applyAlignment="1">
      <alignment horizontal="center" vertical="center"/>
    </xf>
    <xf numFmtId="0" fontId="3" fillId="5" borderId="1" xfId="0" applyFont="1" applyFill="1" applyBorder="1" applyAlignment="1">
      <alignment horizontal="center" vertical="center"/>
    </xf>
    <xf numFmtId="0" fontId="3" fillId="5" borderId="3" xfId="0" applyFont="1" applyFill="1" applyBorder="1" applyAlignment="1">
      <alignment vertical="center"/>
    </xf>
    <xf numFmtId="0" fontId="3" fillId="5" borderId="3" xfId="0" applyFont="1" applyFill="1" applyBorder="1" applyAlignment="1">
      <alignment horizontal="center" vertical="center"/>
    </xf>
    <xf numFmtId="164" fontId="3" fillId="5" borderId="1" xfId="0" applyNumberFormat="1" applyFont="1" applyFill="1" applyBorder="1" applyAlignment="1">
      <alignment horizontal="center" vertical="center"/>
    </xf>
    <xf numFmtId="164" fontId="3" fillId="5" borderId="3" xfId="0" applyNumberFormat="1" applyFont="1" applyFill="1" applyBorder="1" applyAlignment="1">
      <alignment horizontal="center" vertical="center"/>
    </xf>
    <xf numFmtId="2" fontId="3" fillId="5" borderId="1" xfId="0" applyNumberFormat="1" applyFont="1" applyFill="1" applyBorder="1" applyAlignment="1">
      <alignment horizontal="center" vertical="center"/>
    </xf>
    <xf numFmtId="0" fontId="3" fillId="5" borderId="0" xfId="0" applyFont="1" applyFill="1" applyBorder="1" applyAlignment="1">
      <alignment horizontal="center" vertical="center"/>
    </xf>
    <xf numFmtId="0" fontId="2" fillId="4" borderId="1" xfId="0" applyFont="1" applyFill="1" applyBorder="1" applyAlignment="1">
      <alignment horizontal="center" vertical="center"/>
    </xf>
    <xf numFmtId="0" fontId="2" fillId="4" borderId="3" xfId="0" applyFont="1" applyFill="1" applyBorder="1" applyAlignment="1">
      <alignment horizontal="center" vertical="center"/>
    </xf>
    <xf numFmtId="0" fontId="3" fillId="4" borderId="0" xfId="0" applyFont="1" applyFill="1" applyBorder="1" applyAlignment="1">
      <alignment horizontal="center" vertical="center"/>
    </xf>
    <xf numFmtId="0" fontId="3" fillId="6" borderId="0" xfId="0" applyFont="1" applyFill="1" applyAlignment="1">
      <alignment vertical="center"/>
    </xf>
    <xf numFmtId="0" fontId="2" fillId="6" borderId="0" xfId="0" applyFont="1" applyFill="1" applyAlignment="1">
      <alignment horizontal="center" vertical="center"/>
    </xf>
    <xf numFmtId="0" fontId="2" fillId="6" borderId="0" xfId="0" applyFont="1" applyFill="1" applyAlignment="1">
      <alignment vertical="center"/>
    </xf>
    <xf numFmtId="0" fontId="3" fillId="6" borderId="0" xfId="0" applyFont="1" applyFill="1" applyAlignment="1">
      <alignment horizontal="center" vertical="center"/>
    </xf>
    <xf numFmtId="0" fontId="3" fillId="6" borderId="4" xfId="0" applyFont="1" applyFill="1" applyBorder="1" applyAlignment="1">
      <alignment horizontal="center" vertical="center"/>
    </xf>
    <xf numFmtId="0" fontId="3" fillId="6" borderId="5" xfId="0" applyFont="1" applyFill="1" applyBorder="1" applyAlignment="1">
      <alignment horizontal="center" vertical="center"/>
    </xf>
    <xf numFmtId="0" fontId="3" fillId="6" borderId="6" xfId="0" applyFont="1" applyFill="1" applyBorder="1" applyAlignment="1">
      <alignment horizontal="center" vertical="center"/>
    </xf>
    <xf numFmtId="0" fontId="3" fillId="6" borderId="7" xfId="0" applyFont="1" applyFill="1" applyBorder="1" applyAlignment="1">
      <alignment horizontal="center" vertical="center"/>
    </xf>
    <xf numFmtId="0" fontId="3" fillId="6" borderId="8" xfId="0" applyFont="1" applyFill="1" applyBorder="1" applyAlignment="1">
      <alignment horizontal="center" vertical="center"/>
    </xf>
    <xf numFmtId="0" fontId="3" fillId="6" borderId="9" xfId="0" applyFont="1" applyFill="1" applyBorder="1" applyAlignment="1">
      <alignment horizontal="center" vertical="center"/>
    </xf>
    <xf numFmtId="0" fontId="3" fillId="6" borderId="10" xfId="0" applyFont="1" applyFill="1" applyBorder="1" applyAlignment="1">
      <alignment horizontal="center" vertical="center"/>
    </xf>
    <xf numFmtId="0" fontId="3" fillId="6" borderId="11" xfId="0" applyFont="1" applyFill="1" applyBorder="1" applyAlignment="1">
      <alignment horizontal="center" vertical="center"/>
    </xf>
    <xf numFmtId="0" fontId="10" fillId="3" borderId="1" xfId="0" applyFont="1" applyFill="1" applyBorder="1" applyAlignment="1">
      <alignment horizontal="center" vertical="center"/>
    </xf>
    <xf numFmtId="0" fontId="10" fillId="3" borderId="0" xfId="0" applyFont="1" applyFill="1" applyBorder="1" applyAlignment="1">
      <alignment horizontal="center" vertical="center"/>
    </xf>
    <xf numFmtId="0" fontId="11" fillId="3" borderId="3" xfId="0" applyFont="1" applyFill="1" applyBorder="1" applyAlignment="1">
      <alignment horizontal="center" vertical="center"/>
    </xf>
    <xf numFmtId="0" fontId="12" fillId="5" borderId="3" xfId="0" applyFont="1" applyFill="1" applyBorder="1" applyAlignment="1">
      <alignment horizontal="center" vertical="center"/>
    </xf>
    <xf numFmtId="0" fontId="13" fillId="5" borderId="0" xfId="0" applyFont="1" applyFill="1" applyBorder="1" applyAlignment="1">
      <alignment horizontal="center" vertical="center"/>
    </xf>
    <xf numFmtId="0" fontId="3" fillId="6" borderId="0" xfId="0" applyFont="1" applyFill="1" applyBorder="1" applyAlignment="1">
      <alignment horizontal="center" vertical="center"/>
    </xf>
    <xf numFmtId="2" fontId="3" fillId="5" borderId="3" xfId="0" applyNumberFormat="1" applyFont="1" applyFill="1" applyBorder="1" applyAlignment="1">
      <alignment horizontal="center" vertical="center"/>
    </xf>
    <xf numFmtId="0" fontId="3" fillId="2" borderId="3" xfId="0" applyFont="1" applyFill="1" applyBorder="1" applyAlignment="1">
      <alignment horizontal="center" vertical="center"/>
    </xf>
    <xf numFmtId="9" fontId="3" fillId="2" borderId="1" xfId="1" applyFont="1" applyFill="1" applyBorder="1" applyAlignment="1">
      <alignment horizontal="center" vertical="center"/>
    </xf>
    <xf numFmtId="9" fontId="3" fillId="2" borderId="3" xfId="1" applyFont="1" applyFill="1" applyBorder="1" applyAlignment="1">
      <alignment horizontal="center" vertical="center"/>
    </xf>
    <xf numFmtId="1" fontId="3" fillId="5" borderId="1" xfId="0" applyNumberFormat="1" applyFont="1" applyFill="1" applyBorder="1" applyAlignment="1">
      <alignment horizontal="center" vertical="center"/>
    </xf>
    <xf numFmtId="2" fontId="3" fillId="5" borderId="0" xfId="0" applyNumberFormat="1" applyFont="1" applyFill="1" applyBorder="1" applyAlignment="1">
      <alignment horizontal="center" vertical="center"/>
    </xf>
    <xf numFmtId="164" fontId="3" fillId="5" borderId="0" xfId="0" applyNumberFormat="1" applyFont="1" applyFill="1" applyBorder="1" applyAlignment="1">
      <alignment horizontal="center" vertical="center"/>
    </xf>
    <xf numFmtId="1" fontId="3" fillId="5" borderId="0" xfId="0" applyNumberFormat="1" applyFont="1" applyFill="1" applyBorder="1" applyAlignment="1">
      <alignment horizontal="center" vertical="center"/>
    </xf>
    <xf numFmtId="0" fontId="3" fillId="4" borderId="13" xfId="0" applyFont="1" applyFill="1" applyBorder="1" applyAlignment="1">
      <alignment horizontal="center" vertical="center"/>
    </xf>
    <xf numFmtId="0" fontId="14" fillId="3" borderId="12" xfId="0" applyFont="1" applyFill="1" applyBorder="1" applyAlignment="1">
      <alignment horizontal="center" vertical="center"/>
    </xf>
    <xf numFmtId="0" fontId="2" fillId="3" borderId="2" xfId="0" applyFont="1" applyFill="1" applyBorder="1" applyAlignment="1">
      <alignment horizontal="center" vertical="center"/>
    </xf>
    <xf numFmtId="0" fontId="3" fillId="3" borderId="2" xfId="0" applyFont="1" applyFill="1" applyBorder="1" applyAlignment="1">
      <alignment vertical="center"/>
    </xf>
    <xf numFmtId="0" fontId="2" fillId="3" borderId="3" xfId="0" applyFont="1" applyFill="1" applyBorder="1" applyAlignment="1">
      <alignment vertical="center"/>
    </xf>
    <xf numFmtId="0" fontId="3" fillId="3" borderId="3" xfId="0" applyFont="1" applyFill="1" applyBorder="1" applyAlignment="1">
      <alignment vertical="center"/>
    </xf>
    <xf numFmtId="0" fontId="3" fillId="6" borderId="4" xfId="0" applyFont="1" applyFill="1" applyBorder="1" applyAlignment="1">
      <alignment vertical="center"/>
    </xf>
    <xf numFmtId="0" fontId="3" fillId="6" borderId="5" xfId="0" applyFont="1" applyFill="1" applyBorder="1" applyAlignment="1">
      <alignment vertical="center"/>
    </xf>
    <xf numFmtId="0" fontId="3" fillId="6" borderId="6" xfId="0" applyFont="1" applyFill="1" applyBorder="1" applyAlignment="1">
      <alignment vertical="center"/>
    </xf>
    <xf numFmtId="0" fontId="3" fillId="6" borderId="7" xfId="0" applyFont="1" applyFill="1" applyBorder="1" applyAlignment="1">
      <alignment vertical="center"/>
    </xf>
    <xf numFmtId="0" fontId="3" fillId="6" borderId="8" xfId="0" applyFont="1" applyFill="1" applyBorder="1" applyAlignment="1">
      <alignment vertical="center"/>
    </xf>
    <xf numFmtId="0" fontId="2" fillId="6" borderId="7" xfId="0" applyFont="1" applyFill="1" applyBorder="1" applyAlignment="1">
      <alignment horizontal="center" vertical="center"/>
    </xf>
    <xf numFmtId="0" fontId="2" fillId="6" borderId="8" xfId="0" applyFont="1" applyFill="1" applyBorder="1" applyAlignment="1">
      <alignment horizontal="center" vertical="center"/>
    </xf>
    <xf numFmtId="0" fontId="2" fillId="6" borderId="0" xfId="0" applyFont="1" applyFill="1" applyBorder="1" applyAlignment="1">
      <alignment horizontal="center" vertical="center"/>
    </xf>
    <xf numFmtId="0" fontId="3" fillId="6" borderId="0" xfId="0" applyFont="1" applyFill="1" applyBorder="1" applyAlignment="1">
      <alignment vertical="center"/>
    </xf>
    <xf numFmtId="0" fontId="2" fillId="6" borderId="7" xfId="0" applyFont="1" applyFill="1" applyBorder="1" applyAlignment="1">
      <alignment vertical="center"/>
    </xf>
    <xf numFmtId="0" fontId="2" fillId="6" borderId="8" xfId="0" applyFont="1" applyFill="1" applyBorder="1" applyAlignment="1">
      <alignment vertical="center"/>
    </xf>
    <xf numFmtId="0" fontId="3" fillId="6" borderId="9" xfId="0" applyFont="1" applyFill="1" applyBorder="1" applyAlignment="1">
      <alignment vertical="center"/>
    </xf>
    <xf numFmtId="0" fontId="3" fillId="6" borderId="10" xfId="0" applyFont="1" applyFill="1" applyBorder="1" applyAlignment="1">
      <alignment vertical="center"/>
    </xf>
    <xf numFmtId="0" fontId="3" fillId="6" borderId="11" xfId="0" applyFont="1" applyFill="1" applyBorder="1" applyAlignment="1">
      <alignment vertical="center"/>
    </xf>
    <xf numFmtId="2" fontId="12" fillId="5" borderId="3" xfId="0" applyNumberFormat="1" applyFont="1" applyFill="1" applyBorder="1" applyAlignment="1">
      <alignment horizontal="center" vertical="center"/>
    </xf>
    <xf numFmtId="2" fontId="15" fillId="3" borderId="13" xfId="0" applyNumberFormat="1" applyFont="1" applyFill="1" applyBorder="1" applyAlignment="1">
      <alignment horizontal="center" vertical="center"/>
    </xf>
    <xf numFmtId="0" fontId="14" fillId="3" borderId="13" xfId="0" applyFont="1" applyFill="1" applyBorder="1" applyAlignment="1">
      <alignment horizontal="center" vertical="center"/>
    </xf>
    <xf numFmtId="0" fontId="14" fillId="3" borderId="14" xfId="0" applyFont="1" applyFill="1" applyBorder="1" applyAlignment="1">
      <alignment horizontal="center" vertical="center"/>
    </xf>
    <xf numFmtId="0" fontId="2" fillId="6" borderId="0" xfId="0" applyFont="1" applyFill="1" applyBorder="1" applyAlignment="1">
      <alignment horizontal="center" vertical="center"/>
    </xf>
    <xf numFmtId="0" fontId="3" fillId="5" borderId="0" xfId="0" applyFont="1" applyFill="1" applyBorder="1" applyAlignment="1">
      <alignment horizontal="center" vertical="center"/>
    </xf>
    <xf numFmtId="2" fontId="3" fillId="5" borderId="1" xfId="0" applyNumberFormat="1" applyFont="1" applyFill="1" applyBorder="1" applyAlignment="1">
      <alignment horizontal="center" vertical="center"/>
    </xf>
    <xf numFmtId="2" fontId="3" fillId="5" borderId="0" xfId="0" applyNumberFormat="1" applyFont="1" applyFill="1" applyBorder="1" applyAlignment="1">
      <alignment horizontal="center" vertical="center"/>
    </xf>
    <xf numFmtId="2" fontId="3" fillId="5" borderId="3" xfId="0" applyNumberFormat="1" applyFont="1" applyFill="1" applyBorder="1" applyAlignment="1">
      <alignment horizontal="center" vertical="center"/>
    </xf>
    <xf numFmtId="0" fontId="3" fillId="5" borderId="3" xfId="0" applyFont="1" applyFill="1" applyBorder="1" applyAlignment="1">
      <alignment horizontal="center" vertical="center"/>
    </xf>
    <xf numFmtId="0" fontId="3" fillId="2" borderId="0" xfId="0" applyFont="1" applyFill="1" applyBorder="1" applyAlignment="1">
      <alignment vertical="center"/>
    </xf>
    <xf numFmtId="0" fontId="2" fillId="4" borderId="0" xfId="0" applyFont="1" applyFill="1" applyBorder="1" applyAlignment="1">
      <alignment vertical="center"/>
    </xf>
    <xf numFmtId="9" fontId="3" fillId="2" borderId="0" xfId="1" applyFont="1" applyFill="1" applyBorder="1" applyAlignment="1">
      <alignment horizontal="center" vertical="center"/>
    </xf>
    <xf numFmtId="164" fontId="3" fillId="2" borderId="1" xfId="0" applyNumberFormat="1" applyFont="1" applyFill="1" applyBorder="1" applyAlignment="1">
      <alignment horizontal="center" vertical="center"/>
    </xf>
    <xf numFmtId="1" fontId="3" fillId="2" borderId="1" xfId="1" applyNumberFormat="1" applyFont="1" applyFill="1" applyBorder="1" applyAlignment="1">
      <alignment horizontal="center" vertical="center"/>
    </xf>
    <xf numFmtId="1" fontId="3" fillId="2" borderId="3" xfId="1" applyNumberFormat="1" applyFont="1" applyFill="1" applyBorder="1" applyAlignment="1">
      <alignment horizontal="center" vertical="center"/>
    </xf>
    <xf numFmtId="1" fontId="6" fillId="2" borderId="1" xfId="1" applyNumberFormat="1" applyFont="1" applyFill="1" applyBorder="1" applyAlignment="1">
      <alignment horizontal="center" vertical="center"/>
    </xf>
    <xf numFmtId="1" fontId="6" fillId="2" borderId="3" xfId="1" applyNumberFormat="1" applyFont="1" applyFill="1" applyBorder="1" applyAlignment="1">
      <alignment horizontal="center" vertical="center"/>
    </xf>
    <xf numFmtId="164" fontId="6" fillId="2" borderId="1" xfId="1" applyNumberFormat="1" applyFont="1" applyFill="1" applyBorder="1" applyAlignment="1">
      <alignment horizontal="center" vertical="center"/>
    </xf>
    <xf numFmtId="164" fontId="6" fillId="2" borderId="3" xfId="1" applyNumberFormat="1" applyFont="1" applyFill="1" applyBorder="1" applyAlignment="1">
      <alignment horizontal="center" vertical="center"/>
    </xf>
    <xf numFmtId="164" fontId="3" fillId="2" borderId="1" xfId="1" applyNumberFormat="1" applyFont="1" applyFill="1" applyBorder="1" applyAlignment="1">
      <alignment horizontal="center" vertical="center"/>
    </xf>
    <xf numFmtId="164" fontId="3" fillId="2" borderId="3" xfId="1" applyNumberFormat="1" applyFont="1" applyFill="1" applyBorder="1" applyAlignment="1">
      <alignment horizontal="center" vertical="center"/>
    </xf>
    <xf numFmtId="0" fontId="7" fillId="3" borderId="0" xfId="0" applyFont="1" applyFill="1" applyBorder="1" applyAlignment="1">
      <alignment horizontal="center" vertical="center"/>
    </xf>
    <xf numFmtId="1" fontId="3" fillId="2" borderId="0" xfId="1" applyNumberFormat="1" applyFont="1" applyFill="1" applyBorder="1" applyAlignment="1">
      <alignment horizontal="center" vertical="center"/>
    </xf>
    <xf numFmtId="1" fontId="6" fillId="2" borderId="0" xfId="1" applyNumberFormat="1" applyFont="1" applyFill="1" applyBorder="1" applyAlignment="1">
      <alignment horizontal="center" vertical="center"/>
    </xf>
    <xf numFmtId="164" fontId="3" fillId="2" borderId="0" xfId="1" applyNumberFormat="1" applyFont="1" applyFill="1" applyBorder="1" applyAlignment="1">
      <alignment horizontal="center" vertical="center"/>
    </xf>
    <xf numFmtId="0" fontId="5" fillId="5" borderId="1" xfId="0" applyFont="1" applyFill="1" applyBorder="1" applyAlignment="1">
      <alignment horizontal="center" vertical="center"/>
    </xf>
    <xf numFmtId="0" fontId="3" fillId="5" borderId="0" xfId="0" applyFont="1" applyFill="1" applyBorder="1" applyAlignment="1">
      <alignment vertical="center"/>
    </xf>
    <xf numFmtId="1" fontId="3" fillId="5" borderId="3" xfId="0" applyNumberFormat="1" applyFont="1" applyFill="1" applyBorder="1" applyAlignment="1">
      <alignment horizontal="center" vertical="center"/>
    </xf>
    <xf numFmtId="0" fontId="3" fillId="5" borderId="0" xfId="0" applyFont="1" applyFill="1" applyBorder="1" applyAlignment="1">
      <alignment horizontal="center" vertical="center"/>
    </xf>
    <xf numFmtId="2" fontId="3" fillId="5" borderId="1" xfId="0" applyNumberFormat="1" applyFont="1" applyFill="1" applyBorder="1" applyAlignment="1">
      <alignment horizontal="center" vertical="center"/>
    </xf>
    <xf numFmtId="2" fontId="3" fillId="5" borderId="0" xfId="0" applyNumberFormat="1" applyFont="1" applyFill="1" applyBorder="1" applyAlignment="1">
      <alignment horizontal="center" vertical="center"/>
    </xf>
    <xf numFmtId="2" fontId="3" fillId="5" borderId="3" xfId="0" applyNumberFormat="1" applyFont="1" applyFill="1" applyBorder="1" applyAlignment="1">
      <alignment horizontal="center" vertical="center"/>
    </xf>
    <xf numFmtId="0" fontId="3" fillId="5" borderId="3" xfId="0" applyFont="1" applyFill="1" applyBorder="1" applyAlignment="1">
      <alignment horizontal="center" vertical="center"/>
    </xf>
    <xf numFmtId="1" fontId="3" fillId="5" borderId="1" xfId="0" applyNumberFormat="1" applyFont="1" applyFill="1" applyBorder="1" applyAlignment="1">
      <alignment horizontal="center" vertical="center"/>
    </xf>
    <xf numFmtId="1" fontId="3" fillId="5" borderId="0" xfId="0" applyNumberFormat="1" applyFont="1" applyFill="1" applyBorder="1" applyAlignment="1">
      <alignment horizontal="center" vertical="center"/>
    </xf>
    <xf numFmtId="1" fontId="3" fillId="5" borderId="3" xfId="0" applyNumberFormat="1" applyFont="1" applyFill="1" applyBorder="1" applyAlignment="1">
      <alignment horizontal="center" vertical="center"/>
    </xf>
    <xf numFmtId="9" fontId="3" fillId="5" borderId="1" xfId="1" applyFont="1" applyFill="1" applyBorder="1" applyAlignment="1">
      <alignment horizontal="center" vertical="center"/>
    </xf>
    <xf numFmtId="9" fontId="3" fillId="5" borderId="0" xfId="1" applyFont="1" applyFill="1" applyBorder="1" applyAlignment="1">
      <alignment horizontal="center" vertical="center"/>
    </xf>
    <xf numFmtId="0" fontId="18" fillId="2" borderId="3" xfId="0" applyFont="1" applyFill="1" applyBorder="1" applyAlignment="1">
      <alignment vertical="center"/>
    </xf>
    <xf numFmtId="0" fontId="3" fillId="5" borderId="0" xfId="0" applyFont="1" applyFill="1" applyBorder="1" applyAlignment="1">
      <alignment horizontal="center" vertical="center"/>
    </xf>
    <xf numFmtId="0" fontId="3" fillId="7" borderId="3" xfId="0" applyFont="1" applyFill="1" applyBorder="1" applyAlignment="1">
      <alignment vertical="center"/>
    </xf>
    <xf numFmtId="0" fontId="3" fillId="7" borderId="1" xfId="0" applyFont="1" applyFill="1" applyBorder="1" applyAlignment="1">
      <alignment horizontal="center" vertical="center"/>
    </xf>
    <xf numFmtId="0" fontId="3" fillId="8" borderId="1" xfId="0" applyFont="1" applyFill="1" applyBorder="1" applyAlignment="1">
      <alignment horizontal="center" vertical="center"/>
    </xf>
    <xf numFmtId="0" fontId="3" fillId="8" borderId="3" xfId="0" applyFont="1" applyFill="1" applyBorder="1" applyAlignment="1">
      <alignment vertical="center"/>
    </xf>
    <xf numFmtId="0" fontId="2" fillId="6" borderId="0" xfId="0" applyFont="1" applyFill="1" applyBorder="1" applyAlignment="1">
      <alignment horizontal="center" vertical="center"/>
    </xf>
    <xf numFmtId="0" fontId="5" fillId="3" borderId="0" xfId="0" applyFont="1" applyFill="1" applyBorder="1" applyAlignment="1">
      <alignment horizontal="center" vertical="center"/>
    </xf>
    <xf numFmtId="0" fontId="3" fillId="6" borderId="0" xfId="0" applyFont="1" applyFill="1" applyAlignment="1">
      <alignment horizontal="left" vertical="center" wrapText="1"/>
    </xf>
    <xf numFmtId="0" fontId="3" fillId="4" borderId="0" xfId="0" applyFont="1" applyFill="1" applyBorder="1" applyAlignment="1">
      <alignment vertical="center"/>
    </xf>
    <xf numFmtId="0" fontId="21" fillId="4" borderId="0" xfId="0" applyFont="1" applyFill="1" applyBorder="1" applyAlignment="1">
      <alignment vertical="center"/>
    </xf>
    <xf numFmtId="0" fontId="21" fillId="4" borderId="1" xfId="0" applyFont="1" applyFill="1" applyBorder="1" applyAlignment="1">
      <alignment horizontal="center" vertical="center"/>
    </xf>
    <xf numFmtId="0" fontId="21" fillId="6" borderId="0" xfId="0" applyFont="1" applyFill="1" applyBorder="1" applyAlignment="1">
      <alignment vertical="center"/>
    </xf>
    <xf numFmtId="1" fontId="21" fillId="7" borderId="1" xfId="1" applyNumberFormat="1" applyFont="1" applyFill="1" applyBorder="1" applyAlignment="1">
      <alignment horizontal="center" vertical="center"/>
    </xf>
    <xf numFmtId="9" fontId="21" fillId="7" borderId="1" xfId="1" applyFont="1" applyFill="1" applyBorder="1" applyAlignment="1">
      <alignment horizontal="center" vertical="center"/>
    </xf>
    <xf numFmtId="1" fontId="22" fillId="7" borderId="1" xfId="1" applyNumberFormat="1" applyFont="1" applyFill="1" applyBorder="1" applyAlignment="1">
      <alignment horizontal="center" vertical="center"/>
    </xf>
    <xf numFmtId="164" fontId="22" fillId="7" borderId="1" xfId="1" applyNumberFormat="1" applyFont="1" applyFill="1" applyBorder="1" applyAlignment="1">
      <alignment horizontal="center" vertical="center"/>
    </xf>
    <xf numFmtId="164" fontId="21" fillId="7" borderId="1" xfId="1" applyNumberFormat="1" applyFont="1" applyFill="1" applyBorder="1" applyAlignment="1">
      <alignment horizontal="center" vertical="center"/>
    </xf>
    <xf numFmtId="0" fontId="21" fillId="7" borderId="1" xfId="0" applyFont="1" applyFill="1" applyBorder="1" applyAlignment="1">
      <alignment horizontal="center" vertical="center"/>
    </xf>
    <xf numFmtId="0" fontId="21" fillId="8" borderId="1" xfId="0" applyFont="1" applyFill="1" applyBorder="1" applyAlignment="1">
      <alignment horizontal="center" vertical="center"/>
    </xf>
    <xf numFmtId="2" fontId="21" fillId="8" borderId="1" xfId="0" applyNumberFormat="1" applyFont="1" applyFill="1" applyBorder="1" applyAlignment="1">
      <alignment horizontal="center" vertical="center"/>
    </xf>
    <xf numFmtId="164" fontId="21" fillId="8" borderId="1" xfId="0" applyNumberFormat="1" applyFont="1" applyFill="1" applyBorder="1" applyAlignment="1">
      <alignment horizontal="center" vertical="center"/>
    </xf>
    <xf numFmtId="1" fontId="21" fillId="8" borderId="1" xfId="0" applyNumberFormat="1" applyFont="1" applyFill="1" applyBorder="1" applyAlignment="1">
      <alignment horizontal="center" vertical="center"/>
    </xf>
    <xf numFmtId="0" fontId="21" fillId="7" borderId="0" xfId="0" applyFont="1" applyFill="1" applyBorder="1" applyAlignment="1">
      <alignment vertical="center"/>
    </xf>
    <xf numFmtId="0" fontId="21" fillId="6" borderId="0" xfId="0" applyFont="1" applyFill="1" applyAlignment="1">
      <alignment vertical="center"/>
    </xf>
    <xf numFmtId="0" fontId="21" fillId="6" borderId="5" xfId="0" applyFont="1" applyFill="1" applyBorder="1" applyAlignment="1">
      <alignment vertical="center"/>
    </xf>
    <xf numFmtId="0" fontId="21" fillId="8" borderId="2" xfId="0" applyFont="1" applyFill="1" applyBorder="1" applyAlignment="1">
      <alignment vertical="center"/>
    </xf>
    <xf numFmtId="0" fontId="21" fillId="6" borderId="0" xfId="0" applyFont="1" applyFill="1" applyBorder="1" applyAlignment="1">
      <alignment horizontal="center" vertical="center"/>
    </xf>
    <xf numFmtId="0" fontId="7" fillId="3" borderId="2" xfId="0" applyFont="1" applyFill="1" applyBorder="1" applyAlignment="1">
      <alignment horizontal="center" vertical="center"/>
    </xf>
    <xf numFmtId="0" fontId="21" fillId="4" borderId="2" xfId="0" applyFont="1" applyFill="1" applyBorder="1" applyAlignment="1">
      <alignment vertical="center"/>
    </xf>
    <xf numFmtId="0" fontId="21" fillId="6" borderId="10" xfId="0" applyFont="1" applyFill="1" applyBorder="1" applyAlignment="1">
      <alignment vertical="center"/>
    </xf>
    <xf numFmtId="2" fontId="3" fillId="6" borderId="0" xfId="0" applyNumberFormat="1" applyFont="1" applyFill="1" applyAlignment="1">
      <alignment horizontal="center" vertical="center"/>
    </xf>
    <xf numFmtId="0" fontId="3" fillId="2" borderId="3" xfId="0" applyFont="1" applyFill="1" applyBorder="1" applyAlignment="1">
      <alignment vertical="center" wrapText="1"/>
    </xf>
    <xf numFmtId="164" fontId="3" fillId="3" borderId="3" xfId="0" applyNumberFormat="1" applyFont="1" applyFill="1" applyBorder="1" applyAlignment="1">
      <alignment vertical="center"/>
    </xf>
    <xf numFmtId="0" fontId="23" fillId="2" borderId="0" xfId="0" applyFont="1" applyFill="1" applyBorder="1" applyAlignment="1">
      <alignment vertical="center"/>
    </xf>
    <xf numFmtId="0" fontId="23" fillId="2" borderId="1" xfId="0" applyFont="1" applyFill="1" applyBorder="1" applyAlignment="1">
      <alignment horizontal="center" vertical="center"/>
    </xf>
    <xf numFmtId="9" fontId="3" fillId="7" borderId="1" xfId="1" applyFont="1" applyFill="1" applyBorder="1" applyAlignment="1">
      <alignment horizontal="center" vertical="center"/>
    </xf>
    <xf numFmtId="0" fontId="3" fillId="6" borderId="0" xfId="0" applyFont="1" applyFill="1" applyAlignment="1">
      <alignment vertical="center" wrapText="1"/>
    </xf>
    <xf numFmtId="0" fontId="3" fillId="5" borderId="3" xfId="0" applyFont="1" applyFill="1" applyBorder="1" applyAlignment="1">
      <alignment horizontal="center" vertical="center"/>
    </xf>
    <xf numFmtId="0" fontId="3" fillId="6" borderId="0" xfId="0" applyFont="1" applyFill="1" applyAlignment="1">
      <alignment horizontal="left" vertical="center" wrapText="1"/>
    </xf>
    <xf numFmtId="0" fontId="25" fillId="6" borderId="0" xfId="0" applyFont="1" applyFill="1" applyAlignment="1">
      <alignment horizontal="center" vertical="center"/>
    </xf>
    <xf numFmtId="0" fontId="23" fillId="8" borderId="3" xfId="0" applyFont="1" applyFill="1" applyBorder="1" applyAlignment="1">
      <alignment vertical="center"/>
    </xf>
    <xf numFmtId="0" fontId="23" fillId="6" borderId="0" xfId="0" applyFont="1" applyFill="1" applyAlignment="1">
      <alignment horizontal="left" vertical="center" wrapText="1"/>
    </xf>
    <xf numFmtId="0" fontId="23" fillId="2" borderId="3" xfId="0" applyFont="1" applyFill="1" applyBorder="1" applyAlignment="1">
      <alignment vertical="center"/>
    </xf>
    <xf numFmtId="0" fontId="26" fillId="6" borderId="0" xfId="0" applyFont="1" applyFill="1"/>
    <xf numFmtId="0" fontId="27" fillId="6" borderId="0" xfId="0" applyFont="1" applyFill="1"/>
    <xf numFmtId="0" fontId="2" fillId="6" borderId="1" xfId="0" applyFont="1" applyFill="1" applyBorder="1" applyAlignment="1">
      <alignment horizontal="center" vertical="center"/>
    </xf>
    <xf numFmtId="0" fontId="3" fillId="6" borderId="3" xfId="0" applyFont="1" applyFill="1" applyBorder="1" applyAlignment="1">
      <alignment vertical="center"/>
    </xf>
    <xf numFmtId="0" fontId="3" fillId="6" borderId="1" xfId="0" applyFont="1" applyFill="1" applyBorder="1" applyAlignment="1">
      <alignment horizontal="center" vertical="center"/>
    </xf>
    <xf numFmtId="0" fontId="3" fillId="6" borderId="15" xfId="0" applyFont="1" applyFill="1" applyBorder="1" applyAlignment="1">
      <alignment horizontal="center" vertical="center"/>
    </xf>
    <xf numFmtId="0" fontId="3" fillId="6" borderId="16" xfId="0" applyFont="1" applyFill="1" applyBorder="1" applyAlignment="1">
      <alignment vertical="center"/>
    </xf>
    <xf numFmtId="0" fontId="28" fillId="6" borderId="0" xfId="0" applyFont="1" applyFill="1"/>
    <xf numFmtId="0" fontId="2" fillId="4" borderId="17" xfId="0" applyFont="1" applyFill="1" applyBorder="1" applyAlignment="1">
      <alignment horizontal="center" vertical="center" wrapText="1"/>
    </xf>
    <xf numFmtId="0" fontId="27" fillId="0" borderId="0" xfId="0" applyFont="1" applyAlignment="1">
      <alignment horizontal="center" vertical="center"/>
    </xf>
    <xf numFmtId="0" fontId="3" fillId="0" borderId="17" xfId="0" applyFont="1" applyFill="1" applyBorder="1" applyAlignment="1">
      <alignment horizontal="center" vertical="center"/>
    </xf>
    <xf numFmtId="0" fontId="3" fillId="0" borderId="17" xfId="0" applyFont="1" applyFill="1" applyBorder="1" applyAlignment="1">
      <alignment horizontal="left" vertical="center" wrapText="1"/>
    </xf>
    <xf numFmtId="0" fontId="3" fillId="0" borderId="17" xfId="0" applyFont="1" applyFill="1" applyBorder="1" applyAlignment="1">
      <alignment horizontal="left" vertical="center"/>
    </xf>
    <xf numFmtId="2" fontId="3" fillId="5" borderId="1" xfId="0" applyNumberFormat="1" applyFont="1" applyFill="1" applyBorder="1" applyAlignment="1">
      <alignment horizontal="center" vertical="center"/>
    </xf>
    <xf numFmtId="2" fontId="3" fillId="5" borderId="3" xfId="0" applyNumberFormat="1" applyFont="1" applyFill="1" applyBorder="1" applyAlignment="1">
      <alignment horizontal="center" vertical="center"/>
    </xf>
    <xf numFmtId="2" fontId="3" fillId="5" borderId="0" xfId="0" applyNumberFormat="1" applyFont="1" applyFill="1" applyBorder="1" applyAlignment="1">
      <alignment horizontal="center" vertical="center"/>
    </xf>
    <xf numFmtId="2" fontId="0" fillId="0" borderId="0" xfId="0" applyNumberFormat="1"/>
    <xf numFmtId="2" fontId="3" fillId="5" borderId="0" xfId="0" applyNumberFormat="1" applyFont="1" applyFill="1" applyBorder="1" applyAlignment="1">
      <alignment horizontal="center" vertical="center"/>
    </xf>
    <xf numFmtId="0" fontId="3" fillId="5" borderId="0" xfId="0" applyFont="1" applyFill="1" applyBorder="1" applyAlignment="1">
      <alignment horizontal="center" vertical="center"/>
    </xf>
    <xf numFmtId="0" fontId="3" fillId="6" borderId="0" xfId="0" applyFont="1" applyFill="1" applyAlignment="1">
      <alignment horizontal="left" vertical="center" wrapText="1"/>
    </xf>
    <xf numFmtId="2" fontId="3" fillId="5" borderId="1" xfId="0" applyNumberFormat="1" applyFont="1" applyFill="1" applyBorder="1" applyAlignment="1">
      <alignment horizontal="center" vertical="center"/>
    </xf>
    <xf numFmtId="2" fontId="3" fillId="5" borderId="3" xfId="0" applyNumberFormat="1" applyFont="1" applyFill="1" applyBorder="1" applyAlignment="1">
      <alignment horizontal="center" vertical="center"/>
    </xf>
    <xf numFmtId="0" fontId="3" fillId="5" borderId="3" xfId="0" applyFont="1" applyFill="1" applyBorder="1" applyAlignment="1">
      <alignment horizontal="center" vertical="center"/>
    </xf>
    <xf numFmtId="2" fontId="3" fillId="5" borderId="0" xfId="0" applyNumberFormat="1" applyFont="1" applyFill="1" applyBorder="1" applyAlignment="1">
      <alignment horizontal="center" vertical="center"/>
    </xf>
    <xf numFmtId="1" fontId="3" fillId="5" borderId="1" xfId="0" applyNumberFormat="1" applyFont="1" applyFill="1" applyBorder="1" applyAlignment="1">
      <alignment horizontal="center" vertical="center"/>
    </xf>
    <xf numFmtId="1" fontId="3" fillId="5" borderId="0" xfId="0" applyNumberFormat="1" applyFont="1" applyFill="1" applyBorder="1" applyAlignment="1">
      <alignment horizontal="center" vertical="center"/>
    </xf>
    <xf numFmtId="1" fontId="3" fillId="5" borderId="3" xfId="0" applyNumberFormat="1" applyFont="1" applyFill="1" applyBorder="1" applyAlignment="1">
      <alignment horizontal="center" vertical="center"/>
    </xf>
    <xf numFmtId="0" fontId="2" fillId="6" borderId="0" xfId="0" applyFont="1" applyFill="1" applyBorder="1" applyAlignment="1">
      <alignment horizontal="center" vertical="center"/>
    </xf>
    <xf numFmtId="0" fontId="3" fillId="5" borderId="0" xfId="0" applyFont="1" applyFill="1" applyBorder="1" applyAlignment="1">
      <alignment horizontal="center" vertical="center"/>
    </xf>
    <xf numFmtId="0" fontId="5" fillId="3" borderId="1" xfId="0" applyFont="1" applyFill="1" applyBorder="1" applyAlignment="1">
      <alignment horizontal="center" vertical="center"/>
    </xf>
    <xf numFmtId="0" fontId="5" fillId="3" borderId="0" xfId="0" applyFont="1" applyFill="1" applyBorder="1" applyAlignment="1">
      <alignment horizontal="center" vertical="center"/>
    </xf>
    <xf numFmtId="0" fontId="5" fillId="3" borderId="3" xfId="0" applyFont="1" applyFill="1" applyBorder="1" applyAlignment="1">
      <alignment horizontal="center" vertical="center"/>
    </xf>
    <xf numFmtId="0" fontId="2" fillId="5" borderId="1" xfId="0" applyFont="1" applyFill="1" applyBorder="1" applyAlignment="1">
      <alignment horizontal="center" vertical="center"/>
    </xf>
    <xf numFmtId="0" fontId="2" fillId="5" borderId="3" xfId="0" applyFont="1" applyFill="1" applyBorder="1" applyAlignment="1">
      <alignment horizontal="center" vertical="center"/>
    </xf>
    <xf numFmtId="0" fontId="21" fillId="6" borderId="0" xfId="0" applyFont="1" applyFill="1" applyAlignment="1">
      <alignment horizontal="center" vertical="center"/>
    </xf>
    <xf numFmtId="2" fontId="3" fillId="5" borderId="1" xfId="0" applyNumberFormat="1" applyFont="1" applyFill="1" applyBorder="1" applyAlignment="1">
      <alignment horizontal="center" vertical="center"/>
    </xf>
    <xf numFmtId="2" fontId="3" fillId="5" borderId="3" xfId="0" applyNumberFormat="1" applyFont="1" applyFill="1" applyBorder="1" applyAlignment="1">
      <alignment horizontal="center" vertical="center"/>
    </xf>
    <xf numFmtId="0" fontId="3" fillId="2" borderId="1" xfId="0" applyFont="1" applyFill="1" applyBorder="1" applyAlignment="1">
      <alignment horizontal="center"/>
    </xf>
    <xf numFmtId="0" fontId="3" fillId="2" borderId="3" xfId="0" applyFont="1" applyFill="1" applyBorder="1" applyAlignment="1">
      <alignment horizontal="center"/>
    </xf>
    <xf numFmtId="0" fontId="7" fillId="3" borderId="2" xfId="0" applyFont="1" applyFill="1" applyBorder="1" applyAlignment="1">
      <alignment horizontal="center" vertical="center" wrapText="1"/>
    </xf>
    <xf numFmtId="0" fontId="3" fillId="5" borderId="3" xfId="0" applyFont="1" applyFill="1" applyBorder="1" applyAlignment="1">
      <alignment horizontal="center" vertical="center"/>
    </xf>
    <xf numFmtId="0" fontId="3" fillId="6" borderId="0" xfId="0" applyFont="1" applyFill="1" applyAlignment="1">
      <alignment horizontal="left" vertical="center" wrapText="1"/>
    </xf>
    <xf numFmtId="0" fontId="14" fillId="3" borderId="1" xfId="0" applyFont="1" applyFill="1" applyBorder="1" applyAlignment="1">
      <alignment horizontal="center" vertical="center"/>
    </xf>
    <xf numFmtId="2" fontId="3" fillId="5" borderId="0" xfId="0" applyNumberFormat="1" applyFont="1" applyFill="1" applyBorder="1" applyAlignment="1">
      <alignment horizontal="center" vertical="center"/>
    </xf>
    <xf numFmtId="0" fontId="2" fillId="5" borderId="0" xfId="0" applyFont="1" applyFill="1" applyBorder="1" applyAlignment="1">
      <alignment horizontal="center" vertical="center"/>
    </xf>
    <xf numFmtId="1" fontId="3" fillId="5" borderId="1" xfId="0" applyNumberFormat="1" applyFont="1" applyFill="1" applyBorder="1" applyAlignment="1">
      <alignment horizontal="center" vertical="center"/>
    </xf>
    <xf numFmtId="1" fontId="3" fillId="5" borderId="0" xfId="0" applyNumberFormat="1" applyFont="1" applyFill="1" applyBorder="1" applyAlignment="1">
      <alignment horizontal="center" vertical="center"/>
    </xf>
    <xf numFmtId="1" fontId="3" fillId="5" borderId="3" xfId="0" applyNumberFormat="1" applyFont="1" applyFill="1" applyBorder="1" applyAlignment="1">
      <alignment horizontal="center" vertical="center"/>
    </xf>
    <xf numFmtId="0" fontId="14" fillId="3" borderId="1" xfId="0" applyFont="1" applyFill="1" applyBorder="1" applyAlignment="1">
      <alignment horizontal="center" vertical="center" wrapText="1"/>
    </xf>
    <xf numFmtId="0" fontId="5" fillId="9" borderId="1" xfId="0" applyFont="1" applyFill="1" applyBorder="1" applyAlignment="1">
      <alignment horizontal="center" vertical="center"/>
    </xf>
    <xf numFmtId="0" fontId="5" fillId="9" borderId="3" xfId="0" applyFont="1" applyFill="1" applyBorder="1" applyAlignment="1">
      <alignment horizontal="center" vertical="center"/>
    </xf>
    <xf numFmtId="0" fontId="5" fillId="3" borderId="1" xfId="0" applyFont="1" applyFill="1" applyBorder="1" applyAlignment="1">
      <alignment vertical="center"/>
    </xf>
    <xf numFmtId="0" fontId="5" fillId="3" borderId="3" xfId="0" applyFont="1" applyFill="1" applyBorder="1" applyAlignment="1">
      <alignment vertical="center"/>
    </xf>
    <xf numFmtId="0" fontId="3" fillId="5" borderId="16" xfId="0" applyFont="1" applyFill="1" applyBorder="1" applyAlignment="1">
      <alignment vertical="center"/>
    </xf>
    <xf numFmtId="0" fontId="5" fillId="3" borderId="19" xfId="0" applyFont="1" applyFill="1" applyBorder="1" applyAlignment="1">
      <alignment horizontal="center" vertical="center"/>
    </xf>
    <xf numFmtId="0" fontId="5" fillId="3" borderId="20" xfId="0" applyFont="1" applyFill="1" applyBorder="1" applyAlignment="1">
      <alignment horizontal="center" vertical="center"/>
    </xf>
    <xf numFmtId="0" fontId="5" fillId="3" borderId="18" xfId="0" applyFont="1" applyFill="1" applyBorder="1" applyAlignment="1">
      <alignment horizontal="center" vertical="center"/>
    </xf>
    <xf numFmtId="2" fontId="3" fillId="4" borderId="1" xfId="0" applyNumberFormat="1" applyFont="1" applyFill="1" applyBorder="1" applyAlignment="1">
      <alignment horizontal="center" vertical="center"/>
    </xf>
    <xf numFmtId="2" fontId="3" fillId="4" borderId="0" xfId="0" applyNumberFormat="1" applyFont="1" applyFill="1" applyBorder="1" applyAlignment="1">
      <alignment horizontal="center" vertical="center"/>
    </xf>
    <xf numFmtId="0" fontId="0" fillId="0" borderId="0" xfId="0" applyAlignment="1">
      <alignment horizontal="center"/>
    </xf>
    <xf numFmtId="2" fontId="3" fillId="5" borderId="8" xfId="0" applyNumberFormat="1" applyFont="1" applyFill="1" applyBorder="1" applyAlignment="1">
      <alignment horizontal="center" vertical="center"/>
    </xf>
    <xf numFmtId="0" fontId="5" fillId="3" borderId="22" xfId="0" applyFont="1" applyFill="1" applyBorder="1" applyAlignment="1">
      <alignment horizontal="center" vertical="center" wrapText="1"/>
    </xf>
    <xf numFmtId="0" fontId="5" fillId="3" borderId="23" xfId="0" applyFont="1" applyFill="1" applyBorder="1" applyAlignment="1">
      <alignment horizontal="center" vertical="center" wrapText="1"/>
    </xf>
    <xf numFmtId="0" fontId="0" fillId="6" borderId="0" xfId="0" applyFill="1"/>
    <xf numFmtId="0" fontId="0" fillId="6" borderId="0" xfId="0" applyFill="1" applyBorder="1"/>
    <xf numFmtId="0" fontId="0" fillId="6" borderId="0" xfId="0" applyFill="1" applyAlignment="1">
      <alignment horizontal="center"/>
    </xf>
    <xf numFmtId="2" fontId="0" fillId="6" borderId="0" xfId="0" applyNumberFormat="1" applyFill="1"/>
    <xf numFmtId="0" fontId="0" fillId="6" borderId="0" xfId="0" applyFill="1" applyBorder="1" applyAlignment="1">
      <alignment horizontal="center"/>
    </xf>
    <xf numFmtId="0" fontId="13" fillId="6" borderId="0" xfId="0" applyFont="1" applyFill="1" applyAlignment="1">
      <alignment horizontal="left" vertical="center"/>
    </xf>
    <xf numFmtId="0" fontId="0" fillId="6" borderId="4" xfId="0" applyFill="1" applyBorder="1"/>
    <xf numFmtId="0" fontId="0" fillId="6" borderId="5" xfId="0" applyFill="1" applyBorder="1" applyAlignment="1">
      <alignment horizontal="center"/>
    </xf>
    <xf numFmtId="0" fontId="0" fillId="6" borderId="5" xfId="0" applyFill="1" applyBorder="1"/>
    <xf numFmtId="0" fontId="0" fillId="6" borderId="6" xfId="0" applyFill="1" applyBorder="1"/>
    <xf numFmtId="0" fontId="0" fillId="6" borderId="7" xfId="0" applyFill="1" applyBorder="1"/>
    <xf numFmtId="0" fontId="0" fillId="6" borderId="8" xfId="0" applyFill="1" applyBorder="1"/>
    <xf numFmtId="0" fontId="0" fillId="6" borderId="9" xfId="0" applyFill="1" applyBorder="1"/>
    <xf numFmtId="0" fontId="0" fillId="6" borderId="10" xfId="0" applyFill="1" applyBorder="1" applyAlignment="1">
      <alignment horizontal="center"/>
    </xf>
    <xf numFmtId="0" fontId="0" fillId="6" borderId="10" xfId="0" applyFill="1" applyBorder="1"/>
    <xf numFmtId="0" fontId="0" fillId="6" borderId="11" xfId="0" applyFill="1" applyBorder="1"/>
    <xf numFmtId="0" fontId="5" fillId="3" borderId="18" xfId="0" applyFont="1" applyFill="1" applyBorder="1" applyAlignment="1">
      <alignment horizontal="center" vertical="center"/>
    </xf>
    <xf numFmtId="2" fontId="3" fillId="4" borderId="3" xfId="0" applyNumberFormat="1" applyFont="1" applyFill="1" applyBorder="1" applyAlignment="1">
      <alignment horizontal="center" vertical="center"/>
    </xf>
    <xf numFmtId="0" fontId="5" fillId="3" borderId="15" xfId="0" applyFont="1" applyFill="1" applyBorder="1" applyAlignment="1">
      <alignment horizontal="center" vertical="center"/>
    </xf>
    <xf numFmtId="0" fontId="5" fillId="3" borderId="24" xfId="0" applyFont="1" applyFill="1" applyBorder="1" applyAlignment="1">
      <alignment horizontal="center" vertical="center"/>
    </xf>
    <xf numFmtId="0" fontId="5" fillId="3" borderId="25" xfId="0" applyFont="1" applyFill="1" applyBorder="1" applyAlignment="1">
      <alignment horizontal="center" vertical="center"/>
    </xf>
    <xf numFmtId="0" fontId="5" fillId="3" borderId="26" xfId="0" applyFont="1" applyFill="1" applyBorder="1" applyAlignment="1">
      <alignment horizontal="center" vertical="center"/>
    </xf>
    <xf numFmtId="0" fontId="2" fillId="5" borderId="15" xfId="0" applyFont="1" applyFill="1" applyBorder="1" applyAlignment="1">
      <alignment horizontal="center" vertical="center"/>
    </xf>
    <xf numFmtId="0" fontId="13" fillId="5" borderId="21" xfId="0" applyFont="1" applyFill="1" applyBorder="1" applyAlignment="1">
      <alignment horizontal="center" vertical="center"/>
    </xf>
    <xf numFmtId="0" fontId="3" fillId="5" borderId="15" xfId="0" applyFont="1" applyFill="1" applyBorder="1" applyAlignment="1">
      <alignment horizontal="center" vertical="center"/>
    </xf>
    <xf numFmtId="0" fontId="3" fillId="5" borderId="21" xfId="0" applyFont="1" applyFill="1" applyBorder="1" applyAlignment="1">
      <alignment horizontal="center" vertical="center"/>
    </xf>
    <xf numFmtId="0" fontId="12" fillId="5" borderId="16" xfId="0" applyFont="1" applyFill="1" applyBorder="1" applyAlignment="1">
      <alignment horizontal="center" vertical="center"/>
    </xf>
    <xf numFmtId="9" fontId="12" fillId="5" borderId="3" xfId="1" applyFont="1" applyFill="1" applyBorder="1" applyAlignment="1">
      <alignment horizontal="center" vertical="center"/>
    </xf>
    <xf numFmtId="0" fontId="2" fillId="5" borderId="16" xfId="0" applyFont="1" applyFill="1" applyBorder="1" applyAlignment="1">
      <alignment horizontal="center" vertical="center"/>
    </xf>
    <xf numFmtId="9" fontId="3" fillId="5" borderId="15" xfId="1" applyFont="1" applyFill="1" applyBorder="1" applyAlignment="1">
      <alignment horizontal="center" vertical="center"/>
    </xf>
    <xf numFmtId="9" fontId="3" fillId="5" borderId="21" xfId="1" applyFont="1" applyFill="1" applyBorder="1" applyAlignment="1">
      <alignment horizontal="center" vertical="center"/>
    </xf>
    <xf numFmtId="9" fontId="12" fillId="5" borderId="16" xfId="1" applyFont="1" applyFill="1" applyBorder="1" applyAlignment="1">
      <alignment horizontal="center" vertical="center"/>
    </xf>
    <xf numFmtId="2" fontId="3" fillId="5" borderId="7" xfId="0" applyNumberFormat="1" applyFont="1" applyFill="1" applyBorder="1" applyAlignment="1">
      <alignment horizontal="center" vertical="center"/>
    </xf>
    <xf numFmtId="2" fontId="3" fillId="5" borderId="9" xfId="0" applyNumberFormat="1" applyFont="1" applyFill="1" applyBorder="1" applyAlignment="1">
      <alignment horizontal="center" vertical="center"/>
    </xf>
    <xf numFmtId="2" fontId="3" fillId="5" borderId="11" xfId="0" applyNumberFormat="1" applyFont="1" applyFill="1" applyBorder="1" applyAlignment="1">
      <alignment horizontal="center" vertical="center"/>
    </xf>
    <xf numFmtId="1" fontId="21" fillId="7" borderId="0" xfId="1" applyNumberFormat="1" applyFont="1" applyFill="1" applyBorder="1" applyAlignment="1">
      <alignment horizontal="center" vertical="center"/>
    </xf>
    <xf numFmtId="0" fontId="3" fillId="8" borderId="1" xfId="0" quotePrefix="1" applyFont="1" applyFill="1" applyBorder="1" applyAlignment="1">
      <alignment horizontal="center" vertical="center"/>
    </xf>
    <xf numFmtId="0" fontId="3" fillId="8" borderId="24" xfId="0" applyFont="1" applyFill="1" applyBorder="1" applyAlignment="1">
      <alignment horizontal="center"/>
    </xf>
    <xf numFmtId="2" fontId="3" fillId="4" borderId="24" xfId="0" applyNumberFormat="1" applyFont="1" applyFill="1" applyBorder="1" applyAlignment="1">
      <alignment horizontal="center" wrapText="1"/>
    </xf>
    <xf numFmtId="2" fontId="3" fillId="4" borderId="25" xfId="0" applyNumberFormat="1" applyFont="1" applyFill="1" applyBorder="1" applyAlignment="1">
      <alignment horizontal="center" wrapText="1"/>
    </xf>
    <xf numFmtId="0" fontId="3" fillId="5" borderId="25" xfId="0" applyFont="1" applyFill="1" applyBorder="1" applyAlignment="1">
      <alignment horizontal="center" wrapText="1"/>
    </xf>
    <xf numFmtId="2" fontId="3" fillId="4" borderId="26" xfId="0" applyNumberFormat="1" applyFont="1" applyFill="1" applyBorder="1" applyAlignment="1">
      <alignment horizontal="center" wrapText="1"/>
    </xf>
    <xf numFmtId="0" fontId="3" fillId="8" borderId="24" xfId="0" applyFont="1" applyFill="1" applyBorder="1" applyAlignment="1">
      <alignment horizontal="center" wrapText="1"/>
    </xf>
    <xf numFmtId="0" fontId="5" fillId="3" borderId="21" xfId="0" applyFont="1" applyFill="1" applyBorder="1" applyAlignment="1">
      <alignment horizontal="center" vertical="center"/>
    </xf>
    <xf numFmtId="0" fontId="5" fillId="3" borderId="21" xfId="0" applyFont="1" applyFill="1" applyBorder="1" applyAlignment="1">
      <alignment horizontal="center" vertical="center"/>
    </xf>
    <xf numFmtId="0" fontId="3" fillId="5" borderId="24" xfId="0" applyFont="1" applyFill="1" applyBorder="1" applyAlignment="1">
      <alignment horizontal="center" wrapText="1"/>
    </xf>
    <xf numFmtId="0" fontId="5" fillId="3" borderId="15" xfId="0" applyFont="1" applyFill="1" applyBorder="1" applyAlignment="1">
      <alignment horizontal="center" vertical="center"/>
    </xf>
    <xf numFmtId="0" fontId="13" fillId="2" borderId="1" xfId="0" applyFont="1" applyFill="1" applyBorder="1" applyAlignment="1">
      <alignment horizontal="center" vertical="center"/>
    </xf>
    <xf numFmtId="2" fontId="3" fillId="2" borderId="3" xfId="1" applyNumberFormat="1" applyFont="1" applyFill="1" applyBorder="1" applyAlignment="1">
      <alignment horizontal="center" vertical="center"/>
    </xf>
    <xf numFmtId="2" fontId="3" fillId="2" borderId="0" xfId="1" applyNumberFormat="1" applyFont="1" applyFill="1" applyBorder="1" applyAlignment="1">
      <alignment horizontal="center" vertical="center"/>
    </xf>
    <xf numFmtId="2" fontId="3" fillId="2" borderId="1" xfId="1" applyNumberFormat="1" applyFont="1" applyFill="1" applyBorder="1" applyAlignment="1">
      <alignment horizontal="center" vertical="center"/>
    </xf>
    <xf numFmtId="0" fontId="3" fillId="6" borderId="0" xfId="0" applyFont="1" applyFill="1" applyAlignment="1">
      <alignment horizontal="left" vertical="center"/>
    </xf>
    <xf numFmtId="2" fontId="21" fillId="7" borderId="1" xfId="1" applyNumberFormat="1" applyFont="1" applyFill="1" applyBorder="1" applyAlignment="1">
      <alignment horizontal="center" vertical="center"/>
    </xf>
    <xf numFmtId="0" fontId="3" fillId="5" borderId="0" xfId="0" applyFont="1" applyFill="1" applyBorder="1" applyAlignment="1">
      <alignment horizontal="left" vertical="center"/>
    </xf>
    <xf numFmtId="0" fontId="3" fillId="5" borderId="16" xfId="0" quotePrefix="1" applyFont="1" applyFill="1" applyBorder="1" applyAlignment="1">
      <alignment vertical="center"/>
    </xf>
    <xf numFmtId="0" fontId="31" fillId="6" borderId="0" xfId="0" applyFont="1" applyFill="1" applyAlignment="1">
      <alignment vertical="center"/>
    </xf>
    <xf numFmtId="0" fontId="31" fillId="6" borderId="7" xfId="0" applyFont="1" applyFill="1" applyBorder="1" applyAlignment="1">
      <alignment vertical="center"/>
    </xf>
    <xf numFmtId="164" fontId="31" fillId="2" borderId="0" xfId="1" applyNumberFormat="1" applyFont="1" applyFill="1" applyBorder="1" applyAlignment="1">
      <alignment horizontal="center" vertical="center"/>
    </xf>
    <xf numFmtId="0" fontId="31" fillId="3" borderId="2" xfId="0" applyFont="1" applyFill="1" applyBorder="1" applyAlignment="1">
      <alignment vertical="center"/>
    </xf>
    <xf numFmtId="0" fontId="31" fillId="6" borderId="8" xfId="0" applyFont="1" applyFill="1" applyBorder="1" applyAlignment="1">
      <alignment vertical="center"/>
    </xf>
    <xf numFmtId="0" fontId="31" fillId="6" borderId="0" xfId="0" applyFont="1" applyFill="1" applyAlignment="1">
      <alignment horizontal="center" vertical="center"/>
    </xf>
    <xf numFmtId="2" fontId="21" fillId="8" borderId="27" xfId="0" applyNumberFormat="1" applyFont="1" applyFill="1" applyBorder="1" applyAlignment="1">
      <alignment horizontal="center" vertical="center"/>
    </xf>
    <xf numFmtId="0" fontId="5" fillId="3" borderId="16" xfId="0" applyFont="1" applyFill="1" applyBorder="1" applyAlignment="1">
      <alignment horizontal="center" vertical="center"/>
    </xf>
    <xf numFmtId="0" fontId="5" fillId="3" borderId="16" xfId="0" applyFont="1" applyFill="1" applyBorder="1" applyAlignment="1">
      <alignment horizontal="center" vertical="center"/>
    </xf>
    <xf numFmtId="0" fontId="0" fillId="0" borderId="0" xfId="0" quotePrefix="1"/>
    <xf numFmtId="0" fontId="3" fillId="5" borderId="1" xfId="0" applyNumberFormat="1" applyFont="1" applyFill="1" applyBorder="1" applyAlignment="1">
      <alignment horizontal="center" vertical="center"/>
    </xf>
    <xf numFmtId="0" fontId="3" fillId="5" borderId="3" xfId="0" applyNumberFormat="1" applyFont="1" applyFill="1" applyBorder="1" applyAlignment="1">
      <alignment horizontal="center" vertical="center"/>
    </xf>
    <xf numFmtId="0" fontId="0" fillId="0" borderId="0" xfId="0" applyAlignment="1">
      <alignment horizontal="center" wrapText="1"/>
    </xf>
    <xf numFmtId="0" fontId="0" fillId="0" borderId="0" xfId="0" applyAlignment="1">
      <alignment wrapText="1"/>
    </xf>
    <xf numFmtId="0" fontId="0" fillId="0" borderId="0" xfId="0" applyAlignment="1">
      <alignment horizontal="center" wrapText="1"/>
    </xf>
    <xf numFmtId="2" fontId="0" fillId="0" borderId="0" xfId="0" applyNumberFormat="1" applyAlignment="1">
      <alignment horizontal="center" wrapText="1"/>
    </xf>
    <xf numFmtId="0" fontId="2" fillId="6" borderId="0" xfId="0" applyNumberFormat="1" applyFont="1" applyFill="1" applyAlignment="1">
      <alignment horizontal="center" vertical="center"/>
    </xf>
    <xf numFmtId="0" fontId="2" fillId="6" borderId="7" xfId="0" applyNumberFormat="1" applyFont="1" applyFill="1" applyBorder="1" applyAlignment="1">
      <alignment horizontal="center" vertical="center"/>
    </xf>
    <xf numFmtId="0" fontId="3" fillId="5" borderId="3" xfId="0" applyNumberFormat="1" applyFont="1" applyFill="1" applyBorder="1" applyAlignment="1">
      <alignment vertical="center"/>
    </xf>
    <xf numFmtId="0" fontId="3" fillId="5" borderId="1" xfId="0" applyNumberFormat="1" applyFont="1" applyFill="1" applyBorder="1" applyAlignment="1">
      <alignment horizontal="center" vertical="center"/>
    </xf>
    <xf numFmtId="0" fontId="3" fillId="5" borderId="3" xfId="0" applyNumberFormat="1" applyFont="1" applyFill="1" applyBorder="1" applyAlignment="1">
      <alignment horizontal="center" vertical="center"/>
    </xf>
    <xf numFmtId="0" fontId="2" fillId="3" borderId="2" xfId="0" applyNumberFormat="1" applyFont="1" applyFill="1" applyBorder="1" applyAlignment="1">
      <alignment horizontal="center" vertical="center"/>
    </xf>
    <xf numFmtId="0" fontId="2" fillId="6" borderId="8" xfId="0" applyNumberFormat="1" applyFont="1" applyFill="1" applyBorder="1" applyAlignment="1">
      <alignment horizontal="center" vertical="center"/>
    </xf>
    <xf numFmtId="0" fontId="3" fillId="6" borderId="0" xfId="0" applyNumberFormat="1" applyFont="1" applyFill="1" applyAlignment="1">
      <alignment vertical="center"/>
    </xf>
    <xf numFmtId="0" fontId="3" fillId="6" borderId="7" xfId="0" applyNumberFormat="1" applyFont="1" applyFill="1" applyBorder="1" applyAlignment="1">
      <alignment vertical="center"/>
    </xf>
    <xf numFmtId="0" fontId="13" fillId="5" borderId="1" xfId="0" applyNumberFormat="1" applyFont="1" applyFill="1" applyBorder="1" applyAlignment="1">
      <alignment horizontal="center" vertical="center"/>
    </xf>
    <xf numFmtId="0" fontId="3" fillId="3" borderId="2" xfId="0" applyNumberFormat="1" applyFont="1" applyFill="1" applyBorder="1" applyAlignment="1">
      <alignment vertical="center"/>
    </xf>
    <xf numFmtId="0" fontId="3" fillId="6" borderId="8" xfId="0" applyNumberFormat="1" applyFont="1" applyFill="1" applyBorder="1" applyAlignment="1">
      <alignment vertical="center"/>
    </xf>
    <xf numFmtId="0" fontId="21" fillId="8" borderId="24" xfId="0" applyFont="1" applyFill="1" applyBorder="1" applyAlignment="1">
      <alignment horizontal="center" vertical="center"/>
    </xf>
    <xf numFmtId="2" fontId="21" fillId="4" borderId="24" xfId="0" applyNumberFormat="1" applyFont="1" applyFill="1" applyBorder="1" applyAlignment="1">
      <alignment horizontal="center" vertical="center"/>
    </xf>
    <xf numFmtId="2" fontId="21" fillId="4" borderId="25" xfId="0" applyNumberFormat="1" applyFont="1" applyFill="1" applyBorder="1" applyAlignment="1">
      <alignment horizontal="center" vertical="center"/>
    </xf>
    <xf numFmtId="2" fontId="21" fillId="4" borderId="26" xfId="0" applyNumberFormat="1" applyFont="1" applyFill="1" applyBorder="1" applyAlignment="1">
      <alignment horizontal="center" vertical="center"/>
    </xf>
    <xf numFmtId="0" fontId="21" fillId="4" borderId="26" xfId="0" applyFont="1" applyFill="1" applyBorder="1" applyAlignment="1">
      <alignment horizontal="center" vertical="center"/>
    </xf>
    <xf numFmtId="2" fontId="21" fillId="5" borderId="25" xfId="0" applyNumberFormat="1" applyFont="1" applyFill="1" applyBorder="1" applyAlignment="1">
      <alignment horizontal="center" vertical="center"/>
    </xf>
    <xf numFmtId="0" fontId="21" fillId="5" borderId="25" xfId="0" applyFont="1" applyFill="1" applyBorder="1" applyAlignment="1">
      <alignment horizontal="center" vertical="center"/>
    </xf>
    <xf numFmtId="2" fontId="3" fillId="5" borderId="24" xfId="0" applyNumberFormat="1" applyFont="1" applyFill="1" applyBorder="1" applyAlignment="1">
      <alignment horizontal="center" vertical="center"/>
    </xf>
    <xf numFmtId="2" fontId="3" fillId="5" borderId="25" xfId="0" applyNumberFormat="1" applyFont="1" applyFill="1" applyBorder="1" applyAlignment="1">
      <alignment horizontal="center" vertical="center"/>
    </xf>
  </cellXfs>
  <cellStyles count="22">
    <cellStyle name="Followed Hyperlink" xfId="3" builtinId="9" hidden="1"/>
    <cellStyle name="Followed Hyperlink" xfId="5" builtinId="9" hidden="1"/>
    <cellStyle name="Followed Hyperlink" xfId="7" builtinId="9" hidden="1"/>
    <cellStyle name="Followed Hyperlink" xfId="9" builtinId="9" hidden="1"/>
    <cellStyle name="Followed Hyperlink" xfId="11" builtinId="9" hidden="1"/>
    <cellStyle name="Followed Hyperlink" xfId="13" builtinId="9" hidden="1"/>
    <cellStyle name="Followed Hyperlink" xfId="15" builtinId="9" hidden="1"/>
    <cellStyle name="Followed Hyperlink" xfId="17" builtinId="9" hidden="1"/>
    <cellStyle name="Followed Hyperlink" xfId="19" builtinId="9" hidden="1"/>
    <cellStyle name="Followed Hyperlink" xfId="21" builtinId="9" hidden="1"/>
    <cellStyle name="Hyperlink" xfId="2" builtinId="8" hidden="1"/>
    <cellStyle name="Hyperlink" xfId="4" builtinId="8" hidden="1"/>
    <cellStyle name="Hyperlink" xfId="6" builtinId="8" hidden="1"/>
    <cellStyle name="Hyperlink" xfId="8" builtinId="8" hidden="1"/>
    <cellStyle name="Hyperlink" xfId="10" builtinId="8" hidden="1"/>
    <cellStyle name="Hyperlink" xfId="12" builtinId="8" hidden="1"/>
    <cellStyle name="Hyperlink" xfId="14" builtinId="8" hidden="1"/>
    <cellStyle name="Hyperlink" xfId="16" builtinId="8" hidden="1"/>
    <cellStyle name="Hyperlink" xfId="18" builtinId="8" hidden="1"/>
    <cellStyle name="Hyperlink" xfId="20" builtinId="8" hidden="1"/>
    <cellStyle name="Normal" xfId="0" builtinId="0"/>
    <cellStyle name="Percent" xfId="1" builtinId="5"/>
  </cellStyles>
  <dxfs count="0"/>
  <tableStyles count="0" defaultTableStyle="TableStyleMedium9" defaultPivotStyle="PivotStyleMedium7"/>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drawings/_rels/drawing1.x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1</xdr:col>
      <xdr:colOff>95249</xdr:colOff>
      <xdr:row>65</xdr:row>
      <xdr:rowOff>10584</xdr:rowOff>
    </xdr:from>
    <xdr:to>
      <xdr:col>4</xdr:col>
      <xdr:colOff>309534</xdr:colOff>
      <xdr:row>83</xdr:row>
      <xdr:rowOff>116419</xdr:rowOff>
    </xdr:to>
    <xdr:pic>
      <xdr:nvPicPr>
        <xdr:cNvPr id="2" name="Picture 1">
          <a:extLst>
            <a:ext uri="{FF2B5EF4-FFF2-40B4-BE49-F238E27FC236}">
              <a16:creationId xmlns:a16="http://schemas.microsoft.com/office/drawing/2014/main" id="{E3BBA8A6-4BFE-4F9C-B0C1-3098713F4A65}"/>
            </a:ext>
          </a:extLst>
        </xdr:cNvPr>
        <xdr:cNvPicPr>
          <a:picLocks noChangeAspect="1"/>
        </xdr:cNvPicPr>
      </xdr:nvPicPr>
      <xdr:blipFill>
        <a:blip xmlns:r="http://schemas.openxmlformats.org/officeDocument/2006/relationships" r:embed="rId1"/>
        <a:stretch>
          <a:fillRect/>
        </a:stretch>
      </xdr:blipFill>
      <xdr:spPr>
        <a:xfrm>
          <a:off x="352424" y="20432184"/>
          <a:ext cx="4729135" cy="3020485"/>
        </a:xfrm>
        <a:prstGeom prst="rect">
          <a:avLst/>
        </a:prstGeom>
      </xdr:spPr>
    </xdr:pic>
    <xdr:clientData/>
  </xdr:twoCellAnchor>
  <xdr:twoCellAnchor editAs="oneCell">
    <xdr:from>
      <xdr:col>4</xdr:col>
      <xdr:colOff>657225</xdr:colOff>
      <xdr:row>56</xdr:row>
      <xdr:rowOff>57150</xdr:rowOff>
    </xdr:from>
    <xdr:to>
      <xdr:col>12</xdr:col>
      <xdr:colOff>19050</xdr:colOff>
      <xdr:row>61</xdr:row>
      <xdr:rowOff>304800</xdr:rowOff>
    </xdr:to>
    <xdr:pic>
      <xdr:nvPicPr>
        <xdr:cNvPr id="3" name="Picture 2">
          <a:extLst>
            <a:ext uri="{FF2B5EF4-FFF2-40B4-BE49-F238E27FC236}">
              <a16:creationId xmlns:a16="http://schemas.microsoft.com/office/drawing/2014/main" id="{81B92384-CDBA-4C09-B395-903A65FC2F63}"/>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5429250" y="10067925"/>
          <a:ext cx="5324475" cy="11334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1</xdr:col>
      <xdr:colOff>95249</xdr:colOff>
      <xdr:row>110</xdr:row>
      <xdr:rowOff>10584</xdr:rowOff>
    </xdr:from>
    <xdr:to>
      <xdr:col>4</xdr:col>
      <xdr:colOff>309534</xdr:colOff>
      <xdr:row>128</xdr:row>
      <xdr:rowOff>116419</xdr:rowOff>
    </xdr:to>
    <xdr:pic>
      <xdr:nvPicPr>
        <xdr:cNvPr id="4" name="Picture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1"/>
        <a:stretch>
          <a:fillRect/>
        </a:stretch>
      </xdr:blipFill>
      <xdr:spPr>
        <a:xfrm>
          <a:off x="349249" y="19028834"/>
          <a:ext cx="4722785" cy="3153833"/>
        </a:xfrm>
        <a:prstGeom prst="rect">
          <a:avLst/>
        </a:prstGeom>
      </xdr:spPr>
    </xdr:pic>
    <xdr:clientData/>
  </xdr:twoCellAnchor>
  <xdr:twoCellAnchor editAs="oneCell">
    <xdr:from>
      <xdr:col>5</xdr:col>
      <xdr:colOff>466725</xdr:colOff>
      <xdr:row>108</xdr:row>
      <xdr:rowOff>95250</xdr:rowOff>
    </xdr:from>
    <xdr:to>
      <xdr:col>12</xdr:col>
      <xdr:colOff>581025</xdr:colOff>
      <xdr:row>115</xdr:row>
      <xdr:rowOff>85725</xdr:rowOff>
    </xdr:to>
    <xdr:pic>
      <xdr:nvPicPr>
        <xdr:cNvPr id="3" name="Picture 2">
          <a:extLst>
            <a:ext uri="{FF2B5EF4-FFF2-40B4-BE49-F238E27FC236}">
              <a16:creationId xmlns:a16="http://schemas.microsoft.com/office/drawing/2014/main" id="{C0ADF4D4-3FE6-41CF-87BF-02B95F9AE1A8}"/>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5772150" y="19640550"/>
          <a:ext cx="5324475" cy="11334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omments" Target="../comments2.xml"/></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B3C102-C310-46A9-8133-14E3B4755DE9}">
  <sheetPr codeName="Sheet1"/>
  <dimension ref="B1:AB55"/>
  <sheetViews>
    <sheetView tabSelected="1" workbookViewId="0">
      <selection activeCell="S11" sqref="S11"/>
    </sheetView>
  </sheetViews>
  <sheetFormatPr defaultRowHeight="15.75" x14ac:dyDescent="0.25"/>
  <cols>
    <col min="1" max="1" width="2.25" style="212" customWidth="1"/>
    <col min="2" max="2" width="9" style="212"/>
    <col min="3" max="3" width="4.375" style="214" bestFit="1" customWidth="1"/>
    <col min="4" max="4" width="15.875" style="214" bestFit="1" customWidth="1"/>
    <col min="5" max="5" width="10.375" style="212" bestFit="1" customWidth="1"/>
    <col min="6" max="6" width="10.375" style="212" customWidth="1"/>
    <col min="7" max="20" width="9" style="212"/>
    <col min="21" max="21" width="5.5" style="212" customWidth="1"/>
    <col min="22" max="22" width="6.375" style="212" bestFit="1" customWidth="1"/>
    <col min="23" max="23" width="9.625" style="212" bestFit="1" customWidth="1"/>
    <col min="24" max="16384" width="9" style="212"/>
  </cols>
  <sheetData>
    <row r="1" spans="2:28" ht="16.5" thickBot="1" x14ac:dyDescent="0.3"/>
    <row r="2" spans="2:28" x14ac:dyDescent="0.25">
      <c r="B2" s="218"/>
      <c r="C2" s="219"/>
      <c r="D2" s="219"/>
      <c r="E2" s="220"/>
      <c r="F2" s="220"/>
      <c r="G2" s="220"/>
      <c r="H2" s="220"/>
      <c r="I2" s="220"/>
      <c r="J2" s="220"/>
      <c r="K2" s="220"/>
      <c r="L2" s="220"/>
      <c r="M2" s="220"/>
      <c r="N2" s="220"/>
      <c r="O2" s="220"/>
      <c r="P2" s="220"/>
      <c r="Q2" s="220"/>
      <c r="R2" s="220"/>
      <c r="S2" s="220"/>
      <c r="T2" s="221"/>
    </row>
    <row r="3" spans="2:28" x14ac:dyDescent="0.25">
      <c r="B3" s="222"/>
      <c r="C3" s="216"/>
      <c r="D3" s="216"/>
      <c r="E3" s="213"/>
      <c r="F3" s="213"/>
      <c r="G3" s="176" t="s">
        <v>200</v>
      </c>
      <c r="H3" s="176"/>
      <c r="I3" s="176"/>
      <c r="J3" s="176"/>
      <c r="K3" s="176"/>
      <c r="L3" s="176"/>
      <c r="M3" s="213"/>
      <c r="N3" s="213"/>
      <c r="O3" s="213"/>
      <c r="P3" s="213"/>
      <c r="Q3" s="213"/>
      <c r="R3" s="213"/>
      <c r="S3" s="213"/>
      <c r="T3" s="223"/>
    </row>
    <row r="4" spans="2:28" x14ac:dyDescent="0.25">
      <c r="B4" s="222"/>
      <c r="C4" s="216"/>
      <c r="D4" s="216"/>
      <c r="E4" s="213"/>
      <c r="F4" s="213"/>
      <c r="G4" s="213"/>
      <c r="H4" s="213"/>
      <c r="I4" s="213"/>
      <c r="J4" s="213"/>
      <c r="K4" s="213"/>
      <c r="L4" s="213"/>
      <c r="M4" s="213"/>
      <c r="N4" s="213"/>
      <c r="O4" s="213"/>
      <c r="P4" s="213"/>
      <c r="Q4" s="213"/>
      <c r="R4" s="213"/>
      <c r="S4" s="213"/>
      <c r="T4" s="223"/>
    </row>
    <row r="5" spans="2:28" x14ac:dyDescent="0.25">
      <c r="B5" s="222"/>
      <c r="C5" s="228"/>
      <c r="D5" s="228"/>
      <c r="E5" s="231" t="s">
        <v>340</v>
      </c>
      <c r="F5" s="232"/>
      <c r="G5" s="232"/>
      <c r="H5" s="232"/>
      <c r="I5" s="232"/>
      <c r="J5" s="232"/>
      <c r="K5" s="232" t="s">
        <v>341</v>
      </c>
      <c r="L5" s="232"/>
      <c r="M5" s="232"/>
      <c r="N5" s="232"/>
      <c r="O5" s="233"/>
      <c r="P5" s="258" t="s">
        <v>201</v>
      </c>
      <c r="Q5" s="256"/>
      <c r="R5" s="256"/>
      <c r="S5" s="256"/>
      <c r="T5" s="223"/>
    </row>
    <row r="6" spans="2:28" ht="16.5" thickBot="1" x14ac:dyDescent="0.3">
      <c r="B6" s="222"/>
      <c r="C6" s="230"/>
      <c r="D6" s="230" t="s">
        <v>452</v>
      </c>
      <c r="E6" s="231" t="s">
        <v>69</v>
      </c>
      <c r="F6" s="232"/>
      <c r="G6" s="232" t="s">
        <v>70</v>
      </c>
      <c r="H6" s="232"/>
      <c r="I6" s="232" t="s">
        <v>63</v>
      </c>
      <c r="J6" s="233"/>
      <c r="K6" s="255"/>
      <c r="L6" s="232" t="s">
        <v>69</v>
      </c>
      <c r="M6" s="232"/>
      <c r="N6" s="232" t="s">
        <v>70</v>
      </c>
      <c r="O6" s="233"/>
      <c r="P6" s="232" t="s">
        <v>69</v>
      </c>
      <c r="Q6" s="232"/>
      <c r="R6" s="232" t="s">
        <v>70</v>
      </c>
      <c r="S6" s="233"/>
      <c r="T6" s="223"/>
    </row>
    <row r="7" spans="2:28" ht="27.75" thickBot="1" x14ac:dyDescent="0.3">
      <c r="B7" s="222"/>
      <c r="C7" s="249" t="s">
        <v>342</v>
      </c>
      <c r="D7" s="249"/>
      <c r="E7" s="250" t="s">
        <v>440</v>
      </c>
      <c r="F7" s="251" t="s">
        <v>343</v>
      </c>
      <c r="G7" s="252" t="s">
        <v>344</v>
      </c>
      <c r="H7" s="252" t="s">
        <v>343</v>
      </c>
      <c r="I7" s="251" t="s">
        <v>441</v>
      </c>
      <c r="J7" s="253" t="s">
        <v>343</v>
      </c>
      <c r="K7" s="254" t="s">
        <v>480</v>
      </c>
      <c r="L7" s="252" t="s">
        <v>443</v>
      </c>
      <c r="M7" s="252" t="s">
        <v>343</v>
      </c>
      <c r="N7" s="251" t="s">
        <v>442</v>
      </c>
      <c r="O7" s="253" t="s">
        <v>343</v>
      </c>
      <c r="P7" s="257" t="s">
        <v>481</v>
      </c>
      <c r="Q7" s="252" t="s">
        <v>343</v>
      </c>
      <c r="R7" s="251" t="s">
        <v>444</v>
      </c>
      <c r="S7" s="253" t="s">
        <v>343</v>
      </c>
      <c r="T7" s="223"/>
      <c r="V7" s="210" t="s">
        <v>438</v>
      </c>
      <c r="W7" s="211" t="s">
        <v>437</v>
      </c>
    </row>
    <row r="8" spans="2:28" x14ac:dyDescent="0.25">
      <c r="B8" s="222"/>
      <c r="C8" s="109">
        <v>1</v>
      </c>
      <c r="D8" s="109" t="s">
        <v>458</v>
      </c>
      <c r="E8" s="206">
        <f>Links!F91</f>
        <v>2.585866496977637</v>
      </c>
      <c r="F8" s="207" t="str">
        <f>IF(E8="","",IF(E8&lt;=$W$8,$V$8,IF(E8&lt;=$W$9,$V$9,IF(E8&lt;=$W$10,$V$10,IF(E8&lt;=$W$11,$V$11,IF(E8&lt;=$W$12,$V$12,$V$13))))))</f>
        <v>B</v>
      </c>
      <c r="G8" s="172">
        <f>Links!F94</f>
        <v>4.5308900955325564</v>
      </c>
      <c r="H8" s="172" t="str">
        <f>IF(G8="","",IF(G8&lt;=$W$8,$V$8,IF(G8&lt;=$W$9,$V$9,IF(G8&lt;=$W$10,$V$10,IF(G8&lt;=$W$11,$V$11,IF(G8&lt;=$W$12,$V$12,$V$13))))))</f>
        <v>E</v>
      </c>
      <c r="I8" s="207">
        <f>Links!F97</f>
        <v>2.3438381097591807</v>
      </c>
      <c r="J8" s="229" t="str">
        <f>IF(I8="","",IF(I8&lt;=$W$8,$V$8,IF(I8&lt;=$W$9,$V$9,IF(I8&lt;=$W$10,$V$10,IF(I8&lt;=$W$11,$V$11,IF(I8&lt;=$W$12,$V$12,$V$13))))))</f>
        <v>B</v>
      </c>
      <c r="K8" s="248" t="s">
        <v>461</v>
      </c>
      <c r="L8" s="172">
        <f>Intersections!F114</f>
        <v>2.8117855183883798</v>
      </c>
      <c r="M8" s="172" t="str">
        <f>IF(L8="-","-",IF(L8&lt;=$W$8,$V$8,IF(L8&lt;=$W$9,$V$9,IF(L8&lt;=$W$10,$V$10,IF(L8&lt;=$W$11,$V$11,IF(L8&lt;=$W$12,$V$12,$V$13))))))</f>
        <v>C</v>
      </c>
      <c r="N8" s="207">
        <f>Intersections!F117</f>
        <v>3.3921499999999996</v>
      </c>
      <c r="O8" s="229" t="str">
        <f>IF(N8="","",IF(N8&lt;=$W$8,$V$8,IF(N8&lt;=$W$9,$V$9,IF(N8&lt;=$W$10,$V$10,IF(N8&lt;=$W$11,$V$11,IF(N8&lt;=$W$12,$V$12,$V$13))))))</f>
        <v>C</v>
      </c>
      <c r="P8" s="169">
        <f>Segments!E42</f>
        <v>2.5587302032734773</v>
      </c>
      <c r="Q8" s="172" t="str">
        <f>IF(P8="","",IF(P8&lt;=$W$8,$V$8,IF(P8&lt;=$W$9,$V$9,IF(P8&lt;=$W$10,$V$10,IF(P8&lt;=$W$11,$V$11,IF(P8&lt;=$W$12,$V$12,$V$13))))))</f>
        <v>B</v>
      </c>
      <c r="R8" s="207">
        <f>Segments!E47</f>
        <v>3.3981605545166098</v>
      </c>
      <c r="S8" s="229" t="str">
        <f>IF(R8="","",IF(R8&lt;=$W$8,$V$8,IF(R8&lt;=$W$9,$V$9,IF(R8&lt;=$W$10,$V$10,IF(R8&lt;=$W$11,$V$11,IF(R8&lt;=$W$12,$V$12,$V$13))))))</f>
        <v>C</v>
      </c>
      <c r="T8" s="223"/>
      <c r="V8" s="244" t="s">
        <v>339</v>
      </c>
      <c r="W8" s="209">
        <v>2</v>
      </c>
      <c r="AB8" s="215"/>
    </row>
    <row r="9" spans="2:28" x14ac:dyDescent="0.25">
      <c r="B9" s="222"/>
      <c r="C9" s="109">
        <v>2</v>
      </c>
      <c r="D9" s="109" t="s">
        <v>459</v>
      </c>
      <c r="E9" s="206" t="str">
        <f>Links!H91</f>
        <v/>
      </c>
      <c r="F9" s="207" t="str">
        <f>IF(E9="","",IF(E9&lt;=$W$8,$V$8,IF(E9&lt;=$W$9,$V$9,IF(E9&lt;=$W$10,$V$10,IF(E9&lt;=$W$11,$V$11,IF(E9&lt;=$W$12,$V$12,$V$13))))))</f>
        <v/>
      </c>
      <c r="G9" s="172" t="str">
        <f>Links!H94</f>
        <v/>
      </c>
      <c r="H9" s="172" t="str">
        <f>IF(G9="","",IF(G9&lt;=$W$8,$V$8,IF(G9&lt;=$W$9,$V$9,IF(G9&lt;=$W$10,$V$10,IF(G9&lt;=$W$11,$V$11,IF(G9&lt;=$W$12,$V$12,$V$13))))))</f>
        <v/>
      </c>
      <c r="I9" s="207" t="str">
        <f>Links!H97</f>
        <v/>
      </c>
      <c r="J9" s="229" t="str">
        <f>IF(I9="","",IF(I9&lt;=$W$8,$V$8,IF(I9&lt;=$W$9,$V$9,IF(I9&lt;=$W$10,$V$10,IF(I9&lt;=$W$11,$V$11,IF(I9&lt;=$W$12,$V$12,$V$13))))))</f>
        <v/>
      </c>
      <c r="K9" s="248" t="s">
        <v>462</v>
      </c>
      <c r="L9" s="172">
        <f>Intersections!J114</f>
        <v>2.485332638793416</v>
      </c>
      <c r="M9" s="172" t="str">
        <f>IF(L9="-","-",IF(L9&lt;=$W$8,$V$8,IF(L9&lt;=$W$9,$V$9,IF(L9&lt;=$W$10,$V$10,IF(L9&lt;=$W$11,$V$11,IF(L9&lt;=$W$12,$V$12,$V$13))))))</f>
        <v>B</v>
      </c>
      <c r="N9" s="207">
        <f>Intersections!J117</f>
        <v>2.799199999999999</v>
      </c>
      <c r="O9" s="229" t="str">
        <f>IF(N9="","",IF(N9&lt;=$W$8,$V$8,IF(N9&lt;=$W$9,$V$9,IF(N9&lt;=$W$10,$V$10,IF(N9&lt;=$W$11,$V$11,IF(N9&lt;=$W$12,$V$12,$V$13))))))</f>
        <v>C</v>
      </c>
      <c r="P9" s="169" t="str">
        <f>Segments!G42</f>
        <v/>
      </c>
      <c r="Q9" s="172" t="str">
        <f t="shared" ref="Q9:S28" si="0">IF(P9="","",IF(P9&lt;=$W$8,$V$8,IF(P9&lt;=$W$9,$V$9,IF(P9&lt;=$W$10,$V$10,IF(P9&lt;=$W$11,$V$11,IF(P9&lt;=$W$12,$V$12,$V$13))))))</f>
        <v/>
      </c>
      <c r="R9" s="207" t="str">
        <f>Segments!G47</f>
        <v/>
      </c>
      <c r="S9" s="229" t="str">
        <f>IF(R9="","",IF(R9&lt;=$W$8,$V$8,IF(R9&lt;=$W$9,$V$9,IF(R9&lt;=$W$10,$V$10,IF(R9&lt;=$W$11,$V$11,IF(R9&lt;=$W$12,$V$12,$V$13))))))</f>
        <v/>
      </c>
      <c r="T9" s="223"/>
      <c r="V9" s="244" t="s">
        <v>338</v>
      </c>
      <c r="W9" s="209">
        <v>2.75</v>
      </c>
    </row>
    <row r="10" spans="2:28" x14ac:dyDescent="0.25">
      <c r="B10" s="222"/>
      <c r="C10" s="109">
        <v>3</v>
      </c>
      <c r="D10" s="109" t="s">
        <v>460</v>
      </c>
      <c r="E10" s="206" t="str">
        <f>Links!J91</f>
        <v/>
      </c>
      <c r="F10" s="207" t="str">
        <f>IF(E10="","",IF(E10&lt;=$W$8,$V$8,IF(E10&lt;=$W$9,$V$9,IF(E10&lt;=$W$10,$V$10,IF(E10&lt;=$W$11,$V$11,IF(E10&lt;=$W$12,$V$12,$V$13))))))</f>
        <v/>
      </c>
      <c r="G10" s="172" t="str">
        <f>Links!J94</f>
        <v/>
      </c>
      <c r="H10" s="172" t="str">
        <f>IF(G10="","",IF(G10&lt;=$W$8,$V$8,IF(G10&lt;=$W$9,$V$9,IF(G10&lt;=$W$10,$V$10,IF(G10&lt;=$W$11,$V$11,IF(G10&lt;=$W$12,$V$12,$V$13))))))</f>
        <v/>
      </c>
      <c r="I10" s="207" t="str">
        <f>Links!J97</f>
        <v/>
      </c>
      <c r="J10" s="229" t="str">
        <f>IF(I10="","",IF(I10&lt;=$W$8,$V$8,IF(I10&lt;=$W$9,$V$9,IF(I10&lt;=$W$10,$V$10,IF(I10&lt;=$W$11,$V$11,IF(I10&lt;=$W$12,$V$12,$V$13))))))</f>
        <v/>
      </c>
      <c r="K10" s="248" t="s">
        <v>463</v>
      </c>
      <c r="L10" s="172" t="str">
        <f>Intersections!N114</f>
        <v/>
      </c>
      <c r="M10" s="172" t="str">
        <f>IF(L10="-","-",IF(L10&lt;=$W$8,$V$8,IF(L10&lt;=$W$9,$V$9,IF(L10&lt;=$W$10,$V$10,IF(L10&lt;=$W$11,$V$11,IF(L10&lt;=$W$12,$V$12,$V$13))))))</f>
        <v>F</v>
      </c>
      <c r="N10" s="207" t="str">
        <f>Intersections!N117</f>
        <v/>
      </c>
      <c r="O10" s="229" t="str">
        <f>IF(N10="","",IF(N10&lt;=$W$8,$V$8,IF(N10&lt;=$W$9,$V$9,IF(N10&lt;=$W$10,$V$10,IF(N10&lt;=$W$11,$V$11,IF(N10&lt;=$W$12,$V$12,$V$13))))))</f>
        <v/>
      </c>
      <c r="P10" s="169" t="str">
        <f>Segments!I42</f>
        <v/>
      </c>
      <c r="Q10" s="172" t="str">
        <f t="shared" si="0"/>
        <v/>
      </c>
      <c r="R10" s="207" t="str">
        <f>Segments!I47</f>
        <v/>
      </c>
      <c r="S10" s="229" t="str">
        <f t="shared" ref="S10" si="1">IF(R10="","",IF(R10&lt;=$W$8,$V$8,IF(R10&lt;=$W$9,$V$9,IF(R10&lt;=$W$10,$V$10,IF(R10&lt;=$W$11,$V$11,IF(R10&lt;=$W$12,$V$12,$V$13))))))</f>
        <v/>
      </c>
      <c r="T10" s="223"/>
      <c r="V10" s="244" t="s">
        <v>161</v>
      </c>
      <c r="W10" s="209">
        <v>3.5</v>
      </c>
    </row>
    <row r="11" spans="2:28" x14ac:dyDescent="0.25">
      <c r="B11" s="222"/>
      <c r="C11" s="109">
        <v>4</v>
      </c>
      <c r="D11" s="109" t="s">
        <v>457</v>
      </c>
      <c r="E11" s="206" t="str">
        <f>Links!L91</f>
        <v/>
      </c>
      <c r="F11" s="207" t="str">
        <f>IF(E11="","",IF(E11&lt;=$W$8,$V$8,IF(E11&lt;=$W$9,$V$9,IF(E11&lt;=$W$10,$V$10,IF(E11&lt;=$W$11,$V$11,IF(E11&lt;=$W$12,$V$12,$V$13))))))</f>
        <v/>
      </c>
      <c r="G11" s="172" t="str">
        <f>Links!L94</f>
        <v/>
      </c>
      <c r="H11" s="172" t="str">
        <f>IF(G11="","",IF(G11&lt;=$W$8,$V$8,IF(G11&lt;=$W$9,$V$9,IF(G11&lt;=$W$10,$V$10,IF(G11&lt;=$W$11,$V$11,IF(G11&lt;=$W$12,$V$12,$V$13))))))</f>
        <v/>
      </c>
      <c r="I11" s="207" t="str">
        <f>Links!L97</f>
        <v/>
      </c>
      <c r="J11" s="229" t="str">
        <f>IF(I11="","",IF(I11&lt;=$W$8,$V$8,IF(I11&lt;=$W$9,$V$9,IF(I11&lt;=$W$10,$V$10,IF(I11&lt;=$W$11,$V$11,IF(I11&lt;=$W$12,$V$12,$V$13))))))</f>
        <v/>
      </c>
      <c r="K11" s="248" t="s">
        <v>464</v>
      </c>
      <c r="L11" s="172" t="str">
        <f>Intersections!R114</f>
        <v/>
      </c>
      <c r="M11" s="172" t="str">
        <f>IF(L11="-","-",IF(L11&lt;=$W$8,$V$8,IF(L11&lt;=$W$9,$V$9,IF(L11&lt;=$W$10,$V$10,IF(L11&lt;=$W$11,$V$11,IF(L11&lt;=$W$12,$V$12,$V$13))))))</f>
        <v>F</v>
      </c>
      <c r="N11" s="207" t="str">
        <f>Intersections!R117</f>
        <v/>
      </c>
      <c r="O11" s="229" t="str">
        <f>IF(N11="","",IF(N11&lt;=$W$8,$V$8,IF(N11&lt;=$W$9,$V$9,IF(N11&lt;=$W$10,$V$10,IF(N11&lt;=$W$11,$V$11,IF(N11&lt;=$W$12,$V$12,$V$13))))))</f>
        <v/>
      </c>
      <c r="P11" s="169" t="str">
        <f>Segments!K42</f>
        <v/>
      </c>
      <c r="Q11" s="172" t="str">
        <f t="shared" si="0"/>
        <v/>
      </c>
      <c r="R11" s="207" t="str">
        <f>Segments!K47</f>
        <v/>
      </c>
      <c r="S11" s="229" t="str">
        <f t="shared" ref="S11" si="2">IF(R11="","",IF(R11&lt;=$W$8,$V$8,IF(R11&lt;=$W$9,$V$9,IF(R11&lt;=$W$10,$V$10,IF(R11&lt;=$W$11,$V$11,IF(R11&lt;=$W$12,$V$12,$V$13))))))</f>
        <v/>
      </c>
      <c r="T11" s="223"/>
      <c r="V11" s="244" t="s">
        <v>345</v>
      </c>
      <c r="W11" s="209">
        <v>4.25</v>
      </c>
    </row>
    <row r="12" spans="2:28" x14ac:dyDescent="0.25">
      <c r="B12" s="222"/>
      <c r="C12" s="109">
        <v>5</v>
      </c>
      <c r="D12" s="109" t="s">
        <v>453</v>
      </c>
      <c r="E12" s="206" t="str">
        <f>Links!N91</f>
        <v/>
      </c>
      <c r="F12" s="207" t="str">
        <f>IF(E12="","",IF(E12&lt;=$W$8,$V$8,IF(E12&lt;=$W$9,$V$9,IF(E12&lt;=$W$10,$V$10,IF(E12&lt;=$W$11,$V$11,IF(E12&lt;=$W$12,$V$12,$V$13))))))</f>
        <v/>
      </c>
      <c r="G12" s="172" t="str">
        <f>Links!N94</f>
        <v/>
      </c>
      <c r="H12" s="172" t="str">
        <f>IF(G12="","",IF(G12&lt;=$W$8,$V$8,IF(G12&lt;=$W$9,$V$9,IF(G12&lt;=$W$10,$V$10,IF(G12&lt;=$W$11,$V$11,IF(G12&lt;=$W$12,$V$12,$V$13))))))</f>
        <v/>
      </c>
      <c r="I12" s="207" t="str">
        <f>Links!N97</f>
        <v/>
      </c>
      <c r="J12" s="229" t="str">
        <f>IF(I12="","",IF(I12&lt;=$W$8,$V$8,IF(I12&lt;=$W$9,$V$9,IF(I12&lt;=$W$10,$V$10,IF(I12&lt;=$W$11,$V$11,IF(I12&lt;=$W$12,$V$12,$V$13))))))</f>
        <v/>
      </c>
      <c r="K12" s="248" t="s">
        <v>465</v>
      </c>
      <c r="L12" s="172" t="str">
        <f>Intersections!V114</f>
        <v/>
      </c>
      <c r="M12" s="172" t="str">
        <f>IF(L12="-","-",IF(L12&lt;=$W$8,$V$8,IF(L12&lt;=$W$9,$V$9,IF(L12&lt;=$W$10,$V$10,IF(L12&lt;=$W$11,$V$11,IF(L12&lt;=$W$12,$V$12,$V$13))))))</f>
        <v>F</v>
      </c>
      <c r="N12" s="207" t="str">
        <f>Intersections!V117</f>
        <v/>
      </c>
      <c r="O12" s="229" t="str">
        <f>IF(N12="","",IF(N12&lt;=$W$8,$V$8,IF(N12&lt;=$W$9,$V$9,IF(N12&lt;=$W$10,$V$10,IF(N12&lt;=$W$11,$V$11,IF(N12&lt;=$W$12,$V$12,$V$13))))))</f>
        <v/>
      </c>
      <c r="P12" s="169" t="str">
        <f>Segments!M42</f>
        <v/>
      </c>
      <c r="Q12" s="172" t="str">
        <f t="shared" si="0"/>
        <v/>
      </c>
      <c r="R12" s="207" t="str">
        <f>Segments!M47</f>
        <v/>
      </c>
      <c r="S12" s="229" t="str">
        <f t="shared" ref="S12" si="3">IF(R12="","",IF(R12&lt;=$W$8,$V$8,IF(R12&lt;=$W$9,$V$9,IF(R12&lt;=$W$10,$V$10,IF(R12&lt;=$W$11,$V$11,IF(R12&lt;=$W$12,$V$12,$V$13))))))</f>
        <v/>
      </c>
      <c r="T12" s="223"/>
      <c r="V12" s="244" t="s">
        <v>239</v>
      </c>
      <c r="W12" s="209">
        <v>5</v>
      </c>
    </row>
    <row r="13" spans="2:28" ht="16.5" thickBot="1" x14ac:dyDescent="0.3">
      <c r="B13" s="222"/>
      <c r="C13" s="109">
        <v>6</v>
      </c>
      <c r="D13" s="109" t="s">
        <v>454</v>
      </c>
      <c r="E13" s="206" t="str">
        <f>Links!P91</f>
        <v/>
      </c>
      <c r="F13" s="207" t="str">
        <f>IF(E13="","",IF(E13&lt;=$W$8,$V$8,IF(E13&lt;=$W$9,$V$9,IF(E13&lt;=$W$10,$V$10,IF(E13&lt;=$W$11,$V$11,IF(E13&lt;=$W$12,$V$12,$V$13))))))</f>
        <v/>
      </c>
      <c r="G13" s="172" t="str">
        <f>Links!P94</f>
        <v/>
      </c>
      <c r="H13" s="172" t="str">
        <f>IF(G13="","",IF(G13&lt;=$W$8,$V$8,IF(G13&lt;=$W$9,$V$9,IF(G13&lt;=$W$10,$V$10,IF(G13&lt;=$W$11,$V$11,IF(G13&lt;=$W$12,$V$12,$V$13))))))</f>
        <v/>
      </c>
      <c r="I13" s="207" t="str">
        <f>Links!P97</f>
        <v/>
      </c>
      <c r="J13" s="229" t="str">
        <f>IF(I13="","",IF(I13&lt;=$W$8,$V$8,IF(I13&lt;=$W$9,$V$9,IF(I13&lt;=$W$10,$V$10,IF(I13&lt;=$W$11,$V$11,IF(I13&lt;=$W$12,$V$12,$V$13))))))</f>
        <v/>
      </c>
      <c r="K13" s="248" t="s">
        <v>466</v>
      </c>
      <c r="L13" s="172" t="str">
        <f>Intersections!Z114</f>
        <v/>
      </c>
      <c r="M13" s="172" t="str">
        <f>IF(L13="-","-",IF(L13&lt;=$W$8,$V$8,IF(L13&lt;=$W$9,$V$9,IF(L13&lt;=$W$10,$V$10,IF(L13&lt;=$W$11,$V$11,IF(L13&lt;=$W$12,$V$12,$V$13))))))</f>
        <v>F</v>
      </c>
      <c r="N13" s="207" t="str">
        <f>Intersections!Z117</f>
        <v/>
      </c>
      <c r="O13" s="229" t="str">
        <f>IF(N13="","",IF(N13&lt;=$W$8,$V$8,IF(N13&lt;=$W$9,$V$9,IF(N13&lt;=$W$10,$V$10,IF(N13&lt;=$W$11,$V$11,IF(N13&lt;=$W$12,$V$12,$V$13))))))</f>
        <v/>
      </c>
      <c r="P13" s="169" t="str">
        <f>Segments!O42</f>
        <v/>
      </c>
      <c r="Q13" s="172" t="str">
        <f t="shared" si="0"/>
        <v/>
      </c>
      <c r="R13" s="207" t="str">
        <f>Segments!O47</f>
        <v/>
      </c>
      <c r="S13" s="229" t="str">
        <f t="shared" ref="S13" si="4">IF(R13="","",IF(R13&lt;=$W$8,$V$8,IF(R13&lt;=$W$9,$V$9,IF(R13&lt;=$W$10,$V$10,IF(R13&lt;=$W$11,$V$11,IF(R13&lt;=$W$12,$V$12,$V$13))))))</f>
        <v/>
      </c>
      <c r="T13" s="223"/>
      <c r="V13" s="245" t="s">
        <v>349</v>
      </c>
      <c r="W13" s="246" t="s">
        <v>517</v>
      </c>
    </row>
    <row r="14" spans="2:28" x14ac:dyDescent="0.25">
      <c r="B14" s="222"/>
      <c r="C14" s="109">
        <v>7</v>
      </c>
      <c r="D14" s="109" t="s">
        <v>455</v>
      </c>
      <c r="E14" s="206" t="str">
        <f>Links!R91</f>
        <v/>
      </c>
      <c r="F14" s="207" t="str">
        <f>IF(E14="","",IF(E14&lt;=$W$8,$V$8,IF(E14&lt;=$W$9,$V$9,IF(E14&lt;=$W$10,$V$10,IF(E14&lt;=$W$11,$V$11,IF(E14&lt;=$W$12,$V$12,$V$13))))))</f>
        <v/>
      </c>
      <c r="G14" s="172" t="str">
        <f>Links!R94</f>
        <v/>
      </c>
      <c r="H14" s="172" t="str">
        <f>IF(G14="","",IF(G14&lt;=$W$8,$V$8,IF(G14&lt;=$W$9,$V$9,IF(G14&lt;=$W$10,$V$10,IF(G14&lt;=$W$11,$V$11,IF(G14&lt;=$W$12,$V$12,$V$13))))))</f>
        <v/>
      </c>
      <c r="I14" s="207" t="str">
        <f>Links!R97</f>
        <v/>
      </c>
      <c r="J14" s="229" t="str">
        <f>IF(I14="","",IF(I14&lt;=$W$8,$V$8,IF(I14&lt;=$W$9,$V$9,IF(I14&lt;=$W$10,$V$10,IF(I14&lt;=$W$11,$V$11,IF(I14&lt;=$W$12,$V$12,$V$13))))))</f>
        <v/>
      </c>
      <c r="K14" s="248" t="s">
        <v>467</v>
      </c>
      <c r="L14" s="172" t="str">
        <f>Intersections!AD114</f>
        <v/>
      </c>
      <c r="M14" s="172" t="str">
        <f>IF(L14="-","-",IF(L14&lt;=$W$8,$V$8,IF(L14&lt;=$W$9,$V$9,IF(L14&lt;=$W$10,$V$10,IF(L14&lt;=$W$11,$V$11,IF(L14&lt;=$W$12,$V$12,$V$13))))))</f>
        <v>F</v>
      </c>
      <c r="N14" s="207" t="str">
        <f>Intersections!AD117</f>
        <v/>
      </c>
      <c r="O14" s="229" t="str">
        <f>IF(N14="","",IF(N14&lt;=$W$8,$V$8,IF(N14&lt;=$W$9,$V$9,IF(N14&lt;=$W$10,$V$10,IF(N14&lt;=$W$11,$V$11,IF(N14&lt;=$W$12,$V$12,$V$13))))))</f>
        <v/>
      </c>
      <c r="P14" s="169" t="str">
        <f>Segments!Q42</f>
        <v/>
      </c>
      <c r="Q14" s="172" t="str">
        <f t="shared" si="0"/>
        <v/>
      </c>
      <c r="R14" s="207" t="str">
        <f>Segments!Q47</f>
        <v/>
      </c>
      <c r="S14" s="229" t="str">
        <f t="shared" ref="S14" si="5">IF(R14="","",IF(R14&lt;=$W$8,$V$8,IF(R14&lt;=$W$9,$V$9,IF(R14&lt;=$W$10,$V$10,IF(R14&lt;=$W$11,$V$11,IF(R14&lt;=$W$12,$V$12,$V$13))))))</f>
        <v/>
      </c>
      <c r="T14" s="223"/>
    </row>
    <row r="15" spans="2:28" x14ac:dyDescent="0.25">
      <c r="B15" s="222"/>
      <c r="C15" s="109">
        <v>8</v>
      </c>
      <c r="D15" s="109" t="s">
        <v>456</v>
      </c>
      <c r="E15" s="206" t="str">
        <f>Links!T91</f>
        <v/>
      </c>
      <c r="F15" s="207" t="str">
        <f>IF(E15="","",IF(E15&lt;=$W$8,$V$8,IF(E15&lt;=$W$9,$V$9,IF(E15&lt;=$W$10,$V$10,IF(E15&lt;=$W$11,$V$11,IF(E15&lt;=$W$12,$V$12,$V$13))))))</f>
        <v/>
      </c>
      <c r="G15" s="172" t="str">
        <f>Links!T94</f>
        <v/>
      </c>
      <c r="H15" s="172" t="str">
        <f>IF(G15="","",IF(G15&lt;=$W$8,$V$8,IF(G15&lt;=$W$9,$V$9,IF(G15&lt;=$W$10,$V$10,IF(G15&lt;=$W$11,$V$11,IF(G15&lt;=$W$12,$V$12,$V$13))))))</f>
        <v/>
      </c>
      <c r="I15" s="207" t="str">
        <f>Links!T97</f>
        <v/>
      </c>
      <c r="J15" s="229" t="str">
        <f>IF(I15="","",IF(I15&lt;=$W$8,$V$8,IF(I15&lt;=$W$9,$V$9,IF(I15&lt;=$W$10,$V$10,IF(I15&lt;=$W$11,$V$11,IF(I15&lt;=$W$12,$V$12,$V$13))))))</f>
        <v/>
      </c>
      <c r="K15" s="248" t="s">
        <v>468</v>
      </c>
      <c r="L15" s="172" t="str">
        <f>Intersections!AH114</f>
        <v/>
      </c>
      <c r="M15" s="172" t="str">
        <f>IF(L15="-","-",IF(L15&lt;=$W$8,$V$8,IF(L15&lt;=$W$9,$V$9,IF(L15&lt;=$W$10,$V$10,IF(L15&lt;=$W$11,$V$11,IF(L15&lt;=$W$12,$V$12,$V$13))))))</f>
        <v>F</v>
      </c>
      <c r="N15" s="207" t="str">
        <f>Intersections!AH117</f>
        <v/>
      </c>
      <c r="O15" s="229" t="str">
        <f>IF(N15="","",IF(N15&lt;=$W$8,$V$8,IF(N15&lt;=$W$9,$V$9,IF(N15&lt;=$W$10,$V$10,IF(N15&lt;=$W$11,$V$11,IF(N15&lt;=$W$12,$V$12,$V$13))))))</f>
        <v/>
      </c>
      <c r="P15" s="169" t="str">
        <f>Segments!S42</f>
        <v/>
      </c>
      <c r="Q15" s="172" t="str">
        <f t="shared" si="0"/>
        <v/>
      </c>
      <c r="R15" s="207" t="str">
        <f>Segments!S47</f>
        <v/>
      </c>
      <c r="S15" s="229" t="str">
        <f t="shared" ref="S15" si="6">IF(R15="","",IF(R15&lt;=$W$8,$V$8,IF(R15&lt;=$W$9,$V$9,IF(R15&lt;=$W$10,$V$10,IF(R15&lt;=$W$11,$V$11,IF(R15&lt;=$W$12,$V$12,$V$13))))))</f>
        <v/>
      </c>
      <c r="T15" s="223"/>
    </row>
    <row r="16" spans="2:28" x14ac:dyDescent="0.25">
      <c r="B16" s="222"/>
      <c r="C16" s="109">
        <v>9</v>
      </c>
      <c r="D16" s="109"/>
      <c r="E16" s="206" t="str">
        <f>Links!V91</f>
        <v/>
      </c>
      <c r="F16" s="207" t="str">
        <f>IF(E16="","",IF(E16&lt;=$W$8,$V$8,IF(E16&lt;=$W$9,$V$9,IF(E16&lt;=$W$10,$V$10,IF(E16&lt;=$W$11,$V$11,IF(E16&lt;=$W$12,$V$12,$V$13))))))</f>
        <v/>
      </c>
      <c r="G16" s="172" t="str">
        <f>Links!V94</f>
        <v/>
      </c>
      <c r="H16" s="172" t="str">
        <f>IF(G16="","",IF(G16&lt;=$W$8,$V$8,IF(G16&lt;=$W$9,$V$9,IF(G16&lt;=$W$10,$V$10,IF(G16&lt;=$W$11,$V$11,IF(G16&lt;=$W$12,$V$12,$V$13))))))</f>
        <v/>
      </c>
      <c r="I16" s="207" t="str">
        <f>Links!V97</f>
        <v/>
      </c>
      <c r="J16" s="229" t="str">
        <f>IF(I16="","",IF(I16&lt;=$W$8,$V$8,IF(I16&lt;=$W$9,$V$9,IF(I16&lt;=$W$10,$V$10,IF(I16&lt;=$W$11,$V$11,IF(I16&lt;=$W$12,$V$12,$V$13))))))</f>
        <v/>
      </c>
      <c r="K16" s="248" t="s">
        <v>469</v>
      </c>
      <c r="L16" s="172" t="str">
        <f>Intersections!AL114</f>
        <v/>
      </c>
      <c r="M16" s="172" t="str">
        <f>IF(L16="-","-",IF(L16&lt;=$W$8,$V$8,IF(L16&lt;=$W$9,$V$9,IF(L16&lt;=$W$10,$V$10,IF(L16&lt;=$W$11,$V$11,IF(L16&lt;=$W$12,$V$12,$V$13))))))</f>
        <v>F</v>
      </c>
      <c r="N16" s="207" t="str">
        <f>Intersections!AL117</f>
        <v/>
      </c>
      <c r="O16" s="229" t="str">
        <f>IF(N16="","",IF(N16&lt;=$W$8,$V$8,IF(N16&lt;=$W$9,$V$9,IF(N16&lt;=$W$10,$V$10,IF(N16&lt;=$W$11,$V$11,IF(N16&lt;=$W$12,$V$12,$V$13))))))</f>
        <v/>
      </c>
      <c r="P16" s="169" t="str">
        <f>Segments!U42</f>
        <v/>
      </c>
      <c r="Q16" s="172" t="str">
        <f t="shared" si="0"/>
        <v/>
      </c>
      <c r="R16" s="207" t="str">
        <f>Segments!U47</f>
        <v/>
      </c>
      <c r="S16" s="229" t="str">
        <f t="shared" ref="S16" si="7">IF(R16="","",IF(R16&lt;=$W$8,$V$8,IF(R16&lt;=$W$9,$V$9,IF(R16&lt;=$W$10,$V$10,IF(R16&lt;=$W$11,$V$11,IF(R16&lt;=$W$12,$V$12,$V$13))))))</f>
        <v/>
      </c>
      <c r="T16" s="223"/>
    </row>
    <row r="17" spans="2:24" x14ac:dyDescent="0.25">
      <c r="B17" s="222"/>
      <c r="C17" s="109">
        <v>10</v>
      </c>
      <c r="D17" s="109"/>
      <c r="E17" s="206" t="str">
        <f>Links!X91</f>
        <v/>
      </c>
      <c r="F17" s="207" t="str">
        <f>IF(E17="","",IF(E17&lt;=$W$8,$V$8,IF(E17&lt;=$W$9,$V$9,IF(E17&lt;=$W$10,$V$10,IF(E17&lt;=$W$11,$V$11,IF(E17&lt;=$W$12,$V$12,$V$13))))))</f>
        <v/>
      </c>
      <c r="G17" s="172" t="str">
        <f>Links!X94</f>
        <v/>
      </c>
      <c r="H17" s="172" t="str">
        <f>IF(G17="","",IF(G17&lt;=$W$8,$V$8,IF(G17&lt;=$W$9,$V$9,IF(G17&lt;=$W$10,$V$10,IF(G17&lt;=$W$11,$V$11,IF(G17&lt;=$W$12,$V$12,$V$13))))))</f>
        <v/>
      </c>
      <c r="I17" s="207" t="str">
        <f>Links!X97</f>
        <v/>
      </c>
      <c r="J17" s="229" t="str">
        <f>IF(I17="","",IF(I17&lt;=$W$8,$V$8,IF(I17&lt;=$W$9,$V$9,IF(I17&lt;=$W$10,$V$10,IF(I17&lt;=$W$11,$V$11,IF(I17&lt;=$W$12,$V$12,$V$13))))))</f>
        <v/>
      </c>
      <c r="K17" s="248" t="s">
        <v>470</v>
      </c>
      <c r="L17" s="172" t="str">
        <f>Intersections!AP114</f>
        <v/>
      </c>
      <c r="M17" s="172" t="str">
        <f>IF(L17="-","-",IF(L17&lt;=$W$8,$V$8,IF(L17&lt;=$W$9,$V$9,IF(L17&lt;=$W$10,$V$10,IF(L17&lt;=$W$11,$V$11,IF(L17&lt;=$W$12,$V$12,$V$13))))))</f>
        <v>F</v>
      </c>
      <c r="N17" s="207" t="str">
        <f>Intersections!AP117</f>
        <v/>
      </c>
      <c r="O17" s="229" t="str">
        <f>IF(N17="","",IF(N17&lt;=$W$8,$V$8,IF(N17&lt;=$W$9,$V$9,IF(N17&lt;=$W$10,$V$10,IF(N17&lt;=$W$11,$V$11,IF(N17&lt;=$W$12,$V$12,$V$13))))))</f>
        <v/>
      </c>
      <c r="P17" s="169" t="str">
        <f>Segments!W42</f>
        <v/>
      </c>
      <c r="Q17" s="172" t="str">
        <f t="shared" si="0"/>
        <v/>
      </c>
      <c r="R17" s="207" t="str">
        <f>Segments!W47</f>
        <v/>
      </c>
      <c r="S17" s="229" t="str">
        <f t="shared" ref="S17" si="8">IF(R17="","",IF(R17&lt;=$W$8,$V$8,IF(R17&lt;=$W$9,$V$9,IF(R17&lt;=$W$10,$V$10,IF(R17&lt;=$W$11,$V$11,IF(R17&lt;=$W$12,$V$12,$V$13))))))</f>
        <v/>
      </c>
      <c r="T17" s="223"/>
    </row>
    <row r="18" spans="2:24" x14ac:dyDescent="0.25">
      <c r="B18" s="222"/>
      <c r="C18" s="109">
        <v>11</v>
      </c>
      <c r="D18" s="109"/>
      <c r="E18" s="206" t="str">
        <f>Links!Z91</f>
        <v/>
      </c>
      <c r="F18" s="207" t="str">
        <f>IF(E18="","",IF(E18&lt;=$W$8,$V$8,IF(E18&lt;=$W$9,$V$9,IF(E18&lt;=$W$10,$V$10,IF(E18&lt;=$W$11,$V$11,IF(E18&lt;=$W$12,$V$12,$V$13))))))</f>
        <v/>
      </c>
      <c r="G18" s="172" t="str">
        <f>Links!Z94</f>
        <v/>
      </c>
      <c r="H18" s="172" t="str">
        <f>IF(G18="","",IF(G18&lt;=$W$8,$V$8,IF(G18&lt;=$W$9,$V$9,IF(G18&lt;=$W$10,$V$10,IF(G18&lt;=$W$11,$V$11,IF(G18&lt;=$W$12,$V$12,$V$13))))))</f>
        <v/>
      </c>
      <c r="I18" s="207" t="str">
        <f>Links!Z97</f>
        <v/>
      </c>
      <c r="J18" s="229" t="str">
        <f>IF(I18="","",IF(I18&lt;=$W$8,$V$8,IF(I18&lt;=$W$9,$V$9,IF(I18&lt;=$W$10,$V$10,IF(I18&lt;=$W$11,$V$11,IF(I18&lt;=$W$12,$V$12,$V$13))))))</f>
        <v/>
      </c>
      <c r="K18" s="248" t="s">
        <v>471</v>
      </c>
      <c r="L18" s="172" t="str">
        <f>Intersections!AT114</f>
        <v/>
      </c>
      <c r="M18" s="172" t="str">
        <f>IF(L18="-","-",IF(L18&lt;=$W$8,$V$8,IF(L18&lt;=$W$9,$V$9,IF(L18&lt;=$W$10,$V$10,IF(L18&lt;=$W$11,$V$11,IF(L18&lt;=$W$12,$V$12,$V$13))))))</f>
        <v>F</v>
      </c>
      <c r="N18" s="207" t="str">
        <f>Intersections!AT117</f>
        <v/>
      </c>
      <c r="O18" s="229" t="str">
        <f>IF(N18="","",IF(N18&lt;=$W$8,$V$8,IF(N18&lt;=$W$9,$V$9,IF(N18&lt;=$W$10,$V$10,IF(N18&lt;=$W$11,$V$11,IF(N18&lt;=$W$12,$V$12,$V$13))))))</f>
        <v/>
      </c>
      <c r="P18" s="169" t="str">
        <f>Segments!Y42</f>
        <v/>
      </c>
      <c r="Q18" s="172" t="str">
        <f t="shared" si="0"/>
        <v/>
      </c>
      <c r="R18" s="207" t="str">
        <f>Segments!Y47</f>
        <v/>
      </c>
      <c r="S18" s="229" t="str">
        <f t="shared" ref="S18" si="9">IF(R18="","",IF(R18&lt;=$W$8,$V$8,IF(R18&lt;=$W$9,$V$9,IF(R18&lt;=$W$10,$V$10,IF(R18&lt;=$W$11,$V$11,IF(R18&lt;=$W$12,$V$12,$V$13))))))</f>
        <v/>
      </c>
      <c r="T18" s="223"/>
    </row>
    <row r="19" spans="2:24" x14ac:dyDescent="0.25">
      <c r="B19" s="222"/>
      <c r="C19" s="109">
        <v>12</v>
      </c>
      <c r="D19" s="109"/>
      <c r="E19" s="206" t="str">
        <f>Links!AB91</f>
        <v/>
      </c>
      <c r="F19" s="207" t="str">
        <f>IF(E19="","",IF(E19&lt;=$W$8,$V$8,IF(E19&lt;=$W$9,$V$9,IF(E19&lt;=$W$10,$V$10,IF(E19&lt;=$W$11,$V$11,IF(E19&lt;=$W$12,$V$12,$V$13))))))</f>
        <v/>
      </c>
      <c r="G19" s="172" t="str">
        <f>Links!AB94</f>
        <v/>
      </c>
      <c r="H19" s="172" t="str">
        <f>IF(G19="","",IF(G19&lt;=$W$8,$V$8,IF(G19&lt;=$W$9,$V$9,IF(G19&lt;=$W$10,$V$10,IF(G19&lt;=$W$11,$V$11,IF(G19&lt;=$W$12,$V$12,$V$13))))))</f>
        <v/>
      </c>
      <c r="I19" s="207" t="str">
        <f>Links!AB97</f>
        <v/>
      </c>
      <c r="J19" s="229" t="str">
        <f>IF(I19="","",IF(I19&lt;=$W$8,$V$8,IF(I19&lt;=$W$9,$V$9,IF(I19&lt;=$W$10,$V$10,IF(I19&lt;=$W$11,$V$11,IF(I19&lt;=$W$12,$V$12,$V$13))))))</f>
        <v/>
      </c>
      <c r="K19" s="248" t="s">
        <v>472</v>
      </c>
      <c r="L19" s="172" t="str">
        <f>Intersections!AX114</f>
        <v/>
      </c>
      <c r="M19" s="172" t="str">
        <f>IF(L19="-","-",IF(L19&lt;=$W$8,$V$8,IF(L19&lt;=$W$9,$V$9,IF(L19&lt;=$W$10,$V$10,IF(L19&lt;=$W$11,$V$11,IF(L19&lt;=$W$12,$V$12,$V$13))))))</f>
        <v>F</v>
      </c>
      <c r="N19" s="207" t="str">
        <f>Intersections!AX117</f>
        <v/>
      </c>
      <c r="O19" s="229" t="str">
        <f>IF(N19="","",IF(N19&lt;=$W$8,$V$8,IF(N19&lt;=$W$9,$V$9,IF(N19&lt;=$W$10,$V$10,IF(N19&lt;=$W$11,$V$11,IF(N19&lt;=$W$12,$V$12,$V$13))))))</f>
        <v/>
      </c>
      <c r="P19" s="169" t="str">
        <f>Segments!AA42</f>
        <v/>
      </c>
      <c r="Q19" s="172" t="str">
        <f t="shared" si="0"/>
        <v/>
      </c>
      <c r="R19" s="207" t="str">
        <f>Segments!AA47</f>
        <v/>
      </c>
      <c r="S19" s="229" t="str">
        <f t="shared" ref="S19" si="10">IF(R19="","",IF(R19&lt;=$W$8,$V$8,IF(R19&lt;=$W$9,$V$9,IF(R19&lt;=$W$10,$V$10,IF(R19&lt;=$W$11,$V$11,IF(R19&lt;=$W$12,$V$12,$V$13))))))</f>
        <v/>
      </c>
      <c r="T19" s="223"/>
    </row>
    <row r="20" spans="2:24" x14ac:dyDescent="0.25">
      <c r="B20" s="222"/>
      <c r="C20" s="109">
        <v>13</v>
      </c>
      <c r="D20" s="109"/>
      <c r="E20" s="206" t="str">
        <f>Links!AD91</f>
        <v/>
      </c>
      <c r="F20" s="207" t="str">
        <f>IF(E20="","",IF(E20&lt;=$W$8,$V$8,IF(E20&lt;=$W$9,$V$9,IF(E20&lt;=$W$10,$V$10,IF(E20&lt;=$W$11,$V$11,IF(E20&lt;=$W$12,$V$12,$V$13))))))</f>
        <v/>
      </c>
      <c r="G20" s="172" t="str">
        <f>Links!AD94</f>
        <v/>
      </c>
      <c r="H20" s="172" t="str">
        <f>IF(G20="","",IF(G20&lt;=$W$8,$V$8,IF(G20&lt;=$W$9,$V$9,IF(G20&lt;=$W$10,$V$10,IF(G20&lt;=$W$11,$V$11,IF(G20&lt;=$W$12,$V$12,$V$13))))))</f>
        <v/>
      </c>
      <c r="I20" s="207" t="str">
        <f>Links!AD97</f>
        <v/>
      </c>
      <c r="J20" s="229" t="str">
        <f>IF(I20="","",IF(I20&lt;=$W$8,$V$8,IF(I20&lt;=$W$9,$V$9,IF(I20&lt;=$W$10,$V$10,IF(I20&lt;=$W$11,$V$11,IF(I20&lt;=$W$12,$V$12,$V$13))))))</f>
        <v/>
      </c>
      <c r="K20" s="248" t="s">
        <v>473</v>
      </c>
      <c r="L20" s="172" t="str">
        <f>Intersections!BB114</f>
        <v/>
      </c>
      <c r="M20" s="172" t="str">
        <f>IF(L20="-","-",IF(L20&lt;=$W$8,$V$8,IF(L20&lt;=$W$9,$V$9,IF(L20&lt;=$W$10,$V$10,IF(L20&lt;=$W$11,$V$11,IF(L20&lt;=$W$12,$V$12,$V$13))))))</f>
        <v>F</v>
      </c>
      <c r="N20" s="207" t="str">
        <f>Intersections!BB117</f>
        <v/>
      </c>
      <c r="O20" s="229" t="str">
        <f>IF(N20="","",IF(N20&lt;=$W$8,$V$8,IF(N20&lt;=$W$9,$V$9,IF(N20&lt;=$W$10,$V$10,IF(N20&lt;=$W$11,$V$11,IF(N20&lt;=$W$12,$V$12,$V$13))))))</f>
        <v/>
      </c>
      <c r="P20" s="169" t="str">
        <f>Segments!AC42</f>
        <v/>
      </c>
      <c r="Q20" s="172" t="str">
        <f t="shared" si="0"/>
        <v/>
      </c>
      <c r="R20" s="207" t="str">
        <f>Segments!AC47</f>
        <v/>
      </c>
      <c r="S20" s="229" t="str">
        <f t="shared" ref="S20" si="11">IF(R20="","",IF(R20&lt;=$W$8,$V$8,IF(R20&lt;=$W$9,$V$9,IF(R20&lt;=$W$10,$V$10,IF(R20&lt;=$W$11,$V$11,IF(R20&lt;=$W$12,$V$12,$V$13))))))</f>
        <v/>
      </c>
      <c r="T20" s="223"/>
    </row>
    <row r="21" spans="2:24" x14ac:dyDescent="0.25">
      <c r="B21" s="222"/>
      <c r="C21" s="109">
        <v>14</v>
      </c>
      <c r="D21" s="109"/>
      <c r="E21" s="206" t="str">
        <f>Links!AF91</f>
        <v/>
      </c>
      <c r="F21" s="207" t="str">
        <f>IF(E21="","",IF(E21&lt;=$W$8,$V$8,IF(E21&lt;=$W$9,$V$9,IF(E21&lt;=$W$10,$V$10,IF(E21&lt;=$W$11,$V$11,IF(E21&lt;=$W$12,$V$12,$V$13))))))</f>
        <v/>
      </c>
      <c r="G21" s="172" t="str">
        <f>Links!AF94</f>
        <v/>
      </c>
      <c r="H21" s="172" t="str">
        <f>IF(G21="","",IF(G21&lt;=$W$8,$V$8,IF(G21&lt;=$W$9,$V$9,IF(G21&lt;=$W$10,$V$10,IF(G21&lt;=$W$11,$V$11,IF(G21&lt;=$W$12,$V$12,$V$13))))))</f>
        <v/>
      </c>
      <c r="I21" s="207" t="str">
        <f>Links!AF97</f>
        <v/>
      </c>
      <c r="J21" s="229" t="str">
        <f>IF(I21="","",IF(I21&lt;=$W$8,$V$8,IF(I21&lt;=$W$9,$V$9,IF(I21&lt;=$W$10,$V$10,IF(I21&lt;=$W$11,$V$11,IF(I21&lt;=$W$12,$V$12,$V$13))))))</f>
        <v/>
      </c>
      <c r="K21" s="248" t="s">
        <v>474</v>
      </c>
      <c r="L21" s="172" t="str">
        <f>Intersections!BF114</f>
        <v/>
      </c>
      <c r="M21" s="172" t="str">
        <f>IF(L21="-","-",IF(L21&lt;=$W$8,$V$8,IF(L21&lt;=$W$9,$V$9,IF(L21&lt;=$W$10,$V$10,IF(L21&lt;=$W$11,$V$11,IF(L21&lt;=$W$12,$V$12,$V$13))))))</f>
        <v>F</v>
      </c>
      <c r="N21" s="207" t="str">
        <f>Intersections!BF117</f>
        <v/>
      </c>
      <c r="O21" s="229" t="str">
        <f>IF(N21="","",IF(N21&lt;=$W$8,$V$8,IF(N21&lt;=$W$9,$V$9,IF(N21&lt;=$W$10,$V$10,IF(N21&lt;=$W$11,$V$11,IF(N21&lt;=$W$12,$V$12,$V$13))))))</f>
        <v/>
      </c>
      <c r="P21" s="169" t="str">
        <f>Segments!AE42</f>
        <v/>
      </c>
      <c r="Q21" s="172" t="str">
        <f t="shared" si="0"/>
        <v/>
      </c>
      <c r="R21" s="207" t="str">
        <f>Segments!AE47</f>
        <v/>
      </c>
      <c r="S21" s="229" t="str">
        <f t="shared" ref="S21" si="12">IF(R21="","",IF(R21&lt;=$W$8,$V$8,IF(R21&lt;=$W$9,$V$9,IF(R21&lt;=$W$10,$V$10,IF(R21&lt;=$W$11,$V$11,IF(R21&lt;=$W$12,$V$12,$V$13))))))</f>
        <v/>
      </c>
      <c r="T21" s="223"/>
    </row>
    <row r="22" spans="2:24" x14ac:dyDescent="0.25">
      <c r="B22" s="222"/>
      <c r="C22" s="109">
        <v>15</v>
      </c>
      <c r="D22" s="109"/>
      <c r="E22" s="206" t="str">
        <f>Links!AH91</f>
        <v/>
      </c>
      <c r="F22" s="207" t="str">
        <f>IF(E22="","",IF(E22&lt;=$W$8,$V$8,IF(E22&lt;=$W$9,$V$9,IF(E22&lt;=$W$10,$V$10,IF(E22&lt;=$W$11,$V$11,IF(E22&lt;=$W$12,$V$12,$V$13))))))</f>
        <v/>
      </c>
      <c r="G22" s="172" t="str">
        <f>Links!AH94</f>
        <v/>
      </c>
      <c r="H22" s="172" t="str">
        <f>IF(G22="","",IF(G22&lt;=$W$8,$V$8,IF(G22&lt;=$W$9,$V$9,IF(G22&lt;=$W$10,$V$10,IF(G22&lt;=$W$11,$V$11,IF(G22&lt;=$W$12,$V$12,$V$13))))))</f>
        <v/>
      </c>
      <c r="I22" s="207" t="str">
        <f>Links!AH97</f>
        <v/>
      </c>
      <c r="J22" s="229" t="str">
        <f>IF(I22="","",IF(I22&lt;=$W$8,$V$8,IF(I22&lt;=$W$9,$V$9,IF(I22&lt;=$W$10,$V$10,IF(I22&lt;=$W$11,$V$11,IF(I22&lt;=$W$12,$V$12,$V$13))))))</f>
        <v/>
      </c>
      <c r="K22" s="248" t="s">
        <v>475</v>
      </c>
      <c r="L22" s="172" t="str">
        <f>Intersections!BJ114</f>
        <v/>
      </c>
      <c r="M22" s="172" t="str">
        <f>IF(L22="-","-",IF(L22&lt;=$W$8,$V$8,IF(L22&lt;=$W$9,$V$9,IF(L22&lt;=$W$10,$V$10,IF(L22&lt;=$W$11,$V$11,IF(L22&lt;=$W$12,$V$12,$V$13))))))</f>
        <v>F</v>
      </c>
      <c r="N22" s="207" t="str">
        <f>Intersections!BJ117</f>
        <v/>
      </c>
      <c r="O22" s="229" t="str">
        <f>IF(N22="","",IF(N22&lt;=$W$8,$V$8,IF(N22&lt;=$W$9,$V$9,IF(N22&lt;=$W$10,$V$10,IF(N22&lt;=$W$11,$V$11,IF(N22&lt;=$W$12,$V$12,$V$13))))))</f>
        <v/>
      </c>
      <c r="P22" s="169" t="str">
        <f>Segments!AG42</f>
        <v/>
      </c>
      <c r="Q22" s="172" t="str">
        <f t="shared" si="0"/>
        <v/>
      </c>
      <c r="R22" s="207" t="str">
        <f>Segments!AG47</f>
        <v/>
      </c>
      <c r="S22" s="229" t="str">
        <f t="shared" ref="S22" si="13">IF(R22="","",IF(R22&lt;=$W$8,$V$8,IF(R22&lt;=$W$9,$V$9,IF(R22&lt;=$W$10,$V$10,IF(R22&lt;=$W$11,$V$11,IF(R22&lt;=$W$12,$V$12,$V$13))))))</f>
        <v/>
      </c>
      <c r="T22" s="223"/>
    </row>
    <row r="23" spans="2:24" x14ac:dyDescent="0.25">
      <c r="B23" s="222"/>
      <c r="C23" s="109">
        <v>16</v>
      </c>
      <c r="D23" s="109"/>
      <c r="E23" s="206" t="str">
        <f>Links!AJ91</f>
        <v/>
      </c>
      <c r="F23" s="207" t="str">
        <f>IF(E23="","",IF(E23&lt;=$W$8,$V$8,IF(E23&lt;=$W$9,$V$9,IF(E23&lt;=$W$10,$V$10,IF(E23&lt;=$W$11,$V$11,IF(E23&lt;=$W$12,$V$12,$V$13))))))</f>
        <v/>
      </c>
      <c r="G23" s="172" t="str">
        <f>Links!AJ94</f>
        <v/>
      </c>
      <c r="H23" s="172" t="str">
        <f>IF(G23="","",IF(G23&lt;=$W$8,$V$8,IF(G23&lt;=$W$9,$V$9,IF(G23&lt;=$W$10,$V$10,IF(G23&lt;=$W$11,$V$11,IF(G23&lt;=$W$12,$V$12,$V$13))))))</f>
        <v/>
      </c>
      <c r="I23" s="207" t="str">
        <f>Links!AJ97</f>
        <v/>
      </c>
      <c r="J23" s="229" t="str">
        <f>IF(I23="","",IF(I23&lt;=$W$8,$V$8,IF(I23&lt;=$W$9,$V$9,IF(I23&lt;=$W$10,$V$10,IF(I23&lt;=$W$11,$V$11,IF(I23&lt;=$W$12,$V$12,$V$13))))))</f>
        <v/>
      </c>
      <c r="K23" s="248" t="s">
        <v>476</v>
      </c>
      <c r="L23" s="172" t="str">
        <f>Intersections!BN114</f>
        <v/>
      </c>
      <c r="M23" s="172" t="str">
        <f>IF(L23="-","-",IF(L23&lt;=$W$8,$V$8,IF(L23&lt;=$W$9,$V$9,IF(L23&lt;=$W$10,$V$10,IF(L23&lt;=$W$11,$V$11,IF(L23&lt;=$W$12,$V$12,$V$13))))))</f>
        <v>F</v>
      </c>
      <c r="N23" s="207" t="str">
        <f>Intersections!BN117</f>
        <v/>
      </c>
      <c r="O23" s="229" t="str">
        <f>IF(N23="","",IF(N23&lt;=$W$8,$V$8,IF(N23&lt;=$W$9,$V$9,IF(N23&lt;=$W$10,$V$10,IF(N23&lt;=$W$11,$V$11,IF(N23&lt;=$W$12,$V$12,$V$13))))))</f>
        <v/>
      </c>
      <c r="P23" s="169" t="str">
        <f>Segments!AI42</f>
        <v/>
      </c>
      <c r="Q23" s="172" t="str">
        <f t="shared" si="0"/>
        <v/>
      </c>
      <c r="R23" s="207" t="str">
        <f>Segments!AI47</f>
        <v/>
      </c>
      <c r="S23" s="229" t="str">
        <f t="shared" ref="S23" si="14">IF(R23="","",IF(R23&lt;=$W$8,$V$8,IF(R23&lt;=$W$9,$V$9,IF(R23&lt;=$W$10,$V$10,IF(R23&lt;=$W$11,$V$11,IF(R23&lt;=$W$12,$V$12,$V$13))))))</f>
        <v/>
      </c>
      <c r="T23" s="223"/>
      <c r="U23" s="213"/>
      <c r="W23" s="213"/>
      <c r="X23" s="213"/>
    </row>
    <row r="24" spans="2:24" x14ac:dyDescent="0.25">
      <c r="B24" s="222"/>
      <c r="C24" s="109">
        <v>17</v>
      </c>
      <c r="D24" s="109"/>
      <c r="E24" s="206" t="str">
        <f>Links!AL91</f>
        <v/>
      </c>
      <c r="F24" s="207" t="str">
        <f>IF(E24="","",IF(E24&lt;=$W$8,$V$8,IF(E24&lt;=$W$9,$V$9,IF(E24&lt;=$W$10,$V$10,IF(E24&lt;=$W$11,$V$11,IF(E24&lt;=$W$12,$V$12,$V$13))))))</f>
        <v/>
      </c>
      <c r="G24" s="172" t="str">
        <f>Links!AL94</f>
        <v/>
      </c>
      <c r="H24" s="172" t="str">
        <f>IF(G24="","",IF(G24&lt;=$W$8,$V$8,IF(G24&lt;=$W$9,$V$9,IF(G24&lt;=$W$10,$V$10,IF(G24&lt;=$W$11,$V$11,IF(G24&lt;=$W$12,$V$12,$V$13))))))</f>
        <v/>
      </c>
      <c r="I24" s="207" t="str">
        <f>Links!AL97</f>
        <v/>
      </c>
      <c r="J24" s="229" t="str">
        <f>IF(I24="","",IF(I24&lt;=$W$8,$V$8,IF(I24&lt;=$W$9,$V$9,IF(I24&lt;=$W$10,$V$10,IF(I24&lt;=$W$11,$V$11,IF(I24&lt;=$W$12,$V$12,$V$13))))))</f>
        <v/>
      </c>
      <c r="K24" s="248" t="s">
        <v>477</v>
      </c>
      <c r="L24" s="172" t="str">
        <f>Intersections!BR114</f>
        <v/>
      </c>
      <c r="M24" s="172" t="str">
        <f>IF(L24="-","-",IF(L24&lt;=$W$8,$V$8,IF(L24&lt;=$W$9,$V$9,IF(L24&lt;=$W$10,$V$10,IF(L24&lt;=$W$11,$V$11,IF(L24&lt;=$W$12,$V$12,$V$13))))))</f>
        <v>F</v>
      </c>
      <c r="N24" s="207" t="str">
        <f>Intersections!BR117</f>
        <v/>
      </c>
      <c r="O24" s="229" t="str">
        <f>IF(N24="","",IF(N24&lt;=$W$8,$V$8,IF(N24&lt;=$W$9,$V$9,IF(N24&lt;=$W$10,$V$10,IF(N24&lt;=$W$11,$V$11,IF(N24&lt;=$W$12,$V$12,$V$13))))))</f>
        <v/>
      </c>
      <c r="P24" s="169" t="str">
        <f>Segments!AK42</f>
        <v/>
      </c>
      <c r="Q24" s="172" t="str">
        <f t="shared" si="0"/>
        <v/>
      </c>
      <c r="R24" s="207" t="str">
        <f>Segments!AK47</f>
        <v/>
      </c>
      <c r="S24" s="229" t="str">
        <f t="shared" ref="S24" si="15">IF(R24="","",IF(R24&lt;=$W$8,$V$8,IF(R24&lt;=$W$9,$V$9,IF(R24&lt;=$W$10,$V$10,IF(R24&lt;=$W$11,$V$11,IF(R24&lt;=$W$12,$V$12,$V$13))))))</f>
        <v/>
      </c>
      <c r="T24" s="223"/>
      <c r="U24" s="213"/>
      <c r="W24" s="213"/>
      <c r="X24" s="213"/>
    </row>
    <row r="25" spans="2:24" x14ac:dyDescent="0.25">
      <c r="B25" s="222"/>
      <c r="C25" s="109">
        <v>18</v>
      </c>
      <c r="D25" s="109"/>
      <c r="E25" s="206" t="str">
        <f>Links!AN91</f>
        <v/>
      </c>
      <c r="F25" s="207" t="str">
        <f>IF(E25="","",IF(E25&lt;=$W$8,$V$8,IF(E25&lt;=$W$9,$V$9,IF(E25&lt;=$W$10,$V$10,IF(E25&lt;=$W$11,$V$11,IF(E25&lt;=$W$12,$V$12,$V$13))))))</f>
        <v/>
      </c>
      <c r="G25" s="172" t="str">
        <f>Links!AN94</f>
        <v/>
      </c>
      <c r="H25" s="172" t="str">
        <f>IF(G25="","",IF(G25&lt;=$W$8,$V$8,IF(G25&lt;=$W$9,$V$9,IF(G25&lt;=$W$10,$V$10,IF(G25&lt;=$W$11,$V$11,IF(G25&lt;=$W$12,$V$12,$V$13))))))</f>
        <v/>
      </c>
      <c r="I25" s="207" t="str">
        <f>Links!AN97</f>
        <v/>
      </c>
      <c r="J25" s="229" t="str">
        <f>IF(I25="","",IF(I25&lt;=$W$8,$V$8,IF(I25&lt;=$W$9,$V$9,IF(I25&lt;=$W$10,$V$10,IF(I25&lt;=$W$11,$V$11,IF(I25&lt;=$W$12,$V$12,$V$13))))))</f>
        <v/>
      </c>
      <c r="K25" s="248" t="s">
        <v>478</v>
      </c>
      <c r="L25" s="172" t="str">
        <f>Intersections!BV114</f>
        <v/>
      </c>
      <c r="M25" s="172" t="str">
        <f>IF(L25="-","-",IF(L25&lt;=$W$8,$V$8,IF(L25&lt;=$W$9,$V$9,IF(L25&lt;=$W$10,$V$10,IF(L25&lt;=$W$11,$V$11,IF(L25&lt;=$W$12,$V$12,$V$13))))))</f>
        <v>F</v>
      </c>
      <c r="N25" s="207" t="str">
        <f>Intersections!BV117</f>
        <v/>
      </c>
      <c r="O25" s="229" t="str">
        <f>IF(N25="","",IF(N25&lt;=$W$8,$V$8,IF(N25&lt;=$W$9,$V$9,IF(N25&lt;=$W$10,$V$10,IF(N25&lt;=$W$11,$V$11,IF(N25&lt;=$W$12,$V$12,$V$13))))))</f>
        <v/>
      </c>
      <c r="P25" s="169" t="str">
        <f>Segments!AM42</f>
        <v/>
      </c>
      <c r="Q25" s="172" t="str">
        <f t="shared" si="0"/>
        <v/>
      </c>
      <c r="R25" s="207" t="str">
        <f>Segments!AM47</f>
        <v/>
      </c>
      <c r="S25" s="229" t="str">
        <f t="shared" ref="S25" si="16">IF(R25="","",IF(R25&lt;=$W$8,$V$8,IF(R25&lt;=$W$9,$V$9,IF(R25&lt;=$W$10,$V$10,IF(R25&lt;=$W$11,$V$11,IF(R25&lt;=$W$12,$V$12,$V$13))))))</f>
        <v/>
      </c>
      <c r="T25" s="223"/>
      <c r="U25" s="213"/>
      <c r="W25" s="213"/>
      <c r="X25" s="213"/>
    </row>
    <row r="26" spans="2:24" x14ac:dyDescent="0.25">
      <c r="B26" s="222"/>
      <c r="C26" s="109">
        <v>19</v>
      </c>
      <c r="D26" s="109"/>
      <c r="E26" s="206" t="str">
        <f>Links!AP91</f>
        <v/>
      </c>
      <c r="F26" s="207" t="str">
        <f>IF(E26="","",IF(E26&lt;=$W$8,$V$8,IF(E26&lt;=$W$9,$V$9,IF(E26&lt;=$W$10,$V$10,IF(E26&lt;=$W$11,$V$11,IF(E26&lt;=$W$12,$V$12,$V$13))))))</f>
        <v/>
      </c>
      <c r="G26" s="172" t="str">
        <f>Links!AP94</f>
        <v/>
      </c>
      <c r="H26" s="172" t="str">
        <f>IF(G26="","",IF(G26&lt;=$W$8,$V$8,IF(G26&lt;=$W$9,$V$9,IF(G26&lt;=$W$10,$V$10,IF(G26&lt;=$W$11,$V$11,IF(G26&lt;=$W$12,$V$12,$V$13))))))</f>
        <v/>
      </c>
      <c r="I26" s="207" t="str">
        <f>Links!AP97</f>
        <v/>
      </c>
      <c r="J26" s="229" t="str">
        <f>IF(I26="","",IF(I26&lt;=$W$8,$V$8,IF(I26&lt;=$W$9,$V$9,IF(I26&lt;=$W$10,$V$10,IF(I26&lt;=$W$11,$V$11,IF(I26&lt;=$W$12,$V$12,$V$13))))))</f>
        <v/>
      </c>
      <c r="K26" s="248" t="s">
        <v>479</v>
      </c>
      <c r="L26" s="172" t="str">
        <f>Intersections!BZ114</f>
        <v/>
      </c>
      <c r="M26" s="172" t="str">
        <f>IF(L26="-","-",IF(L26&lt;=$W$8,$V$8,IF(L26&lt;=$W$9,$V$9,IF(L26&lt;=$W$10,$V$10,IF(L26&lt;=$W$11,$V$11,IF(L26&lt;=$W$12,$V$12,$V$13))))))</f>
        <v>F</v>
      </c>
      <c r="N26" s="207" t="str">
        <f>Intersections!BZ117</f>
        <v/>
      </c>
      <c r="O26" s="229" t="str">
        <f>IF(N26="","",IF(N26&lt;=$W$8,$V$8,IF(N26&lt;=$W$9,$V$9,IF(N26&lt;=$W$10,$V$10,IF(N26&lt;=$W$11,$V$11,IF(N26&lt;=$W$12,$V$12,$V$13))))))</f>
        <v/>
      </c>
      <c r="P26" s="169" t="str">
        <f>Segments!AO42</f>
        <v/>
      </c>
      <c r="Q26" s="172" t="str">
        <f t="shared" si="0"/>
        <v/>
      </c>
      <c r="R26" s="207" t="str">
        <f>Segments!AO47</f>
        <v/>
      </c>
      <c r="S26" s="229" t="str">
        <f t="shared" ref="S26" si="17">IF(R26="","",IF(R26&lt;=$W$8,$V$8,IF(R26&lt;=$W$9,$V$9,IF(R26&lt;=$W$10,$V$10,IF(R26&lt;=$W$11,$V$11,IF(R26&lt;=$W$12,$V$12,$V$13))))))</f>
        <v/>
      </c>
      <c r="T26" s="223"/>
      <c r="U26" s="213"/>
      <c r="W26" s="213"/>
      <c r="X26" s="213"/>
    </row>
    <row r="27" spans="2:24" x14ac:dyDescent="0.25">
      <c r="B27" s="222"/>
      <c r="C27" s="109">
        <v>20</v>
      </c>
      <c r="D27" s="109"/>
      <c r="E27" s="206" t="str">
        <f>Links!AR91</f>
        <v/>
      </c>
      <c r="F27" s="207" t="str">
        <f>IF(E27="","",IF(E27&lt;=$W$8,$V$8,IF(E27&lt;=$W$9,$V$9,IF(E27&lt;=$W$10,$V$10,IF(E27&lt;=$W$11,$V$11,IF(E27&lt;=$W$12,$V$12,$V$13))))))</f>
        <v/>
      </c>
      <c r="G27" s="172" t="str">
        <f>Links!AR94</f>
        <v/>
      </c>
      <c r="H27" s="172" t="str">
        <f>IF(G27="","",IF(G27&lt;=$W$8,$V$8,IF(G27&lt;=$W$9,$V$9,IF(G27&lt;=$W$10,$V$10,IF(G27&lt;=$W$11,$V$11,IF(G27&lt;=$W$12,$V$12,$V$13))))))</f>
        <v/>
      </c>
      <c r="I27" s="207" t="str">
        <f>Links!AR97</f>
        <v/>
      </c>
      <c r="J27" s="229" t="str">
        <f>IF(I27="","",IF(I27&lt;=$W$8,$V$8,IF(I27&lt;=$W$9,$V$9,IF(I27&lt;=$W$10,$V$10,IF(I27&lt;=$W$11,$V$11,IF(I27&lt;=$W$12,$V$12,$V$13))))))</f>
        <v/>
      </c>
      <c r="K27" s="109"/>
      <c r="L27" s="172" t="str">
        <f>Intersections!CD114</f>
        <v/>
      </c>
      <c r="M27" s="172" t="str">
        <f>IF(L27="-","-",IF(L27&lt;=$W$8,$V$8,IF(L27&lt;=$W$9,$V$9,IF(L27&lt;=$W$10,$V$10,IF(L27&lt;=$W$11,$V$11,IF(L27&lt;=$W$12,$V$12,$V$13))))))</f>
        <v>F</v>
      </c>
      <c r="N27" s="207" t="str">
        <f>Intersections!CD117</f>
        <v/>
      </c>
      <c r="O27" s="229" t="str">
        <f>IF(N27="","",IF(N27&lt;=$W$8,$V$8,IF(N27&lt;=$W$9,$V$9,IF(N27&lt;=$W$10,$V$10,IF(N27&lt;=$W$11,$V$11,IF(N27&lt;=$W$12,$V$12,$V$13))))))</f>
        <v/>
      </c>
      <c r="P27" s="169" t="str">
        <f>Segments!AQ40</f>
        <v/>
      </c>
      <c r="Q27" s="172" t="str">
        <f t="shared" si="0"/>
        <v/>
      </c>
      <c r="R27" s="207" t="str">
        <f>Segments!AQ47</f>
        <v/>
      </c>
      <c r="S27" s="229" t="str">
        <f t="shared" ref="S27" si="18">IF(R27="","",IF(R27&lt;=$W$8,$V$8,IF(R27&lt;=$W$9,$V$9,IF(R27&lt;=$W$10,$V$10,IF(R27&lt;=$W$11,$V$11,IF(R27&lt;=$W$12,$V$12,$V$13))))))</f>
        <v/>
      </c>
      <c r="T27" s="223"/>
      <c r="U27" s="213"/>
      <c r="W27" s="213"/>
      <c r="X27" s="213"/>
    </row>
    <row r="28" spans="2:24" x14ac:dyDescent="0.25">
      <c r="B28" s="222"/>
      <c r="C28" s="109">
        <v>21</v>
      </c>
      <c r="D28" s="109"/>
      <c r="E28" s="206"/>
      <c r="F28" s="207" t="str">
        <f>IF(E28="","",IF(E28&lt;=$W$8,$V$8,IF(E28&lt;=$W$9,$V$9,IF(E28&lt;=$W$10,$V$10,IF(E28&lt;=$W$11,$V$11,IF(E28&lt;=$W$12,$V$12,$V$13))))))</f>
        <v/>
      </c>
      <c r="G28" s="172"/>
      <c r="H28" s="172" t="str">
        <f>IF(G28="","",IF(G28&lt;=$W$8,$V$8,IF(G28&lt;=$W$9,$V$9,IF(G28&lt;=$W$10,$V$10,IF(G28&lt;=$W$11,$V$11,IF(G28&lt;=$W$12,$V$12,$V$13))))))</f>
        <v/>
      </c>
      <c r="I28" s="207"/>
      <c r="J28" s="229" t="str">
        <f>IF(I28="","",IF(I28&lt;=$W$8,$V$8,IF(I28&lt;=$W$9,$V$9,IF(I28&lt;=$W$10,$V$10,IF(I28&lt;=$W$11,$V$11,IF(I28&lt;=$W$12,$V$12,$V$13))))))</f>
        <v/>
      </c>
      <c r="K28" s="109"/>
      <c r="L28" s="172" t="str">
        <f>Intersections!CH114</f>
        <v/>
      </c>
      <c r="M28" s="172" t="str">
        <f>IF(L28="-","-",IF(L28&lt;=$W$8,$V$8,IF(L28&lt;=$W$9,$V$9,IF(L28&lt;=$W$10,$V$10,IF(L28&lt;=$W$11,$V$11,IF(L28&lt;=$W$12,$V$12,$V$13))))))</f>
        <v>F</v>
      </c>
      <c r="N28" s="207" t="str">
        <f>Intersections!CH117</f>
        <v/>
      </c>
      <c r="O28" s="229" t="str">
        <f>IF(N28="","",IF(N28&lt;=$W$8,$V$8,IF(N28&lt;=$W$9,$V$9,IF(N28&lt;=$W$10,$V$10,IF(N28&lt;=$W$11,$V$11,IF(N28&lt;=$W$12,$V$12,$V$13))))))</f>
        <v/>
      </c>
      <c r="P28" s="169" t="s">
        <v>97</v>
      </c>
      <c r="Q28" s="172" t="s">
        <v>97</v>
      </c>
      <c r="R28" s="207" t="s">
        <v>97</v>
      </c>
      <c r="S28" s="229" t="s">
        <v>97</v>
      </c>
      <c r="T28" s="223"/>
      <c r="U28" s="213"/>
      <c r="W28" s="213"/>
      <c r="X28" s="213"/>
    </row>
    <row r="29" spans="2:24" x14ac:dyDescent="0.25">
      <c r="B29" s="222"/>
      <c r="C29" s="295" t="s">
        <v>199</v>
      </c>
      <c r="D29" s="295"/>
      <c r="E29" s="296">
        <f>Links!AT91</f>
        <v>2.585866496977637</v>
      </c>
      <c r="F29" s="297" t="str">
        <f>IF(E29="","",IF(E29&lt;=$W$8,$V$8,IF(E29&lt;=$W$9,$V$9,IF(E29&lt;=$W$10,$V$10,IF(E29&lt;=$W$11,$V$11,IF(E29&lt;=$W$12,$V$12,$V$13))))))</f>
        <v>B</v>
      </c>
      <c r="G29" s="300">
        <f>Links!AT94</f>
        <v>4.5308900955325564</v>
      </c>
      <c r="H29" s="300" t="str">
        <f>IF(G29="","",IF(G29&lt;=$W$8,$V$8,IF(G29&lt;=$W$9,$V$9,IF(G29&lt;=$W$10,$V$10,IF(G29&lt;=$W$11,$V$11,IF(G29&lt;=$W$12,$V$12,$V$13))))))</f>
        <v>E</v>
      </c>
      <c r="I29" s="297">
        <f>Links!AT97</f>
        <v>2.3438381097591807</v>
      </c>
      <c r="J29" s="298" t="str">
        <f>IF(I29="","",IF(I29&lt;=$W$8,$V$8,IF(I29&lt;=$W$9,$V$9,IF(I29&lt;=$W$10,$V$10,IF(I29&lt;=$W$11,$V$11,IF(I29&lt;=$W$12,$V$12,$V$13))))))</f>
        <v>B</v>
      </c>
      <c r="K29" s="295" t="s">
        <v>199</v>
      </c>
      <c r="L29" s="300">
        <f>Intersections!CL114</f>
        <v>2.7997835742856236</v>
      </c>
      <c r="M29" s="301" t="str">
        <f>IF(L29="-","-",IF(L29&lt;=$W$8,$V$8,IF(L29&lt;=$W$9,$V$9,IF(L29&lt;=$W$10,$V$10,IF(L29&lt;=$W$11,$V$11,IF(L29&lt;=$W$12,$V$12,$V$13))))))</f>
        <v>C</v>
      </c>
      <c r="N29" s="297">
        <f>Intersections!CL117</f>
        <v>3.3533950980392153</v>
      </c>
      <c r="O29" s="299" t="str">
        <f>IF(N29="","",IF(N29&lt;=$W$8,$V$8,IF(N29&lt;=$W$9,$V$9,IF(N29&lt;=$W$10,$V$10,IF(N29&lt;=$W$11,$V$11,IF(N29&lt;=$W$12,$V$12,$V$13))))))</f>
        <v>C</v>
      </c>
      <c r="P29" s="302">
        <f>Segments!AS42</f>
        <v>2.6928250356316301</v>
      </c>
      <c r="Q29" s="303" t="str">
        <f>IF(P29="","",IF(P29&lt;=$W$8,$V$8,IF(P29&lt;=$W$9,$V$9,IF(P29&lt;=$W$10,$V$10,IF(P29&lt;=$W$11,$V$11,IF(P29&lt;=$W$12,$V$12,$V$13))))))</f>
        <v>B</v>
      </c>
      <c r="R29" s="297">
        <f>Segments!AS47</f>
        <v>3.8991643492368659</v>
      </c>
      <c r="S29" s="299" t="str">
        <f>IF(R29="","",IF(R29&lt;=$W$8,$V$8,IF(R29&lt;=$W$9,$V$9,IF(R29&lt;=$W$10,$V$10,IF(R29&lt;=$W$11,$V$11,IF(R29&lt;=$W$12,$V$12,$V$13))))))</f>
        <v>D</v>
      </c>
      <c r="T29" s="223"/>
      <c r="U29" s="213"/>
      <c r="W29" s="213"/>
      <c r="X29" s="213"/>
    </row>
    <row r="30" spans="2:24" ht="16.5" thickBot="1" x14ac:dyDescent="0.3">
      <c r="B30" s="224"/>
      <c r="C30" s="225"/>
      <c r="D30" s="225"/>
      <c r="E30" s="226"/>
      <c r="F30" s="226"/>
      <c r="G30" s="226"/>
      <c r="H30" s="226"/>
      <c r="I30" s="226"/>
      <c r="J30" s="226"/>
      <c r="K30" s="226"/>
      <c r="L30" s="226"/>
      <c r="M30" s="226"/>
      <c r="N30" s="226"/>
      <c r="O30" s="226"/>
      <c r="P30" s="226"/>
      <c r="Q30" s="226"/>
      <c r="R30" s="226"/>
      <c r="S30" s="226"/>
      <c r="T30" s="227"/>
      <c r="U30" s="213"/>
      <c r="W30" s="213"/>
      <c r="X30" s="213"/>
    </row>
    <row r="31" spans="2:24" ht="16.5" thickBot="1" x14ac:dyDescent="0.3"/>
    <row r="32" spans="2:24" x14ac:dyDescent="0.25">
      <c r="F32" s="24"/>
      <c r="G32" s="25"/>
      <c r="H32" s="25"/>
      <c r="I32" s="25"/>
      <c r="J32" s="25"/>
      <c r="K32" s="25"/>
      <c r="L32" s="26"/>
    </row>
    <row r="33" spans="6:12" x14ac:dyDescent="0.25">
      <c r="F33" s="27"/>
      <c r="G33" s="205" t="s">
        <v>71</v>
      </c>
      <c r="H33" s="203"/>
      <c r="I33" s="205" t="s">
        <v>68</v>
      </c>
      <c r="J33" s="203"/>
      <c r="K33" s="204"/>
      <c r="L33" s="28"/>
    </row>
    <row r="34" spans="6:12" x14ac:dyDescent="0.25">
      <c r="F34" s="27"/>
      <c r="G34" s="178"/>
      <c r="H34" s="179"/>
      <c r="I34" s="32" t="s">
        <v>95</v>
      </c>
      <c r="J34" s="33" t="s">
        <v>96</v>
      </c>
      <c r="K34" s="34" t="s">
        <v>201</v>
      </c>
      <c r="L34" s="28"/>
    </row>
    <row r="35" spans="6:12" ht="17.25" customHeight="1" x14ac:dyDescent="0.25">
      <c r="F35" s="27"/>
      <c r="G35" s="181" t="s">
        <v>69</v>
      </c>
      <c r="H35" s="36" t="s">
        <v>72</v>
      </c>
      <c r="I35" s="169">
        <f>Links!AU119</f>
        <v>0</v>
      </c>
      <c r="J35" s="172">
        <f>Intersections!CM142</f>
        <v>0</v>
      </c>
      <c r="K35" s="66">
        <f>I35*I47+J35*J47</f>
        <v>0</v>
      </c>
      <c r="L35" s="28"/>
    </row>
    <row r="36" spans="6:12" x14ac:dyDescent="0.25">
      <c r="F36" s="27"/>
      <c r="G36" s="181"/>
      <c r="H36" s="36" t="s">
        <v>73</v>
      </c>
      <c r="I36" s="10" t="str">
        <f>IF(I35&lt;=2,"A",IF(I35&lt;=2.75,"B",IF(I35&lt;=3.5,"C",IF(I35&lt;=4.25,"D",IF(I35&lt;=5,"E","F")))))</f>
        <v>A</v>
      </c>
      <c r="J36" s="167" t="str">
        <f>IF(J35&lt;=2,"A",IF(J35&lt;=2.75,"B",IF(J35&lt;=3.5,"C",IF(J35&lt;=4.25,"D",IF(J35&lt;=5,"E","F")))))</f>
        <v>A</v>
      </c>
      <c r="K36" s="35" t="str">
        <f>IF(K35&lt;=2,"A",IF(K35&lt;=2.75,"B",IF(K35&lt;=3.5,"C",IF(K35&lt;=4.25,"D",IF(K35&lt;=5,"E","F")))))</f>
        <v>A</v>
      </c>
      <c r="L36" s="28"/>
    </row>
    <row r="37" spans="6:12" x14ac:dyDescent="0.25">
      <c r="F37" s="27"/>
      <c r="G37" s="181" t="s">
        <v>70</v>
      </c>
      <c r="H37" s="36" t="s">
        <v>72</v>
      </c>
      <c r="I37" s="169">
        <f>Links!AU122</f>
        <v>0</v>
      </c>
      <c r="J37" s="172">
        <f>Intersections!CM145</f>
        <v>0</v>
      </c>
      <c r="K37" s="66">
        <f>I37*I48+J37*J48</f>
        <v>0</v>
      </c>
      <c r="L37" s="28"/>
    </row>
    <row r="38" spans="6:12" x14ac:dyDescent="0.25">
      <c r="F38" s="27"/>
      <c r="G38" s="181"/>
      <c r="H38" s="36" t="s">
        <v>73</v>
      </c>
      <c r="I38" s="10" t="str">
        <f>IF(I37&lt;=2,"A",IF(I37&lt;=2.75,"B",IF(I37&lt;=3.5,"C",IF(I37&lt;=4.25,"D",IF(I37&lt;=5,"E","F")))))</f>
        <v>A</v>
      </c>
      <c r="J38" s="167" t="str">
        <f>IF(J37&lt;=2,"A",IF(J37&lt;=2.75,"B",IF(J37&lt;=3.5,"C",IF(J37&lt;=4.25,"D",IF(J37&lt;=5,"E","F")))))</f>
        <v>A</v>
      </c>
      <c r="K38" s="35" t="str">
        <f>IF(K37&lt;=2,"A",IF(K37&lt;=2.75,"B",IF(K37&lt;=3.5,"C",IF(K37&lt;=4.25,"D",IF(K37&lt;=5,"E","F")))))</f>
        <v>A</v>
      </c>
      <c r="L38" s="28"/>
    </row>
    <row r="39" spans="6:12" x14ac:dyDescent="0.25">
      <c r="F39" s="27"/>
      <c r="G39" s="181" t="s">
        <v>63</v>
      </c>
      <c r="H39" s="36" t="s">
        <v>72</v>
      </c>
      <c r="I39" s="169">
        <f>Links!AU125</f>
        <v>0</v>
      </c>
      <c r="J39" s="177" t="s">
        <v>97</v>
      </c>
      <c r="K39" s="66">
        <f>I39</f>
        <v>0</v>
      </c>
      <c r="L39" s="28"/>
    </row>
    <row r="40" spans="6:12" x14ac:dyDescent="0.25">
      <c r="F40" s="27"/>
      <c r="G40" s="234"/>
      <c r="H40" s="235" t="s">
        <v>73</v>
      </c>
      <c r="I40" s="236" t="str">
        <f>IF(I39&lt;=2,"A",IF(I39&lt;=2.75,"B",IF(I39&lt;=3.5,"C",IF(I39&lt;=4.25,"D",IF(I39&lt;=5,"E","F")))))</f>
        <v>A</v>
      </c>
      <c r="J40" s="237"/>
      <c r="K40" s="238" t="str">
        <f>I40</f>
        <v>A</v>
      </c>
      <c r="L40" s="28"/>
    </row>
    <row r="41" spans="6:12" ht="16.5" thickBot="1" x14ac:dyDescent="0.3">
      <c r="F41" s="29"/>
      <c r="G41" s="30"/>
      <c r="H41" s="30"/>
      <c r="I41" s="30"/>
      <c r="J41" s="30"/>
      <c r="K41" s="30"/>
      <c r="L41" s="31"/>
    </row>
    <row r="42" spans="6:12" x14ac:dyDescent="0.25">
      <c r="F42" s="23"/>
      <c r="G42" s="23"/>
      <c r="H42" s="23"/>
      <c r="I42" s="23"/>
      <c r="J42" s="23"/>
      <c r="K42" s="23"/>
      <c r="L42" s="23"/>
    </row>
    <row r="43" spans="6:12" ht="16.5" thickBot="1" x14ac:dyDescent="0.3">
      <c r="F43" s="23"/>
      <c r="G43" s="23"/>
      <c r="H43" s="23"/>
      <c r="I43" s="23"/>
      <c r="J43" s="23"/>
      <c r="K43" s="23"/>
      <c r="L43" s="23"/>
    </row>
    <row r="44" spans="6:12" x14ac:dyDescent="0.25">
      <c r="F44" s="24"/>
      <c r="G44" s="25"/>
      <c r="H44" s="25"/>
      <c r="I44" s="25"/>
      <c r="J44" s="25"/>
      <c r="K44" s="25"/>
      <c r="L44" s="26"/>
    </row>
    <row r="45" spans="6:12" x14ac:dyDescent="0.25">
      <c r="F45" s="27"/>
      <c r="G45" s="205" t="s">
        <v>71</v>
      </c>
      <c r="H45" s="203"/>
      <c r="I45" s="205" t="s">
        <v>202</v>
      </c>
      <c r="J45" s="203"/>
      <c r="K45" s="204"/>
      <c r="L45" s="28"/>
    </row>
    <row r="46" spans="6:12" x14ac:dyDescent="0.25">
      <c r="F46" s="27"/>
      <c r="G46" s="178"/>
      <c r="H46" s="179"/>
      <c r="I46" s="32" t="s">
        <v>95</v>
      </c>
      <c r="J46" s="33" t="s">
        <v>96</v>
      </c>
      <c r="K46" s="2" t="s">
        <v>199</v>
      </c>
      <c r="L46" s="28"/>
    </row>
    <row r="47" spans="6:12" x14ac:dyDescent="0.25">
      <c r="F47" s="27"/>
      <c r="G47" s="181" t="s">
        <v>69</v>
      </c>
      <c r="H47" s="182"/>
      <c r="I47" s="103">
        <v>0.7</v>
      </c>
      <c r="J47" s="104">
        <v>0.3</v>
      </c>
      <c r="K47" s="239">
        <f>I47+J47</f>
        <v>1</v>
      </c>
      <c r="L47" s="28"/>
    </row>
    <row r="48" spans="6:12" x14ac:dyDescent="0.25">
      <c r="F48" s="27"/>
      <c r="G48" s="234" t="s">
        <v>70</v>
      </c>
      <c r="H48" s="240"/>
      <c r="I48" s="241">
        <v>0.8</v>
      </c>
      <c r="J48" s="242">
        <v>0.2</v>
      </c>
      <c r="K48" s="243">
        <f>I48+J48</f>
        <v>1</v>
      </c>
      <c r="L48" s="28"/>
    </row>
    <row r="49" spans="6:25" ht="16.5" thickBot="1" x14ac:dyDescent="0.3">
      <c r="F49" s="29"/>
      <c r="G49" s="30"/>
      <c r="H49" s="30"/>
      <c r="I49" s="30"/>
      <c r="J49" s="30"/>
      <c r="K49" s="30"/>
      <c r="L49" s="31"/>
    </row>
    <row r="50" spans="6:25" x14ac:dyDescent="0.25">
      <c r="F50" s="23"/>
      <c r="G50" s="23"/>
      <c r="H50" s="23"/>
      <c r="I50" s="23"/>
      <c r="J50" s="23"/>
      <c r="K50" s="23"/>
      <c r="L50" s="23"/>
    </row>
    <row r="51" spans="6:25" x14ac:dyDescent="0.25">
      <c r="F51" s="217" t="s">
        <v>439</v>
      </c>
      <c r="G51" s="23"/>
      <c r="H51" s="23"/>
      <c r="I51" s="23"/>
      <c r="J51" s="23"/>
      <c r="K51" s="23"/>
      <c r="L51" s="23"/>
    </row>
    <row r="52" spans="6:25" x14ac:dyDescent="0.25">
      <c r="N52" s="23"/>
    </row>
    <row r="53" spans="6:25" x14ac:dyDescent="0.25">
      <c r="V53" s="23"/>
      <c r="W53" s="23"/>
      <c r="X53" s="23"/>
      <c r="Y53" s="23"/>
    </row>
    <row r="54" spans="6:25" x14ac:dyDescent="0.25">
      <c r="N54" s="23"/>
      <c r="O54" s="23"/>
      <c r="P54" s="23"/>
      <c r="Q54" s="23"/>
      <c r="R54" s="23"/>
      <c r="S54" s="23"/>
      <c r="T54" s="23"/>
      <c r="U54" s="23"/>
      <c r="V54" s="23"/>
      <c r="W54" s="23"/>
      <c r="X54" s="23"/>
      <c r="Y54" s="23"/>
    </row>
    <row r="55" spans="6:25" x14ac:dyDescent="0.25">
      <c r="N55" s="214"/>
      <c r="O55" s="214"/>
    </row>
  </sheetData>
  <mergeCells count="21">
    <mergeCell ref="P5:S5"/>
    <mergeCell ref="G45:H46"/>
    <mergeCell ref="I45:K45"/>
    <mergeCell ref="G47:H47"/>
    <mergeCell ref="G48:H48"/>
    <mergeCell ref="G3:L3"/>
    <mergeCell ref="E5:J5"/>
    <mergeCell ref="L6:M6"/>
    <mergeCell ref="G6:H6"/>
    <mergeCell ref="K5:O5"/>
    <mergeCell ref="G33:H34"/>
    <mergeCell ref="I33:K33"/>
    <mergeCell ref="G35:G36"/>
    <mergeCell ref="G37:G38"/>
    <mergeCell ref="G39:G40"/>
    <mergeCell ref="J39:J40"/>
    <mergeCell ref="E6:F6"/>
    <mergeCell ref="N6:O6"/>
    <mergeCell ref="P6:Q6"/>
    <mergeCell ref="R6:S6"/>
    <mergeCell ref="I6:J6"/>
  </mergeCells>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2468D0-BB07-4C95-AA8C-15F183E94223}">
  <sheetPr codeName="Sheet5"/>
  <dimension ref="A1:AT65"/>
  <sheetViews>
    <sheetView topLeftCell="X15" zoomScaleNormal="100" zoomScalePageLayoutView="70" workbookViewId="0">
      <selection activeCell="AS52" sqref="AS52"/>
    </sheetView>
  </sheetViews>
  <sheetFormatPr defaultColWidth="10.875" defaultRowHeight="12.75" x14ac:dyDescent="0.25"/>
  <cols>
    <col min="1" max="2" width="3.375" style="20" customWidth="1"/>
    <col min="3" max="3" width="5.5" style="23" bestFit="1" customWidth="1"/>
    <col min="4" max="4" width="50.375" style="20" customWidth="1"/>
    <col min="5" max="5" width="9.125" style="23" bestFit="1" customWidth="1"/>
    <col min="6" max="44" width="9.875" style="23" bestFit="1" customWidth="1"/>
    <col min="45" max="45" width="9.625" style="20" customWidth="1"/>
    <col min="46" max="46" width="3.375" style="20" customWidth="1"/>
    <col min="47" max="16384" width="10.875" style="20"/>
  </cols>
  <sheetData>
    <row r="1" spans="1:46" ht="13.5" thickBot="1" x14ac:dyDescent="0.3">
      <c r="F1" s="136"/>
    </row>
    <row r="2" spans="1:46" x14ac:dyDescent="0.25">
      <c r="A2" s="20" t="s">
        <v>142</v>
      </c>
      <c r="B2" s="52"/>
      <c r="C2" s="25"/>
      <c r="D2" s="53"/>
      <c r="E2" s="25"/>
      <c r="F2" s="25"/>
      <c r="G2" s="25"/>
      <c r="H2" s="25"/>
      <c r="I2" s="25"/>
      <c r="J2" s="25"/>
      <c r="K2" s="25"/>
      <c r="L2" s="25"/>
      <c r="M2" s="25"/>
      <c r="N2" s="25"/>
      <c r="O2" s="25"/>
      <c r="P2" s="25"/>
      <c r="Q2" s="25"/>
      <c r="R2" s="25"/>
      <c r="S2" s="25"/>
      <c r="T2" s="25"/>
      <c r="U2" s="25"/>
      <c r="V2" s="25"/>
      <c r="W2" s="25"/>
      <c r="X2" s="25"/>
      <c r="Y2" s="25"/>
      <c r="Z2" s="25"/>
      <c r="AA2" s="25"/>
      <c r="AB2" s="25"/>
      <c r="AC2" s="25"/>
      <c r="AD2" s="25"/>
      <c r="AE2" s="25"/>
      <c r="AF2" s="25"/>
      <c r="AG2" s="25"/>
      <c r="AH2" s="25"/>
      <c r="AI2" s="25"/>
      <c r="AJ2" s="25"/>
      <c r="AK2" s="25"/>
      <c r="AL2" s="25"/>
      <c r="AM2" s="25"/>
      <c r="AN2" s="25"/>
      <c r="AO2" s="25"/>
      <c r="AP2" s="25"/>
      <c r="AQ2" s="25"/>
      <c r="AR2" s="25"/>
      <c r="AS2" s="53"/>
      <c r="AT2" s="54"/>
    </row>
    <row r="3" spans="1:46" ht="15.95" customHeight="1" x14ac:dyDescent="0.25">
      <c r="B3" s="55"/>
      <c r="C3" s="178" t="s">
        <v>68</v>
      </c>
      <c r="D3" s="180"/>
      <c r="E3" s="178" t="s">
        <v>540</v>
      </c>
      <c r="F3" s="180"/>
      <c r="G3" s="178" t="s">
        <v>123</v>
      </c>
      <c r="H3" s="180"/>
      <c r="I3" s="178" t="s">
        <v>124</v>
      </c>
      <c r="J3" s="180"/>
      <c r="K3" s="178" t="s">
        <v>125</v>
      </c>
      <c r="L3" s="180"/>
      <c r="M3" s="178" t="s">
        <v>126</v>
      </c>
      <c r="N3" s="180"/>
      <c r="O3" s="178" t="s">
        <v>127</v>
      </c>
      <c r="P3" s="180"/>
      <c r="Q3" s="178" t="s">
        <v>128</v>
      </c>
      <c r="R3" s="180"/>
      <c r="S3" s="178" t="s">
        <v>129</v>
      </c>
      <c r="T3" s="180"/>
      <c r="U3" s="178" t="s">
        <v>130</v>
      </c>
      <c r="V3" s="180"/>
      <c r="W3" s="178" t="s">
        <v>131</v>
      </c>
      <c r="X3" s="180"/>
      <c r="Y3" s="178" t="s">
        <v>132</v>
      </c>
      <c r="Z3" s="180"/>
      <c r="AA3" s="178" t="s">
        <v>133</v>
      </c>
      <c r="AB3" s="180"/>
      <c r="AC3" s="178" t="s">
        <v>134</v>
      </c>
      <c r="AD3" s="180"/>
      <c r="AE3" s="178" t="s">
        <v>135</v>
      </c>
      <c r="AF3" s="180"/>
      <c r="AG3" s="178" t="s">
        <v>136</v>
      </c>
      <c r="AH3" s="180"/>
      <c r="AI3" s="178" t="s">
        <v>137</v>
      </c>
      <c r="AJ3" s="180"/>
      <c r="AK3" s="178" t="s">
        <v>138</v>
      </c>
      <c r="AL3" s="180"/>
      <c r="AM3" s="178" t="s">
        <v>139</v>
      </c>
      <c r="AN3" s="180"/>
      <c r="AO3" s="178" t="s">
        <v>140</v>
      </c>
      <c r="AP3" s="180"/>
      <c r="AQ3" s="178" t="s">
        <v>141</v>
      </c>
      <c r="AR3" s="180"/>
      <c r="AS3" s="191" t="s">
        <v>199</v>
      </c>
      <c r="AT3" s="56"/>
    </row>
    <row r="4" spans="1:46" s="21" customFormat="1" ht="13.5" x14ac:dyDescent="0.25">
      <c r="B4" s="57"/>
      <c r="C4" s="178"/>
      <c r="D4" s="180"/>
      <c r="E4" s="1" t="s">
        <v>66</v>
      </c>
      <c r="F4" s="2" t="s">
        <v>67</v>
      </c>
      <c r="G4" s="1" t="s">
        <v>66</v>
      </c>
      <c r="H4" s="2" t="s">
        <v>67</v>
      </c>
      <c r="I4" s="1" t="s">
        <v>66</v>
      </c>
      <c r="J4" s="2" t="s">
        <v>67</v>
      </c>
      <c r="K4" s="1" t="s">
        <v>66</v>
      </c>
      <c r="L4" s="2" t="s">
        <v>67</v>
      </c>
      <c r="M4" s="1" t="s">
        <v>66</v>
      </c>
      <c r="N4" s="2" t="s">
        <v>67</v>
      </c>
      <c r="O4" s="1" t="s">
        <v>66</v>
      </c>
      <c r="P4" s="2" t="s">
        <v>67</v>
      </c>
      <c r="Q4" s="1" t="s">
        <v>66</v>
      </c>
      <c r="R4" s="2" t="s">
        <v>67</v>
      </c>
      <c r="S4" s="1" t="s">
        <v>66</v>
      </c>
      <c r="T4" s="2" t="s">
        <v>67</v>
      </c>
      <c r="U4" s="1" t="s">
        <v>66</v>
      </c>
      <c r="V4" s="2" t="s">
        <v>67</v>
      </c>
      <c r="W4" s="1" t="s">
        <v>66</v>
      </c>
      <c r="X4" s="2" t="s">
        <v>67</v>
      </c>
      <c r="Y4" s="1" t="s">
        <v>66</v>
      </c>
      <c r="Z4" s="2" t="s">
        <v>67</v>
      </c>
      <c r="AA4" s="1" t="s">
        <v>66</v>
      </c>
      <c r="AB4" s="2" t="s">
        <v>67</v>
      </c>
      <c r="AC4" s="1" t="s">
        <v>66</v>
      </c>
      <c r="AD4" s="2" t="s">
        <v>67</v>
      </c>
      <c r="AE4" s="1" t="s">
        <v>66</v>
      </c>
      <c r="AF4" s="2" t="s">
        <v>67</v>
      </c>
      <c r="AG4" s="1" t="s">
        <v>66</v>
      </c>
      <c r="AH4" s="2" t="s">
        <v>67</v>
      </c>
      <c r="AI4" s="1" t="s">
        <v>66</v>
      </c>
      <c r="AJ4" s="2" t="s">
        <v>67</v>
      </c>
      <c r="AK4" s="1" t="s">
        <v>66</v>
      </c>
      <c r="AL4" s="2" t="s">
        <v>67</v>
      </c>
      <c r="AM4" s="1" t="s">
        <v>66</v>
      </c>
      <c r="AN4" s="2" t="s">
        <v>67</v>
      </c>
      <c r="AO4" s="1" t="s">
        <v>66</v>
      </c>
      <c r="AP4" s="2" t="s">
        <v>67</v>
      </c>
      <c r="AQ4" s="1" t="s">
        <v>66</v>
      </c>
      <c r="AR4" s="2" t="s">
        <v>67</v>
      </c>
      <c r="AS4" s="191"/>
      <c r="AT4" s="58"/>
    </row>
    <row r="5" spans="1:46" s="21" customFormat="1" ht="15.75" customHeight="1" x14ac:dyDescent="0.25">
      <c r="B5" s="57"/>
      <c r="C5" s="258" t="s">
        <v>65</v>
      </c>
      <c r="D5" s="274"/>
      <c r="E5" s="230" t="str">
        <f>Links!F8</f>
        <v>EB</v>
      </c>
      <c r="F5" s="275" t="str">
        <f>Links!G8</f>
        <v>WB</v>
      </c>
      <c r="G5" s="230">
        <f>Links!H8</f>
        <v>0</v>
      </c>
      <c r="H5" s="275">
        <f>Links!I8</f>
        <v>0</v>
      </c>
      <c r="I5" s="230">
        <f>Links!J8</f>
        <v>0</v>
      </c>
      <c r="J5" s="275">
        <f>Links!K8</f>
        <v>0</v>
      </c>
      <c r="K5" s="230">
        <f>Links!L8</f>
        <v>0</v>
      </c>
      <c r="L5" s="275">
        <f>Links!M8</f>
        <v>0</v>
      </c>
      <c r="M5" s="230">
        <f>Links!N8</f>
        <v>0</v>
      </c>
      <c r="N5" s="275">
        <f>Links!O8</f>
        <v>0</v>
      </c>
      <c r="O5" s="230">
        <f>Links!P8</f>
        <v>0</v>
      </c>
      <c r="P5" s="275">
        <f>Links!Q8</f>
        <v>0</v>
      </c>
      <c r="Q5" s="230">
        <f>Links!R8</f>
        <v>0</v>
      </c>
      <c r="R5" s="275">
        <f>Links!S8</f>
        <v>0</v>
      </c>
      <c r="S5" s="230">
        <f>Links!T8</f>
        <v>0</v>
      </c>
      <c r="T5" s="275">
        <f>Links!U8</f>
        <v>0</v>
      </c>
      <c r="U5" s="230">
        <f>Links!V8</f>
        <v>0</v>
      </c>
      <c r="V5" s="275">
        <f>Links!W8</f>
        <v>0</v>
      </c>
      <c r="W5" s="230">
        <f>Links!X8</f>
        <v>0</v>
      </c>
      <c r="X5" s="275">
        <f>Links!Y8</f>
        <v>0</v>
      </c>
      <c r="Y5" s="230">
        <f>Links!Z8</f>
        <v>0</v>
      </c>
      <c r="Z5" s="275">
        <f>Links!AA8</f>
        <v>0</v>
      </c>
      <c r="AA5" s="230">
        <f>Links!AB8</f>
        <v>0</v>
      </c>
      <c r="AB5" s="275">
        <f>Links!AC8</f>
        <v>0</v>
      </c>
      <c r="AC5" s="230">
        <f>Links!AD8</f>
        <v>0</v>
      </c>
      <c r="AD5" s="275">
        <f>Links!AE8</f>
        <v>0</v>
      </c>
      <c r="AE5" s="230">
        <f>Links!AF8</f>
        <v>0</v>
      </c>
      <c r="AF5" s="275">
        <f>Links!AG8</f>
        <v>0</v>
      </c>
      <c r="AG5" s="230">
        <f>Links!AH8</f>
        <v>0</v>
      </c>
      <c r="AH5" s="275">
        <f>Links!AI8</f>
        <v>0</v>
      </c>
      <c r="AI5" s="230">
        <f>Links!AJ8</f>
        <v>0</v>
      </c>
      <c r="AJ5" s="275">
        <f>Links!AK8</f>
        <v>0</v>
      </c>
      <c r="AK5" s="230">
        <f>Links!AL8</f>
        <v>0</v>
      </c>
      <c r="AL5" s="275">
        <f>Links!AM8</f>
        <v>0</v>
      </c>
      <c r="AM5" s="230">
        <f>Links!AN8</f>
        <v>0</v>
      </c>
      <c r="AN5" s="275">
        <f>Links!AO8</f>
        <v>0</v>
      </c>
      <c r="AO5" s="230">
        <f>Links!AP8</f>
        <v>0</v>
      </c>
      <c r="AP5" s="275">
        <f>Links!AQ8</f>
        <v>0</v>
      </c>
      <c r="AQ5" s="230">
        <f>Links!AR8</f>
        <v>0</v>
      </c>
      <c r="AR5" s="275">
        <f>Links!AS8</f>
        <v>0</v>
      </c>
      <c r="AS5" s="50"/>
      <c r="AT5" s="58"/>
    </row>
    <row r="6" spans="1:46" s="22" customFormat="1" x14ac:dyDescent="0.25">
      <c r="B6" s="61"/>
      <c r="C6" s="178" t="s">
        <v>541</v>
      </c>
      <c r="D6" s="180"/>
      <c r="E6" s="200"/>
      <c r="F6" s="201"/>
      <c r="G6" s="178"/>
      <c r="H6" s="180"/>
      <c r="I6" s="178"/>
      <c r="J6" s="180"/>
      <c r="K6" s="178"/>
      <c r="L6" s="180"/>
      <c r="M6" s="178"/>
      <c r="N6" s="180"/>
      <c r="O6" s="178"/>
      <c r="P6" s="180"/>
      <c r="Q6" s="178"/>
      <c r="R6" s="180"/>
      <c r="S6" s="178"/>
      <c r="T6" s="180"/>
      <c r="U6" s="178"/>
      <c r="V6" s="180"/>
      <c r="W6" s="178"/>
      <c r="X6" s="180"/>
      <c r="Y6" s="178"/>
      <c r="Z6" s="180"/>
      <c r="AA6" s="178"/>
      <c r="AB6" s="180"/>
      <c r="AC6" s="178"/>
      <c r="AD6" s="180"/>
      <c r="AE6" s="178"/>
      <c r="AF6" s="180"/>
      <c r="AG6" s="178"/>
      <c r="AH6" s="180"/>
      <c r="AI6" s="178"/>
      <c r="AJ6" s="180"/>
      <c r="AK6" s="178"/>
      <c r="AL6" s="180"/>
      <c r="AM6" s="178"/>
      <c r="AN6" s="180"/>
      <c r="AO6" s="178"/>
      <c r="AP6" s="180"/>
      <c r="AQ6" s="178"/>
      <c r="AR6" s="180"/>
      <c r="AS6" s="50"/>
      <c r="AT6" s="62"/>
    </row>
    <row r="7" spans="1:46" x14ac:dyDescent="0.25">
      <c r="B7" s="55"/>
      <c r="C7" s="4"/>
      <c r="D7" s="8" t="s">
        <v>556</v>
      </c>
      <c r="E7" s="4"/>
      <c r="F7" s="5"/>
      <c r="G7" s="4"/>
      <c r="H7" s="5"/>
      <c r="I7" s="4"/>
      <c r="J7" s="5"/>
      <c r="K7" s="4"/>
      <c r="L7" s="5"/>
      <c r="M7" s="4"/>
      <c r="N7" s="5"/>
      <c r="O7" s="4"/>
      <c r="P7" s="5"/>
      <c r="Q7" s="4"/>
      <c r="R7" s="5"/>
      <c r="S7" s="4"/>
      <c r="T7" s="5"/>
      <c r="U7" s="4"/>
      <c r="V7" s="5"/>
      <c r="W7" s="4"/>
      <c r="X7" s="5"/>
      <c r="Y7" s="4"/>
      <c r="Z7" s="5"/>
      <c r="AA7" s="4"/>
      <c r="AB7" s="5"/>
      <c r="AC7" s="4"/>
      <c r="AD7" s="5"/>
      <c r="AE7" s="4"/>
      <c r="AF7" s="5"/>
      <c r="AG7" s="4"/>
      <c r="AH7" s="5"/>
      <c r="AI7" s="4"/>
      <c r="AJ7" s="5"/>
      <c r="AK7" s="4"/>
      <c r="AL7" s="5"/>
      <c r="AM7" s="4"/>
      <c r="AN7" s="5"/>
      <c r="AO7" s="4"/>
      <c r="AP7" s="5"/>
      <c r="AQ7" s="4"/>
      <c r="AR7" s="5"/>
      <c r="AS7" s="51"/>
      <c r="AT7" s="56"/>
    </row>
    <row r="8" spans="1:46" s="283" customFormat="1" x14ac:dyDescent="0.25">
      <c r="B8" s="284"/>
      <c r="C8" s="277"/>
      <c r="D8" s="285" t="s">
        <v>88</v>
      </c>
      <c r="E8" s="286">
        <f>Links!F7</f>
        <v>220</v>
      </c>
      <c r="F8" s="287"/>
      <c r="G8" s="286">
        <f>Links!AF7</f>
        <v>0</v>
      </c>
      <c r="H8" s="287"/>
      <c r="I8" s="286">
        <f>Links!J7</f>
        <v>0</v>
      </c>
      <c r="J8" s="287"/>
      <c r="K8" s="286">
        <f>Links!L7</f>
        <v>0</v>
      </c>
      <c r="L8" s="287"/>
      <c r="M8" s="286">
        <f>Links!N7</f>
        <v>0</v>
      </c>
      <c r="N8" s="287"/>
      <c r="O8" s="286">
        <f>Links!P7</f>
        <v>0</v>
      </c>
      <c r="P8" s="287"/>
      <c r="Q8" s="286">
        <f>Links!R7</f>
        <v>0</v>
      </c>
      <c r="R8" s="287"/>
      <c r="S8" s="286">
        <f>Links!T7</f>
        <v>0</v>
      </c>
      <c r="T8" s="287"/>
      <c r="U8" s="286">
        <f>Links!V7</f>
        <v>0</v>
      </c>
      <c r="V8" s="287"/>
      <c r="W8" s="286">
        <f>Links!X7</f>
        <v>0</v>
      </c>
      <c r="X8" s="287"/>
      <c r="Y8" s="286">
        <f>Links!Z7</f>
        <v>0</v>
      </c>
      <c r="Z8" s="287"/>
      <c r="AA8" s="286">
        <f>Links!AB7</f>
        <v>0</v>
      </c>
      <c r="AB8" s="287"/>
      <c r="AC8" s="286">
        <f>Links!AD7</f>
        <v>0</v>
      </c>
      <c r="AD8" s="287"/>
      <c r="AE8" s="286">
        <f>Links!AF7</f>
        <v>0</v>
      </c>
      <c r="AF8" s="287"/>
      <c r="AG8" s="286">
        <f>Links!AH7</f>
        <v>0</v>
      </c>
      <c r="AH8" s="287"/>
      <c r="AI8" s="286">
        <f>Links!AJ7</f>
        <v>0</v>
      </c>
      <c r="AJ8" s="287"/>
      <c r="AK8" s="286">
        <f>Links!AL7</f>
        <v>0</v>
      </c>
      <c r="AL8" s="287"/>
      <c r="AM8" s="286">
        <f>Links!AN7</f>
        <v>0</v>
      </c>
      <c r="AN8" s="287"/>
      <c r="AO8" s="286">
        <f>Links!AP7</f>
        <v>0</v>
      </c>
      <c r="AP8" s="287"/>
      <c r="AQ8" s="286">
        <f>Links!AR7</f>
        <v>0</v>
      </c>
      <c r="AR8" s="287"/>
      <c r="AS8" s="288"/>
      <c r="AT8" s="289"/>
    </row>
    <row r="9" spans="1:46" s="283" customFormat="1" x14ac:dyDescent="0.25">
      <c r="B9" s="284"/>
      <c r="C9" s="277"/>
      <c r="D9" s="93" t="s">
        <v>177</v>
      </c>
      <c r="E9" s="194">
        <f>Intersections!F68</f>
        <v>1048</v>
      </c>
      <c r="F9" s="287"/>
      <c r="G9" s="194">
        <f>Intersections!J68</f>
        <v>40</v>
      </c>
      <c r="H9" s="287"/>
      <c r="I9" s="194">
        <f>Intersections!N68</f>
        <v>0</v>
      </c>
      <c r="J9" s="287"/>
      <c r="K9" s="194">
        <f>Intersections!R68</f>
        <v>0</v>
      </c>
      <c r="L9" s="287"/>
      <c r="M9" s="194">
        <f>Intersections!V68</f>
        <v>0</v>
      </c>
      <c r="N9" s="287"/>
      <c r="O9" s="194">
        <f>Intersections!Z68</f>
        <v>0</v>
      </c>
      <c r="P9" s="287"/>
      <c r="Q9" s="194">
        <f>Intersections!AD68</f>
        <v>0</v>
      </c>
      <c r="R9" s="287"/>
      <c r="S9" s="194">
        <f>Intersections!AH68</f>
        <v>0</v>
      </c>
      <c r="T9" s="287"/>
      <c r="U9" s="194">
        <f>Intersections!AL68</f>
        <v>0</v>
      </c>
      <c r="V9" s="287"/>
      <c r="W9" s="194">
        <f>Intersections!AP68</f>
        <v>0</v>
      </c>
      <c r="X9" s="287"/>
      <c r="Y9" s="194">
        <f>Intersections!AT68</f>
        <v>0</v>
      </c>
      <c r="Z9" s="287"/>
      <c r="AA9" s="194">
        <f>Intersections!AX68</f>
        <v>0</v>
      </c>
      <c r="AB9" s="287"/>
      <c r="AC9" s="194">
        <f>Intersections!BB68</f>
        <v>0</v>
      </c>
      <c r="AD9" s="287"/>
      <c r="AE9" s="194">
        <f>Intersections!BF68</f>
        <v>0</v>
      </c>
      <c r="AF9" s="287"/>
      <c r="AG9" s="194">
        <f>Intersections!BJ68</f>
        <v>0</v>
      </c>
      <c r="AH9" s="287"/>
      <c r="AI9" s="194">
        <f>Intersections!BN68</f>
        <v>0</v>
      </c>
      <c r="AJ9" s="287"/>
      <c r="AK9" s="194">
        <f>Intersections!BR68</f>
        <v>0</v>
      </c>
      <c r="AL9" s="287"/>
      <c r="AM9" s="194">
        <f>Intersections!BV68</f>
        <v>0</v>
      </c>
      <c r="AN9" s="287"/>
      <c r="AO9" s="194">
        <f>Intersections!BZ68</f>
        <v>0</v>
      </c>
      <c r="AP9" s="287"/>
      <c r="AQ9" s="194">
        <f>Intersections!CD68</f>
        <v>0</v>
      </c>
      <c r="AR9" s="287"/>
      <c r="AS9" s="288"/>
      <c r="AT9" s="289"/>
    </row>
    <row r="10" spans="1:46" s="283" customFormat="1" x14ac:dyDescent="0.25">
      <c r="B10" s="284"/>
      <c r="C10" s="277"/>
      <c r="D10" s="285" t="s">
        <v>65</v>
      </c>
      <c r="E10" s="277" t="str">
        <f>Links!F8</f>
        <v>EB</v>
      </c>
      <c r="F10" s="278" t="str">
        <f>Links!G8</f>
        <v>WB</v>
      </c>
      <c r="G10" s="277">
        <f>Links!H8</f>
        <v>0</v>
      </c>
      <c r="H10" s="278">
        <f>Links!I8</f>
        <v>0</v>
      </c>
      <c r="I10" s="277">
        <f>Links!J8</f>
        <v>0</v>
      </c>
      <c r="J10" s="278">
        <f>Links!K8</f>
        <v>0</v>
      </c>
      <c r="K10" s="277">
        <f>Links!L8</f>
        <v>0</v>
      </c>
      <c r="L10" s="278">
        <f>Links!M8</f>
        <v>0</v>
      </c>
      <c r="M10" s="277">
        <f>Links!N8</f>
        <v>0</v>
      </c>
      <c r="N10" s="278">
        <f>Links!O8</f>
        <v>0</v>
      </c>
      <c r="O10" s="277">
        <f>Links!P8</f>
        <v>0</v>
      </c>
      <c r="P10" s="278">
        <f>Links!Q8</f>
        <v>0</v>
      </c>
      <c r="Q10" s="277">
        <f>Links!R8</f>
        <v>0</v>
      </c>
      <c r="R10" s="278">
        <f>Links!S8</f>
        <v>0</v>
      </c>
      <c r="S10" s="277">
        <f>Links!T8</f>
        <v>0</v>
      </c>
      <c r="T10" s="278">
        <f>Links!U8</f>
        <v>0</v>
      </c>
      <c r="U10" s="277">
        <f>Links!V8</f>
        <v>0</v>
      </c>
      <c r="V10" s="278">
        <f>Links!W8</f>
        <v>0</v>
      </c>
      <c r="W10" s="277">
        <f>Links!X8</f>
        <v>0</v>
      </c>
      <c r="X10" s="278">
        <f>Links!Y8</f>
        <v>0</v>
      </c>
      <c r="Y10" s="277">
        <f>Links!Z8</f>
        <v>0</v>
      </c>
      <c r="Z10" s="278">
        <f>Links!AA8</f>
        <v>0</v>
      </c>
      <c r="AA10" s="277">
        <f>Links!AB8</f>
        <v>0</v>
      </c>
      <c r="AB10" s="278">
        <f>Links!AC8</f>
        <v>0</v>
      </c>
      <c r="AC10" s="277">
        <f>Links!AD8</f>
        <v>0</v>
      </c>
      <c r="AD10" s="278">
        <f>Links!AE8</f>
        <v>0</v>
      </c>
      <c r="AE10" s="277">
        <f>Links!AF8</f>
        <v>0</v>
      </c>
      <c r="AF10" s="278">
        <f>Links!AG8</f>
        <v>0</v>
      </c>
      <c r="AG10" s="277">
        <f>Links!AH8</f>
        <v>0</v>
      </c>
      <c r="AH10" s="278">
        <f>Links!AI8</f>
        <v>0</v>
      </c>
      <c r="AI10" s="277">
        <f>Links!AJ8</f>
        <v>0</v>
      </c>
      <c r="AJ10" s="278">
        <f>Links!AK8</f>
        <v>0</v>
      </c>
      <c r="AK10" s="277">
        <f>Links!AL8</f>
        <v>0</v>
      </c>
      <c r="AL10" s="278">
        <f>Links!AM8</f>
        <v>0</v>
      </c>
      <c r="AM10" s="277">
        <f>Links!AN8</f>
        <v>0</v>
      </c>
      <c r="AN10" s="278">
        <f>Links!AO8</f>
        <v>0</v>
      </c>
      <c r="AO10" s="277">
        <f>Links!AP8</f>
        <v>0</v>
      </c>
      <c r="AP10" s="278">
        <f>Links!AQ8</f>
        <v>0</v>
      </c>
      <c r="AQ10" s="277">
        <f>Links!AR8</f>
        <v>0</v>
      </c>
      <c r="AR10" s="278">
        <f>Links!AS8</f>
        <v>0</v>
      </c>
      <c r="AS10" s="288"/>
      <c r="AT10" s="289"/>
    </row>
    <row r="11" spans="1:46" s="290" customFormat="1" ht="14.25" x14ac:dyDescent="0.25">
      <c r="B11" s="291"/>
      <c r="C11" s="292" t="s">
        <v>483</v>
      </c>
      <c r="D11" s="285" t="s">
        <v>484</v>
      </c>
      <c r="E11" s="277">
        <f>Links!F25</f>
        <v>0.35</v>
      </c>
      <c r="F11" s="278">
        <f>Links!G25</f>
        <v>0.35</v>
      </c>
      <c r="G11" s="169">
        <f>Links!H25</f>
        <v>0</v>
      </c>
      <c r="H11" s="278">
        <f>Links!I25</f>
        <v>0</v>
      </c>
      <c r="I11" s="277">
        <f>Links!J25</f>
        <v>0</v>
      </c>
      <c r="J11" s="278">
        <f>Links!K25</f>
        <v>0</v>
      </c>
      <c r="K11" s="277">
        <f>Links!L25</f>
        <v>0</v>
      </c>
      <c r="L11" s="278">
        <f>Links!M25</f>
        <v>0</v>
      </c>
      <c r="M11" s="277">
        <f>Links!N25</f>
        <v>0</v>
      </c>
      <c r="N11" s="278">
        <f>Links!O25</f>
        <v>0</v>
      </c>
      <c r="O11" s="277">
        <f>Links!P25</f>
        <v>0</v>
      </c>
      <c r="P11" s="278">
        <f>Links!Q25</f>
        <v>0</v>
      </c>
      <c r="Q11" s="277">
        <f>Links!R25</f>
        <v>0</v>
      </c>
      <c r="R11" s="278">
        <f>Links!S25</f>
        <v>0</v>
      </c>
      <c r="S11" s="277">
        <f>Links!T25</f>
        <v>0</v>
      </c>
      <c r="T11" s="278">
        <f>Links!U25</f>
        <v>0</v>
      </c>
      <c r="U11" s="277">
        <f>Links!V25</f>
        <v>0</v>
      </c>
      <c r="V11" s="278">
        <f>Links!W25</f>
        <v>0</v>
      </c>
      <c r="W11" s="277">
        <f>Links!X25</f>
        <v>0</v>
      </c>
      <c r="X11" s="278">
        <f>Links!Y25</f>
        <v>0</v>
      </c>
      <c r="Y11" s="277">
        <f>Links!Z25</f>
        <v>0</v>
      </c>
      <c r="Z11" s="278">
        <f>Links!AA25</f>
        <v>0</v>
      </c>
      <c r="AA11" s="277">
        <f>Links!AB25</f>
        <v>0</v>
      </c>
      <c r="AB11" s="278">
        <f>Links!AC25</f>
        <v>0</v>
      </c>
      <c r="AC11" s="277">
        <f>Links!AD25</f>
        <v>0</v>
      </c>
      <c r="AD11" s="278">
        <f>Links!AE25</f>
        <v>0</v>
      </c>
      <c r="AE11" s="277">
        <f>Links!AF25</f>
        <v>0</v>
      </c>
      <c r="AF11" s="278">
        <f>Links!AG25</f>
        <v>0</v>
      </c>
      <c r="AG11" s="277">
        <f>Links!AH25</f>
        <v>0</v>
      </c>
      <c r="AH11" s="278">
        <f>Links!AI25</f>
        <v>0</v>
      </c>
      <c r="AI11" s="277">
        <f>Links!AJ25</f>
        <v>0</v>
      </c>
      <c r="AJ11" s="278">
        <f>Links!AK25</f>
        <v>0</v>
      </c>
      <c r="AK11" s="277">
        <f>Links!AL25</f>
        <v>0</v>
      </c>
      <c r="AL11" s="278">
        <f>Links!AM25</f>
        <v>0</v>
      </c>
      <c r="AM11" s="277">
        <f>Links!AN25</f>
        <v>0</v>
      </c>
      <c r="AN11" s="278">
        <f>Links!AO25</f>
        <v>0</v>
      </c>
      <c r="AO11" s="277">
        <f>Links!AP25</f>
        <v>0</v>
      </c>
      <c r="AP11" s="278">
        <f>Links!AQ25</f>
        <v>0</v>
      </c>
      <c r="AQ11" s="277">
        <f>Links!AR25</f>
        <v>0</v>
      </c>
      <c r="AR11" s="278">
        <f>Links!AS25</f>
        <v>0</v>
      </c>
      <c r="AS11" s="293"/>
      <c r="AT11" s="294"/>
    </row>
    <row r="12" spans="1:46" s="290" customFormat="1" ht="14.25" x14ac:dyDescent="0.25">
      <c r="B12" s="291"/>
      <c r="C12" s="277" t="s">
        <v>324</v>
      </c>
      <c r="D12" s="285" t="s">
        <v>492</v>
      </c>
      <c r="E12" s="277">
        <f>Links!F14</f>
        <v>3.3</v>
      </c>
      <c r="F12" s="278">
        <f>Links!G14</f>
        <v>3.3</v>
      </c>
      <c r="G12" s="277">
        <f>Links!H14</f>
        <v>0</v>
      </c>
      <c r="H12" s="278">
        <f>Links!I14</f>
        <v>0</v>
      </c>
      <c r="I12" s="277">
        <f>Links!J14</f>
        <v>0</v>
      </c>
      <c r="J12" s="278">
        <f>Links!K14</f>
        <v>0</v>
      </c>
      <c r="K12" s="277">
        <f>Links!L14</f>
        <v>0</v>
      </c>
      <c r="L12" s="278">
        <f>Links!M14</f>
        <v>0</v>
      </c>
      <c r="M12" s="277">
        <f>Links!N14</f>
        <v>0</v>
      </c>
      <c r="N12" s="278">
        <f>Links!O14</f>
        <v>0</v>
      </c>
      <c r="O12" s="277">
        <f>Links!P14</f>
        <v>0</v>
      </c>
      <c r="P12" s="278">
        <f>Links!Q14</f>
        <v>0</v>
      </c>
      <c r="Q12" s="277">
        <f>Links!R14</f>
        <v>0</v>
      </c>
      <c r="R12" s="278">
        <f>Links!S14</f>
        <v>0</v>
      </c>
      <c r="S12" s="277">
        <f>Links!T14</f>
        <v>0</v>
      </c>
      <c r="T12" s="278">
        <f>Links!U14</f>
        <v>0</v>
      </c>
      <c r="U12" s="277">
        <f>Links!V14</f>
        <v>0</v>
      </c>
      <c r="V12" s="278">
        <f>Links!W14</f>
        <v>0</v>
      </c>
      <c r="W12" s="277">
        <f>Links!X14</f>
        <v>0</v>
      </c>
      <c r="X12" s="278">
        <f>Links!Y14</f>
        <v>0</v>
      </c>
      <c r="Y12" s="277">
        <f>Links!Z14</f>
        <v>0</v>
      </c>
      <c r="Z12" s="278">
        <f>Links!AA14</f>
        <v>0</v>
      </c>
      <c r="AA12" s="277">
        <f>Links!AB14</f>
        <v>0</v>
      </c>
      <c r="AB12" s="278">
        <f>Links!AC14</f>
        <v>0</v>
      </c>
      <c r="AC12" s="277">
        <f>Links!AD14</f>
        <v>0</v>
      </c>
      <c r="AD12" s="278">
        <f>Links!AE14</f>
        <v>0</v>
      </c>
      <c r="AE12" s="277">
        <f>Links!AF14</f>
        <v>0</v>
      </c>
      <c r="AF12" s="278">
        <f>Links!AG14</f>
        <v>0</v>
      </c>
      <c r="AG12" s="277">
        <f>Links!AH14</f>
        <v>0</v>
      </c>
      <c r="AH12" s="278">
        <f>Links!AI14</f>
        <v>0</v>
      </c>
      <c r="AI12" s="277">
        <f>Links!AJ14</f>
        <v>0</v>
      </c>
      <c r="AJ12" s="278">
        <f>Links!AK14</f>
        <v>0</v>
      </c>
      <c r="AK12" s="277">
        <f>Links!AL14</f>
        <v>0</v>
      </c>
      <c r="AL12" s="278">
        <f>Links!AM14</f>
        <v>0</v>
      </c>
      <c r="AM12" s="277">
        <f>Links!AN14</f>
        <v>0</v>
      </c>
      <c r="AN12" s="278">
        <f>Links!AO14</f>
        <v>0</v>
      </c>
      <c r="AO12" s="277">
        <f>Links!AP14</f>
        <v>0</v>
      </c>
      <c r="AP12" s="278">
        <f>Links!AQ14</f>
        <v>0</v>
      </c>
      <c r="AQ12" s="277">
        <f>Links!AR14</f>
        <v>0</v>
      </c>
      <c r="AR12" s="278">
        <f>Links!AS14</f>
        <v>0</v>
      </c>
      <c r="AS12" s="293"/>
      <c r="AT12" s="294"/>
    </row>
    <row r="13" spans="1:46" s="290" customFormat="1" ht="14.25" x14ac:dyDescent="0.25">
      <c r="B13" s="291"/>
      <c r="C13" s="277" t="s">
        <v>451</v>
      </c>
      <c r="D13" s="285" t="s">
        <v>482</v>
      </c>
      <c r="E13" s="277">
        <f>Links!F15</f>
        <v>10</v>
      </c>
      <c r="F13" s="278">
        <f>Links!G15</f>
        <v>10</v>
      </c>
      <c r="G13" s="277">
        <f>Links!H15</f>
        <v>0</v>
      </c>
      <c r="H13" s="278">
        <f>Links!I15</f>
        <v>0</v>
      </c>
      <c r="I13" s="277">
        <f>Links!J15</f>
        <v>0</v>
      </c>
      <c r="J13" s="278">
        <f>Links!K15</f>
        <v>0</v>
      </c>
      <c r="K13" s="277">
        <f>Links!L15</f>
        <v>0</v>
      </c>
      <c r="L13" s="278">
        <f>Links!M15</f>
        <v>0</v>
      </c>
      <c r="M13" s="277">
        <f>Links!N15</f>
        <v>0</v>
      </c>
      <c r="N13" s="278">
        <f>Links!O15</f>
        <v>0</v>
      </c>
      <c r="O13" s="277">
        <f>Links!P15</f>
        <v>0</v>
      </c>
      <c r="P13" s="278">
        <f>Links!Q15</f>
        <v>0</v>
      </c>
      <c r="Q13" s="277">
        <f>Links!R15</f>
        <v>0</v>
      </c>
      <c r="R13" s="278">
        <f>Links!S15</f>
        <v>0</v>
      </c>
      <c r="S13" s="277">
        <f>Links!T15</f>
        <v>0</v>
      </c>
      <c r="T13" s="278">
        <f>Links!U15</f>
        <v>0</v>
      </c>
      <c r="U13" s="277">
        <f>Links!V15</f>
        <v>0</v>
      </c>
      <c r="V13" s="278">
        <f>Links!W15</f>
        <v>0</v>
      </c>
      <c r="W13" s="277">
        <f>Links!X15</f>
        <v>0</v>
      </c>
      <c r="X13" s="278">
        <f>Links!Y15</f>
        <v>0</v>
      </c>
      <c r="Y13" s="277">
        <f>Links!Z15</f>
        <v>0</v>
      </c>
      <c r="Z13" s="278">
        <f>Links!AA15</f>
        <v>0</v>
      </c>
      <c r="AA13" s="277">
        <f>Links!AB15</f>
        <v>0</v>
      </c>
      <c r="AB13" s="278">
        <f>Links!AC15</f>
        <v>0</v>
      </c>
      <c r="AC13" s="277">
        <f>Links!AD15</f>
        <v>0</v>
      </c>
      <c r="AD13" s="278">
        <f>Links!AE15</f>
        <v>0</v>
      </c>
      <c r="AE13" s="277">
        <f>Links!AF15</f>
        <v>0</v>
      </c>
      <c r="AF13" s="278">
        <f>Links!AG15</f>
        <v>0</v>
      </c>
      <c r="AG13" s="277">
        <f>Links!AH15</f>
        <v>0</v>
      </c>
      <c r="AH13" s="278">
        <f>Links!AI15</f>
        <v>0</v>
      </c>
      <c r="AI13" s="277">
        <f>Links!AJ15</f>
        <v>0</v>
      </c>
      <c r="AJ13" s="278">
        <f>Links!AK15</f>
        <v>0</v>
      </c>
      <c r="AK13" s="277">
        <f>Links!AL15</f>
        <v>0</v>
      </c>
      <c r="AL13" s="278">
        <f>Links!AM15</f>
        <v>0</v>
      </c>
      <c r="AM13" s="277">
        <f>Links!AN15</f>
        <v>0</v>
      </c>
      <c r="AN13" s="278">
        <f>Links!AO15</f>
        <v>0</v>
      </c>
      <c r="AO13" s="277">
        <f>Links!AP15</f>
        <v>0</v>
      </c>
      <c r="AP13" s="278">
        <f>Links!AQ15</f>
        <v>0</v>
      </c>
      <c r="AQ13" s="277">
        <f>Links!AR15</f>
        <v>0</v>
      </c>
      <c r="AR13" s="278">
        <f>Links!AS15</f>
        <v>0</v>
      </c>
      <c r="AS13" s="293"/>
      <c r="AT13" s="294"/>
    </row>
    <row r="14" spans="1:46" ht="15.75" x14ac:dyDescent="0.25">
      <c r="B14" s="55"/>
      <c r="C14" s="4"/>
      <c r="D14" s="8" t="s">
        <v>204</v>
      </c>
      <c r="E14" s="4"/>
      <c r="F14" s="5"/>
      <c r="G14" s="4"/>
      <c r="H14" s="5"/>
      <c r="I14" s="4"/>
      <c r="J14" s="5"/>
      <c r="K14" s="4"/>
      <c r="L14" s="5"/>
      <c r="M14" s="4"/>
      <c r="N14" s="5"/>
      <c r="O14" s="4"/>
      <c r="P14" s="5"/>
      <c r="Q14" s="4"/>
      <c r="R14" s="5"/>
      <c r="S14" s="4"/>
      <c r="T14" s="5"/>
      <c r="U14" s="4"/>
      <c r="V14" s="5"/>
      <c r="W14" s="4"/>
      <c r="X14" s="5"/>
      <c r="Y14" s="4"/>
      <c r="Z14" s="5"/>
      <c r="AA14" s="4"/>
      <c r="AB14" s="5"/>
      <c r="AC14" s="4"/>
      <c r="AD14" s="5"/>
      <c r="AE14" s="4"/>
      <c r="AF14" s="5"/>
      <c r="AG14" s="4"/>
      <c r="AH14" s="5"/>
      <c r="AI14" s="4"/>
      <c r="AJ14" s="5"/>
      <c r="AK14" s="4"/>
      <c r="AL14" s="5"/>
      <c r="AM14" s="4"/>
      <c r="AN14" s="5"/>
      <c r="AO14" s="4"/>
      <c r="AP14" s="5"/>
      <c r="AQ14" s="4"/>
      <c r="AR14" s="5"/>
      <c r="AS14" s="51"/>
      <c r="AT14" s="56"/>
    </row>
    <row r="15" spans="1:46" ht="14.25" x14ac:dyDescent="0.25">
      <c r="B15" s="55"/>
      <c r="C15" s="10" t="s">
        <v>542</v>
      </c>
      <c r="D15" s="11" t="s">
        <v>543</v>
      </c>
      <c r="E15" s="169">
        <f>Links!F56</f>
        <v>30.084263157894739</v>
      </c>
      <c r="F15" s="170">
        <f>Links!G56</f>
        <v>30.084263157894739</v>
      </c>
      <c r="G15" s="169">
        <f>Links!H56</f>
        <v>0</v>
      </c>
      <c r="H15" s="170">
        <f>Links!I56</f>
        <v>0</v>
      </c>
      <c r="I15" s="169">
        <f>Links!J56</f>
        <v>0</v>
      </c>
      <c r="J15" s="170">
        <f>Links!K56</f>
        <v>0</v>
      </c>
      <c r="K15" s="169">
        <f>Links!L56</f>
        <v>0</v>
      </c>
      <c r="L15" s="170">
        <f>Links!M56</f>
        <v>0</v>
      </c>
      <c r="M15" s="169">
        <f>Links!N56</f>
        <v>0</v>
      </c>
      <c r="N15" s="170">
        <f>Links!O56</f>
        <v>0</v>
      </c>
      <c r="O15" s="169">
        <f>Links!P56</f>
        <v>0</v>
      </c>
      <c r="P15" s="170">
        <f>Links!Q56</f>
        <v>0</v>
      </c>
      <c r="Q15" s="169">
        <f>Links!R56</f>
        <v>0</v>
      </c>
      <c r="R15" s="170">
        <f>Links!S56</f>
        <v>0</v>
      </c>
      <c r="S15" s="169">
        <f>Links!T56</f>
        <v>0</v>
      </c>
      <c r="T15" s="170">
        <f>Links!U56</f>
        <v>0</v>
      </c>
      <c r="U15" s="169">
        <f>Links!V56</f>
        <v>0</v>
      </c>
      <c r="V15" s="170">
        <f>Links!W56</f>
        <v>0</v>
      </c>
      <c r="W15" s="169">
        <f>Links!X56</f>
        <v>0</v>
      </c>
      <c r="X15" s="170">
        <f>Links!Y56</f>
        <v>0</v>
      </c>
      <c r="Y15" s="169">
        <f>Links!Z56</f>
        <v>0</v>
      </c>
      <c r="Z15" s="170">
        <f>Links!AA56</f>
        <v>0</v>
      </c>
      <c r="AA15" s="169">
        <f>Links!AB56</f>
        <v>0</v>
      </c>
      <c r="AB15" s="170">
        <f>Links!AC56</f>
        <v>0</v>
      </c>
      <c r="AC15" s="169">
        <f>Links!AD56</f>
        <v>0</v>
      </c>
      <c r="AD15" s="170">
        <f>Links!AE56</f>
        <v>0</v>
      </c>
      <c r="AE15" s="169">
        <f>Links!AF56</f>
        <v>0</v>
      </c>
      <c r="AF15" s="170">
        <f>Links!AG56</f>
        <v>0</v>
      </c>
      <c r="AG15" s="169">
        <f>Links!AH56</f>
        <v>0</v>
      </c>
      <c r="AH15" s="170">
        <f>Links!AI56</f>
        <v>0</v>
      </c>
      <c r="AI15" s="169">
        <f>Links!AJ56</f>
        <v>0</v>
      </c>
      <c r="AJ15" s="170">
        <f>Links!AK56</f>
        <v>0</v>
      </c>
      <c r="AK15" s="169">
        <f>Links!AL56</f>
        <v>0</v>
      </c>
      <c r="AL15" s="170">
        <f>Links!AM56</f>
        <v>0</v>
      </c>
      <c r="AM15" s="169">
        <f>Links!AN56</f>
        <v>0</v>
      </c>
      <c r="AN15" s="170">
        <f>Links!AO56</f>
        <v>0</v>
      </c>
      <c r="AO15" s="169">
        <f>Links!AP56</f>
        <v>0</v>
      </c>
      <c r="AP15" s="170">
        <f>Links!AQ56</f>
        <v>0</v>
      </c>
      <c r="AQ15" s="169">
        <f>Links!AR56</f>
        <v>0</v>
      </c>
      <c r="AR15" s="170">
        <f>Links!AS56</f>
        <v>0</v>
      </c>
      <c r="AS15" s="51"/>
      <c r="AT15" s="56"/>
    </row>
    <row r="16" spans="1:46" x14ac:dyDescent="0.25">
      <c r="B16" s="55"/>
      <c r="C16" s="10" t="s">
        <v>97</v>
      </c>
      <c r="D16" s="11" t="s">
        <v>557</v>
      </c>
      <c r="E16" s="169" t="str">
        <f>IF(E10="EB","S",IF(E10="WB","N",IF(E10="NB","E",IF(E10="SB","W","-"))))</f>
        <v>S</v>
      </c>
      <c r="F16" s="170" t="str">
        <f>IF(F10="EB","S",IF(F10="WB","N",IF(F10="NB","E",IF(F10="SB","W","-"))))</f>
        <v>N</v>
      </c>
      <c r="G16" s="169" t="str">
        <f>IF(G10="EB","S",IF(G10="WB","N",IF(G10="NB","E",IF(G10="SB","W","-"))))</f>
        <v>-</v>
      </c>
      <c r="H16" s="170" t="str">
        <f>IF(H10="EB","S",IF(H10="WB","N",IF(H10="NB","E",IF(H10="SB","W","-"))))</f>
        <v>-</v>
      </c>
      <c r="I16" s="169" t="str">
        <f>IF(I10="EB","S",IF(I10="WB","N",IF(I10="NB","E",IF(I10="SB","W","-"))))</f>
        <v>-</v>
      </c>
      <c r="J16" s="170" t="str">
        <f>IF(J10="EB","S",IF(J10="WB","N",IF(J10="NB","E",IF(J10="SB","W","-"))))</f>
        <v>-</v>
      </c>
      <c r="K16" s="169" t="str">
        <f>IF(K10="EB","S",IF(K10="WB","N",IF(K10="NB","E",IF(K10="SB","W","-"))))</f>
        <v>-</v>
      </c>
      <c r="L16" s="170" t="str">
        <f>IF(L10="EB","S",IF(L10="WB","N",IF(L10="NB","E",IF(L10="SB","W","-"))))</f>
        <v>-</v>
      </c>
      <c r="M16" s="169" t="str">
        <f>IF(M10="EB","S",IF(M10="WB","N",IF(M10="NB","E",IF(M10="SB","W","-"))))</f>
        <v>-</v>
      </c>
      <c r="N16" s="170" t="str">
        <f>IF(N10="EB","S",IF(N10="WB","N",IF(N10="NB","E",IF(N10="SB","W","-"))))</f>
        <v>-</v>
      </c>
      <c r="O16" s="169" t="str">
        <f>IF(O10="EB","S",IF(O10="WB","N",IF(O10="NB","E",IF(O10="SB","W","-"))))</f>
        <v>-</v>
      </c>
      <c r="P16" s="170" t="str">
        <f>IF(P10="EB","S",IF(P10="WB","N",IF(P10="NB","E",IF(P10="SB","W","-"))))</f>
        <v>-</v>
      </c>
      <c r="Q16" s="169" t="str">
        <f>IF(Q10="EB","S",IF(Q10="WB","N",IF(Q10="NB","E",IF(Q10="SB","W","-"))))</f>
        <v>-</v>
      </c>
      <c r="R16" s="170" t="str">
        <f>IF(R10="EB","S",IF(R10="WB","N",IF(R10="NB","E",IF(R10="SB","W","-"))))</f>
        <v>-</v>
      </c>
      <c r="S16" s="169" t="str">
        <f>IF(S10="EB","S",IF(S10="WB","N",IF(S10="NB","E",IF(S10="SB","W","-"))))</f>
        <v>-</v>
      </c>
      <c r="T16" s="170" t="str">
        <f>IF(T10="EB","S",IF(T10="WB","N",IF(T10="NB","E",IF(T10="SB","W","-"))))</f>
        <v>-</v>
      </c>
      <c r="U16" s="169" t="str">
        <f>IF(U10="EB","S",IF(U10="WB","N",IF(U10="NB","E",IF(U10="SB","W","-"))))</f>
        <v>-</v>
      </c>
      <c r="V16" s="170" t="str">
        <f>IF(V10="EB","S",IF(V10="WB","N",IF(V10="NB","E",IF(V10="SB","W","-"))))</f>
        <v>-</v>
      </c>
      <c r="W16" s="169" t="str">
        <f>IF(W10="EB","S",IF(W10="WB","N",IF(W10="NB","E",IF(W10="SB","W","-"))))</f>
        <v>-</v>
      </c>
      <c r="X16" s="170" t="str">
        <f>IF(X10="EB","S",IF(X10="WB","N",IF(X10="NB","E",IF(X10="SB","W","-"))))</f>
        <v>-</v>
      </c>
      <c r="Y16" s="169" t="str">
        <f>IF(Y10="EB","S",IF(Y10="WB","N",IF(Y10="NB","E",IF(Y10="SB","W","-"))))</f>
        <v>-</v>
      </c>
      <c r="Z16" s="170" t="str">
        <f>IF(Z10="EB","S",IF(Z10="WB","N",IF(Z10="NB","E",IF(Z10="SB","W","-"))))</f>
        <v>-</v>
      </c>
      <c r="AA16" s="169" t="str">
        <f>IF(AA10="EB","S",IF(AA10="WB","N",IF(AA10="NB","E",IF(AA10="SB","W","-"))))</f>
        <v>-</v>
      </c>
      <c r="AB16" s="170" t="str">
        <f>IF(AB10="EB","S",IF(AB10="WB","N",IF(AB10="NB","E",IF(AB10="SB","W","-"))))</f>
        <v>-</v>
      </c>
      <c r="AC16" s="169" t="str">
        <f>IF(AC10="EB","S",IF(AC10="WB","N",IF(AC10="NB","E",IF(AC10="SB","W","-"))))</f>
        <v>-</v>
      </c>
      <c r="AD16" s="170" t="str">
        <f>IF(AD10="EB","S",IF(AD10="WB","N",IF(AD10="NB","E",IF(AD10="SB","W","-"))))</f>
        <v>-</v>
      </c>
      <c r="AE16" s="169" t="str">
        <f>IF(AE10="EB","S",IF(AE10="WB","N",IF(AE10="NB","E",IF(AE10="SB","W","-"))))</f>
        <v>-</v>
      </c>
      <c r="AF16" s="170" t="str">
        <f>IF(AF10="EB","S",IF(AF10="WB","N",IF(AF10="NB","E",IF(AF10="SB","W","-"))))</f>
        <v>-</v>
      </c>
      <c r="AG16" s="169" t="str">
        <f>IF(AG10="EB","S",IF(AG10="WB","N",IF(AG10="NB","E",IF(AG10="SB","W","-"))))</f>
        <v>-</v>
      </c>
      <c r="AH16" s="170" t="str">
        <f>IF(AH10="EB","S",IF(AH10="WB","N",IF(AH10="NB","E",IF(AH10="SB","W","-"))))</f>
        <v>-</v>
      </c>
      <c r="AI16" s="169" t="str">
        <f>IF(AI10="EB","S",IF(AI10="WB","N",IF(AI10="NB","E",IF(AI10="SB","W","-"))))</f>
        <v>-</v>
      </c>
      <c r="AJ16" s="170" t="str">
        <f>IF(AJ10="EB","S",IF(AJ10="WB","N",IF(AJ10="NB","E",IF(AJ10="SB","W","-"))))</f>
        <v>-</v>
      </c>
      <c r="AK16" s="169" t="str">
        <f>IF(AK10="EB","S",IF(AK10="WB","N",IF(AK10="NB","E",IF(AK10="SB","W","-"))))</f>
        <v>-</v>
      </c>
      <c r="AL16" s="170" t="str">
        <f>IF(AL10="EB","S",IF(AL10="WB","N",IF(AL10="NB","E",IF(AL10="SB","W","-"))))</f>
        <v>-</v>
      </c>
      <c r="AM16" s="169" t="str">
        <f>IF(AM10="EB","S",IF(AM10="WB","N",IF(AM10="NB","E",IF(AM10="SB","W","-"))))</f>
        <v>-</v>
      </c>
      <c r="AN16" s="170" t="str">
        <f>IF(AN10="EB","S",IF(AN10="WB","N",IF(AN10="NB","E",IF(AN10="SB","W","-"))))</f>
        <v>-</v>
      </c>
      <c r="AO16" s="169" t="str">
        <f>IF(AO10="EB","S",IF(AO10="WB","N",IF(AO10="NB","E",IF(AO10="SB","W","-"))))</f>
        <v>-</v>
      </c>
      <c r="AP16" s="170" t="str">
        <f>IF(AP10="EB","S",IF(AP10="WB","N",IF(AP10="NB","E",IF(AP10="SB","W","-"))))</f>
        <v>-</v>
      </c>
      <c r="AQ16" s="169" t="str">
        <f>IF(AQ10="EB","S",IF(AQ10="WB","N",IF(AQ10="NB","E",IF(AQ10="SB","W","-"))))</f>
        <v>-</v>
      </c>
      <c r="AR16" s="170" t="str">
        <f>IF(AR10="EB","S",IF(AR10="WB","N",IF(AR10="NB","E",IF(AR10="SB","W","-"))))</f>
        <v>-</v>
      </c>
      <c r="AS16" s="51"/>
      <c r="AT16" s="56"/>
    </row>
    <row r="17" spans="2:46" ht="14.25" x14ac:dyDescent="0.25">
      <c r="B17" s="55"/>
      <c r="C17" s="10" t="s">
        <v>546</v>
      </c>
      <c r="D17" s="11" t="s">
        <v>547</v>
      </c>
      <c r="E17" s="169">
        <f>INDEX(Intersections!F64:I64,1,MATCH(E16,Intersections!F5:I5,0))</f>
        <v>9.867842105263156</v>
      </c>
      <c r="F17" s="170">
        <f>INDEX(Intersections!F64:I64,1,MATCH(F16,Intersections!F5:I5,0))</f>
        <v>9.867842105263156</v>
      </c>
      <c r="G17" s="169" t="e">
        <f>INDEX(Intersections!J64:M64,1,MATCH(G16,Intersections!J5:M5,0))</f>
        <v>#N/A</v>
      </c>
      <c r="H17" s="170" t="e">
        <f>INDEX(Intersections!J64:M64,1,MATCH(H16,Intersections!J5:M5,0))</f>
        <v>#N/A</v>
      </c>
      <c r="I17" s="169" t="e">
        <f>INDEX(Intersections!N64:Q64,1,MATCH(I16,Intersections!N5:Q5,0))</f>
        <v>#N/A</v>
      </c>
      <c r="J17" s="170" t="e">
        <f>INDEX(Intersections!N64:Q64,1,MATCH(J16,Intersections!N5:Q5,0))</f>
        <v>#N/A</v>
      </c>
      <c r="K17" s="169" t="e">
        <f>INDEX(Intersections!R64:U64,1,MATCH(K16,Intersections!R5:U5,0))</f>
        <v>#N/A</v>
      </c>
      <c r="L17" s="170" t="e">
        <f>INDEX(Intersections!R64:U64,1,MATCH(L16,Intersections!R5:U5,0))</f>
        <v>#N/A</v>
      </c>
      <c r="M17" s="169" t="e">
        <f>INDEX(Intersections!V64:Y64,1,MATCH(M16,Intersections!V5:Y5,0))</f>
        <v>#N/A</v>
      </c>
      <c r="N17" s="170" t="e">
        <f>INDEX(Intersections!V64:Y64,1,MATCH(N16,Intersections!V5:Y5,0))</f>
        <v>#N/A</v>
      </c>
      <c r="O17" s="169" t="e">
        <f>INDEX(Intersections!Z64:AC64,1,MATCH(O16,Intersections!Z5:AC5,0))</f>
        <v>#N/A</v>
      </c>
      <c r="P17" s="170" t="e">
        <f>INDEX(Intersections!Z64:AC64,1,MATCH(P16,Intersections!Z5:AC5,0))</f>
        <v>#N/A</v>
      </c>
      <c r="Q17" s="169" t="e">
        <f>INDEX(Intersections!AD64:AG64,1,MATCH(Q16,Intersections!AD5:AG5,0))</f>
        <v>#N/A</v>
      </c>
      <c r="R17" s="170" t="e">
        <f>INDEX(Intersections!AD64:AG64,1,MATCH(R16,Intersections!AD5:AG5,0))</f>
        <v>#N/A</v>
      </c>
      <c r="S17" s="169" t="e">
        <f>INDEX(Intersections!AH64:AK64,1,MATCH(S16,Intersections!AH5:AK5,0))</f>
        <v>#N/A</v>
      </c>
      <c r="T17" s="170" t="e">
        <f>INDEX(Intersections!AH64:AK64,1,MATCH(T16,Intersections!AH5:AK5,0))</f>
        <v>#N/A</v>
      </c>
      <c r="U17" s="169" t="e">
        <f>INDEX(Intersections!AL64:AO64,1,MATCH(U16,Intersections!AL5:AO5,0))</f>
        <v>#N/A</v>
      </c>
      <c r="V17" s="170" t="e">
        <f>INDEX(Intersections!AL64:AO64,1,MATCH(V16,Intersections!AL5:AO5,0))</f>
        <v>#N/A</v>
      </c>
      <c r="W17" s="169" t="e">
        <f>INDEX(Intersections!AP64:AS64,1,MATCH(W16,Intersections!AP5:AS5,0))</f>
        <v>#N/A</v>
      </c>
      <c r="X17" s="170" t="e">
        <f>INDEX(Intersections!AP64:AS64,1,MATCH(X16,Intersections!AP5:AS5,0))</f>
        <v>#N/A</v>
      </c>
      <c r="Y17" s="169" t="e">
        <f>INDEX(Intersections!AT64:AW64,1,MATCH(Y16,Intersections!AT5:AW5,0))</f>
        <v>#N/A</v>
      </c>
      <c r="Z17" s="170" t="e">
        <f>INDEX(Intersections!AT64:AW64,1,MATCH(Z16,Intersections!AT5:AW5,0))</f>
        <v>#N/A</v>
      </c>
      <c r="AA17" s="169" t="e">
        <f>INDEX(Intersections!AX64:BA64,1,MATCH(AA16,Intersections!AX5:BA5,0))</f>
        <v>#N/A</v>
      </c>
      <c r="AB17" s="170" t="e">
        <f>INDEX(Intersections!AX64:BA64,1,MATCH(AB16,Intersections!AX5:BA5,0))</f>
        <v>#N/A</v>
      </c>
      <c r="AC17" s="169" t="e">
        <f>INDEX(Intersections!BB64:BE64,1,MATCH(AC16,Intersections!BB5:BE5,0))</f>
        <v>#N/A</v>
      </c>
      <c r="AD17" s="170" t="e">
        <f>INDEX(Intersections!BB64:BE64,1,MATCH(AD16,Intersections!BB5:BE5,0))</f>
        <v>#N/A</v>
      </c>
      <c r="AE17" s="169" t="e">
        <f>INDEX(Intersections!BF64:BI64,1,MATCH(AE16,Intersections!BF5:BI5,0))</f>
        <v>#N/A</v>
      </c>
      <c r="AF17" s="170" t="e">
        <f>INDEX(Intersections!BF64:BI64,1,MATCH(AF16,Intersections!BF5:BI5,0))</f>
        <v>#N/A</v>
      </c>
      <c r="AG17" s="169" t="e">
        <f>INDEX(Intersections!BJ64:BM64,1,MATCH(AG16,Intersections!BJ5:BM5,0))</f>
        <v>#N/A</v>
      </c>
      <c r="AH17" s="170" t="e">
        <f>INDEX(Intersections!BJ64:BM64,1,MATCH(AH16,Intersections!BJ5:BM5,0))</f>
        <v>#N/A</v>
      </c>
      <c r="AI17" s="169" t="e">
        <f>INDEX(Intersections!BN64:BQ64,1,MATCH(AI16,Intersections!BN5:BQ5,0))</f>
        <v>#N/A</v>
      </c>
      <c r="AJ17" s="170" t="e">
        <f>INDEX(Intersections!BN64:BQ64,1,MATCH(AJ16,Intersections!BN5:BQ5,0))</f>
        <v>#N/A</v>
      </c>
      <c r="AK17" s="169" t="e">
        <f>INDEX(Intersections!BR64:BU64,1,MATCH(AK16,Intersections!BR5:BU5,0))</f>
        <v>#N/A</v>
      </c>
      <c r="AL17" s="170" t="e">
        <f>INDEX(Intersections!BR64:BU64,1,MATCH(AL16,Intersections!BR5:BU5,0))</f>
        <v>#N/A</v>
      </c>
      <c r="AM17" s="169" t="e">
        <f>INDEX(Intersections!BV64:BY64,1,MATCH(AM16,Intersections!BV5:BY5,0))</f>
        <v>#N/A</v>
      </c>
      <c r="AN17" s="170" t="e">
        <f>INDEX(Intersections!BV64:BY64,1,MATCH(AN16,Intersections!BV5:BY5,0))</f>
        <v>#N/A</v>
      </c>
      <c r="AO17" s="169" t="e">
        <f>INDEX(Intersections!BZ64:CC64,1,MATCH(AO16,Intersections!BZ5:CC5,0))</f>
        <v>#N/A</v>
      </c>
      <c r="AP17" s="170" t="e">
        <f>INDEX(Intersections!BZ64:CC64,1,MATCH(AP16,Intersections!BZ5:CC5,0))</f>
        <v>#N/A</v>
      </c>
      <c r="AQ17" s="169" t="e">
        <f>INDEX(Intersections!CD64:CG64,1,MATCH(AQ16,Intersections!CD5:CG5,0))</f>
        <v>#N/A</v>
      </c>
      <c r="AR17" s="170" t="e">
        <f>INDEX(Intersections!CD64:CG64,1,MATCH(AR16,Intersections!CD5:CG5,0))</f>
        <v>#N/A</v>
      </c>
      <c r="AS17" s="51"/>
      <c r="AT17" s="56"/>
    </row>
    <row r="18" spans="2:46" ht="14.25" x14ac:dyDescent="0.25">
      <c r="B18" s="55"/>
      <c r="C18" s="10" t="s">
        <v>554</v>
      </c>
      <c r="D18" s="11" t="s">
        <v>555</v>
      </c>
      <c r="E18" s="169">
        <f>INDEX(Intersections!F64:I64,1,MATCH(LEFT(E10,1),Intersections!F5:I5,0))</f>
        <v>18.884263157894736</v>
      </c>
      <c r="F18" s="170">
        <f>INDEX(Intersections!F64:I64,1,MATCH(LEFT(F10,1),Intersections!F5:I5,0))</f>
        <v>18.884263157894736</v>
      </c>
      <c r="G18" s="169" t="e">
        <f>INDEX(Intersections!J64:M64,1,MATCH(LEFT(G10,1),Intersections!J5:M5,0))</f>
        <v>#N/A</v>
      </c>
      <c r="H18" s="170" t="e">
        <f>INDEX(Intersections!J64:M64,1,MATCH(LEFT(H10,1),Intersections!J5:M5,0))</f>
        <v>#N/A</v>
      </c>
      <c r="I18" s="169" t="e">
        <f>INDEX(Intersections!N64:Q64,1,MATCH(LEFT(I10,1),Intersections!N5:Q5,0))</f>
        <v>#N/A</v>
      </c>
      <c r="J18" s="170" t="e">
        <f>INDEX(Intersections!N64:Q64,1,MATCH(LEFT(J10,1),Intersections!N5:Q5,0))</f>
        <v>#N/A</v>
      </c>
      <c r="K18" s="169" t="e">
        <f>INDEX(Intersections!R64:U64,1,MATCH(LEFT(K10,1),Intersections!R5:U5,0))</f>
        <v>#N/A</v>
      </c>
      <c r="L18" s="170" t="e">
        <f>INDEX(Intersections!R64:U64,1,MATCH(LEFT(L10,1),Intersections!R5:U5,0))</f>
        <v>#N/A</v>
      </c>
      <c r="M18" s="277" t="e">
        <f>INDEX(Intersections!V64:Y64,1,MATCH(LEFT(M10,1),Intersections!V5:Y5,0))</f>
        <v>#N/A</v>
      </c>
      <c r="N18" s="278" t="e">
        <f>INDEX(Intersections!V64:Y64,1,MATCH(LEFT(N10,1),Intersections!V5:Y5,0))</f>
        <v>#N/A</v>
      </c>
      <c r="O18" s="277" t="e">
        <f>INDEX(Intersections!Z64:AC64,1,MATCH(LEFT(O10,1),Intersections!Z5:AC5,0))</f>
        <v>#N/A</v>
      </c>
      <c r="P18" s="278" t="e">
        <f>INDEX(Intersections!Z64:AC64,1,MATCH(LEFT(P10,1),Intersections!Z5:AC5,0))</f>
        <v>#N/A</v>
      </c>
      <c r="Q18" s="169" t="e">
        <f>INDEX(Intersections!AD64:AG64,1,MATCH(LEFT(Q10,1),Intersections!AD5:AG5,0))</f>
        <v>#N/A</v>
      </c>
      <c r="R18" s="170" t="e">
        <f>INDEX(Intersections!AD64:AG64,1,MATCH(LEFT(R10,1),Intersections!AD5:AG5,0))</f>
        <v>#N/A</v>
      </c>
      <c r="S18" s="169" t="e">
        <f>INDEX(Intersections!AH64:AK64,1,MATCH(LEFT(S10,1),Intersections!AH5:AK5,0))</f>
        <v>#N/A</v>
      </c>
      <c r="T18" s="170" t="e">
        <f>INDEX(Intersections!AH64:AK64,1,MATCH(LEFT(T10,1),Intersections!AH5:AK5,0))</f>
        <v>#N/A</v>
      </c>
      <c r="U18" s="169" t="e">
        <f>INDEX(Intersections!AL64:AO64,1,MATCH(LEFT(U10,1),Intersections!AL5:AO5,0))</f>
        <v>#N/A</v>
      </c>
      <c r="V18" s="170" t="e">
        <f>INDEX(Intersections!AL64:AO64,1,MATCH(LEFT(V10,1),Intersections!AL5:AO5,0))</f>
        <v>#N/A</v>
      </c>
      <c r="W18" s="169" t="e">
        <f>INDEX(Intersections!AP64:AS64,1,MATCH(LEFT(W10,1),Intersections!AP5:AS5,0))</f>
        <v>#N/A</v>
      </c>
      <c r="X18" s="170" t="e">
        <f>INDEX(Intersections!AP64:AS64,1,MATCH(LEFT(X10,1),Intersections!AP5:AS5,0))</f>
        <v>#N/A</v>
      </c>
      <c r="Y18" s="169" t="e">
        <f>INDEX(Intersections!AT64:AW64,1,MATCH(LEFT(Y10,1),Intersections!AT5:AW5,0))</f>
        <v>#N/A</v>
      </c>
      <c r="Z18" s="170" t="e">
        <f>INDEX(Intersections!AT64:AW64,1,MATCH(LEFT(Z10,1),Intersections!AT5:AW5,0))</f>
        <v>#N/A</v>
      </c>
      <c r="AA18" s="169" t="e">
        <f>INDEX(Intersections!AX64:BA64,1,MATCH(LEFT(AA10,1),Intersections!AX5:BA5,0))</f>
        <v>#N/A</v>
      </c>
      <c r="AB18" s="170" t="e">
        <f>INDEX(Intersections!AX64:BA64,1,MATCH(LEFT(AB10,1),Intersections!AX5:BA5,0))</f>
        <v>#N/A</v>
      </c>
      <c r="AC18" s="169" t="e">
        <f>INDEX(Intersections!BB64:BE64,1,MATCH(LEFT(AC10,1),Intersections!BB5:BE5,0))</f>
        <v>#N/A</v>
      </c>
      <c r="AD18" s="170" t="e">
        <f>INDEX(Intersections!BB64:BE64,1,MATCH(LEFT(AD10,1),Intersections!BB5:BE5,0))</f>
        <v>#N/A</v>
      </c>
      <c r="AE18" s="169" t="e">
        <f>INDEX(Intersections!BF64:BI64,1,MATCH(LEFT(AE10,1),Intersections!BF5:BI5,0))</f>
        <v>#N/A</v>
      </c>
      <c r="AF18" s="170" t="e">
        <f>INDEX(Intersections!BF64:BI64,1,MATCH(LEFT(AF10,1),Intersections!BF5:BI5,0))</f>
        <v>#N/A</v>
      </c>
      <c r="AG18" s="169" t="e">
        <f>INDEX(Intersections!BJ64:BM64,1,MATCH(LEFT(AG10,1),Intersections!BJ5:BM5,0))</f>
        <v>#N/A</v>
      </c>
      <c r="AH18" s="170" t="e">
        <f>INDEX(Intersections!BJ64:BM64,1,MATCH(LEFT(AH10,1),Intersections!BJ5:BM5,0))</f>
        <v>#N/A</v>
      </c>
      <c r="AI18" s="169" t="e">
        <f>INDEX(Intersections!BN64:BQ64,1,MATCH(LEFT(AI10,1),Intersections!BN5:BQ5,0))</f>
        <v>#N/A</v>
      </c>
      <c r="AJ18" s="170" t="e">
        <f>INDEX(Intersections!BN64:BQ64,1,MATCH(LEFT(AJ10,1),Intersections!BN5:BQ5,0))</f>
        <v>#N/A</v>
      </c>
      <c r="AK18" s="169" t="e">
        <f>INDEX(Intersections!BR64:BU64,1,MATCH(LEFT(AK10,1),Intersections!BR5:BU5,0))</f>
        <v>#N/A</v>
      </c>
      <c r="AL18" s="170" t="e">
        <f>INDEX(Intersections!BR64:BU64,1,MATCH(LEFT(AL10,1),Intersections!BR5:BU5,0))</f>
        <v>#N/A</v>
      </c>
      <c r="AM18" s="169" t="e">
        <f>INDEX(Intersections!BV64:BY64,1,MATCH(LEFT(AM10,1),Intersections!BV5:BY5,0))</f>
        <v>#N/A</v>
      </c>
      <c r="AN18" s="170" t="e">
        <f>INDEX(Intersections!BV64:BY64,1,MATCH(LEFT(AN10,1),Intersections!BV5:BY5,0))</f>
        <v>#N/A</v>
      </c>
      <c r="AO18" s="169" t="e">
        <f>INDEX(Intersections!BZ64:CC64,1,MATCH(LEFT(AO10,1),Intersections!BZ5:CC5,0))</f>
        <v>#N/A</v>
      </c>
      <c r="AP18" s="170" t="e">
        <f>INDEX(Intersections!BZ64:CC64,1,MATCH(LEFT(AP10,1),Intersections!BZ5:CC5,0))</f>
        <v>#N/A</v>
      </c>
      <c r="AQ18" s="169" t="e">
        <f>INDEX(Intersections!CD64:CG64,1,MATCH(LEFT(AQ10,1),Intersections!CD5:CG5,0))</f>
        <v>#N/A</v>
      </c>
      <c r="AR18" s="170" t="e">
        <f>INDEX(Intersections!CD64:CG64,1,MATCH(LEFT(AR10,1),Intersections!CD5:CG5,0))</f>
        <v>#N/A</v>
      </c>
      <c r="AS18" s="51"/>
      <c r="AT18" s="56"/>
    </row>
    <row r="19" spans="2:46" ht="14.25" x14ac:dyDescent="0.25">
      <c r="B19" s="55"/>
      <c r="C19" s="10" t="s">
        <v>486</v>
      </c>
      <c r="D19" s="11" t="s">
        <v>489</v>
      </c>
      <c r="E19" s="169">
        <f>PEDDELAYLOS(E18)</f>
        <v>2.3884263157894736</v>
      </c>
      <c r="F19" s="170">
        <f>PEDDELAYLOS(F18)</f>
        <v>2.3884263157894736</v>
      </c>
      <c r="G19" s="169" t="e">
        <f>PEDDELAYLOS(G18)</f>
        <v>#VALUE!</v>
      </c>
      <c r="H19" s="170" t="e">
        <f>PEDDELAYLOS(H18)</f>
        <v>#VALUE!</v>
      </c>
      <c r="I19" s="169" t="e">
        <f>PEDDELAYLOS(I18)</f>
        <v>#VALUE!</v>
      </c>
      <c r="J19" s="170" t="e">
        <f>PEDDELAYLOS(J18)</f>
        <v>#VALUE!</v>
      </c>
      <c r="K19" s="169" t="e">
        <f>PEDDELAYLOS(K18)</f>
        <v>#VALUE!</v>
      </c>
      <c r="L19" s="170" t="e">
        <f>PEDDELAYLOS(L18)</f>
        <v>#VALUE!</v>
      </c>
      <c r="M19" s="169" t="e">
        <f>PEDDELAYLOS(M18)</f>
        <v>#VALUE!</v>
      </c>
      <c r="N19" s="170" t="e">
        <f>PEDDELAYLOS(N18)</f>
        <v>#VALUE!</v>
      </c>
      <c r="O19" s="169" t="e">
        <f>PEDDELAYLOS(O18)</f>
        <v>#VALUE!</v>
      </c>
      <c r="P19" s="170" t="e">
        <f>PEDDELAYLOS(P18)</f>
        <v>#VALUE!</v>
      </c>
      <c r="Q19" s="169" t="e">
        <f>PEDDELAYLOS(Q18)</f>
        <v>#VALUE!</v>
      </c>
      <c r="R19" s="170" t="e">
        <f>PEDDELAYLOS(R18)</f>
        <v>#VALUE!</v>
      </c>
      <c r="S19" s="169" t="e">
        <f>PEDDELAYLOS(S18)</f>
        <v>#VALUE!</v>
      </c>
      <c r="T19" s="170" t="e">
        <f>PEDDELAYLOS(T18)</f>
        <v>#VALUE!</v>
      </c>
      <c r="U19" s="169" t="e">
        <f>PEDDELAYLOS(U18)</f>
        <v>#VALUE!</v>
      </c>
      <c r="V19" s="170" t="e">
        <f>PEDDELAYLOS(V18)</f>
        <v>#VALUE!</v>
      </c>
      <c r="W19" s="169" t="e">
        <f>PEDDELAYLOS(W18)</f>
        <v>#VALUE!</v>
      </c>
      <c r="X19" s="170" t="e">
        <f>PEDDELAYLOS(X18)</f>
        <v>#VALUE!</v>
      </c>
      <c r="Y19" s="169" t="e">
        <f>PEDDELAYLOS(Y18)</f>
        <v>#VALUE!</v>
      </c>
      <c r="Z19" s="170" t="e">
        <f>PEDDELAYLOS(Z18)</f>
        <v>#VALUE!</v>
      </c>
      <c r="AA19" s="169" t="e">
        <f>PEDDELAYLOS(AA18)</f>
        <v>#VALUE!</v>
      </c>
      <c r="AB19" s="170" t="e">
        <f>PEDDELAYLOS(AB18)</f>
        <v>#VALUE!</v>
      </c>
      <c r="AC19" s="169" t="e">
        <f>PEDDELAYLOS(AC18)</f>
        <v>#VALUE!</v>
      </c>
      <c r="AD19" s="170" t="e">
        <f>PEDDELAYLOS(AD18)</f>
        <v>#VALUE!</v>
      </c>
      <c r="AE19" s="169" t="e">
        <f>PEDDELAYLOS(AE18)</f>
        <v>#VALUE!</v>
      </c>
      <c r="AF19" s="170" t="e">
        <f>PEDDELAYLOS(AF18)</f>
        <v>#VALUE!</v>
      </c>
      <c r="AG19" s="169" t="e">
        <f>PEDDELAYLOS(AG18)</f>
        <v>#VALUE!</v>
      </c>
      <c r="AH19" s="170" t="e">
        <f>PEDDELAYLOS(AH18)</f>
        <v>#VALUE!</v>
      </c>
      <c r="AI19" s="169" t="e">
        <f>PEDDELAYLOS(AI18)</f>
        <v>#VALUE!</v>
      </c>
      <c r="AJ19" s="170" t="e">
        <f>PEDDELAYLOS(AJ18)</f>
        <v>#VALUE!</v>
      </c>
      <c r="AK19" s="169" t="e">
        <f>PEDDELAYLOS(AK18)</f>
        <v>#VALUE!</v>
      </c>
      <c r="AL19" s="170" t="e">
        <f>PEDDELAYLOS(AL18)</f>
        <v>#VALUE!</v>
      </c>
      <c r="AM19" s="169" t="e">
        <f>PEDDELAYLOS(AM18)</f>
        <v>#VALUE!</v>
      </c>
      <c r="AN19" s="170" t="e">
        <f>PEDDELAYLOS(AN18)</f>
        <v>#VALUE!</v>
      </c>
      <c r="AO19" s="169" t="e">
        <f>PEDDELAYLOS(AO18)</f>
        <v>#VALUE!</v>
      </c>
      <c r="AP19" s="170" t="e">
        <f>PEDDELAYLOS(AP18)</f>
        <v>#VALUE!</v>
      </c>
      <c r="AQ19" s="169" t="e">
        <f>PEDDELAYLOS(AQ18)</f>
        <v>#VALUE!</v>
      </c>
      <c r="AR19" s="170" t="e">
        <f>PEDDELAYLOS(AR18)</f>
        <v>#VALUE!</v>
      </c>
      <c r="AS19" s="51"/>
      <c r="AT19" s="56"/>
    </row>
    <row r="20" spans="2:46" ht="14.25" x14ac:dyDescent="0.25">
      <c r="B20" s="55"/>
      <c r="C20" s="10" t="s">
        <v>487</v>
      </c>
      <c r="D20" s="11" t="s">
        <v>488</v>
      </c>
      <c r="E20" s="169">
        <f>PEDDELAYLOS(E15)</f>
        <v>3.5084263157894737</v>
      </c>
      <c r="F20" s="170">
        <f>PEDDELAYLOS(F15)</f>
        <v>3.5084263157894737</v>
      </c>
      <c r="G20" s="169">
        <f>PEDDELAYLOS(G15)</f>
        <v>0.5</v>
      </c>
      <c r="H20" s="170">
        <f>PEDDELAYLOS(H15)</f>
        <v>0.5</v>
      </c>
      <c r="I20" s="169">
        <f>PEDDELAYLOS(I15)</f>
        <v>0.5</v>
      </c>
      <c r="J20" s="170">
        <f>PEDDELAYLOS(J15)</f>
        <v>0.5</v>
      </c>
      <c r="K20" s="169">
        <f>PEDDELAYLOS(K15)</f>
        <v>0.5</v>
      </c>
      <c r="L20" s="170">
        <f>PEDDELAYLOS(L15)</f>
        <v>0.5</v>
      </c>
      <c r="M20" s="169">
        <f>PEDDELAYLOS(M15)</f>
        <v>0.5</v>
      </c>
      <c r="N20" s="170">
        <f>PEDDELAYLOS(N15)</f>
        <v>0.5</v>
      </c>
      <c r="O20" s="169">
        <f>PEDDELAYLOS(O15)</f>
        <v>0.5</v>
      </c>
      <c r="P20" s="170">
        <f>PEDDELAYLOS(P15)</f>
        <v>0.5</v>
      </c>
      <c r="Q20" s="169">
        <f>PEDDELAYLOS(Q15)</f>
        <v>0.5</v>
      </c>
      <c r="R20" s="170">
        <f>PEDDELAYLOS(R15)</f>
        <v>0.5</v>
      </c>
      <c r="S20" s="169">
        <f>PEDDELAYLOS(S15)</f>
        <v>0.5</v>
      </c>
      <c r="T20" s="170">
        <f>PEDDELAYLOS(T15)</f>
        <v>0.5</v>
      </c>
      <c r="U20" s="169">
        <f>PEDDELAYLOS(U15)</f>
        <v>0.5</v>
      </c>
      <c r="V20" s="170">
        <f>PEDDELAYLOS(V15)</f>
        <v>0.5</v>
      </c>
      <c r="W20" s="169">
        <f>PEDDELAYLOS(W15)</f>
        <v>0.5</v>
      </c>
      <c r="X20" s="170">
        <f>PEDDELAYLOS(X15)</f>
        <v>0.5</v>
      </c>
      <c r="Y20" s="169">
        <f>PEDDELAYLOS(Y15)</f>
        <v>0.5</v>
      </c>
      <c r="Z20" s="170">
        <f>PEDDELAYLOS(Z15)</f>
        <v>0.5</v>
      </c>
      <c r="AA20" s="169">
        <f>PEDDELAYLOS(AA15)</f>
        <v>0.5</v>
      </c>
      <c r="AB20" s="170">
        <f>PEDDELAYLOS(AB15)</f>
        <v>0.5</v>
      </c>
      <c r="AC20" s="169">
        <f>PEDDELAYLOS(AC15)</f>
        <v>0.5</v>
      </c>
      <c r="AD20" s="170">
        <f>PEDDELAYLOS(AD15)</f>
        <v>0.5</v>
      </c>
      <c r="AE20" s="169">
        <f>PEDDELAYLOS(AE15)</f>
        <v>0.5</v>
      </c>
      <c r="AF20" s="170">
        <f>PEDDELAYLOS(AF15)</f>
        <v>0.5</v>
      </c>
      <c r="AG20" s="169">
        <f>PEDDELAYLOS(AG15)</f>
        <v>0.5</v>
      </c>
      <c r="AH20" s="170">
        <f>PEDDELAYLOS(AH15)</f>
        <v>0.5</v>
      </c>
      <c r="AI20" s="169">
        <f>PEDDELAYLOS(AI15)</f>
        <v>0.5</v>
      </c>
      <c r="AJ20" s="170">
        <f>PEDDELAYLOS(AJ15)</f>
        <v>0.5</v>
      </c>
      <c r="AK20" s="169">
        <f>PEDDELAYLOS(AK15)</f>
        <v>0.5</v>
      </c>
      <c r="AL20" s="170">
        <f>PEDDELAYLOS(AL15)</f>
        <v>0.5</v>
      </c>
      <c r="AM20" s="169">
        <f>PEDDELAYLOS(AM15)</f>
        <v>0.5</v>
      </c>
      <c r="AN20" s="170">
        <f>PEDDELAYLOS(AN15)</f>
        <v>0.5</v>
      </c>
      <c r="AO20" s="169">
        <f>PEDDELAYLOS(AO15)</f>
        <v>0.5</v>
      </c>
      <c r="AP20" s="170">
        <f>PEDDELAYLOS(AP15)</f>
        <v>0.5</v>
      </c>
      <c r="AQ20" s="169">
        <f>PEDDELAYLOS(AQ15)</f>
        <v>0.5</v>
      </c>
      <c r="AR20" s="170">
        <f>PEDDELAYLOS(AR15)</f>
        <v>0.5</v>
      </c>
      <c r="AS20" s="51"/>
      <c r="AT20" s="56"/>
    </row>
    <row r="21" spans="2:46" ht="14.25" x14ac:dyDescent="0.25">
      <c r="B21" s="55"/>
      <c r="C21" s="10" t="s">
        <v>485</v>
      </c>
      <c r="D21" s="11" t="s">
        <v>494</v>
      </c>
      <c r="E21" s="169">
        <f>MIN(E20,E19,6)</f>
        <v>2.3884263157894736</v>
      </c>
      <c r="F21" s="170">
        <f>MIN(F20,F19,6)</f>
        <v>2.3884263157894736</v>
      </c>
      <c r="G21" s="169" t="e">
        <f>MIN(G20,G19,6)</f>
        <v>#VALUE!</v>
      </c>
      <c r="H21" s="170" t="e">
        <f>MIN(H20,H19,6)</f>
        <v>#VALUE!</v>
      </c>
      <c r="I21" s="169" t="e">
        <f>MIN(I20,I19,6)</f>
        <v>#VALUE!</v>
      </c>
      <c r="J21" s="170" t="e">
        <f>MIN(J20,J19,6)</f>
        <v>#VALUE!</v>
      </c>
      <c r="K21" s="169" t="e">
        <f>MIN(K20,K19,6)</f>
        <v>#VALUE!</v>
      </c>
      <c r="L21" s="170" t="e">
        <f>MIN(L20,L19,6)</f>
        <v>#VALUE!</v>
      </c>
      <c r="M21" s="169" t="e">
        <f>MIN(M20,M19,6)</f>
        <v>#VALUE!</v>
      </c>
      <c r="N21" s="170" t="e">
        <f>MIN(N20,N19,6)</f>
        <v>#VALUE!</v>
      </c>
      <c r="O21" s="169" t="e">
        <f>MIN(O20,O19,6)</f>
        <v>#VALUE!</v>
      </c>
      <c r="P21" s="170" t="e">
        <f>MIN(P20,P19,6)</f>
        <v>#VALUE!</v>
      </c>
      <c r="Q21" s="169" t="e">
        <f>MIN(Q20,Q19,6)</f>
        <v>#VALUE!</v>
      </c>
      <c r="R21" s="170" t="e">
        <f>MIN(R20,R19,6)</f>
        <v>#VALUE!</v>
      </c>
      <c r="S21" s="169" t="e">
        <f>MIN(S20,S19,6)</f>
        <v>#VALUE!</v>
      </c>
      <c r="T21" s="170" t="e">
        <f>MIN(T20,T19,6)</f>
        <v>#VALUE!</v>
      </c>
      <c r="U21" s="169" t="e">
        <f>MIN(U20,U19,6)</f>
        <v>#VALUE!</v>
      </c>
      <c r="V21" s="170" t="e">
        <f>MIN(V20,V19,6)</f>
        <v>#VALUE!</v>
      </c>
      <c r="W21" s="169" t="e">
        <f>MIN(W20,W19,6)</f>
        <v>#VALUE!</v>
      </c>
      <c r="X21" s="170" t="e">
        <f>MIN(X20,X19,6)</f>
        <v>#VALUE!</v>
      </c>
      <c r="Y21" s="169" t="e">
        <f>MIN(Y20,Y19,6)</f>
        <v>#VALUE!</v>
      </c>
      <c r="Z21" s="170" t="e">
        <f>MIN(Z20,Z19,6)</f>
        <v>#VALUE!</v>
      </c>
      <c r="AA21" s="169" t="e">
        <f>MIN(AA20,AA19,6)</f>
        <v>#VALUE!</v>
      </c>
      <c r="AB21" s="170" t="e">
        <f>MIN(AB20,AB19,6)</f>
        <v>#VALUE!</v>
      </c>
      <c r="AC21" s="169" t="e">
        <f>MIN(AC20,AC19,6)</f>
        <v>#VALUE!</v>
      </c>
      <c r="AD21" s="170" t="e">
        <f>MIN(AD20,AD19,6)</f>
        <v>#VALUE!</v>
      </c>
      <c r="AE21" s="169" t="e">
        <f>MIN(AE20,AE19,6)</f>
        <v>#VALUE!</v>
      </c>
      <c r="AF21" s="170" t="e">
        <f>MIN(AF20,AF19,6)</f>
        <v>#VALUE!</v>
      </c>
      <c r="AG21" s="169" t="e">
        <f>MIN(AG20,AG19,6)</f>
        <v>#VALUE!</v>
      </c>
      <c r="AH21" s="170" t="e">
        <f>MIN(AH20,AH19,6)</f>
        <v>#VALUE!</v>
      </c>
      <c r="AI21" s="169" t="e">
        <f>MIN(AI20,AI19,6)</f>
        <v>#VALUE!</v>
      </c>
      <c r="AJ21" s="170" t="e">
        <f>MIN(AJ20,AJ19,6)</f>
        <v>#VALUE!</v>
      </c>
      <c r="AK21" s="169" t="e">
        <f>MIN(AK20,AK19,6)</f>
        <v>#VALUE!</v>
      </c>
      <c r="AL21" s="170" t="e">
        <f>MIN(AL20,AL19,6)</f>
        <v>#VALUE!</v>
      </c>
      <c r="AM21" s="169" t="e">
        <f>MIN(AM20,AM19,6)</f>
        <v>#VALUE!</v>
      </c>
      <c r="AN21" s="170" t="e">
        <f>MIN(AN20,AN19,6)</f>
        <v>#VALUE!</v>
      </c>
      <c r="AO21" s="169" t="e">
        <f>MIN(AO20,AO19,6)</f>
        <v>#VALUE!</v>
      </c>
      <c r="AP21" s="170" t="e">
        <f>MIN(AP20,AP19,6)</f>
        <v>#VALUE!</v>
      </c>
      <c r="AQ21" s="169" t="e">
        <f>MIN(AQ20,AQ19,6)</f>
        <v>#VALUE!</v>
      </c>
      <c r="AR21" s="170" t="e">
        <f>MIN(AR20,AR19,6)</f>
        <v>#VALUE!</v>
      </c>
      <c r="AS21" s="51"/>
      <c r="AT21" s="56"/>
    </row>
    <row r="22" spans="2:46" ht="14.25" x14ac:dyDescent="0.25">
      <c r="B22" s="55"/>
      <c r="C22" s="10" t="s">
        <v>224</v>
      </c>
      <c r="D22" s="11" t="s">
        <v>40</v>
      </c>
      <c r="E22" s="169">
        <f>Links!F57</f>
        <v>2.3060414969776364</v>
      </c>
      <c r="F22" s="170">
        <f>Links!G57</f>
        <v>2.585866496977637</v>
      </c>
      <c r="G22" s="169">
        <f>Links!H57</f>
        <v>0</v>
      </c>
      <c r="H22" s="170">
        <f>Links!I57</f>
        <v>0</v>
      </c>
      <c r="I22" s="169">
        <f>Links!J57</f>
        <v>0</v>
      </c>
      <c r="J22" s="170">
        <f>Links!K57</f>
        <v>0</v>
      </c>
      <c r="K22" s="169">
        <f>Links!L57</f>
        <v>0</v>
      </c>
      <c r="L22" s="170">
        <f>Links!M57</f>
        <v>0</v>
      </c>
      <c r="M22" s="169">
        <f>Links!N57</f>
        <v>0</v>
      </c>
      <c r="N22" s="170">
        <f>Links!O57</f>
        <v>0</v>
      </c>
      <c r="O22" s="169">
        <f>Links!P57</f>
        <v>0</v>
      </c>
      <c r="P22" s="170">
        <f>Links!Q57</f>
        <v>0</v>
      </c>
      <c r="Q22" s="169">
        <f>Links!R57</f>
        <v>0</v>
      </c>
      <c r="R22" s="170">
        <f>Links!S57</f>
        <v>0</v>
      </c>
      <c r="S22" s="169">
        <f>Links!T57</f>
        <v>0</v>
      </c>
      <c r="T22" s="170">
        <f>Links!U57</f>
        <v>0</v>
      </c>
      <c r="U22" s="169">
        <f>Links!V57</f>
        <v>0</v>
      </c>
      <c r="V22" s="170">
        <f>Links!W57</f>
        <v>0</v>
      </c>
      <c r="W22" s="169">
        <f>Links!X57</f>
        <v>0</v>
      </c>
      <c r="X22" s="170">
        <f>Links!Y57</f>
        <v>0</v>
      </c>
      <c r="Y22" s="169">
        <f>Links!Z57</f>
        <v>0</v>
      </c>
      <c r="Z22" s="170">
        <f>Links!AA57</f>
        <v>0</v>
      </c>
      <c r="AA22" s="169">
        <f>Links!AB57</f>
        <v>0</v>
      </c>
      <c r="AB22" s="170">
        <f>Links!AC57</f>
        <v>0</v>
      </c>
      <c r="AC22" s="169">
        <f>Links!AD57</f>
        <v>0</v>
      </c>
      <c r="AD22" s="170">
        <f>Links!AE57</f>
        <v>0</v>
      </c>
      <c r="AE22" s="169">
        <f>Links!AF57</f>
        <v>0</v>
      </c>
      <c r="AF22" s="170">
        <f>Links!AG57</f>
        <v>0</v>
      </c>
      <c r="AG22" s="169">
        <f>Links!AH57</f>
        <v>0</v>
      </c>
      <c r="AH22" s="170">
        <f>Links!AI57</f>
        <v>0</v>
      </c>
      <c r="AI22" s="169">
        <f>Links!AJ57</f>
        <v>0</v>
      </c>
      <c r="AJ22" s="170">
        <f>Links!AK57</f>
        <v>0</v>
      </c>
      <c r="AK22" s="169">
        <f>Links!AL57</f>
        <v>0</v>
      </c>
      <c r="AL22" s="170">
        <f>Links!AM57</f>
        <v>0</v>
      </c>
      <c r="AM22" s="169">
        <f>Links!AN57</f>
        <v>0</v>
      </c>
      <c r="AN22" s="170">
        <f>Links!AO57</f>
        <v>0</v>
      </c>
      <c r="AO22" s="169">
        <f>Links!AP57</f>
        <v>0</v>
      </c>
      <c r="AP22" s="170">
        <f>Links!AQ57</f>
        <v>0</v>
      </c>
      <c r="AQ22" s="169">
        <f>Links!AR57</f>
        <v>0</v>
      </c>
      <c r="AR22" s="170">
        <f>Links!AS57</f>
        <v>0</v>
      </c>
      <c r="AS22" s="51"/>
      <c r="AT22" s="56"/>
    </row>
    <row r="23" spans="2:46" ht="15.75" customHeight="1" x14ac:dyDescent="0.25">
      <c r="B23" s="55"/>
      <c r="C23" s="10" t="s">
        <v>222</v>
      </c>
      <c r="D23" s="11" t="s">
        <v>218</v>
      </c>
      <c r="E23" s="184">
        <f>Intersections!F114</f>
        <v>2.8117855183883798</v>
      </c>
      <c r="F23" s="185"/>
      <c r="G23" s="184">
        <f>Intersections!J114</f>
        <v>2.485332638793416</v>
      </c>
      <c r="H23" s="185"/>
      <c r="I23" s="184" t="str">
        <f>Intersections!N114</f>
        <v/>
      </c>
      <c r="J23" s="185"/>
      <c r="K23" s="184" t="str">
        <f>Intersections!R114</f>
        <v/>
      </c>
      <c r="L23" s="185"/>
      <c r="M23" s="184" t="str">
        <f>Intersections!V114</f>
        <v/>
      </c>
      <c r="N23" s="185"/>
      <c r="O23" s="184" t="str">
        <f>Intersections!Z114</f>
        <v/>
      </c>
      <c r="P23" s="185"/>
      <c r="Q23" s="184" t="str">
        <f>Intersections!AD114</f>
        <v/>
      </c>
      <c r="R23" s="185"/>
      <c r="S23" s="184" t="str">
        <f>Intersections!AH114</f>
        <v/>
      </c>
      <c r="T23" s="185"/>
      <c r="U23" s="184" t="str">
        <f>Intersections!AL114</f>
        <v/>
      </c>
      <c r="V23" s="185"/>
      <c r="W23" s="184" t="str">
        <f>Intersections!AP114</f>
        <v/>
      </c>
      <c r="X23" s="185"/>
      <c r="Y23" s="184" t="str">
        <f>Intersections!AT114</f>
        <v/>
      </c>
      <c r="Z23" s="185"/>
      <c r="AA23" s="184" t="str">
        <f>Intersections!AX114</f>
        <v/>
      </c>
      <c r="AB23" s="185"/>
      <c r="AC23" s="184" t="str">
        <f>Intersections!BB114</f>
        <v/>
      </c>
      <c r="AD23" s="185"/>
      <c r="AE23" s="184" t="str">
        <f>Intersections!BF114</f>
        <v/>
      </c>
      <c r="AF23" s="185"/>
      <c r="AG23" s="184" t="str">
        <f>Intersections!BJ114</f>
        <v/>
      </c>
      <c r="AH23" s="185"/>
      <c r="AI23" s="184" t="str">
        <f>Intersections!BN114</f>
        <v/>
      </c>
      <c r="AJ23" s="185"/>
      <c r="AK23" s="184" t="str">
        <f>Intersections!BR114</f>
        <v/>
      </c>
      <c r="AL23" s="185"/>
      <c r="AM23" s="184" t="str">
        <f>Intersections!BV114</f>
        <v/>
      </c>
      <c r="AN23" s="185"/>
      <c r="AO23" s="184" t="str">
        <f>Intersections!BZ114</f>
        <v/>
      </c>
      <c r="AP23" s="185"/>
      <c r="AQ23" s="184" t="str">
        <f>Intersections!CD114</f>
        <v/>
      </c>
      <c r="AR23" s="185"/>
      <c r="AS23" s="51"/>
      <c r="AT23" s="56"/>
    </row>
    <row r="24" spans="2:46" ht="14.25" x14ac:dyDescent="0.25">
      <c r="B24" s="55"/>
      <c r="C24" s="10" t="s">
        <v>544</v>
      </c>
      <c r="D24" s="11" t="s">
        <v>545</v>
      </c>
      <c r="E24" s="169">
        <f>IF(E8=0,"",(((E8/E12)*(E22*(1-E11)+E21*E11)^3+E17*E41^3)/((E8/E12)+E17))^(1/3))</f>
        <v>2.4074980862055724</v>
      </c>
      <c r="F24" s="170">
        <f>IF(E8=0,"",(((E8/F12)*(F22*(1-F11)+F21*F11)^3+F17*E41^3)/((E8/F12)+F17))^(1/3))</f>
        <v>2.5587302032734773</v>
      </c>
      <c r="G24" s="169" t="str">
        <f>IF(G8=0,"",(((G8/G12)*(G22*(1-G11)+G21*G11)^3+G17*G41^3)/((G8/G12)+G17))^(1/3))</f>
        <v/>
      </c>
      <c r="H24" s="170" t="str">
        <f>IF(G8=0,"",(((G8/H12)*(H22*(1-H11)+H21*H11)^3+H17*G41^3)/((G8/H12)+H17))^(1/3))</f>
        <v/>
      </c>
      <c r="I24" s="169" t="str">
        <f>IF(I8=0,"",(((I8/I12)*(I22*(1-I11)+I21*I11)^3+I17*I41^3)/((I8/I12)+I17))^(1/3))</f>
        <v/>
      </c>
      <c r="J24" s="170" t="str">
        <f>IF(I8=0,"",(((I8/J12)*(J22*(1-J11)+J21*J11)^3+J17*I41^3)/((I8/J12)+J17))^(1/3))</f>
        <v/>
      </c>
      <c r="K24" s="169" t="str">
        <f>IF(K8=0,"",(((K8/K12)*(K22*(1-K11)+K21*K11)^3+K17*K41^3)/((K8/K12)+K17))^(1/3))</f>
        <v/>
      </c>
      <c r="L24" s="170" t="str">
        <f>IF(K8=0,"",(((K8/L12)*(L22*(1-L11)+L21*L11)^3+L17*K41^3)/((K8/L12)+L17))^(1/3))</f>
        <v/>
      </c>
      <c r="M24" s="169" t="str">
        <f>IF(M8=0,"",(((M8/M12)*(M22*(1-M11)+M21*M11)^3+M17*M41^3)/((M8/M12)+M17))^(1/3))</f>
        <v/>
      </c>
      <c r="N24" s="170" t="str">
        <f>IF(M8=0,"",(((M8/N12)*(N22*(1-N11)+N21*N11)^3+N17*M41^3)/((M8/N12)+N17))^(1/3))</f>
        <v/>
      </c>
      <c r="O24" s="169" t="str">
        <f>IF(O8=0,"",(((O8/O12)*(O22*(1-O11)+O21*O11)^3+O17*O41^3)/((O8/O12)+O17))^(1/3))</f>
        <v/>
      </c>
      <c r="P24" s="170" t="str">
        <f>IF(O8=0,"",(((O8/P12)*(P22*(1-P11)+P21*P11)^3+P17*O41^3)/((O8/P12)+P17))^(1/3))</f>
        <v/>
      </c>
      <c r="Q24" s="169" t="str">
        <f>IF(Q8=0,"",(((Q8/Q12)*(Q22*(1-Q11)+Q21*Q11)^3+Q17*Q41^3)/((Q8/Q12)+Q17))^(1/3))</f>
        <v/>
      </c>
      <c r="R24" s="170" t="str">
        <f>IF(Q8=0,"",(((Q8/R12)*(R22*(1-R11)+R21*R11)^3+R17*Q41^3)/((Q8/R12)+R17))^(1/3))</f>
        <v/>
      </c>
      <c r="S24" s="169" t="str">
        <f>IF(S8=0,"",(((S8/S12)*(S22*(1-S11)+S21*S11)^3+S17*S41^3)/((S8/S12)+S17))^(1/3))</f>
        <v/>
      </c>
      <c r="T24" s="170" t="str">
        <f>IF(S8=0,"",(((S8/T12)*(T22*(1-T11)+T21*T11)^3+T17*S41^3)/((S8/T12)+T17))^(1/3))</f>
        <v/>
      </c>
      <c r="U24" s="169" t="str">
        <f>IF(U8=0,"",(((U8/U12)*(U22*(1-U11)+U21*U11)^3+U17*U41^3)/((U8/U12)+U17))^(1/3))</f>
        <v/>
      </c>
      <c r="V24" s="170" t="str">
        <f>IF(U8=0,"",(((U8/V12)*(V22*(1-V11)+V21*V11)^3+V17*U41^3)/((U8/V12)+V17))^(1/3))</f>
        <v/>
      </c>
      <c r="W24" s="169" t="str">
        <f>IF(W8=0,"",(((W8/W12)*(W22*(1-W11)+W21*W11)^3+W17*W41^3)/((W8/W12)+W17))^(1/3))</f>
        <v/>
      </c>
      <c r="X24" s="170" t="str">
        <f>IF(W8=0,"",(((W8/X12)*(X22*(1-X11)+X21*X11)^3+X17*W41^3)/((W8/X12)+X17))^(1/3))</f>
        <v/>
      </c>
      <c r="Y24" s="169" t="str">
        <f>IF(Y8=0,"",(((Y8/Y12)*(Y22*(1-Y11)+Y21*Y11)^3+Y17*Y41^3)/((Y8/Y12)+Y17))^(1/3))</f>
        <v/>
      </c>
      <c r="Z24" s="170" t="str">
        <f>IF(Y8=0,"",(((Y8/Z12)*(Z22*(1-Z11)+Z21*Z11)^3+Z17*Y41^3)/((Y8/Z12)+Z17))^(1/3))</f>
        <v/>
      </c>
      <c r="AA24" s="169" t="str">
        <f>IF(AA8=0,"",(((AA8/AA12)*(AA22*(1-AA11)+AA21*AA11)^3+AA17*AA41^3)/((AA8/AA12)+AA17))^(1/3))</f>
        <v/>
      </c>
      <c r="AB24" s="170" t="str">
        <f>IF(AA8=0,"",(((AA8/AB12)*(AB22*(1-AB11)+AB21*AB11)^3+AB17*AA41^3)/((AA8/AB12)+AB17))^(1/3))</f>
        <v/>
      </c>
      <c r="AC24" s="169" t="str">
        <f>IF(AC8=0,"",(((AC8/AC12)*(AC22*(1-AC11)+AC21*AC11)^3+AC17*AC41^3)/((AC8/AC12)+AC17))^(1/3))</f>
        <v/>
      </c>
      <c r="AD24" s="170" t="str">
        <f>IF(AC8=0,"",(((AC8/AD12)*(AD22*(1-AD11)+AD21*AD11)^3+AD17*AC41^3)/((AC8/AD12)+AD17))^(1/3))</f>
        <v/>
      </c>
      <c r="AE24" s="169" t="str">
        <f>IF(AE8=0,"",(((AE8/AE12)*(AE22*(1-AE11)+AE21*AE11)^3+AE17*AE41^3)/((AE8/AE12)+AE17))^(1/3))</f>
        <v/>
      </c>
      <c r="AF24" s="170" t="str">
        <f>IF(AE8=0,"",(((AE8/AF12)*(AF22*(1-AF11)+AF21*AF11)^3+AF17*AE41^3)/((AE8/AF12)+AF17))^(1/3))</f>
        <v/>
      </c>
      <c r="AG24" s="169" t="str">
        <f>IF(AG8=0,"",(((AG8/AG12)*(AG22*(1-AG11)+AG21*AG11)^3+AG17*AG41^3)/((AG8/AG12)+AG17))^(1/3))</f>
        <v/>
      </c>
      <c r="AH24" s="170" t="str">
        <f>IF(AG8=0,"",(((AG8/AH12)*(AH22*(1-AH11)+AH21*AH11)^3+AH17*AG41^3)/((AG8/AH12)+AH17))^(1/3))</f>
        <v/>
      </c>
      <c r="AI24" s="169" t="str">
        <f>IF(AI8=0,"",(((AI8/AI12)*(AI22*(1-AI11)+AI21*AI11)^3+AI17*AI41^3)/((AI8/AI12)+AI17))^(1/3))</f>
        <v/>
      </c>
      <c r="AJ24" s="170" t="str">
        <f>IF(AI8=0,"",(((AI8/AJ12)*(AJ22*(1-AJ11)+AJ21*AJ11)^3+AJ17*AI41^3)/((AI8/AJ12)+AJ17))^(1/3))</f>
        <v/>
      </c>
      <c r="AK24" s="169" t="str">
        <f>IF(AK8=0,"",(((AK8/AK12)*(AK22*(1-AK11)+AK21*AK11)^3+AK17*AK41^3)/((AK8/AK12)+AK17))^(1/3))</f>
        <v/>
      </c>
      <c r="AL24" s="170" t="str">
        <f>IF(AK8=0,"",(((AK8/AL12)*(AL22*(1-AL11)+AL21*AL11)^3+AL17*AK41^3)/((AK8/AL12)+AL17))^(1/3))</f>
        <v/>
      </c>
      <c r="AM24" s="169" t="str">
        <f>IF(AM8=0,"",(((AM8/AM12)*(AM22*(1-AM11)+AM21*AM11)^3+AM17*AM41^3)/((AM8/AM12)+AM17))^(1/3))</f>
        <v/>
      </c>
      <c r="AN24" s="170" t="str">
        <f>IF(AM8=0,"",(((AM8/AN12)*(AN22*(1-AN11)+AN21*AN11)^3+AN17*AM41^3)/((AM8/AN12)+AN17))^(1/3))</f>
        <v/>
      </c>
      <c r="AO24" s="169" t="str">
        <f>IF(AO8=0,"",(((AO8/AO12)*(AO22*(1-AO11)+AO21*AO11)^3+AO17*AO41^3)/((AO8/AO12)+AO17))^(1/3))</f>
        <v/>
      </c>
      <c r="AP24" s="170" t="str">
        <f>IF(AO8=0,"",(((AO8/AP12)*(AP22*(1-AP11)+AP21*AP11)^3+AP17*AO41^3)/((AO8/AP12)+AP17))^(1/3))</f>
        <v/>
      </c>
      <c r="AQ24" s="169" t="str">
        <f>IF(AQ8=0,"",(((AQ8/AQ12)*(AQ22*(1-AQ11)+AQ21*AQ11)^3+AQ17*AQ41^3)/((AQ8/AQ12)+AQ17))^(1/3))</f>
        <v/>
      </c>
      <c r="AR24" s="170" t="str">
        <f>IF(AQ8=0,"",(((AQ8/AR12)*(AR22*(1-AR11)+AR21*AR11)^3+AR17*AQ41^3)/((AQ8/AR12)+AR17))^(1/3))</f>
        <v/>
      </c>
      <c r="AS24" s="51"/>
      <c r="AT24" s="56"/>
    </row>
    <row r="25" spans="2:46" x14ac:dyDescent="0.25">
      <c r="B25" s="55"/>
      <c r="C25" s="10"/>
      <c r="D25" s="11" t="s">
        <v>41</v>
      </c>
      <c r="E25" s="10" t="str">
        <f>IF(E24="","",IF(E24&lt;=2,"A",IF(E24&lt;=2.75,"B",IF(E24&lt;=3.5,"C",IF(E24&lt;=4.25,"D",IF(E24&lt;=5,"E","F"))))))</f>
        <v>B</v>
      </c>
      <c r="F25" s="171" t="str">
        <f>IF(F24="","",IF(F24&lt;=2,"A",IF(F24&lt;=2.75,"B",IF(F24&lt;=3.5,"C",IF(F24&lt;=4.25,"D",IF(F24&lt;=5,"E","F"))))))</f>
        <v>B</v>
      </c>
      <c r="G25" s="10" t="str">
        <f>IF(G24="","",IF(G24&lt;=2,"A",IF(G24&lt;=2.75,"B",IF(G24&lt;=3.5,"C",IF(G24&lt;=4.25,"D",IF(G24&lt;=5,"E","F"))))))</f>
        <v/>
      </c>
      <c r="H25" s="171" t="str">
        <f>IF(H24="","",IF(H24&lt;=2,"A",IF(H24&lt;=2.75,"B",IF(H24&lt;=3.5,"C",IF(H24&lt;=4.25,"D",IF(H24&lt;=5,"E","F"))))))</f>
        <v/>
      </c>
      <c r="I25" s="10" t="str">
        <f>IF(I24="","",IF(I24&lt;=2,"A",IF(I24&lt;=2.75,"B",IF(I24&lt;=3.5,"C",IF(I24&lt;=4.25,"D",IF(I24&lt;=5,"E","F"))))))</f>
        <v/>
      </c>
      <c r="J25" s="171" t="str">
        <f>IF(J24="","",IF(J24&lt;=2,"A",IF(J24&lt;=2.75,"B",IF(J24&lt;=3.5,"C",IF(J24&lt;=4.25,"D",IF(J24&lt;=5,"E","F"))))))</f>
        <v/>
      </c>
      <c r="K25" s="10" t="str">
        <f>IF(K24="","",IF(K24&lt;=2,"A",IF(K24&lt;=2.75,"B",IF(K24&lt;=3.5,"C",IF(K24&lt;=4.25,"D",IF(K24&lt;=5,"E","F"))))))</f>
        <v/>
      </c>
      <c r="L25" s="171" t="str">
        <f>IF(L24="","",IF(L24&lt;=2,"A",IF(L24&lt;=2.75,"B",IF(L24&lt;=3.5,"C",IF(L24&lt;=4.25,"D",IF(L24&lt;=5,"E","F"))))))</f>
        <v/>
      </c>
      <c r="M25" s="10" t="str">
        <f>IF(M24="","",IF(M24&lt;=2,"A",IF(M24&lt;=2.75,"B",IF(M24&lt;=3.5,"C",IF(M24&lt;=4.25,"D",IF(M24&lt;=5,"E","F"))))))</f>
        <v/>
      </c>
      <c r="N25" s="171" t="str">
        <f>IF(N24="","",IF(N24&lt;=2,"A",IF(N24&lt;=2.75,"B",IF(N24&lt;=3.5,"C",IF(N24&lt;=4.25,"D",IF(N24&lt;=5,"E","F"))))))</f>
        <v/>
      </c>
      <c r="O25" s="10" t="str">
        <f>IF(O24="","",IF(O24&lt;=2,"A",IF(O24&lt;=2.75,"B",IF(O24&lt;=3.5,"C",IF(O24&lt;=4.25,"D",IF(O24&lt;=5,"E","F"))))))</f>
        <v/>
      </c>
      <c r="P25" s="171" t="str">
        <f>IF(P24="","",IF(P24&lt;=2,"A",IF(P24&lt;=2.75,"B",IF(P24&lt;=3.5,"C",IF(P24&lt;=4.25,"D",IF(P24&lt;=5,"E","F"))))))</f>
        <v/>
      </c>
      <c r="Q25" s="10" t="str">
        <f>IF(Q24="","",IF(Q24&lt;=2,"A",IF(Q24&lt;=2.75,"B",IF(Q24&lt;=3.5,"C",IF(Q24&lt;=4.25,"D",IF(Q24&lt;=5,"E","F"))))))</f>
        <v/>
      </c>
      <c r="R25" s="171" t="str">
        <f>IF(R24="","",IF(R24&lt;=2,"A",IF(R24&lt;=2.75,"B",IF(R24&lt;=3.5,"C",IF(R24&lt;=4.25,"D",IF(R24&lt;=5,"E","F"))))))</f>
        <v/>
      </c>
      <c r="S25" s="10" t="str">
        <f>IF(S24="","",IF(S24&lt;=2,"A",IF(S24&lt;=2.75,"B",IF(S24&lt;=3.5,"C",IF(S24&lt;=4.25,"D",IF(S24&lt;=5,"E","F"))))))</f>
        <v/>
      </c>
      <c r="T25" s="171" t="str">
        <f>IF(T24="","",IF(T24&lt;=2,"A",IF(T24&lt;=2.75,"B",IF(T24&lt;=3.5,"C",IF(T24&lt;=4.25,"D",IF(T24&lt;=5,"E","F"))))))</f>
        <v/>
      </c>
      <c r="U25" s="10" t="str">
        <f>IF(U24="","",IF(U24&lt;=2,"A",IF(U24&lt;=2.75,"B",IF(U24&lt;=3.5,"C",IF(U24&lt;=4.25,"D",IF(U24&lt;=5,"E","F"))))))</f>
        <v/>
      </c>
      <c r="V25" s="171" t="str">
        <f>IF(V24="","",IF(V24&lt;=2,"A",IF(V24&lt;=2.75,"B",IF(V24&lt;=3.5,"C",IF(V24&lt;=4.25,"D",IF(V24&lt;=5,"E","F"))))))</f>
        <v/>
      </c>
      <c r="W25" s="10" t="str">
        <f>IF(W24="","",IF(W24&lt;=2,"A",IF(W24&lt;=2.75,"B",IF(W24&lt;=3.5,"C",IF(W24&lt;=4.25,"D",IF(W24&lt;=5,"E","F"))))))</f>
        <v/>
      </c>
      <c r="X25" s="171" t="str">
        <f>IF(X24="","",IF(X24&lt;=2,"A",IF(X24&lt;=2.75,"B",IF(X24&lt;=3.5,"C",IF(X24&lt;=4.25,"D",IF(X24&lt;=5,"E","F"))))))</f>
        <v/>
      </c>
      <c r="Y25" s="10" t="str">
        <f>IF(Y24="","",IF(Y24&lt;=2,"A",IF(Y24&lt;=2.75,"B",IF(Y24&lt;=3.5,"C",IF(Y24&lt;=4.25,"D",IF(Y24&lt;=5,"E","F"))))))</f>
        <v/>
      </c>
      <c r="Z25" s="171" t="str">
        <f>IF(Z24="","",IF(Z24&lt;=2,"A",IF(Z24&lt;=2.75,"B",IF(Z24&lt;=3.5,"C",IF(Z24&lt;=4.25,"D",IF(Z24&lt;=5,"E","F"))))))</f>
        <v/>
      </c>
      <c r="AA25" s="10" t="str">
        <f>IF(AA24="","",IF(AA24&lt;=2,"A",IF(AA24&lt;=2.75,"B",IF(AA24&lt;=3.5,"C",IF(AA24&lt;=4.25,"D",IF(AA24&lt;=5,"E","F"))))))</f>
        <v/>
      </c>
      <c r="AB25" s="171" t="str">
        <f>IF(AB24="","",IF(AB24&lt;=2,"A",IF(AB24&lt;=2.75,"B",IF(AB24&lt;=3.5,"C",IF(AB24&lt;=4.25,"D",IF(AB24&lt;=5,"E","F"))))))</f>
        <v/>
      </c>
      <c r="AC25" s="10" t="str">
        <f>IF(AC24="","",IF(AC24&lt;=2,"A",IF(AC24&lt;=2.75,"B",IF(AC24&lt;=3.5,"C",IF(AC24&lt;=4.25,"D",IF(AC24&lt;=5,"E","F"))))))</f>
        <v/>
      </c>
      <c r="AD25" s="171" t="str">
        <f>IF(AD24="","",IF(AD24&lt;=2,"A",IF(AD24&lt;=2.75,"B",IF(AD24&lt;=3.5,"C",IF(AD24&lt;=4.25,"D",IF(AD24&lt;=5,"E","F"))))))</f>
        <v/>
      </c>
      <c r="AE25" s="10" t="str">
        <f>IF(AE24="","",IF(AE24&lt;=2,"A",IF(AE24&lt;=2.75,"B",IF(AE24&lt;=3.5,"C",IF(AE24&lt;=4.25,"D",IF(AE24&lt;=5,"E","F"))))))</f>
        <v/>
      </c>
      <c r="AF25" s="171" t="str">
        <f>IF(AF24="","",IF(AF24&lt;=2,"A",IF(AF24&lt;=2.75,"B",IF(AF24&lt;=3.5,"C",IF(AF24&lt;=4.25,"D",IF(AF24&lt;=5,"E","F"))))))</f>
        <v/>
      </c>
      <c r="AG25" s="10" t="str">
        <f>IF(AG24="","",IF(AG24&lt;=2,"A",IF(AG24&lt;=2.75,"B",IF(AG24&lt;=3.5,"C",IF(AG24&lt;=4.25,"D",IF(AG24&lt;=5,"E","F"))))))</f>
        <v/>
      </c>
      <c r="AH25" s="171" t="str">
        <f>IF(AH24="","",IF(AH24&lt;=2,"A",IF(AH24&lt;=2.75,"B",IF(AH24&lt;=3.5,"C",IF(AH24&lt;=4.25,"D",IF(AH24&lt;=5,"E","F"))))))</f>
        <v/>
      </c>
      <c r="AI25" s="10" t="str">
        <f>IF(AI24="","",IF(AI24&lt;=2,"A",IF(AI24&lt;=2.75,"B",IF(AI24&lt;=3.5,"C",IF(AI24&lt;=4.25,"D",IF(AI24&lt;=5,"E","F"))))))</f>
        <v/>
      </c>
      <c r="AJ25" s="171" t="str">
        <f>IF(AJ24="","",IF(AJ24&lt;=2,"A",IF(AJ24&lt;=2.75,"B",IF(AJ24&lt;=3.5,"C",IF(AJ24&lt;=4.25,"D",IF(AJ24&lt;=5,"E","F"))))))</f>
        <v/>
      </c>
      <c r="AK25" s="10" t="str">
        <f>IF(AK24="","",IF(AK24&lt;=2,"A",IF(AK24&lt;=2.75,"B",IF(AK24&lt;=3.5,"C",IF(AK24&lt;=4.25,"D",IF(AK24&lt;=5,"E","F"))))))</f>
        <v/>
      </c>
      <c r="AL25" s="171" t="str">
        <f>IF(AL24="","",IF(AL24&lt;=2,"A",IF(AL24&lt;=2.75,"B",IF(AL24&lt;=3.5,"C",IF(AL24&lt;=4.25,"D",IF(AL24&lt;=5,"E","F"))))))</f>
        <v/>
      </c>
      <c r="AM25" s="10" t="str">
        <f>IF(AM24="","",IF(AM24&lt;=2,"A",IF(AM24&lt;=2.75,"B",IF(AM24&lt;=3.5,"C",IF(AM24&lt;=4.25,"D",IF(AM24&lt;=5,"E","F"))))))</f>
        <v/>
      </c>
      <c r="AN25" s="171" t="str">
        <f>IF(AN24="","",IF(AN24&lt;=2,"A",IF(AN24&lt;=2.75,"B",IF(AN24&lt;=3.5,"C",IF(AN24&lt;=4.25,"D",IF(AN24&lt;=5,"E","F"))))))</f>
        <v/>
      </c>
      <c r="AO25" s="10" t="str">
        <f>IF(AO24="","",IF(AO24&lt;=2,"A",IF(AO24&lt;=2.75,"B",IF(AO24&lt;=3.5,"C",IF(AO24&lt;=4.25,"D",IF(AO24&lt;=5,"E","F"))))))</f>
        <v/>
      </c>
      <c r="AP25" s="171" t="str">
        <f>IF(AP24="","",IF(AP24&lt;=2,"A",IF(AP24&lt;=2.75,"B",IF(AP24&lt;=3.5,"C",IF(AP24&lt;=4.25,"D",IF(AP24&lt;=5,"E","F"))))))</f>
        <v/>
      </c>
      <c r="AQ25" s="10" t="str">
        <f>IF(AQ24="","",IF(AQ24&lt;=2,"A",IF(AQ24&lt;=2.75,"B",IF(AQ24&lt;=3.5,"C",IF(AQ24&lt;=4.25,"D",IF(AQ24&lt;=5,"E","F"))))))</f>
        <v/>
      </c>
      <c r="AR25" s="171" t="str">
        <f>IF(AR24="","",IF(AR24&lt;=2,"A",IF(AR24&lt;=2.75,"B",IF(AR24&lt;=3.5,"C",IF(AR24&lt;=4.25,"D",IF(AR24&lt;=5,"E","F"))))))</f>
        <v/>
      </c>
      <c r="AS25" s="51"/>
      <c r="AT25" s="56"/>
    </row>
    <row r="26" spans="2:46" ht="15.75" x14ac:dyDescent="0.25">
      <c r="B26" s="55"/>
      <c r="C26" s="4"/>
      <c r="D26" s="8" t="s">
        <v>205</v>
      </c>
      <c r="E26" s="4"/>
      <c r="F26" s="5"/>
      <c r="G26" s="4"/>
      <c r="H26" s="5"/>
      <c r="I26" s="4"/>
      <c r="J26" s="5"/>
      <c r="K26" s="4"/>
      <c r="L26" s="5"/>
      <c r="M26" s="4"/>
      <c r="N26" s="5"/>
      <c r="O26" s="4"/>
      <c r="P26" s="5"/>
      <c r="Q26" s="4"/>
      <c r="R26" s="5"/>
      <c r="S26" s="4"/>
      <c r="T26" s="5"/>
      <c r="U26" s="4"/>
      <c r="V26" s="5"/>
      <c r="W26" s="4"/>
      <c r="X26" s="5"/>
      <c r="Y26" s="4"/>
      <c r="Z26" s="5"/>
      <c r="AA26" s="4"/>
      <c r="AB26" s="5"/>
      <c r="AC26" s="4"/>
      <c r="AD26" s="5"/>
      <c r="AE26" s="4"/>
      <c r="AF26" s="5"/>
      <c r="AG26" s="4"/>
      <c r="AH26" s="5"/>
      <c r="AI26" s="4"/>
      <c r="AJ26" s="5"/>
      <c r="AK26" s="4"/>
      <c r="AL26" s="5"/>
      <c r="AM26" s="4"/>
      <c r="AN26" s="5"/>
      <c r="AO26" s="4"/>
      <c r="AP26" s="5"/>
      <c r="AQ26" s="4"/>
      <c r="AR26" s="5"/>
      <c r="AS26" s="51"/>
      <c r="AT26" s="56"/>
    </row>
    <row r="27" spans="2:46" ht="14.25" x14ac:dyDescent="0.25">
      <c r="B27" s="55"/>
      <c r="C27" s="10" t="s">
        <v>447</v>
      </c>
      <c r="D27" s="11" t="s">
        <v>448</v>
      </c>
      <c r="E27" s="169">
        <f>Links!F61</f>
        <v>-0.70000000000000007</v>
      </c>
      <c r="F27" s="172">
        <f>Links!G61</f>
        <v>-0.70000000000000007</v>
      </c>
      <c r="G27" s="169" t="e">
        <f>Links!H61</f>
        <v>#DIV/0!</v>
      </c>
      <c r="H27" s="172" t="e">
        <f>Links!I61</f>
        <v>#DIV/0!</v>
      </c>
      <c r="I27" s="169" t="e">
        <f>Links!J61</f>
        <v>#DIV/0!</v>
      </c>
      <c r="J27" s="172" t="e">
        <f>Links!K61</f>
        <v>#DIV/0!</v>
      </c>
      <c r="K27" s="169" t="e">
        <f>Links!L61</f>
        <v>#DIV/0!</v>
      </c>
      <c r="L27" s="172" t="e">
        <f>Links!M61</f>
        <v>#DIV/0!</v>
      </c>
      <c r="M27" s="169" t="e">
        <f>Links!N61</f>
        <v>#DIV/0!</v>
      </c>
      <c r="N27" s="172" t="e">
        <f>Links!O61</f>
        <v>#DIV/0!</v>
      </c>
      <c r="O27" s="169" t="e">
        <f>Links!P61</f>
        <v>#DIV/0!</v>
      </c>
      <c r="P27" s="172" t="e">
        <f>Links!Q61</f>
        <v>#DIV/0!</v>
      </c>
      <c r="Q27" s="169" t="e">
        <f>Links!R61</f>
        <v>#DIV/0!</v>
      </c>
      <c r="R27" s="172" t="e">
        <f>Links!S61</f>
        <v>#DIV/0!</v>
      </c>
      <c r="S27" s="169" t="e">
        <f>Links!T61</f>
        <v>#DIV/0!</v>
      </c>
      <c r="T27" s="172" t="e">
        <f>Links!U61</f>
        <v>#DIV/0!</v>
      </c>
      <c r="U27" s="169" t="e">
        <f>Links!V61</f>
        <v>#DIV/0!</v>
      </c>
      <c r="V27" s="172" t="e">
        <f>Links!W61</f>
        <v>#DIV/0!</v>
      </c>
      <c r="W27" s="169" t="e">
        <f>Links!X61</f>
        <v>#DIV/0!</v>
      </c>
      <c r="X27" s="172" t="e">
        <f>Links!Y61</f>
        <v>#DIV/0!</v>
      </c>
      <c r="Y27" s="169" t="e">
        <f>Links!Z61</f>
        <v>#DIV/0!</v>
      </c>
      <c r="Z27" s="172" t="e">
        <f>Links!AA61</f>
        <v>#DIV/0!</v>
      </c>
      <c r="AA27" s="169" t="e">
        <f>Links!AB61</f>
        <v>#DIV/0!</v>
      </c>
      <c r="AB27" s="172" t="e">
        <f>Links!AC61</f>
        <v>#DIV/0!</v>
      </c>
      <c r="AC27" s="169" t="e">
        <f>Links!AD61</f>
        <v>#DIV/0!</v>
      </c>
      <c r="AD27" s="172" t="e">
        <f>Links!AE61</f>
        <v>#DIV/0!</v>
      </c>
      <c r="AE27" s="169" t="e">
        <f>Links!AF61</f>
        <v>#DIV/0!</v>
      </c>
      <c r="AF27" s="172" t="e">
        <f>Links!AG61</f>
        <v>#DIV/0!</v>
      </c>
      <c r="AG27" s="169" t="e">
        <f>Links!AH61</f>
        <v>#DIV/0!</v>
      </c>
      <c r="AH27" s="172" t="e">
        <f>Links!AI61</f>
        <v>#DIV/0!</v>
      </c>
      <c r="AI27" s="169" t="e">
        <f>Links!AJ61</f>
        <v>#DIV/0!</v>
      </c>
      <c r="AJ27" s="172" t="e">
        <f>Links!AK61</f>
        <v>#DIV/0!</v>
      </c>
      <c r="AK27" s="169" t="e">
        <f>Links!AL61</f>
        <v>#DIV/0!</v>
      </c>
      <c r="AL27" s="172" t="e">
        <f>Links!AM61</f>
        <v>#DIV/0!</v>
      </c>
      <c r="AM27" s="169" t="e">
        <f>Links!AN61</f>
        <v>#DIV/0!</v>
      </c>
      <c r="AN27" s="172" t="e">
        <f>Links!AO61</f>
        <v>#DIV/0!</v>
      </c>
      <c r="AO27" s="169" t="e">
        <f>Links!AP61</f>
        <v>#DIV/0!</v>
      </c>
      <c r="AP27" s="172" t="e">
        <f>Links!AQ61</f>
        <v>#DIV/0!</v>
      </c>
      <c r="AQ27" s="169" t="e">
        <f>Links!AR61</f>
        <v>#DIV/0!</v>
      </c>
      <c r="AR27" s="172" t="e">
        <f>Links!AS61</f>
        <v>#DIV/0!</v>
      </c>
      <c r="AS27" s="51"/>
      <c r="AT27" s="56"/>
    </row>
    <row r="28" spans="2:46" ht="14.25" x14ac:dyDescent="0.25">
      <c r="B28" s="55"/>
      <c r="C28" s="10" t="s">
        <v>449</v>
      </c>
      <c r="D28" s="11" t="s">
        <v>450</v>
      </c>
      <c r="E28" s="169">
        <f>Links!F62</f>
        <v>15</v>
      </c>
      <c r="F28" s="172">
        <f>Links!G62</f>
        <v>15</v>
      </c>
      <c r="G28" s="169" t="e">
        <f>Links!H62</f>
        <v>#DIV/0!</v>
      </c>
      <c r="H28" s="172" t="e">
        <f>Links!I62</f>
        <v>#DIV/0!</v>
      </c>
      <c r="I28" s="169" t="e">
        <f>Links!J62</f>
        <v>#DIV/0!</v>
      </c>
      <c r="J28" s="172" t="e">
        <f>Links!K62</f>
        <v>#DIV/0!</v>
      </c>
      <c r="K28" s="169" t="e">
        <f>Links!L62</f>
        <v>#DIV/0!</v>
      </c>
      <c r="L28" s="172" t="e">
        <f>Links!M62</f>
        <v>#DIV/0!</v>
      </c>
      <c r="M28" s="169" t="e">
        <f>Links!N62</f>
        <v>#DIV/0!</v>
      </c>
      <c r="N28" s="172" t="e">
        <f>Links!O62</f>
        <v>#DIV/0!</v>
      </c>
      <c r="O28" s="169" t="e">
        <f>Links!P62</f>
        <v>#DIV/0!</v>
      </c>
      <c r="P28" s="172" t="e">
        <f>Links!Q62</f>
        <v>#DIV/0!</v>
      </c>
      <c r="Q28" s="169" t="e">
        <f>Links!R62</f>
        <v>#DIV/0!</v>
      </c>
      <c r="R28" s="172" t="e">
        <f>Links!S62</f>
        <v>#DIV/0!</v>
      </c>
      <c r="S28" s="169" t="e">
        <f>Links!T62</f>
        <v>#DIV/0!</v>
      </c>
      <c r="T28" s="172" t="e">
        <f>Links!U62</f>
        <v>#DIV/0!</v>
      </c>
      <c r="U28" s="169" t="e">
        <f>Links!V62</f>
        <v>#DIV/0!</v>
      </c>
      <c r="V28" s="172" t="e">
        <f>Links!W62</f>
        <v>#DIV/0!</v>
      </c>
      <c r="W28" s="169" t="e">
        <f>Links!X62</f>
        <v>#DIV/0!</v>
      </c>
      <c r="X28" s="172" t="e">
        <f>Links!Y62</f>
        <v>#DIV/0!</v>
      </c>
      <c r="Y28" s="169" t="e">
        <f>Links!Z62</f>
        <v>#DIV/0!</v>
      </c>
      <c r="Z28" s="172" t="e">
        <f>Links!AA62</f>
        <v>#DIV/0!</v>
      </c>
      <c r="AA28" s="169" t="e">
        <f>Links!AB62</f>
        <v>#DIV/0!</v>
      </c>
      <c r="AB28" s="172" t="e">
        <f>Links!AC62</f>
        <v>#DIV/0!</v>
      </c>
      <c r="AC28" s="169" t="e">
        <f>Links!AD62</f>
        <v>#DIV/0!</v>
      </c>
      <c r="AD28" s="172" t="e">
        <f>Links!AE62</f>
        <v>#DIV/0!</v>
      </c>
      <c r="AE28" s="169" t="e">
        <f>Links!AF62</f>
        <v>#DIV/0!</v>
      </c>
      <c r="AF28" s="172" t="e">
        <f>Links!AG62</f>
        <v>#DIV/0!</v>
      </c>
      <c r="AG28" s="169" t="e">
        <f>Links!AH62</f>
        <v>#DIV/0!</v>
      </c>
      <c r="AH28" s="172" t="e">
        <f>Links!AI62</f>
        <v>#DIV/0!</v>
      </c>
      <c r="AI28" s="169" t="e">
        <f>Links!AJ62</f>
        <v>#DIV/0!</v>
      </c>
      <c r="AJ28" s="172" t="e">
        <f>Links!AK62</f>
        <v>#DIV/0!</v>
      </c>
      <c r="AK28" s="169" t="e">
        <f>Links!AL62</f>
        <v>#DIV/0!</v>
      </c>
      <c r="AL28" s="172" t="e">
        <f>Links!AM62</f>
        <v>#DIV/0!</v>
      </c>
      <c r="AM28" s="169" t="e">
        <f>Links!AN62</f>
        <v>#DIV/0!</v>
      </c>
      <c r="AN28" s="172" t="e">
        <f>Links!AO62</f>
        <v>#DIV/0!</v>
      </c>
      <c r="AO28" s="169" t="e">
        <f>Links!AP62</f>
        <v>#DIV/0!</v>
      </c>
      <c r="AP28" s="172" t="e">
        <f>Links!AQ62</f>
        <v>#DIV/0!</v>
      </c>
      <c r="AQ28" s="169" t="e">
        <f>Links!AR62</f>
        <v>#DIV/0!</v>
      </c>
      <c r="AR28" s="172" t="e">
        <f>Links!AS62</f>
        <v>#DIV/0!</v>
      </c>
      <c r="AS28" s="51"/>
      <c r="AT28" s="56"/>
    </row>
    <row r="29" spans="2:46" ht="14.25" x14ac:dyDescent="0.25">
      <c r="B29" s="55"/>
      <c r="C29" s="10" t="s">
        <v>510</v>
      </c>
      <c r="D29" s="11" t="s">
        <v>497</v>
      </c>
      <c r="E29" s="169">
        <f>MAX(Intersections!F100,Intersections!H100)</f>
        <v>35.778936621596387</v>
      </c>
      <c r="F29" s="172">
        <f>MAX(Intersections!G100,Intersections!I100)</f>
        <v>35.715623919719825</v>
      </c>
      <c r="G29" s="169" t="e">
        <f>MAX(Intersections!H100,Intersections!J100)</f>
        <v>#DIV/0!</v>
      </c>
      <c r="H29" s="172" t="e">
        <f>MAX(Intersections!I100,Intersections!K100)</f>
        <v>#DIV/0!</v>
      </c>
      <c r="I29" s="169" t="e">
        <f>MAX(Intersections!J100,Intersections!L100)</f>
        <v>#DIV/0!</v>
      </c>
      <c r="J29" s="172" t="e">
        <f>MAX(Intersections!K100,Intersections!M100)</f>
        <v>#DIV/0!</v>
      </c>
      <c r="K29" s="169" t="e">
        <f>MAX(Intersections!L100,Intersections!N100)</f>
        <v>#DIV/0!</v>
      </c>
      <c r="L29" s="172" t="e">
        <f>MAX(Intersections!M100,Intersections!O100)</f>
        <v>#DIV/0!</v>
      </c>
      <c r="M29" s="169" t="e">
        <f>MAX(Intersections!N100,Intersections!P100)</f>
        <v>#DIV/0!</v>
      </c>
      <c r="N29" s="172" t="e">
        <f>MAX(Intersections!O100,Intersections!Q100)</f>
        <v>#DIV/0!</v>
      </c>
      <c r="O29" s="169" t="e">
        <f>MAX(Intersections!P100,Intersections!R100)</f>
        <v>#DIV/0!</v>
      </c>
      <c r="P29" s="172" t="e">
        <f>MAX(Intersections!Q100,Intersections!S100)</f>
        <v>#DIV/0!</v>
      </c>
      <c r="Q29" s="169" t="e">
        <f>MAX(Intersections!R100,Intersections!T100)</f>
        <v>#DIV/0!</v>
      </c>
      <c r="R29" s="172" t="e">
        <f>MAX(Intersections!S100,Intersections!U100)</f>
        <v>#DIV/0!</v>
      </c>
      <c r="S29" s="169" t="e">
        <f>MAX(Intersections!T100,Intersections!V100)</f>
        <v>#DIV/0!</v>
      </c>
      <c r="T29" s="172" t="e">
        <f>MAX(Intersections!U100,Intersections!W100)</f>
        <v>#DIV/0!</v>
      </c>
      <c r="U29" s="169" t="e">
        <f>MAX(Intersections!V100,Intersections!X100)</f>
        <v>#DIV/0!</v>
      </c>
      <c r="V29" s="172" t="e">
        <f>MAX(Intersections!W100,Intersections!Y100)</f>
        <v>#DIV/0!</v>
      </c>
      <c r="W29" s="169" t="e">
        <f>MAX(Intersections!X100,Intersections!Z100)</f>
        <v>#DIV/0!</v>
      </c>
      <c r="X29" s="172" t="e">
        <f>MAX(Intersections!Y100,Intersections!AA100)</f>
        <v>#DIV/0!</v>
      </c>
      <c r="Y29" s="169" t="e">
        <f>MAX(Intersections!Z100,Intersections!AB100)</f>
        <v>#DIV/0!</v>
      </c>
      <c r="Z29" s="172" t="e">
        <f>MAX(Intersections!AA100,Intersections!AC100)</f>
        <v>#DIV/0!</v>
      </c>
      <c r="AA29" s="169" t="e">
        <f>MAX(Intersections!AB100,Intersections!AD100)</f>
        <v>#DIV/0!</v>
      </c>
      <c r="AB29" s="172" t="e">
        <f>MAX(Intersections!AC100,Intersections!AE100)</f>
        <v>#DIV/0!</v>
      </c>
      <c r="AC29" s="169" t="e">
        <f>MAX(Intersections!AD100,Intersections!AF100)</f>
        <v>#DIV/0!</v>
      </c>
      <c r="AD29" s="172" t="e">
        <f>MAX(Intersections!AE100,Intersections!AG100)</f>
        <v>#DIV/0!</v>
      </c>
      <c r="AE29" s="169" t="e">
        <f>MAX(Intersections!AF100,Intersections!AH100)</f>
        <v>#DIV/0!</v>
      </c>
      <c r="AF29" s="172" t="e">
        <f>MAX(Intersections!AG100,Intersections!AI100)</f>
        <v>#DIV/0!</v>
      </c>
      <c r="AG29" s="169" t="e">
        <f>MAX(Intersections!AH100,Intersections!AJ100)</f>
        <v>#DIV/0!</v>
      </c>
      <c r="AH29" s="172" t="e">
        <f>MAX(Intersections!AI100,Intersections!AK100)</f>
        <v>#DIV/0!</v>
      </c>
      <c r="AI29" s="169" t="e">
        <f>MAX(Intersections!AJ100,Intersections!AL100)</f>
        <v>#DIV/0!</v>
      </c>
      <c r="AJ29" s="172" t="e">
        <f>MAX(Intersections!AK100,Intersections!AM100)</f>
        <v>#DIV/0!</v>
      </c>
      <c r="AK29" s="169" t="e">
        <f>MAX(Intersections!AL100,Intersections!AN100)</f>
        <v>#DIV/0!</v>
      </c>
      <c r="AL29" s="172" t="e">
        <f>MAX(Intersections!AM100,Intersections!AO100)</f>
        <v>#DIV/0!</v>
      </c>
      <c r="AM29" s="169" t="e">
        <f>MAX(Intersections!AN100,Intersections!AP100)</f>
        <v>#DIV/0!</v>
      </c>
      <c r="AN29" s="172" t="e">
        <f>MAX(Intersections!AO100,Intersections!AQ100)</f>
        <v>#DIV/0!</v>
      </c>
      <c r="AO29" s="169" t="e">
        <f>MAX(Intersections!AP100,Intersections!AR100)</f>
        <v>#DIV/0!</v>
      </c>
      <c r="AP29" s="172" t="e">
        <f>MAX(Intersections!AQ100,Intersections!AS100)</f>
        <v>#DIV/0!</v>
      </c>
      <c r="AQ29" s="169" t="e">
        <f>MAX(Intersections!AR100,Intersections!AT100)</f>
        <v>#DIV/0!</v>
      </c>
      <c r="AR29" s="172" t="e">
        <f>MAX(Intersections!AS100,Intersections!AU100)</f>
        <v>#DIV/0!</v>
      </c>
      <c r="AS29" s="51"/>
      <c r="AT29" s="56"/>
    </row>
    <row r="30" spans="2:46" ht="14.25" x14ac:dyDescent="0.25">
      <c r="B30" s="55"/>
      <c r="C30" s="10" t="s">
        <v>225</v>
      </c>
      <c r="D30" s="11" t="s">
        <v>92</v>
      </c>
      <c r="E30" s="169">
        <f>Links!F74</f>
        <v>4.4516409904534795</v>
      </c>
      <c r="F30" s="170">
        <f>Links!G74</f>
        <v>4.5308900955325564</v>
      </c>
      <c r="G30" s="169">
        <f>Links!H74</f>
        <v>0</v>
      </c>
      <c r="H30" s="170">
        <f>Links!I74</f>
        <v>0</v>
      </c>
      <c r="I30" s="169">
        <f>Links!J74</f>
        <v>0</v>
      </c>
      <c r="J30" s="170">
        <f>Links!K74</f>
        <v>0</v>
      </c>
      <c r="K30" s="169">
        <f>Links!L74</f>
        <v>0</v>
      </c>
      <c r="L30" s="170">
        <f>Links!M74</f>
        <v>0</v>
      </c>
      <c r="M30" s="169">
        <f>Links!N74</f>
        <v>0</v>
      </c>
      <c r="N30" s="170">
        <f>Links!O74</f>
        <v>0</v>
      </c>
      <c r="O30" s="169">
        <f>Links!P74</f>
        <v>0</v>
      </c>
      <c r="P30" s="170">
        <f>Links!Q74</f>
        <v>0</v>
      </c>
      <c r="Q30" s="169">
        <f>Links!R74</f>
        <v>0</v>
      </c>
      <c r="R30" s="170">
        <f>Links!S74</f>
        <v>0</v>
      </c>
      <c r="S30" s="169">
        <f>Links!T74</f>
        <v>0</v>
      </c>
      <c r="T30" s="170">
        <f>Links!U74</f>
        <v>0</v>
      </c>
      <c r="U30" s="169">
        <f>Links!V74</f>
        <v>0</v>
      </c>
      <c r="V30" s="170">
        <f>Links!W74</f>
        <v>0</v>
      </c>
      <c r="W30" s="169">
        <f>Links!X74</f>
        <v>0</v>
      </c>
      <c r="X30" s="170">
        <f>Links!Y74</f>
        <v>0</v>
      </c>
      <c r="Y30" s="169">
        <f>Links!Z74</f>
        <v>0</v>
      </c>
      <c r="Z30" s="170">
        <f>Links!AA74</f>
        <v>0</v>
      </c>
      <c r="AA30" s="169">
        <f>Links!AB74</f>
        <v>0</v>
      </c>
      <c r="AB30" s="170">
        <f>Links!AC74</f>
        <v>0</v>
      </c>
      <c r="AC30" s="169">
        <f>Links!AD74</f>
        <v>0</v>
      </c>
      <c r="AD30" s="170">
        <f>Links!AE74</f>
        <v>0</v>
      </c>
      <c r="AE30" s="169">
        <f>Links!AF74</f>
        <v>0</v>
      </c>
      <c r="AF30" s="170">
        <f>Links!AG74</f>
        <v>0</v>
      </c>
      <c r="AG30" s="169">
        <f>Links!AH74</f>
        <v>0</v>
      </c>
      <c r="AH30" s="170">
        <f>Links!AI74</f>
        <v>0</v>
      </c>
      <c r="AI30" s="169">
        <f>Links!AJ74</f>
        <v>0</v>
      </c>
      <c r="AJ30" s="170">
        <f>Links!AK74</f>
        <v>0</v>
      </c>
      <c r="AK30" s="169">
        <f>Links!AL74</f>
        <v>0</v>
      </c>
      <c r="AL30" s="170">
        <f>Links!AM74</f>
        <v>0</v>
      </c>
      <c r="AM30" s="169">
        <f>Links!AN74</f>
        <v>0</v>
      </c>
      <c r="AN30" s="170">
        <f>Links!AO74</f>
        <v>0</v>
      </c>
      <c r="AO30" s="169">
        <f>Links!AP74</f>
        <v>0</v>
      </c>
      <c r="AP30" s="170">
        <f>Links!AQ74</f>
        <v>0</v>
      </c>
      <c r="AQ30" s="169">
        <f>Links!AR74</f>
        <v>0</v>
      </c>
      <c r="AR30" s="170">
        <f>Links!AS74</f>
        <v>0</v>
      </c>
      <c r="AS30" s="51"/>
      <c r="AT30" s="56"/>
    </row>
    <row r="31" spans="2:46" ht="15.75" customHeight="1" x14ac:dyDescent="0.25">
      <c r="B31" s="55"/>
      <c r="C31" s="10" t="s">
        <v>223</v>
      </c>
      <c r="D31" s="11" t="s">
        <v>219</v>
      </c>
      <c r="E31" s="184">
        <f>Intersections!F117</f>
        <v>3.3921499999999996</v>
      </c>
      <c r="F31" s="185"/>
      <c r="G31" s="184">
        <f>Intersections!J117</f>
        <v>2.799199999999999</v>
      </c>
      <c r="H31" s="185"/>
      <c r="I31" s="184" t="str">
        <f>Intersections!N117</f>
        <v/>
      </c>
      <c r="J31" s="185"/>
      <c r="K31" s="184" t="str">
        <f>Intersections!V117</f>
        <v/>
      </c>
      <c r="L31" s="185"/>
      <c r="M31" s="184" t="str">
        <f>Intersections!Z117</f>
        <v/>
      </c>
      <c r="N31" s="185"/>
      <c r="O31" s="184" t="str">
        <f>Intersections!AD117</f>
        <v/>
      </c>
      <c r="P31" s="185"/>
      <c r="Q31" s="184" t="str">
        <f>Intersections!AH117</f>
        <v/>
      </c>
      <c r="R31" s="185"/>
      <c r="S31" s="184" t="str">
        <f>Intersections!AL117</f>
        <v/>
      </c>
      <c r="T31" s="185"/>
      <c r="U31" s="184" t="str">
        <f>Intersections!AP117</f>
        <v/>
      </c>
      <c r="V31" s="185"/>
      <c r="W31" s="184" t="str">
        <f>Intersections!AT117</f>
        <v/>
      </c>
      <c r="X31" s="185"/>
      <c r="Y31" s="184" t="str">
        <f>Intersections!AX117</f>
        <v/>
      </c>
      <c r="Z31" s="185"/>
      <c r="AA31" s="184" t="str">
        <f>Intersections!BB117</f>
        <v/>
      </c>
      <c r="AB31" s="185"/>
      <c r="AC31" s="184" t="str">
        <f>Intersections!BF117</f>
        <v/>
      </c>
      <c r="AD31" s="185"/>
      <c r="AE31" s="184" t="str">
        <f>Intersections!BJ117</f>
        <v/>
      </c>
      <c r="AF31" s="185"/>
      <c r="AG31" s="184" t="str">
        <f>Intersections!BN117</f>
        <v/>
      </c>
      <c r="AH31" s="185"/>
      <c r="AI31" s="184" t="str">
        <f>Intersections!BR117</f>
        <v/>
      </c>
      <c r="AJ31" s="185"/>
      <c r="AK31" s="184" t="str">
        <f>Intersections!BV117</f>
        <v/>
      </c>
      <c r="AL31" s="185"/>
      <c r="AM31" s="184" t="str">
        <f>Intersections!BZ117</f>
        <v/>
      </c>
      <c r="AN31" s="185"/>
      <c r="AO31" s="184" t="str">
        <f>Intersections!CD117</f>
        <v/>
      </c>
      <c r="AP31" s="185"/>
      <c r="AQ31" s="184" t="str">
        <f>Intersections!CH117</f>
        <v/>
      </c>
      <c r="AR31" s="185"/>
      <c r="AS31" s="51"/>
      <c r="AT31" s="56"/>
    </row>
    <row r="32" spans="2:46" ht="14.25" x14ac:dyDescent="0.25">
      <c r="B32" s="55"/>
      <c r="C32" s="10" t="s">
        <v>548</v>
      </c>
      <c r="D32" s="11" t="s">
        <v>549</v>
      </c>
      <c r="E32" s="169">
        <f>IF(OR(E30=0,E31=0),"",0.75*((E28*(E27+E30+1)^3+E29*(E31+1)^3)/(E28+E29))^(1/3))</f>
        <v>3.3782847462722216</v>
      </c>
      <c r="F32" s="170">
        <f>IF(OR(F30=0,E31=0),"",0.75*((F28*(F27+F30+1)^3+F29*(E31+1)^3)/(F28+F29))^(1/3))</f>
        <v>3.3981605545166098</v>
      </c>
      <c r="G32" s="169" t="str">
        <f>IF(OR(G30=0,G31=0),"",0.75*((G28*(G27+G30+1)^3+G29*(G31+1)^3)/(G28+G29))^(1/3))</f>
        <v/>
      </c>
      <c r="H32" s="170" t="str">
        <f>IF(OR(H30=0,G31=0),"",0.75*((H28*(H27+H30+1)^3+H29*(G31+1)^3)/(H28+H29))^(1/3))</f>
        <v/>
      </c>
      <c r="I32" s="169" t="str">
        <f>IF(OR(I30=0,I31=0),"",0.75*((I28*(I27+I30+1)^3+I29*(I31+1)^3)/(I28+I29))^(1/3))</f>
        <v/>
      </c>
      <c r="J32" s="170" t="str">
        <f>IF(OR(J30=0,I31=0),"",0.75*((J28*(J27+J30+1)^3+J29*(I31+1)^3)/(J28+J29))^(1/3))</f>
        <v/>
      </c>
      <c r="K32" s="169" t="str">
        <f>IF(OR(K30=0,K31=0),"",0.75*((K28*(K27+K30+1)^3+K29*(K31+1)^3)/(K28+K29))^(1/3))</f>
        <v/>
      </c>
      <c r="L32" s="170" t="str">
        <f>IF(OR(L30=0,K31=0),"",0.75*((L28*(L27+L30+1)^3+L29*(K31+1)^3)/(L28+L29))^(1/3))</f>
        <v/>
      </c>
      <c r="M32" s="169" t="str">
        <f>IF(OR(M30=0,M31=0),"",0.75*((M28*(M27+M30+1)^3+M29*(M31+1)^3)/(M28+M29))^(1/3))</f>
        <v/>
      </c>
      <c r="N32" s="170" t="str">
        <f>IF(OR(N30=0,M31=0),"",0.75*((N28*(N27+N30+1)^3+N29*(M31+1)^3)/(N28+N29))^(1/3))</f>
        <v/>
      </c>
      <c r="O32" s="169" t="str">
        <f>IF(OR(O30=0,O31=0),"",0.75*((O28*(O27+O30+1)^3+O29*(O31+1)^3)/(O28+O29))^(1/3))</f>
        <v/>
      </c>
      <c r="P32" s="170" t="str">
        <f>IF(OR(P30=0,O31=0),"",0.75*((P28*(P27+P30+1)^3+P29*(O31+1)^3)/(P28+P29))^(1/3))</f>
        <v/>
      </c>
      <c r="Q32" s="169" t="str">
        <f>IF(OR(Q30=0,Q31=0),"",0.75*((Q28*(Q27+Q30+1)^3+Q29*(Q31+1)^3)/(Q28+Q29))^(1/3))</f>
        <v/>
      </c>
      <c r="R32" s="170" t="str">
        <f>IF(OR(R30=0,Q31=0),"",0.75*((R28*(R27+R30+1)^3+R29*(Q31+1)^3)/(R28+R29))^(1/3))</f>
        <v/>
      </c>
      <c r="S32" s="169" t="str">
        <f>IF(OR(S30=0,S31=0),"",0.75*((S28*(S27+S30+1)^3+S29*(S31+1)^3)/(S28+S29))^(1/3))</f>
        <v/>
      </c>
      <c r="T32" s="170" t="str">
        <f>IF(OR(T30=0,S31=0),"",0.75*((T28*(T27+T30+1)^3+T29*(S31+1)^3)/(T28+T29))^(1/3))</f>
        <v/>
      </c>
      <c r="U32" s="169" t="str">
        <f>IF(OR(U30=0,U31=0),"",0.75*((U28*(U27+U30+1)^3+U29*(U31+1)^3)/(U28+U29))^(1/3))</f>
        <v/>
      </c>
      <c r="V32" s="170" t="str">
        <f>IF(OR(V30=0,U31=0),"",0.75*((V28*(V27+V30+1)^3+V29*(U31+1)^3)/(V28+V29))^(1/3))</f>
        <v/>
      </c>
      <c r="W32" s="169" t="str">
        <f>IF(OR(W30=0,W31=0),"",0.75*((W28*(W27+W30+1)^3+W29*(W31+1)^3)/(W28+W29))^(1/3))</f>
        <v/>
      </c>
      <c r="X32" s="170" t="str">
        <f>IF(OR(X30=0,W31=0),"",0.75*((X28*(X27+X30+1)^3+X29*(W31+1)^3)/(X28+X29))^(1/3))</f>
        <v/>
      </c>
      <c r="Y32" s="169" t="str">
        <f>IF(OR(Y30=0,Y31=0),"",0.75*((Y28*(Y27+Y30+1)^3+Y29*(Y31+1)^3)/(Y28+Y29))^(1/3))</f>
        <v/>
      </c>
      <c r="Z32" s="170" t="str">
        <f>IF(OR(Z30=0,Y31=0),"",0.75*((Z28*(Z27+Z30+1)^3+Z29*(Y31+1)^3)/(Z28+Z29))^(1/3))</f>
        <v/>
      </c>
      <c r="AA32" s="169" t="str">
        <f>IF(OR(AA30=0,AA31=0),"",0.75*((AA28*(AA27+AA30+1)^3+AA29*(AA31+1)^3)/(AA28+AA29))^(1/3))</f>
        <v/>
      </c>
      <c r="AB32" s="170" t="str">
        <f>IF(OR(AB30=0,AA31=0),"",0.75*((AB28*(AB27+AB30+1)^3+AB29*(AA31+1)^3)/(AB28+AB29))^(1/3))</f>
        <v/>
      </c>
      <c r="AC32" s="169" t="str">
        <f>IF(OR(AC30=0,AC31=0),"",0.75*((AC28*(AC27+AC30+1)^3+AC29*(AC31+1)^3)/(AC28+AC29))^(1/3))</f>
        <v/>
      </c>
      <c r="AD32" s="170" t="str">
        <f>IF(OR(AD30=0,AC31=0),"",0.75*((AD28*(AD27+AD30+1)^3+AD29*(AC31+1)^3)/(AD28+AD29))^(1/3))</f>
        <v/>
      </c>
      <c r="AE32" s="169" t="str">
        <f>IF(OR(AE30=0,AE31=0),"",0.75*((AE28*(AE27+AE30+1)^3+AE29*(AE31+1)^3)/(AE28+AE29))^(1/3))</f>
        <v/>
      </c>
      <c r="AF32" s="170" t="str">
        <f>IF(OR(AF30=0,AE31=0),"",0.75*((AF28*(AF27+AF30+1)^3+AF29*(AE31+1)^3)/(AF28+AF29))^(1/3))</f>
        <v/>
      </c>
      <c r="AG32" s="169" t="str">
        <f>IF(OR(AG30=0,AG31=0),"",0.75*((AG28*(AG27+AG30+1)^3+AG29*(AG31+1)^3)/(AG28+AG29))^(1/3))</f>
        <v/>
      </c>
      <c r="AH32" s="170" t="str">
        <f>IF(OR(AH30=0,AG31=0),"",0.75*((AH28*(AH27+AH30+1)^3+AH29*(AG31+1)^3)/(AH28+AH29))^(1/3))</f>
        <v/>
      </c>
      <c r="AI32" s="169" t="str">
        <f>IF(OR(AI30=0,AI31=0),"",0.75*((AI28*(AI27+AI30+1)^3+AI29*(AI31+1)^3)/(AI28+AI29))^(1/3))</f>
        <v/>
      </c>
      <c r="AJ32" s="170" t="str">
        <f>IF(OR(AJ30=0,AI31=0),"",0.75*((AJ28*(AJ27+AJ30+1)^3+AJ29*(AI31+1)^3)/(AJ28+AJ29))^(1/3))</f>
        <v/>
      </c>
      <c r="AK32" s="169" t="str">
        <f>IF(OR(AK30=0,AK31=0),"",0.75*((AK28*(AK27+AK30+1)^3+AK29*(AK31+1)^3)/(AK28+AK29))^(1/3))</f>
        <v/>
      </c>
      <c r="AL32" s="170" t="str">
        <f>IF(OR(AL30=0,AK31=0),"",0.75*((AL28*(AL27+AL30+1)^3+AL29*(AK31+1)^3)/(AL28+AL29))^(1/3))</f>
        <v/>
      </c>
      <c r="AM32" s="169" t="str">
        <f>IF(OR(AM30=0,AM31=0),"",0.75*((AM28*(AM27+AM30+1)^3+AM29*(AM31+1)^3)/(AM28+AM29))^(1/3))</f>
        <v/>
      </c>
      <c r="AN32" s="170" t="str">
        <f>IF(OR(AN30=0,AM31=0),"",0.75*((AN28*(AN27+AN30+1)^3+AN29*(AM31+1)^3)/(AN28+AN29))^(1/3))</f>
        <v/>
      </c>
      <c r="AO32" s="169" t="str">
        <f>IF(OR(AO30=0,AO31=0),"",0.75*((AO28*(AO27+AO30+1)^3+AO29*(AO31+1)^3)/(AO28+AO29))^(1/3))</f>
        <v/>
      </c>
      <c r="AP32" s="170" t="str">
        <f>IF(OR(AP30=0,AO31=0),"",0.75*((AP28*(AP27+AP30+1)^3+AP29*(AO31+1)^3)/(AP28+AP29))^(1/3))</f>
        <v/>
      </c>
      <c r="AQ32" s="169" t="str">
        <f>IF(OR(AQ30=0,AQ31=0),"",0.75*((AQ28*(AQ27+AQ30+1)^3+AQ29*(AQ31+1)^3)/(AQ28+AQ29))^(1/3))</f>
        <v/>
      </c>
      <c r="AR32" s="170" t="str">
        <f>IF(OR(AR30=0,AQ31=0),"",0.75*((AR28*(AR27+AR30+1)^3+AR29*(AQ31+1)^3)/(AR28+AR29))^(1/3))</f>
        <v/>
      </c>
      <c r="AS32" s="51"/>
      <c r="AT32" s="56"/>
    </row>
    <row r="33" spans="2:46" x14ac:dyDescent="0.25">
      <c r="B33" s="55"/>
      <c r="C33" s="10"/>
      <c r="D33" s="11" t="s">
        <v>51</v>
      </c>
      <c r="E33" s="10" t="str">
        <f>IF(E32="","",IF(E32&lt;=2,"A",IF(E32&lt;=2.75,"B",IF(E32&lt;=3.5,"C",IF(E32&lt;=4.25,"D",IF(E32&lt;=5,"E","F"))))))</f>
        <v>C</v>
      </c>
      <c r="F33" s="171" t="str">
        <f>IF(F32="","",IF(F32&lt;=2,"A",IF(F32&lt;=2.75,"B",IF(F32&lt;=3.5,"C",IF(F32&lt;=4.25,"D",IF(F32&lt;=5,"E","F"))))))</f>
        <v>C</v>
      </c>
      <c r="G33" s="10" t="str">
        <f>IF(G32="","",IF(G32&lt;=2,"A",IF(G32&lt;=2.75,"B",IF(G32&lt;=3.5,"C",IF(G32&lt;=4.25,"D",IF(G32&lt;=5,"E","F"))))))</f>
        <v/>
      </c>
      <c r="H33" s="171" t="str">
        <f>IF(H32="","",IF(H32&lt;=2,"A",IF(H32&lt;=2.75,"B",IF(H32&lt;=3.5,"C",IF(H32&lt;=4.25,"D",IF(H32&lt;=5,"E","F"))))))</f>
        <v/>
      </c>
      <c r="I33" s="10" t="str">
        <f>IF(I32="","",IF(I32&lt;=2,"A",IF(I32&lt;=2.75,"B",IF(I32&lt;=3.5,"C",IF(I32&lt;=4.25,"D",IF(I32&lt;=5,"E","F"))))))</f>
        <v/>
      </c>
      <c r="J33" s="171" t="str">
        <f>IF(J32="","",IF(J32&lt;=2,"A",IF(J32&lt;=2.75,"B",IF(J32&lt;=3.5,"C",IF(J32&lt;=4.25,"D",IF(J32&lt;=5,"E","F"))))))</f>
        <v/>
      </c>
      <c r="K33" s="10" t="str">
        <f>IF(K32="","",IF(K32&lt;=2,"A",IF(K32&lt;=2.75,"B",IF(K32&lt;=3.5,"C",IF(K32&lt;=4.25,"D",IF(K32&lt;=5,"E","F"))))))</f>
        <v/>
      </c>
      <c r="L33" s="171" t="str">
        <f>IF(L32="","",IF(L32&lt;=2,"A",IF(L32&lt;=2.75,"B",IF(L32&lt;=3.5,"C",IF(L32&lt;=4.25,"D",IF(L32&lt;=5,"E","F"))))))</f>
        <v/>
      </c>
      <c r="M33" s="10" t="str">
        <f>IF(M32="","",IF(M32&lt;=2,"A",IF(M32&lt;=2.75,"B",IF(M32&lt;=3.5,"C",IF(M32&lt;=4.25,"D",IF(M32&lt;=5,"E","F"))))))</f>
        <v/>
      </c>
      <c r="N33" s="171" t="str">
        <f>IF(N32="","",IF(N32&lt;=2,"A",IF(N32&lt;=2.75,"B",IF(N32&lt;=3.5,"C",IF(N32&lt;=4.25,"D",IF(N32&lt;=5,"E","F"))))))</f>
        <v/>
      </c>
      <c r="O33" s="10" t="str">
        <f>IF(O32="","",IF(O32&lt;=2,"A",IF(O32&lt;=2.75,"B",IF(O32&lt;=3.5,"C",IF(O32&lt;=4.25,"D",IF(O32&lt;=5,"E","F"))))))</f>
        <v/>
      </c>
      <c r="P33" s="171" t="str">
        <f>IF(P32="","",IF(P32&lt;=2,"A",IF(P32&lt;=2.75,"B",IF(P32&lt;=3.5,"C",IF(P32&lt;=4.25,"D",IF(P32&lt;=5,"E","F"))))))</f>
        <v/>
      </c>
      <c r="Q33" s="10" t="str">
        <f>IF(Q32="","",IF(Q32&lt;=2,"A",IF(Q32&lt;=2.75,"B",IF(Q32&lt;=3.5,"C",IF(Q32&lt;=4.25,"D",IF(Q32&lt;=5,"E","F"))))))</f>
        <v/>
      </c>
      <c r="R33" s="171" t="str">
        <f>IF(R32="","",IF(R32&lt;=2,"A",IF(R32&lt;=2.75,"B",IF(R32&lt;=3.5,"C",IF(R32&lt;=4.25,"D",IF(R32&lt;=5,"E","F"))))))</f>
        <v/>
      </c>
      <c r="S33" s="10" t="str">
        <f>IF(S32="","",IF(S32&lt;=2,"A",IF(S32&lt;=2.75,"B",IF(S32&lt;=3.5,"C",IF(S32&lt;=4.25,"D",IF(S32&lt;=5,"E","F"))))))</f>
        <v/>
      </c>
      <c r="T33" s="171" t="str">
        <f>IF(T32="","",IF(T32&lt;=2,"A",IF(T32&lt;=2.75,"B",IF(T32&lt;=3.5,"C",IF(T32&lt;=4.25,"D",IF(T32&lt;=5,"E","F"))))))</f>
        <v/>
      </c>
      <c r="U33" s="10" t="str">
        <f>IF(U32="","",IF(U32&lt;=2,"A",IF(U32&lt;=2.75,"B",IF(U32&lt;=3.5,"C",IF(U32&lt;=4.25,"D",IF(U32&lt;=5,"E","F"))))))</f>
        <v/>
      </c>
      <c r="V33" s="171" t="str">
        <f>IF(V32="","",IF(V32&lt;=2,"A",IF(V32&lt;=2.75,"B",IF(V32&lt;=3.5,"C",IF(V32&lt;=4.25,"D",IF(V32&lt;=5,"E","F"))))))</f>
        <v/>
      </c>
      <c r="W33" s="10" t="str">
        <f>IF(W32="","",IF(W32&lt;=2,"A",IF(W32&lt;=2.75,"B",IF(W32&lt;=3.5,"C",IF(W32&lt;=4.25,"D",IF(W32&lt;=5,"E","F"))))))</f>
        <v/>
      </c>
      <c r="X33" s="171" t="str">
        <f>IF(X32="","",IF(X32&lt;=2,"A",IF(X32&lt;=2.75,"B",IF(X32&lt;=3.5,"C",IF(X32&lt;=4.25,"D",IF(X32&lt;=5,"E","F"))))))</f>
        <v/>
      </c>
      <c r="Y33" s="10" t="str">
        <f>IF(Y32="","",IF(Y32&lt;=2,"A",IF(Y32&lt;=2.75,"B",IF(Y32&lt;=3.5,"C",IF(Y32&lt;=4.25,"D",IF(Y32&lt;=5,"E","F"))))))</f>
        <v/>
      </c>
      <c r="Z33" s="171" t="str">
        <f>IF(Z32="","",IF(Z32&lt;=2,"A",IF(Z32&lt;=2.75,"B",IF(Z32&lt;=3.5,"C",IF(Z32&lt;=4.25,"D",IF(Z32&lt;=5,"E","F"))))))</f>
        <v/>
      </c>
      <c r="AA33" s="10" t="str">
        <f>IF(AA32="","",IF(AA32&lt;=2,"A",IF(AA32&lt;=2.75,"B",IF(AA32&lt;=3.5,"C",IF(AA32&lt;=4.25,"D",IF(AA32&lt;=5,"E","F"))))))</f>
        <v/>
      </c>
      <c r="AB33" s="171" t="str">
        <f>IF(AB32="","",IF(AB32&lt;=2,"A",IF(AB32&lt;=2.75,"B",IF(AB32&lt;=3.5,"C",IF(AB32&lt;=4.25,"D",IF(AB32&lt;=5,"E","F"))))))</f>
        <v/>
      </c>
      <c r="AC33" s="10" t="str">
        <f>IF(AC32="","",IF(AC32&lt;=2,"A",IF(AC32&lt;=2.75,"B",IF(AC32&lt;=3.5,"C",IF(AC32&lt;=4.25,"D",IF(AC32&lt;=5,"E","F"))))))</f>
        <v/>
      </c>
      <c r="AD33" s="171" t="str">
        <f>IF(AD32="","",IF(AD32&lt;=2,"A",IF(AD32&lt;=2.75,"B",IF(AD32&lt;=3.5,"C",IF(AD32&lt;=4.25,"D",IF(AD32&lt;=5,"E","F"))))))</f>
        <v/>
      </c>
      <c r="AE33" s="10" t="str">
        <f>IF(AE32="","",IF(AE32&lt;=2,"A",IF(AE32&lt;=2.75,"B",IF(AE32&lt;=3.5,"C",IF(AE32&lt;=4.25,"D",IF(AE32&lt;=5,"E","F"))))))</f>
        <v/>
      </c>
      <c r="AF33" s="171" t="str">
        <f>IF(AF32="","",IF(AF32&lt;=2,"A",IF(AF32&lt;=2.75,"B",IF(AF32&lt;=3.5,"C",IF(AF32&lt;=4.25,"D",IF(AF32&lt;=5,"E","F"))))))</f>
        <v/>
      </c>
      <c r="AG33" s="10" t="str">
        <f>IF(AG32="","",IF(AG32&lt;=2,"A",IF(AG32&lt;=2.75,"B",IF(AG32&lt;=3.5,"C",IF(AG32&lt;=4.25,"D",IF(AG32&lt;=5,"E","F"))))))</f>
        <v/>
      </c>
      <c r="AH33" s="171" t="str">
        <f>IF(AH32="","",IF(AH32&lt;=2,"A",IF(AH32&lt;=2.75,"B",IF(AH32&lt;=3.5,"C",IF(AH32&lt;=4.25,"D",IF(AH32&lt;=5,"E","F"))))))</f>
        <v/>
      </c>
      <c r="AI33" s="10" t="str">
        <f>IF(AI32="","",IF(AI32&lt;=2,"A",IF(AI32&lt;=2.75,"B",IF(AI32&lt;=3.5,"C",IF(AI32&lt;=4.25,"D",IF(AI32&lt;=5,"E","F"))))))</f>
        <v/>
      </c>
      <c r="AJ33" s="171" t="str">
        <f>IF(AJ32="","",IF(AJ32&lt;=2,"A",IF(AJ32&lt;=2.75,"B",IF(AJ32&lt;=3.5,"C",IF(AJ32&lt;=4.25,"D",IF(AJ32&lt;=5,"E","F"))))))</f>
        <v/>
      </c>
      <c r="AK33" s="10" t="str">
        <f>IF(AK32="","",IF(AK32&lt;=2,"A",IF(AK32&lt;=2.75,"B",IF(AK32&lt;=3.5,"C",IF(AK32&lt;=4.25,"D",IF(AK32&lt;=5,"E","F"))))))</f>
        <v/>
      </c>
      <c r="AL33" s="171" t="str">
        <f>IF(AL32="","",IF(AL32&lt;=2,"A",IF(AL32&lt;=2.75,"B",IF(AL32&lt;=3.5,"C",IF(AL32&lt;=4.25,"D",IF(AL32&lt;=5,"E","F"))))))</f>
        <v/>
      </c>
      <c r="AM33" s="10" t="str">
        <f>IF(AM32="","",IF(AM32&lt;=2,"A",IF(AM32&lt;=2.75,"B",IF(AM32&lt;=3.5,"C",IF(AM32&lt;=4.25,"D",IF(AM32&lt;=5,"E","F"))))))</f>
        <v/>
      </c>
      <c r="AN33" s="171" t="str">
        <f>IF(AN32="","",IF(AN32&lt;=2,"A",IF(AN32&lt;=2.75,"B",IF(AN32&lt;=3.5,"C",IF(AN32&lt;=4.25,"D",IF(AN32&lt;=5,"E","F"))))))</f>
        <v/>
      </c>
      <c r="AO33" s="10" t="str">
        <f>IF(AO32="","",IF(AO32&lt;=2,"A",IF(AO32&lt;=2.75,"B",IF(AO32&lt;=3.5,"C",IF(AO32&lt;=4.25,"D",IF(AO32&lt;=5,"E","F"))))))</f>
        <v/>
      </c>
      <c r="AP33" s="171" t="str">
        <f>IF(AP32="","",IF(AP32&lt;=2,"A",IF(AP32&lt;=2.75,"B",IF(AP32&lt;=3.5,"C",IF(AP32&lt;=4.25,"D",IF(AP32&lt;=5,"E","F"))))))</f>
        <v/>
      </c>
      <c r="AQ33" s="10" t="str">
        <f>IF(AQ32="","",IF(AQ32&lt;=2,"A",IF(AQ32&lt;=2.75,"B",IF(AQ32&lt;=3.5,"C",IF(AQ32&lt;=4.25,"D",IF(AQ32&lt;=5,"E","F"))))))</f>
        <v/>
      </c>
      <c r="AR33" s="171" t="str">
        <f>IF(AR32="","",IF(AR32&lt;=2,"A",IF(AR32&lt;=2.75,"B",IF(AR32&lt;=3.5,"C",IF(AR32&lt;=4.25,"D",IF(AR32&lt;=5,"E","F"))))))</f>
        <v/>
      </c>
      <c r="AS33" s="51"/>
      <c r="AT33" s="56"/>
    </row>
    <row r="34" spans="2:46" s="22" customFormat="1" ht="15.75" x14ac:dyDescent="0.25">
      <c r="B34" s="61"/>
      <c r="C34" s="17"/>
      <c r="D34" s="8" t="s">
        <v>206</v>
      </c>
      <c r="E34" s="17"/>
      <c r="F34" s="18"/>
      <c r="G34" s="17"/>
      <c r="H34" s="18"/>
      <c r="I34" s="17"/>
      <c r="J34" s="18"/>
      <c r="K34" s="17"/>
      <c r="L34" s="18"/>
      <c r="M34" s="17"/>
      <c r="N34" s="18"/>
      <c r="O34" s="17"/>
      <c r="P34" s="18"/>
      <c r="Q34" s="17"/>
      <c r="R34" s="18"/>
      <c r="S34" s="17"/>
      <c r="T34" s="18"/>
      <c r="U34" s="17"/>
      <c r="V34" s="18"/>
      <c r="W34" s="17"/>
      <c r="X34" s="18"/>
      <c r="Y34" s="17"/>
      <c r="Z34" s="18"/>
      <c r="AA34" s="17"/>
      <c r="AB34" s="18"/>
      <c r="AC34" s="17"/>
      <c r="AD34" s="18"/>
      <c r="AE34" s="17"/>
      <c r="AF34" s="18"/>
      <c r="AG34" s="17"/>
      <c r="AH34" s="18"/>
      <c r="AI34" s="17"/>
      <c r="AJ34" s="18"/>
      <c r="AK34" s="17"/>
      <c r="AL34" s="18"/>
      <c r="AM34" s="17"/>
      <c r="AN34" s="18"/>
      <c r="AO34" s="17"/>
      <c r="AP34" s="18"/>
      <c r="AQ34" s="17"/>
      <c r="AR34" s="18"/>
      <c r="AS34" s="50"/>
      <c r="AT34" s="62"/>
    </row>
    <row r="35" spans="2:46" ht="14.25" x14ac:dyDescent="0.25">
      <c r="B35" s="55"/>
      <c r="C35" s="10" t="s">
        <v>226</v>
      </c>
      <c r="D35" s="11" t="s">
        <v>89</v>
      </c>
      <c r="E35" s="169">
        <f>Links!F86</f>
        <v>2.3018643597591808</v>
      </c>
      <c r="F35" s="170">
        <f>Links!G86</f>
        <v>2.3438381097591807</v>
      </c>
      <c r="G35" s="169">
        <f>Links!H86</f>
        <v>0</v>
      </c>
      <c r="H35" s="170">
        <f>Links!I86</f>
        <v>0</v>
      </c>
      <c r="I35" s="169">
        <f>Links!J86</f>
        <v>0</v>
      </c>
      <c r="J35" s="170">
        <f>Links!K86</f>
        <v>0</v>
      </c>
      <c r="K35" s="169">
        <f>Links!L86</f>
        <v>0</v>
      </c>
      <c r="L35" s="170">
        <f>Links!M86</f>
        <v>0</v>
      </c>
      <c r="M35" s="169">
        <f>Links!N86</f>
        <v>0</v>
      </c>
      <c r="N35" s="170">
        <f>Links!O86</f>
        <v>0</v>
      </c>
      <c r="O35" s="169">
        <f>Links!P86</f>
        <v>0</v>
      </c>
      <c r="P35" s="170">
        <f>Links!Q86</f>
        <v>0</v>
      </c>
      <c r="Q35" s="169">
        <f>Links!R86</f>
        <v>0</v>
      </c>
      <c r="R35" s="170">
        <f>Links!S86</f>
        <v>0</v>
      </c>
      <c r="S35" s="169">
        <f>Links!T86</f>
        <v>0</v>
      </c>
      <c r="T35" s="170">
        <f>Links!U86</f>
        <v>0</v>
      </c>
      <c r="U35" s="169">
        <f>Links!V86</f>
        <v>0</v>
      </c>
      <c r="V35" s="170">
        <f>Links!W86</f>
        <v>0</v>
      </c>
      <c r="W35" s="169">
        <f>Links!X86</f>
        <v>0</v>
      </c>
      <c r="X35" s="170">
        <f>Links!Y86</f>
        <v>0</v>
      </c>
      <c r="Y35" s="169">
        <f>Links!Z86</f>
        <v>0</v>
      </c>
      <c r="Z35" s="170">
        <f>Links!AA86</f>
        <v>0</v>
      </c>
      <c r="AA35" s="169">
        <f>Links!AB86</f>
        <v>0</v>
      </c>
      <c r="AB35" s="170">
        <f>Links!AC86</f>
        <v>0</v>
      </c>
      <c r="AC35" s="169">
        <f>Links!AD86</f>
        <v>0</v>
      </c>
      <c r="AD35" s="170">
        <f>Links!AE86</f>
        <v>0</v>
      </c>
      <c r="AE35" s="169">
        <f>Links!AF86</f>
        <v>0</v>
      </c>
      <c r="AF35" s="170">
        <f>Links!AG86</f>
        <v>0</v>
      </c>
      <c r="AG35" s="169">
        <f>Links!AH86</f>
        <v>0</v>
      </c>
      <c r="AH35" s="170">
        <f>Links!AI86</f>
        <v>0</v>
      </c>
      <c r="AI35" s="169">
        <f>Links!AJ86</f>
        <v>0</v>
      </c>
      <c r="AJ35" s="170">
        <f>Links!AK86</f>
        <v>0</v>
      </c>
      <c r="AK35" s="169">
        <f>Links!AL86</f>
        <v>0</v>
      </c>
      <c r="AL35" s="170">
        <f>Links!AM86</f>
        <v>0</v>
      </c>
      <c r="AM35" s="169">
        <f>Links!AN86</f>
        <v>0</v>
      </c>
      <c r="AN35" s="170">
        <f>Links!AO86</f>
        <v>0</v>
      </c>
      <c r="AO35" s="169">
        <f>Links!AP86</f>
        <v>0</v>
      </c>
      <c r="AP35" s="170">
        <f>Links!AQ86</f>
        <v>0</v>
      </c>
      <c r="AQ35" s="169">
        <f>Links!AR86</f>
        <v>0</v>
      </c>
      <c r="AR35" s="170">
        <f>Links!AS86</f>
        <v>0</v>
      </c>
      <c r="AS35" s="51"/>
      <c r="AT35" s="56"/>
    </row>
    <row r="36" spans="2:46" x14ac:dyDescent="0.25">
      <c r="B36" s="55"/>
      <c r="C36" s="10"/>
      <c r="D36" s="11" t="s">
        <v>52</v>
      </c>
      <c r="E36" s="10" t="str">
        <f>IF(E35&lt;=2,"A",IF(E35&lt;=2.75,"B",IF(E35&lt;=3.5,"C",IF(E35&lt;=4.25,"D",IF(E35&lt;=5,"E","F")))))</f>
        <v>B</v>
      </c>
      <c r="F36" s="171" t="str">
        <f>IF(F35&lt;=2,"A",IF(F35&lt;=2.75,"B",IF(F35&lt;=3.5,"C",IF(F35&lt;=4.25,"D",IF(F35&lt;=5,"E","F")))))</f>
        <v>B</v>
      </c>
      <c r="G36" s="10" t="str">
        <f>IF(G35&lt;=2,"A",IF(G35&lt;=2.75,"B",IF(G35&lt;=3.5,"C",IF(G35&lt;=4.25,"D",IF(G35&lt;=5,"E","F")))))</f>
        <v>A</v>
      </c>
      <c r="H36" s="171" t="str">
        <f>IF(H35&lt;=2,"A",IF(H35&lt;=2.75,"B",IF(H35&lt;=3.5,"C",IF(H35&lt;=4.25,"D",IF(H35&lt;=5,"E","F")))))</f>
        <v>A</v>
      </c>
      <c r="I36" s="10" t="str">
        <f>IF(I35&lt;=2,"A",IF(I35&lt;=2.75,"B",IF(I35&lt;=3.5,"C",IF(I35&lt;=4.25,"D",IF(I35&lt;=5,"E","F")))))</f>
        <v>A</v>
      </c>
      <c r="J36" s="171" t="str">
        <f>IF(J35&lt;=2,"A",IF(J35&lt;=2.75,"B",IF(J35&lt;=3.5,"C",IF(J35&lt;=4.25,"D",IF(J35&lt;=5,"E","F")))))</f>
        <v>A</v>
      </c>
      <c r="K36" s="10" t="str">
        <f>IF(K35&lt;=2,"A",IF(K35&lt;=2.75,"B",IF(K35&lt;=3.5,"C",IF(K35&lt;=4.25,"D",IF(K35&lt;=5,"E","F")))))</f>
        <v>A</v>
      </c>
      <c r="L36" s="171" t="str">
        <f>IF(L35&lt;=2,"A",IF(L35&lt;=2.75,"B",IF(L35&lt;=3.5,"C",IF(L35&lt;=4.25,"D",IF(L35&lt;=5,"E","F")))))</f>
        <v>A</v>
      </c>
      <c r="M36" s="10" t="str">
        <f>IF(M35&lt;=2,"A",IF(M35&lt;=2.75,"B",IF(M35&lt;=3.5,"C",IF(M35&lt;=4.25,"D",IF(M35&lt;=5,"E","F")))))</f>
        <v>A</v>
      </c>
      <c r="N36" s="171" t="str">
        <f>IF(N35&lt;=2,"A",IF(N35&lt;=2.75,"B",IF(N35&lt;=3.5,"C",IF(N35&lt;=4.25,"D",IF(N35&lt;=5,"E","F")))))</f>
        <v>A</v>
      </c>
      <c r="O36" s="10" t="str">
        <f>IF(O35&lt;=2,"A",IF(O35&lt;=2.75,"B",IF(O35&lt;=3.5,"C",IF(O35&lt;=4.25,"D",IF(O35&lt;=5,"E","F")))))</f>
        <v>A</v>
      </c>
      <c r="P36" s="171" t="str">
        <f>IF(P35&lt;=2,"A",IF(P35&lt;=2.75,"B",IF(P35&lt;=3.5,"C",IF(P35&lt;=4.25,"D",IF(P35&lt;=5,"E","F")))))</f>
        <v>A</v>
      </c>
      <c r="Q36" s="10" t="str">
        <f>IF(Q35&lt;=2,"A",IF(Q35&lt;=2.75,"B",IF(Q35&lt;=3.5,"C",IF(Q35&lt;=4.25,"D",IF(Q35&lt;=5,"E","F")))))</f>
        <v>A</v>
      </c>
      <c r="R36" s="171" t="str">
        <f>IF(R35&lt;=2,"A",IF(R35&lt;=2.75,"B",IF(R35&lt;=3.5,"C",IF(R35&lt;=4.25,"D",IF(R35&lt;=5,"E","F")))))</f>
        <v>A</v>
      </c>
      <c r="S36" s="10" t="str">
        <f>IF(S35&lt;=2,"A",IF(S35&lt;=2.75,"B",IF(S35&lt;=3.5,"C",IF(S35&lt;=4.25,"D",IF(S35&lt;=5,"E","F")))))</f>
        <v>A</v>
      </c>
      <c r="T36" s="171" t="str">
        <f>IF(T35&lt;=2,"A",IF(T35&lt;=2.75,"B",IF(T35&lt;=3.5,"C",IF(T35&lt;=4.25,"D",IF(T35&lt;=5,"E","F")))))</f>
        <v>A</v>
      </c>
      <c r="U36" s="10" t="str">
        <f>IF(U35&lt;=2,"A",IF(U35&lt;=2.75,"B",IF(U35&lt;=3.5,"C",IF(U35&lt;=4.25,"D",IF(U35&lt;=5,"E","F")))))</f>
        <v>A</v>
      </c>
      <c r="V36" s="171" t="str">
        <f>IF(V35&lt;=2,"A",IF(V35&lt;=2.75,"B",IF(V35&lt;=3.5,"C",IF(V35&lt;=4.25,"D",IF(V35&lt;=5,"E","F")))))</f>
        <v>A</v>
      </c>
      <c r="W36" s="10" t="str">
        <f>IF(W35&lt;=2,"A",IF(W35&lt;=2.75,"B",IF(W35&lt;=3.5,"C",IF(W35&lt;=4.25,"D",IF(W35&lt;=5,"E","F")))))</f>
        <v>A</v>
      </c>
      <c r="X36" s="171" t="str">
        <f>IF(X35&lt;=2,"A",IF(X35&lt;=2.75,"B",IF(X35&lt;=3.5,"C",IF(X35&lt;=4.25,"D",IF(X35&lt;=5,"E","F")))))</f>
        <v>A</v>
      </c>
      <c r="Y36" s="10" t="str">
        <f>IF(Y35&lt;=2,"A",IF(Y35&lt;=2.75,"B",IF(Y35&lt;=3.5,"C",IF(Y35&lt;=4.25,"D",IF(Y35&lt;=5,"E","F")))))</f>
        <v>A</v>
      </c>
      <c r="Z36" s="171" t="str">
        <f>IF(Z35&lt;=2,"A",IF(Z35&lt;=2.75,"B",IF(Z35&lt;=3.5,"C",IF(Z35&lt;=4.25,"D",IF(Z35&lt;=5,"E","F")))))</f>
        <v>A</v>
      </c>
      <c r="AA36" s="10" t="str">
        <f>IF(AA35&lt;=2,"A",IF(AA35&lt;=2.75,"B",IF(AA35&lt;=3.5,"C",IF(AA35&lt;=4.25,"D",IF(AA35&lt;=5,"E","F")))))</f>
        <v>A</v>
      </c>
      <c r="AB36" s="171" t="str">
        <f>IF(AB35&lt;=2,"A",IF(AB35&lt;=2.75,"B",IF(AB35&lt;=3.5,"C",IF(AB35&lt;=4.25,"D",IF(AB35&lt;=5,"E","F")))))</f>
        <v>A</v>
      </c>
      <c r="AC36" s="10" t="str">
        <f>IF(AC35&lt;=2,"A",IF(AC35&lt;=2.75,"B",IF(AC35&lt;=3.5,"C",IF(AC35&lt;=4.25,"D",IF(AC35&lt;=5,"E","F")))))</f>
        <v>A</v>
      </c>
      <c r="AD36" s="171" t="str">
        <f>IF(AD35&lt;=2,"A",IF(AD35&lt;=2.75,"B",IF(AD35&lt;=3.5,"C",IF(AD35&lt;=4.25,"D",IF(AD35&lt;=5,"E","F")))))</f>
        <v>A</v>
      </c>
      <c r="AE36" s="10" t="str">
        <f>IF(AE35&lt;=2,"A",IF(AE35&lt;=2.75,"B",IF(AE35&lt;=3.5,"C",IF(AE35&lt;=4.25,"D",IF(AE35&lt;=5,"E","F")))))</f>
        <v>A</v>
      </c>
      <c r="AF36" s="171" t="str">
        <f>IF(AF35&lt;=2,"A",IF(AF35&lt;=2.75,"B",IF(AF35&lt;=3.5,"C",IF(AF35&lt;=4.25,"D",IF(AF35&lt;=5,"E","F")))))</f>
        <v>A</v>
      </c>
      <c r="AG36" s="10" t="str">
        <f>IF(AG35&lt;=2,"A",IF(AG35&lt;=2.75,"B",IF(AG35&lt;=3.5,"C",IF(AG35&lt;=4.25,"D",IF(AG35&lt;=5,"E","F")))))</f>
        <v>A</v>
      </c>
      <c r="AH36" s="171" t="str">
        <f>IF(AH35&lt;=2,"A",IF(AH35&lt;=2.75,"B",IF(AH35&lt;=3.5,"C",IF(AH35&lt;=4.25,"D",IF(AH35&lt;=5,"E","F")))))</f>
        <v>A</v>
      </c>
      <c r="AI36" s="10" t="str">
        <f>IF(AI35&lt;=2,"A",IF(AI35&lt;=2.75,"B",IF(AI35&lt;=3.5,"C",IF(AI35&lt;=4.25,"D",IF(AI35&lt;=5,"E","F")))))</f>
        <v>A</v>
      </c>
      <c r="AJ36" s="171" t="str">
        <f>IF(AJ35&lt;=2,"A",IF(AJ35&lt;=2.75,"B",IF(AJ35&lt;=3.5,"C",IF(AJ35&lt;=4.25,"D",IF(AJ35&lt;=5,"E","F")))))</f>
        <v>A</v>
      </c>
      <c r="AK36" s="10" t="str">
        <f>IF(AK35&lt;=2,"A",IF(AK35&lt;=2.75,"B",IF(AK35&lt;=3.5,"C",IF(AK35&lt;=4.25,"D",IF(AK35&lt;=5,"E","F")))))</f>
        <v>A</v>
      </c>
      <c r="AL36" s="171" t="str">
        <f>IF(AL35&lt;=2,"A",IF(AL35&lt;=2.75,"B",IF(AL35&lt;=3.5,"C",IF(AL35&lt;=4.25,"D",IF(AL35&lt;=5,"E","F")))))</f>
        <v>A</v>
      </c>
      <c r="AM36" s="10" t="str">
        <f>IF(AM35&lt;=2,"A",IF(AM35&lt;=2.75,"B",IF(AM35&lt;=3.5,"C",IF(AM35&lt;=4.25,"D",IF(AM35&lt;=5,"E","F")))))</f>
        <v>A</v>
      </c>
      <c r="AN36" s="171" t="str">
        <f>IF(AN35&lt;=2,"A",IF(AN35&lt;=2.75,"B",IF(AN35&lt;=3.5,"C",IF(AN35&lt;=4.25,"D",IF(AN35&lt;=5,"E","F")))))</f>
        <v>A</v>
      </c>
      <c r="AO36" s="10" t="str">
        <f>IF(AO35&lt;=2,"A",IF(AO35&lt;=2.75,"B",IF(AO35&lt;=3.5,"C",IF(AO35&lt;=4.25,"D",IF(AO35&lt;=5,"E","F")))))</f>
        <v>A</v>
      </c>
      <c r="AP36" s="171" t="str">
        <f>IF(AP35&lt;=2,"A",IF(AP35&lt;=2.75,"B",IF(AP35&lt;=3.5,"C",IF(AP35&lt;=4.25,"D",IF(AP35&lt;=5,"E","F")))))</f>
        <v>A</v>
      </c>
      <c r="AQ36" s="10" t="str">
        <f>IF(AQ35&lt;=2,"A",IF(AQ35&lt;=2.75,"B",IF(AQ35&lt;=3.5,"C",IF(AQ35&lt;=4.25,"D",IF(AQ35&lt;=5,"E","F")))))</f>
        <v>A</v>
      </c>
      <c r="AR36" s="171" t="str">
        <f>IF(AR35&lt;=2,"A",IF(AR35&lt;=2.75,"B",IF(AR35&lt;=3.5,"C",IF(AR35&lt;=4.25,"D",IF(AR35&lt;=5,"E","F")))))</f>
        <v>A</v>
      </c>
      <c r="AS36" s="51"/>
      <c r="AT36" s="56"/>
    </row>
    <row r="37" spans="2:46" ht="13.5" thickBot="1" x14ac:dyDescent="0.3">
      <c r="B37" s="55"/>
      <c r="C37" s="37"/>
      <c r="D37" s="60"/>
      <c r="E37" s="37"/>
      <c r="F37" s="37"/>
      <c r="G37" s="37"/>
      <c r="H37" s="37"/>
      <c r="I37" s="37"/>
      <c r="J37" s="37"/>
      <c r="K37" s="37"/>
      <c r="L37" s="37"/>
      <c r="M37" s="37"/>
      <c r="N37" s="37"/>
      <c r="O37" s="37"/>
      <c r="P37" s="37"/>
      <c r="Q37" s="37"/>
      <c r="R37" s="37"/>
      <c r="S37" s="37"/>
      <c r="T37" s="37"/>
      <c r="U37" s="37"/>
      <c r="V37" s="37"/>
      <c r="W37" s="37"/>
      <c r="X37" s="37"/>
      <c r="Y37" s="37"/>
      <c r="Z37" s="37"/>
      <c r="AA37" s="37"/>
      <c r="AB37" s="37"/>
      <c r="AC37" s="37"/>
      <c r="AD37" s="37"/>
      <c r="AE37" s="37"/>
      <c r="AF37" s="37"/>
      <c r="AG37" s="37"/>
      <c r="AH37" s="37"/>
      <c r="AI37" s="37"/>
      <c r="AJ37" s="37"/>
      <c r="AK37" s="37"/>
      <c r="AL37" s="37"/>
      <c r="AM37" s="37"/>
      <c r="AN37" s="37"/>
      <c r="AO37" s="37"/>
      <c r="AP37" s="37"/>
      <c r="AQ37" s="37"/>
      <c r="AR37" s="37"/>
      <c r="AS37" s="60"/>
      <c r="AT37" s="56"/>
    </row>
    <row r="38" spans="2:46" s="21" customFormat="1" ht="15.95" customHeight="1" x14ac:dyDescent="0.25">
      <c r="B38" s="57"/>
      <c r="C38" s="178" t="s">
        <v>49</v>
      </c>
      <c r="D38" s="180"/>
      <c r="E38" s="178" t="str">
        <f>E3</f>
        <v>Segment 1</v>
      </c>
      <c r="F38" s="180"/>
      <c r="G38" s="178" t="str">
        <f>G3</f>
        <v>Link 2</v>
      </c>
      <c r="H38" s="180"/>
      <c r="I38" s="178" t="str">
        <f>I3</f>
        <v>Link 3</v>
      </c>
      <c r="J38" s="180"/>
      <c r="K38" s="178" t="str">
        <f>K3</f>
        <v>Link 4</v>
      </c>
      <c r="L38" s="180"/>
      <c r="M38" s="178" t="str">
        <f>M3</f>
        <v>Link 5</v>
      </c>
      <c r="N38" s="180"/>
      <c r="O38" s="178" t="str">
        <f>O3</f>
        <v>Link 6</v>
      </c>
      <c r="P38" s="180"/>
      <c r="Q38" s="178" t="str">
        <f>Q3</f>
        <v>Link 7</v>
      </c>
      <c r="R38" s="180"/>
      <c r="S38" s="178" t="str">
        <f>S3</f>
        <v>Link 8</v>
      </c>
      <c r="T38" s="180"/>
      <c r="U38" s="178" t="str">
        <f>U3</f>
        <v>Link 9</v>
      </c>
      <c r="V38" s="180"/>
      <c r="W38" s="178" t="str">
        <f>W3</f>
        <v>Link 10</v>
      </c>
      <c r="X38" s="180"/>
      <c r="Y38" s="178" t="str">
        <f>Y3</f>
        <v>Link 11</v>
      </c>
      <c r="Z38" s="180"/>
      <c r="AA38" s="178" t="str">
        <f>AA3</f>
        <v>Link 12</v>
      </c>
      <c r="AB38" s="180"/>
      <c r="AC38" s="178" t="str">
        <f>AC3</f>
        <v>Link 13</v>
      </c>
      <c r="AD38" s="180"/>
      <c r="AE38" s="178" t="str">
        <f>AE3</f>
        <v>Link 14</v>
      </c>
      <c r="AF38" s="180"/>
      <c r="AG38" s="178" t="str">
        <f>AG3</f>
        <v>Link 15</v>
      </c>
      <c r="AH38" s="180"/>
      <c r="AI38" s="178" t="str">
        <f>AI3</f>
        <v>Link 16</v>
      </c>
      <c r="AJ38" s="180"/>
      <c r="AK38" s="178" t="str">
        <f>AK3</f>
        <v>Link 17</v>
      </c>
      <c r="AL38" s="180"/>
      <c r="AM38" s="178" t="str">
        <f>AM3</f>
        <v>Link 18</v>
      </c>
      <c r="AN38" s="180"/>
      <c r="AO38" s="178" t="str">
        <f>AO3</f>
        <v>Link 19</v>
      </c>
      <c r="AP38" s="180"/>
      <c r="AQ38" s="178" t="str">
        <f>AQ3</f>
        <v>Link 20</v>
      </c>
      <c r="AR38" s="179"/>
      <c r="AS38" s="47" t="str">
        <f>AS3</f>
        <v>Total</v>
      </c>
      <c r="AT38" s="58"/>
    </row>
    <row r="39" spans="2:46" x14ac:dyDescent="0.25">
      <c r="B39" s="55"/>
      <c r="C39" s="4"/>
      <c r="D39" s="8" t="s">
        <v>50</v>
      </c>
      <c r="E39" s="4"/>
      <c r="F39" s="5"/>
      <c r="G39" s="4"/>
      <c r="H39" s="5"/>
      <c r="I39" s="4"/>
      <c r="J39" s="5"/>
      <c r="K39" s="4"/>
      <c r="L39" s="5"/>
      <c r="M39" s="4"/>
      <c r="N39" s="5"/>
      <c r="O39" s="4"/>
      <c r="P39" s="5"/>
      <c r="Q39" s="4"/>
      <c r="R39" s="5"/>
      <c r="S39" s="4"/>
      <c r="T39" s="5"/>
      <c r="U39" s="4"/>
      <c r="V39" s="5"/>
      <c r="W39" s="4"/>
      <c r="X39" s="5"/>
      <c r="Y39" s="4"/>
      <c r="Z39" s="5"/>
      <c r="AA39" s="4"/>
      <c r="AB39" s="5"/>
      <c r="AC39" s="4"/>
      <c r="AD39" s="5"/>
      <c r="AE39" s="4"/>
      <c r="AF39" s="5"/>
      <c r="AG39" s="4"/>
      <c r="AH39" s="5"/>
      <c r="AI39" s="4"/>
      <c r="AJ39" s="5"/>
      <c r="AK39" s="4"/>
      <c r="AL39" s="5"/>
      <c r="AM39" s="4"/>
      <c r="AN39" s="5"/>
      <c r="AO39" s="4"/>
      <c r="AP39" s="5"/>
      <c r="AQ39" s="4"/>
      <c r="AR39" s="5"/>
      <c r="AS39" s="46"/>
      <c r="AT39" s="56"/>
    </row>
    <row r="40" spans="2:46" ht="14.25" x14ac:dyDescent="0.25">
      <c r="B40" s="55"/>
      <c r="C40" s="10" t="s">
        <v>224</v>
      </c>
      <c r="D40" s="11" t="s">
        <v>93</v>
      </c>
      <c r="E40" s="184">
        <f>IF(OR(ISBLANK(E8),E8=0),"",MAX(E22:F22))</f>
        <v>2.585866496977637</v>
      </c>
      <c r="F40" s="185"/>
      <c r="G40" s="184" t="str">
        <f>IF(OR(ISBLANK(G8),G8=0),"",MAX(G22:H22))</f>
        <v/>
      </c>
      <c r="H40" s="185"/>
      <c r="I40" s="184" t="str">
        <f>IF(OR(ISBLANK(I8),I8=0),"",MAX(I22:J22))</f>
        <v/>
      </c>
      <c r="J40" s="185"/>
      <c r="K40" s="184" t="str">
        <f>IF(OR(ISBLANK(K8),K8=0),"",MAX(K22:L22))</f>
        <v/>
      </c>
      <c r="L40" s="185"/>
      <c r="M40" s="184" t="str">
        <f>IF(OR(ISBLANK(M8),M8=0),"",MAX(M22:N22))</f>
        <v/>
      </c>
      <c r="N40" s="185"/>
      <c r="O40" s="184" t="str">
        <f>IF(OR(ISBLANK(O8),O8=0),"",MAX(O22:P22))</f>
        <v/>
      </c>
      <c r="P40" s="185"/>
      <c r="Q40" s="184" t="str">
        <f>IF(OR(ISBLANK(Q8),Q8=0),"",MAX(Q22:R22))</f>
        <v/>
      </c>
      <c r="R40" s="185"/>
      <c r="S40" s="184" t="str">
        <f>IF(OR(ISBLANK(S8),S8=0),"",MAX(S22:T22))</f>
        <v/>
      </c>
      <c r="T40" s="185"/>
      <c r="U40" s="184" t="str">
        <f>IF(OR(ISBLANK(U8),U8=0),"",MAX(U22:V22))</f>
        <v/>
      </c>
      <c r="V40" s="185"/>
      <c r="W40" s="184" t="str">
        <f>IF(OR(ISBLANK(W8),W8=0),"",MAX(W22:X22))</f>
        <v/>
      </c>
      <c r="X40" s="185"/>
      <c r="Y40" s="184" t="str">
        <f>IF(OR(ISBLANK(Y8),Y8=0),"",MAX(Y22:Z22))</f>
        <v/>
      </c>
      <c r="Z40" s="185"/>
      <c r="AA40" s="184" t="str">
        <f>IF(OR(ISBLANK(AA8),AA8=0),"",MAX(AA22:AB22))</f>
        <v/>
      </c>
      <c r="AB40" s="185"/>
      <c r="AC40" s="184" t="str">
        <f>IF(OR(ISBLANK(AC8),AC8=0),"",MAX(AC22:AD22))</f>
        <v/>
      </c>
      <c r="AD40" s="185"/>
      <c r="AE40" s="184" t="str">
        <f>IF(OR(ISBLANK(AE8),AE8=0),"",MAX(AE22:AF22))</f>
        <v/>
      </c>
      <c r="AF40" s="185"/>
      <c r="AG40" s="184" t="str">
        <f>IF(OR(ISBLANK(AG8),AG8=0),"",MAX(AG22:AH22))</f>
        <v/>
      </c>
      <c r="AH40" s="185"/>
      <c r="AI40" s="184" t="str">
        <f>IF(OR(ISBLANK(AI8),AI8=0),"",MAX(AI22:AJ22))</f>
        <v/>
      </c>
      <c r="AJ40" s="185"/>
      <c r="AK40" s="184" t="str">
        <f>IF(OR(ISBLANK(AK8),AK8=0),"",MAX(AK22:AL22))</f>
        <v/>
      </c>
      <c r="AL40" s="185"/>
      <c r="AM40" s="184" t="str">
        <f>IF(OR(ISBLANK(AM8),AM8=0),"",MAX(AM22:AN22))</f>
        <v/>
      </c>
      <c r="AN40" s="185"/>
      <c r="AO40" s="184" t="str">
        <f>IF(OR(ISBLANK(AO8),AO8=0),"",MAX(AO22:AP22))</f>
        <v/>
      </c>
      <c r="AP40" s="185"/>
      <c r="AQ40" s="184" t="str">
        <f>IF(OR(ISBLANK(AQ8),AQ8=0),"",MAX(AQ22:AR22))</f>
        <v/>
      </c>
      <c r="AR40" s="185"/>
      <c r="AS40" s="67">
        <f>SUMPRODUCT(E40:AR40,$E$8:$AR$8)/SUM($E$8:$AR$8)</f>
        <v>2.585866496977637</v>
      </c>
      <c r="AT40" s="56"/>
    </row>
    <row r="41" spans="2:46" ht="14.25" x14ac:dyDescent="0.25">
      <c r="B41" s="55"/>
      <c r="C41" s="10" t="s">
        <v>222</v>
      </c>
      <c r="D41" s="11" t="s">
        <v>218</v>
      </c>
      <c r="E41" s="184">
        <f>E23</f>
        <v>2.8117855183883798</v>
      </c>
      <c r="F41" s="185"/>
      <c r="G41" s="184">
        <f>G23</f>
        <v>2.485332638793416</v>
      </c>
      <c r="H41" s="185"/>
      <c r="I41" s="184" t="str">
        <f>I23</f>
        <v/>
      </c>
      <c r="J41" s="185"/>
      <c r="K41" s="184" t="str">
        <f>K23</f>
        <v/>
      </c>
      <c r="L41" s="185"/>
      <c r="M41" s="184" t="str">
        <f>M23</f>
        <v/>
      </c>
      <c r="N41" s="185"/>
      <c r="O41" s="184" t="str">
        <f>O23</f>
        <v/>
      </c>
      <c r="P41" s="185"/>
      <c r="Q41" s="184" t="str">
        <f>Q23</f>
        <v/>
      </c>
      <c r="R41" s="185"/>
      <c r="S41" s="184" t="str">
        <f>S23</f>
        <v/>
      </c>
      <c r="T41" s="185"/>
      <c r="U41" s="184" t="str">
        <f>U23</f>
        <v/>
      </c>
      <c r="V41" s="185"/>
      <c r="W41" s="184" t="str">
        <f>W23</f>
        <v/>
      </c>
      <c r="X41" s="185"/>
      <c r="Y41" s="184" t="str">
        <f>Y23</f>
        <v/>
      </c>
      <c r="Z41" s="185"/>
      <c r="AA41" s="184" t="str">
        <f>AA23</f>
        <v/>
      </c>
      <c r="AB41" s="185"/>
      <c r="AC41" s="184" t="str">
        <f>AC23</f>
        <v/>
      </c>
      <c r="AD41" s="185"/>
      <c r="AE41" s="184" t="str">
        <f>AE23</f>
        <v/>
      </c>
      <c r="AF41" s="185"/>
      <c r="AG41" s="184" t="str">
        <f>AG23</f>
        <v/>
      </c>
      <c r="AH41" s="185"/>
      <c r="AI41" s="184" t="str">
        <f>AI23</f>
        <v/>
      </c>
      <c r="AJ41" s="185"/>
      <c r="AK41" s="184" t="str">
        <f>AK23</f>
        <v/>
      </c>
      <c r="AL41" s="185"/>
      <c r="AM41" s="184" t="str">
        <f>AM23</f>
        <v/>
      </c>
      <c r="AN41" s="185"/>
      <c r="AO41" s="184" t="str">
        <f>AO23</f>
        <v/>
      </c>
      <c r="AP41" s="185"/>
      <c r="AQ41" s="184" t="str">
        <f>AQ23</f>
        <v/>
      </c>
      <c r="AR41" s="185"/>
      <c r="AS41" s="67">
        <f>SUMPRODUCT(E41:AR41,$E$9:$AR$9)/SUM($E$9:$AR$9)</f>
        <v>2.7997835742856236</v>
      </c>
      <c r="AT41" s="56"/>
    </row>
    <row r="42" spans="2:46" ht="14.25" x14ac:dyDescent="0.25">
      <c r="B42" s="55"/>
      <c r="C42" s="10" t="s">
        <v>544</v>
      </c>
      <c r="D42" s="11" t="s">
        <v>545</v>
      </c>
      <c r="E42" s="184">
        <f>IF(OR(ISBLANK(E11),E11=0),"",MAX(E24:F24))</f>
        <v>2.5587302032734773</v>
      </c>
      <c r="F42" s="185"/>
      <c r="G42" s="184" t="str">
        <f>IF(OR(ISBLANK(G11),G11=0),"",MAX(G24:H24))</f>
        <v/>
      </c>
      <c r="H42" s="185"/>
      <c r="I42" s="184" t="str">
        <f>IF(OR(ISBLANK(I11),I11=0),"",MAX(I24:J24))</f>
        <v/>
      </c>
      <c r="J42" s="185"/>
      <c r="K42" s="184" t="str">
        <f>IF(OR(ISBLANK(K11),K11=0),"",MAX(K24:L24))</f>
        <v/>
      </c>
      <c r="L42" s="185"/>
      <c r="M42" s="184" t="str">
        <f>IF(OR(ISBLANK(M11),M11=0),"",MAX(M24:N24))</f>
        <v/>
      </c>
      <c r="N42" s="185"/>
      <c r="O42" s="184" t="str">
        <f>IF(OR(ISBLANK(O11),O11=0),"",MAX(O24:P24))</f>
        <v/>
      </c>
      <c r="P42" s="185"/>
      <c r="Q42" s="184" t="str">
        <f>IF(OR(ISBLANK(Q11),Q11=0),"",MAX(Q24:R24))</f>
        <v/>
      </c>
      <c r="R42" s="185"/>
      <c r="S42" s="184" t="str">
        <f>IF(OR(ISBLANK(S11),S11=0),"",MAX(S24:T24))</f>
        <v/>
      </c>
      <c r="T42" s="185"/>
      <c r="U42" s="184" t="str">
        <f>IF(OR(ISBLANK(U11),U11=0),"",MAX(U24:V24))</f>
        <v/>
      </c>
      <c r="V42" s="185"/>
      <c r="W42" s="184" t="str">
        <f>IF(OR(ISBLANK(W11),W11=0),"",MAX(W24:X24))</f>
        <v/>
      </c>
      <c r="X42" s="185"/>
      <c r="Y42" s="184" t="str">
        <f>IF(OR(ISBLANK(Y11),Y11=0),"",MAX(Y24:Z24))</f>
        <v/>
      </c>
      <c r="Z42" s="185"/>
      <c r="AA42" s="184" t="str">
        <f>IF(OR(ISBLANK(AA11),AA11=0),"",MAX(AA24:AB24))</f>
        <v/>
      </c>
      <c r="AB42" s="185"/>
      <c r="AC42" s="184" t="str">
        <f>IF(OR(ISBLANK(AC11),AC11=0),"",MAX(AC24:AD24))</f>
        <v/>
      </c>
      <c r="AD42" s="185"/>
      <c r="AE42" s="184" t="str">
        <f>IF(OR(ISBLANK(AE11),AE11=0),"",MAX(AE24:AF24))</f>
        <v/>
      </c>
      <c r="AF42" s="185"/>
      <c r="AG42" s="184" t="str">
        <f>IF(OR(ISBLANK(AG11),AG11=0),"",MAX(AG24:AH24))</f>
        <v/>
      </c>
      <c r="AH42" s="185"/>
      <c r="AI42" s="184" t="str">
        <f>IF(OR(ISBLANK(AI11),AI11=0),"",MAX(AI24:AJ24))</f>
        <v/>
      </c>
      <c r="AJ42" s="185"/>
      <c r="AK42" s="184" t="str">
        <f>IF(OR(ISBLANK(AK11),AK11=0),"",MAX(AK24:AL24))</f>
        <v/>
      </c>
      <c r="AL42" s="185"/>
      <c r="AM42" s="184" t="str">
        <f>IF(OR(ISBLANK(AM11),AM11=0),"",MAX(AM24:AN24))</f>
        <v/>
      </c>
      <c r="AN42" s="185"/>
      <c r="AO42" s="184" t="str">
        <f>IF(OR(ISBLANK(AO11),AO11=0),"",MAX(AO24:AP24))</f>
        <v/>
      </c>
      <c r="AP42" s="185"/>
      <c r="AQ42" s="184"/>
      <c r="AR42" s="185"/>
      <c r="AS42" s="67">
        <f>AVERAGE(AS40:AS41)</f>
        <v>2.6928250356316301</v>
      </c>
      <c r="AT42" s="56"/>
    </row>
    <row r="43" spans="2:46" x14ac:dyDescent="0.25">
      <c r="B43" s="55"/>
      <c r="C43" s="10"/>
      <c r="D43" s="11" t="s">
        <v>41</v>
      </c>
      <c r="E43" s="181" t="str">
        <f>IF(E42="","",IF(E42&lt;=2,"A",IF(E42&lt;=2.75,"B",IF(E42&lt;=3.5,"C",IF(E42&lt;=4.25,"D",IF(E42&lt;=5,"E","F"))))))</f>
        <v>B</v>
      </c>
      <c r="F43" s="182"/>
      <c r="G43" s="181" t="str">
        <f>IF(G42="","",IF(G42&lt;=2,"A",IF(G42&lt;=2.75,"B",IF(G42&lt;=3.5,"C",IF(G42&lt;=4.25,"D",IF(G42&lt;=5,"E","F"))))))</f>
        <v/>
      </c>
      <c r="H43" s="182"/>
      <c r="I43" s="181" t="str">
        <f>IF(I42="","",IF(I42&lt;=2,"A",IF(I42&lt;=2.75,"B",IF(I42&lt;=3.5,"C",IF(I42&lt;=4.25,"D",IF(I42&lt;=5,"E","F"))))))</f>
        <v/>
      </c>
      <c r="J43" s="182"/>
      <c r="K43" s="181" t="str">
        <f>IF(K42="","",IF(K42&lt;=2,"A",IF(K42&lt;=2.75,"B",IF(K42&lt;=3.5,"C",IF(K42&lt;=4.25,"D",IF(K42&lt;=5,"E","F"))))))</f>
        <v/>
      </c>
      <c r="L43" s="182"/>
      <c r="M43" s="181" t="str">
        <f>IF(M42="","",IF(M42&lt;=2,"A",IF(M42&lt;=2.75,"B",IF(M42&lt;=3.5,"C",IF(M42&lt;=4.25,"D",IF(M42&lt;=5,"E","F"))))))</f>
        <v/>
      </c>
      <c r="N43" s="182"/>
      <c r="O43" s="181" t="str">
        <f>IF(O42="","",IF(O42&lt;=2,"A",IF(O42&lt;=2.75,"B",IF(O42&lt;=3.5,"C",IF(O42&lt;=4.25,"D",IF(O42&lt;=5,"E","F"))))))</f>
        <v/>
      </c>
      <c r="P43" s="182"/>
      <c r="Q43" s="181" t="str">
        <f>IF(Q42="","",IF(Q42&lt;=2,"A",IF(Q42&lt;=2.75,"B",IF(Q42&lt;=3.5,"C",IF(Q42&lt;=4.25,"D",IF(Q42&lt;=5,"E","F"))))))</f>
        <v/>
      </c>
      <c r="R43" s="182"/>
      <c r="S43" s="181" t="str">
        <f>IF(S42="","",IF(S42&lt;=2,"A",IF(S42&lt;=2.75,"B",IF(S42&lt;=3.5,"C",IF(S42&lt;=4.25,"D",IF(S42&lt;=5,"E","F"))))))</f>
        <v/>
      </c>
      <c r="T43" s="182"/>
      <c r="U43" s="181" t="str">
        <f>IF(U42="","",IF(U42&lt;=2,"A",IF(U42&lt;=2.75,"B",IF(U42&lt;=3.5,"C",IF(U42&lt;=4.25,"D",IF(U42&lt;=5,"E","F"))))))</f>
        <v/>
      </c>
      <c r="V43" s="182"/>
      <c r="W43" s="181" t="str">
        <f>IF(W42="","",IF(W42&lt;=2,"A",IF(W42&lt;=2.75,"B",IF(W42&lt;=3.5,"C",IF(W42&lt;=4.25,"D",IF(W42&lt;=5,"E","F"))))))</f>
        <v/>
      </c>
      <c r="X43" s="182"/>
      <c r="Y43" s="181" t="str">
        <f>IF(Y42="","",IF(Y42&lt;=2,"A",IF(Y42&lt;=2.75,"B",IF(Y42&lt;=3.5,"C",IF(Y42&lt;=4.25,"D",IF(Y42&lt;=5,"E","F"))))))</f>
        <v/>
      </c>
      <c r="Z43" s="182"/>
      <c r="AA43" s="181" t="str">
        <f>IF(AA42="","",IF(AA42&lt;=2,"A",IF(AA42&lt;=2.75,"B",IF(AA42&lt;=3.5,"C",IF(AA42&lt;=4.25,"D",IF(AA42&lt;=5,"E","F"))))))</f>
        <v/>
      </c>
      <c r="AB43" s="182"/>
      <c r="AC43" s="181" t="str">
        <f>IF(AC42="","",IF(AC42&lt;=2,"A",IF(AC42&lt;=2.75,"B",IF(AC42&lt;=3.5,"C",IF(AC42&lt;=4.25,"D",IF(AC42&lt;=5,"E","F"))))))</f>
        <v/>
      </c>
      <c r="AD43" s="182"/>
      <c r="AE43" s="181" t="str">
        <f>IF(AE42="","",IF(AE42&lt;=2,"A",IF(AE42&lt;=2.75,"B",IF(AE42&lt;=3.5,"C",IF(AE42&lt;=4.25,"D",IF(AE42&lt;=5,"E","F"))))))</f>
        <v/>
      </c>
      <c r="AF43" s="182"/>
      <c r="AG43" s="181" t="str">
        <f>IF(AG42="","",IF(AG42&lt;=2,"A",IF(AG42&lt;=2.75,"B",IF(AG42&lt;=3.5,"C",IF(AG42&lt;=4.25,"D",IF(AG42&lt;=5,"E","F"))))))</f>
        <v/>
      </c>
      <c r="AH43" s="182"/>
      <c r="AI43" s="181" t="str">
        <f>IF(AI42="","",IF(AI42&lt;=2,"A",IF(AI42&lt;=2.75,"B",IF(AI42&lt;=3.5,"C",IF(AI42&lt;=4.25,"D",IF(AI42&lt;=5,"E","F"))))))</f>
        <v/>
      </c>
      <c r="AJ43" s="182"/>
      <c r="AK43" s="181" t="str">
        <f>IF(AK42="","",IF(AK42&lt;=2,"A",IF(AK42&lt;=2.75,"B",IF(AK42&lt;=3.5,"C",IF(AK42&lt;=4.25,"D",IF(AK42&lt;=5,"E","F"))))))</f>
        <v/>
      </c>
      <c r="AL43" s="182"/>
      <c r="AM43" s="181" t="str">
        <f>IF(AM42="","",IF(AM42&lt;=2,"A",IF(AM42&lt;=2.75,"B",IF(AM42&lt;=3.5,"C",IF(AM42&lt;=4.25,"D",IF(AM42&lt;=5,"E","F"))))))</f>
        <v/>
      </c>
      <c r="AN43" s="182"/>
      <c r="AO43" s="181" t="str">
        <f>IF(AO42="","",IF(AO42&lt;=2,"A",IF(AO42&lt;=2.75,"B",IF(AO42&lt;=3.5,"C",IF(AO42&lt;=4.25,"D",IF(AO42&lt;=5,"E","F"))))))</f>
        <v/>
      </c>
      <c r="AP43" s="182"/>
      <c r="AQ43" s="181" t="str">
        <f>IF(AQ42="","",IF(AQ42&lt;=2,"A",IF(AQ42&lt;=2.75,"B",IF(AQ42&lt;=3.5,"C",IF(AQ42&lt;=4.25,"D",IF(AQ42&lt;=5,"E","F"))))))</f>
        <v/>
      </c>
      <c r="AR43" s="182"/>
      <c r="AS43" s="68" t="str">
        <f>IF(AS42&lt;=2,"A",IF(AS42&lt;=2.75,"B",IF(AS42&lt;=3.5,"C",IF(AS42&lt;=4.25,"D",IF(AS42&lt;=5,"E","F")))))</f>
        <v>B</v>
      </c>
      <c r="AT43" s="56"/>
    </row>
    <row r="44" spans="2:46" x14ac:dyDescent="0.25">
      <c r="B44" s="55"/>
      <c r="C44" s="4"/>
      <c r="D44" s="8" t="s">
        <v>20</v>
      </c>
      <c r="E44" s="4"/>
      <c r="F44" s="5"/>
      <c r="G44" s="4"/>
      <c r="H44" s="5"/>
      <c r="I44" s="4"/>
      <c r="J44" s="5"/>
      <c r="K44" s="4"/>
      <c r="L44" s="5"/>
      <c r="M44" s="4"/>
      <c r="N44" s="5"/>
      <c r="O44" s="4"/>
      <c r="P44" s="5"/>
      <c r="Q44" s="4"/>
      <c r="R44" s="5"/>
      <c r="S44" s="4"/>
      <c r="T44" s="5"/>
      <c r="U44" s="4"/>
      <c r="V44" s="5"/>
      <c r="W44" s="4"/>
      <c r="X44" s="5"/>
      <c r="Y44" s="4"/>
      <c r="Z44" s="5"/>
      <c r="AA44" s="4"/>
      <c r="AB44" s="5"/>
      <c r="AC44" s="4"/>
      <c r="AD44" s="5"/>
      <c r="AE44" s="4"/>
      <c r="AF44" s="5"/>
      <c r="AG44" s="4"/>
      <c r="AH44" s="5"/>
      <c r="AI44" s="4"/>
      <c r="AJ44" s="5"/>
      <c r="AK44" s="4"/>
      <c r="AL44" s="5"/>
      <c r="AM44" s="4"/>
      <c r="AN44" s="5"/>
      <c r="AO44" s="4"/>
      <c r="AP44" s="5"/>
      <c r="AQ44" s="4"/>
      <c r="AR44" s="5"/>
      <c r="AS44" s="46"/>
      <c r="AT44" s="56"/>
    </row>
    <row r="45" spans="2:46" ht="15.95" customHeight="1" x14ac:dyDescent="0.25">
      <c r="B45" s="55"/>
      <c r="C45" s="10" t="s">
        <v>225</v>
      </c>
      <c r="D45" s="11" t="s">
        <v>92</v>
      </c>
      <c r="E45" s="184">
        <f>IF(OR(ISBLANK(E8),E8=0),"",MAX(E30:F30))</f>
        <v>4.5308900955325564</v>
      </c>
      <c r="F45" s="185"/>
      <c r="G45" s="184" t="str">
        <f>IF(OR(ISBLANK(G8),G8=0),"",MAX(G30:H30))</f>
        <v/>
      </c>
      <c r="H45" s="185"/>
      <c r="I45" s="184" t="str">
        <f>IF(OR(ISBLANK(I8),I8=0),"",MAX(I30:J30))</f>
        <v/>
      </c>
      <c r="J45" s="185"/>
      <c r="K45" s="184" t="str">
        <f>IF(OR(ISBLANK(K8),K8=0),"",MAX(K30:L30))</f>
        <v/>
      </c>
      <c r="L45" s="185"/>
      <c r="M45" s="184" t="str">
        <f>IF(OR(ISBLANK(M8),M8=0),"",MAX(M30:N30))</f>
        <v/>
      </c>
      <c r="N45" s="185"/>
      <c r="O45" s="184" t="str">
        <f>IF(OR(ISBLANK(O8),O8=0),"",MAX(O30:P30))</f>
        <v/>
      </c>
      <c r="P45" s="185"/>
      <c r="Q45" s="184" t="str">
        <f>IF(OR(ISBLANK(Q8),Q8=0),"",MAX(Q30:R30))</f>
        <v/>
      </c>
      <c r="R45" s="185"/>
      <c r="S45" s="184" t="str">
        <f>IF(OR(ISBLANK(S8),S8=0),"",MAX(S30:T30))</f>
        <v/>
      </c>
      <c r="T45" s="185"/>
      <c r="U45" s="184" t="str">
        <f>IF(OR(ISBLANK(U8),U8=0),"",MAX(U30:V30))</f>
        <v/>
      </c>
      <c r="V45" s="185"/>
      <c r="W45" s="184" t="str">
        <f>IF(OR(ISBLANK(W8),W8=0),"",MAX(W30:X30))</f>
        <v/>
      </c>
      <c r="X45" s="185"/>
      <c r="Y45" s="184" t="str">
        <f>IF(OR(ISBLANK(Y8),Y8=0),"",MAX(Y30:Z30))</f>
        <v/>
      </c>
      <c r="Z45" s="185"/>
      <c r="AA45" s="184" t="str">
        <f>IF(OR(ISBLANK(AA8),AA8=0),"",MAX(AA30:AB30))</f>
        <v/>
      </c>
      <c r="AB45" s="185"/>
      <c r="AC45" s="184" t="str">
        <f>IF(OR(ISBLANK(AC8),AC8=0),"",MAX(AC30:AD30))</f>
        <v/>
      </c>
      <c r="AD45" s="185"/>
      <c r="AE45" s="184" t="str">
        <f>IF(OR(ISBLANK(AE8),AE8=0),"",MAX(AE30:AF30))</f>
        <v/>
      </c>
      <c r="AF45" s="185"/>
      <c r="AG45" s="184" t="str">
        <f>IF(OR(ISBLANK(AG8),AG8=0),"",MAX(AG30:AH30))</f>
        <v/>
      </c>
      <c r="AH45" s="185"/>
      <c r="AI45" s="184" t="str">
        <f>IF(OR(ISBLANK(AI8),AI8=0),"",MAX(AI30:AJ30))</f>
        <v/>
      </c>
      <c r="AJ45" s="185"/>
      <c r="AK45" s="184" t="str">
        <f>IF(OR(ISBLANK(AK8),AK8=0),"",MAX(AK30:AL30))</f>
        <v/>
      </c>
      <c r="AL45" s="185"/>
      <c r="AM45" s="184" t="str">
        <f>IF(OR(ISBLANK(AM8),AM8=0),"",MAX(AM30:AN30))</f>
        <v/>
      </c>
      <c r="AN45" s="185"/>
      <c r="AO45" s="184" t="str">
        <f>IF(OR(ISBLANK(AO8),AO8=0),"",MAX(AO30:AP30))</f>
        <v/>
      </c>
      <c r="AP45" s="185"/>
      <c r="AQ45" s="184" t="str">
        <f>IF(OR(ISBLANK(AQ8),AQ8=0),"",MAX(AQ30:AR30))</f>
        <v/>
      </c>
      <c r="AR45" s="185"/>
      <c r="AS45" s="67">
        <f>SUMPRODUCT(E45:AR45,$E$8:$AR$8)/SUM($E$8:$AR$8)</f>
        <v>4.5308900955325564</v>
      </c>
      <c r="AT45" s="56"/>
    </row>
    <row r="46" spans="2:46" ht="15.95" customHeight="1" x14ac:dyDescent="0.25">
      <c r="B46" s="55"/>
      <c r="C46" s="10" t="s">
        <v>223</v>
      </c>
      <c r="D46" s="11" t="s">
        <v>219</v>
      </c>
      <c r="E46" s="184">
        <f>IF(ISBLANK(E10),"",MAX(E31:F31))</f>
        <v>3.3921499999999996</v>
      </c>
      <c r="F46" s="185"/>
      <c r="G46" s="184" t="str">
        <f>IF(OR(ISBLANK(G10),G10=0),"",MAX(G31:H31))</f>
        <v/>
      </c>
      <c r="H46" s="185"/>
      <c r="I46" s="184" t="str">
        <f>IF(OR(ISBLANK(I10),I10=0),"",MAX(I31:J31))</f>
        <v/>
      </c>
      <c r="J46" s="185"/>
      <c r="K46" s="184" t="str">
        <f>IF(OR(ISBLANK(K10),K10=0),"",MAX(K31:L31))</f>
        <v/>
      </c>
      <c r="L46" s="185"/>
      <c r="M46" s="184" t="str">
        <f>IF(OR(ISBLANK(M10),M10=0),"",MAX(M31:N31))</f>
        <v/>
      </c>
      <c r="N46" s="185"/>
      <c r="O46" s="184" t="str">
        <f>IF(OR(ISBLANK(O10),O10=0),"",MAX(O31:P31))</f>
        <v/>
      </c>
      <c r="P46" s="185"/>
      <c r="Q46" s="184" t="str">
        <f>IF(OR(ISBLANK(Q10),Q10=0),"",MAX(Q31:R31))</f>
        <v/>
      </c>
      <c r="R46" s="185"/>
      <c r="S46" s="184" t="str">
        <f>IF(OR(ISBLANK(S10),S10=0),"",MAX(S31:T31))</f>
        <v/>
      </c>
      <c r="T46" s="185"/>
      <c r="U46" s="184" t="str">
        <f>IF(OR(ISBLANK(U10),U10=0),"",MAX(U31:V31))</f>
        <v/>
      </c>
      <c r="V46" s="185"/>
      <c r="W46" s="184" t="str">
        <f>IF(OR(ISBLANK(W10),W10=0),"",MAX(W31:X31))</f>
        <v/>
      </c>
      <c r="X46" s="185"/>
      <c r="Y46" s="184" t="str">
        <f>IF(OR(ISBLANK(Y10),Y10=0),"",MAX(Y31:Z31))</f>
        <v/>
      </c>
      <c r="Z46" s="185"/>
      <c r="AA46" s="184" t="str">
        <f>IF(OR(ISBLANK(AA10),AA10=0),"",MAX(AA31:AB31))</f>
        <v/>
      </c>
      <c r="AB46" s="185"/>
      <c r="AC46" s="184" t="str">
        <f>IF(OR(ISBLANK(AC10),AC10=0),"",MAX(AC31:AD31))</f>
        <v/>
      </c>
      <c r="AD46" s="185"/>
      <c r="AE46" s="184" t="str">
        <f>IF(OR(ISBLANK(AE10),AE10=0),"",MAX(AE31:AF31))</f>
        <v/>
      </c>
      <c r="AF46" s="185"/>
      <c r="AG46" s="184" t="str">
        <f>IF(OR(ISBLANK(AG10),AG10=0),"",MAX(AG31:AH31))</f>
        <v/>
      </c>
      <c r="AH46" s="185"/>
      <c r="AI46" s="184" t="str">
        <f>IF(OR(ISBLANK(AI10),AI10=0),"",MAX(AI31:AJ31))</f>
        <v/>
      </c>
      <c r="AJ46" s="185"/>
      <c r="AK46" s="184" t="str">
        <f>IF(OR(ISBLANK(AK10),AK10=0),"",MAX(AK31:AL31))</f>
        <v/>
      </c>
      <c r="AL46" s="185"/>
      <c r="AM46" s="184" t="str">
        <f>IF(OR(ISBLANK(AM10),AM10=0),"",MAX(AM31:AN31))</f>
        <v/>
      </c>
      <c r="AN46" s="185"/>
      <c r="AO46" s="184" t="str">
        <f>IF(OR(ISBLANK(AO10),AO10=0),"",MAX(AO31:AP31))</f>
        <v/>
      </c>
      <c r="AP46" s="185"/>
      <c r="AQ46" s="184" t="str">
        <f>IF(OR(ISBLANK(AQ10),AQ10=0),"",MAX(AQ31:AR31))</f>
        <v/>
      </c>
      <c r="AR46" s="185"/>
      <c r="AS46" s="67">
        <f>SUMPRODUCT(E46:AR46,$E$9:$AR$9)/SUM($E$9:$AR$9)</f>
        <v>3.2674386029411759</v>
      </c>
      <c r="AT46" s="56"/>
    </row>
    <row r="47" spans="2:46" ht="15.95" customHeight="1" x14ac:dyDescent="0.25">
      <c r="B47" s="55"/>
      <c r="C47" s="10" t="s">
        <v>548</v>
      </c>
      <c r="D47" s="11" t="s">
        <v>549</v>
      </c>
      <c r="E47" s="184">
        <f>IF(ISBLANK(E11),"",MAX(E32:F32))</f>
        <v>3.3981605545166098</v>
      </c>
      <c r="F47" s="185"/>
      <c r="G47" s="184" t="str">
        <f>IF(OR(ISBLANK(G11),G11=0),"",MAX(G32:H32))</f>
        <v/>
      </c>
      <c r="H47" s="185"/>
      <c r="I47" s="184" t="str">
        <f>IF(OR(ISBLANK(I11),I11=0),"",MAX(I32:J32))</f>
        <v/>
      </c>
      <c r="J47" s="185"/>
      <c r="K47" s="184" t="str">
        <f>IF(OR(ISBLANK(K11),K11=0),"",MAX(K32:L32))</f>
        <v/>
      </c>
      <c r="L47" s="185"/>
      <c r="M47" s="184" t="str">
        <f>IF(OR(ISBLANK(M11),M11=0),"",MAX(M32:N32))</f>
        <v/>
      </c>
      <c r="N47" s="185"/>
      <c r="O47" s="184" t="str">
        <f>IF(OR(ISBLANK(O11),O11=0),"",MAX(O32:P32))</f>
        <v/>
      </c>
      <c r="P47" s="185"/>
      <c r="Q47" s="184" t="str">
        <f>IF(OR(ISBLANK(Q11),Q11=0),"",MAX(Q32:R32))</f>
        <v/>
      </c>
      <c r="R47" s="185"/>
      <c r="S47" s="184" t="str">
        <f>IF(OR(ISBLANK(S11),S11=0),"",MAX(S32:T32))</f>
        <v/>
      </c>
      <c r="T47" s="185"/>
      <c r="U47" s="184" t="str">
        <f>IF(OR(ISBLANK(U11),U11=0),"",MAX(U32:V32))</f>
        <v/>
      </c>
      <c r="V47" s="185"/>
      <c r="W47" s="184" t="str">
        <f>IF(OR(ISBLANK(W11),W11=0),"",MAX(W32:X32))</f>
        <v/>
      </c>
      <c r="X47" s="185"/>
      <c r="Y47" s="184" t="str">
        <f>IF(OR(ISBLANK(Y11),Y11=0),"",MAX(Y32:Z32))</f>
        <v/>
      </c>
      <c r="Z47" s="185"/>
      <c r="AA47" s="184" t="str">
        <f>IF(OR(ISBLANK(AA11),AA11=0),"",MAX(AA32:AB32))</f>
        <v/>
      </c>
      <c r="AB47" s="185"/>
      <c r="AC47" s="184" t="str">
        <f>IF(OR(ISBLANK(AC11),AC11=0),"",MAX(AC32:AD32))</f>
        <v/>
      </c>
      <c r="AD47" s="185"/>
      <c r="AE47" s="184" t="str">
        <f>IF(OR(ISBLANK(AE11),AE11=0),"",MAX(AE32:AF32))</f>
        <v/>
      </c>
      <c r="AF47" s="185"/>
      <c r="AG47" s="184" t="str">
        <f>IF(OR(ISBLANK(AG11),AG11=0),"",MAX(AG32:AH32))</f>
        <v/>
      </c>
      <c r="AH47" s="185"/>
      <c r="AI47" s="184" t="str">
        <f>IF(OR(ISBLANK(AI11),AI11=0),"",MAX(AI32:AJ32))</f>
        <v/>
      </c>
      <c r="AJ47" s="185"/>
      <c r="AK47" s="184" t="str">
        <f>IF(OR(ISBLANK(AK11),AK11=0),"",MAX(AK32:AL32))</f>
        <v/>
      </c>
      <c r="AL47" s="185"/>
      <c r="AM47" s="184" t="str">
        <f>IF(OR(ISBLANK(AM11),AM11=0),"",MAX(AM32:AN32))</f>
        <v/>
      </c>
      <c r="AN47" s="185"/>
      <c r="AO47" s="184" t="str">
        <f>IF(OR(ISBLANK(AO11),AO11=0),"",MAX(AO32:AP32))</f>
        <v/>
      </c>
      <c r="AP47" s="185"/>
      <c r="AQ47" s="184" t="str">
        <f>IF(OR(ISBLANK(AQ11),AQ11=0),"",MAX(AQ32:AR32))</f>
        <v/>
      </c>
      <c r="AR47" s="185"/>
      <c r="AS47" s="67">
        <f>AVERAGE(AS45:AS46)</f>
        <v>3.8991643492368659</v>
      </c>
      <c r="AT47" s="56"/>
    </row>
    <row r="48" spans="2:46" x14ac:dyDescent="0.25">
      <c r="B48" s="55"/>
      <c r="C48" s="10"/>
      <c r="D48" s="11" t="s">
        <v>51</v>
      </c>
      <c r="E48" s="181" t="str">
        <f>IF(E47="","",IF(E47&lt;=2,"A",IF(E47&lt;=2.75,"B",IF(E47&lt;=3.5,"C",IF(E47&lt;=4.25,"D",IF(E47&lt;=5,"E","F"))))))</f>
        <v>C</v>
      </c>
      <c r="F48" s="182"/>
      <c r="G48" s="181" t="str">
        <f>IF(G47="","",IF(G47&lt;=2,"A",IF(G47&lt;=2.75,"B",IF(G47&lt;=3.5,"C",IF(G47&lt;=4.25,"D",IF(G47&lt;=5,"E","F"))))))</f>
        <v/>
      </c>
      <c r="H48" s="182"/>
      <c r="I48" s="181" t="str">
        <f>IF(I47="","",IF(I47&lt;=2,"A",IF(I47&lt;=2.75,"B",IF(I47&lt;=3.5,"C",IF(I47&lt;=4.25,"D",IF(I47&lt;=5,"E","F"))))))</f>
        <v/>
      </c>
      <c r="J48" s="182"/>
      <c r="K48" s="181" t="str">
        <f>IF(K47="","",IF(K47&lt;=2,"A",IF(K47&lt;=2.75,"B",IF(K47&lt;=3.5,"C",IF(K47&lt;=4.25,"D",IF(K47&lt;=5,"E","F"))))))</f>
        <v/>
      </c>
      <c r="L48" s="182"/>
      <c r="M48" s="181" t="str">
        <f>IF(M47="","",IF(M47&lt;=2,"A",IF(M47&lt;=2.75,"B",IF(M47&lt;=3.5,"C",IF(M47&lt;=4.25,"D",IF(M47&lt;=5,"E","F"))))))</f>
        <v/>
      </c>
      <c r="N48" s="182"/>
      <c r="O48" s="181" t="str">
        <f>IF(O47="","",IF(O47&lt;=2,"A",IF(O47&lt;=2.75,"B",IF(O47&lt;=3.5,"C",IF(O47&lt;=4.25,"D",IF(O47&lt;=5,"E","F"))))))</f>
        <v/>
      </c>
      <c r="P48" s="182"/>
      <c r="Q48" s="181" t="str">
        <f>IF(Q47="","",IF(Q47&lt;=2,"A",IF(Q47&lt;=2.75,"B",IF(Q47&lt;=3.5,"C",IF(Q47&lt;=4.25,"D",IF(Q47&lt;=5,"E","F"))))))</f>
        <v/>
      </c>
      <c r="R48" s="182"/>
      <c r="S48" s="181" t="str">
        <f>IF(S47="","",IF(S47&lt;=2,"A",IF(S47&lt;=2.75,"B",IF(S47&lt;=3.5,"C",IF(S47&lt;=4.25,"D",IF(S47&lt;=5,"E","F"))))))</f>
        <v/>
      </c>
      <c r="T48" s="182"/>
      <c r="U48" s="181" t="str">
        <f>IF(U47="","",IF(U47&lt;=2,"A",IF(U47&lt;=2.75,"B",IF(U47&lt;=3.5,"C",IF(U47&lt;=4.25,"D",IF(U47&lt;=5,"E","F"))))))</f>
        <v/>
      </c>
      <c r="V48" s="182"/>
      <c r="W48" s="181" t="str">
        <f>IF(W47="","",IF(W47&lt;=2,"A",IF(W47&lt;=2.75,"B",IF(W47&lt;=3.5,"C",IF(W47&lt;=4.25,"D",IF(W47&lt;=5,"E","F"))))))</f>
        <v/>
      </c>
      <c r="X48" s="182"/>
      <c r="Y48" s="181" t="str">
        <f>IF(Y47="","",IF(Y47&lt;=2,"A",IF(Y47&lt;=2.75,"B",IF(Y47&lt;=3.5,"C",IF(Y47&lt;=4.25,"D",IF(Y47&lt;=5,"E","F"))))))</f>
        <v/>
      </c>
      <c r="Z48" s="182"/>
      <c r="AA48" s="181" t="str">
        <f>IF(AA47="","",IF(AA47&lt;=2,"A",IF(AA47&lt;=2.75,"B",IF(AA47&lt;=3.5,"C",IF(AA47&lt;=4.25,"D",IF(AA47&lt;=5,"E","F"))))))</f>
        <v/>
      </c>
      <c r="AB48" s="182"/>
      <c r="AC48" s="181" t="str">
        <f>IF(AC47="","",IF(AC47&lt;=2,"A",IF(AC47&lt;=2.75,"B",IF(AC47&lt;=3.5,"C",IF(AC47&lt;=4.25,"D",IF(AC47&lt;=5,"E","F"))))))</f>
        <v/>
      </c>
      <c r="AD48" s="182"/>
      <c r="AE48" s="181" t="str">
        <f>IF(AE47="","",IF(AE47&lt;=2,"A",IF(AE47&lt;=2.75,"B",IF(AE47&lt;=3.5,"C",IF(AE47&lt;=4.25,"D",IF(AE47&lt;=5,"E","F"))))))</f>
        <v/>
      </c>
      <c r="AF48" s="182"/>
      <c r="AG48" s="181" t="str">
        <f>IF(AG47="","",IF(AG47&lt;=2,"A",IF(AG47&lt;=2.75,"B",IF(AG47&lt;=3.5,"C",IF(AG47&lt;=4.25,"D",IF(AG47&lt;=5,"E","F"))))))</f>
        <v/>
      </c>
      <c r="AH48" s="182"/>
      <c r="AI48" s="181" t="str">
        <f>IF(AI47="","",IF(AI47&lt;=2,"A",IF(AI47&lt;=2.75,"B",IF(AI47&lt;=3.5,"C",IF(AI47&lt;=4.25,"D",IF(AI47&lt;=5,"E","F"))))))</f>
        <v/>
      </c>
      <c r="AJ48" s="182"/>
      <c r="AK48" s="181" t="str">
        <f>IF(AK47="","",IF(AK47&lt;=2,"A",IF(AK47&lt;=2.75,"B",IF(AK47&lt;=3.5,"C",IF(AK47&lt;=4.25,"D",IF(AK47&lt;=5,"E","F"))))))</f>
        <v/>
      </c>
      <c r="AL48" s="182"/>
      <c r="AM48" s="181" t="str">
        <f>IF(AM47="","",IF(AM47&lt;=2,"A",IF(AM47&lt;=2.75,"B",IF(AM47&lt;=3.5,"C",IF(AM47&lt;=4.25,"D",IF(AM47&lt;=5,"E","F"))))))</f>
        <v/>
      </c>
      <c r="AN48" s="182"/>
      <c r="AO48" s="181" t="str">
        <f>IF(AO47="","",IF(AO47&lt;=2,"A",IF(AO47&lt;=2.75,"B",IF(AO47&lt;=3.5,"C",IF(AO47&lt;=4.25,"D",IF(AO47&lt;=5,"E","F"))))))</f>
        <v/>
      </c>
      <c r="AP48" s="182"/>
      <c r="AQ48" s="181" t="str">
        <f>IF(AQ47="","",IF(AQ47&lt;=2,"A",IF(AQ47&lt;=2.75,"B",IF(AQ47&lt;=3.5,"C",IF(AQ47&lt;=4.25,"D",IF(AQ47&lt;=5,"E","F"))))))</f>
        <v/>
      </c>
      <c r="AR48" s="182"/>
      <c r="AS48" s="68" t="str">
        <f>IF(AS47&lt;=2,"A",IF(AS47&lt;=2.75,"B",IF(AS47&lt;=3.5,"C",IF(AS47&lt;=4.25,"D",IF(AS47&lt;=5,"E","F")))))</f>
        <v>D</v>
      </c>
      <c r="AT48" s="56"/>
    </row>
    <row r="49" spans="2:46" x14ac:dyDescent="0.25">
      <c r="B49" s="55"/>
      <c r="C49" s="4"/>
      <c r="D49" s="8" t="s">
        <v>21</v>
      </c>
      <c r="E49" s="4"/>
      <c r="F49" s="5"/>
      <c r="G49" s="4"/>
      <c r="H49" s="5"/>
      <c r="I49" s="4"/>
      <c r="J49" s="5"/>
      <c r="K49" s="4"/>
      <c r="L49" s="5"/>
      <c r="M49" s="4"/>
      <c r="N49" s="5"/>
      <c r="O49" s="4"/>
      <c r="P49" s="5"/>
      <c r="Q49" s="4"/>
      <c r="R49" s="5"/>
      <c r="S49" s="4"/>
      <c r="T49" s="5"/>
      <c r="U49" s="4"/>
      <c r="V49" s="5"/>
      <c r="W49" s="4"/>
      <c r="X49" s="5"/>
      <c r="Y49" s="4"/>
      <c r="Z49" s="5"/>
      <c r="AA49" s="4"/>
      <c r="AB49" s="5"/>
      <c r="AC49" s="4"/>
      <c r="AD49" s="5"/>
      <c r="AE49" s="4"/>
      <c r="AF49" s="5"/>
      <c r="AG49" s="4"/>
      <c r="AH49" s="5"/>
      <c r="AI49" s="4"/>
      <c r="AJ49" s="5"/>
      <c r="AK49" s="4"/>
      <c r="AL49" s="5"/>
      <c r="AM49" s="4"/>
      <c r="AN49" s="5"/>
      <c r="AO49" s="4"/>
      <c r="AP49" s="5"/>
      <c r="AQ49" s="4"/>
      <c r="AR49" s="5"/>
      <c r="AS49" s="46"/>
      <c r="AT49" s="56"/>
    </row>
    <row r="50" spans="2:46" ht="14.25" x14ac:dyDescent="0.25">
      <c r="B50" s="55"/>
      <c r="C50" s="109" t="s">
        <v>226</v>
      </c>
      <c r="D50" s="110" t="s">
        <v>94</v>
      </c>
      <c r="E50" s="184">
        <f>Links!F97</f>
        <v>2.3438381097591807</v>
      </c>
      <c r="F50" s="189"/>
      <c r="G50" s="184"/>
      <c r="H50" s="189"/>
      <c r="I50" s="184"/>
      <c r="J50" s="189"/>
      <c r="K50" s="184"/>
      <c r="L50" s="189"/>
      <c r="M50" s="184"/>
      <c r="N50" s="189"/>
      <c r="O50" s="184"/>
      <c r="P50" s="189"/>
      <c r="Q50" s="184"/>
      <c r="R50" s="189"/>
      <c r="S50" s="184"/>
      <c r="T50" s="189"/>
      <c r="U50" s="184"/>
      <c r="V50" s="189"/>
      <c r="W50" s="184"/>
      <c r="X50" s="189"/>
      <c r="Y50" s="184"/>
      <c r="Z50" s="189"/>
      <c r="AA50" s="184"/>
      <c r="AB50" s="189"/>
      <c r="AC50" s="184"/>
      <c r="AD50" s="189"/>
      <c r="AE50" s="184"/>
      <c r="AF50" s="189"/>
      <c r="AG50" s="184"/>
      <c r="AH50" s="189"/>
      <c r="AI50" s="184"/>
      <c r="AJ50" s="189"/>
      <c r="AK50" s="184"/>
      <c r="AL50" s="189"/>
      <c r="AM50" s="184"/>
      <c r="AN50" s="189"/>
      <c r="AO50" s="184"/>
      <c r="AP50" s="189"/>
      <c r="AQ50" s="184"/>
      <c r="AR50" s="189"/>
      <c r="AS50" s="67">
        <f>SUMPRODUCT(E50:AR50,E8:AR8)/SUM(E8:AR8)</f>
        <v>2.3438381097591807</v>
      </c>
      <c r="AT50" s="56"/>
    </row>
    <row r="51" spans="2:46" ht="14.25" x14ac:dyDescent="0.25">
      <c r="B51" s="55"/>
      <c r="C51" s="109" t="s">
        <v>552</v>
      </c>
      <c r="D51" s="110" t="s">
        <v>550</v>
      </c>
      <c r="E51" s="184"/>
      <c r="F51" s="189"/>
      <c r="G51" s="169"/>
      <c r="H51" s="171"/>
      <c r="I51" s="169"/>
      <c r="J51" s="171"/>
      <c r="K51" s="169"/>
      <c r="L51" s="171"/>
      <c r="M51" s="169"/>
      <c r="N51" s="171"/>
      <c r="O51" s="169"/>
      <c r="P51" s="171"/>
      <c r="Q51" s="169"/>
      <c r="R51" s="171"/>
      <c r="S51" s="169"/>
      <c r="T51" s="171"/>
      <c r="U51" s="169"/>
      <c r="V51" s="171"/>
      <c r="W51" s="169"/>
      <c r="X51" s="171"/>
      <c r="Y51" s="169"/>
      <c r="Z51" s="171"/>
      <c r="AA51" s="169"/>
      <c r="AB51" s="171"/>
      <c r="AC51" s="169"/>
      <c r="AD51" s="171"/>
      <c r="AE51" s="169"/>
      <c r="AF51" s="171"/>
      <c r="AG51" s="169"/>
      <c r="AH51" s="171"/>
      <c r="AI51" s="169"/>
      <c r="AJ51" s="171"/>
      <c r="AK51" s="169"/>
      <c r="AL51" s="171"/>
      <c r="AM51" s="169"/>
      <c r="AN51" s="171"/>
      <c r="AO51" s="169"/>
      <c r="AP51" s="171"/>
      <c r="AQ51" s="169"/>
      <c r="AR51" s="171"/>
      <c r="AS51" s="67"/>
      <c r="AT51" s="56"/>
    </row>
    <row r="52" spans="2:46" ht="14.25" x14ac:dyDescent="0.25">
      <c r="B52" s="55"/>
      <c r="C52" s="109" t="s">
        <v>553</v>
      </c>
      <c r="D52" s="110" t="s">
        <v>551</v>
      </c>
      <c r="E52" s="184"/>
      <c r="F52" s="189"/>
      <c r="G52" s="184"/>
      <c r="H52" s="189"/>
      <c r="I52" s="184"/>
      <c r="J52" s="189"/>
      <c r="K52" s="184"/>
      <c r="L52" s="189"/>
      <c r="M52" s="184"/>
      <c r="N52" s="189"/>
      <c r="O52" s="184"/>
      <c r="P52" s="189"/>
      <c r="Q52" s="184"/>
      <c r="R52" s="189"/>
      <c r="S52" s="184"/>
      <c r="T52" s="189"/>
      <c r="U52" s="184"/>
      <c r="V52" s="189"/>
      <c r="W52" s="184"/>
      <c r="X52" s="189"/>
      <c r="Y52" s="184"/>
      <c r="Z52" s="189"/>
      <c r="AA52" s="184"/>
      <c r="AB52" s="189"/>
      <c r="AC52" s="184"/>
      <c r="AD52" s="189"/>
      <c r="AE52" s="184"/>
      <c r="AF52" s="189"/>
      <c r="AG52" s="184"/>
      <c r="AH52" s="189"/>
      <c r="AI52" s="184"/>
      <c r="AJ52" s="189"/>
      <c r="AK52" s="184"/>
      <c r="AL52" s="189"/>
      <c r="AM52" s="184"/>
      <c r="AN52" s="189"/>
      <c r="AO52" s="184"/>
      <c r="AP52" s="189"/>
      <c r="AQ52" s="184"/>
      <c r="AR52" s="189"/>
      <c r="AS52" s="67"/>
      <c r="AT52" s="56"/>
    </row>
    <row r="53" spans="2:46" ht="13.5" thickBot="1" x14ac:dyDescent="0.3">
      <c r="B53" s="55"/>
      <c r="C53" s="10"/>
      <c r="D53" s="11" t="s">
        <v>52</v>
      </c>
      <c r="E53" s="181" t="str">
        <f>IF(E52="","",IF(E52&lt;=2,"A",IF(E52&lt;=2.75,"B",IF(E52&lt;=3.5,"C",IF(E52&lt;=4.25,"D",IF(E52&lt;=5,"E","F"))))))</f>
        <v/>
      </c>
      <c r="F53" s="182"/>
      <c r="G53" s="181" t="str">
        <f>IF(G52="","",IF(G52&lt;=2,"A",IF(G52&lt;=2.75,"B",IF(G52&lt;=3.5,"C",IF(G52&lt;=4.25,"D",IF(G52&lt;=5,"E","F"))))))</f>
        <v/>
      </c>
      <c r="H53" s="182"/>
      <c r="I53" s="181" t="str">
        <f>IF(I52="","",IF(I52&lt;=2,"A",IF(I52&lt;=2.75,"B",IF(I52&lt;=3.5,"C",IF(I52&lt;=4.25,"D",IF(I52&lt;=5,"E","F"))))))</f>
        <v/>
      </c>
      <c r="J53" s="182"/>
      <c r="K53" s="181" t="str">
        <f>IF(K52="","",IF(K52&lt;=2,"A",IF(K52&lt;=2.75,"B",IF(K52&lt;=3.5,"C",IF(K52&lt;=4.25,"D",IF(K52&lt;=5,"E","F"))))))</f>
        <v/>
      </c>
      <c r="L53" s="182"/>
      <c r="M53" s="181" t="str">
        <f>IF(M52="","",IF(M52&lt;=2,"A",IF(M52&lt;=2.75,"B",IF(M52&lt;=3.5,"C",IF(M52&lt;=4.25,"D",IF(M52&lt;=5,"E","F"))))))</f>
        <v/>
      </c>
      <c r="N53" s="182"/>
      <c r="O53" s="181" t="str">
        <f>IF(O52="","",IF(O52&lt;=2,"A",IF(O52&lt;=2.75,"B",IF(O52&lt;=3.5,"C",IF(O52&lt;=4.25,"D",IF(O52&lt;=5,"E","F"))))))</f>
        <v/>
      </c>
      <c r="P53" s="182"/>
      <c r="Q53" s="181" t="str">
        <f>IF(Q52="","",IF(Q52&lt;=2,"A",IF(Q52&lt;=2.75,"B",IF(Q52&lt;=3.5,"C",IF(Q52&lt;=4.25,"D",IF(Q52&lt;=5,"E","F"))))))</f>
        <v/>
      </c>
      <c r="R53" s="182"/>
      <c r="S53" s="181" t="str">
        <f>IF(S52="","",IF(S52&lt;=2,"A",IF(S52&lt;=2.75,"B",IF(S52&lt;=3.5,"C",IF(S52&lt;=4.25,"D",IF(S52&lt;=5,"E","F"))))))</f>
        <v/>
      </c>
      <c r="T53" s="182"/>
      <c r="U53" s="181" t="str">
        <f>IF(U52="","",IF(U52&lt;=2,"A",IF(U52&lt;=2.75,"B",IF(U52&lt;=3.5,"C",IF(U52&lt;=4.25,"D",IF(U52&lt;=5,"E","F"))))))</f>
        <v/>
      </c>
      <c r="V53" s="182"/>
      <c r="W53" s="181" t="str">
        <f>IF(W52="","",IF(W52&lt;=2,"A",IF(W52&lt;=2.75,"B",IF(W52&lt;=3.5,"C",IF(W52&lt;=4.25,"D",IF(W52&lt;=5,"E","F"))))))</f>
        <v/>
      </c>
      <c r="X53" s="182"/>
      <c r="Y53" s="181" t="str">
        <f>IF(Y52="","",IF(Y52&lt;=2,"A",IF(Y52&lt;=2.75,"B",IF(Y52&lt;=3.5,"C",IF(Y52&lt;=4.25,"D",IF(Y52&lt;=5,"E","F"))))))</f>
        <v/>
      </c>
      <c r="Z53" s="182"/>
      <c r="AA53" s="181" t="str">
        <f>IF(AA52="","",IF(AA52&lt;=2,"A",IF(AA52&lt;=2.75,"B",IF(AA52&lt;=3.5,"C",IF(AA52&lt;=4.25,"D",IF(AA52&lt;=5,"E","F"))))))</f>
        <v/>
      </c>
      <c r="AB53" s="182"/>
      <c r="AC53" s="181" t="str">
        <f>IF(AC52="","",IF(AC52&lt;=2,"A",IF(AC52&lt;=2.75,"B",IF(AC52&lt;=3.5,"C",IF(AC52&lt;=4.25,"D",IF(AC52&lt;=5,"E","F"))))))</f>
        <v/>
      </c>
      <c r="AD53" s="182"/>
      <c r="AE53" s="181" t="str">
        <f>IF(AE52="","",IF(AE52&lt;=2,"A",IF(AE52&lt;=2.75,"B",IF(AE52&lt;=3.5,"C",IF(AE52&lt;=4.25,"D",IF(AE52&lt;=5,"E","F"))))))</f>
        <v/>
      </c>
      <c r="AF53" s="182"/>
      <c r="AG53" s="181" t="str">
        <f>IF(AG52="","",IF(AG52&lt;=2,"A",IF(AG52&lt;=2.75,"B",IF(AG52&lt;=3.5,"C",IF(AG52&lt;=4.25,"D",IF(AG52&lt;=5,"E","F"))))))</f>
        <v/>
      </c>
      <c r="AH53" s="182"/>
      <c r="AI53" s="181" t="str">
        <f>IF(AI52="","",IF(AI52&lt;=2,"A",IF(AI52&lt;=2.75,"B",IF(AI52&lt;=3.5,"C",IF(AI52&lt;=4.25,"D",IF(AI52&lt;=5,"E","F"))))))</f>
        <v/>
      </c>
      <c r="AJ53" s="182"/>
      <c r="AK53" s="181" t="str">
        <f>IF(AK52="","",IF(AK52&lt;=2,"A",IF(AK52&lt;=2.75,"B",IF(AK52&lt;=3.5,"C",IF(AK52&lt;=4.25,"D",IF(AK52&lt;=5,"E","F"))))))</f>
        <v/>
      </c>
      <c r="AL53" s="182"/>
      <c r="AM53" s="181" t="str">
        <f>IF(AM52="","",IF(AM52&lt;=2,"A",IF(AM52&lt;=2.75,"B",IF(AM52&lt;=3.5,"C",IF(AM52&lt;=4.25,"D",IF(AM52&lt;=5,"E","F"))))))</f>
        <v/>
      </c>
      <c r="AN53" s="182"/>
      <c r="AO53" s="181" t="str">
        <f>IF(AO52="","",IF(AO52&lt;=2,"A",IF(AO52&lt;=2.75,"B",IF(AO52&lt;=3.5,"C",IF(AO52&lt;=4.25,"D",IF(AO52&lt;=5,"E","F"))))))</f>
        <v/>
      </c>
      <c r="AP53" s="182"/>
      <c r="AQ53" s="181" t="str">
        <f>IF(AQ52="","",IF(AQ52&lt;=2,"A",IF(AQ52&lt;=2.75,"B",IF(AQ52&lt;=3.5,"C",IF(AQ52&lt;=4.25,"D",IF(AQ52&lt;=5,"E","F"))))))</f>
        <v/>
      </c>
      <c r="AR53" s="182"/>
      <c r="AS53" s="69" t="str">
        <f>IF(AS50&lt;=2,"A",IF(AS50&lt;=2.75,"B",IF(AS50&lt;=3.5,"C",IF(AS50&lt;=4.25,"D",IF(AS50&lt;=5,"E","F")))))</f>
        <v>B</v>
      </c>
      <c r="AT53" s="56"/>
    </row>
    <row r="54" spans="2:46" ht="13.5" thickBot="1" x14ac:dyDescent="0.3">
      <c r="B54" s="63"/>
      <c r="C54" s="30"/>
      <c r="D54" s="64"/>
      <c r="E54" s="30"/>
      <c r="F54" s="30"/>
      <c r="G54" s="30"/>
      <c r="H54" s="30"/>
      <c r="I54" s="30"/>
      <c r="J54" s="30"/>
      <c r="K54" s="30"/>
      <c r="L54" s="30"/>
      <c r="M54" s="30"/>
      <c r="N54" s="30"/>
      <c r="O54" s="30"/>
      <c r="P54" s="30"/>
      <c r="Q54" s="30"/>
      <c r="R54" s="30"/>
      <c r="S54" s="30"/>
      <c r="T54" s="30"/>
      <c r="U54" s="30"/>
      <c r="V54" s="30"/>
      <c r="W54" s="30"/>
      <c r="X54" s="30"/>
      <c r="Y54" s="30"/>
      <c r="Z54" s="30"/>
      <c r="AA54" s="30"/>
      <c r="AB54" s="30"/>
      <c r="AC54" s="30"/>
      <c r="AD54" s="30"/>
      <c r="AE54" s="30"/>
      <c r="AF54" s="30"/>
      <c r="AG54" s="30"/>
      <c r="AH54" s="30"/>
      <c r="AI54" s="30"/>
      <c r="AJ54" s="30"/>
      <c r="AK54" s="30"/>
      <c r="AL54" s="30"/>
      <c r="AM54" s="30"/>
      <c r="AN54" s="30"/>
      <c r="AO54" s="30"/>
      <c r="AP54" s="30"/>
      <c r="AQ54" s="30"/>
      <c r="AR54" s="30"/>
      <c r="AS54" s="64"/>
      <c r="AT54" s="65"/>
    </row>
    <row r="56" spans="2:46" ht="15.75" x14ac:dyDescent="0.25">
      <c r="C56" s="21" t="s">
        <v>207</v>
      </c>
      <c r="D56" s="20" t="s">
        <v>210</v>
      </c>
      <c r="E56" s="20"/>
      <c r="F56" s="263"/>
    </row>
    <row r="57" spans="2:46" ht="15.75" x14ac:dyDescent="0.25">
      <c r="C57" s="21" t="s">
        <v>208</v>
      </c>
      <c r="D57" s="20" t="s">
        <v>211</v>
      </c>
    </row>
    <row r="58" spans="2:46" ht="15.75" x14ac:dyDescent="0.25">
      <c r="C58" s="21" t="s">
        <v>209</v>
      </c>
      <c r="D58" s="20" t="s">
        <v>214</v>
      </c>
    </row>
    <row r="59" spans="2:46" ht="12.95" customHeight="1" x14ac:dyDescent="0.25">
      <c r="C59" s="21" t="s">
        <v>216</v>
      </c>
      <c r="D59" s="190" t="s">
        <v>217</v>
      </c>
      <c r="E59" s="20"/>
      <c r="H59" s="20"/>
      <c r="I59" s="20"/>
      <c r="J59" s="20"/>
      <c r="K59" s="20"/>
      <c r="L59" s="20"/>
      <c r="M59" s="20"/>
      <c r="N59" s="20"/>
      <c r="O59" s="20"/>
      <c r="P59" s="20"/>
      <c r="Q59" s="20"/>
      <c r="R59" s="20"/>
      <c r="S59" s="20"/>
      <c r="T59" s="20"/>
      <c r="U59" s="20"/>
      <c r="V59" s="20"/>
      <c r="W59" s="20"/>
      <c r="X59" s="20"/>
      <c r="Y59" s="20"/>
      <c r="Z59" s="20"/>
      <c r="AA59" s="20"/>
      <c r="AB59" s="20"/>
      <c r="AC59" s="20"/>
      <c r="AD59" s="20"/>
      <c r="AE59" s="20"/>
      <c r="AF59" s="20"/>
      <c r="AG59" s="20"/>
      <c r="AH59" s="20"/>
      <c r="AI59" s="20"/>
      <c r="AJ59" s="20"/>
      <c r="AK59" s="20"/>
      <c r="AL59" s="20"/>
      <c r="AM59" s="20"/>
      <c r="AN59" s="20"/>
      <c r="AO59" s="20"/>
      <c r="AP59" s="20"/>
      <c r="AQ59" s="20"/>
      <c r="AR59" s="20"/>
    </row>
    <row r="60" spans="2:46" x14ac:dyDescent="0.25">
      <c r="D60" s="190"/>
      <c r="E60" s="20"/>
      <c r="H60" s="20"/>
      <c r="I60" s="20"/>
      <c r="J60" s="20"/>
      <c r="K60" s="20"/>
      <c r="L60" s="20"/>
      <c r="M60" s="20"/>
      <c r="N60" s="20"/>
      <c r="O60" s="20"/>
      <c r="P60" s="20"/>
      <c r="Q60" s="20"/>
      <c r="R60" s="20"/>
      <c r="S60" s="20"/>
      <c r="T60" s="20"/>
      <c r="U60" s="20"/>
      <c r="V60" s="20"/>
      <c r="W60" s="20"/>
      <c r="X60" s="20"/>
      <c r="Y60" s="20"/>
      <c r="Z60" s="20"/>
      <c r="AA60" s="20"/>
      <c r="AB60" s="20"/>
      <c r="AC60" s="20"/>
      <c r="AD60" s="20"/>
      <c r="AE60" s="20"/>
      <c r="AF60" s="20"/>
      <c r="AG60" s="20"/>
      <c r="AH60" s="20"/>
      <c r="AI60" s="20"/>
      <c r="AJ60" s="20"/>
      <c r="AK60" s="20"/>
      <c r="AL60" s="20"/>
      <c r="AM60" s="20"/>
      <c r="AN60" s="20"/>
      <c r="AO60" s="20"/>
      <c r="AP60" s="20"/>
      <c r="AQ60" s="20"/>
      <c r="AR60" s="20"/>
    </row>
    <row r="61" spans="2:46" x14ac:dyDescent="0.25">
      <c r="D61" s="190"/>
      <c r="E61" s="20"/>
      <c r="H61" s="20"/>
      <c r="I61" s="20"/>
      <c r="J61" s="20"/>
      <c r="K61" s="20"/>
      <c r="L61" s="20"/>
      <c r="M61" s="20"/>
      <c r="N61" s="20"/>
      <c r="O61" s="20"/>
      <c r="P61" s="20"/>
      <c r="Q61" s="20"/>
      <c r="R61" s="20"/>
      <c r="S61" s="20"/>
      <c r="T61" s="20"/>
      <c r="U61" s="20"/>
      <c r="V61" s="20"/>
      <c r="W61" s="20"/>
      <c r="X61" s="20"/>
      <c r="Y61" s="20"/>
      <c r="Z61" s="20"/>
      <c r="AA61" s="20"/>
      <c r="AB61" s="20"/>
      <c r="AC61" s="20"/>
      <c r="AD61" s="20"/>
      <c r="AE61" s="20"/>
      <c r="AF61" s="20"/>
      <c r="AG61" s="20"/>
      <c r="AH61" s="20"/>
      <c r="AI61" s="20"/>
      <c r="AJ61" s="20"/>
      <c r="AK61" s="20"/>
      <c r="AL61" s="20"/>
      <c r="AM61" s="20"/>
      <c r="AN61" s="20"/>
      <c r="AO61" s="20"/>
      <c r="AP61" s="20"/>
      <c r="AQ61" s="20"/>
      <c r="AR61" s="20"/>
    </row>
    <row r="62" spans="2:46" ht="25.5" x14ac:dyDescent="0.25">
      <c r="C62" s="145" t="s">
        <v>243</v>
      </c>
      <c r="D62" s="147" t="s">
        <v>245</v>
      </c>
      <c r="E62" s="20"/>
      <c r="H62" s="20"/>
      <c r="I62" s="20"/>
      <c r="J62" s="20"/>
      <c r="K62" s="20"/>
      <c r="L62" s="20"/>
      <c r="M62" s="20"/>
      <c r="N62" s="20"/>
      <c r="O62" s="20"/>
      <c r="P62" s="20"/>
      <c r="Q62" s="20"/>
      <c r="R62" s="20"/>
      <c r="S62" s="20"/>
      <c r="T62" s="20"/>
      <c r="U62" s="20"/>
      <c r="V62" s="20"/>
      <c r="W62" s="20"/>
      <c r="X62" s="20"/>
      <c r="Y62" s="20"/>
      <c r="Z62" s="20"/>
      <c r="AA62" s="20"/>
      <c r="AB62" s="20"/>
      <c r="AC62" s="20"/>
      <c r="AD62" s="20"/>
      <c r="AE62" s="20"/>
      <c r="AF62" s="20"/>
      <c r="AG62" s="20"/>
      <c r="AH62" s="20"/>
      <c r="AI62" s="20"/>
      <c r="AJ62" s="20"/>
      <c r="AK62" s="20"/>
      <c r="AL62" s="20"/>
      <c r="AM62" s="20"/>
      <c r="AN62" s="20"/>
      <c r="AO62" s="20"/>
      <c r="AP62" s="20"/>
      <c r="AQ62" s="20"/>
      <c r="AR62" s="20"/>
    </row>
    <row r="63" spans="2:46" x14ac:dyDescent="0.25">
      <c r="D63" s="168"/>
      <c r="E63" s="20"/>
      <c r="F63" s="20"/>
      <c r="G63" s="20"/>
      <c r="H63" s="20"/>
      <c r="I63" s="20"/>
      <c r="J63" s="20"/>
      <c r="K63" s="20"/>
      <c r="L63" s="20"/>
      <c r="M63" s="20"/>
      <c r="N63" s="20"/>
      <c r="O63" s="20"/>
      <c r="P63" s="20"/>
      <c r="Q63" s="20"/>
      <c r="R63" s="20"/>
      <c r="S63" s="20"/>
      <c r="T63" s="20"/>
      <c r="U63" s="20"/>
      <c r="V63" s="20"/>
      <c r="W63" s="20"/>
      <c r="X63" s="20"/>
      <c r="Y63" s="20"/>
      <c r="Z63" s="20"/>
      <c r="AA63" s="20"/>
      <c r="AB63" s="20"/>
      <c r="AC63" s="20"/>
      <c r="AD63" s="20"/>
      <c r="AE63" s="20"/>
      <c r="AF63" s="20"/>
      <c r="AG63" s="20"/>
      <c r="AH63" s="20"/>
      <c r="AI63" s="20"/>
      <c r="AJ63" s="20"/>
      <c r="AK63" s="20"/>
      <c r="AL63" s="20"/>
      <c r="AM63" s="20"/>
      <c r="AN63" s="20"/>
      <c r="AO63" s="20"/>
      <c r="AP63" s="20"/>
      <c r="AQ63" s="20"/>
      <c r="AR63" s="20"/>
    </row>
    <row r="65" spans="3:44" ht="13.5" x14ac:dyDescent="0.25">
      <c r="C65" s="183" t="s">
        <v>230</v>
      </c>
      <c r="D65" s="183"/>
      <c r="E65" s="20"/>
      <c r="F65" s="20"/>
      <c r="G65" s="20"/>
      <c r="H65" s="20"/>
      <c r="I65" s="20"/>
      <c r="J65" s="20"/>
      <c r="K65" s="20"/>
      <c r="L65" s="20"/>
      <c r="M65" s="20"/>
      <c r="N65" s="20"/>
      <c r="O65" s="20"/>
      <c r="P65" s="20"/>
      <c r="Q65" s="20"/>
      <c r="R65" s="20"/>
      <c r="S65" s="20"/>
      <c r="T65" s="20"/>
      <c r="U65" s="20"/>
      <c r="V65" s="20"/>
      <c r="W65" s="20"/>
      <c r="X65" s="20"/>
      <c r="Y65" s="20"/>
      <c r="Z65" s="20"/>
      <c r="AA65" s="20"/>
      <c r="AB65" s="20"/>
      <c r="AC65" s="20"/>
      <c r="AD65" s="20"/>
      <c r="AE65" s="20"/>
      <c r="AF65" s="20"/>
      <c r="AG65" s="20"/>
      <c r="AH65" s="20"/>
      <c r="AI65" s="20"/>
      <c r="AJ65" s="20"/>
      <c r="AK65" s="20"/>
      <c r="AL65" s="20"/>
      <c r="AM65" s="20"/>
      <c r="AN65" s="20"/>
      <c r="AO65" s="20"/>
      <c r="AP65" s="20"/>
      <c r="AQ65" s="20"/>
      <c r="AR65" s="20"/>
    </row>
  </sheetData>
  <mergeCells count="367">
    <mergeCell ref="AO9:AP9"/>
    <mergeCell ref="AQ9:AR9"/>
    <mergeCell ref="AC9:AD9"/>
    <mergeCell ref="AE9:AF9"/>
    <mergeCell ref="AG9:AH9"/>
    <mergeCell ref="AI9:AJ9"/>
    <mergeCell ref="AK9:AL9"/>
    <mergeCell ref="AM9:AN9"/>
    <mergeCell ref="Q9:R9"/>
    <mergeCell ref="S9:T9"/>
    <mergeCell ref="U9:V9"/>
    <mergeCell ref="W9:X9"/>
    <mergeCell ref="Y9:Z9"/>
    <mergeCell ref="AA9:AB9"/>
    <mergeCell ref="AQ52:AR52"/>
    <mergeCell ref="E9:F9"/>
    <mergeCell ref="G9:H9"/>
    <mergeCell ref="I9:J9"/>
    <mergeCell ref="K9:L9"/>
    <mergeCell ref="M9:N9"/>
    <mergeCell ref="O9:P9"/>
    <mergeCell ref="AE52:AF52"/>
    <mergeCell ref="AG52:AH52"/>
    <mergeCell ref="AI52:AJ52"/>
    <mergeCell ref="AK52:AL52"/>
    <mergeCell ref="AM52:AN52"/>
    <mergeCell ref="AO52:AP52"/>
    <mergeCell ref="S52:T52"/>
    <mergeCell ref="U52:V52"/>
    <mergeCell ref="W52:X52"/>
    <mergeCell ref="Y52:Z52"/>
    <mergeCell ref="AA52:AB52"/>
    <mergeCell ref="AC52:AD52"/>
    <mergeCell ref="AO46:AP46"/>
    <mergeCell ref="AQ46:AR46"/>
    <mergeCell ref="AO47:AP47"/>
    <mergeCell ref="AQ47:AR47"/>
    <mergeCell ref="G52:H52"/>
    <mergeCell ref="I52:J52"/>
    <mergeCell ref="K52:L52"/>
    <mergeCell ref="M52:N52"/>
    <mergeCell ref="O52:P52"/>
    <mergeCell ref="Q52:R52"/>
    <mergeCell ref="AC47:AD47"/>
    <mergeCell ref="AE47:AF47"/>
    <mergeCell ref="AG47:AH47"/>
    <mergeCell ref="AI47:AJ47"/>
    <mergeCell ref="AK47:AL47"/>
    <mergeCell ref="AM47:AN47"/>
    <mergeCell ref="AC46:AD46"/>
    <mergeCell ref="AE46:AF46"/>
    <mergeCell ref="AG46:AH46"/>
    <mergeCell ref="AI46:AJ46"/>
    <mergeCell ref="AK46:AL46"/>
    <mergeCell ref="AM46:AN46"/>
    <mergeCell ref="U46:V46"/>
    <mergeCell ref="W46:X46"/>
    <mergeCell ref="Y46:Z46"/>
    <mergeCell ref="AA46:AB46"/>
    <mergeCell ref="Q47:R47"/>
    <mergeCell ref="S47:T47"/>
    <mergeCell ref="U47:V47"/>
    <mergeCell ref="W47:X47"/>
    <mergeCell ref="Y47:Z47"/>
    <mergeCell ref="AA47:AB47"/>
    <mergeCell ref="M46:N46"/>
    <mergeCell ref="M47:N47"/>
    <mergeCell ref="O46:P46"/>
    <mergeCell ref="O47:P47"/>
    <mergeCell ref="Q46:R46"/>
    <mergeCell ref="S46:T46"/>
    <mergeCell ref="AO41:AP41"/>
    <mergeCell ref="AQ41:AR41"/>
    <mergeCell ref="AO42:AP42"/>
    <mergeCell ref="AQ42:AR42"/>
    <mergeCell ref="G46:H46"/>
    <mergeCell ref="G47:H47"/>
    <mergeCell ref="I46:J46"/>
    <mergeCell ref="I47:J47"/>
    <mergeCell ref="K46:L46"/>
    <mergeCell ref="K47:L47"/>
    <mergeCell ref="AI41:AJ41"/>
    <mergeCell ref="AK41:AL41"/>
    <mergeCell ref="AM41:AN41"/>
    <mergeCell ref="AI42:AJ42"/>
    <mergeCell ref="AK42:AL42"/>
    <mergeCell ref="AM42:AN42"/>
    <mergeCell ref="AC41:AD41"/>
    <mergeCell ref="AE41:AF41"/>
    <mergeCell ref="AG41:AH41"/>
    <mergeCell ref="AC42:AD42"/>
    <mergeCell ref="AE42:AF42"/>
    <mergeCell ref="AG42:AH42"/>
    <mergeCell ref="W41:X41"/>
    <mergeCell ref="Y41:Z41"/>
    <mergeCell ref="AA41:AB41"/>
    <mergeCell ref="W42:X42"/>
    <mergeCell ref="Y42:Z42"/>
    <mergeCell ref="AA42:AB42"/>
    <mergeCell ref="U41:V41"/>
    <mergeCell ref="Q42:R42"/>
    <mergeCell ref="S42:T42"/>
    <mergeCell ref="U42:V42"/>
    <mergeCell ref="O41:P41"/>
    <mergeCell ref="K42:L42"/>
    <mergeCell ref="M42:N42"/>
    <mergeCell ref="O42:P42"/>
    <mergeCell ref="Q41:R41"/>
    <mergeCell ref="S41:T41"/>
    <mergeCell ref="G41:H41"/>
    <mergeCell ref="G42:H42"/>
    <mergeCell ref="I41:J41"/>
    <mergeCell ref="I42:J42"/>
    <mergeCell ref="K41:L41"/>
    <mergeCell ref="M41:N41"/>
    <mergeCell ref="AI31:AJ31"/>
    <mergeCell ref="AK31:AL31"/>
    <mergeCell ref="AM31:AN31"/>
    <mergeCell ref="AO31:AP31"/>
    <mergeCell ref="AQ31:AR31"/>
    <mergeCell ref="W31:X31"/>
    <mergeCell ref="Y31:Z31"/>
    <mergeCell ref="AA31:AB31"/>
    <mergeCell ref="AC31:AD31"/>
    <mergeCell ref="AE31:AF31"/>
    <mergeCell ref="AG31:AH31"/>
    <mergeCell ref="AM23:AN23"/>
    <mergeCell ref="AO23:AP23"/>
    <mergeCell ref="AQ23:AR23"/>
    <mergeCell ref="I31:J31"/>
    <mergeCell ref="K31:L31"/>
    <mergeCell ref="M31:N31"/>
    <mergeCell ref="O31:P31"/>
    <mergeCell ref="Q31:R31"/>
    <mergeCell ref="S31:T31"/>
    <mergeCell ref="U31:V31"/>
    <mergeCell ref="AA23:AB23"/>
    <mergeCell ref="AC23:AD23"/>
    <mergeCell ref="AE23:AF23"/>
    <mergeCell ref="AG23:AH23"/>
    <mergeCell ref="AI23:AJ23"/>
    <mergeCell ref="AK23:AL23"/>
    <mergeCell ref="K23:L23"/>
    <mergeCell ref="M23:N23"/>
    <mergeCell ref="O23:P23"/>
    <mergeCell ref="Q23:R23"/>
    <mergeCell ref="S23:T23"/>
    <mergeCell ref="U23:V23"/>
    <mergeCell ref="W23:X23"/>
    <mergeCell ref="Y23:Z23"/>
    <mergeCell ref="AM8:AN8"/>
    <mergeCell ref="AO8:AP8"/>
    <mergeCell ref="AQ8:AR8"/>
    <mergeCell ref="C5:D5"/>
    <mergeCell ref="I23:J23"/>
    <mergeCell ref="AK6:AL6"/>
    <mergeCell ref="AM6:AN6"/>
    <mergeCell ref="AO6:AP6"/>
    <mergeCell ref="AQ6:AR6"/>
    <mergeCell ref="I8:J8"/>
    <mergeCell ref="K8:L8"/>
    <mergeCell ref="M8:N8"/>
    <mergeCell ref="O8:P8"/>
    <mergeCell ref="Q8:R8"/>
    <mergeCell ref="S8:T8"/>
    <mergeCell ref="Y6:Z6"/>
    <mergeCell ref="AA6:AB6"/>
    <mergeCell ref="AC6:AD6"/>
    <mergeCell ref="AE6:AF6"/>
    <mergeCell ref="AG6:AH6"/>
    <mergeCell ref="AI6:AJ6"/>
    <mergeCell ref="M6:N6"/>
    <mergeCell ref="O6:P6"/>
    <mergeCell ref="Q6:R6"/>
    <mergeCell ref="S6:T6"/>
    <mergeCell ref="U6:V6"/>
    <mergeCell ref="W6:X6"/>
    <mergeCell ref="C6:D6"/>
    <mergeCell ref="G6:H6"/>
    <mergeCell ref="I6:J6"/>
    <mergeCell ref="K6:L6"/>
    <mergeCell ref="E23:F23"/>
    <mergeCell ref="E31:F31"/>
    <mergeCell ref="E51:F51"/>
    <mergeCell ref="E52:F52"/>
    <mergeCell ref="G23:H23"/>
    <mergeCell ref="G31:H31"/>
    <mergeCell ref="D59:D61"/>
    <mergeCell ref="C65:D65"/>
    <mergeCell ref="E41:F41"/>
    <mergeCell ref="E42:F42"/>
    <mergeCell ref="E46:F46"/>
    <mergeCell ref="E47:F47"/>
    <mergeCell ref="AG53:AH53"/>
    <mergeCell ref="AI53:AJ53"/>
    <mergeCell ref="AK53:AL53"/>
    <mergeCell ref="AM53:AN53"/>
    <mergeCell ref="AO53:AP53"/>
    <mergeCell ref="AQ53:AR53"/>
    <mergeCell ref="U53:V53"/>
    <mergeCell ref="W53:X53"/>
    <mergeCell ref="Y53:Z53"/>
    <mergeCell ref="AA53:AB53"/>
    <mergeCell ref="AC53:AD53"/>
    <mergeCell ref="AE53:AF53"/>
    <mergeCell ref="AO50:AP50"/>
    <mergeCell ref="AQ50:AR50"/>
    <mergeCell ref="E53:F53"/>
    <mergeCell ref="G53:H53"/>
    <mergeCell ref="I53:J53"/>
    <mergeCell ref="K53:L53"/>
    <mergeCell ref="M53:N53"/>
    <mergeCell ref="O53:P53"/>
    <mergeCell ref="Q53:R53"/>
    <mergeCell ref="S53:T53"/>
    <mergeCell ref="AC50:AD50"/>
    <mergeCell ref="AE50:AF50"/>
    <mergeCell ref="AG50:AH50"/>
    <mergeCell ref="AI50:AJ50"/>
    <mergeCell ref="AK50:AL50"/>
    <mergeCell ref="AM50:AN50"/>
    <mergeCell ref="Q50:R50"/>
    <mergeCell ref="S50:T50"/>
    <mergeCell ref="U50:V50"/>
    <mergeCell ref="W50:X50"/>
    <mergeCell ref="Y50:Z50"/>
    <mergeCell ref="AA50:AB50"/>
    <mergeCell ref="E50:F50"/>
    <mergeCell ref="G50:H50"/>
    <mergeCell ref="I50:J50"/>
    <mergeCell ref="K50:L50"/>
    <mergeCell ref="M50:N50"/>
    <mergeCell ref="O50:P50"/>
    <mergeCell ref="AG48:AH48"/>
    <mergeCell ref="AI48:AJ48"/>
    <mergeCell ref="AK48:AL48"/>
    <mergeCell ref="AM48:AN48"/>
    <mergeCell ref="AO48:AP48"/>
    <mergeCell ref="AQ48:AR48"/>
    <mergeCell ref="U48:V48"/>
    <mergeCell ref="W48:X48"/>
    <mergeCell ref="Y48:Z48"/>
    <mergeCell ref="AA48:AB48"/>
    <mergeCell ref="AC48:AD48"/>
    <mergeCell ref="AE48:AF48"/>
    <mergeCell ref="AO45:AP45"/>
    <mergeCell ref="AQ45:AR45"/>
    <mergeCell ref="E48:F48"/>
    <mergeCell ref="G48:H48"/>
    <mergeCell ref="I48:J48"/>
    <mergeCell ref="K48:L48"/>
    <mergeCell ref="M48:N48"/>
    <mergeCell ref="O48:P48"/>
    <mergeCell ref="Q48:R48"/>
    <mergeCell ref="S48:T48"/>
    <mergeCell ref="AC45:AD45"/>
    <mergeCell ref="AE45:AF45"/>
    <mergeCell ref="AG45:AH45"/>
    <mergeCell ref="AI45:AJ45"/>
    <mergeCell ref="AK45:AL45"/>
    <mergeCell ref="AM45:AN45"/>
    <mergeCell ref="Q45:R45"/>
    <mergeCell ref="S45:T45"/>
    <mergeCell ref="U45:V45"/>
    <mergeCell ref="W45:X45"/>
    <mergeCell ref="Y45:Z45"/>
    <mergeCell ref="AA45:AB45"/>
    <mergeCell ref="E45:F45"/>
    <mergeCell ref="G45:H45"/>
    <mergeCell ref="I45:J45"/>
    <mergeCell ref="K45:L45"/>
    <mergeCell ref="M45:N45"/>
    <mergeCell ref="O45:P45"/>
    <mergeCell ref="AG43:AH43"/>
    <mergeCell ref="AI43:AJ43"/>
    <mergeCell ref="AK43:AL43"/>
    <mergeCell ref="AM43:AN43"/>
    <mergeCell ref="AO43:AP43"/>
    <mergeCell ref="AQ43:AR43"/>
    <mergeCell ref="U43:V43"/>
    <mergeCell ref="W43:X43"/>
    <mergeCell ref="Y43:Z43"/>
    <mergeCell ref="AA43:AB43"/>
    <mergeCell ref="AC43:AD43"/>
    <mergeCell ref="AE43:AF43"/>
    <mergeCell ref="AO40:AP40"/>
    <mergeCell ref="AQ40:AR40"/>
    <mergeCell ref="E43:F43"/>
    <mergeCell ref="G43:H43"/>
    <mergeCell ref="I43:J43"/>
    <mergeCell ref="K43:L43"/>
    <mergeCell ref="M43:N43"/>
    <mergeCell ref="O43:P43"/>
    <mergeCell ref="Q43:R43"/>
    <mergeCell ref="S43:T43"/>
    <mergeCell ref="AC40:AD40"/>
    <mergeCell ref="AE40:AF40"/>
    <mergeCell ref="AG40:AH40"/>
    <mergeCell ref="AI40:AJ40"/>
    <mergeCell ref="AK40:AL40"/>
    <mergeCell ref="AM40:AN40"/>
    <mergeCell ref="Q40:R40"/>
    <mergeCell ref="S40:T40"/>
    <mergeCell ref="U40:V40"/>
    <mergeCell ref="W40:X40"/>
    <mergeCell ref="Y40:Z40"/>
    <mergeCell ref="AA40:AB40"/>
    <mergeCell ref="E40:F40"/>
    <mergeCell ref="G40:H40"/>
    <mergeCell ref="I40:J40"/>
    <mergeCell ref="K40:L40"/>
    <mergeCell ref="M40:N40"/>
    <mergeCell ref="O40:P40"/>
    <mergeCell ref="AG38:AH38"/>
    <mergeCell ref="AI38:AJ38"/>
    <mergeCell ref="AK38:AL38"/>
    <mergeCell ref="AM38:AN38"/>
    <mergeCell ref="AO38:AP38"/>
    <mergeCell ref="AQ38:AR38"/>
    <mergeCell ref="U38:V38"/>
    <mergeCell ref="W38:X38"/>
    <mergeCell ref="Y38:Z38"/>
    <mergeCell ref="AA38:AB38"/>
    <mergeCell ref="AC38:AD38"/>
    <mergeCell ref="AE38:AF38"/>
    <mergeCell ref="C38:D38"/>
    <mergeCell ref="E38:F38"/>
    <mergeCell ref="G38:H38"/>
    <mergeCell ref="I38:J38"/>
    <mergeCell ref="K38:L38"/>
    <mergeCell ref="M38:N38"/>
    <mergeCell ref="O38:P38"/>
    <mergeCell ref="Q38:R38"/>
    <mergeCell ref="S38:T38"/>
    <mergeCell ref="AC8:AD8"/>
    <mergeCell ref="AE8:AF8"/>
    <mergeCell ref="AG8:AH8"/>
    <mergeCell ref="AI8:AJ8"/>
    <mergeCell ref="U8:V8"/>
    <mergeCell ref="W8:X8"/>
    <mergeCell ref="Y8:Z8"/>
    <mergeCell ref="AA8:AB8"/>
    <mergeCell ref="E8:F8"/>
    <mergeCell ref="G8:H8"/>
    <mergeCell ref="AK8:AL8"/>
    <mergeCell ref="AK3:AL3"/>
    <mergeCell ref="AM3:AN3"/>
    <mergeCell ref="AO3:AP3"/>
    <mergeCell ref="AQ3:AR3"/>
    <mergeCell ref="AS3:AS4"/>
    <mergeCell ref="Y3:Z3"/>
    <mergeCell ref="AA3:AB3"/>
    <mergeCell ref="AC3:AD3"/>
    <mergeCell ref="AE3:AF3"/>
    <mergeCell ref="AG3:AH3"/>
    <mergeCell ref="AI3:AJ3"/>
    <mergeCell ref="M3:N3"/>
    <mergeCell ref="O3:P3"/>
    <mergeCell ref="Q3:R3"/>
    <mergeCell ref="S3:T3"/>
    <mergeCell ref="U3:V3"/>
    <mergeCell ref="W3:X3"/>
    <mergeCell ref="C3:D4"/>
    <mergeCell ref="E3:F3"/>
    <mergeCell ref="G3:H3"/>
    <mergeCell ref="I3:J3"/>
    <mergeCell ref="K3:L3"/>
  </mergeCells>
  <pageMargins left="0.7" right="0.7" top="0.75" bottom="0.75" header="0.3" footer="0.3"/>
  <pageSetup orientation="portrait" horizontalDpi="360" verticalDpi="360" r:id="rId1"/>
  <drawing r:id="rId2"/>
  <legacy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AU110"/>
  <sheetViews>
    <sheetView zoomScaleNormal="100" zoomScalePageLayoutView="70" workbookViewId="0">
      <pane xSplit="5" ySplit="4" topLeftCell="F5" activePane="bottomRight" state="frozen"/>
      <selection pane="topRight" activeCell="F1" sqref="F1"/>
      <selection pane="bottomLeft" activeCell="A5" sqref="A5"/>
      <selection pane="bottomRight" activeCell="AH92" sqref="AH92:AI92"/>
    </sheetView>
  </sheetViews>
  <sheetFormatPr defaultColWidth="10.875" defaultRowHeight="12.75" x14ac:dyDescent="0.25"/>
  <cols>
    <col min="1" max="2" width="3.375" style="20" customWidth="1"/>
    <col min="3" max="3" width="5.5" style="23" bestFit="1" customWidth="1"/>
    <col min="4" max="4" width="50.375" style="20" customWidth="1"/>
    <col min="5" max="5" width="7" style="20" customWidth="1"/>
    <col min="6" max="6" width="9.125" style="23" bestFit="1" customWidth="1"/>
    <col min="7" max="45" width="9.875" style="23" bestFit="1" customWidth="1"/>
    <col min="46" max="46" width="9.625" style="20" customWidth="1"/>
    <col min="47" max="47" width="3.375" style="20" customWidth="1"/>
    <col min="48" max="16384" width="10.875" style="20"/>
  </cols>
  <sheetData>
    <row r="1" spans="1:47" ht="13.5" thickBot="1" x14ac:dyDescent="0.3">
      <c r="G1" s="136"/>
    </row>
    <row r="2" spans="1:47" x14ac:dyDescent="0.25">
      <c r="A2" s="20" t="s">
        <v>142</v>
      </c>
      <c r="B2" s="52"/>
      <c r="C2" s="25"/>
      <c r="D2" s="53"/>
      <c r="E2" s="53"/>
      <c r="F2" s="25"/>
      <c r="G2" s="25"/>
      <c r="H2" s="25"/>
      <c r="I2" s="25"/>
      <c r="J2" s="25"/>
      <c r="K2" s="25"/>
      <c r="L2" s="25"/>
      <c r="M2" s="25"/>
      <c r="N2" s="25"/>
      <c r="O2" s="25"/>
      <c r="P2" s="25"/>
      <c r="Q2" s="25"/>
      <c r="R2" s="25"/>
      <c r="S2" s="25"/>
      <c r="T2" s="25"/>
      <c r="U2" s="25"/>
      <c r="V2" s="25"/>
      <c r="W2" s="25"/>
      <c r="X2" s="25"/>
      <c r="Y2" s="25"/>
      <c r="Z2" s="25"/>
      <c r="AA2" s="25"/>
      <c r="AB2" s="25"/>
      <c r="AC2" s="25"/>
      <c r="AD2" s="25"/>
      <c r="AE2" s="25"/>
      <c r="AF2" s="25"/>
      <c r="AG2" s="25"/>
      <c r="AH2" s="25"/>
      <c r="AI2" s="25"/>
      <c r="AJ2" s="25"/>
      <c r="AK2" s="25"/>
      <c r="AL2" s="25"/>
      <c r="AM2" s="25"/>
      <c r="AN2" s="25"/>
      <c r="AO2" s="25"/>
      <c r="AP2" s="25"/>
      <c r="AQ2" s="25"/>
      <c r="AR2" s="25"/>
      <c r="AS2" s="25"/>
      <c r="AT2" s="53"/>
      <c r="AU2" s="54"/>
    </row>
    <row r="3" spans="1:47" ht="15.95" customHeight="1" x14ac:dyDescent="0.25">
      <c r="B3" s="55"/>
      <c r="C3" s="178" t="s">
        <v>68</v>
      </c>
      <c r="D3" s="180"/>
      <c r="E3" s="188" t="s">
        <v>229</v>
      </c>
      <c r="F3" s="178" t="s">
        <v>19</v>
      </c>
      <c r="G3" s="180"/>
      <c r="H3" s="178" t="s">
        <v>123</v>
      </c>
      <c r="I3" s="180"/>
      <c r="J3" s="178" t="s">
        <v>124</v>
      </c>
      <c r="K3" s="180"/>
      <c r="L3" s="178" t="s">
        <v>125</v>
      </c>
      <c r="M3" s="180"/>
      <c r="N3" s="178" t="s">
        <v>126</v>
      </c>
      <c r="O3" s="180"/>
      <c r="P3" s="178" t="s">
        <v>127</v>
      </c>
      <c r="Q3" s="180"/>
      <c r="R3" s="178" t="s">
        <v>128</v>
      </c>
      <c r="S3" s="180"/>
      <c r="T3" s="178" t="s">
        <v>129</v>
      </c>
      <c r="U3" s="180"/>
      <c r="V3" s="178" t="s">
        <v>130</v>
      </c>
      <c r="W3" s="180"/>
      <c r="X3" s="178" t="s">
        <v>131</v>
      </c>
      <c r="Y3" s="180"/>
      <c r="Z3" s="178" t="s">
        <v>132</v>
      </c>
      <c r="AA3" s="180"/>
      <c r="AB3" s="178" t="s">
        <v>133</v>
      </c>
      <c r="AC3" s="180"/>
      <c r="AD3" s="178" t="s">
        <v>134</v>
      </c>
      <c r="AE3" s="180"/>
      <c r="AF3" s="178" t="s">
        <v>135</v>
      </c>
      <c r="AG3" s="180"/>
      <c r="AH3" s="178" t="s">
        <v>136</v>
      </c>
      <c r="AI3" s="180"/>
      <c r="AJ3" s="178" t="s">
        <v>137</v>
      </c>
      <c r="AK3" s="180"/>
      <c r="AL3" s="178" t="s">
        <v>138</v>
      </c>
      <c r="AM3" s="180"/>
      <c r="AN3" s="178" t="s">
        <v>139</v>
      </c>
      <c r="AO3" s="180"/>
      <c r="AP3" s="178" t="s">
        <v>140</v>
      </c>
      <c r="AQ3" s="180"/>
      <c r="AR3" s="178" t="s">
        <v>141</v>
      </c>
      <c r="AS3" s="180"/>
      <c r="AT3" s="191" t="s">
        <v>199</v>
      </c>
      <c r="AU3" s="56"/>
    </row>
    <row r="4" spans="1:47" s="21" customFormat="1" ht="13.5" x14ac:dyDescent="0.25">
      <c r="B4" s="57"/>
      <c r="C4" s="178"/>
      <c r="D4" s="180"/>
      <c r="E4" s="188"/>
      <c r="F4" s="1" t="s">
        <v>66</v>
      </c>
      <c r="G4" s="2" t="s">
        <v>67</v>
      </c>
      <c r="H4" s="1" t="s">
        <v>66</v>
      </c>
      <c r="I4" s="2" t="s">
        <v>67</v>
      </c>
      <c r="J4" s="1" t="s">
        <v>66</v>
      </c>
      <c r="K4" s="2" t="s">
        <v>67</v>
      </c>
      <c r="L4" s="1" t="s">
        <v>66</v>
      </c>
      <c r="M4" s="2" t="s">
        <v>67</v>
      </c>
      <c r="N4" s="1" t="s">
        <v>66</v>
      </c>
      <c r="O4" s="2" t="s">
        <v>67</v>
      </c>
      <c r="P4" s="1" t="s">
        <v>66</v>
      </c>
      <c r="Q4" s="2" t="s">
        <v>67</v>
      </c>
      <c r="R4" s="1" t="s">
        <v>66</v>
      </c>
      <c r="S4" s="2" t="s">
        <v>67</v>
      </c>
      <c r="T4" s="1" t="s">
        <v>66</v>
      </c>
      <c r="U4" s="2" t="s">
        <v>67</v>
      </c>
      <c r="V4" s="1" t="s">
        <v>66</v>
      </c>
      <c r="W4" s="2" t="s">
        <v>67</v>
      </c>
      <c r="X4" s="1" t="s">
        <v>66</v>
      </c>
      <c r="Y4" s="2" t="s">
        <v>67</v>
      </c>
      <c r="Z4" s="1" t="s">
        <v>66</v>
      </c>
      <c r="AA4" s="2" t="s">
        <v>67</v>
      </c>
      <c r="AB4" s="1" t="s">
        <v>66</v>
      </c>
      <c r="AC4" s="2" t="s">
        <v>67</v>
      </c>
      <c r="AD4" s="1" t="s">
        <v>66</v>
      </c>
      <c r="AE4" s="2" t="s">
        <v>67</v>
      </c>
      <c r="AF4" s="1" t="s">
        <v>66</v>
      </c>
      <c r="AG4" s="2" t="s">
        <v>67</v>
      </c>
      <c r="AH4" s="1" t="s">
        <v>66</v>
      </c>
      <c r="AI4" s="2" t="s">
        <v>67</v>
      </c>
      <c r="AJ4" s="1" t="s">
        <v>66</v>
      </c>
      <c r="AK4" s="2" t="s">
        <v>67</v>
      </c>
      <c r="AL4" s="1" t="s">
        <v>66</v>
      </c>
      <c r="AM4" s="2" t="s">
        <v>67</v>
      </c>
      <c r="AN4" s="1" t="s">
        <v>66</v>
      </c>
      <c r="AO4" s="2" t="s">
        <v>67</v>
      </c>
      <c r="AP4" s="1" t="s">
        <v>66</v>
      </c>
      <c r="AQ4" s="2" t="s">
        <v>67</v>
      </c>
      <c r="AR4" s="1" t="s">
        <v>66</v>
      </c>
      <c r="AS4" s="2" t="s">
        <v>67</v>
      </c>
      <c r="AT4" s="191"/>
      <c r="AU4" s="58"/>
    </row>
    <row r="5" spans="1:47" s="21" customFormat="1" x14ac:dyDescent="0.25">
      <c r="B5" s="57"/>
      <c r="C5" s="59"/>
      <c r="D5" s="59"/>
      <c r="E5" s="111"/>
      <c r="F5" s="59"/>
      <c r="G5" s="59"/>
      <c r="H5" s="59"/>
      <c r="I5" s="59"/>
      <c r="J5" s="59"/>
      <c r="K5" s="59"/>
      <c r="L5" s="59"/>
      <c r="M5" s="59"/>
      <c r="N5" s="59"/>
      <c r="O5" s="59"/>
      <c r="P5" s="59"/>
      <c r="Q5" s="59"/>
      <c r="R5" s="59"/>
      <c r="S5" s="59"/>
      <c r="T5" s="59"/>
      <c r="U5" s="59"/>
      <c r="V5" s="59"/>
      <c r="W5" s="59"/>
      <c r="X5" s="59"/>
      <c r="Y5" s="59"/>
      <c r="Z5" s="59"/>
      <c r="AA5" s="59"/>
      <c r="AB5" s="59"/>
      <c r="AC5" s="59"/>
      <c r="AD5" s="59"/>
      <c r="AE5" s="59"/>
      <c r="AF5" s="59"/>
      <c r="AG5" s="59"/>
      <c r="AH5" s="59"/>
      <c r="AI5" s="59"/>
      <c r="AJ5" s="59"/>
      <c r="AK5" s="59"/>
      <c r="AL5" s="59"/>
      <c r="AM5" s="59"/>
      <c r="AN5" s="59"/>
      <c r="AO5" s="59"/>
      <c r="AP5" s="59"/>
      <c r="AQ5" s="59"/>
      <c r="AR5" s="59"/>
      <c r="AS5" s="59"/>
      <c r="AT5" s="59"/>
      <c r="AU5" s="58"/>
    </row>
    <row r="6" spans="1:47" s="21" customFormat="1" ht="13.5" x14ac:dyDescent="0.25">
      <c r="B6" s="57"/>
      <c r="C6" s="178" t="s">
        <v>0</v>
      </c>
      <c r="D6" s="180"/>
      <c r="E6" s="88"/>
      <c r="F6" s="178"/>
      <c r="G6" s="180"/>
      <c r="H6" s="178"/>
      <c r="I6" s="180"/>
      <c r="J6" s="178"/>
      <c r="K6" s="180"/>
      <c r="L6" s="178"/>
      <c r="M6" s="180"/>
      <c r="N6" s="178"/>
      <c r="O6" s="180"/>
      <c r="P6" s="178"/>
      <c r="Q6" s="180"/>
      <c r="R6" s="178"/>
      <c r="S6" s="180"/>
      <c r="T6" s="178"/>
      <c r="U6" s="180"/>
      <c r="V6" s="178"/>
      <c r="W6" s="180"/>
      <c r="X6" s="178"/>
      <c r="Y6" s="180"/>
      <c r="Z6" s="178"/>
      <c r="AA6" s="180"/>
      <c r="AB6" s="178"/>
      <c r="AC6" s="180"/>
      <c r="AD6" s="178"/>
      <c r="AE6" s="180"/>
      <c r="AF6" s="178"/>
      <c r="AG6" s="180"/>
      <c r="AH6" s="178"/>
      <c r="AI6" s="180"/>
      <c r="AJ6" s="178"/>
      <c r="AK6" s="180"/>
      <c r="AL6" s="178"/>
      <c r="AM6" s="180"/>
      <c r="AN6" s="178"/>
      <c r="AO6" s="180"/>
      <c r="AP6" s="178"/>
      <c r="AQ6" s="180"/>
      <c r="AR6" s="178"/>
      <c r="AS6" s="180"/>
      <c r="AT6" s="48"/>
      <c r="AU6" s="58"/>
    </row>
    <row r="7" spans="1:47" s="21" customFormat="1" ht="13.5" x14ac:dyDescent="0.2">
      <c r="B7" s="57"/>
      <c r="C7" s="6"/>
      <c r="D7" s="7" t="s">
        <v>88</v>
      </c>
      <c r="E7" s="128"/>
      <c r="F7" s="186">
        <v>220</v>
      </c>
      <c r="G7" s="187"/>
      <c r="H7" s="186"/>
      <c r="I7" s="187"/>
      <c r="J7" s="186"/>
      <c r="K7" s="187"/>
      <c r="L7" s="186"/>
      <c r="M7" s="187"/>
      <c r="N7" s="186"/>
      <c r="O7" s="187"/>
      <c r="P7" s="186"/>
      <c r="Q7" s="187"/>
      <c r="R7" s="186"/>
      <c r="S7" s="187"/>
      <c r="T7" s="186"/>
      <c r="U7" s="187"/>
      <c r="V7" s="186"/>
      <c r="W7" s="187"/>
      <c r="X7" s="186"/>
      <c r="Y7" s="187"/>
      <c r="Z7" s="186"/>
      <c r="AA7" s="187"/>
      <c r="AB7" s="186"/>
      <c r="AC7" s="187"/>
      <c r="AD7" s="186"/>
      <c r="AE7" s="187"/>
      <c r="AF7" s="186"/>
      <c r="AG7" s="187"/>
      <c r="AH7" s="186"/>
      <c r="AI7" s="187"/>
      <c r="AJ7" s="186"/>
      <c r="AK7" s="187"/>
      <c r="AL7" s="186"/>
      <c r="AM7" s="187"/>
      <c r="AN7" s="186"/>
      <c r="AO7" s="187"/>
      <c r="AP7" s="186"/>
      <c r="AQ7" s="187"/>
      <c r="AR7" s="186"/>
      <c r="AS7" s="187"/>
      <c r="AT7" s="48"/>
      <c r="AU7" s="58"/>
    </row>
    <row r="8" spans="1:47" s="21" customFormat="1" ht="13.5" x14ac:dyDescent="0.25">
      <c r="B8" s="57"/>
      <c r="C8" s="6"/>
      <c r="D8" s="7" t="s">
        <v>65</v>
      </c>
      <c r="E8" s="128"/>
      <c r="F8" s="79" t="s">
        <v>271</v>
      </c>
      <c r="G8" s="3" t="s">
        <v>272</v>
      </c>
      <c r="H8" s="79"/>
      <c r="I8" s="3"/>
      <c r="J8" s="79"/>
      <c r="K8" s="3"/>
      <c r="L8" s="79"/>
      <c r="M8" s="3"/>
      <c r="N8" s="79"/>
      <c r="O8" s="3"/>
      <c r="P8" s="79"/>
      <c r="Q8" s="3"/>
      <c r="R8" s="79"/>
      <c r="S8" s="3"/>
      <c r="T8" s="79"/>
      <c r="U8" s="3"/>
      <c r="V8" s="79"/>
      <c r="W8" s="3"/>
      <c r="X8" s="79"/>
      <c r="Y8" s="3"/>
      <c r="Z8" s="79"/>
      <c r="AA8" s="3"/>
      <c r="AB8" s="79"/>
      <c r="AC8" s="3"/>
      <c r="AD8" s="79"/>
      <c r="AE8" s="3"/>
      <c r="AF8" s="79"/>
      <c r="AG8" s="3"/>
      <c r="AH8" s="79"/>
      <c r="AI8" s="3"/>
      <c r="AJ8" s="79"/>
      <c r="AK8" s="3"/>
      <c r="AL8" s="79"/>
      <c r="AM8" s="3"/>
      <c r="AN8" s="79"/>
      <c r="AO8" s="3"/>
      <c r="AP8" s="79"/>
      <c r="AQ8" s="3"/>
      <c r="AR8" s="79"/>
      <c r="AS8" s="3"/>
      <c r="AT8" s="48"/>
      <c r="AU8" s="58"/>
    </row>
    <row r="9" spans="1:47" ht="13.5" x14ac:dyDescent="0.25">
      <c r="B9" s="55"/>
      <c r="C9" s="4"/>
      <c r="D9" s="8" t="s">
        <v>115</v>
      </c>
      <c r="E9" s="115"/>
      <c r="F9" s="4"/>
      <c r="G9" s="5"/>
      <c r="H9" s="4"/>
      <c r="I9" s="5"/>
      <c r="J9" s="4"/>
      <c r="K9" s="5"/>
      <c r="L9" s="4"/>
      <c r="M9" s="5"/>
      <c r="N9" s="4"/>
      <c r="O9" s="5"/>
      <c r="P9" s="4"/>
      <c r="Q9" s="5"/>
      <c r="R9" s="4"/>
      <c r="S9" s="5"/>
      <c r="T9" s="4"/>
      <c r="U9" s="5"/>
      <c r="V9" s="4"/>
      <c r="W9" s="5"/>
      <c r="X9" s="4"/>
      <c r="Y9" s="5"/>
      <c r="Z9" s="4"/>
      <c r="AA9" s="5"/>
      <c r="AB9" s="4"/>
      <c r="AC9" s="5"/>
      <c r="AD9" s="4"/>
      <c r="AE9" s="5"/>
      <c r="AF9" s="4"/>
      <c r="AG9" s="5"/>
      <c r="AH9" s="4"/>
      <c r="AI9" s="5"/>
      <c r="AJ9" s="4"/>
      <c r="AK9" s="5"/>
      <c r="AL9" s="4"/>
      <c r="AM9" s="5"/>
      <c r="AN9" s="4"/>
      <c r="AO9" s="5"/>
      <c r="AP9" s="4"/>
      <c r="AQ9" s="5"/>
      <c r="AR9" s="4"/>
      <c r="AS9" s="5"/>
      <c r="AT9" s="49"/>
      <c r="AU9" s="56"/>
    </row>
    <row r="10" spans="1:47" ht="14.25" x14ac:dyDescent="0.25">
      <c r="B10" s="55"/>
      <c r="C10" s="9" t="s">
        <v>445</v>
      </c>
      <c r="D10" s="7" t="s">
        <v>446</v>
      </c>
      <c r="E10" s="247"/>
      <c r="F10" s="80">
        <v>0</v>
      </c>
      <c r="G10" s="81">
        <v>0</v>
      </c>
      <c r="H10" s="80"/>
      <c r="I10" s="81"/>
      <c r="J10" s="80"/>
      <c r="K10" s="81"/>
      <c r="L10" s="80"/>
      <c r="M10" s="81"/>
      <c r="N10" s="80"/>
      <c r="O10" s="81"/>
      <c r="P10" s="80"/>
      <c r="Q10" s="81"/>
      <c r="R10" s="80"/>
      <c r="S10" s="81"/>
      <c r="T10" s="80"/>
      <c r="U10" s="81"/>
      <c r="V10" s="80"/>
      <c r="W10" s="81"/>
      <c r="X10" s="80"/>
      <c r="Y10" s="81"/>
      <c r="Z10" s="80"/>
      <c r="AA10" s="81"/>
      <c r="AB10" s="80"/>
      <c r="AC10" s="81"/>
      <c r="AD10" s="80"/>
      <c r="AE10" s="81"/>
      <c r="AF10" s="80"/>
      <c r="AG10" s="81"/>
      <c r="AH10" s="80"/>
      <c r="AI10" s="81"/>
      <c r="AJ10" s="80"/>
      <c r="AK10" s="81"/>
      <c r="AL10" s="80"/>
      <c r="AM10" s="81"/>
      <c r="AN10" s="80"/>
      <c r="AO10" s="81"/>
      <c r="AP10" s="80"/>
      <c r="AQ10" s="81"/>
      <c r="AR10" s="80"/>
      <c r="AS10" s="81"/>
      <c r="AT10" s="49"/>
      <c r="AU10" s="56"/>
    </row>
    <row r="11" spans="1:47" ht="14.25" x14ac:dyDescent="0.25">
      <c r="B11" s="55"/>
      <c r="C11" s="9" t="s">
        <v>122</v>
      </c>
      <c r="D11" s="7" t="s">
        <v>17</v>
      </c>
      <c r="E11" s="118"/>
      <c r="F11" s="80">
        <v>727</v>
      </c>
      <c r="G11" s="81">
        <v>850</v>
      </c>
      <c r="H11" s="80"/>
      <c r="I11" s="81"/>
      <c r="J11" s="80"/>
      <c r="K11" s="81"/>
      <c r="L11" s="80"/>
      <c r="M11" s="81"/>
      <c r="N11" s="80"/>
      <c r="O11" s="81"/>
      <c r="P11" s="80"/>
      <c r="Q11" s="81"/>
      <c r="R11" s="80"/>
      <c r="S11" s="81"/>
      <c r="T11" s="80"/>
      <c r="U11" s="81"/>
      <c r="V11" s="80"/>
      <c r="W11" s="81"/>
      <c r="X11" s="80"/>
      <c r="Y11" s="81"/>
      <c r="Z11" s="80"/>
      <c r="AA11" s="81"/>
      <c r="AB11" s="80"/>
      <c r="AC11" s="81"/>
      <c r="AD11" s="80"/>
      <c r="AE11" s="81"/>
      <c r="AF11" s="80"/>
      <c r="AG11" s="81"/>
      <c r="AH11" s="80"/>
      <c r="AI11" s="81"/>
      <c r="AJ11" s="80"/>
      <c r="AK11" s="81"/>
      <c r="AL11" s="80"/>
      <c r="AM11" s="81"/>
      <c r="AN11" s="80"/>
      <c r="AO11" s="81"/>
      <c r="AP11" s="80"/>
      <c r="AQ11" s="81"/>
      <c r="AR11" s="80"/>
      <c r="AS11" s="81"/>
      <c r="AT11" s="49"/>
      <c r="AU11" s="56"/>
    </row>
    <row r="12" spans="1:47" ht="14.25" x14ac:dyDescent="0.25">
      <c r="B12" s="55"/>
      <c r="C12" s="9" t="s">
        <v>108</v>
      </c>
      <c r="D12" s="7" t="s">
        <v>90</v>
      </c>
      <c r="E12" s="119"/>
      <c r="F12" s="40">
        <v>0.02</v>
      </c>
      <c r="G12" s="41">
        <v>0.02</v>
      </c>
      <c r="H12" s="40"/>
      <c r="I12" s="41"/>
      <c r="J12" s="40"/>
      <c r="K12" s="41"/>
      <c r="L12" s="40"/>
      <c r="M12" s="41"/>
      <c r="N12" s="40"/>
      <c r="O12" s="41"/>
      <c r="P12" s="40"/>
      <c r="Q12" s="41"/>
      <c r="R12" s="40"/>
      <c r="S12" s="41"/>
      <c r="T12" s="40"/>
      <c r="U12" s="41"/>
      <c r="V12" s="40"/>
      <c r="W12" s="41"/>
      <c r="X12" s="40"/>
      <c r="Y12" s="41"/>
      <c r="Z12" s="40"/>
      <c r="AA12" s="41"/>
      <c r="AB12" s="40"/>
      <c r="AC12" s="41"/>
      <c r="AD12" s="40"/>
      <c r="AE12" s="41"/>
      <c r="AF12" s="40"/>
      <c r="AG12" s="41"/>
      <c r="AH12" s="40"/>
      <c r="AI12" s="41"/>
      <c r="AJ12" s="40"/>
      <c r="AK12" s="41"/>
      <c r="AL12" s="40"/>
      <c r="AM12" s="41"/>
      <c r="AN12" s="40"/>
      <c r="AO12" s="41"/>
      <c r="AP12" s="40"/>
      <c r="AQ12" s="41"/>
      <c r="AR12" s="40"/>
      <c r="AS12" s="41"/>
      <c r="AT12" s="49"/>
      <c r="AU12" s="56"/>
    </row>
    <row r="13" spans="1:47" ht="14.25" x14ac:dyDescent="0.25">
      <c r="B13" s="55"/>
      <c r="C13" s="9" t="s">
        <v>31</v>
      </c>
      <c r="D13" s="7" t="s">
        <v>18</v>
      </c>
      <c r="E13" s="118"/>
      <c r="F13" s="80">
        <v>25</v>
      </c>
      <c r="G13" s="81">
        <v>25</v>
      </c>
      <c r="H13" s="80"/>
      <c r="I13" s="81"/>
      <c r="J13" s="80"/>
      <c r="K13" s="81"/>
      <c r="L13" s="80"/>
      <c r="M13" s="81"/>
      <c r="N13" s="80"/>
      <c r="O13" s="81"/>
      <c r="P13" s="80"/>
      <c r="Q13" s="81"/>
      <c r="R13" s="80"/>
      <c r="S13" s="81"/>
      <c r="T13" s="80"/>
      <c r="U13" s="81"/>
      <c r="V13" s="80"/>
      <c r="W13" s="81"/>
      <c r="X13" s="80"/>
      <c r="Y13" s="81"/>
      <c r="Z13" s="80"/>
      <c r="AA13" s="81"/>
      <c r="AB13" s="80"/>
      <c r="AC13" s="81"/>
      <c r="AD13" s="80"/>
      <c r="AE13" s="81"/>
      <c r="AF13" s="80"/>
      <c r="AG13" s="81"/>
      <c r="AH13" s="80"/>
      <c r="AI13" s="81"/>
      <c r="AJ13" s="80"/>
      <c r="AK13" s="81"/>
      <c r="AL13" s="80"/>
      <c r="AM13" s="81"/>
      <c r="AN13" s="80"/>
      <c r="AO13" s="81"/>
      <c r="AP13" s="80"/>
      <c r="AQ13" s="81"/>
      <c r="AR13" s="80"/>
      <c r="AS13" s="81"/>
      <c r="AT13" s="49"/>
      <c r="AU13" s="56"/>
    </row>
    <row r="14" spans="1:47" ht="14.25" x14ac:dyDescent="0.25">
      <c r="B14" s="55"/>
      <c r="C14" s="9" t="s">
        <v>324</v>
      </c>
      <c r="D14" s="7" t="s">
        <v>492</v>
      </c>
      <c r="E14" s="122">
        <v>3.3</v>
      </c>
      <c r="F14" s="86">
        <v>3.3</v>
      </c>
      <c r="G14" s="87">
        <v>3.3</v>
      </c>
      <c r="H14" s="80"/>
      <c r="I14" s="81"/>
      <c r="J14" s="80"/>
      <c r="K14" s="81"/>
      <c r="L14" s="80"/>
      <c r="M14" s="81"/>
      <c r="N14" s="80"/>
      <c r="O14" s="81"/>
      <c r="P14" s="80"/>
      <c r="Q14" s="81"/>
      <c r="R14" s="80"/>
      <c r="S14" s="81"/>
      <c r="T14" s="80"/>
      <c r="U14" s="81"/>
      <c r="V14" s="80"/>
      <c r="W14" s="81"/>
      <c r="X14" s="80"/>
      <c r="Y14" s="81"/>
      <c r="Z14" s="80"/>
      <c r="AA14" s="81"/>
      <c r="AB14" s="80"/>
      <c r="AC14" s="81"/>
      <c r="AD14" s="80"/>
      <c r="AE14" s="81"/>
      <c r="AF14" s="80"/>
      <c r="AG14" s="81"/>
      <c r="AH14" s="80"/>
      <c r="AI14" s="81"/>
      <c r="AJ14" s="80"/>
      <c r="AK14" s="81"/>
      <c r="AL14" s="80"/>
      <c r="AM14" s="81"/>
      <c r="AN14" s="80"/>
      <c r="AO14" s="81"/>
      <c r="AP14" s="80"/>
      <c r="AQ14" s="81"/>
      <c r="AR14" s="80"/>
      <c r="AS14" s="81"/>
      <c r="AT14" s="49"/>
      <c r="AU14" s="56"/>
    </row>
    <row r="15" spans="1:47" ht="14.25" x14ac:dyDescent="0.25">
      <c r="B15" s="55"/>
      <c r="C15" s="9" t="s">
        <v>451</v>
      </c>
      <c r="D15" s="7" t="s">
        <v>482</v>
      </c>
      <c r="E15" s="118"/>
      <c r="F15" s="80">
        <v>10</v>
      </c>
      <c r="G15" s="81">
        <v>10</v>
      </c>
      <c r="H15" s="80"/>
      <c r="I15" s="81"/>
      <c r="J15" s="80"/>
      <c r="K15" s="81"/>
      <c r="L15" s="80"/>
      <c r="M15" s="81"/>
      <c r="N15" s="80"/>
      <c r="O15" s="81"/>
      <c r="P15" s="80"/>
      <c r="Q15" s="81"/>
      <c r="R15" s="80"/>
      <c r="S15" s="81"/>
      <c r="T15" s="80"/>
      <c r="U15" s="81"/>
      <c r="V15" s="80"/>
      <c r="W15" s="81"/>
      <c r="X15" s="80"/>
      <c r="Y15" s="81"/>
      <c r="Z15" s="80"/>
      <c r="AA15" s="81"/>
      <c r="AB15" s="80"/>
      <c r="AC15" s="81"/>
      <c r="AD15" s="80"/>
      <c r="AE15" s="81"/>
      <c r="AF15" s="80"/>
      <c r="AG15" s="81"/>
      <c r="AH15" s="80"/>
      <c r="AI15" s="81"/>
      <c r="AJ15" s="80"/>
      <c r="AK15" s="81"/>
      <c r="AL15" s="80"/>
      <c r="AM15" s="81"/>
      <c r="AN15" s="80"/>
      <c r="AO15" s="81"/>
      <c r="AP15" s="80"/>
      <c r="AQ15" s="81"/>
      <c r="AR15" s="80"/>
      <c r="AS15" s="81"/>
      <c r="AT15" s="49"/>
      <c r="AU15" s="56"/>
    </row>
    <row r="16" spans="1:47" ht="14.25" x14ac:dyDescent="0.25">
      <c r="B16" s="55"/>
      <c r="C16" s="9" t="s">
        <v>117</v>
      </c>
      <c r="D16" s="7" t="s">
        <v>118</v>
      </c>
      <c r="E16" s="120"/>
      <c r="F16" s="82">
        <v>4</v>
      </c>
      <c r="G16" s="83">
        <v>4</v>
      </c>
      <c r="H16" s="82"/>
      <c r="I16" s="83"/>
      <c r="J16" s="82"/>
      <c r="K16" s="83"/>
      <c r="L16" s="82"/>
      <c r="M16" s="83"/>
      <c r="N16" s="82"/>
      <c r="O16" s="83"/>
      <c r="P16" s="82"/>
      <c r="Q16" s="83"/>
      <c r="R16" s="82"/>
      <c r="S16" s="83"/>
      <c r="T16" s="82"/>
      <c r="U16" s="83"/>
      <c r="V16" s="82"/>
      <c r="W16" s="83"/>
      <c r="X16" s="82"/>
      <c r="Y16" s="83"/>
      <c r="Z16" s="82"/>
      <c r="AA16" s="83"/>
      <c r="AB16" s="82"/>
      <c r="AC16" s="83"/>
      <c r="AD16" s="82"/>
      <c r="AE16" s="83"/>
      <c r="AF16" s="82"/>
      <c r="AG16" s="83"/>
      <c r="AH16" s="82"/>
      <c r="AI16" s="83"/>
      <c r="AJ16" s="82"/>
      <c r="AK16" s="83"/>
      <c r="AL16" s="82"/>
      <c r="AM16" s="83"/>
      <c r="AN16" s="82"/>
      <c r="AO16" s="83"/>
      <c r="AP16" s="82"/>
      <c r="AQ16" s="83"/>
      <c r="AR16" s="82"/>
      <c r="AS16" s="83"/>
      <c r="AT16" s="49"/>
      <c r="AU16" s="56"/>
    </row>
    <row r="17" spans="2:47" ht="14.25" x14ac:dyDescent="0.25">
      <c r="B17" s="55"/>
      <c r="C17" s="9" t="s">
        <v>25</v>
      </c>
      <c r="D17" s="148" t="s">
        <v>246</v>
      </c>
      <c r="E17" s="121"/>
      <c r="F17" s="84">
        <v>8</v>
      </c>
      <c r="G17" s="85">
        <v>8</v>
      </c>
      <c r="H17" s="84"/>
      <c r="I17" s="85"/>
      <c r="J17" s="84"/>
      <c r="K17" s="85"/>
      <c r="L17" s="84"/>
      <c r="M17" s="85"/>
      <c r="N17" s="84"/>
      <c r="O17" s="85"/>
      <c r="P17" s="84"/>
      <c r="Q17" s="85"/>
      <c r="R17" s="84"/>
      <c r="S17" s="85"/>
      <c r="T17" s="84"/>
      <c r="U17" s="85"/>
      <c r="V17" s="84"/>
      <c r="W17" s="85"/>
      <c r="X17" s="84"/>
      <c r="Y17" s="85"/>
      <c r="Z17" s="84"/>
      <c r="AA17" s="85"/>
      <c r="AB17" s="84"/>
      <c r="AC17" s="85"/>
      <c r="AD17" s="84"/>
      <c r="AE17" s="85"/>
      <c r="AF17" s="84"/>
      <c r="AG17" s="85"/>
      <c r="AH17" s="84"/>
      <c r="AI17" s="85"/>
      <c r="AJ17" s="84"/>
      <c r="AK17" s="85"/>
      <c r="AL17" s="84"/>
      <c r="AM17" s="85"/>
      <c r="AN17" s="84"/>
      <c r="AO17" s="85"/>
      <c r="AP17" s="84"/>
      <c r="AQ17" s="85"/>
      <c r="AR17" s="84"/>
      <c r="AS17" s="85"/>
      <c r="AT17" s="49"/>
      <c r="AU17" s="56"/>
    </row>
    <row r="18" spans="2:47" ht="14.25" x14ac:dyDescent="0.25">
      <c r="B18" s="55"/>
      <c r="C18" s="9" t="s">
        <v>26</v>
      </c>
      <c r="D18" s="7" t="s">
        <v>11</v>
      </c>
      <c r="E18" s="121"/>
      <c r="F18" s="84">
        <v>0</v>
      </c>
      <c r="G18" s="85">
        <v>0</v>
      </c>
      <c r="H18" s="84"/>
      <c r="I18" s="85"/>
      <c r="J18" s="84"/>
      <c r="K18" s="85"/>
      <c r="L18" s="84"/>
      <c r="M18" s="85"/>
      <c r="N18" s="84"/>
      <c r="O18" s="85"/>
      <c r="P18" s="84"/>
      <c r="Q18" s="85"/>
      <c r="R18" s="84"/>
      <c r="S18" s="85"/>
      <c r="T18" s="84"/>
      <c r="U18" s="85"/>
      <c r="V18" s="84"/>
      <c r="W18" s="85"/>
      <c r="X18" s="84"/>
      <c r="Y18" s="85"/>
      <c r="Z18" s="84"/>
      <c r="AA18" s="85"/>
      <c r="AB18" s="84"/>
      <c r="AC18" s="85"/>
      <c r="AD18" s="84"/>
      <c r="AE18" s="85"/>
      <c r="AF18" s="84"/>
      <c r="AG18" s="85"/>
      <c r="AH18" s="84"/>
      <c r="AI18" s="85"/>
      <c r="AJ18" s="84"/>
      <c r="AK18" s="85"/>
      <c r="AL18" s="84"/>
      <c r="AM18" s="85"/>
      <c r="AN18" s="84"/>
      <c r="AO18" s="85"/>
      <c r="AP18" s="84"/>
      <c r="AQ18" s="85"/>
      <c r="AR18" s="84"/>
      <c r="AS18" s="85"/>
      <c r="AT18" s="49"/>
      <c r="AU18" s="56"/>
    </row>
    <row r="19" spans="2:47" ht="14.25" x14ac:dyDescent="0.25">
      <c r="B19" s="55"/>
      <c r="C19" s="9" t="s">
        <v>28</v>
      </c>
      <c r="D19" s="148" t="s">
        <v>247</v>
      </c>
      <c r="E19" s="122"/>
      <c r="F19" s="86">
        <v>0</v>
      </c>
      <c r="G19" s="87">
        <v>0</v>
      </c>
      <c r="H19" s="86"/>
      <c r="I19" s="87"/>
      <c r="J19" s="86"/>
      <c r="K19" s="87"/>
      <c r="L19" s="86"/>
      <c r="M19" s="87"/>
      <c r="N19" s="86"/>
      <c r="O19" s="87"/>
      <c r="P19" s="86"/>
      <c r="Q19" s="87"/>
      <c r="R19" s="86"/>
      <c r="S19" s="87"/>
      <c r="T19" s="86"/>
      <c r="U19" s="87"/>
      <c r="V19" s="86"/>
      <c r="W19" s="87"/>
      <c r="X19" s="86"/>
      <c r="Y19" s="87"/>
      <c r="Z19" s="86"/>
      <c r="AA19" s="87"/>
      <c r="AB19" s="86"/>
      <c r="AC19" s="87"/>
      <c r="AD19" s="86"/>
      <c r="AE19" s="87"/>
      <c r="AF19" s="86"/>
      <c r="AG19" s="87"/>
      <c r="AH19" s="86"/>
      <c r="AI19" s="87"/>
      <c r="AJ19" s="86"/>
      <c r="AK19" s="87"/>
      <c r="AL19" s="86"/>
      <c r="AM19" s="87"/>
      <c r="AN19" s="86"/>
      <c r="AO19" s="87"/>
      <c r="AP19" s="86"/>
      <c r="AQ19" s="87"/>
      <c r="AR19" s="86"/>
      <c r="AS19" s="87"/>
      <c r="AT19" s="49"/>
      <c r="AU19" s="56"/>
    </row>
    <row r="20" spans="2:47" ht="14.25" x14ac:dyDescent="0.25">
      <c r="B20" s="55"/>
      <c r="C20" s="9" t="s">
        <v>29</v>
      </c>
      <c r="D20" s="7" t="s">
        <v>22</v>
      </c>
      <c r="E20" s="122"/>
      <c r="F20" s="86">
        <v>0</v>
      </c>
      <c r="G20" s="87">
        <v>0</v>
      </c>
      <c r="H20" s="86"/>
      <c r="I20" s="87"/>
      <c r="J20" s="86"/>
      <c r="K20" s="87"/>
      <c r="L20" s="86"/>
      <c r="M20" s="87"/>
      <c r="N20" s="86"/>
      <c r="O20" s="87"/>
      <c r="P20" s="86"/>
      <c r="Q20" s="87"/>
      <c r="R20" s="86"/>
      <c r="S20" s="87"/>
      <c r="T20" s="86"/>
      <c r="U20" s="87"/>
      <c r="V20" s="86"/>
      <c r="W20" s="87"/>
      <c r="X20" s="86"/>
      <c r="Y20" s="87"/>
      <c r="Z20" s="86"/>
      <c r="AA20" s="87"/>
      <c r="AB20" s="86"/>
      <c r="AC20" s="87"/>
      <c r="AD20" s="86"/>
      <c r="AE20" s="87"/>
      <c r="AF20" s="86"/>
      <c r="AG20" s="87"/>
      <c r="AH20" s="86"/>
      <c r="AI20" s="87"/>
      <c r="AJ20" s="86"/>
      <c r="AK20" s="87"/>
      <c r="AL20" s="86"/>
      <c r="AM20" s="87"/>
      <c r="AN20" s="86"/>
      <c r="AO20" s="87"/>
      <c r="AP20" s="86"/>
      <c r="AQ20" s="87"/>
      <c r="AR20" s="86"/>
      <c r="AS20" s="87"/>
      <c r="AT20" s="49"/>
      <c r="AU20" s="56"/>
    </row>
    <row r="21" spans="2:47" ht="14.25" x14ac:dyDescent="0.25">
      <c r="B21" s="55"/>
      <c r="C21" s="9" t="s">
        <v>30</v>
      </c>
      <c r="D21" s="7" t="s">
        <v>16</v>
      </c>
      <c r="E21" s="122"/>
      <c r="F21" s="86">
        <v>12</v>
      </c>
      <c r="G21" s="87">
        <v>12</v>
      </c>
      <c r="H21" s="86"/>
      <c r="I21" s="87"/>
      <c r="J21" s="86"/>
      <c r="K21" s="87"/>
      <c r="L21" s="86"/>
      <c r="M21" s="87"/>
      <c r="N21" s="86"/>
      <c r="O21" s="87"/>
      <c r="P21" s="86"/>
      <c r="Q21" s="87"/>
      <c r="R21" s="86"/>
      <c r="S21" s="87"/>
      <c r="T21" s="86"/>
      <c r="U21" s="87"/>
      <c r="V21" s="86"/>
      <c r="W21" s="87"/>
      <c r="X21" s="86"/>
      <c r="Y21" s="87"/>
      <c r="Z21" s="86"/>
      <c r="AA21" s="87"/>
      <c r="AB21" s="86"/>
      <c r="AC21" s="87"/>
      <c r="AD21" s="86"/>
      <c r="AE21" s="87"/>
      <c r="AF21" s="86"/>
      <c r="AG21" s="87"/>
      <c r="AH21" s="86"/>
      <c r="AI21" s="87"/>
      <c r="AJ21" s="86"/>
      <c r="AK21" s="87"/>
      <c r="AL21" s="86"/>
      <c r="AM21" s="87"/>
      <c r="AN21" s="86"/>
      <c r="AO21" s="87"/>
      <c r="AP21" s="86"/>
      <c r="AQ21" s="87"/>
      <c r="AR21" s="86"/>
      <c r="AS21" s="87"/>
      <c r="AT21" s="49"/>
      <c r="AU21" s="56"/>
    </row>
    <row r="22" spans="2:47" ht="14.25" x14ac:dyDescent="0.25">
      <c r="B22" s="55"/>
      <c r="C22" s="9" t="s">
        <v>27</v>
      </c>
      <c r="D22" s="7" t="s">
        <v>14</v>
      </c>
      <c r="E22" s="119"/>
      <c r="F22" s="40">
        <v>0.9</v>
      </c>
      <c r="G22" s="41">
        <v>0.9</v>
      </c>
      <c r="H22" s="40"/>
      <c r="I22" s="41"/>
      <c r="J22" s="40"/>
      <c r="K22" s="41"/>
      <c r="L22" s="40"/>
      <c r="M22" s="41"/>
      <c r="N22" s="40"/>
      <c r="O22" s="41"/>
      <c r="P22" s="40"/>
      <c r="Q22" s="41"/>
      <c r="R22" s="40"/>
      <c r="S22" s="41"/>
      <c r="T22" s="40"/>
      <c r="U22" s="41"/>
      <c r="V22" s="40"/>
      <c r="W22" s="41"/>
      <c r="X22" s="40"/>
      <c r="Y22" s="41"/>
      <c r="Z22" s="40"/>
      <c r="AA22" s="41"/>
      <c r="AB22" s="40"/>
      <c r="AC22" s="41"/>
      <c r="AD22" s="40"/>
      <c r="AE22" s="41"/>
      <c r="AF22" s="40"/>
      <c r="AG22" s="41"/>
      <c r="AH22" s="40"/>
      <c r="AI22" s="41"/>
      <c r="AJ22" s="40"/>
      <c r="AK22" s="41"/>
      <c r="AL22" s="40"/>
      <c r="AM22" s="41"/>
      <c r="AN22" s="40"/>
      <c r="AO22" s="41"/>
      <c r="AP22" s="40"/>
      <c r="AQ22" s="41"/>
      <c r="AR22" s="40"/>
      <c r="AS22" s="41"/>
      <c r="AT22" s="49"/>
      <c r="AU22" s="56"/>
    </row>
    <row r="23" spans="2:47" ht="14.25" x14ac:dyDescent="0.25">
      <c r="B23" s="55"/>
      <c r="C23" s="9" t="s">
        <v>121</v>
      </c>
      <c r="D23" s="7" t="s">
        <v>23</v>
      </c>
      <c r="E23" s="122"/>
      <c r="F23" s="86">
        <v>9</v>
      </c>
      <c r="G23" s="87">
        <v>9</v>
      </c>
      <c r="H23" s="86"/>
      <c r="I23" s="87"/>
      <c r="J23" s="86"/>
      <c r="K23" s="87"/>
      <c r="L23" s="86"/>
      <c r="M23" s="87"/>
      <c r="N23" s="86"/>
      <c r="O23" s="87"/>
      <c r="P23" s="86"/>
      <c r="Q23" s="87"/>
      <c r="R23" s="86"/>
      <c r="S23" s="87"/>
      <c r="T23" s="86"/>
      <c r="U23" s="87"/>
      <c r="V23" s="86"/>
      <c r="W23" s="87"/>
      <c r="X23" s="86"/>
      <c r="Y23" s="87"/>
      <c r="Z23" s="86"/>
      <c r="AA23" s="87"/>
      <c r="AB23" s="86"/>
      <c r="AC23" s="87"/>
      <c r="AD23" s="86"/>
      <c r="AE23" s="87"/>
      <c r="AF23" s="86"/>
      <c r="AG23" s="87"/>
      <c r="AH23" s="86"/>
      <c r="AI23" s="87"/>
      <c r="AJ23" s="86"/>
      <c r="AK23" s="87"/>
      <c r="AL23" s="86"/>
      <c r="AM23" s="87"/>
      <c r="AN23" s="86"/>
      <c r="AO23" s="87"/>
      <c r="AP23" s="86"/>
      <c r="AQ23" s="87"/>
      <c r="AR23" s="86"/>
      <c r="AS23" s="87"/>
      <c r="AT23" s="49"/>
      <c r="AU23" s="56"/>
    </row>
    <row r="24" spans="2:47" ht="14.25" x14ac:dyDescent="0.25">
      <c r="B24" s="55"/>
      <c r="C24" s="9" t="s">
        <v>116</v>
      </c>
      <c r="D24" s="7" t="s">
        <v>91</v>
      </c>
      <c r="E24" s="122"/>
      <c r="F24" s="86">
        <v>3.5</v>
      </c>
      <c r="G24" s="87">
        <v>3.5</v>
      </c>
      <c r="H24" s="86"/>
      <c r="I24" s="87"/>
      <c r="J24" s="86"/>
      <c r="K24" s="87"/>
      <c r="L24" s="86"/>
      <c r="M24" s="87"/>
      <c r="N24" s="86"/>
      <c r="O24" s="87"/>
      <c r="P24" s="86"/>
      <c r="Q24" s="87"/>
      <c r="R24" s="86"/>
      <c r="S24" s="87"/>
      <c r="T24" s="86"/>
      <c r="U24" s="87"/>
      <c r="V24" s="86"/>
      <c r="W24" s="87"/>
      <c r="X24" s="86"/>
      <c r="Y24" s="87"/>
      <c r="Z24" s="86"/>
      <c r="AA24" s="87"/>
      <c r="AB24" s="86"/>
      <c r="AC24" s="87"/>
      <c r="AD24" s="86"/>
      <c r="AE24" s="87"/>
      <c r="AF24" s="86"/>
      <c r="AG24" s="87"/>
      <c r="AH24" s="86"/>
      <c r="AI24" s="87"/>
      <c r="AJ24" s="86"/>
      <c r="AK24" s="87"/>
      <c r="AL24" s="86"/>
      <c r="AM24" s="87"/>
      <c r="AN24" s="86"/>
      <c r="AO24" s="87"/>
      <c r="AP24" s="86"/>
      <c r="AQ24" s="87"/>
      <c r="AR24" s="86"/>
      <c r="AS24" s="87"/>
      <c r="AT24" s="49"/>
      <c r="AU24" s="56"/>
    </row>
    <row r="25" spans="2:47" ht="14.25" x14ac:dyDescent="0.25">
      <c r="B25" s="55"/>
      <c r="C25" s="259" t="s">
        <v>483</v>
      </c>
      <c r="D25" s="7" t="s">
        <v>484</v>
      </c>
      <c r="E25" s="122"/>
      <c r="F25" s="262">
        <v>0.35</v>
      </c>
      <c r="G25" s="260">
        <v>0.35</v>
      </c>
      <c r="H25" s="261"/>
      <c r="I25" s="260"/>
      <c r="J25" s="262"/>
      <c r="K25" s="260"/>
      <c r="L25" s="262"/>
      <c r="M25" s="260"/>
      <c r="N25" s="262"/>
      <c r="O25" s="260"/>
      <c r="P25" s="262"/>
      <c r="Q25" s="260"/>
      <c r="R25" s="262"/>
      <c r="S25" s="260"/>
      <c r="T25" s="262"/>
      <c r="U25" s="260"/>
      <c r="V25" s="262"/>
      <c r="W25" s="260"/>
      <c r="X25" s="262"/>
      <c r="Y25" s="260"/>
      <c r="Z25" s="262"/>
      <c r="AA25" s="260"/>
      <c r="AB25" s="262"/>
      <c r="AC25" s="260"/>
      <c r="AD25" s="262"/>
      <c r="AE25" s="260"/>
      <c r="AF25" s="262"/>
      <c r="AG25" s="260"/>
      <c r="AH25" s="262"/>
      <c r="AI25" s="260"/>
      <c r="AJ25" s="262"/>
      <c r="AK25" s="260"/>
      <c r="AL25" s="262"/>
      <c r="AM25" s="260"/>
      <c r="AN25" s="262"/>
      <c r="AO25" s="260"/>
      <c r="AP25" s="262"/>
      <c r="AQ25" s="260"/>
      <c r="AR25" s="262"/>
      <c r="AS25" s="260"/>
      <c r="AT25" s="49"/>
      <c r="AU25" s="56"/>
    </row>
    <row r="26" spans="2:47" ht="25.5" x14ac:dyDescent="0.25">
      <c r="B26" s="55"/>
      <c r="C26" s="9"/>
      <c r="D26" s="137" t="s">
        <v>231</v>
      </c>
      <c r="E26" s="141" t="s">
        <v>64</v>
      </c>
      <c r="F26" s="40" t="s">
        <v>64</v>
      </c>
      <c r="G26" s="41" t="s">
        <v>64</v>
      </c>
      <c r="H26" s="78"/>
      <c r="I26" s="41"/>
      <c r="J26" s="40"/>
      <c r="K26" s="41"/>
      <c r="L26" s="40"/>
      <c r="M26" s="41"/>
      <c r="N26" s="40"/>
      <c r="O26" s="41"/>
      <c r="P26" s="40"/>
      <c r="Q26" s="41"/>
      <c r="R26" s="40"/>
      <c r="S26" s="41"/>
      <c r="T26" s="40"/>
      <c r="U26" s="41"/>
      <c r="V26" s="40"/>
      <c r="W26" s="41"/>
      <c r="X26" s="40"/>
      <c r="Y26" s="41"/>
      <c r="Z26" s="40"/>
      <c r="AA26" s="41"/>
      <c r="AB26" s="40"/>
      <c r="AC26" s="41"/>
      <c r="AD26" s="40"/>
      <c r="AE26" s="41"/>
      <c r="AF26" s="40"/>
      <c r="AG26" s="41"/>
      <c r="AH26" s="40"/>
      <c r="AI26" s="41"/>
      <c r="AJ26" s="40"/>
      <c r="AK26" s="41"/>
      <c r="AL26" s="40"/>
      <c r="AM26" s="41"/>
      <c r="AN26" s="40"/>
      <c r="AO26" s="41"/>
      <c r="AP26" s="40"/>
      <c r="AQ26" s="41"/>
      <c r="AR26" s="40"/>
      <c r="AS26" s="41"/>
      <c r="AT26" s="49"/>
      <c r="AU26" s="56"/>
    </row>
    <row r="27" spans="2:47" ht="13.5" x14ac:dyDescent="0.25">
      <c r="B27" s="55"/>
      <c r="C27" s="9"/>
      <c r="D27" s="7" t="s">
        <v>12</v>
      </c>
      <c r="E27" s="119"/>
      <c r="F27" s="40" t="s">
        <v>64</v>
      </c>
      <c r="G27" s="41" t="s">
        <v>64</v>
      </c>
      <c r="H27" s="40"/>
      <c r="I27" s="41"/>
      <c r="J27" s="40"/>
      <c r="K27" s="41"/>
      <c r="L27" s="40"/>
      <c r="M27" s="41"/>
      <c r="N27" s="40"/>
      <c r="O27" s="41"/>
      <c r="P27" s="40"/>
      <c r="Q27" s="41"/>
      <c r="R27" s="40"/>
      <c r="S27" s="41"/>
      <c r="T27" s="40"/>
      <c r="U27" s="41"/>
      <c r="V27" s="40"/>
      <c r="W27" s="41"/>
      <c r="X27" s="40"/>
      <c r="Y27" s="41"/>
      <c r="Z27" s="40"/>
      <c r="AA27" s="41"/>
      <c r="AB27" s="40"/>
      <c r="AC27" s="41"/>
      <c r="AD27" s="40"/>
      <c r="AE27" s="41"/>
      <c r="AF27" s="40"/>
      <c r="AG27" s="41"/>
      <c r="AH27" s="40"/>
      <c r="AI27" s="41"/>
      <c r="AJ27" s="40"/>
      <c r="AK27" s="41"/>
      <c r="AL27" s="40"/>
      <c r="AM27" s="41"/>
      <c r="AN27" s="40"/>
      <c r="AO27" s="41"/>
      <c r="AP27" s="40"/>
      <c r="AQ27" s="41"/>
      <c r="AR27" s="40"/>
      <c r="AS27" s="41"/>
      <c r="AT27" s="49"/>
      <c r="AU27" s="56"/>
    </row>
    <row r="28" spans="2:47" ht="13.5" x14ac:dyDescent="0.25">
      <c r="B28" s="55"/>
      <c r="C28" s="9"/>
      <c r="D28" s="7" t="s">
        <v>13</v>
      </c>
      <c r="E28" s="119"/>
      <c r="F28" s="40" t="s">
        <v>74</v>
      </c>
      <c r="G28" s="41" t="s">
        <v>74</v>
      </c>
      <c r="H28" s="40"/>
      <c r="I28" s="41"/>
      <c r="J28" s="40"/>
      <c r="K28" s="41"/>
      <c r="L28" s="40"/>
      <c r="M28" s="41"/>
      <c r="N28" s="40"/>
      <c r="O28" s="41"/>
      <c r="P28" s="40"/>
      <c r="Q28" s="41"/>
      <c r="R28" s="40"/>
      <c r="S28" s="41"/>
      <c r="T28" s="40"/>
      <c r="U28" s="41"/>
      <c r="V28" s="40"/>
      <c r="W28" s="41"/>
      <c r="X28" s="40"/>
      <c r="Y28" s="41"/>
      <c r="Z28" s="40"/>
      <c r="AA28" s="41"/>
      <c r="AB28" s="40"/>
      <c r="AC28" s="41"/>
      <c r="AD28" s="40"/>
      <c r="AE28" s="41"/>
      <c r="AF28" s="40"/>
      <c r="AG28" s="41"/>
      <c r="AH28" s="40"/>
      <c r="AI28" s="41"/>
      <c r="AJ28" s="40"/>
      <c r="AK28" s="41"/>
      <c r="AL28" s="40"/>
      <c r="AM28" s="41"/>
      <c r="AN28" s="40"/>
      <c r="AO28" s="41"/>
      <c r="AP28" s="40"/>
      <c r="AQ28" s="41"/>
      <c r="AR28" s="40"/>
      <c r="AS28" s="41"/>
      <c r="AT28" s="49"/>
      <c r="AU28" s="56"/>
    </row>
    <row r="29" spans="2:47" ht="13.5" x14ac:dyDescent="0.25">
      <c r="B29" s="55"/>
      <c r="C29" s="9"/>
      <c r="D29" s="76" t="s">
        <v>173</v>
      </c>
      <c r="E29" s="119"/>
      <c r="F29" s="40" t="s">
        <v>74</v>
      </c>
      <c r="G29" s="41" t="s">
        <v>74</v>
      </c>
      <c r="H29" s="40"/>
      <c r="I29" s="41"/>
      <c r="J29" s="40"/>
      <c r="K29" s="41"/>
      <c r="L29" s="40"/>
      <c r="M29" s="41"/>
      <c r="N29" s="40"/>
      <c r="O29" s="41"/>
      <c r="P29" s="40"/>
      <c r="Q29" s="41"/>
      <c r="R29" s="40"/>
      <c r="S29" s="41"/>
      <c r="T29" s="40"/>
      <c r="U29" s="41"/>
      <c r="V29" s="40"/>
      <c r="W29" s="41"/>
      <c r="X29" s="40"/>
      <c r="Y29" s="41"/>
      <c r="Z29" s="40"/>
      <c r="AA29" s="41"/>
      <c r="AB29" s="40"/>
      <c r="AC29" s="41"/>
      <c r="AD29" s="40"/>
      <c r="AE29" s="41"/>
      <c r="AF29" s="40"/>
      <c r="AG29" s="41"/>
      <c r="AH29" s="40"/>
      <c r="AI29" s="41"/>
      <c r="AJ29" s="40"/>
      <c r="AK29" s="41"/>
      <c r="AL29" s="40"/>
      <c r="AM29" s="41"/>
      <c r="AN29" s="40"/>
      <c r="AO29" s="41"/>
      <c r="AP29" s="40"/>
      <c r="AQ29" s="41"/>
      <c r="AR29" s="40"/>
      <c r="AS29" s="41"/>
      <c r="AT29" s="49"/>
      <c r="AU29" s="56"/>
    </row>
    <row r="30" spans="2:47" ht="13.5" x14ac:dyDescent="0.25">
      <c r="B30" s="55"/>
      <c r="C30" s="108"/>
      <c r="D30" s="107" t="s">
        <v>215</v>
      </c>
      <c r="E30" s="119"/>
      <c r="F30" s="40" t="s">
        <v>64</v>
      </c>
      <c r="G30" s="41" t="s">
        <v>64</v>
      </c>
      <c r="H30" s="40"/>
      <c r="I30" s="41"/>
      <c r="J30" s="40"/>
      <c r="K30" s="41"/>
      <c r="L30" s="40"/>
      <c r="M30" s="41"/>
      <c r="N30" s="40"/>
      <c r="O30" s="41"/>
      <c r="P30" s="40"/>
      <c r="Q30" s="41"/>
      <c r="R30" s="40"/>
      <c r="S30" s="41"/>
      <c r="T30" s="40"/>
      <c r="U30" s="41"/>
      <c r="V30" s="40"/>
      <c r="W30" s="41"/>
      <c r="X30" s="40"/>
      <c r="Y30" s="41"/>
      <c r="Z30" s="40"/>
      <c r="AA30" s="41"/>
      <c r="AB30" s="40"/>
      <c r="AC30" s="41"/>
      <c r="AD30" s="40"/>
      <c r="AE30" s="41"/>
      <c r="AF30" s="40"/>
      <c r="AG30" s="41"/>
      <c r="AH30" s="40"/>
      <c r="AI30" s="41"/>
      <c r="AJ30" s="40"/>
      <c r="AK30" s="41"/>
      <c r="AL30" s="40"/>
      <c r="AM30" s="41"/>
      <c r="AN30" s="40"/>
      <c r="AO30" s="41"/>
      <c r="AP30" s="40"/>
      <c r="AQ30" s="41"/>
      <c r="AR30" s="40"/>
      <c r="AS30" s="41"/>
      <c r="AT30" s="49"/>
      <c r="AU30" s="56"/>
    </row>
    <row r="31" spans="2:47" x14ac:dyDescent="0.25">
      <c r="B31" s="55"/>
      <c r="C31" s="108"/>
      <c r="D31" s="107" t="s">
        <v>242</v>
      </c>
      <c r="E31" s="141"/>
      <c r="F31" s="40" t="s">
        <v>64</v>
      </c>
      <c r="G31" s="41" t="s">
        <v>64</v>
      </c>
      <c r="H31" s="40"/>
      <c r="I31" s="41"/>
      <c r="J31" s="40"/>
      <c r="K31" s="41"/>
      <c r="L31" s="40"/>
      <c r="M31" s="41"/>
      <c r="N31" s="40"/>
      <c r="O31" s="41"/>
      <c r="P31" s="40"/>
      <c r="Q31" s="41"/>
      <c r="R31" s="40"/>
      <c r="S31" s="41"/>
      <c r="T31" s="40"/>
      <c r="U31" s="41"/>
      <c r="V31" s="40"/>
      <c r="W31" s="41"/>
      <c r="X31" s="40"/>
      <c r="Y31" s="41"/>
      <c r="Z31" s="40"/>
      <c r="AA31" s="41"/>
      <c r="AB31" s="40"/>
      <c r="AC31" s="41"/>
      <c r="AD31" s="40"/>
      <c r="AE31" s="41"/>
      <c r="AF31" s="40"/>
      <c r="AG31" s="41"/>
      <c r="AH31" s="40"/>
      <c r="AI31" s="41"/>
      <c r="AJ31" s="40"/>
      <c r="AK31" s="41"/>
      <c r="AL31" s="40"/>
      <c r="AM31" s="41"/>
      <c r="AN31" s="40"/>
      <c r="AO31" s="41"/>
      <c r="AP31" s="40"/>
      <c r="AQ31" s="41"/>
      <c r="AR31" s="40"/>
      <c r="AS31" s="41"/>
      <c r="AT31" s="49"/>
      <c r="AU31" s="56"/>
    </row>
    <row r="32" spans="2:47" ht="13.5" x14ac:dyDescent="0.25">
      <c r="B32" s="55"/>
      <c r="C32" s="4"/>
      <c r="D32" s="8" t="s">
        <v>21</v>
      </c>
      <c r="E32" s="116"/>
      <c r="F32" s="4"/>
      <c r="G32" s="5"/>
      <c r="H32" s="4"/>
      <c r="I32" s="5"/>
      <c r="J32" s="4"/>
      <c r="K32" s="5"/>
      <c r="L32" s="4"/>
      <c r="M32" s="5"/>
      <c r="N32" s="4"/>
      <c r="O32" s="5"/>
      <c r="P32" s="4"/>
      <c r="Q32" s="5"/>
      <c r="R32" s="4"/>
      <c r="S32" s="5"/>
      <c r="T32" s="4"/>
      <c r="U32" s="5"/>
      <c r="V32" s="4"/>
      <c r="W32" s="5"/>
      <c r="X32" s="4"/>
      <c r="Y32" s="5"/>
      <c r="Z32" s="4"/>
      <c r="AA32" s="5"/>
      <c r="AB32" s="4"/>
      <c r="AC32" s="5"/>
      <c r="AD32" s="4"/>
      <c r="AE32" s="5"/>
      <c r="AF32" s="4"/>
      <c r="AG32" s="5"/>
      <c r="AH32" s="4"/>
      <c r="AI32" s="5"/>
      <c r="AJ32" s="4"/>
      <c r="AK32" s="5"/>
      <c r="AL32" s="4"/>
      <c r="AM32" s="5"/>
      <c r="AN32" s="4"/>
      <c r="AO32" s="5"/>
      <c r="AP32" s="4"/>
      <c r="AQ32" s="5"/>
      <c r="AR32" s="4"/>
      <c r="AS32" s="5"/>
      <c r="AT32" s="49"/>
      <c r="AU32" s="56"/>
    </row>
    <row r="33" spans="2:47" ht="13.5" x14ac:dyDescent="0.25">
      <c r="B33" s="55"/>
      <c r="C33" s="9"/>
      <c r="D33" s="7" t="s">
        <v>1</v>
      </c>
      <c r="E33" s="123"/>
      <c r="F33" s="9">
        <v>5</v>
      </c>
      <c r="G33" s="39">
        <v>5</v>
      </c>
      <c r="H33" s="9"/>
      <c r="I33" s="39"/>
      <c r="J33" s="9"/>
      <c r="K33" s="39"/>
      <c r="L33" s="9"/>
      <c r="M33" s="39"/>
      <c r="N33" s="9"/>
      <c r="O33" s="39"/>
      <c r="P33" s="9"/>
      <c r="Q33" s="39"/>
      <c r="R33" s="9"/>
      <c r="S33" s="39"/>
      <c r="T33" s="9"/>
      <c r="U33" s="39"/>
      <c r="V33" s="9"/>
      <c r="W33" s="39"/>
      <c r="X33" s="9"/>
      <c r="Y33" s="39"/>
      <c r="Z33" s="9"/>
      <c r="AA33" s="39"/>
      <c r="AB33" s="9"/>
      <c r="AC33" s="39"/>
      <c r="AD33" s="9"/>
      <c r="AE33" s="39"/>
      <c r="AF33" s="9"/>
      <c r="AG33" s="39"/>
      <c r="AH33" s="9"/>
      <c r="AI33" s="39"/>
      <c r="AJ33" s="9"/>
      <c r="AK33" s="39"/>
      <c r="AL33" s="9"/>
      <c r="AM33" s="39"/>
      <c r="AN33" s="9"/>
      <c r="AO33" s="39"/>
      <c r="AP33" s="9"/>
      <c r="AQ33" s="39"/>
      <c r="AR33" s="9"/>
      <c r="AS33" s="39"/>
      <c r="AT33" s="49"/>
      <c r="AU33" s="56"/>
    </row>
    <row r="34" spans="2:47" ht="13.5" x14ac:dyDescent="0.25">
      <c r="B34" s="55"/>
      <c r="C34" s="9"/>
      <c r="D34" s="7" t="s">
        <v>2</v>
      </c>
      <c r="E34" s="123"/>
      <c r="F34" s="9">
        <v>3</v>
      </c>
      <c r="G34" s="39">
        <v>3</v>
      </c>
      <c r="H34" s="9"/>
      <c r="I34" s="39"/>
      <c r="J34" s="9"/>
      <c r="K34" s="39"/>
      <c r="L34" s="9"/>
      <c r="M34" s="39"/>
      <c r="N34" s="9"/>
      <c r="O34" s="39"/>
      <c r="P34" s="9"/>
      <c r="Q34" s="39"/>
      <c r="R34" s="9"/>
      <c r="S34" s="39"/>
      <c r="T34" s="9"/>
      <c r="U34" s="39"/>
      <c r="V34" s="9"/>
      <c r="W34" s="39"/>
      <c r="X34" s="9"/>
      <c r="Y34" s="39"/>
      <c r="Z34" s="9"/>
      <c r="AA34" s="39"/>
      <c r="AB34" s="9"/>
      <c r="AC34" s="39"/>
      <c r="AD34" s="9"/>
      <c r="AE34" s="39"/>
      <c r="AF34" s="9"/>
      <c r="AG34" s="39"/>
      <c r="AH34" s="9"/>
      <c r="AI34" s="39"/>
      <c r="AJ34" s="9"/>
      <c r="AK34" s="39"/>
      <c r="AL34" s="9"/>
      <c r="AM34" s="39"/>
      <c r="AN34" s="9"/>
      <c r="AO34" s="39"/>
      <c r="AP34" s="9"/>
      <c r="AQ34" s="39"/>
      <c r="AR34" s="9"/>
      <c r="AS34" s="39"/>
      <c r="AT34" s="49"/>
      <c r="AU34" s="56"/>
    </row>
    <row r="35" spans="2:47" ht="14.25" x14ac:dyDescent="0.25">
      <c r="B35" s="55"/>
      <c r="C35" s="9" t="s">
        <v>75</v>
      </c>
      <c r="D35" s="7" t="s">
        <v>3</v>
      </c>
      <c r="E35" s="123"/>
      <c r="F35" s="9">
        <v>0</v>
      </c>
      <c r="G35" s="39">
        <v>0</v>
      </c>
      <c r="H35" s="9"/>
      <c r="I35" s="39"/>
      <c r="J35" s="9"/>
      <c r="K35" s="39"/>
      <c r="L35" s="9"/>
      <c r="M35" s="39"/>
      <c r="N35" s="9"/>
      <c r="O35" s="39"/>
      <c r="P35" s="9"/>
      <c r="Q35" s="39"/>
      <c r="R35" s="9"/>
      <c r="S35" s="39"/>
      <c r="T35" s="9"/>
      <c r="U35" s="39"/>
      <c r="V35" s="9"/>
      <c r="W35" s="39"/>
      <c r="X35" s="9"/>
      <c r="Y35" s="39"/>
      <c r="Z35" s="9"/>
      <c r="AA35" s="39"/>
      <c r="AB35" s="9"/>
      <c r="AC35" s="39"/>
      <c r="AD35" s="9"/>
      <c r="AE35" s="39"/>
      <c r="AF35" s="9"/>
      <c r="AG35" s="39"/>
      <c r="AH35" s="9"/>
      <c r="AI35" s="39"/>
      <c r="AJ35" s="9"/>
      <c r="AK35" s="39"/>
      <c r="AL35" s="9"/>
      <c r="AM35" s="39"/>
      <c r="AN35" s="9"/>
      <c r="AO35" s="39"/>
      <c r="AP35" s="9"/>
      <c r="AQ35" s="39"/>
      <c r="AR35" s="9"/>
      <c r="AS35" s="39"/>
      <c r="AT35" s="49"/>
      <c r="AU35" s="56"/>
    </row>
    <row r="36" spans="2:47" ht="14.25" x14ac:dyDescent="0.25">
      <c r="B36" s="55"/>
      <c r="C36" s="9" t="s">
        <v>76</v>
      </c>
      <c r="D36" s="7" t="s">
        <v>4</v>
      </c>
      <c r="E36" s="123"/>
      <c r="F36" s="9">
        <v>0.85</v>
      </c>
      <c r="G36" s="39">
        <v>0.85</v>
      </c>
      <c r="H36" s="9"/>
      <c r="I36" s="39"/>
      <c r="J36" s="9"/>
      <c r="K36" s="39"/>
      <c r="L36" s="9"/>
      <c r="M36" s="39"/>
      <c r="N36" s="9"/>
      <c r="O36" s="39"/>
      <c r="P36" s="9"/>
      <c r="Q36" s="39"/>
      <c r="R36" s="9"/>
      <c r="S36" s="39"/>
      <c r="T36" s="9"/>
      <c r="U36" s="39"/>
      <c r="V36" s="9"/>
      <c r="W36" s="39"/>
      <c r="X36" s="9"/>
      <c r="Y36" s="39"/>
      <c r="Z36" s="9"/>
      <c r="AA36" s="39"/>
      <c r="AB36" s="9"/>
      <c r="AC36" s="39"/>
      <c r="AD36" s="9"/>
      <c r="AE36" s="39"/>
      <c r="AF36" s="9"/>
      <c r="AG36" s="39"/>
      <c r="AH36" s="9"/>
      <c r="AI36" s="39"/>
      <c r="AJ36" s="9"/>
      <c r="AK36" s="39"/>
      <c r="AL36" s="9"/>
      <c r="AM36" s="39"/>
      <c r="AN36" s="9"/>
      <c r="AO36" s="39"/>
      <c r="AP36" s="9"/>
      <c r="AQ36" s="39"/>
      <c r="AR36" s="9"/>
      <c r="AS36" s="39"/>
      <c r="AT36" s="49"/>
      <c r="AU36" s="56"/>
    </row>
    <row r="37" spans="2:47" ht="13.5" x14ac:dyDescent="0.25">
      <c r="B37" s="55"/>
      <c r="C37" s="9" t="s">
        <v>5</v>
      </c>
      <c r="D37" s="7" t="s">
        <v>6</v>
      </c>
      <c r="E37" s="123"/>
      <c r="F37" s="9">
        <v>9</v>
      </c>
      <c r="G37" s="39">
        <v>9</v>
      </c>
      <c r="H37" s="9"/>
      <c r="I37" s="39"/>
      <c r="J37" s="9"/>
      <c r="K37" s="39"/>
      <c r="L37" s="9"/>
      <c r="M37" s="39"/>
      <c r="N37" s="9"/>
      <c r="O37" s="39"/>
      <c r="P37" s="9"/>
      <c r="Q37" s="39"/>
      <c r="R37" s="9"/>
      <c r="S37" s="39"/>
      <c r="T37" s="9"/>
      <c r="U37" s="39"/>
      <c r="V37" s="9"/>
      <c r="W37" s="39"/>
      <c r="X37" s="9"/>
      <c r="Y37" s="39"/>
      <c r="Z37" s="9"/>
      <c r="AA37" s="39"/>
      <c r="AB37" s="9"/>
      <c r="AC37" s="39"/>
      <c r="AD37" s="9"/>
      <c r="AE37" s="39"/>
      <c r="AF37" s="9"/>
      <c r="AG37" s="39"/>
      <c r="AH37" s="9"/>
      <c r="AI37" s="39"/>
      <c r="AJ37" s="9"/>
      <c r="AK37" s="39"/>
      <c r="AL37" s="9"/>
      <c r="AM37" s="39"/>
      <c r="AN37" s="9"/>
      <c r="AO37" s="39"/>
      <c r="AP37" s="9"/>
      <c r="AQ37" s="39"/>
      <c r="AR37" s="9"/>
      <c r="AS37" s="39"/>
      <c r="AT37" s="49"/>
      <c r="AU37" s="56"/>
    </row>
    <row r="38" spans="2:47" ht="14.25" x14ac:dyDescent="0.25">
      <c r="B38" s="55"/>
      <c r="C38" s="9" t="s">
        <v>77</v>
      </c>
      <c r="D38" s="105" t="s">
        <v>7</v>
      </c>
      <c r="E38" s="123">
        <v>3.7</v>
      </c>
      <c r="F38" s="9">
        <v>3.7</v>
      </c>
      <c r="G38" s="39">
        <v>3.7</v>
      </c>
      <c r="H38" s="9"/>
      <c r="I38" s="39"/>
      <c r="J38" s="9"/>
      <c r="K38" s="39"/>
      <c r="L38" s="9"/>
      <c r="M38" s="39"/>
      <c r="N38" s="9"/>
      <c r="O38" s="39"/>
      <c r="P38" s="9"/>
      <c r="Q38" s="39"/>
      <c r="R38" s="9"/>
      <c r="S38" s="39"/>
      <c r="T38" s="9"/>
      <c r="U38" s="39"/>
      <c r="V38" s="9"/>
      <c r="W38" s="39"/>
      <c r="X38" s="9"/>
      <c r="Y38" s="39"/>
      <c r="Z38" s="9"/>
      <c r="AA38" s="39"/>
      <c r="AB38" s="9"/>
      <c r="AC38" s="39"/>
      <c r="AD38" s="9"/>
      <c r="AE38" s="39"/>
      <c r="AF38" s="9"/>
      <c r="AG38" s="39"/>
      <c r="AH38" s="9"/>
      <c r="AI38" s="39"/>
      <c r="AJ38" s="9"/>
      <c r="AK38" s="39"/>
      <c r="AL38" s="9"/>
      <c r="AM38" s="39"/>
      <c r="AN38" s="9"/>
      <c r="AO38" s="39"/>
      <c r="AP38" s="9"/>
      <c r="AQ38" s="39"/>
      <c r="AR38" s="9"/>
      <c r="AS38" s="39"/>
      <c r="AT38" s="49"/>
      <c r="AU38" s="56"/>
    </row>
    <row r="39" spans="2:47" ht="13.5" x14ac:dyDescent="0.25">
      <c r="B39" s="55"/>
      <c r="C39" s="9"/>
      <c r="D39" s="7" t="s">
        <v>8</v>
      </c>
      <c r="E39" s="119"/>
      <c r="F39" s="40" t="s">
        <v>64</v>
      </c>
      <c r="G39" s="41" t="s">
        <v>64</v>
      </c>
      <c r="H39" s="40"/>
      <c r="I39" s="41"/>
      <c r="J39" s="40"/>
      <c r="K39" s="41"/>
      <c r="L39" s="40"/>
      <c r="M39" s="41"/>
      <c r="N39" s="40"/>
      <c r="O39" s="41"/>
      <c r="P39" s="40"/>
      <c r="Q39" s="41"/>
      <c r="R39" s="40"/>
      <c r="S39" s="41"/>
      <c r="T39" s="40"/>
      <c r="U39" s="41"/>
      <c r="V39" s="40"/>
      <c r="W39" s="41"/>
      <c r="X39" s="40"/>
      <c r="Y39" s="41"/>
      <c r="Z39" s="40"/>
      <c r="AA39" s="41"/>
      <c r="AB39" s="40"/>
      <c r="AC39" s="41"/>
      <c r="AD39" s="40"/>
      <c r="AE39" s="41"/>
      <c r="AF39" s="40"/>
      <c r="AG39" s="41"/>
      <c r="AH39" s="40"/>
      <c r="AI39" s="41"/>
      <c r="AJ39" s="40"/>
      <c r="AK39" s="41"/>
      <c r="AL39" s="40"/>
      <c r="AM39" s="41"/>
      <c r="AN39" s="40"/>
      <c r="AO39" s="41"/>
      <c r="AP39" s="40"/>
      <c r="AQ39" s="41"/>
      <c r="AR39" s="40"/>
      <c r="AS39" s="41"/>
      <c r="AT39" s="49"/>
      <c r="AU39" s="56"/>
    </row>
    <row r="40" spans="2:47" ht="14.25" x14ac:dyDescent="0.25">
      <c r="B40" s="55"/>
      <c r="C40" s="9" t="s">
        <v>78</v>
      </c>
      <c r="D40" s="7" t="s">
        <v>9</v>
      </c>
      <c r="E40" s="119"/>
      <c r="F40" s="40">
        <v>0</v>
      </c>
      <c r="G40" s="41">
        <v>0</v>
      </c>
      <c r="H40" s="40"/>
      <c r="I40" s="41"/>
      <c r="J40" s="40"/>
      <c r="K40" s="41"/>
      <c r="L40" s="40"/>
      <c r="M40" s="41"/>
      <c r="N40" s="40"/>
      <c r="O40" s="41"/>
      <c r="P40" s="40"/>
      <c r="Q40" s="41"/>
      <c r="R40" s="40"/>
      <c r="S40" s="41"/>
      <c r="T40" s="40"/>
      <c r="U40" s="41"/>
      <c r="V40" s="40"/>
      <c r="W40" s="41"/>
      <c r="X40" s="40"/>
      <c r="Y40" s="41"/>
      <c r="Z40" s="40"/>
      <c r="AA40" s="41"/>
      <c r="AB40" s="40"/>
      <c r="AC40" s="41"/>
      <c r="AD40" s="40"/>
      <c r="AE40" s="41"/>
      <c r="AF40" s="40"/>
      <c r="AG40" s="41"/>
      <c r="AH40" s="40"/>
      <c r="AI40" s="41"/>
      <c r="AJ40" s="40"/>
      <c r="AK40" s="41"/>
      <c r="AL40" s="40"/>
      <c r="AM40" s="41"/>
      <c r="AN40" s="40"/>
      <c r="AO40" s="41"/>
      <c r="AP40" s="40"/>
      <c r="AQ40" s="41"/>
      <c r="AR40" s="40"/>
      <c r="AS40" s="41"/>
      <c r="AT40" s="49"/>
      <c r="AU40" s="56"/>
    </row>
    <row r="41" spans="2:47" ht="14.25" x14ac:dyDescent="0.25">
      <c r="B41" s="55"/>
      <c r="C41" s="9" t="s">
        <v>79</v>
      </c>
      <c r="D41" s="7" t="s">
        <v>10</v>
      </c>
      <c r="E41" s="119"/>
      <c r="F41" s="40">
        <v>1</v>
      </c>
      <c r="G41" s="41">
        <v>1</v>
      </c>
      <c r="H41" s="40"/>
      <c r="I41" s="41"/>
      <c r="J41" s="40"/>
      <c r="K41" s="41"/>
      <c r="L41" s="40"/>
      <c r="M41" s="41"/>
      <c r="N41" s="40"/>
      <c r="O41" s="41"/>
      <c r="P41" s="40"/>
      <c r="Q41" s="41"/>
      <c r="R41" s="40"/>
      <c r="S41" s="41"/>
      <c r="T41" s="40"/>
      <c r="U41" s="41"/>
      <c r="V41" s="40"/>
      <c r="W41" s="41"/>
      <c r="X41" s="40"/>
      <c r="Y41" s="41"/>
      <c r="Z41" s="40"/>
      <c r="AA41" s="41"/>
      <c r="AB41" s="40"/>
      <c r="AC41" s="41"/>
      <c r="AD41" s="40"/>
      <c r="AE41" s="41"/>
      <c r="AF41" s="40"/>
      <c r="AG41" s="41"/>
      <c r="AH41" s="40"/>
      <c r="AI41" s="41"/>
      <c r="AJ41" s="40"/>
      <c r="AK41" s="41"/>
      <c r="AL41" s="40"/>
      <c r="AM41" s="41"/>
      <c r="AN41" s="40"/>
      <c r="AO41" s="41"/>
      <c r="AP41" s="40"/>
      <c r="AQ41" s="41"/>
      <c r="AR41" s="40"/>
      <c r="AS41" s="41"/>
      <c r="AT41" s="49"/>
      <c r="AU41" s="56"/>
    </row>
    <row r="42" spans="2:47" x14ac:dyDescent="0.25">
      <c r="B42" s="55"/>
      <c r="C42" s="108"/>
      <c r="D42" s="107" t="s">
        <v>233</v>
      </c>
      <c r="E42" s="141" t="s">
        <v>74</v>
      </c>
      <c r="F42" s="40" t="s">
        <v>74</v>
      </c>
      <c r="G42" s="41" t="s">
        <v>74</v>
      </c>
      <c r="H42" s="40"/>
      <c r="I42" s="41"/>
      <c r="J42" s="40"/>
      <c r="K42" s="41"/>
      <c r="L42" s="40"/>
      <c r="M42" s="41"/>
      <c r="N42" s="40"/>
      <c r="O42" s="41"/>
      <c r="P42" s="40"/>
      <c r="Q42" s="41"/>
      <c r="R42" s="40"/>
      <c r="S42" s="41"/>
      <c r="T42" s="40"/>
      <c r="U42" s="41"/>
      <c r="V42" s="40"/>
      <c r="W42" s="41"/>
      <c r="X42" s="40"/>
      <c r="Y42" s="41"/>
      <c r="Z42" s="40"/>
      <c r="AA42" s="41"/>
      <c r="AB42" s="40"/>
      <c r="AC42" s="41"/>
      <c r="AD42" s="40"/>
      <c r="AE42" s="41"/>
      <c r="AF42" s="40"/>
      <c r="AG42" s="41"/>
      <c r="AH42" s="40"/>
      <c r="AI42" s="41"/>
      <c r="AJ42" s="40"/>
      <c r="AK42" s="41"/>
      <c r="AL42" s="40"/>
      <c r="AM42" s="41"/>
      <c r="AN42" s="40"/>
      <c r="AO42" s="41"/>
      <c r="AP42" s="40"/>
      <c r="AQ42" s="41"/>
      <c r="AR42" s="40"/>
      <c r="AS42" s="41"/>
      <c r="AT42" s="49"/>
      <c r="AU42" s="56"/>
    </row>
    <row r="43" spans="2:47" ht="13.5" x14ac:dyDescent="0.25">
      <c r="B43" s="55"/>
      <c r="C43" s="37"/>
      <c r="D43" s="60"/>
      <c r="E43" s="117"/>
      <c r="F43" s="37"/>
      <c r="G43" s="37"/>
      <c r="H43" s="37"/>
      <c r="I43" s="37"/>
      <c r="J43" s="37"/>
      <c r="K43" s="37"/>
      <c r="L43" s="37"/>
      <c r="M43" s="37"/>
      <c r="N43" s="37"/>
      <c r="O43" s="37"/>
      <c r="P43" s="37"/>
      <c r="Q43" s="37"/>
      <c r="R43" s="37"/>
      <c r="S43" s="37"/>
      <c r="T43" s="37"/>
      <c r="U43" s="37"/>
      <c r="V43" s="37"/>
      <c r="W43" s="37"/>
      <c r="X43" s="37"/>
      <c r="Y43" s="37"/>
      <c r="Z43" s="37"/>
      <c r="AA43" s="37"/>
      <c r="AB43" s="37"/>
      <c r="AC43" s="37"/>
      <c r="AD43" s="37"/>
      <c r="AE43" s="37"/>
      <c r="AF43" s="37"/>
      <c r="AG43" s="37"/>
      <c r="AH43" s="37"/>
      <c r="AI43" s="37"/>
      <c r="AJ43" s="37"/>
      <c r="AK43" s="37"/>
      <c r="AL43" s="37"/>
      <c r="AM43" s="37"/>
      <c r="AN43" s="37"/>
      <c r="AO43" s="37"/>
      <c r="AP43" s="37"/>
      <c r="AQ43" s="37"/>
      <c r="AR43" s="37"/>
      <c r="AS43" s="37"/>
      <c r="AT43" s="60"/>
      <c r="AU43" s="56"/>
    </row>
    <row r="44" spans="2:47" s="22" customFormat="1" ht="13.5" x14ac:dyDescent="0.25">
      <c r="B44" s="61"/>
      <c r="C44" s="178" t="s">
        <v>24</v>
      </c>
      <c r="D44" s="180"/>
      <c r="E44" s="88"/>
      <c r="F44" s="178"/>
      <c r="G44" s="180"/>
      <c r="H44" s="178"/>
      <c r="I44" s="180"/>
      <c r="J44" s="178"/>
      <c r="K44" s="180"/>
      <c r="L44" s="178"/>
      <c r="M44" s="180"/>
      <c r="N44" s="178"/>
      <c r="O44" s="180"/>
      <c r="P44" s="178"/>
      <c r="Q44" s="180"/>
      <c r="R44" s="178"/>
      <c r="S44" s="180"/>
      <c r="T44" s="178"/>
      <c r="U44" s="180"/>
      <c r="V44" s="178"/>
      <c r="W44" s="180"/>
      <c r="X44" s="178"/>
      <c r="Y44" s="180"/>
      <c r="Z44" s="178"/>
      <c r="AA44" s="180"/>
      <c r="AB44" s="178"/>
      <c r="AC44" s="180"/>
      <c r="AD44" s="178"/>
      <c r="AE44" s="180"/>
      <c r="AF44" s="178"/>
      <c r="AG44" s="180"/>
      <c r="AH44" s="178"/>
      <c r="AI44" s="180"/>
      <c r="AJ44" s="178"/>
      <c r="AK44" s="180"/>
      <c r="AL44" s="178"/>
      <c r="AM44" s="180"/>
      <c r="AN44" s="178"/>
      <c r="AO44" s="180"/>
      <c r="AP44" s="178"/>
      <c r="AQ44" s="180"/>
      <c r="AR44" s="178"/>
      <c r="AS44" s="180"/>
      <c r="AT44" s="50"/>
      <c r="AU44" s="62"/>
    </row>
    <row r="45" spans="2:47" ht="15.75" x14ac:dyDescent="0.25">
      <c r="B45" s="55"/>
      <c r="C45" s="4"/>
      <c r="D45" s="8" t="s">
        <v>204</v>
      </c>
      <c r="E45" s="115"/>
      <c r="F45" s="4"/>
      <c r="G45" s="5"/>
      <c r="H45" s="4"/>
      <c r="I45" s="5"/>
      <c r="J45" s="4"/>
      <c r="K45" s="5"/>
      <c r="L45" s="4"/>
      <c r="M45" s="5"/>
      <c r="N45" s="4"/>
      <c r="O45" s="5"/>
      <c r="P45" s="4"/>
      <c r="Q45" s="5"/>
      <c r="R45" s="4"/>
      <c r="S45" s="5"/>
      <c r="T45" s="4"/>
      <c r="U45" s="5"/>
      <c r="V45" s="4"/>
      <c r="W45" s="5"/>
      <c r="X45" s="4"/>
      <c r="Y45" s="5"/>
      <c r="Z45" s="4"/>
      <c r="AA45" s="5"/>
      <c r="AB45" s="4"/>
      <c r="AC45" s="5"/>
      <c r="AD45" s="4"/>
      <c r="AE45" s="5"/>
      <c r="AF45" s="4"/>
      <c r="AG45" s="5"/>
      <c r="AH45" s="4"/>
      <c r="AI45" s="5"/>
      <c r="AJ45" s="4"/>
      <c r="AK45" s="5"/>
      <c r="AL45" s="4"/>
      <c r="AM45" s="5"/>
      <c r="AN45" s="4"/>
      <c r="AO45" s="5"/>
      <c r="AP45" s="4"/>
      <c r="AQ45" s="5"/>
      <c r="AR45" s="4"/>
      <c r="AS45" s="5"/>
      <c r="AT45" s="51"/>
      <c r="AU45" s="56"/>
    </row>
    <row r="46" spans="2:47" ht="14.25" x14ac:dyDescent="0.25">
      <c r="B46" s="55"/>
      <c r="C46" s="10" t="s">
        <v>101</v>
      </c>
      <c r="D46" s="11" t="s">
        <v>32</v>
      </c>
      <c r="E46" s="124">
        <f t="shared" ref="E46" si="0">4*((E13/100)^2)</f>
        <v>0</v>
      </c>
      <c r="F46" s="10">
        <f t="shared" ref="F46:G46" si="1">4*((F13/100)^2)</f>
        <v>0.25</v>
      </c>
      <c r="G46" s="12">
        <f t="shared" si="1"/>
        <v>0.25</v>
      </c>
      <c r="H46" s="10">
        <f t="shared" ref="H46:AS46" si="2">4*((H13/100)^2)</f>
        <v>0</v>
      </c>
      <c r="I46" s="99">
        <f t="shared" si="2"/>
        <v>0</v>
      </c>
      <c r="J46" s="10">
        <f t="shared" si="2"/>
        <v>0</v>
      </c>
      <c r="K46" s="99">
        <f t="shared" si="2"/>
        <v>0</v>
      </c>
      <c r="L46" s="10">
        <f t="shared" si="2"/>
        <v>0</v>
      </c>
      <c r="M46" s="99">
        <f t="shared" si="2"/>
        <v>0</v>
      </c>
      <c r="N46" s="10">
        <f t="shared" si="2"/>
        <v>0</v>
      </c>
      <c r="O46" s="99">
        <f t="shared" si="2"/>
        <v>0</v>
      </c>
      <c r="P46" s="10">
        <f t="shared" si="2"/>
        <v>0</v>
      </c>
      <c r="Q46" s="99">
        <f t="shared" si="2"/>
        <v>0</v>
      </c>
      <c r="R46" s="10">
        <f t="shared" si="2"/>
        <v>0</v>
      </c>
      <c r="S46" s="99">
        <f t="shared" si="2"/>
        <v>0</v>
      </c>
      <c r="T46" s="10">
        <f t="shared" si="2"/>
        <v>0</v>
      </c>
      <c r="U46" s="99">
        <f t="shared" si="2"/>
        <v>0</v>
      </c>
      <c r="V46" s="10">
        <f t="shared" si="2"/>
        <v>0</v>
      </c>
      <c r="W46" s="99">
        <f t="shared" si="2"/>
        <v>0</v>
      </c>
      <c r="X46" s="10">
        <f t="shared" si="2"/>
        <v>0</v>
      </c>
      <c r="Y46" s="99">
        <f t="shared" si="2"/>
        <v>0</v>
      </c>
      <c r="Z46" s="10">
        <f t="shared" si="2"/>
        <v>0</v>
      </c>
      <c r="AA46" s="99">
        <f t="shared" si="2"/>
        <v>0</v>
      </c>
      <c r="AB46" s="10">
        <f t="shared" si="2"/>
        <v>0</v>
      </c>
      <c r="AC46" s="99">
        <f t="shared" si="2"/>
        <v>0</v>
      </c>
      <c r="AD46" s="10">
        <f t="shared" si="2"/>
        <v>0</v>
      </c>
      <c r="AE46" s="99">
        <f t="shared" si="2"/>
        <v>0</v>
      </c>
      <c r="AF46" s="10">
        <f t="shared" si="2"/>
        <v>0</v>
      </c>
      <c r="AG46" s="99">
        <f t="shared" si="2"/>
        <v>0</v>
      </c>
      <c r="AH46" s="10">
        <f t="shared" si="2"/>
        <v>0</v>
      </c>
      <c r="AI46" s="99">
        <f t="shared" si="2"/>
        <v>0</v>
      </c>
      <c r="AJ46" s="10">
        <f t="shared" si="2"/>
        <v>0</v>
      </c>
      <c r="AK46" s="99">
        <f t="shared" si="2"/>
        <v>0</v>
      </c>
      <c r="AL46" s="10">
        <f t="shared" si="2"/>
        <v>0</v>
      </c>
      <c r="AM46" s="99">
        <f t="shared" si="2"/>
        <v>0</v>
      </c>
      <c r="AN46" s="10">
        <f t="shared" si="2"/>
        <v>0</v>
      </c>
      <c r="AO46" s="99">
        <f t="shared" si="2"/>
        <v>0</v>
      </c>
      <c r="AP46" s="10">
        <f t="shared" si="2"/>
        <v>0</v>
      </c>
      <c r="AQ46" s="99">
        <f t="shared" si="2"/>
        <v>0</v>
      </c>
      <c r="AR46" s="10">
        <f t="shared" si="2"/>
        <v>0</v>
      </c>
      <c r="AS46" s="99">
        <f t="shared" si="2"/>
        <v>0</v>
      </c>
      <c r="AT46" s="51"/>
      <c r="AU46" s="56"/>
    </row>
    <row r="47" spans="2:47" ht="14.25" x14ac:dyDescent="0.25">
      <c r="B47" s="55"/>
      <c r="C47" s="10" t="s">
        <v>102</v>
      </c>
      <c r="D47" s="11" t="s">
        <v>33</v>
      </c>
      <c r="E47" s="125">
        <f>0.0091*(E11/(4))</f>
        <v>0</v>
      </c>
      <c r="F47" s="72">
        <f t="shared" ref="F47:AS47" si="3">0.0091*(F11/(4))</f>
        <v>1.6539250000000001</v>
      </c>
      <c r="G47" s="74">
        <f t="shared" si="3"/>
        <v>1.9337500000000001</v>
      </c>
      <c r="H47" s="96">
        <f t="shared" si="3"/>
        <v>0</v>
      </c>
      <c r="I47" s="98">
        <f t="shared" si="3"/>
        <v>0</v>
      </c>
      <c r="J47" s="96">
        <f t="shared" si="3"/>
        <v>0</v>
      </c>
      <c r="K47" s="98">
        <f t="shared" si="3"/>
        <v>0</v>
      </c>
      <c r="L47" s="96">
        <f t="shared" si="3"/>
        <v>0</v>
      </c>
      <c r="M47" s="98">
        <f t="shared" si="3"/>
        <v>0</v>
      </c>
      <c r="N47" s="96">
        <f t="shared" si="3"/>
        <v>0</v>
      </c>
      <c r="O47" s="98">
        <f t="shared" si="3"/>
        <v>0</v>
      </c>
      <c r="P47" s="96">
        <f t="shared" si="3"/>
        <v>0</v>
      </c>
      <c r="Q47" s="98">
        <f t="shared" si="3"/>
        <v>0</v>
      </c>
      <c r="R47" s="96">
        <f t="shared" si="3"/>
        <v>0</v>
      </c>
      <c r="S47" s="98">
        <f t="shared" si="3"/>
        <v>0</v>
      </c>
      <c r="T47" s="96">
        <f t="shared" si="3"/>
        <v>0</v>
      </c>
      <c r="U47" s="98">
        <f t="shared" si="3"/>
        <v>0</v>
      </c>
      <c r="V47" s="96">
        <f t="shared" si="3"/>
        <v>0</v>
      </c>
      <c r="W47" s="98">
        <f t="shared" si="3"/>
        <v>0</v>
      </c>
      <c r="X47" s="96">
        <f t="shared" si="3"/>
        <v>0</v>
      </c>
      <c r="Y47" s="98">
        <f t="shared" si="3"/>
        <v>0</v>
      </c>
      <c r="Z47" s="96">
        <f t="shared" si="3"/>
        <v>0</v>
      </c>
      <c r="AA47" s="98">
        <f t="shared" si="3"/>
        <v>0</v>
      </c>
      <c r="AB47" s="96">
        <f t="shared" si="3"/>
        <v>0</v>
      </c>
      <c r="AC47" s="98">
        <f t="shared" si="3"/>
        <v>0</v>
      </c>
      <c r="AD47" s="96">
        <f t="shared" si="3"/>
        <v>0</v>
      </c>
      <c r="AE47" s="98">
        <f t="shared" si="3"/>
        <v>0</v>
      </c>
      <c r="AF47" s="96">
        <f t="shared" si="3"/>
        <v>0</v>
      </c>
      <c r="AG47" s="98">
        <f t="shared" si="3"/>
        <v>0</v>
      </c>
      <c r="AH47" s="96">
        <f t="shared" si="3"/>
        <v>0</v>
      </c>
      <c r="AI47" s="98">
        <f t="shared" si="3"/>
        <v>0</v>
      </c>
      <c r="AJ47" s="96">
        <f t="shared" si="3"/>
        <v>0</v>
      </c>
      <c r="AK47" s="98">
        <f t="shared" si="3"/>
        <v>0</v>
      </c>
      <c r="AL47" s="96">
        <f t="shared" si="3"/>
        <v>0</v>
      </c>
      <c r="AM47" s="98">
        <f t="shared" si="3"/>
        <v>0</v>
      </c>
      <c r="AN47" s="96">
        <f t="shared" si="3"/>
        <v>0</v>
      </c>
      <c r="AO47" s="98">
        <f t="shared" si="3"/>
        <v>0</v>
      </c>
      <c r="AP47" s="96">
        <f t="shared" si="3"/>
        <v>0</v>
      </c>
      <c r="AQ47" s="98">
        <f t="shared" si="3"/>
        <v>0</v>
      </c>
      <c r="AR47" s="96">
        <f t="shared" si="3"/>
        <v>0</v>
      </c>
      <c r="AS47" s="98">
        <f t="shared" si="3"/>
        <v>0</v>
      </c>
      <c r="AT47" s="51"/>
      <c r="AU47" s="56"/>
    </row>
    <row r="48" spans="2:47" ht="14.25" x14ac:dyDescent="0.25">
      <c r="B48" s="55"/>
      <c r="C48" s="10" t="s">
        <v>42</v>
      </c>
      <c r="D48" s="11" t="s">
        <v>34</v>
      </c>
      <c r="E48" s="126">
        <f t="shared" ref="E48" si="4">MIN(E17,10)</f>
        <v>10</v>
      </c>
      <c r="F48" s="13">
        <f t="shared" ref="F48:G48" si="5">MIN(F17,10)</f>
        <v>8</v>
      </c>
      <c r="G48" s="14">
        <f t="shared" si="5"/>
        <v>8</v>
      </c>
      <c r="H48" s="13">
        <f t="shared" ref="H48:AS48" si="6">MIN(H17,10)</f>
        <v>10</v>
      </c>
      <c r="I48" s="14">
        <f t="shared" si="6"/>
        <v>10</v>
      </c>
      <c r="J48" s="13">
        <f t="shared" si="6"/>
        <v>10</v>
      </c>
      <c r="K48" s="14">
        <f t="shared" si="6"/>
        <v>10</v>
      </c>
      <c r="L48" s="13">
        <f t="shared" si="6"/>
        <v>10</v>
      </c>
      <c r="M48" s="14">
        <f t="shared" si="6"/>
        <v>10</v>
      </c>
      <c r="N48" s="13">
        <f t="shared" si="6"/>
        <v>10</v>
      </c>
      <c r="O48" s="14">
        <f t="shared" si="6"/>
        <v>10</v>
      </c>
      <c r="P48" s="13">
        <f t="shared" si="6"/>
        <v>10</v>
      </c>
      <c r="Q48" s="14">
        <f t="shared" si="6"/>
        <v>10</v>
      </c>
      <c r="R48" s="13">
        <f t="shared" si="6"/>
        <v>10</v>
      </c>
      <c r="S48" s="14">
        <f t="shared" si="6"/>
        <v>10</v>
      </c>
      <c r="T48" s="13">
        <f t="shared" si="6"/>
        <v>10</v>
      </c>
      <c r="U48" s="14">
        <f t="shared" si="6"/>
        <v>10</v>
      </c>
      <c r="V48" s="13">
        <f t="shared" si="6"/>
        <v>10</v>
      </c>
      <c r="W48" s="14">
        <f t="shared" si="6"/>
        <v>10</v>
      </c>
      <c r="X48" s="13">
        <f t="shared" si="6"/>
        <v>10</v>
      </c>
      <c r="Y48" s="14">
        <f t="shared" si="6"/>
        <v>10</v>
      </c>
      <c r="Z48" s="13">
        <f t="shared" si="6"/>
        <v>10</v>
      </c>
      <c r="AA48" s="14">
        <f t="shared" si="6"/>
        <v>10</v>
      </c>
      <c r="AB48" s="13">
        <f t="shared" si="6"/>
        <v>10</v>
      </c>
      <c r="AC48" s="14">
        <f t="shared" si="6"/>
        <v>10</v>
      </c>
      <c r="AD48" s="13">
        <f t="shared" si="6"/>
        <v>10</v>
      </c>
      <c r="AE48" s="14">
        <f t="shared" si="6"/>
        <v>10</v>
      </c>
      <c r="AF48" s="13">
        <f t="shared" si="6"/>
        <v>10</v>
      </c>
      <c r="AG48" s="14">
        <f t="shared" si="6"/>
        <v>10</v>
      </c>
      <c r="AH48" s="13">
        <f t="shared" si="6"/>
        <v>10</v>
      </c>
      <c r="AI48" s="14">
        <f t="shared" si="6"/>
        <v>10</v>
      </c>
      <c r="AJ48" s="13">
        <f t="shared" si="6"/>
        <v>10</v>
      </c>
      <c r="AK48" s="14">
        <f t="shared" si="6"/>
        <v>10</v>
      </c>
      <c r="AL48" s="13">
        <f t="shared" si="6"/>
        <v>10</v>
      </c>
      <c r="AM48" s="14">
        <f t="shared" si="6"/>
        <v>10</v>
      </c>
      <c r="AN48" s="13">
        <f t="shared" si="6"/>
        <v>10</v>
      </c>
      <c r="AO48" s="14">
        <f t="shared" si="6"/>
        <v>10</v>
      </c>
      <c r="AP48" s="13">
        <f t="shared" si="6"/>
        <v>10</v>
      </c>
      <c r="AQ48" s="14">
        <f t="shared" si="6"/>
        <v>10</v>
      </c>
      <c r="AR48" s="13">
        <f t="shared" si="6"/>
        <v>10</v>
      </c>
      <c r="AS48" s="14">
        <f t="shared" si="6"/>
        <v>10</v>
      </c>
      <c r="AT48" s="51"/>
      <c r="AU48" s="56"/>
    </row>
    <row r="49" spans="2:47" ht="14.25" x14ac:dyDescent="0.25">
      <c r="B49" s="55"/>
      <c r="C49" s="10" t="s">
        <v>43</v>
      </c>
      <c r="D49" s="11" t="s">
        <v>35</v>
      </c>
      <c r="E49" s="124">
        <f t="shared" ref="E49" si="7">6-(0.3*E48)</f>
        <v>3</v>
      </c>
      <c r="F49" s="10">
        <f t="shared" ref="F49:G49" si="8">6-(0.3*F48)</f>
        <v>3.6</v>
      </c>
      <c r="G49" s="12">
        <f t="shared" si="8"/>
        <v>3.6</v>
      </c>
      <c r="H49" s="10">
        <f t="shared" ref="H49:AS49" si="9">6-(0.3*H48)</f>
        <v>3</v>
      </c>
      <c r="I49" s="99">
        <f t="shared" si="9"/>
        <v>3</v>
      </c>
      <c r="J49" s="10">
        <f t="shared" si="9"/>
        <v>3</v>
      </c>
      <c r="K49" s="99">
        <f t="shared" si="9"/>
        <v>3</v>
      </c>
      <c r="L49" s="10">
        <f t="shared" si="9"/>
        <v>3</v>
      </c>
      <c r="M49" s="99">
        <f t="shared" si="9"/>
        <v>3</v>
      </c>
      <c r="N49" s="10">
        <f t="shared" si="9"/>
        <v>3</v>
      </c>
      <c r="O49" s="99">
        <f t="shared" si="9"/>
        <v>3</v>
      </c>
      <c r="P49" s="10">
        <f t="shared" si="9"/>
        <v>3</v>
      </c>
      <c r="Q49" s="99">
        <f t="shared" si="9"/>
        <v>3</v>
      </c>
      <c r="R49" s="10">
        <f t="shared" si="9"/>
        <v>3</v>
      </c>
      <c r="S49" s="99">
        <f t="shared" si="9"/>
        <v>3</v>
      </c>
      <c r="T49" s="10">
        <f t="shared" si="9"/>
        <v>3</v>
      </c>
      <c r="U49" s="99">
        <f t="shared" si="9"/>
        <v>3</v>
      </c>
      <c r="V49" s="10">
        <f t="shared" si="9"/>
        <v>3</v>
      </c>
      <c r="W49" s="99">
        <f t="shared" si="9"/>
        <v>3</v>
      </c>
      <c r="X49" s="10">
        <f t="shared" si="9"/>
        <v>3</v>
      </c>
      <c r="Y49" s="99">
        <f t="shared" si="9"/>
        <v>3</v>
      </c>
      <c r="Z49" s="10">
        <f t="shared" si="9"/>
        <v>3</v>
      </c>
      <c r="AA49" s="99">
        <f t="shared" si="9"/>
        <v>3</v>
      </c>
      <c r="AB49" s="10">
        <f t="shared" si="9"/>
        <v>3</v>
      </c>
      <c r="AC49" s="99">
        <f t="shared" si="9"/>
        <v>3</v>
      </c>
      <c r="AD49" s="10">
        <f t="shared" si="9"/>
        <v>3</v>
      </c>
      <c r="AE49" s="99">
        <f t="shared" si="9"/>
        <v>3</v>
      </c>
      <c r="AF49" s="10">
        <f t="shared" si="9"/>
        <v>3</v>
      </c>
      <c r="AG49" s="99">
        <f t="shared" si="9"/>
        <v>3</v>
      </c>
      <c r="AH49" s="10">
        <f t="shared" si="9"/>
        <v>3</v>
      </c>
      <c r="AI49" s="99">
        <f t="shared" si="9"/>
        <v>3</v>
      </c>
      <c r="AJ49" s="10">
        <f t="shared" si="9"/>
        <v>3</v>
      </c>
      <c r="AK49" s="99">
        <f t="shared" si="9"/>
        <v>3</v>
      </c>
      <c r="AL49" s="10">
        <f t="shared" si="9"/>
        <v>3</v>
      </c>
      <c r="AM49" s="99">
        <f t="shared" si="9"/>
        <v>3</v>
      </c>
      <c r="AN49" s="10">
        <f t="shared" si="9"/>
        <v>3</v>
      </c>
      <c r="AO49" s="99">
        <f t="shared" si="9"/>
        <v>3</v>
      </c>
      <c r="AP49" s="10">
        <f t="shared" si="9"/>
        <v>3</v>
      </c>
      <c r="AQ49" s="99">
        <f t="shared" si="9"/>
        <v>3</v>
      </c>
      <c r="AR49" s="10">
        <f t="shared" si="9"/>
        <v>3</v>
      </c>
      <c r="AS49" s="99">
        <f t="shared" si="9"/>
        <v>3</v>
      </c>
      <c r="AT49" s="51"/>
      <c r="AU49" s="56"/>
    </row>
    <row r="50" spans="2:47" ht="15.75" x14ac:dyDescent="0.25">
      <c r="B50" s="55"/>
      <c r="C50" s="109" t="s">
        <v>44</v>
      </c>
      <c r="D50" s="146" t="s">
        <v>244</v>
      </c>
      <c r="E50" s="124">
        <f>IF(E13&lt;=40,1,0)*IF(AND(E18&gt;=7,E18&lt;14),1.61,1)*IF(E18&gt;=14,3.76,1)+IF(AND(E13&lt;=50,E13&gt;40),1,0)*IF(AND(E18&gt;=10,E18&lt;20),1.61,1)*IF(E18&gt;=20,3.76,1)+IF(AND(E13&lt;=55,E13&gt;50),1,0)*IF(AND(E18&gt;=11,E18&lt;22),1.61,1)*IF(E18&gt;=22,3.76,1)+IF(AND(E13&lt;=60,E13&gt;55),1,0)*IF(AND(E18&gt;=13,E18&lt;26),1.61,1)*IF(E18&gt;=26,3.76,1)+IF(AND(E13&lt;=70,E13&gt;60),1,0)*IF(AND(E18&gt;=14,E18&lt;28),1.61,1)*IF(E18&gt;=28,3.76,1)+IF(AND(E13&gt;70),1,0)</f>
        <v>1</v>
      </c>
      <c r="F50" s="10">
        <f t="shared" ref="F50:AS50" si="10">IF(F13&lt;=40,1,0)*IF(AND(F18&gt;=7,F18&lt;14),1.61,1)*IF(F18&gt;=14,3.76,1)+IF(AND(F13&lt;=50,F13&gt;40),1,0)*IF(AND(F18&gt;=10,F18&lt;20),1.61,1)*IF(F18&gt;=20,3.76,1)+IF(AND(F13&lt;=55,F13&gt;50),1,0)*IF(AND(F18&gt;=11,F18&lt;22),1.61,1)*IF(F18&gt;=22,3.76,1)+IF(AND(F13&lt;=60,F13&gt;55),1,0)*IF(AND(F18&gt;=13,F18&lt;26),1.61,1)*IF(F18&gt;=26,3.76,1)+IF(AND(F13&lt;=70,F13&gt;60),1,0)*IF(AND(F18&gt;=14,F18&lt;28),1.61,1)*IF(F18&gt;=28,3.76,1)+IF(AND(F13&gt;70),1,0)</f>
        <v>1</v>
      </c>
      <c r="G50" s="143">
        <f t="shared" si="10"/>
        <v>1</v>
      </c>
      <c r="H50" s="10">
        <f t="shared" si="10"/>
        <v>1</v>
      </c>
      <c r="I50" s="143">
        <f t="shared" si="10"/>
        <v>1</v>
      </c>
      <c r="J50" s="10">
        <f t="shared" si="10"/>
        <v>1</v>
      </c>
      <c r="K50" s="143">
        <f t="shared" si="10"/>
        <v>1</v>
      </c>
      <c r="L50" s="10">
        <f t="shared" si="10"/>
        <v>1</v>
      </c>
      <c r="M50" s="143">
        <f t="shared" si="10"/>
        <v>1</v>
      </c>
      <c r="N50" s="10">
        <f t="shared" si="10"/>
        <v>1</v>
      </c>
      <c r="O50" s="143">
        <f t="shared" si="10"/>
        <v>1</v>
      </c>
      <c r="P50" s="10">
        <f t="shared" si="10"/>
        <v>1</v>
      </c>
      <c r="Q50" s="143">
        <f t="shared" si="10"/>
        <v>1</v>
      </c>
      <c r="R50" s="10">
        <f t="shared" si="10"/>
        <v>1</v>
      </c>
      <c r="S50" s="143">
        <f t="shared" si="10"/>
        <v>1</v>
      </c>
      <c r="T50" s="10">
        <f t="shared" si="10"/>
        <v>1</v>
      </c>
      <c r="U50" s="143">
        <f t="shared" si="10"/>
        <v>1</v>
      </c>
      <c r="V50" s="10">
        <f t="shared" si="10"/>
        <v>1</v>
      </c>
      <c r="W50" s="143">
        <f t="shared" si="10"/>
        <v>1</v>
      </c>
      <c r="X50" s="10">
        <f t="shared" si="10"/>
        <v>1</v>
      </c>
      <c r="Y50" s="143">
        <f t="shared" si="10"/>
        <v>1</v>
      </c>
      <c r="Z50" s="10">
        <f t="shared" si="10"/>
        <v>1</v>
      </c>
      <c r="AA50" s="143">
        <f t="shared" si="10"/>
        <v>1</v>
      </c>
      <c r="AB50" s="10">
        <f t="shared" si="10"/>
        <v>1</v>
      </c>
      <c r="AC50" s="143">
        <f t="shared" si="10"/>
        <v>1</v>
      </c>
      <c r="AD50" s="10">
        <f t="shared" si="10"/>
        <v>1</v>
      </c>
      <c r="AE50" s="143">
        <f t="shared" si="10"/>
        <v>1</v>
      </c>
      <c r="AF50" s="10">
        <f t="shared" si="10"/>
        <v>1</v>
      </c>
      <c r="AG50" s="143">
        <f t="shared" si="10"/>
        <v>1</v>
      </c>
      <c r="AH50" s="10">
        <f t="shared" si="10"/>
        <v>1</v>
      </c>
      <c r="AI50" s="143">
        <f t="shared" si="10"/>
        <v>1</v>
      </c>
      <c r="AJ50" s="10">
        <f t="shared" si="10"/>
        <v>1</v>
      </c>
      <c r="AK50" s="143">
        <f t="shared" si="10"/>
        <v>1</v>
      </c>
      <c r="AL50" s="10">
        <f t="shared" si="10"/>
        <v>1</v>
      </c>
      <c r="AM50" s="143">
        <f t="shared" si="10"/>
        <v>1</v>
      </c>
      <c r="AN50" s="10">
        <f t="shared" si="10"/>
        <v>1</v>
      </c>
      <c r="AO50" s="143">
        <f t="shared" si="10"/>
        <v>1</v>
      </c>
      <c r="AP50" s="10">
        <f t="shared" si="10"/>
        <v>1</v>
      </c>
      <c r="AQ50" s="143">
        <f t="shared" si="10"/>
        <v>1</v>
      </c>
      <c r="AR50" s="10">
        <f t="shared" si="10"/>
        <v>1</v>
      </c>
      <c r="AS50" s="143">
        <f t="shared" si="10"/>
        <v>1</v>
      </c>
      <c r="AT50" s="51"/>
      <c r="AU50" s="56"/>
    </row>
    <row r="51" spans="2:47" ht="14.25" x14ac:dyDescent="0.25">
      <c r="B51" s="55"/>
      <c r="C51" s="10" t="s">
        <v>44</v>
      </c>
      <c r="D51" s="11" t="s">
        <v>36</v>
      </c>
      <c r="E51" s="124">
        <f>IF(E26="Yes",5.37,E50)</f>
        <v>1</v>
      </c>
      <c r="F51" s="10">
        <f>IF(F26="Yes",5.37,IF(AND(F13&lt;=40,AND(F18&gt;=7,F18&lt;14)),1.61,IF(F18&gt;=14,3.76,IF(AND(AND(F13&gt;40,F13&lt;=50),AND(F18&gt;=10,F18&lt;20)),1.61,IF(F18&gt;=14,3.76,1)))))</f>
        <v>1</v>
      </c>
      <c r="G51" s="12">
        <f>IF(G26="Yes",5.37,1)</f>
        <v>1</v>
      </c>
      <c r="H51" s="10">
        <f t="shared" ref="H51:AS51" si="11">IF(H26="Yes",5.37,1)</f>
        <v>1</v>
      </c>
      <c r="I51" s="99">
        <f t="shared" si="11"/>
        <v>1</v>
      </c>
      <c r="J51" s="10">
        <f t="shared" si="11"/>
        <v>1</v>
      </c>
      <c r="K51" s="99">
        <f t="shared" si="11"/>
        <v>1</v>
      </c>
      <c r="L51" s="10">
        <f t="shared" si="11"/>
        <v>1</v>
      </c>
      <c r="M51" s="99">
        <f t="shared" si="11"/>
        <v>1</v>
      </c>
      <c r="N51" s="10">
        <f t="shared" si="11"/>
        <v>1</v>
      </c>
      <c r="O51" s="99">
        <f t="shared" si="11"/>
        <v>1</v>
      </c>
      <c r="P51" s="10">
        <f t="shared" si="11"/>
        <v>1</v>
      </c>
      <c r="Q51" s="99">
        <f t="shared" si="11"/>
        <v>1</v>
      </c>
      <c r="R51" s="10">
        <f t="shared" si="11"/>
        <v>1</v>
      </c>
      <c r="S51" s="99">
        <f t="shared" si="11"/>
        <v>1</v>
      </c>
      <c r="T51" s="10">
        <f t="shared" si="11"/>
        <v>1</v>
      </c>
      <c r="U51" s="99">
        <f t="shared" si="11"/>
        <v>1</v>
      </c>
      <c r="V51" s="10">
        <f t="shared" si="11"/>
        <v>1</v>
      </c>
      <c r="W51" s="99">
        <f t="shared" si="11"/>
        <v>1</v>
      </c>
      <c r="X51" s="10">
        <f t="shared" si="11"/>
        <v>1</v>
      </c>
      <c r="Y51" s="99">
        <f t="shared" si="11"/>
        <v>1</v>
      </c>
      <c r="Z51" s="10">
        <f t="shared" si="11"/>
        <v>1</v>
      </c>
      <c r="AA51" s="99">
        <f t="shared" si="11"/>
        <v>1</v>
      </c>
      <c r="AB51" s="10">
        <f t="shared" si="11"/>
        <v>1</v>
      </c>
      <c r="AC51" s="99">
        <f t="shared" si="11"/>
        <v>1</v>
      </c>
      <c r="AD51" s="10">
        <f t="shared" si="11"/>
        <v>1</v>
      </c>
      <c r="AE51" s="99">
        <f t="shared" si="11"/>
        <v>1</v>
      </c>
      <c r="AF51" s="10">
        <f t="shared" si="11"/>
        <v>1</v>
      </c>
      <c r="AG51" s="99">
        <f t="shared" si="11"/>
        <v>1</v>
      </c>
      <c r="AH51" s="10">
        <f t="shared" si="11"/>
        <v>1</v>
      </c>
      <c r="AI51" s="99">
        <f t="shared" si="11"/>
        <v>1</v>
      </c>
      <c r="AJ51" s="10">
        <f t="shared" si="11"/>
        <v>1</v>
      </c>
      <c r="AK51" s="99">
        <f t="shared" si="11"/>
        <v>1</v>
      </c>
      <c r="AL51" s="10">
        <f t="shared" si="11"/>
        <v>1</v>
      </c>
      <c r="AM51" s="99">
        <f t="shared" si="11"/>
        <v>1</v>
      </c>
      <c r="AN51" s="10">
        <f t="shared" si="11"/>
        <v>1</v>
      </c>
      <c r="AO51" s="99">
        <f t="shared" si="11"/>
        <v>1</v>
      </c>
      <c r="AP51" s="10">
        <f t="shared" si="11"/>
        <v>1</v>
      </c>
      <c r="AQ51" s="99">
        <f t="shared" si="11"/>
        <v>1</v>
      </c>
      <c r="AR51" s="10">
        <f t="shared" si="11"/>
        <v>1</v>
      </c>
      <c r="AS51" s="99">
        <f t="shared" si="11"/>
        <v>1</v>
      </c>
      <c r="AT51" s="51"/>
      <c r="AU51" s="56"/>
    </row>
    <row r="52" spans="2:47" ht="14.25" x14ac:dyDescent="0.25">
      <c r="B52" s="55"/>
      <c r="C52" s="109" t="s">
        <v>46</v>
      </c>
      <c r="D52" s="110" t="s">
        <v>37</v>
      </c>
      <c r="E52" s="124">
        <f>IF(OR(E11&gt;160,E17&gt;0),E21+E19+E68+E23,(E21+E19+E68+E23)*(2-0.005*E11*E16))</f>
        <v>0</v>
      </c>
      <c r="F52" s="10">
        <f>IF(OR(F11&gt;160,F17&gt;0),F21+F19+F68+F23,(F21+F19+F68+F23)*(2-0.005*F11*F16))</f>
        <v>21</v>
      </c>
      <c r="G52" s="12">
        <f>IF(OR(G11&gt;160,G17&gt;0),G21+G19+G68+G23,(G21+G19+G68+G23)*(2-0.005*G11*G16))</f>
        <v>21</v>
      </c>
      <c r="H52" s="10">
        <f>IF(OR(H11&gt;160,H17&gt;0),H21+H19+H68+H23,(H21+H19+H68+H23)*(2-0.005*H11*H16))</f>
        <v>0</v>
      </c>
      <c r="I52" s="99">
        <f>IF(OR(I11&gt;160,I17&gt;0),I21+I19+I68+I23,(I21+I19+I68+I23)*(2-0.005*I11*I16))</f>
        <v>0</v>
      </c>
      <c r="J52" s="10">
        <f>IF(OR(J11&gt;160,J17&gt;0),J21+J19+J68+J23,(J21+J19+J68+J23)*(2-0.005*J11*J16))</f>
        <v>0</v>
      </c>
      <c r="K52" s="99">
        <f>IF(OR(K11&gt;160,K17&gt;0),K21+K19+K68+K23,(K21+K19+K68+K23)*(2-0.005*K11*K16))</f>
        <v>0</v>
      </c>
      <c r="L52" s="10">
        <f>IF(OR(L11&gt;160,L17&gt;0),L21+L19+L68+L23,(L21+L19+L68+L23)*(2-0.005*L11*L16))</f>
        <v>0</v>
      </c>
      <c r="M52" s="99">
        <f>IF(OR(M11&gt;160,M17&gt;0),M21+M19+M68+M23,(M21+M19+M68+M23)*(2-0.005*M11*M16))</f>
        <v>0</v>
      </c>
      <c r="N52" s="10">
        <f>IF(OR(N11&gt;160,N17&gt;0),N21+N19+N68+N23,(N21+N19+N68+N23)*(2-0.005*N11*N16))</f>
        <v>0</v>
      </c>
      <c r="O52" s="99">
        <f>IF(OR(O11&gt;160,O17&gt;0),O21+O19+O68+O23,(O21+O19+O68+O23)*(2-0.005*O11*O16))</f>
        <v>0</v>
      </c>
      <c r="P52" s="10">
        <f>IF(OR(P11&gt;160,P17&gt;0),P21+P19+P68+P23,(P21+P19+P68+P23)*(2-0.005*P11*P16))</f>
        <v>0</v>
      </c>
      <c r="Q52" s="99">
        <f>IF(OR(Q11&gt;160,Q17&gt;0),Q21+Q19+Q68+Q23,(Q21+Q19+Q68+Q23)*(2-0.005*Q11*Q16))</f>
        <v>0</v>
      </c>
      <c r="R52" s="10">
        <f>IF(OR(R11&gt;160,R17&gt;0),R21+R19+R68+R23,(R21+R19+R68+R23)*(2-0.005*R11*R16))</f>
        <v>0</v>
      </c>
      <c r="S52" s="99">
        <f>IF(OR(S11&gt;160,S17&gt;0),S21+S19+S68+S23,(S21+S19+S68+S23)*(2-0.005*S11*S16))</f>
        <v>0</v>
      </c>
      <c r="T52" s="10">
        <f>IF(OR(T11&gt;160,T17&gt;0),T21+T19+T68+T23,(T21+T19+T68+T23)*(2-0.005*T11*T16))</f>
        <v>0</v>
      </c>
      <c r="U52" s="99">
        <f>IF(OR(U11&gt;160,U17&gt;0),U21+U19+U68+U23,(U21+U19+U68+U23)*(2-0.005*U11*U16))</f>
        <v>0</v>
      </c>
      <c r="V52" s="10">
        <f>IF(OR(V11&gt;160,V17&gt;0),V21+V19+V68+V23,(V21+V19+V68+V23)*(2-0.005*V11*V16))</f>
        <v>0</v>
      </c>
      <c r="W52" s="99">
        <f>IF(OR(W11&gt;160,W17&gt;0),W21+W19+W68+W23,(W21+W19+W68+W23)*(2-0.005*W11*W16))</f>
        <v>0</v>
      </c>
      <c r="X52" s="10">
        <f>IF(OR(X11&gt;160,X17&gt;0),X21+X19+X68+X23,(X21+X19+X68+X23)*(2-0.005*X11*X16))</f>
        <v>0</v>
      </c>
      <c r="Y52" s="99">
        <f>IF(OR(Y11&gt;160,Y17&gt;0),Y21+Y19+Y68+Y23,(Y21+Y19+Y68+Y23)*(2-0.005*Y11*Y16))</f>
        <v>0</v>
      </c>
      <c r="Z52" s="10">
        <f>IF(OR(Z11&gt;160,Z17&gt;0),Z21+Z19+Z68+Z23,(Z21+Z19+Z68+Z23)*(2-0.005*Z11*Z16))</f>
        <v>0</v>
      </c>
      <c r="AA52" s="99">
        <f>IF(OR(AA11&gt;160,AA17&gt;0),AA21+AA19+AA68+AA23,(AA21+AA19+AA68+AA23)*(2-0.005*AA11*AA16))</f>
        <v>0</v>
      </c>
      <c r="AB52" s="10">
        <f>IF(OR(AB11&gt;160,AB17&gt;0),AB21+AB19+AB68+AB23,(AB21+AB19+AB68+AB23)*(2-0.005*AB11*AB16))</f>
        <v>0</v>
      </c>
      <c r="AC52" s="99">
        <f>IF(OR(AC11&gt;160,AC17&gt;0),AC21+AC19+AC68+AC23,(AC21+AC19+AC68+AC23)*(2-0.005*AC11*AC16))</f>
        <v>0</v>
      </c>
      <c r="AD52" s="10">
        <f>IF(OR(AD11&gt;160,AD17&gt;0),AD21+AD19+AD68+AD23,(AD21+AD19+AD68+AD23)*(2-0.005*AD11*AD16))</f>
        <v>0</v>
      </c>
      <c r="AE52" s="99">
        <f>IF(OR(AE11&gt;160,AE17&gt;0),AE21+AE19+AE68+AE23,(AE21+AE19+AE68+AE23)*(2-0.005*AE11*AE16))</f>
        <v>0</v>
      </c>
      <c r="AF52" s="10">
        <f>IF(OR(AF11&gt;160,AF17&gt;0),AF21+AF19+AF68+AF23,(AF21+AF19+AF68+AF23)*(2-0.005*AF11*AF16))</f>
        <v>0</v>
      </c>
      <c r="AG52" s="99">
        <f>IF(OR(AG11&gt;160,AG17&gt;0),AG21+AG19+AG68+AG23,(AG21+AG19+AG68+AG23)*(2-0.005*AG11*AG16))</f>
        <v>0</v>
      </c>
      <c r="AH52" s="10">
        <f>IF(OR(AH11&gt;160,AH17&gt;0),AH21+AH19+AH68+AH23,(AH21+AH19+AH68+AH23)*(2-0.005*AH11*AH16))</f>
        <v>0</v>
      </c>
      <c r="AI52" s="99">
        <f>IF(OR(AI11&gt;160,AI17&gt;0),AI21+AI19+AI68+AI23,(AI21+AI19+AI68+AI23)*(2-0.005*AI11*AI16))</f>
        <v>0</v>
      </c>
      <c r="AJ52" s="10">
        <f>IF(OR(AJ11&gt;160,AJ17&gt;0),AJ21+AJ19+AJ68+AJ23,(AJ21+AJ19+AJ68+AJ23)*(2-0.005*AJ11*AJ16))</f>
        <v>0</v>
      </c>
      <c r="AK52" s="99">
        <f>IF(OR(AK11&gt;160,AK17&gt;0),AK21+AK19+AK68+AK23,(AK21+AK19+AK68+AK23)*(2-0.005*AK11*AK16))</f>
        <v>0</v>
      </c>
      <c r="AL52" s="10">
        <f>IF(OR(AL11&gt;160,AL17&gt;0),AL21+AL19+AL68+AL23,(AL21+AL19+AL68+AL23)*(2-0.005*AL11*AL16))</f>
        <v>0</v>
      </c>
      <c r="AM52" s="99">
        <f>IF(OR(AM11&gt;160,AM17&gt;0),AM21+AM19+AM68+AM23,(AM21+AM19+AM68+AM23)*(2-0.005*AM11*AM16))</f>
        <v>0</v>
      </c>
      <c r="AN52" s="10">
        <f>IF(OR(AN11&gt;160,AN17&gt;0),AN21+AN19+AN68+AN23,(AN21+AN19+AN68+AN23)*(2-0.005*AN11*AN16))</f>
        <v>0</v>
      </c>
      <c r="AO52" s="99">
        <f>IF(OR(AO11&gt;160,AO17&gt;0),AO21+AO19+AO68+AO23,(AO21+AO19+AO68+AO23)*(2-0.005*AO11*AO16))</f>
        <v>0</v>
      </c>
      <c r="AP52" s="10">
        <f>IF(OR(AP11&gt;160,AP17&gt;0),AP21+AP19+AP68+AP23,(AP21+AP19+AP68+AP23)*(2-0.005*AP11*AP16))</f>
        <v>0</v>
      </c>
      <c r="AQ52" s="99">
        <f>IF(OR(AQ11&gt;160,AQ17&gt;0),AQ21+AQ19+AQ68+AQ23,(AQ21+AQ19+AQ68+AQ23)*(2-0.005*AQ11*AQ16))</f>
        <v>0</v>
      </c>
      <c r="AR52" s="10">
        <f>IF(OR(AR11&gt;160,AR17&gt;0),AR21+AR19+AR68+AR23,(AR21+AR19+AR68+AR23)*(2-0.005*AR11*AR16))</f>
        <v>0</v>
      </c>
      <c r="AS52" s="99">
        <f>IF(OR(AS11&gt;160,AS17&gt;0),AS21+AS19+AS68+AS23,(AS21+AS19+AS68+AS23)*(2-0.005*AS11*AS16))</f>
        <v>0</v>
      </c>
      <c r="AT52" s="51"/>
      <c r="AU52" s="56"/>
    </row>
    <row r="53" spans="2:47" ht="14.25" x14ac:dyDescent="0.25">
      <c r="B53" s="55"/>
      <c r="C53" s="109" t="s">
        <v>47</v>
      </c>
      <c r="D53" s="110" t="s">
        <v>38</v>
      </c>
      <c r="E53" s="124">
        <f>IF(OR(E22&gt;0.25,E19+E68+E23&lt;=10),E19+E68+E23,10)</f>
        <v>0</v>
      </c>
      <c r="F53" s="10">
        <f>IF(OR(F22&gt;0.25,F19+F68+F23&lt;=10),F19+F68+F23,10)</f>
        <v>9</v>
      </c>
      <c r="G53" s="12">
        <f>IF(OR(G22&gt;0.25,G19+G68+G23&lt;=10),G19+G68+G23,10)</f>
        <v>9</v>
      </c>
      <c r="H53" s="10">
        <f>IF(OR(H22&gt;0.25,H19+H68+H23&lt;=10),H19+H68+H23,10)</f>
        <v>0</v>
      </c>
      <c r="I53" s="99">
        <f>IF(OR(I22&gt;0.25,I19+I68+I23&lt;=10),I19+I68+I23,10)</f>
        <v>0</v>
      </c>
      <c r="J53" s="10">
        <f>IF(OR(J22&gt;0.25,J19+J68+J23&lt;=10),J19+J68+J23,10)</f>
        <v>0</v>
      </c>
      <c r="K53" s="99">
        <f>IF(OR(K22&gt;0.25,K19+K68+K23&lt;=10),K19+K68+K23,10)</f>
        <v>0</v>
      </c>
      <c r="L53" s="10">
        <f>IF(OR(L22&gt;0.25,L19+L68+L23&lt;=10),L19+L68+L23,10)</f>
        <v>0</v>
      </c>
      <c r="M53" s="99">
        <f>IF(OR(M22&gt;0.25,M19+M68+M23&lt;=10),M19+M68+M23,10)</f>
        <v>0</v>
      </c>
      <c r="N53" s="10">
        <f>IF(OR(N22&gt;0.25,N19+N68+N23&lt;=10),N19+N68+N23,10)</f>
        <v>0</v>
      </c>
      <c r="O53" s="99">
        <f>IF(OR(O22&gt;0.25,O19+O68+O23&lt;=10),O19+O68+O23,10)</f>
        <v>0</v>
      </c>
      <c r="P53" s="10">
        <f>IF(OR(P22&gt;0.25,P19+P68+P23&lt;=10),P19+P68+P23,10)</f>
        <v>0</v>
      </c>
      <c r="Q53" s="99">
        <f>IF(OR(Q22&gt;0.25,Q19+Q68+Q23&lt;=10),Q19+Q68+Q23,10)</f>
        <v>0</v>
      </c>
      <c r="R53" s="10">
        <f>IF(OR(R22&gt;0.25,R19+R68+R23&lt;=10),R19+R68+R23,10)</f>
        <v>0</v>
      </c>
      <c r="S53" s="99">
        <f>IF(OR(S22&gt;0.25,S19+S68+S23&lt;=10),S19+S68+S23,10)</f>
        <v>0</v>
      </c>
      <c r="T53" s="10">
        <f>IF(OR(T22&gt;0.25,T19+T68+T23&lt;=10),T19+T68+T23,10)</f>
        <v>0</v>
      </c>
      <c r="U53" s="99">
        <f>IF(OR(U22&gt;0.25,U19+U68+U23&lt;=10),U19+U68+U23,10)</f>
        <v>0</v>
      </c>
      <c r="V53" s="10">
        <f>IF(OR(V22&gt;0.25,V19+V68+V23&lt;=10),V19+V68+V23,10)</f>
        <v>0</v>
      </c>
      <c r="W53" s="99">
        <f>IF(OR(W22&gt;0.25,W19+W68+W23&lt;=10),W19+W68+W23,10)</f>
        <v>0</v>
      </c>
      <c r="X53" s="10">
        <f>IF(OR(X22&gt;0.25,X19+X68+X23&lt;=10),X19+X68+X23,10)</f>
        <v>0</v>
      </c>
      <c r="Y53" s="99">
        <f>IF(OR(Y22&gt;0.25,Y19+Y68+Y23&lt;=10),Y19+Y68+Y23,10)</f>
        <v>0</v>
      </c>
      <c r="Z53" s="10">
        <f>IF(OR(Z22&gt;0.25,Z19+Z68+Z23&lt;=10),Z19+Z68+Z23,10)</f>
        <v>0</v>
      </c>
      <c r="AA53" s="99">
        <f>IF(OR(AA22&gt;0.25,AA19+AA68+AA23&lt;=10),AA19+AA68+AA23,10)</f>
        <v>0</v>
      </c>
      <c r="AB53" s="10">
        <f>IF(OR(AB22&gt;0.25,AB19+AB68+AB23&lt;=10),AB19+AB68+AB23,10)</f>
        <v>0</v>
      </c>
      <c r="AC53" s="99">
        <f>IF(OR(AC22&gt;0.25,AC19+AC68+AC23&lt;=10),AC19+AC68+AC23,10)</f>
        <v>0</v>
      </c>
      <c r="AD53" s="10">
        <f>IF(OR(AD22&gt;0.25,AD19+AD68+AD23&lt;=10),AD19+AD68+AD23,10)</f>
        <v>0</v>
      </c>
      <c r="AE53" s="99">
        <f>IF(OR(AE22&gt;0.25,AE19+AE68+AE23&lt;=10),AE19+AE68+AE23,10)</f>
        <v>0</v>
      </c>
      <c r="AF53" s="10">
        <f>IF(OR(AF22&gt;0.25,AF19+AF68+AF23&lt;=10),AF19+AF68+AF23,10)</f>
        <v>0</v>
      </c>
      <c r="AG53" s="99">
        <f>IF(OR(AG22&gt;0.25,AG19+AG68+AG23&lt;=10),AG19+AG68+AG23,10)</f>
        <v>0</v>
      </c>
      <c r="AH53" s="10">
        <f>IF(OR(AH22&gt;0.25,AH19+AH68+AH23&lt;=10),AH19+AH68+AH23,10)</f>
        <v>0</v>
      </c>
      <c r="AI53" s="99">
        <f>IF(OR(AI22&gt;0.25,AI19+AI68+AI23&lt;=10),AI19+AI68+AI23,10)</f>
        <v>0</v>
      </c>
      <c r="AJ53" s="10">
        <f>IF(OR(AJ22&gt;0.25,AJ19+AJ68+AJ23&lt;=10),AJ19+AJ68+AJ23,10)</f>
        <v>0</v>
      </c>
      <c r="AK53" s="99">
        <f>IF(OR(AK22&gt;0.25,AK19+AK68+AK23&lt;=10),AK19+AK68+AK23,10)</f>
        <v>0</v>
      </c>
      <c r="AL53" s="10">
        <f>IF(OR(AL22&gt;0.25,AL19+AL68+AL23&lt;=10),AL19+AL68+AL23,10)</f>
        <v>0</v>
      </c>
      <c r="AM53" s="99">
        <f>IF(OR(AM22&gt;0.25,AM19+AM68+AM23&lt;=10),AM19+AM68+AM23,10)</f>
        <v>0</v>
      </c>
      <c r="AN53" s="10">
        <f>IF(OR(AN22&gt;0.25,AN19+AN68+AN23&lt;=10),AN19+AN68+AN23,10)</f>
        <v>0</v>
      </c>
      <c r="AO53" s="99">
        <f>IF(OR(AO22&gt;0.25,AO19+AO68+AO23&lt;=10),AO19+AO68+AO23,10)</f>
        <v>0</v>
      </c>
      <c r="AP53" s="10">
        <f>IF(OR(AP22&gt;0.25,AP19+AP68+AP23&lt;=10),AP19+AP68+AP23,10)</f>
        <v>0</v>
      </c>
      <c r="AQ53" s="99">
        <f>IF(OR(AQ22&gt;0.25,AQ19+AQ68+AQ23&lt;=10),AQ19+AQ68+AQ23,10)</f>
        <v>0</v>
      </c>
      <c r="AR53" s="10">
        <f>IF(OR(AR22&gt;0.25,AR19+AR68+AR23&lt;=10),AR19+AR68+AR23,10)</f>
        <v>0</v>
      </c>
      <c r="AS53" s="99">
        <f>IF(OR(AS22&gt;0.25,AS19+AS68+AS23&lt;=10),AS19+AS68+AS23,10)</f>
        <v>0</v>
      </c>
      <c r="AT53" s="51"/>
      <c r="AU53" s="56"/>
    </row>
    <row r="54" spans="2:47" ht="14.25" x14ac:dyDescent="0.25">
      <c r="B54" s="55"/>
      <c r="C54" s="109" t="s">
        <v>103</v>
      </c>
      <c r="D54" s="110" t="s">
        <v>39</v>
      </c>
      <c r="E54" s="125">
        <f>IF(E31="No",-1.2276*LN(E52+(0.5*E53)+(50*E22)+(E18*E51)+(E48*E49)),-1.2276*LN(E52+(0.5*(E53-E19))+(50*E22)+(E18*E51)+(0.75*E48*E49)))</f>
        <v>-3.8221513935866556</v>
      </c>
      <c r="F54" s="15">
        <f>IF(F31="No",-1.2276*LN(F52+(0.5*F53)+(50*F22)+(F18*F51)+(F48*F49)),-1.2276*LN(F52+(0.5*(F53-F19))+(50*F22)+(F18*F51)+(0.75*F48*F49)))</f>
        <v>-5.6446835030223639</v>
      </c>
      <c r="G54" s="38">
        <f t="shared" ref="G54:AS54" si="12">IF(G31="No",-1.2276*LN(G52+(0.5*G53)+(50*G22)+(G18*G51)+(G48*G49)),-1.2276*LN(G52+(0.5*(G53-G19))+(50*G22)+(G18*G51)+(0.75*G48*G49)))</f>
        <v>-5.6446835030223639</v>
      </c>
      <c r="H54" s="96">
        <f t="shared" si="12"/>
        <v>-3.8221513935866556</v>
      </c>
      <c r="I54" s="98">
        <f t="shared" si="12"/>
        <v>-3.8221513935866556</v>
      </c>
      <c r="J54" s="96">
        <f t="shared" si="12"/>
        <v>-3.8221513935866556</v>
      </c>
      <c r="K54" s="98">
        <f t="shared" si="12"/>
        <v>-3.8221513935866556</v>
      </c>
      <c r="L54" s="96">
        <f t="shared" si="12"/>
        <v>-3.8221513935866556</v>
      </c>
      <c r="M54" s="98">
        <f t="shared" si="12"/>
        <v>-3.8221513935866556</v>
      </c>
      <c r="N54" s="96">
        <f t="shared" si="12"/>
        <v>-3.8221513935866556</v>
      </c>
      <c r="O54" s="98">
        <f t="shared" si="12"/>
        <v>-3.8221513935866556</v>
      </c>
      <c r="P54" s="96">
        <f t="shared" si="12"/>
        <v>-3.8221513935866556</v>
      </c>
      <c r="Q54" s="98">
        <f t="shared" si="12"/>
        <v>-3.8221513935866556</v>
      </c>
      <c r="R54" s="96">
        <f t="shared" si="12"/>
        <v>-3.8221513935866556</v>
      </c>
      <c r="S54" s="98">
        <f t="shared" si="12"/>
        <v>-3.8221513935866556</v>
      </c>
      <c r="T54" s="96">
        <f t="shared" si="12"/>
        <v>-3.8221513935866556</v>
      </c>
      <c r="U54" s="98">
        <f t="shared" si="12"/>
        <v>-3.8221513935866556</v>
      </c>
      <c r="V54" s="96">
        <f t="shared" si="12"/>
        <v>-3.8221513935866556</v>
      </c>
      <c r="W54" s="98">
        <f t="shared" si="12"/>
        <v>-3.8221513935866556</v>
      </c>
      <c r="X54" s="96">
        <f t="shared" si="12"/>
        <v>-3.8221513935866556</v>
      </c>
      <c r="Y54" s="98">
        <f t="shared" si="12"/>
        <v>-3.8221513935866556</v>
      </c>
      <c r="Z54" s="96">
        <f t="shared" si="12"/>
        <v>-3.8221513935866556</v>
      </c>
      <c r="AA54" s="98">
        <f t="shared" si="12"/>
        <v>-3.8221513935866556</v>
      </c>
      <c r="AB54" s="96">
        <f t="shared" si="12"/>
        <v>-3.8221513935866556</v>
      </c>
      <c r="AC54" s="98">
        <f t="shared" si="12"/>
        <v>-3.8221513935866556</v>
      </c>
      <c r="AD54" s="96">
        <f t="shared" si="12"/>
        <v>-3.8221513935866556</v>
      </c>
      <c r="AE54" s="98">
        <f t="shared" si="12"/>
        <v>-3.8221513935866556</v>
      </c>
      <c r="AF54" s="96">
        <f t="shared" si="12"/>
        <v>-3.8221513935866556</v>
      </c>
      <c r="AG54" s="98">
        <f t="shared" si="12"/>
        <v>-3.8221513935866556</v>
      </c>
      <c r="AH54" s="96">
        <f t="shared" si="12"/>
        <v>-3.8221513935866556</v>
      </c>
      <c r="AI54" s="98">
        <f t="shared" si="12"/>
        <v>-3.8221513935866556</v>
      </c>
      <c r="AJ54" s="96">
        <f t="shared" si="12"/>
        <v>-3.8221513935866556</v>
      </c>
      <c r="AK54" s="98">
        <f t="shared" si="12"/>
        <v>-3.8221513935866556</v>
      </c>
      <c r="AL54" s="96">
        <f t="shared" si="12"/>
        <v>-3.8221513935866556</v>
      </c>
      <c r="AM54" s="98">
        <f t="shared" si="12"/>
        <v>-3.8221513935866556</v>
      </c>
      <c r="AN54" s="96">
        <f t="shared" si="12"/>
        <v>-3.8221513935866556</v>
      </c>
      <c r="AO54" s="98">
        <f t="shared" si="12"/>
        <v>-3.8221513935866556</v>
      </c>
      <c r="AP54" s="96">
        <f t="shared" si="12"/>
        <v>-3.8221513935866556</v>
      </c>
      <c r="AQ54" s="98">
        <f t="shared" si="12"/>
        <v>-3.8221513935866556</v>
      </c>
      <c r="AR54" s="96">
        <f t="shared" si="12"/>
        <v>-3.8221513935866556</v>
      </c>
      <c r="AS54" s="98">
        <f t="shared" si="12"/>
        <v>-3.8221513935866556</v>
      </c>
      <c r="AT54" s="51"/>
      <c r="AU54" s="56"/>
    </row>
    <row r="55" spans="2:47" ht="14.25" x14ac:dyDescent="0.25">
      <c r="B55" s="55"/>
      <c r="C55" s="109" t="s">
        <v>490</v>
      </c>
      <c r="D55" s="110" t="s">
        <v>491</v>
      </c>
      <c r="E55" s="125"/>
      <c r="F55" s="169">
        <f>F7</f>
        <v>220</v>
      </c>
      <c r="G55" s="170">
        <f>F7</f>
        <v>220</v>
      </c>
      <c r="H55" s="169"/>
      <c r="I55" s="170"/>
      <c r="J55" s="169"/>
      <c r="K55" s="170"/>
      <c r="L55" s="169"/>
      <c r="M55" s="170"/>
      <c r="N55" s="169"/>
      <c r="O55" s="170"/>
      <c r="P55" s="169"/>
      <c r="Q55" s="170"/>
      <c r="R55" s="169"/>
      <c r="S55" s="170"/>
      <c r="T55" s="169"/>
      <c r="U55" s="170"/>
      <c r="V55" s="169"/>
      <c r="W55" s="170"/>
      <c r="X55" s="169"/>
      <c r="Y55" s="170"/>
      <c r="Z55" s="169"/>
      <c r="AA55" s="170"/>
      <c r="AB55" s="169"/>
      <c r="AC55" s="170"/>
      <c r="AD55" s="169"/>
      <c r="AE55" s="170"/>
      <c r="AF55" s="169"/>
      <c r="AG55" s="170"/>
      <c r="AH55" s="169"/>
      <c r="AI55" s="170"/>
      <c r="AJ55" s="169"/>
      <c r="AK55" s="170"/>
      <c r="AL55" s="169"/>
      <c r="AM55" s="170"/>
      <c r="AN55" s="169"/>
      <c r="AO55" s="170"/>
      <c r="AP55" s="169"/>
      <c r="AQ55" s="170"/>
      <c r="AR55" s="169"/>
      <c r="AS55" s="170"/>
      <c r="AT55" s="51"/>
      <c r="AU55" s="56"/>
    </row>
    <row r="56" spans="2:47" ht="14.25" x14ac:dyDescent="0.25">
      <c r="B56" s="55"/>
      <c r="C56" s="109" t="s">
        <v>493</v>
      </c>
      <c r="D56" s="110"/>
      <c r="E56" s="125"/>
      <c r="F56" s="169">
        <f>0.084*(2*F55/F14) + Intersections!H64</f>
        <v>30.084263157894739</v>
      </c>
      <c r="G56" s="170">
        <f>0.084*(2*G55/G14) + Intersections!I64</f>
        <v>30.084263157894739</v>
      </c>
      <c r="H56" s="169"/>
      <c r="I56" s="170"/>
      <c r="J56" s="169"/>
      <c r="K56" s="170"/>
      <c r="L56" s="169"/>
      <c r="M56" s="170"/>
      <c r="N56" s="169"/>
      <c r="O56" s="170"/>
      <c r="P56" s="169"/>
      <c r="Q56" s="170"/>
      <c r="R56" s="169"/>
      <c r="S56" s="170"/>
      <c r="T56" s="169"/>
      <c r="U56" s="170"/>
      <c r="V56" s="169"/>
      <c r="W56" s="170"/>
      <c r="X56" s="169"/>
      <c r="Y56" s="170"/>
      <c r="Z56" s="169"/>
      <c r="AA56" s="170"/>
      <c r="AB56" s="169"/>
      <c r="AC56" s="170"/>
      <c r="AD56" s="169"/>
      <c r="AE56" s="170"/>
      <c r="AF56" s="169"/>
      <c r="AG56" s="170"/>
      <c r="AH56" s="169"/>
      <c r="AI56" s="170"/>
      <c r="AJ56" s="169"/>
      <c r="AK56" s="170"/>
      <c r="AL56" s="169"/>
      <c r="AM56" s="170"/>
      <c r="AN56" s="169"/>
      <c r="AO56" s="170"/>
      <c r="AP56" s="169"/>
      <c r="AQ56" s="170"/>
      <c r="AR56" s="169"/>
      <c r="AS56" s="170"/>
      <c r="AT56" s="51"/>
      <c r="AU56" s="56"/>
    </row>
    <row r="57" spans="2:47" ht="14.25" x14ac:dyDescent="0.25">
      <c r="B57" s="55"/>
      <c r="C57" s="10" t="s">
        <v>224</v>
      </c>
      <c r="D57" s="11" t="s">
        <v>40</v>
      </c>
      <c r="E57" s="125">
        <f>IF(E11&gt;0,6.0468+E46+E47+E54,0)</f>
        <v>0</v>
      </c>
      <c r="F57" s="15">
        <f>IF(F11&gt;0,6.0468+F46+F47+F54,0)</f>
        <v>2.3060414969776364</v>
      </c>
      <c r="G57" s="98">
        <f>IF(G11&gt;0,6.0468+G46+G47+G54,0)</f>
        <v>2.585866496977637</v>
      </c>
      <c r="H57" s="96">
        <f>IF(H11&gt;0,6.0468+H46+H47+H54,0)</f>
        <v>0</v>
      </c>
      <c r="I57" s="98">
        <f>IF(I11&gt;0,6.0468+I46+I47+I54,0)</f>
        <v>0</v>
      </c>
      <c r="J57" s="96">
        <f>IF(J11&gt;0,6.0468+J46+J47+J54,0)</f>
        <v>0</v>
      </c>
      <c r="K57" s="98">
        <f>IF(K11&gt;0,6.0468+K46+K47+K54,0)</f>
        <v>0</v>
      </c>
      <c r="L57" s="96">
        <f>IF(L11&gt;0,6.0468+L46+L47+L54,0)</f>
        <v>0</v>
      </c>
      <c r="M57" s="98">
        <f>IF(M11&gt;0,6.0468+M46+M47+M54,0)</f>
        <v>0</v>
      </c>
      <c r="N57" s="96">
        <f>IF(N11&gt;0,6.0468+N46+N47+N54,0)</f>
        <v>0</v>
      </c>
      <c r="O57" s="98">
        <f>IF(O11&gt;0,6.0468+O46+O47+O54,0)</f>
        <v>0</v>
      </c>
      <c r="P57" s="96">
        <f>IF(P11&gt;0,6.0468+P46+P47+P54,0)</f>
        <v>0</v>
      </c>
      <c r="Q57" s="98">
        <f>IF(Q11&gt;0,6.0468+Q46+Q47+Q54,0)</f>
        <v>0</v>
      </c>
      <c r="R57" s="96">
        <f>IF(R11&gt;0,6.0468+R46+R47+R54,0)</f>
        <v>0</v>
      </c>
      <c r="S57" s="98">
        <f>IF(S11&gt;0,6.0468+S46+S47+S54,0)</f>
        <v>0</v>
      </c>
      <c r="T57" s="96">
        <f>IF(T11&gt;0,6.0468+T46+T47+T54,0)</f>
        <v>0</v>
      </c>
      <c r="U57" s="98">
        <f>IF(U11&gt;0,6.0468+U46+U47+U54,0)</f>
        <v>0</v>
      </c>
      <c r="V57" s="96">
        <f>IF(V11&gt;0,6.0468+V46+V47+V54,0)</f>
        <v>0</v>
      </c>
      <c r="W57" s="98">
        <f>IF(W11&gt;0,6.0468+W46+W47+W54,0)</f>
        <v>0</v>
      </c>
      <c r="X57" s="96">
        <f>IF(X11&gt;0,6.0468+X46+X47+X54,0)</f>
        <v>0</v>
      </c>
      <c r="Y57" s="98">
        <f>IF(Y11&gt;0,6.0468+Y46+Y47+Y54,0)</f>
        <v>0</v>
      </c>
      <c r="Z57" s="96">
        <f>IF(Z11&gt;0,6.0468+Z46+Z47+Z54,0)</f>
        <v>0</v>
      </c>
      <c r="AA57" s="98">
        <f>IF(AA11&gt;0,6.0468+AA46+AA47+AA54,0)</f>
        <v>0</v>
      </c>
      <c r="AB57" s="96">
        <f>IF(AB11&gt;0,6.0468+AB46+AB47+AB54,0)</f>
        <v>0</v>
      </c>
      <c r="AC57" s="98">
        <f>IF(AC11&gt;0,6.0468+AC46+AC47+AC54,0)</f>
        <v>0</v>
      </c>
      <c r="AD57" s="96">
        <f>IF(AD11&gt;0,6.0468+AD46+AD47+AD54,0)</f>
        <v>0</v>
      </c>
      <c r="AE57" s="98">
        <f>IF(AE11&gt;0,6.0468+AE46+AE47+AE54,0)</f>
        <v>0</v>
      </c>
      <c r="AF57" s="96">
        <f>IF(AF11&gt;0,6.0468+AF46+AF47+AF54,0)</f>
        <v>0</v>
      </c>
      <c r="AG57" s="98">
        <f>IF(AG11&gt;0,6.0468+AG46+AG47+AG54,0)</f>
        <v>0</v>
      </c>
      <c r="AH57" s="96">
        <f>IF(AH11&gt;0,6.0468+AH46+AH47+AH54,0)</f>
        <v>0</v>
      </c>
      <c r="AI57" s="98">
        <f>IF(AI11&gt;0,6.0468+AI46+AI47+AI54,0)</f>
        <v>0</v>
      </c>
      <c r="AJ57" s="96">
        <f>IF(AJ11&gt;0,6.0468+AJ46+AJ47+AJ54,0)</f>
        <v>0</v>
      </c>
      <c r="AK57" s="98">
        <f>IF(AK11&gt;0,6.0468+AK46+AK47+AK54,0)</f>
        <v>0</v>
      </c>
      <c r="AL57" s="96">
        <f>IF(AL11&gt;0,6.0468+AL46+AL47+AL54,0)</f>
        <v>0</v>
      </c>
      <c r="AM57" s="98">
        <f>IF(AM11&gt;0,6.0468+AM46+AM47+AM54,0)</f>
        <v>0</v>
      </c>
      <c r="AN57" s="96">
        <f>IF(AN11&gt;0,6.0468+AN46+AN47+AN54,0)</f>
        <v>0</v>
      </c>
      <c r="AO57" s="98">
        <f>IF(AO11&gt;0,6.0468+AO46+AO47+AO54,0)</f>
        <v>0</v>
      </c>
      <c r="AP57" s="96">
        <f>IF(AP11&gt;0,6.0468+AP46+AP47+AP54,0)</f>
        <v>0</v>
      </c>
      <c r="AQ57" s="98">
        <f>IF(AQ11&gt;0,6.0468+AQ46+AQ47+AQ54,0)</f>
        <v>0</v>
      </c>
      <c r="AR57" s="96">
        <f>IF(AR11&gt;0,6.0468+AR46+AR47+AR54,0)</f>
        <v>0</v>
      </c>
      <c r="AS57" s="98">
        <f>IF(AS11&gt;0,6.0468+AS46+AS47+AS54,0)</f>
        <v>0</v>
      </c>
      <c r="AT57" s="51"/>
      <c r="AU57" s="56"/>
    </row>
    <row r="58" spans="2:47" ht="13.5" x14ac:dyDescent="0.25">
      <c r="B58" s="55"/>
      <c r="C58" s="10"/>
      <c r="D58" s="11" t="s">
        <v>41</v>
      </c>
      <c r="E58" s="124" t="str">
        <f>IF(E57&lt;=2,"A",IF(E57&lt;=2.75,"B",IF(E57&lt;=3.5,"C",IF(E57&lt;=4.25,"D",IF(E57&lt;=5,"E","F")))))</f>
        <v>A</v>
      </c>
      <c r="F58" s="10" t="str">
        <f>IF(F57&lt;=2,"A",IF(F57&lt;=2.75,"B",IF(F57&lt;=3.5,"C",IF(F57&lt;=4.25,"D",IF(F57&lt;=5,"E","F")))))</f>
        <v>B</v>
      </c>
      <c r="G58" s="12" t="str">
        <f>IF(G57&lt;=2,"A",IF(G57&lt;=2.75,"B",IF(G57&lt;=3.5,"C",IF(G57&lt;=4.25,"D",IF(G57&lt;=5,"E","F")))))</f>
        <v>B</v>
      </c>
      <c r="H58" s="10" t="str">
        <f>IF(H57&lt;=2,"A",IF(H57&lt;=2.75,"B",IF(H57&lt;=3.5,"C",IF(H57&lt;=4.25,"D",IF(H57&lt;=5,"E","F")))))</f>
        <v>A</v>
      </c>
      <c r="I58" s="99" t="str">
        <f>IF(I57&lt;=2,"A",IF(I57&lt;=2.75,"B",IF(I57&lt;=3.5,"C",IF(I57&lt;=4.25,"D",IF(I57&lt;=5,"E","F")))))</f>
        <v>A</v>
      </c>
      <c r="J58" s="10" t="str">
        <f>IF(J57&lt;=2,"A",IF(J57&lt;=2.75,"B",IF(J57&lt;=3.5,"C",IF(J57&lt;=4.25,"D",IF(J57&lt;=5,"E","F")))))</f>
        <v>A</v>
      </c>
      <c r="K58" s="99" t="str">
        <f>IF(K57&lt;=2,"A",IF(K57&lt;=2.75,"B",IF(K57&lt;=3.5,"C",IF(K57&lt;=4.25,"D",IF(K57&lt;=5,"E","F")))))</f>
        <v>A</v>
      </c>
      <c r="L58" s="10" t="str">
        <f>IF(L57&lt;=2,"A",IF(L57&lt;=2.75,"B",IF(L57&lt;=3.5,"C",IF(L57&lt;=4.25,"D",IF(L57&lt;=5,"E","F")))))</f>
        <v>A</v>
      </c>
      <c r="M58" s="99" t="str">
        <f>IF(M57&lt;=2,"A",IF(M57&lt;=2.75,"B",IF(M57&lt;=3.5,"C",IF(M57&lt;=4.25,"D",IF(M57&lt;=5,"E","F")))))</f>
        <v>A</v>
      </c>
      <c r="N58" s="10" t="str">
        <f>IF(N57&lt;=2,"A",IF(N57&lt;=2.75,"B",IF(N57&lt;=3.5,"C",IF(N57&lt;=4.25,"D",IF(N57&lt;=5,"E","F")))))</f>
        <v>A</v>
      </c>
      <c r="O58" s="99" t="str">
        <f>IF(O57&lt;=2,"A",IF(O57&lt;=2.75,"B",IF(O57&lt;=3.5,"C",IF(O57&lt;=4.25,"D",IF(O57&lt;=5,"E","F")))))</f>
        <v>A</v>
      </c>
      <c r="P58" s="10" t="str">
        <f>IF(P57&lt;=2,"A",IF(P57&lt;=2.75,"B",IF(P57&lt;=3.5,"C",IF(P57&lt;=4.25,"D",IF(P57&lt;=5,"E","F")))))</f>
        <v>A</v>
      </c>
      <c r="Q58" s="99" t="str">
        <f>IF(Q57&lt;=2,"A",IF(Q57&lt;=2.75,"B",IF(Q57&lt;=3.5,"C",IF(Q57&lt;=4.25,"D",IF(Q57&lt;=5,"E","F")))))</f>
        <v>A</v>
      </c>
      <c r="R58" s="10" t="str">
        <f>IF(R57&lt;=2,"A",IF(R57&lt;=2.75,"B",IF(R57&lt;=3.5,"C",IF(R57&lt;=4.25,"D",IF(R57&lt;=5,"E","F")))))</f>
        <v>A</v>
      </c>
      <c r="S58" s="99" t="str">
        <f>IF(S57&lt;=2,"A",IF(S57&lt;=2.75,"B",IF(S57&lt;=3.5,"C",IF(S57&lt;=4.25,"D",IF(S57&lt;=5,"E","F")))))</f>
        <v>A</v>
      </c>
      <c r="T58" s="10" t="str">
        <f>IF(T57&lt;=2,"A",IF(T57&lt;=2.75,"B",IF(T57&lt;=3.5,"C",IF(T57&lt;=4.25,"D",IF(T57&lt;=5,"E","F")))))</f>
        <v>A</v>
      </c>
      <c r="U58" s="99" t="str">
        <f>IF(U57&lt;=2,"A",IF(U57&lt;=2.75,"B",IF(U57&lt;=3.5,"C",IF(U57&lt;=4.25,"D",IF(U57&lt;=5,"E","F")))))</f>
        <v>A</v>
      </c>
      <c r="V58" s="10" t="str">
        <f>IF(V57&lt;=2,"A",IF(V57&lt;=2.75,"B",IF(V57&lt;=3.5,"C",IF(V57&lt;=4.25,"D",IF(V57&lt;=5,"E","F")))))</f>
        <v>A</v>
      </c>
      <c r="W58" s="99" t="str">
        <f>IF(W57&lt;=2,"A",IF(W57&lt;=2.75,"B",IF(W57&lt;=3.5,"C",IF(W57&lt;=4.25,"D",IF(W57&lt;=5,"E","F")))))</f>
        <v>A</v>
      </c>
      <c r="X58" s="10" t="str">
        <f>IF(X57&lt;=2,"A",IF(X57&lt;=2.75,"B",IF(X57&lt;=3.5,"C",IF(X57&lt;=4.25,"D",IF(X57&lt;=5,"E","F")))))</f>
        <v>A</v>
      </c>
      <c r="Y58" s="99" t="str">
        <f>IF(Y57&lt;=2,"A",IF(Y57&lt;=2.75,"B",IF(Y57&lt;=3.5,"C",IF(Y57&lt;=4.25,"D",IF(Y57&lt;=5,"E","F")))))</f>
        <v>A</v>
      </c>
      <c r="Z58" s="10" t="str">
        <f>IF(Z57&lt;=2,"A",IF(Z57&lt;=2.75,"B",IF(Z57&lt;=3.5,"C",IF(Z57&lt;=4.25,"D",IF(Z57&lt;=5,"E","F")))))</f>
        <v>A</v>
      </c>
      <c r="AA58" s="99" t="str">
        <f>IF(AA57&lt;=2,"A",IF(AA57&lt;=2.75,"B",IF(AA57&lt;=3.5,"C",IF(AA57&lt;=4.25,"D",IF(AA57&lt;=5,"E","F")))))</f>
        <v>A</v>
      </c>
      <c r="AB58" s="10" t="str">
        <f>IF(AB57&lt;=2,"A",IF(AB57&lt;=2.75,"B",IF(AB57&lt;=3.5,"C",IF(AB57&lt;=4.25,"D",IF(AB57&lt;=5,"E","F")))))</f>
        <v>A</v>
      </c>
      <c r="AC58" s="99" t="str">
        <f>IF(AC57&lt;=2,"A",IF(AC57&lt;=2.75,"B",IF(AC57&lt;=3.5,"C",IF(AC57&lt;=4.25,"D",IF(AC57&lt;=5,"E","F")))))</f>
        <v>A</v>
      </c>
      <c r="AD58" s="10" t="str">
        <f>IF(AD57&lt;=2,"A",IF(AD57&lt;=2.75,"B",IF(AD57&lt;=3.5,"C",IF(AD57&lt;=4.25,"D",IF(AD57&lt;=5,"E","F")))))</f>
        <v>A</v>
      </c>
      <c r="AE58" s="99" t="str">
        <f>IF(AE57&lt;=2,"A",IF(AE57&lt;=2.75,"B",IF(AE57&lt;=3.5,"C",IF(AE57&lt;=4.25,"D",IF(AE57&lt;=5,"E","F")))))</f>
        <v>A</v>
      </c>
      <c r="AF58" s="10" t="str">
        <f>IF(AF57&lt;=2,"A",IF(AF57&lt;=2.75,"B",IF(AF57&lt;=3.5,"C",IF(AF57&lt;=4.25,"D",IF(AF57&lt;=5,"E","F")))))</f>
        <v>A</v>
      </c>
      <c r="AG58" s="99" t="str">
        <f>IF(AG57&lt;=2,"A",IF(AG57&lt;=2.75,"B",IF(AG57&lt;=3.5,"C",IF(AG57&lt;=4.25,"D",IF(AG57&lt;=5,"E","F")))))</f>
        <v>A</v>
      </c>
      <c r="AH58" s="10" t="str">
        <f>IF(AH57&lt;=2,"A",IF(AH57&lt;=2.75,"B",IF(AH57&lt;=3.5,"C",IF(AH57&lt;=4.25,"D",IF(AH57&lt;=5,"E","F")))))</f>
        <v>A</v>
      </c>
      <c r="AI58" s="99" t="str">
        <f>IF(AI57&lt;=2,"A",IF(AI57&lt;=2.75,"B",IF(AI57&lt;=3.5,"C",IF(AI57&lt;=4.25,"D",IF(AI57&lt;=5,"E","F")))))</f>
        <v>A</v>
      </c>
      <c r="AJ58" s="10" t="str">
        <f>IF(AJ57&lt;=2,"A",IF(AJ57&lt;=2.75,"B",IF(AJ57&lt;=3.5,"C",IF(AJ57&lt;=4.25,"D",IF(AJ57&lt;=5,"E","F")))))</f>
        <v>A</v>
      </c>
      <c r="AK58" s="99" t="str">
        <f>IF(AK57&lt;=2,"A",IF(AK57&lt;=2.75,"B",IF(AK57&lt;=3.5,"C",IF(AK57&lt;=4.25,"D",IF(AK57&lt;=5,"E","F")))))</f>
        <v>A</v>
      </c>
      <c r="AL58" s="10" t="str">
        <f>IF(AL57&lt;=2,"A",IF(AL57&lt;=2.75,"B",IF(AL57&lt;=3.5,"C",IF(AL57&lt;=4.25,"D",IF(AL57&lt;=5,"E","F")))))</f>
        <v>A</v>
      </c>
      <c r="AM58" s="99" t="str">
        <f>IF(AM57&lt;=2,"A",IF(AM57&lt;=2.75,"B",IF(AM57&lt;=3.5,"C",IF(AM57&lt;=4.25,"D",IF(AM57&lt;=5,"E","F")))))</f>
        <v>A</v>
      </c>
      <c r="AN58" s="10" t="str">
        <f>IF(AN57&lt;=2,"A",IF(AN57&lt;=2.75,"B",IF(AN57&lt;=3.5,"C",IF(AN57&lt;=4.25,"D",IF(AN57&lt;=5,"E","F")))))</f>
        <v>A</v>
      </c>
      <c r="AO58" s="99" t="str">
        <f>IF(AO57&lt;=2,"A",IF(AO57&lt;=2.75,"B",IF(AO57&lt;=3.5,"C",IF(AO57&lt;=4.25,"D",IF(AO57&lt;=5,"E","F")))))</f>
        <v>A</v>
      </c>
      <c r="AP58" s="10" t="str">
        <f>IF(AP57&lt;=2,"A",IF(AP57&lt;=2.75,"B",IF(AP57&lt;=3.5,"C",IF(AP57&lt;=4.25,"D",IF(AP57&lt;=5,"E","F")))))</f>
        <v>A</v>
      </c>
      <c r="AQ58" s="99" t="str">
        <f>IF(AQ57&lt;=2,"A",IF(AQ57&lt;=2.75,"B",IF(AQ57&lt;=3.5,"C",IF(AQ57&lt;=4.25,"D",IF(AQ57&lt;=5,"E","F")))))</f>
        <v>A</v>
      </c>
      <c r="AR58" s="10" t="str">
        <f>IF(AR57&lt;=2,"A",IF(AR57&lt;=2.75,"B",IF(AR57&lt;=3.5,"C",IF(AR57&lt;=4.25,"D",IF(AR57&lt;=5,"E","F")))))</f>
        <v>A</v>
      </c>
      <c r="AS58" s="99" t="str">
        <f>IF(AS57&lt;=2,"A",IF(AS57&lt;=2.75,"B",IF(AS57&lt;=3.5,"C",IF(AS57&lt;=4.25,"D",IF(AS57&lt;=5,"E","F")))))</f>
        <v>A</v>
      </c>
      <c r="AT58" s="51"/>
      <c r="AU58" s="56"/>
    </row>
    <row r="59" spans="2:47" ht="15.75" x14ac:dyDescent="0.25">
      <c r="B59" s="55"/>
      <c r="C59" s="4"/>
      <c r="D59" s="8" t="s">
        <v>205</v>
      </c>
      <c r="E59" s="116"/>
      <c r="F59" s="4"/>
      <c r="G59" s="5"/>
      <c r="H59" s="4"/>
      <c r="I59" s="5"/>
      <c r="J59" s="4"/>
      <c r="K59" s="5"/>
      <c r="L59" s="4"/>
      <c r="M59" s="5"/>
      <c r="N59" s="4"/>
      <c r="O59" s="5"/>
      <c r="P59" s="4"/>
      <c r="Q59" s="5"/>
      <c r="R59" s="4"/>
      <c r="S59" s="5"/>
      <c r="T59" s="4"/>
      <c r="U59" s="5"/>
      <c r="V59" s="4"/>
      <c r="W59" s="5"/>
      <c r="X59" s="4"/>
      <c r="Y59" s="5"/>
      <c r="Z59" s="4"/>
      <c r="AA59" s="5"/>
      <c r="AB59" s="4"/>
      <c r="AC59" s="5"/>
      <c r="AD59" s="4"/>
      <c r="AE59" s="5"/>
      <c r="AF59" s="4"/>
      <c r="AG59" s="5"/>
      <c r="AH59" s="4"/>
      <c r="AI59" s="5"/>
      <c r="AJ59" s="4"/>
      <c r="AK59" s="5"/>
      <c r="AL59" s="4"/>
      <c r="AM59" s="5"/>
      <c r="AN59" s="4"/>
      <c r="AO59" s="5"/>
      <c r="AP59" s="4"/>
      <c r="AQ59" s="5"/>
      <c r="AR59" s="4"/>
      <c r="AS59" s="5"/>
      <c r="AT59" s="51"/>
      <c r="AU59" s="56"/>
    </row>
    <row r="60" spans="2:47" ht="14.25" x14ac:dyDescent="0.25">
      <c r="B60" s="55"/>
      <c r="C60" s="10" t="s">
        <v>100</v>
      </c>
      <c r="D60" s="11" t="s">
        <v>99</v>
      </c>
      <c r="E60" s="125" t="e">
        <f>7.066/E24^2</f>
        <v>#DIV/0!</v>
      </c>
      <c r="F60" s="15">
        <f>7.066/F24^2</f>
        <v>0.57681632653061221</v>
      </c>
      <c r="G60" s="43">
        <f>7.066/G24^2</f>
        <v>0.57681632653061221</v>
      </c>
      <c r="H60" s="96" t="e">
        <f>7.066/H24^2</f>
        <v>#DIV/0!</v>
      </c>
      <c r="I60" s="97" t="e">
        <f>7.066/I24^2</f>
        <v>#DIV/0!</v>
      </c>
      <c r="J60" s="96" t="e">
        <f>7.066/J24^2</f>
        <v>#DIV/0!</v>
      </c>
      <c r="K60" s="97" t="e">
        <f>7.066/K24^2</f>
        <v>#DIV/0!</v>
      </c>
      <c r="L60" s="96" t="e">
        <f>7.066/L24^2</f>
        <v>#DIV/0!</v>
      </c>
      <c r="M60" s="97" t="e">
        <f>7.066/M24^2</f>
        <v>#DIV/0!</v>
      </c>
      <c r="N60" s="96" t="e">
        <f>7.066/N24^2</f>
        <v>#DIV/0!</v>
      </c>
      <c r="O60" s="97" t="e">
        <f>7.066/O24^2</f>
        <v>#DIV/0!</v>
      </c>
      <c r="P60" s="96" t="e">
        <f>7.066/P24^2</f>
        <v>#DIV/0!</v>
      </c>
      <c r="Q60" s="97" t="e">
        <f>7.066/Q24^2</f>
        <v>#DIV/0!</v>
      </c>
      <c r="R60" s="96" t="e">
        <f>7.066/R24^2</f>
        <v>#DIV/0!</v>
      </c>
      <c r="S60" s="97" t="e">
        <f>7.066/S24^2</f>
        <v>#DIV/0!</v>
      </c>
      <c r="T60" s="96" t="e">
        <f>7.066/T24^2</f>
        <v>#DIV/0!</v>
      </c>
      <c r="U60" s="97" t="e">
        <f>7.066/U24^2</f>
        <v>#DIV/0!</v>
      </c>
      <c r="V60" s="96" t="e">
        <f>7.066/V24^2</f>
        <v>#DIV/0!</v>
      </c>
      <c r="W60" s="97" t="e">
        <f>7.066/W24^2</f>
        <v>#DIV/0!</v>
      </c>
      <c r="X60" s="96" t="e">
        <f>7.066/X24^2</f>
        <v>#DIV/0!</v>
      </c>
      <c r="Y60" s="97" t="e">
        <f>7.066/Y24^2</f>
        <v>#DIV/0!</v>
      </c>
      <c r="Z60" s="96" t="e">
        <f>7.066/Z24^2</f>
        <v>#DIV/0!</v>
      </c>
      <c r="AA60" s="97" t="e">
        <f>7.066/AA24^2</f>
        <v>#DIV/0!</v>
      </c>
      <c r="AB60" s="96" t="e">
        <f>7.066/AB24^2</f>
        <v>#DIV/0!</v>
      </c>
      <c r="AC60" s="97" t="e">
        <f>7.066/AC24^2</f>
        <v>#DIV/0!</v>
      </c>
      <c r="AD60" s="96" t="e">
        <f>7.066/AD24^2</f>
        <v>#DIV/0!</v>
      </c>
      <c r="AE60" s="97" t="e">
        <f>7.066/AE24^2</f>
        <v>#DIV/0!</v>
      </c>
      <c r="AF60" s="96" t="e">
        <f>7.066/AF24^2</f>
        <v>#DIV/0!</v>
      </c>
      <c r="AG60" s="97" t="e">
        <f>7.066/AG24^2</f>
        <v>#DIV/0!</v>
      </c>
      <c r="AH60" s="96" t="e">
        <f>7.066/AH24^2</f>
        <v>#DIV/0!</v>
      </c>
      <c r="AI60" s="97" t="e">
        <f>7.066/AI24^2</f>
        <v>#DIV/0!</v>
      </c>
      <c r="AJ60" s="96" t="e">
        <f>7.066/AJ24^2</f>
        <v>#DIV/0!</v>
      </c>
      <c r="AK60" s="97" t="e">
        <f>7.066/AK24^2</f>
        <v>#DIV/0!</v>
      </c>
      <c r="AL60" s="96" t="e">
        <f>7.066/AL24^2</f>
        <v>#DIV/0!</v>
      </c>
      <c r="AM60" s="97" t="e">
        <f>7.066/AM24^2</f>
        <v>#DIV/0!</v>
      </c>
      <c r="AN60" s="96" t="e">
        <f>7.066/AN24^2</f>
        <v>#DIV/0!</v>
      </c>
      <c r="AO60" s="97" t="e">
        <f>7.066/AO24^2</f>
        <v>#DIV/0!</v>
      </c>
      <c r="AP60" s="96" t="e">
        <f>7.066/AP24^2</f>
        <v>#DIV/0!</v>
      </c>
      <c r="AQ60" s="97" t="e">
        <f>7.066/AQ24^2</f>
        <v>#DIV/0!</v>
      </c>
      <c r="AR60" s="96" t="e">
        <f>7.066/AR24^2</f>
        <v>#DIV/0!</v>
      </c>
      <c r="AS60" s="97" t="e">
        <f>7.066/AS24^2</f>
        <v>#DIV/0!</v>
      </c>
      <c r="AT60" s="51"/>
      <c r="AU60" s="56"/>
    </row>
    <row r="61" spans="2:47" ht="14.25" x14ac:dyDescent="0.25">
      <c r="B61" s="55"/>
      <c r="C61" s="10" t="s">
        <v>447</v>
      </c>
      <c r="D61" s="11" t="s">
        <v>448</v>
      </c>
      <c r="E61" s="125" t="e">
        <f>0.035*((5280*E10/E7)-20)</f>
        <v>#DIV/0!</v>
      </c>
      <c r="F61" s="169">
        <f>0.035*((5280*F10/F7)-20)</f>
        <v>-0.70000000000000007</v>
      </c>
      <c r="G61" s="172">
        <f>0.035*((5280*G10/F7)-20)</f>
        <v>-0.70000000000000007</v>
      </c>
      <c r="H61" s="169" t="e">
        <f>0.035*((5280*H10/H7)-20)</f>
        <v>#DIV/0!</v>
      </c>
      <c r="I61" s="172" t="e">
        <f>0.035*((5280*I10/H7)-20)</f>
        <v>#DIV/0!</v>
      </c>
      <c r="J61" s="169" t="e">
        <f>0.035*((5280*J10/J7)-20)</f>
        <v>#DIV/0!</v>
      </c>
      <c r="K61" s="172" t="e">
        <f>0.035*((5280*K10/J7)-20)</f>
        <v>#DIV/0!</v>
      </c>
      <c r="L61" s="169" t="e">
        <f>0.035*((5280*L10/L7)-20)</f>
        <v>#DIV/0!</v>
      </c>
      <c r="M61" s="172" t="e">
        <f>0.035*((5280*M10/L7)-20)</f>
        <v>#DIV/0!</v>
      </c>
      <c r="N61" s="169" t="e">
        <f>0.035*((5280*N10/N7)-20)</f>
        <v>#DIV/0!</v>
      </c>
      <c r="O61" s="172" t="e">
        <f>0.035*((5280*O10/N7)-20)</f>
        <v>#DIV/0!</v>
      </c>
      <c r="P61" s="169" t="e">
        <f>0.035*((5280*P10/P7)-20)</f>
        <v>#DIV/0!</v>
      </c>
      <c r="Q61" s="172" t="e">
        <f>0.035*((5280*Q10/P7)-20)</f>
        <v>#DIV/0!</v>
      </c>
      <c r="R61" s="169" t="e">
        <f>0.035*((5280*R10/R7)-20)</f>
        <v>#DIV/0!</v>
      </c>
      <c r="S61" s="172" t="e">
        <f>0.035*((5280*S10/R7)-20)</f>
        <v>#DIV/0!</v>
      </c>
      <c r="T61" s="169" t="e">
        <f>0.035*((5280*T10/T7)-20)</f>
        <v>#DIV/0!</v>
      </c>
      <c r="U61" s="172" t="e">
        <f>0.035*((5280*U10/T7)-20)</f>
        <v>#DIV/0!</v>
      </c>
      <c r="V61" s="169" t="e">
        <f>0.035*((5280*V10/V7)-20)</f>
        <v>#DIV/0!</v>
      </c>
      <c r="W61" s="172" t="e">
        <f>0.035*((5280*W10/V7)-20)</f>
        <v>#DIV/0!</v>
      </c>
      <c r="X61" s="169" t="e">
        <f>0.035*((5280*X10/X7)-20)</f>
        <v>#DIV/0!</v>
      </c>
      <c r="Y61" s="172" t="e">
        <f>0.035*((5280*Y10/X7)-20)</f>
        <v>#DIV/0!</v>
      </c>
      <c r="Z61" s="169" t="e">
        <f>0.035*((5280*Z10/Z7)-20)</f>
        <v>#DIV/0!</v>
      </c>
      <c r="AA61" s="172" t="e">
        <f>0.035*((5280*AA10/Z7)-20)</f>
        <v>#DIV/0!</v>
      </c>
      <c r="AB61" s="169" t="e">
        <f>0.035*((5280*AB10/AB7)-20)</f>
        <v>#DIV/0!</v>
      </c>
      <c r="AC61" s="172" t="e">
        <f>0.035*((5280*AC10/AB7)-20)</f>
        <v>#DIV/0!</v>
      </c>
      <c r="AD61" s="169" t="e">
        <f>0.035*((5280*AD10/AD7)-20)</f>
        <v>#DIV/0!</v>
      </c>
      <c r="AE61" s="172" t="e">
        <f>0.035*((5280*AE10/AD7)-20)</f>
        <v>#DIV/0!</v>
      </c>
      <c r="AF61" s="169" t="e">
        <f>0.035*((5280*AF10/AF7)-20)</f>
        <v>#DIV/0!</v>
      </c>
      <c r="AG61" s="172" t="e">
        <f>0.035*((5280*AG10/AF7)-20)</f>
        <v>#DIV/0!</v>
      </c>
      <c r="AH61" s="169" t="e">
        <f>0.035*((5280*AH10/AH7)-20)</f>
        <v>#DIV/0!</v>
      </c>
      <c r="AI61" s="172" t="e">
        <f>0.035*((5280*AI10/AH7)-20)</f>
        <v>#DIV/0!</v>
      </c>
      <c r="AJ61" s="169" t="e">
        <f>0.035*((5280*AJ10/AJ7)-20)</f>
        <v>#DIV/0!</v>
      </c>
      <c r="AK61" s="172" t="e">
        <f>0.035*((5280*AK10/AJ7)-20)</f>
        <v>#DIV/0!</v>
      </c>
      <c r="AL61" s="169" t="e">
        <f>0.035*((5280*AL10/AL7)-20)</f>
        <v>#DIV/0!</v>
      </c>
      <c r="AM61" s="172" t="e">
        <f>0.035*((5280*AM10/AL7)-20)</f>
        <v>#DIV/0!</v>
      </c>
      <c r="AN61" s="169" t="e">
        <f>0.035*((5280*AN10/AN7)-20)</f>
        <v>#DIV/0!</v>
      </c>
      <c r="AO61" s="172" t="e">
        <f>0.035*((5280*AO10/AN7)-20)</f>
        <v>#DIV/0!</v>
      </c>
      <c r="AP61" s="169" t="e">
        <f>0.035*((5280*AP10/AP7)-20)</f>
        <v>#DIV/0!</v>
      </c>
      <c r="AQ61" s="172" t="e">
        <f>0.035*((5280*AQ10/AP7)-20)</f>
        <v>#DIV/0!</v>
      </c>
      <c r="AR61" s="169" t="e">
        <f>0.035*((5280*AR10/AR7)-20)</f>
        <v>#DIV/0!</v>
      </c>
      <c r="AS61" s="172" t="e">
        <f>0.035*((5280*AS10/AR7)-20)</f>
        <v>#DIV/0!</v>
      </c>
      <c r="AT61" s="51"/>
      <c r="AU61" s="56"/>
    </row>
    <row r="62" spans="2:47" ht="14.25" x14ac:dyDescent="0.25">
      <c r="B62" s="55"/>
      <c r="C62" s="10" t="s">
        <v>449</v>
      </c>
      <c r="D62" s="11" t="s">
        <v>450</v>
      </c>
      <c r="E62" s="125" t="e">
        <f>(3600*E7)/(5280*E15)</f>
        <v>#DIV/0!</v>
      </c>
      <c r="F62" s="169">
        <f>(3600*F7)/(5280*F15)</f>
        <v>15</v>
      </c>
      <c r="G62" s="172">
        <f>(3600*F7)/(5280*G15)</f>
        <v>15</v>
      </c>
      <c r="H62" s="169" t="e">
        <f>(3600*H7)/(5280*H15)</f>
        <v>#DIV/0!</v>
      </c>
      <c r="I62" s="172" t="e">
        <f>(3600*H7)/(5280*I15)</f>
        <v>#DIV/0!</v>
      </c>
      <c r="J62" s="169" t="e">
        <f>(3600*J7)/(5280*J15)</f>
        <v>#DIV/0!</v>
      </c>
      <c r="K62" s="172" t="e">
        <f>(3600*J7)/(5280*K15)</f>
        <v>#DIV/0!</v>
      </c>
      <c r="L62" s="169" t="e">
        <f>(3600*L7)/(5280*L15)</f>
        <v>#DIV/0!</v>
      </c>
      <c r="M62" s="172" t="e">
        <f>(3600*L7)/(5280*M15)</f>
        <v>#DIV/0!</v>
      </c>
      <c r="N62" s="169" t="e">
        <f>(3600*N7)/(5280*N15)</f>
        <v>#DIV/0!</v>
      </c>
      <c r="O62" s="172" t="e">
        <f>(3600*N7)/(5280*O15)</f>
        <v>#DIV/0!</v>
      </c>
      <c r="P62" s="169" t="e">
        <f>(3600*P7)/(5280*P15)</f>
        <v>#DIV/0!</v>
      </c>
      <c r="Q62" s="172" t="e">
        <f>(3600*P7)/(5280*Q15)</f>
        <v>#DIV/0!</v>
      </c>
      <c r="R62" s="169" t="e">
        <f>(3600*R7)/(5280*R15)</f>
        <v>#DIV/0!</v>
      </c>
      <c r="S62" s="172" t="e">
        <f>(3600*R7)/(5280*S15)</f>
        <v>#DIV/0!</v>
      </c>
      <c r="T62" s="169" t="e">
        <f>(3600*T7)/(5280*T15)</f>
        <v>#DIV/0!</v>
      </c>
      <c r="U62" s="172" t="e">
        <f>(3600*T7)/(5280*U15)</f>
        <v>#DIV/0!</v>
      </c>
      <c r="V62" s="169" t="e">
        <f>(3600*V7)/(5280*V15)</f>
        <v>#DIV/0!</v>
      </c>
      <c r="W62" s="172" t="e">
        <f>(3600*V7)/(5280*W15)</f>
        <v>#DIV/0!</v>
      </c>
      <c r="X62" s="169" t="e">
        <f>(3600*X7)/(5280*X15)</f>
        <v>#DIV/0!</v>
      </c>
      <c r="Y62" s="172" t="e">
        <f>(3600*X7)/(5280*Y15)</f>
        <v>#DIV/0!</v>
      </c>
      <c r="Z62" s="169" t="e">
        <f>(3600*Z7)/(5280*Z15)</f>
        <v>#DIV/0!</v>
      </c>
      <c r="AA62" s="172" t="e">
        <f>(3600*Z7)/(5280*AA15)</f>
        <v>#DIV/0!</v>
      </c>
      <c r="AB62" s="169" t="e">
        <f>(3600*AB7)/(5280*AB15)</f>
        <v>#DIV/0!</v>
      </c>
      <c r="AC62" s="172" t="e">
        <f>(3600*AB7)/(5280*AC15)</f>
        <v>#DIV/0!</v>
      </c>
      <c r="AD62" s="169" t="e">
        <f>(3600*AD7)/(5280*AD15)</f>
        <v>#DIV/0!</v>
      </c>
      <c r="AE62" s="172" t="e">
        <f>(3600*AD7)/(5280*AE15)</f>
        <v>#DIV/0!</v>
      </c>
      <c r="AF62" s="169" t="e">
        <f>(3600*AF7)/(5280*AF15)</f>
        <v>#DIV/0!</v>
      </c>
      <c r="AG62" s="172" t="e">
        <f>(3600*AF7)/(5280*AG15)</f>
        <v>#DIV/0!</v>
      </c>
      <c r="AH62" s="169" t="e">
        <f>(3600*AH7)/(5280*AH15)</f>
        <v>#DIV/0!</v>
      </c>
      <c r="AI62" s="172" t="e">
        <f>(3600*AH7)/(5280*AI15)</f>
        <v>#DIV/0!</v>
      </c>
      <c r="AJ62" s="169" t="e">
        <f>(3600*AJ7)/(5280*AJ15)</f>
        <v>#DIV/0!</v>
      </c>
      <c r="AK62" s="172" t="e">
        <f>(3600*AJ7)/(5280*AK15)</f>
        <v>#DIV/0!</v>
      </c>
      <c r="AL62" s="169" t="e">
        <f>(3600*AL7)/(5280*AL15)</f>
        <v>#DIV/0!</v>
      </c>
      <c r="AM62" s="172" t="e">
        <f>(3600*AL7)/(5280*AM15)</f>
        <v>#DIV/0!</v>
      </c>
      <c r="AN62" s="169" t="e">
        <f>(3600*AN7)/(5280*AN15)</f>
        <v>#DIV/0!</v>
      </c>
      <c r="AO62" s="172" t="e">
        <f>(3600*AN7)/(5280*AO15)</f>
        <v>#DIV/0!</v>
      </c>
      <c r="AP62" s="169" t="e">
        <f>(3600*AP7)/(5280*AP15)</f>
        <v>#DIV/0!</v>
      </c>
      <c r="AQ62" s="172" t="e">
        <f>(3600*AP7)/(5280*AQ15)</f>
        <v>#DIV/0!</v>
      </c>
      <c r="AR62" s="169" t="e">
        <f>(3600*AR7)/(5280*AR15)</f>
        <v>#DIV/0!</v>
      </c>
      <c r="AS62" s="172" t="e">
        <f>(3600*AR7)/(5280*AS15)</f>
        <v>#DIV/0!</v>
      </c>
      <c r="AT62" s="51"/>
      <c r="AU62" s="56"/>
    </row>
    <row r="63" spans="2:47" ht="14.25" x14ac:dyDescent="0.25">
      <c r="B63" s="55"/>
      <c r="C63" s="10" t="s">
        <v>113</v>
      </c>
      <c r="D63" s="11" t="s">
        <v>114</v>
      </c>
      <c r="E63" s="127">
        <f>IF(E11&gt;4*E16,E11,4*E16)</f>
        <v>0</v>
      </c>
      <c r="F63" s="42">
        <f>IF(F11&gt;4*F16,F11,4*F16)</f>
        <v>727</v>
      </c>
      <c r="G63" s="45">
        <f>IF(G11&gt;4*G16,G11,4*G16)</f>
        <v>850</v>
      </c>
      <c r="H63" s="100">
        <f>IF(H11&gt;4*H16,H11,4*H16)</f>
        <v>0</v>
      </c>
      <c r="I63" s="101">
        <f>IF(I11&gt;4*I16,I11,4*I16)</f>
        <v>0</v>
      </c>
      <c r="J63" s="100">
        <f>IF(J11&gt;4*J16,J11,4*J16)</f>
        <v>0</v>
      </c>
      <c r="K63" s="101">
        <f>IF(K11&gt;4*K16,K11,4*K16)</f>
        <v>0</v>
      </c>
      <c r="L63" s="100">
        <f>IF(L11&gt;4*L16,L11,4*L16)</f>
        <v>0</v>
      </c>
      <c r="M63" s="101">
        <f>IF(M11&gt;4*M16,M11,4*M16)</f>
        <v>0</v>
      </c>
      <c r="N63" s="100">
        <f>IF(N11&gt;4*N16,N11,4*N16)</f>
        <v>0</v>
      </c>
      <c r="O63" s="101">
        <f>IF(O11&gt;4*O16,O11,4*O16)</f>
        <v>0</v>
      </c>
      <c r="P63" s="100">
        <f>IF(P11&gt;4*P16,P11,4*P16)</f>
        <v>0</v>
      </c>
      <c r="Q63" s="101">
        <f>IF(Q11&gt;4*Q16,Q11,4*Q16)</f>
        <v>0</v>
      </c>
      <c r="R63" s="100">
        <f>IF(R11&gt;4*R16,R11,4*R16)</f>
        <v>0</v>
      </c>
      <c r="S63" s="101">
        <f>IF(S11&gt;4*S16,S11,4*S16)</f>
        <v>0</v>
      </c>
      <c r="T63" s="100">
        <f>IF(T11&gt;4*T16,T11,4*T16)</f>
        <v>0</v>
      </c>
      <c r="U63" s="101">
        <f>IF(U11&gt;4*U16,U11,4*U16)</f>
        <v>0</v>
      </c>
      <c r="V63" s="100">
        <f>IF(V11&gt;4*V16,V11,4*V16)</f>
        <v>0</v>
      </c>
      <c r="W63" s="101">
        <f>IF(W11&gt;4*W16,W11,4*W16)</f>
        <v>0</v>
      </c>
      <c r="X63" s="100">
        <f>IF(X11&gt;4*X16,X11,4*X16)</f>
        <v>0</v>
      </c>
      <c r="Y63" s="101">
        <f>IF(Y11&gt;4*Y16,Y11,4*Y16)</f>
        <v>0</v>
      </c>
      <c r="Z63" s="100">
        <f>IF(Z11&gt;4*Z16,Z11,4*Z16)</f>
        <v>0</v>
      </c>
      <c r="AA63" s="101">
        <f>IF(AA11&gt;4*AA16,AA11,4*AA16)</f>
        <v>0</v>
      </c>
      <c r="AB63" s="100">
        <f>IF(AB11&gt;4*AB16,AB11,4*AB16)</f>
        <v>0</v>
      </c>
      <c r="AC63" s="101">
        <f>IF(AC11&gt;4*AC16,AC11,4*AC16)</f>
        <v>0</v>
      </c>
      <c r="AD63" s="100">
        <f>IF(AD11&gt;4*AD16,AD11,4*AD16)</f>
        <v>0</v>
      </c>
      <c r="AE63" s="101">
        <f>IF(AE11&gt;4*AE16,AE11,4*AE16)</f>
        <v>0</v>
      </c>
      <c r="AF63" s="100">
        <f>IF(AF11&gt;4*AF16,AF11,4*AF16)</f>
        <v>0</v>
      </c>
      <c r="AG63" s="101">
        <f>IF(AG11&gt;4*AG16,AG11,4*AG16)</f>
        <v>0</v>
      </c>
      <c r="AH63" s="100">
        <f>IF(AH11&gt;4*AH16,AH11,4*AH16)</f>
        <v>0</v>
      </c>
      <c r="AI63" s="101">
        <f>IF(AI11&gt;4*AI16,AI11,4*AI16)</f>
        <v>0</v>
      </c>
      <c r="AJ63" s="100">
        <f>IF(AJ11&gt;4*AJ16,AJ11,4*AJ16)</f>
        <v>0</v>
      </c>
      <c r="AK63" s="101">
        <f>IF(AK11&gt;4*AK16,AK11,4*AK16)</f>
        <v>0</v>
      </c>
      <c r="AL63" s="100">
        <f>IF(AL11&gt;4*AL16,AL11,4*AL16)</f>
        <v>0</v>
      </c>
      <c r="AM63" s="101">
        <f>IF(AM11&gt;4*AM16,AM11,4*AM16)</f>
        <v>0</v>
      </c>
      <c r="AN63" s="100">
        <f>IF(AN11&gt;4*AN16,AN11,4*AN16)</f>
        <v>0</v>
      </c>
      <c r="AO63" s="101">
        <f>IF(AO11&gt;4*AO16,AO11,4*AO16)</f>
        <v>0</v>
      </c>
      <c r="AP63" s="100">
        <f>IF(AP11&gt;4*AP16,AP11,4*AP16)</f>
        <v>0</v>
      </c>
      <c r="AQ63" s="101">
        <f>IF(AQ11&gt;4*AQ16,AQ11,4*AQ16)</f>
        <v>0</v>
      </c>
      <c r="AR63" s="100">
        <f>IF(AR11&gt;4*AR16,AR11,4*AR16)</f>
        <v>0</v>
      </c>
      <c r="AS63" s="101">
        <f>IF(AS11&gt;4*AS16,AS11,4*AS16)</f>
        <v>0</v>
      </c>
      <c r="AT63" s="51"/>
      <c r="AU63" s="56"/>
    </row>
    <row r="64" spans="2:47" ht="14.25" x14ac:dyDescent="0.25">
      <c r="B64" s="55"/>
      <c r="C64" s="10" t="s">
        <v>102</v>
      </c>
      <c r="D64" s="11" t="s">
        <v>33</v>
      </c>
      <c r="E64" s="125" t="e">
        <f>0.507*LN(E63/(4))</f>
        <v>#NUM!</v>
      </c>
      <c r="F64" s="15">
        <f t="shared" ref="F64:AS64" si="13">0.507*LN(F63/(4))</f>
        <v>2.6377344830217098</v>
      </c>
      <c r="G64" s="43">
        <f t="shared" si="13"/>
        <v>2.7169835881007871</v>
      </c>
      <c r="H64" s="96" t="e">
        <f t="shared" si="13"/>
        <v>#NUM!</v>
      </c>
      <c r="I64" s="97" t="e">
        <f t="shared" si="13"/>
        <v>#NUM!</v>
      </c>
      <c r="J64" s="96" t="e">
        <f t="shared" si="13"/>
        <v>#NUM!</v>
      </c>
      <c r="K64" s="97" t="e">
        <f t="shared" si="13"/>
        <v>#NUM!</v>
      </c>
      <c r="L64" s="96" t="e">
        <f t="shared" si="13"/>
        <v>#NUM!</v>
      </c>
      <c r="M64" s="97" t="e">
        <f t="shared" si="13"/>
        <v>#NUM!</v>
      </c>
      <c r="N64" s="96" t="e">
        <f t="shared" si="13"/>
        <v>#NUM!</v>
      </c>
      <c r="O64" s="97" t="e">
        <f t="shared" si="13"/>
        <v>#NUM!</v>
      </c>
      <c r="P64" s="96" t="e">
        <f t="shared" si="13"/>
        <v>#NUM!</v>
      </c>
      <c r="Q64" s="97" t="e">
        <f t="shared" si="13"/>
        <v>#NUM!</v>
      </c>
      <c r="R64" s="96" t="e">
        <f t="shared" si="13"/>
        <v>#NUM!</v>
      </c>
      <c r="S64" s="97" t="e">
        <f t="shared" si="13"/>
        <v>#NUM!</v>
      </c>
      <c r="T64" s="96" t="e">
        <f t="shared" si="13"/>
        <v>#NUM!</v>
      </c>
      <c r="U64" s="97" t="e">
        <f t="shared" si="13"/>
        <v>#NUM!</v>
      </c>
      <c r="V64" s="96" t="e">
        <f t="shared" si="13"/>
        <v>#NUM!</v>
      </c>
      <c r="W64" s="97" t="e">
        <f t="shared" si="13"/>
        <v>#NUM!</v>
      </c>
      <c r="X64" s="96" t="e">
        <f t="shared" si="13"/>
        <v>#NUM!</v>
      </c>
      <c r="Y64" s="97" t="e">
        <f t="shared" si="13"/>
        <v>#NUM!</v>
      </c>
      <c r="Z64" s="96" t="e">
        <f t="shared" si="13"/>
        <v>#NUM!</v>
      </c>
      <c r="AA64" s="97" t="e">
        <f t="shared" si="13"/>
        <v>#NUM!</v>
      </c>
      <c r="AB64" s="96" t="e">
        <f t="shared" si="13"/>
        <v>#NUM!</v>
      </c>
      <c r="AC64" s="97" t="e">
        <f t="shared" si="13"/>
        <v>#NUM!</v>
      </c>
      <c r="AD64" s="96" t="e">
        <f t="shared" si="13"/>
        <v>#NUM!</v>
      </c>
      <c r="AE64" s="97" t="e">
        <f t="shared" si="13"/>
        <v>#NUM!</v>
      </c>
      <c r="AF64" s="96" t="e">
        <f t="shared" si="13"/>
        <v>#NUM!</v>
      </c>
      <c r="AG64" s="97" t="e">
        <f t="shared" si="13"/>
        <v>#NUM!</v>
      </c>
      <c r="AH64" s="96" t="e">
        <f t="shared" si="13"/>
        <v>#NUM!</v>
      </c>
      <c r="AI64" s="97" t="e">
        <f t="shared" si="13"/>
        <v>#NUM!</v>
      </c>
      <c r="AJ64" s="96" t="e">
        <f t="shared" si="13"/>
        <v>#NUM!</v>
      </c>
      <c r="AK64" s="97" t="e">
        <f t="shared" si="13"/>
        <v>#NUM!</v>
      </c>
      <c r="AL64" s="96" t="e">
        <f t="shared" si="13"/>
        <v>#NUM!</v>
      </c>
      <c r="AM64" s="97" t="e">
        <f t="shared" si="13"/>
        <v>#NUM!</v>
      </c>
      <c r="AN64" s="96" t="e">
        <f t="shared" si="13"/>
        <v>#NUM!</v>
      </c>
      <c r="AO64" s="97" t="e">
        <f t="shared" si="13"/>
        <v>#NUM!</v>
      </c>
      <c r="AP64" s="96" t="e">
        <f t="shared" si="13"/>
        <v>#NUM!</v>
      </c>
      <c r="AQ64" s="97" t="e">
        <f t="shared" si="13"/>
        <v>#NUM!</v>
      </c>
      <c r="AR64" s="96" t="e">
        <f t="shared" si="13"/>
        <v>#NUM!</v>
      </c>
      <c r="AS64" s="97" t="e">
        <f t="shared" si="13"/>
        <v>#NUM!</v>
      </c>
      <c r="AT64" s="51"/>
      <c r="AU64" s="56"/>
    </row>
    <row r="65" spans="2:47" ht="14.25" x14ac:dyDescent="0.25">
      <c r="B65" s="55"/>
      <c r="C65" s="10" t="s">
        <v>104</v>
      </c>
      <c r="D65" s="11" t="s">
        <v>105</v>
      </c>
      <c r="E65" s="125">
        <f>IF(AND(E11*(1-0.01*E12)&lt;200,(E12&gt;0.5)),0.5,E12)</f>
        <v>0</v>
      </c>
      <c r="F65" s="15">
        <f>IF(AND(F11*(1-0.01*F12)&lt;200,(F12&gt;0.5)),0.5,F12)</f>
        <v>0.02</v>
      </c>
      <c r="G65" s="43">
        <f>IF(AND(G11*(1-0.01*G12)&lt;200,(G12&gt;0.5)),0.5,G12)</f>
        <v>0.02</v>
      </c>
      <c r="H65" s="96">
        <f>IF(AND(H11*(1-0.01*H12)&lt;200,(H12&gt;0.5)),0.5,H12)</f>
        <v>0</v>
      </c>
      <c r="I65" s="97">
        <f>IF(AND(I11*(1-0.01*I12)&lt;200,(I12&gt;0.5)),0.5,I12)</f>
        <v>0</v>
      </c>
      <c r="J65" s="96">
        <f>IF(AND(J11*(1-0.01*J12)&lt;200,(J12&gt;0.5)),0.5,J12)</f>
        <v>0</v>
      </c>
      <c r="K65" s="97">
        <f>IF(AND(K11*(1-0.01*K12)&lt;200,(K12&gt;0.5)),0.5,K12)</f>
        <v>0</v>
      </c>
      <c r="L65" s="96">
        <f>IF(AND(L11*(1-0.01*L12)&lt;200,(L12&gt;0.5)),0.5,L12)</f>
        <v>0</v>
      </c>
      <c r="M65" s="97">
        <f>IF(AND(M11*(1-0.01*M12)&lt;200,(M12&gt;0.5)),0.5,M12)</f>
        <v>0</v>
      </c>
      <c r="N65" s="96">
        <f>IF(AND(N11*(1-0.01*N12)&lt;200,(N12&gt;0.5)),0.5,N12)</f>
        <v>0</v>
      </c>
      <c r="O65" s="97">
        <f>IF(AND(O11*(1-0.01*O12)&lt;200,(O12&gt;0.5)),0.5,O12)</f>
        <v>0</v>
      </c>
      <c r="P65" s="96">
        <f>IF(AND(P11*(1-0.01*P12)&lt;200,(P12&gt;0.5)),0.5,P12)</f>
        <v>0</v>
      </c>
      <c r="Q65" s="97">
        <f>IF(AND(Q11*(1-0.01*Q12)&lt;200,(Q12&gt;0.5)),0.5,Q12)</f>
        <v>0</v>
      </c>
      <c r="R65" s="96">
        <f>IF(AND(R11*(1-0.01*R12)&lt;200,(R12&gt;0.5)),0.5,R12)</f>
        <v>0</v>
      </c>
      <c r="S65" s="97">
        <f>IF(AND(S11*(1-0.01*S12)&lt;200,(S12&gt;0.5)),0.5,S12)</f>
        <v>0</v>
      </c>
      <c r="T65" s="96">
        <f>IF(AND(T11*(1-0.01*T12)&lt;200,(T12&gt;0.5)),0.5,T12)</f>
        <v>0</v>
      </c>
      <c r="U65" s="97">
        <f>IF(AND(U11*(1-0.01*U12)&lt;200,(U12&gt;0.5)),0.5,U12)</f>
        <v>0</v>
      </c>
      <c r="V65" s="96">
        <f>IF(AND(V11*(1-0.01*V12)&lt;200,(V12&gt;0.5)),0.5,V12)</f>
        <v>0</v>
      </c>
      <c r="W65" s="97">
        <f>IF(AND(W11*(1-0.01*W12)&lt;200,(W12&gt;0.5)),0.5,W12)</f>
        <v>0</v>
      </c>
      <c r="X65" s="96">
        <f>IF(AND(X11*(1-0.01*X12)&lt;200,(X12&gt;0.5)),0.5,X12)</f>
        <v>0</v>
      </c>
      <c r="Y65" s="97">
        <f>IF(AND(Y11*(1-0.01*Y12)&lt;200,(Y12&gt;0.5)),0.5,Y12)</f>
        <v>0</v>
      </c>
      <c r="Z65" s="96">
        <f>IF(AND(Z11*(1-0.01*Z12)&lt;200,(Z12&gt;0.5)),0.5,Z12)</f>
        <v>0</v>
      </c>
      <c r="AA65" s="97">
        <f>IF(AND(AA11*(1-0.01*AA12)&lt;200,(AA12&gt;0.5)),0.5,AA12)</f>
        <v>0</v>
      </c>
      <c r="AB65" s="96">
        <f>IF(AND(AB11*(1-0.01*AB12)&lt;200,(AB12&gt;0.5)),0.5,AB12)</f>
        <v>0</v>
      </c>
      <c r="AC65" s="97">
        <f>IF(AND(AC11*(1-0.01*AC12)&lt;200,(AC12&gt;0.5)),0.5,AC12)</f>
        <v>0</v>
      </c>
      <c r="AD65" s="96">
        <f>IF(AND(AD11*(1-0.01*AD12)&lt;200,(AD12&gt;0.5)),0.5,AD12)</f>
        <v>0</v>
      </c>
      <c r="AE65" s="97">
        <f>IF(AND(AE11*(1-0.01*AE12)&lt;200,(AE12&gt;0.5)),0.5,AE12)</f>
        <v>0</v>
      </c>
      <c r="AF65" s="96">
        <f>IF(AND(AF11*(1-0.01*AF12)&lt;200,(AF12&gt;0.5)),0.5,AF12)</f>
        <v>0</v>
      </c>
      <c r="AG65" s="97">
        <f>IF(AND(AG11*(1-0.01*AG12)&lt;200,(AG12&gt;0.5)),0.5,AG12)</f>
        <v>0</v>
      </c>
      <c r="AH65" s="96">
        <f>IF(AND(AH11*(1-0.01*AH12)&lt;200,(AH12&gt;0.5)),0.5,AH12)</f>
        <v>0</v>
      </c>
      <c r="AI65" s="97">
        <f>IF(AND(AI11*(1-0.01*AI12)&lt;200,(AI12&gt;0.5)),0.5,AI12)</f>
        <v>0</v>
      </c>
      <c r="AJ65" s="96">
        <f>IF(AND(AJ11*(1-0.01*AJ12)&lt;200,(AJ12&gt;0.5)),0.5,AJ12)</f>
        <v>0</v>
      </c>
      <c r="AK65" s="97">
        <f>IF(AND(AK11*(1-0.01*AK12)&lt;200,(AK12&gt;0.5)),0.5,AK12)</f>
        <v>0</v>
      </c>
      <c r="AL65" s="96">
        <f>IF(AND(AL11*(1-0.01*AL12)&lt;200,(AL12&gt;0.5)),0.5,AL12)</f>
        <v>0</v>
      </c>
      <c r="AM65" s="97">
        <f>IF(AND(AM11*(1-0.01*AM12)&lt;200,(AM12&gt;0.5)),0.5,AM12)</f>
        <v>0</v>
      </c>
      <c r="AN65" s="96">
        <f>IF(AND(AN11*(1-0.01*AN12)&lt;200,(AN12&gt;0.5)),0.5,AN12)</f>
        <v>0</v>
      </c>
      <c r="AO65" s="97">
        <f>IF(AND(AO11*(1-0.01*AO12)&lt;200,(AO12&gt;0.5)),0.5,AO12)</f>
        <v>0</v>
      </c>
      <c r="AP65" s="96">
        <f>IF(AND(AP11*(1-0.01*AP12)&lt;200,(AP12&gt;0.5)),0.5,AP12)</f>
        <v>0</v>
      </c>
      <c r="AQ65" s="97">
        <f>IF(AND(AQ11*(1-0.01*AQ12)&lt;200,(AQ12&gt;0.5)),0.5,AQ12)</f>
        <v>0</v>
      </c>
      <c r="AR65" s="96">
        <f>IF(AND(AR11*(1-0.01*AR12)&lt;200,(AR12&gt;0.5)),0.5,AR12)</f>
        <v>0</v>
      </c>
      <c r="AS65" s="97">
        <f>IF(AND(AS11*(1-0.01*AS12)&lt;200,(AS12&gt;0.5)),0.5,AS12)</f>
        <v>0</v>
      </c>
      <c r="AT65" s="51"/>
      <c r="AU65" s="56"/>
    </row>
    <row r="66" spans="2:47" ht="14.25" x14ac:dyDescent="0.25">
      <c r="B66" s="55"/>
      <c r="C66" s="10" t="s">
        <v>111</v>
      </c>
      <c r="D66" s="11" t="s">
        <v>112</v>
      </c>
      <c r="E66" s="127">
        <f>IF(E13&lt;21,21,E13)</f>
        <v>21</v>
      </c>
      <c r="F66" s="42">
        <f>IF(F13&lt;21,21,F13)</f>
        <v>25</v>
      </c>
      <c r="G66" s="45">
        <f>IF(G13&lt;21,21,G13)</f>
        <v>25</v>
      </c>
      <c r="H66" s="100">
        <f>IF(H13&lt;21,21,H13)</f>
        <v>21</v>
      </c>
      <c r="I66" s="101">
        <f>IF(I13&lt;21,21,I13)</f>
        <v>21</v>
      </c>
      <c r="J66" s="100">
        <f>IF(J13&lt;21,21,J13)</f>
        <v>21</v>
      </c>
      <c r="K66" s="101">
        <f>IF(K13&lt;21,21,K13)</f>
        <v>21</v>
      </c>
      <c r="L66" s="100">
        <f>IF(L13&lt;21,21,L13)</f>
        <v>21</v>
      </c>
      <c r="M66" s="101">
        <f>IF(M13&lt;21,21,M13)</f>
        <v>21</v>
      </c>
      <c r="N66" s="100">
        <f>IF(N13&lt;21,21,N13)</f>
        <v>21</v>
      </c>
      <c r="O66" s="101">
        <f>IF(O13&lt;21,21,O13)</f>
        <v>21</v>
      </c>
      <c r="P66" s="100">
        <f>IF(P13&lt;21,21,P13)</f>
        <v>21</v>
      </c>
      <c r="Q66" s="101">
        <f>IF(Q13&lt;21,21,Q13)</f>
        <v>21</v>
      </c>
      <c r="R66" s="100">
        <f>IF(R13&lt;21,21,R13)</f>
        <v>21</v>
      </c>
      <c r="S66" s="101">
        <f>IF(S13&lt;21,21,S13)</f>
        <v>21</v>
      </c>
      <c r="T66" s="100">
        <f>IF(T13&lt;21,21,T13)</f>
        <v>21</v>
      </c>
      <c r="U66" s="101">
        <f>IF(U13&lt;21,21,U13)</f>
        <v>21</v>
      </c>
      <c r="V66" s="100">
        <f>IF(V13&lt;21,21,V13)</f>
        <v>21</v>
      </c>
      <c r="W66" s="101">
        <f>IF(W13&lt;21,21,W13)</f>
        <v>21</v>
      </c>
      <c r="X66" s="100">
        <f>IF(X13&lt;21,21,X13)</f>
        <v>21</v>
      </c>
      <c r="Y66" s="101">
        <f>IF(Y13&lt;21,21,Y13)</f>
        <v>21</v>
      </c>
      <c r="Z66" s="100">
        <f>IF(Z13&lt;21,21,Z13)</f>
        <v>21</v>
      </c>
      <c r="AA66" s="101">
        <f>IF(AA13&lt;21,21,AA13)</f>
        <v>21</v>
      </c>
      <c r="AB66" s="100">
        <f>IF(AB13&lt;21,21,AB13)</f>
        <v>21</v>
      </c>
      <c r="AC66" s="101">
        <f>IF(AC13&lt;21,21,AC13)</f>
        <v>21</v>
      </c>
      <c r="AD66" s="100">
        <f>IF(AD13&lt;21,21,AD13)</f>
        <v>21</v>
      </c>
      <c r="AE66" s="101">
        <f>IF(AE13&lt;21,21,AE13)</f>
        <v>21</v>
      </c>
      <c r="AF66" s="100">
        <f>IF(AF13&lt;21,21,AF13)</f>
        <v>21</v>
      </c>
      <c r="AG66" s="101">
        <f>IF(AG13&lt;21,21,AG13)</f>
        <v>21</v>
      </c>
      <c r="AH66" s="100">
        <f>IF(AH13&lt;21,21,AH13)</f>
        <v>21</v>
      </c>
      <c r="AI66" s="101">
        <f>IF(AI13&lt;21,21,AI13)</f>
        <v>21</v>
      </c>
      <c r="AJ66" s="100">
        <f>IF(AJ13&lt;21,21,AJ13)</f>
        <v>21</v>
      </c>
      <c r="AK66" s="101">
        <f>IF(AK13&lt;21,21,AK13)</f>
        <v>21</v>
      </c>
      <c r="AL66" s="100">
        <f>IF(AL13&lt;21,21,AL13)</f>
        <v>21</v>
      </c>
      <c r="AM66" s="101">
        <f>IF(AM13&lt;21,21,AM13)</f>
        <v>21</v>
      </c>
      <c r="AN66" s="100">
        <f>IF(AN13&lt;21,21,AN13)</f>
        <v>21</v>
      </c>
      <c r="AO66" s="101">
        <f>IF(AO13&lt;21,21,AO13)</f>
        <v>21</v>
      </c>
      <c r="AP66" s="100">
        <f>IF(AP13&lt;21,21,AP13)</f>
        <v>21</v>
      </c>
      <c r="AQ66" s="101">
        <f>IF(AQ13&lt;21,21,AQ13)</f>
        <v>21</v>
      </c>
      <c r="AR66" s="100">
        <f>IF(AR13&lt;21,21,AR13)</f>
        <v>21</v>
      </c>
      <c r="AS66" s="101">
        <f>IF(AS13&lt;21,21,AS13)</f>
        <v>21</v>
      </c>
      <c r="AT66" s="51"/>
      <c r="AU66" s="56"/>
    </row>
    <row r="67" spans="2:47" ht="14.25" x14ac:dyDescent="0.25">
      <c r="B67" s="55"/>
      <c r="C67" s="10" t="s">
        <v>101</v>
      </c>
      <c r="D67" s="11" t="s">
        <v>32</v>
      </c>
      <c r="E67" s="125">
        <f t="shared" ref="E67" si="14">0.199*(1.1199*LN(E66-20)+0.8103)*(1+0.1038*E65)^2</f>
        <v>0.16124970000000002</v>
      </c>
      <c r="F67" s="15">
        <f t="shared" ref="F67:G67" si="15">0.199*(1.1199*LN(F66-20)+0.8103)*(1+0.1038*F65)^2</f>
        <v>0.52209018090115733</v>
      </c>
      <c r="G67" s="43">
        <f t="shared" si="15"/>
        <v>0.52209018090115733</v>
      </c>
      <c r="H67" s="96">
        <f t="shared" ref="H67:AS67" si="16">0.199*(1.1199*LN(H66-20)+0.8103)*(1+0.1038*H65)^2</f>
        <v>0.16124970000000002</v>
      </c>
      <c r="I67" s="97">
        <f t="shared" si="16"/>
        <v>0.16124970000000002</v>
      </c>
      <c r="J67" s="96">
        <f t="shared" si="16"/>
        <v>0.16124970000000002</v>
      </c>
      <c r="K67" s="97">
        <f t="shared" si="16"/>
        <v>0.16124970000000002</v>
      </c>
      <c r="L67" s="96">
        <f t="shared" si="16"/>
        <v>0.16124970000000002</v>
      </c>
      <c r="M67" s="97">
        <f t="shared" si="16"/>
        <v>0.16124970000000002</v>
      </c>
      <c r="N67" s="96">
        <f t="shared" si="16"/>
        <v>0.16124970000000002</v>
      </c>
      <c r="O67" s="97">
        <f t="shared" si="16"/>
        <v>0.16124970000000002</v>
      </c>
      <c r="P67" s="96">
        <f t="shared" si="16"/>
        <v>0.16124970000000002</v>
      </c>
      <c r="Q67" s="97">
        <f t="shared" si="16"/>
        <v>0.16124970000000002</v>
      </c>
      <c r="R67" s="96">
        <f t="shared" si="16"/>
        <v>0.16124970000000002</v>
      </c>
      <c r="S67" s="97">
        <f t="shared" si="16"/>
        <v>0.16124970000000002</v>
      </c>
      <c r="T67" s="96">
        <f t="shared" si="16"/>
        <v>0.16124970000000002</v>
      </c>
      <c r="U67" s="97">
        <f t="shared" si="16"/>
        <v>0.16124970000000002</v>
      </c>
      <c r="V67" s="96">
        <f t="shared" si="16"/>
        <v>0.16124970000000002</v>
      </c>
      <c r="W67" s="97">
        <f t="shared" si="16"/>
        <v>0.16124970000000002</v>
      </c>
      <c r="X67" s="96">
        <f t="shared" si="16"/>
        <v>0.16124970000000002</v>
      </c>
      <c r="Y67" s="97">
        <f t="shared" si="16"/>
        <v>0.16124970000000002</v>
      </c>
      <c r="Z67" s="96">
        <f t="shared" si="16"/>
        <v>0.16124970000000002</v>
      </c>
      <c r="AA67" s="97">
        <f t="shared" si="16"/>
        <v>0.16124970000000002</v>
      </c>
      <c r="AB67" s="96">
        <f t="shared" si="16"/>
        <v>0.16124970000000002</v>
      </c>
      <c r="AC67" s="97">
        <f t="shared" si="16"/>
        <v>0.16124970000000002</v>
      </c>
      <c r="AD67" s="96">
        <f t="shared" si="16"/>
        <v>0.16124970000000002</v>
      </c>
      <c r="AE67" s="97">
        <f t="shared" si="16"/>
        <v>0.16124970000000002</v>
      </c>
      <c r="AF67" s="96">
        <f t="shared" si="16"/>
        <v>0.16124970000000002</v>
      </c>
      <c r="AG67" s="97">
        <f t="shared" si="16"/>
        <v>0.16124970000000002</v>
      </c>
      <c r="AH67" s="96">
        <f t="shared" si="16"/>
        <v>0.16124970000000002</v>
      </c>
      <c r="AI67" s="97">
        <f t="shared" si="16"/>
        <v>0.16124970000000002</v>
      </c>
      <c r="AJ67" s="96">
        <f t="shared" si="16"/>
        <v>0.16124970000000002</v>
      </c>
      <c r="AK67" s="97">
        <f t="shared" si="16"/>
        <v>0.16124970000000002</v>
      </c>
      <c r="AL67" s="96">
        <f t="shared" si="16"/>
        <v>0.16124970000000002</v>
      </c>
      <c r="AM67" s="97">
        <f t="shared" si="16"/>
        <v>0.16124970000000002</v>
      </c>
      <c r="AN67" s="96">
        <f t="shared" si="16"/>
        <v>0.16124970000000002</v>
      </c>
      <c r="AO67" s="97">
        <f t="shared" si="16"/>
        <v>0.16124970000000002</v>
      </c>
      <c r="AP67" s="96">
        <f t="shared" si="16"/>
        <v>0.16124970000000002</v>
      </c>
      <c r="AQ67" s="97">
        <f t="shared" si="16"/>
        <v>0.16124970000000002</v>
      </c>
      <c r="AR67" s="96">
        <f t="shared" si="16"/>
        <v>0.16124970000000002</v>
      </c>
      <c r="AS67" s="97">
        <f t="shared" si="16"/>
        <v>0.16124970000000002</v>
      </c>
      <c r="AT67" s="51"/>
      <c r="AU67" s="56"/>
    </row>
    <row r="68" spans="2:47" ht="14.25" x14ac:dyDescent="0.25">
      <c r="B68" s="55"/>
      <c r="C68" s="10" t="s">
        <v>109</v>
      </c>
      <c r="D68" s="11" t="s">
        <v>110</v>
      </c>
      <c r="E68" s="126">
        <f>IF(AND(E29="Yes",(E20-1.5)&gt;0),E20-1.5,E20)</f>
        <v>0</v>
      </c>
      <c r="F68" s="13">
        <f>IF(AND(F29="Yes",(F20-1.5)&gt;0),F20-1.5,F20)</f>
        <v>0</v>
      </c>
      <c r="G68" s="44">
        <f>IF(AND(G29="Yes",(G20-1.5)&gt;0),G20-1.5,G20)</f>
        <v>0</v>
      </c>
      <c r="H68" s="13">
        <f>IF(AND(H29="Yes",(H20-1.5)&gt;0),H20-1.5,H20)</f>
        <v>0</v>
      </c>
      <c r="I68" s="44">
        <f>IF(AND(I29="Yes",(I20-1.5)&gt;0),I20-1.5,I20)</f>
        <v>0</v>
      </c>
      <c r="J68" s="13">
        <f>IF(AND(J29="Yes",(J20-1.5)&gt;0),J20-1.5,J20)</f>
        <v>0</v>
      </c>
      <c r="K68" s="44">
        <f>IF(AND(K29="Yes",(K20-1.5)&gt;0),K20-1.5,K20)</f>
        <v>0</v>
      </c>
      <c r="L68" s="13">
        <f>IF(AND(L29="Yes",(L20-1.5)&gt;0),L20-1.5,L20)</f>
        <v>0</v>
      </c>
      <c r="M68" s="44">
        <f>IF(AND(M29="Yes",(M20-1.5)&gt;0),M20-1.5,M20)</f>
        <v>0</v>
      </c>
      <c r="N68" s="13">
        <f>IF(AND(N29="Yes",(N20-1.5)&gt;0),N20-1.5,N20)</f>
        <v>0</v>
      </c>
      <c r="O68" s="44">
        <f>IF(AND(O29="Yes",(O20-1.5)&gt;0),O20-1.5,O20)</f>
        <v>0</v>
      </c>
      <c r="P68" s="13">
        <f>IF(AND(P29="Yes",(P20-1.5)&gt;0),P20-1.5,P20)</f>
        <v>0</v>
      </c>
      <c r="Q68" s="44">
        <f>IF(AND(Q29="Yes",(Q20-1.5)&gt;0),Q20-1.5,Q20)</f>
        <v>0</v>
      </c>
      <c r="R68" s="13">
        <f>IF(AND(R29="Yes",(R20-1.5)&gt;0),R20-1.5,R20)</f>
        <v>0</v>
      </c>
      <c r="S68" s="44">
        <f>IF(AND(S29="Yes",(S20-1.5)&gt;0),S20-1.5,S20)</f>
        <v>0</v>
      </c>
      <c r="T68" s="13">
        <f>IF(AND(T29="Yes",(T20-1.5)&gt;0),T20-1.5,T20)</f>
        <v>0</v>
      </c>
      <c r="U68" s="44">
        <f>IF(AND(U29="Yes",(U20-1.5)&gt;0),U20-1.5,U20)</f>
        <v>0</v>
      </c>
      <c r="V68" s="13">
        <f>IF(AND(V29="Yes",(V20-1.5)&gt;0),V20-1.5,V20)</f>
        <v>0</v>
      </c>
      <c r="W68" s="44">
        <f>IF(AND(W29="Yes",(W20-1.5)&gt;0),W20-1.5,W20)</f>
        <v>0</v>
      </c>
      <c r="X68" s="13">
        <f>IF(AND(X29="Yes",(X20-1.5)&gt;0),X20-1.5,X20)</f>
        <v>0</v>
      </c>
      <c r="Y68" s="44">
        <f>IF(AND(Y29="Yes",(Y20-1.5)&gt;0),Y20-1.5,Y20)</f>
        <v>0</v>
      </c>
      <c r="Z68" s="13">
        <f>IF(AND(Z29="Yes",(Z20-1.5)&gt;0),Z20-1.5,Z20)</f>
        <v>0</v>
      </c>
      <c r="AA68" s="44">
        <f>IF(AND(AA29="Yes",(AA20-1.5)&gt;0),AA20-1.5,AA20)</f>
        <v>0</v>
      </c>
      <c r="AB68" s="13">
        <f>IF(AND(AB29="Yes",(AB20-1.5)&gt;0),AB20-1.5,AB20)</f>
        <v>0</v>
      </c>
      <c r="AC68" s="44">
        <f>IF(AND(AC29="Yes",(AC20-1.5)&gt;0),AC20-1.5,AC20)</f>
        <v>0</v>
      </c>
      <c r="AD68" s="13">
        <f>IF(AND(AD29="Yes",(AD20-1.5)&gt;0),AD20-1.5,AD20)</f>
        <v>0</v>
      </c>
      <c r="AE68" s="44">
        <f>IF(AND(AE29="Yes",(AE20-1.5)&gt;0),AE20-1.5,AE20)</f>
        <v>0</v>
      </c>
      <c r="AF68" s="13">
        <f>IF(AND(AF29="Yes",(AF20-1.5)&gt;0),AF20-1.5,AF20)</f>
        <v>0</v>
      </c>
      <c r="AG68" s="44">
        <f>IF(AND(AG29="Yes",(AG20-1.5)&gt;0),AG20-1.5,AG20)</f>
        <v>0</v>
      </c>
      <c r="AH68" s="13">
        <f>IF(AND(AH29="Yes",(AH20-1.5)&gt;0),AH20-1.5,AH20)</f>
        <v>0</v>
      </c>
      <c r="AI68" s="44">
        <f>IF(AND(AI29="Yes",(AI20-1.5)&gt;0),AI20-1.5,AI20)</f>
        <v>0</v>
      </c>
      <c r="AJ68" s="13">
        <f>IF(AND(AJ29="Yes",(AJ20-1.5)&gt;0),AJ20-1.5,AJ20)</f>
        <v>0</v>
      </c>
      <c r="AK68" s="44">
        <f>IF(AND(AK29="Yes",(AK20-1.5)&gt;0),AK20-1.5,AK20)</f>
        <v>0</v>
      </c>
      <c r="AL68" s="13">
        <f>IF(AND(AL29="Yes",(AL20-1.5)&gt;0),AL20-1.5,AL20)</f>
        <v>0</v>
      </c>
      <c r="AM68" s="44">
        <f>IF(AND(AM29="Yes",(AM20-1.5)&gt;0),AM20-1.5,AM20)</f>
        <v>0</v>
      </c>
      <c r="AN68" s="13">
        <f>IF(AND(AN29="Yes",(AN20-1.5)&gt;0),AN20-1.5,AN20)</f>
        <v>0</v>
      </c>
      <c r="AO68" s="44">
        <f>IF(AND(AO29="Yes",(AO20-1.5)&gt;0),AO20-1.5,AO20)</f>
        <v>0</v>
      </c>
      <c r="AP68" s="13">
        <f>IF(AND(AP29="Yes",(AP20-1.5)&gt;0),AP20-1.5,AP20)</f>
        <v>0</v>
      </c>
      <c r="AQ68" s="44">
        <f>IF(AND(AQ29="Yes",(AQ20-1.5)&gt;0),AQ20-1.5,AQ20)</f>
        <v>0</v>
      </c>
      <c r="AR68" s="13">
        <f>IF(AND(AR29="Yes",(AR20-1.5)&gt;0),AR20-1.5,AR20)</f>
        <v>0</v>
      </c>
      <c r="AS68" s="44">
        <f>IF(AND(AS29="Yes",(AS20-1.5)&gt;0),AS20-1.5,AS20)</f>
        <v>0</v>
      </c>
      <c r="AT68" s="51"/>
      <c r="AU68" s="56"/>
    </row>
    <row r="69" spans="2:47" ht="14.25" x14ac:dyDescent="0.25">
      <c r="B69" s="55"/>
      <c r="C69" s="10" t="s">
        <v>45</v>
      </c>
      <c r="D69" s="11" t="s">
        <v>107</v>
      </c>
      <c r="E69" s="124">
        <f>IF(E22=0,E21+E19+E68+E23,E21+E19+E68)</f>
        <v>0</v>
      </c>
      <c r="F69" s="10">
        <f>IF(F22=0,F21+F19+F68+F23,F21+F19+F68)</f>
        <v>12</v>
      </c>
      <c r="G69" s="16">
        <f>IF(G22=0,G21+G19+G68+G23,G21+G19+G68)</f>
        <v>12</v>
      </c>
      <c r="H69" s="10">
        <f>IF(H22=0,H21+H19+H68+H23,H21+H19+H68)</f>
        <v>0</v>
      </c>
      <c r="I69" s="95">
        <f>IF(I22=0,I21+I19+I68+I23,I21+I19+I68)</f>
        <v>0</v>
      </c>
      <c r="J69" s="10">
        <f>IF(J22=0,J21+J19+J68+J23,J21+J19+J68)</f>
        <v>0</v>
      </c>
      <c r="K69" s="95">
        <f>IF(K22=0,K21+K19+K68+K23,K21+K19+K68)</f>
        <v>0</v>
      </c>
      <c r="L69" s="10">
        <f>IF(L22=0,L21+L19+L68+L23,L21+L19+L68)</f>
        <v>0</v>
      </c>
      <c r="M69" s="95">
        <f>IF(M22=0,M21+M19+M68+M23,M21+M19+M68)</f>
        <v>0</v>
      </c>
      <c r="N69" s="10">
        <f>IF(N22=0,N21+N19+N68+N23,N21+N19+N68)</f>
        <v>0</v>
      </c>
      <c r="O69" s="95">
        <f>IF(O22=0,O21+O19+O68+O23,O21+O19+O68)</f>
        <v>0</v>
      </c>
      <c r="P69" s="10">
        <f>IF(P22=0,P21+P19+P68+P23,P21+P19+P68)</f>
        <v>0</v>
      </c>
      <c r="Q69" s="95">
        <f>IF(Q22=0,Q21+Q19+Q68+Q23,Q21+Q19+Q68)</f>
        <v>0</v>
      </c>
      <c r="R69" s="10">
        <f>IF(R22=0,R21+R19+R68+R23,R21+R19+R68)</f>
        <v>0</v>
      </c>
      <c r="S69" s="95">
        <f>IF(S22=0,S21+S19+S68+S23,S21+S19+S68)</f>
        <v>0</v>
      </c>
      <c r="T69" s="10">
        <f>IF(T22=0,T21+T19+T68+T23,T21+T19+T68)</f>
        <v>0</v>
      </c>
      <c r="U69" s="95">
        <f>IF(U22=0,U21+U19+U68+U23,U21+U19+U68)</f>
        <v>0</v>
      </c>
      <c r="V69" s="10">
        <f>IF(V22=0,V21+V19+V68+V23,V21+V19+V68)</f>
        <v>0</v>
      </c>
      <c r="W69" s="95">
        <f>IF(W22=0,W21+W19+W68+W23,W21+W19+W68)</f>
        <v>0</v>
      </c>
      <c r="X69" s="10">
        <f>IF(X22=0,X21+X19+X68+X23,X21+X19+X68)</f>
        <v>0</v>
      </c>
      <c r="Y69" s="95">
        <f>IF(Y22=0,Y21+Y19+Y68+Y23,Y21+Y19+Y68)</f>
        <v>0</v>
      </c>
      <c r="Z69" s="10">
        <f>IF(Z22=0,Z21+Z19+Z68+Z23,Z21+Z19+Z68)</f>
        <v>0</v>
      </c>
      <c r="AA69" s="95">
        <f>IF(AA22=0,AA21+AA19+AA68+AA23,AA21+AA19+AA68)</f>
        <v>0</v>
      </c>
      <c r="AB69" s="10">
        <f>IF(AB22=0,AB21+AB19+AB68+AB23,AB21+AB19+AB68)</f>
        <v>0</v>
      </c>
      <c r="AC69" s="95">
        <f>IF(AC22=0,AC21+AC19+AC68+AC23,AC21+AC19+AC68)</f>
        <v>0</v>
      </c>
      <c r="AD69" s="10">
        <f>IF(AD22=0,AD21+AD19+AD68+AD23,AD21+AD19+AD68)</f>
        <v>0</v>
      </c>
      <c r="AE69" s="95">
        <f>IF(AE22=0,AE21+AE19+AE68+AE23,AE21+AE19+AE68)</f>
        <v>0</v>
      </c>
      <c r="AF69" s="10">
        <f>IF(AF22=0,AF21+AF19+AF68+AF23,AF21+AF19+AF68)</f>
        <v>0</v>
      </c>
      <c r="AG69" s="95">
        <f>IF(AG22=0,AG21+AG19+AG68+AG23,AG21+AG19+AG68)</f>
        <v>0</v>
      </c>
      <c r="AH69" s="10">
        <f>IF(AH22=0,AH21+AH19+AH68+AH23,AH21+AH19+AH68)</f>
        <v>0</v>
      </c>
      <c r="AI69" s="95">
        <f>IF(AI22=0,AI21+AI19+AI68+AI23,AI21+AI19+AI68)</f>
        <v>0</v>
      </c>
      <c r="AJ69" s="10">
        <f>IF(AJ22=0,AJ21+AJ19+AJ68+AJ23,AJ21+AJ19+AJ68)</f>
        <v>0</v>
      </c>
      <c r="AK69" s="95">
        <f>IF(AK22=0,AK21+AK19+AK68+AK23,AK21+AK19+AK68)</f>
        <v>0</v>
      </c>
      <c r="AL69" s="10">
        <f>IF(AL22=0,AL21+AL19+AL68+AL23,AL21+AL19+AL68)</f>
        <v>0</v>
      </c>
      <c r="AM69" s="95">
        <f>IF(AM22=0,AM21+AM19+AM68+AM23,AM21+AM19+AM68)</f>
        <v>0</v>
      </c>
      <c r="AN69" s="10">
        <f>IF(AN22=0,AN21+AN19+AN68+AN23,AN21+AN19+AN68)</f>
        <v>0</v>
      </c>
      <c r="AO69" s="95">
        <f>IF(AO22=0,AO21+AO19+AO68+AO23,AO21+AO19+AO68)</f>
        <v>0</v>
      </c>
      <c r="AP69" s="10">
        <f>IF(AP22=0,AP21+AP19+AP68+AP23,AP21+AP19+AP68)</f>
        <v>0</v>
      </c>
      <c r="AQ69" s="95">
        <f>IF(AQ22=0,AQ21+AQ19+AQ68+AQ23,AQ21+AQ19+AQ68)</f>
        <v>0</v>
      </c>
      <c r="AR69" s="10">
        <f>IF(AR22=0,AR21+AR19+AR68+AR23,AR21+AR19+AR68)</f>
        <v>0</v>
      </c>
      <c r="AS69" s="95">
        <f>IF(AS22=0,AS21+AS19+AS68+AS23,AS21+AS19+AS68)</f>
        <v>0</v>
      </c>
      <c r="AT69" s="51"/>
      <c r="AU69" s="56"/>
    </row>
    <row r="70" spans="2:47" ht="14.25" x14ac:dyDescent="0.25">
      <c r="B70" s="55"/>
      <c r="C70" s="10" t="s">
        <v>46</v>
      </c>
      <c r="D70" s="11" t="s">
        <v>37</v>
      </c>
      <c r="E70" s="124">
        <f>IF(OR(E11&gt;160,E27="Yes"),E69,E69*(2-0.005*E11))</f>
        <v>0</v>
      </c>
      <c r="F70" s="10">
        <f>IF(OR(F11&gt;160,F27="Yes"),F69,F69*(2-0.005*F11))</f>
        <v>12</v>
      </c>
      <c r="G70" s="16">
        <f>IF(OR(G11&gt;160,G27="Yes"),G69,G69*(2-0.005*G11))</f>
        <v>12</v>
      </c>
      <c r="H70" s="10">
        <f>IF(OR(H11&gt;160,H27="Yes"),H69,H69*(2-0.005*H11))</f>
        <v>0</v>
      </c>
      <c r="I70" s="95">
        <f>IF(OR(I11&gt;160,I27="Yes"),I69,I69*(2-0.005*I11))</f>
        <v>0</v>
      </c>
      <c r="J70" s="10">
        <f>IF(OR(J11&gt;160,J27="Yes"),J69,J69*(2-0.005*J11))</f>
        <v>0</v>
      </c>
      <c r="K70" s="95">
        <f>IF(OR(K11&gt;160,K27="Yes"),K69,K69*(2-0.005*K11))</f>
        <v>0</v>
      </c>
      <c r="L70" s="10">
        <f>IF(OR(L11&gt;160,L27="Yes"),L69,L69*(2-0.005*L11))</f>
        <v>0</v>
      </c>
      <c r="M70" s="95">
        <f>IF(OR(M11&gt;160,M27="Yes"),M69,M69*(2-0.005*M11))</f>
        <v>0</v>
      </c>
      <c r="N70" s="10">
        <f>IF(OR(N11&gt;160,N27="Yes"),N69,N69*(2-0.005*N11))</f>
        <v>0</v>
      </c>
      <c r="O70" s="95">
        <f>IF(OR(O11&gt;160,O27="Yes"),O69,O69*(2-0.005*O11))</f>
        <v>0</v>
      </c>
      <c r="P70" s="10">
        <f>IF(OR(P11&gt;160,P27="Yes"),P69,P69*(2-0.005*P11))</f>
        <v>0</v>
      </c>
      <c r="Q70" s="95">
        <f>IF(OR(Q11&gt;160,Q27="Yes"),Q69,Q69*(2-0.005*Q11))</f>
        <v>0</v>
      </c>
      <c r="R70" s="10">
        <f>IF(OR(R11&gt;160,R27="Yes"),R69,R69*(2-0.005*R11))</f>
        <v>0</v>
      </c>
      <c r="S70" s="95">
        <f>IF(OR(S11&gt;160,S27="Yes"),S69,S69*(2-0.005*S11))</f>
        <v>0</v>
      </c>
      <c r="T70" s="10">
        <f>IF(OR(T11&gt;160,T27="Yes"),T69,T69*(2-0.005*T11))</f>
        <v>0</v>
      </c>
      <c r="U70" s="95">
        <f>IF(OR(U11&gt;160,U27="Yes"),U69,U69*(2-0.005*U11))</f>
        <v>0</v>
      </c>
      <c r="V70" s="10">
        <f>IF(OR(V11&gt;160,V27="Yes"),V69,V69*(2-0.005*V11))</f>
        <v>0</v>
      </c>
      <c r="W70" s="95">
        <f>IF(OR(W11&gt;160,W27="Yes"),W69,W69*(2-0.005*W11))</f>
        <v>0</v>
      </c>
      <c r="X70" s="10">
        <f>IF(OR(X11&gt;160,X27="Yes"),X69,X69*(2-0.005*X11))</f>
        <v>0</v>
      </c>
      <c r="Y70" s="95">
        <f>IF(OR(Y11&gt;160,Y27="Yes"),Y69,Y69*(2-0.005*Y11))</f>
        <v>0</v>
      </c>
      <c r="Z70" s="10">
        <f>IF(OR(Z11&gt;160,Z27="Yes"),Z69,Z69*(2-0.005*Z11))</f>
        <v>0</v>
      </c>
      <c r="AA70" s="95">
        <f>IF(OR(AA11&gt;160,AA27="Yes"),AA69,AA69*(2-0.005*AA11))</f>
        <v>0</v>
      </c>
      <c r="AB70" s="10">
        <f>IF(OR(AB11&gt;160,AB27="Yes"),AB69,AB69*(2-0.005*AB11))</f>
        <v>0</v>
      </c>
      <c r="AC70" s="95">
        <f>IF(OR(AC11&gt;160,AC27="Yes"),AC69,AC69*(2-0.005*AC11))</f>
        <v>0</v>
      </c>
      <c r="AD70" s="10">
        <f>IF(OR(AD11&gt;160,AD27="Yes"),AD69,AD69*(2-0.005*AD11))</f>
        <v>0</v>
      </c>
      <c r="AE70" s="95">
        <f>IF(OR(AE11&gt;160,AE27="Yes"),AE69,AE69*(2-0.005*AE11))</f>
        <v>0</v>
      </c>
      <c r="AF70" s="10">
        <f>IF(OR(AF11&gt;160,AF27="Yes"),AF69,AF69*(2-0.005*AF11))</f>
        <v>0</v>
      </c>
      <c r="AG70" s="95">
        <f>IF(OR(AG11&gt;160,AG27="Yes"),AG69,AG69*(2-0.005*AG11))</f>
        <v>0</v>
      </c>
      <c r="AH70" s="10">
        <f>IF(OR(AH11&gt;160,AH27="Yes"),AH69,AH69*(2-0.005*AH11))</f>
        <v>0</v>
      </c>
      <c r="AI70" s="95">
        <f>IF(OR(AI11&gt;160,AI27="Yes"),AI69,AI69*(2-0.005*AI11))</f>
        <v>0</v>
      </c>
      <c r="AJ70" s="10">
        <f>IF(OR(AJ11&gt;160,AJ27="Yes"),AJ69,AJ69*(2-0.005*AJ11))</f>
        <v>0</v>
      </c>
      <c r="AK70" s="95">
        <f>IF(OR(AK11&gt;160,AK27="Yes"),AK69,AK69*(2-0.005*AK11))</f>
        <v>0</v>
      </c>
      <c r="AL70" s="10">
        <f>IF(OR(AL11&gt;160,AL27="Yes"),AL69,AL69*(2-0.005*AL11))</f>
        <v>0</v>
      </c>
      <c r="AM70" s="95">
        <f>IF(OR(AM11&gt;160,AM27="Yes"),AM69,AM69*(2-0.005*AM11))</f>
        <v>0</v>
      </c>
      <c r="AN70" s="10">
        <f>IF(OR(AN11&gt;160,AN27="Yes"),AN69,AN69*(2-0.005*AN11))</f>
        <v>0</v>
      </c>
      <c r="AO70" s="95">
        <f>IF(OR(AO11&gt;160,AO27="Yes"),AO69,AO69*(2-0.005*AO11))</f>
        <v>0</v>
      </c>
      <c r="AP70" s="10">
        <f>IF(OR(AP11&gt;160,AP27="Yes"),AP69,AP69*(2-0.005*AP11))</f>
        <v>0</v>
      </c>
      <c r="AQ70" s="95">
        <f>IF(OR(AQ11&gt;160,AQ27="Yes"),AQ69,AQ69*(2-0.005*AQ11))</f>
        <v>0</v>
      </c>
      <c r="AR70" s="10">
        <f>IF(OR(AR11&gt;160,AR27="Yes"),AR69,AR69*(2-0.005*AR11))</f>
        <v>0</v>
      </c>
      <c r="AS70" s="95">
        <f>IF(OR(AS11&gt;160,AS27="Yes"),AS69,AS69*(2-0.005*AS11))</f>
        <v>0</v>
      </c>
      <c r="AT70" s="51"/>
      <c r="AU70" s="56"/>
    </row>
    <row r="71" spans="2:47" ht="14.25" x14ac:dyDescent="0.25">
      <c r="B71" s="55"/>
      <c r="C71" s="10" t="s">
        <v>119</v>
      </c>
      <c r="D71" s="11" t="s">
        <v>120</v>
      </c>
      <c r="E71" s="126">
        <f>E19+E68+E23</f>
        <v>0</v>
      </c>
      <c r="F71" s="13">
        <f>F19+F68+F23</f>
        <v>9</v>
      </c>
      <c r="G71" s="44">
        <f>G19+G68+G23</f>
        <v>9</v>
      </c>
      <c r="H71" s="13">
        <f>H19+H68+H23</f>
        <v>0</v>
      </c>
      <c r="I71" s="44">
        <f>I19+I68+I23</f>
        <v>0</v>
      </c>
      <c r="J71" s="13">
        <f>J19+J68+J23</f>
        <v>0</v>
      </c>
      <c r="K71" s="44">
        <f>K19+K68+K23</f>
        <v>0</v>
      </c>
      <c r="L71" s="13">
        <f>L19+L68+L23</f>
        <v>0</v>
      </c>
      <c r="M71" s="44">
        <f>M19+M68+M23</f>
        <v>0</v>
      </c>
      <c r="N71" s="13">
        <f>N19+N68+N23</f>
        <v>0</v>
      </c>
      <c r="O71" s="44">
        <f>O19+O68+O23</f>
        <v>0</v>
      </c>
      <c r="P71" s="13">
        <f>P19+P68+P23</f>
        <v>0</v>
      </c>
      <c r="Q71" s="44">
        <f>Q19+Q68+Q23</f>
        <v>0</v>
      </c>
      <c r="R71" s="13">
        <f>R19+R68+R23</f>
        <v>0</v>
      </c>
      <c r="S71" s="44">
        <f>S19+S68+S23</f>
        <v>0</v>
      </c>
      <c r="T71" s="13">
        <f>T19+T68+T23</f>
        <v>0</v>
      </c>
      <c r="U71" s="44">
        <f>U19+U68+U23</f>
        <v>0</v>
      </c>
      <c r="V71" s="13">
        <f>V19+V68+V23</f>
        <v>0</v>
      </c>
      <c r="W71" s="44">
        <f>W19+W68+W23</f>
        <v>0</v>
      </c>
      <c r="X71" s="13">
        <f>X19+X68+X23</f>
        <v>0</v>
      </c>
      <c r="Y71" s="44">
        <f>Y19+Y68+Y23</f>
        <v>0</v>
      </c>
      <c r="Z71" s="13">
        <f>Z19+Z68+Z23</f>
        <v>0</v>
      </c>
      <c r="AA71" s="44">
        <f>AA19+AA68+AA23</f>
        <v>0</v>
      </c>
      <c r="AB71" s="13">
        <f>AB19+AB68+AB23</f>
        <v>0</v>
      </c>
      <c r="AC71" s="44">
        <f>AC19+AC68+AC23</f>
        <v>0</v>
      </c>
      <c r="AD71" s="13">
        <f>AD19+AD68+AD23</f>
        <v>0</v>
      </c>
      <c r="AE71" s="44">
        <f>AE19+AE68+AE23</f>
        <v>0</v>
      </c>
      <c r="AF71" s="13">
        <f>AF19+AF68+AF23</f>
        <v>0</v>
      </c>
      <c r="AG71" s="44">
        <f>AG19+AG68+AG23</f>
        <v>0</v>
      </c>
      <c r="AH71" s="13">
        <f>AH19+AH68+AH23</f>
        <v>0</v>
      </c>
      <c r="AI71" s="44">
        <f>AI19+AI68+AI23</f>
        <v>0</v>
      </c>
      <c r="AJ71" s="13">
        <f>AJ19+AJ68+AJ23</f>
        <v>0</v>
      </c>
      <c r="AK71" s="44">
        <f>AK19+AK68+AK23</f>
        <v>0</v>
      </c>
      <c r="AL71" s="13">
        <f>AL19+AL68+AL23</f>
        <v>0</v>
      </c>
      <c r="AM71" s="44">
        <f>AM19+AM68+AM23</f>
        <v>0</v>
      </c>
      <c r="AN71" s="13">
        <f>AN19+AN68+AN23</f>
        <v>0</v>
      </c>
      <c r="AO71" s="44">
        <f>AO19+AO68+AO23</f>
        <v>0</v>
      </c>
      <c r="AP71" s="13">
        <f>AP19+AP68+AP23</f>
        <v>0</v>
      </c>
      <c r="AQ71" s="44">
        <f>AQ19+AQ68+AQ23</f>
        <v>0</v>
      </c>
      <c r="AR71" s="13">
        <f>AR19+AR68+AR23</f>
        <v>0</v>
      </c>
      <c r="AS71" s="44">
        <f>AS19+AS68+AS23</f>
        <v>0</v>
      </c>
      <c r="AT71" s="51"/>
      <c r="AU71" s="56"/>
    </row>
    <row r="72" spans="2:47" ht="14.25" x14ac:dyDescent="0.25">
      <c r="B72" s="55"/>
      <c r="C72" s="10" t="s">
        <v>106</v>
      </c>
      <c r="D72" s="11" t="s">
        <v>227</v>
      </c>
      <c r="E72" s="124">
        <f>IF(E71&lt;4,E70-10*E22,IF((E70+E71-20*E22)&gt;0,E70+E71-20*E22,0))</f>
        <v>0</v>
      </c>
      <c r="F72" s="10">
        <f>IF(F71&lt;4,F70-10*F22,IF((F70+F71-20*F22)&gt;0,F70+F71-20*F22,0))</f>
        <v>3</v>
      </c>
      <c r="G72" s="16">
        <f>IF(G71&lt;4,G70-10*G22,IF((G70+G71-20*G22)&gt;0,G70+G71-20*G22,0))</f>
        <v>3</v>
      </c>
      <c r="H72" s="10">
        <f>IF(H71&lt;4,H70-10*H22,IF((H70+H71-20*H22)&gt;0,H70+H71-20*H22,0))</f>
        <v>0</v>
      </c>
      <c r="I72" s="95">
        <f>IF(I71&lt;4,I70-10*I22,IF((I70+I71-20*I22)&gt;0,I70+I71-20*I22,0))</f>
        <v>0</v>
      </c>
      <c r="J72" s="10">
        <f>IF(J71&lt;4,J70-10*J22,IF((J70+J71-20*J22)&gt;0,J70+J71-20*J22,0))</f>
        <v>0</v>
      </c>
      <c r="K72" s="95">
        <f>IF(K71&lt;4,K70-10*K22,IF((K70+K71-20*K22)&gt;0,K70+K71-20*K22,0))</f>
        <v>0</v>
      </c>
      <c r="L72" s="10">
        <f>IF(L71&lt;4,L70-10*L22,IF((L70+L71-20*L22)&gt;0,L70+L71-20*L22,0))</f>
        <v>0</v>
      </c>
      <c r="M72" s="95">
        <f>IF(M71&lt;4,M70-10*M22,IF((M70+M71-20*M22)&gt;0,M70+M71-20*M22,0))</f>
        <v>0</v>
      </c>
      <c r="N72" s="10">
        <f>IF(N71&lt;4,N70-10*N22,IF((N70+N71-20*N22)&gt;0,N70+N71-20*N22,0))</f>
        <v>0</v>
      </c>
      <c r="O72" s="95">
        <f>IF(O71&lt;4,O70-10*O22,IF((O70+O71-20*O22)&gt;0,O70+O71-20*O22,0))</f>
        <v>0</v>
      </c>
      <c r="P72" s="10">
        <f>IF(P71&lt;4,P70-10*P22,IF((P70+P71-20*P22)&gt;0,P70+P71-20*P22,0))</f>
        <v>0</v>
      </c>
      <c r="Q72" s="95">
        <f>IF(Q71&lt;4,Q70-10*Q22,IF((Q70+Q71-20*Q22)&gt;0,Q70+Q71-20*Q22,0))</f>
        <v>0</v>
      </c>
      <c r="R72" s="10">
        <f>IF(R71&lt;4,R70-10*R22,IF((R70+R71-20*R22)&gt;0,R70+R71-20*R22,0))</f>
        <v>0</v>
      </c>
      <c r="S72" s="95">
        <f>IF(S71&lt;4,S70-10*S22,IF((S70+S71-20*S22)&gt;0,S70+S71-20*S22,0))</f>
        <v>0</v>
      </c>
      <c r="T72" s="10">
        <f>IF(T71&lt;4,T70-10*T22,IF((T70+T71-20*T22)&gt;0,T70+T71-20*T22,0))</f>
        <v>0</v>
      </c>
      <c r="U72" s="95">
        <f>IF(U71&lt;4,U70-10*U22,IF((U70+U71-20*U22)&gt;0,U70+U71-20*U22,0))</f>
        <v>0</v>
      </c>
      <c r="V72" s="10">
        <f>IF(V71&lt;4,V70-10*V22,IF((V70+V71-20*V22)&gt;0,V70+V71-20*V22,0))</f>
        <v>0</v>
      </c>
      <c r="W72" s="95">
        <f>IF(W71&lt;4,W70-10*W22,IF((W70+W71-20*W22)&gt;0,W70+W71-20*W22,0))</f>
        <v>0</v>
      </c>
      <c r="X72" s="10">
        <f>IF(X71&lt;4,X70-10*X22,IF((X70+X71-20*X22)&gt;0,X70+X71-20*X22,0))</f>
        <v>0</v>
      </c>
      <c r="Y72" s="95">
        <f>IF(Y71&lt;4,Y70-10*Y22,IF((Y70+Y71-20*Y22)&gt;0,Y70+Y71-20*Y22,0))</f>
        <v>0</v>
      </c>
      <c r="Z72" s="10">
        <f>IF(Z71&lt;4,Z70-10*Z22,IF((Z70+Z71-20*Z22)&gt;0,Z70+Z71-20*Z22,0))</f>
        <v>0</v>
      </c>
      <c r="AA72" s="95">
        <f>IF(AA71&lt;4,AA70-10*AA22,IF((AA70+AA71-20*AA22)&gt;0,AA70+AA71-20*AA22,0))</f>
        <v>0</v>
      </c>
      <c r="AB72" s="10">
        <f>IF(AB71&lt;4,AB70-10*AB22,IF((AB70+AB71-20*AB22)&gt;0,AB70+AB71-20*AB22,0))</f>
        <v>0</v>
      </c>
      <c r="AC72" s="95">
        <f>IF(AC71&lt;4,AC70-10*AC22,IF((AC70+AC71-20*AC22)&gt;0,AC70+AC71-20*AC22,0))</f>
        <v>0</v>
      </c>
      <c r="AD72" s="10">
        <f>IF(AD71&lt;4,AD70-10*AD22,IF((AD70+AD71-20*AD22)&gt;0,AD70+AD71-20*AD22,0))</f>
        <v>0</v>
      </c>
      <c r="AE72" s="95">
        <f>IF(AE71&lt;4,AE70-10*AE22,IF((AE70+AE71-20*AE22)&gt;0,AE70+AE71-20*AE22,0))</f>
        <v>0</v>
      </c>
      <c r="AF72" s="10">
        <f>IF(AF71&lt;4,AF70-10*AF22,IF((AF70+AF71-20*AF22)&gt;0,AF70+AF71-20*AF22,0))</f>
        <v>0</v>
      </c>
      <c r="AG72" s="95">
        <f>IF(AG71&lt;4,AG70-10*AG22,IF((AG70+AG71-20*AG22)&gt;0,AG70+AG71-20*AG22,0))</f>
        <v>0</v>
      </c>
      <c r="AH72" s="10">
        <f>IF(AH71&lt;4,AH70-10*AH22,IF((AH70+AH71-20*AH22)&gt;0,AH70+AH71-20*AH22,0))</f>
        <v>0</v>
      </c>
      <c r="AI72" s="95">
        <f>IF(AI71&lt;4,AI70-10*AI22,IF((AI70+AI71-20*AI22)&gt;0,AI70+AI71-20*AI22,0))</f>
        <v>0</v>
      </c>
      <c r="AJ72" s="10">
        <f>IF(AJ71&lt;4,AJ70-10*AJ22,IF((AJ70+AJ71-20*AJ22)&gt;0,AJ70+AJ71-20*AJ22,0))</f>
        <v>0</v>
      </c>
      <c r="AK72" s="95">
        <f>IF(AK71&lt;4,AK70-10*AK22,IF((AK70+AK71-20*AK22)&gt;0,AK70+AK71-20*AK22,0))</f>
        <v>0</v>
      </c>
      <c r="AL72" s="10">
        <f>IF(AL71&lt;4,AL70-10*AL22,IF((AL70+AL71-20*AL22)&gt;0,AL70+AL71-20*AL22,0))</f>
        <v>0</v>
      </c>
      <c r="AM72" s="95">
        <f>IF(AM71&lt;4,AM70-10*AM22,IF((AM70+AM71-20*AM22)&gt;0,AM70+AM71-20*AM22,0))</f>
        <v>0</v>
      </c>
      <c r="AN72" s="10">
        <f>IF(AN71&lt;4,AN70-10*AN22,IF((AN70+AN71-20*AN22)&gt;0,AN70+AN71-20*AN22,0))</f>
        <v>0</v>
      </c>
      <c r="AO72" s="95">
        <f>IF(AO71&lt;4,AO70-10*AO22,IF((AO70+AO71-20*AO22)&gt;0,AO70+AO71-20*AO22,0))</f>
        <v>0</v>
      </c>
      <c r="AP72" s="10">
        <f>IF(AP71&lt;4,AP70-10*AP22,IF((AP70+AP71-20*AP22)&gt;0,AP70+AP71-20*AP22,0))</f>
        <v>0</v>
      </c>
      <c r="AQ72" s="95">
        <f>IF(AQ71&lt;4,AQ70-10*AQ22,IF((AQ70+AQ71-20*AQ22)&gt;0,AQ70+AQ71-20*AQ22,0))</f>
        <v>0</v>
      </c>
      <c r="AR72" s="10">
        <f>IF(AR71&lt;4,AR70-10*AR22,IF((AR70+AR71-20*AR22)&gt;0,AR70+AR71-20*AR22,0))</f>
        <v>0</v>
      </c>
      <c r="AS72" s="95">
        <f>IF(AS71&lt;4,AS70-10*AS22,IF((AS70+AS71-20*AS22)&gt;0,AS70+AS71-20*AS22,0))</f>
        <v>0</v>
      </c>
      <c r="AT72" s="51"/>
      <c r="AU72" s="56"/>
    </row>
    <row r="73" spans="2:47" ht="15.75" x14ac:dyDescent="0.25">
      <c r="B73" s="55"/>
      <c r="C73" s="109" t="s">
        <v>103</v>
      </c>
      <c r="D73" s="110" t="s">
        <v>228</v>
      </c>
      <c r="E73" s="124">
        <f>IF(E30="No",-0.005*E72^2,1.3*-0.005*E72^2)</f>
        <v>0</v>
      </c>
      <c r="F73" s="10">
        <f>IF(F30="No",-0.005*F72^2,1.3*-0.005*F72^2)</f>
        <v>-4.4999999999999998E-2</v>
      </c>
      <c r="G73" s="16">
        <f>IF(G30="No",-0.005*G72^2,1.3*-0.005*G72^2)</f>
        <v>-4.4999999999999998E-2</v>
      </c>
      <c r="H73" s="10">
        <f>IF(H30="No",-0.005*H72^2,1.3*-0.005*H72^2)</f>
        <v>0</v>
      </c>
      <c r="I73" s="106">
        <f>IF(I30="No",-0.005*I72^2,1.3*-0.005*I72^2)</f>
        <v>0</v>
      </c>
      <c r="J73" s="10">
        <f>IF(J30="No",-0.005*J72^2,1.3*-0.005*J72^2)</f>
        <v>0</v>
      </c>
      <c r="K73" s="106">
        <f>IF(K30="No",-0.005*K72^2,1.3*-0.005*K72^2)</f>
        <v>0</v>
      </c>
      <c r="L73" s="10">
        <f>IF(L30="No",-0.005*L72^2,1.3*-0.005*L72^2)</f>
        <v>0</v>
      </c>
      <c r="M73" s="106">
        <f>IF(M30="No",-0.005*M72^2,1.3*-0.005*M72^2)</f>
        <v>0</v>
      </c>
      <c r="N73" s="10">
        <f>IF(N30="No",-0.005*N72^2,1.3*-0.005*N72^2)</f>
        <v>0</v>
      </c>
      <c r="O73" s="106">
        <f>IF(O30="No",-0.005*O72^2,1.3*-0.005*O72^2)</f>
        <v>0</v>
      </c>
      <c r="P73" s="10">
        <f>IF(P30="No",-0.005*P72^2,1.3*-0.005*P72^2)</f>
        <v>0</v>
      </c>
      <c r="Q73" s="106">
        <f>IF(Q30="No",-0.005*Q72^2,1.3*-0.005*Q72^2)</f>
        <v>0</v>
      </c>
      <c r="R73" s="10">
        <f>IF(R30="No",-0.005*R72^2,1.3*-0.005*R72^2)</f>
        <v>0</v>
      </c>
      <c r="S73" s="106">
        <f>IF(S30="No",-0.005*S72^2,1.3*-0.005*S72^2)</f>
        <v>0</v>
      </c>
      <c r="T73" s="10">
        <f>IF(T30="No",-0.005*T72^2,1.3*-0.005*T72^2)</f>
        <v>0</v>
      </c>
      <c r="U73" s="106">
        <f>IF(U30="No",-0.005*U72^2,1.3*-0.005*U72^2)</f>
        <v>0</v>
      </c>
      <c r="V73" s="10">
        <f>IF(V30="No",-0.005*V72^2,1.3*-0.005*V72^2)</f>
        <v>0</v>
      </c>
      <c r="W73" s="106">
        <f>IF(W30="No",-0.005*W72^2,1.3*-0.005*W72^2)</f>
        <v>0</v>
      </c>
      <c r="X73" s="10">
        <f>IF(X30="No",-0.005*X72^2,1.3*-0.005*X72^2)</f>
        <v>0</v>
      </c>
      <c r="Y73" s="106">
        <f>IF(Y30="No",-0.005*Y72^2,1.3*-0.005*Y72^2)</f>
        <v>0</v>
      </c>
      <c r="Z73" s="10">
        <f>IF(Z30="No",-0.005*Z72^2,1.3*-0.005*Z72^2)</f>
        <v>0</v>
      </c>
      <c r="AA73" s="106">
        <f>IF(AA30="No",-0.005*AA72^2,1.3*-0.005*AA72^2)</f>
        <v>0</v>
      </c>
      <c r="AB73" s="10">
        <f>IF(AB30="No",-0.005*AB72^2,1.3*-0.005*AB72^2)</f>
        <v>0</v>
      </c>
      <c r="AC73" s="106">
        <f>IF(AC30="No",-0.005*AC72^2,1.3*-0.005*AC72^2)</f>
        <v>0</v>
      </c>
      <c r="AD73" s="10">
        <f>IF(AD30="No",-0.005*AD72^2,1.3*-0.005*AD72^2)</f>
        <v>0</v>
      </c>
      <c r="AE73" s="106">
        <f>IF(AE30="No",-0.005*AE72^2,1.3*-0.005*AE72^2)</f>
        <v>0</v>
      </c>
      <c r="AF73" s="10">
        <f>IF(AF30="No",-0.005*AF72^2,1.3*-0.005*AF72^2)</f>
        <v>0</v>
      </c>
      <c r="AG73" s="106">
        <f>IF(AG30="No",-0.005*AG72^2,1.3*-0.005*AG72^2)</f>
        <v>0</v>
      </c>
      <c r="AH73" s="10">
        <f>IF(AH30="No",-0.005*AH72^2,1.3*-0.005*AH72^2)</f>
        <v>0</v>
      </c>
      <c r="AI73" s="106">
        <f>IF(AI30="No",-0.005*AI72^2,1.3*-0.005*AI72^2)</f>
        <v>0</v>
      </c>
      <c r="AJ73" s="10">
        <f>IF(AJ30="No",-0.005*AJ72^2,1.3*-0.005*AJ72^2)</f>
        <v>0</v>
      </c>
      <c r="AK73" s="106">
        <f>IF(AK30="No",-0.005*AK72^2,1.3*-0.005*AK72^2)</f>
        <v>0</v>
      </c>
      <c r="AL73" s="10">
        <f>IF(AL30="No",-0.005*AL72^2,1.3*-0.005*AL72^2)</f>
        <v>0</v>
      </c>
      <c r="AM73" s="106">
        <f>IF(AM30="No",-0.005*AM72^2,1.3*-0.005*AM72^2)</f>
        <v>0</v>
      </c>
      <c r="AN73" s="10">
        <f>IF(AN30="No",-0.005*AN72^2,1.3*-0.005*AN72^2)</f>
        <v>0</v>
      </c>
      <c r="AO73" s="106">
        <f>IF(AO30="No",-0.005*AO72^2,1.3*-0.005*AO72^2)</f>
        <v>0</v>
      </c>
      <c r="AP73" s="10">
        <f>IF(AP30="No",-0.005*AP72^2,1.3*-0.005*AP72^2)</f>
        <v>0</v>
      </c>
      <c r="AQ73" s="106">
        <f>IF(AQ30="No",-0.005*AQ72^2,1.3*-0.005*AQ72^2)</f>
        <v>0</v>
      </c>
      <c r="AR73" s="10">
        <f>IF(AR30="No",-0.005*AR72^2,1.3*-0.005*AR72^2)</f>
        <v>0</v>
      </c>
      <c r="AS73" s="106">
        <f>IF(AS30="No",-0.005*AS72^2,1.3*-0.005*AS72^2)</f>
        <v>0</v>
      </c>
      <c r="AT73" s="51"/>
      <c r="AU73" s="56"/>
    </row>
    <row r="74" spans="2:47" ht="14.25" x14ac:dyDescent="0.25">
      <c r="B74" s="55"/>
      <c r="C74" s="10" t="s">
        <v>225</v>
      </c>
      <c r="D74" s="11" t="s">
        <v>92</v>
      </c>
      <c r="E74" s="125">
        <f>IF(E11&gt;0,0.76+E73+E64+E67+E60,0)</f>
        <v>0</v>
      </c>
      <c r="F74" s="15">
        <f>IF(F11&gt;0,0.76+F73+F64+F67+F60,0)</f>
        <v>4.4516409904534795</v>
      </c>
      <c r="G74" s="98">
        <f>IF(G11&gt;0,0.76+G73+G64+G67+G60,0)</f>
        <v>4.5308900955325564</v>
      </c>
      <c r="H74" s="96">
        <f>IF(H11&gt;0,0.76+H73+H64+H67+H60,0)</f>
        <v>0</v>
      </c>
      <c r="I74" s="98">
        <f>IF(I11&gt;0,0.76+I73+I64+I67+I60,0)</f>
        <v>0</v>
      </c>
      <c r="J74" s="96">
        <f>IF(J11&gt;0,0.76+J73+J64+J67+J60,0)</f>
        <v>0</v>
      </c>
      <c r="K74" s="98">
        <f>IF(K11&gt;0,0.76+K73+K64+K67+K60,0)</f>
        <v>0</v>
      </c>
      <c r="L74" s="96">
        <f>IF(L11&gt;0,0.76+L73+L64+L67+L60,0)</f>
        <v>0</v>
      </c>
      <c r="M74" s="98">
        <f>IF(M11&gt;0,0.76+M73+M64+M67+M60,0)</f>
        <v>0</v>
      </c>
      <c r="N74" s="96">
        <f>IF(N11&gt;0,0.76+N73+N64+N67+N60,0)</f>
        <v>0</v>
      </c>
      <c r="O74" s="98">
        <f>IF(O11&gt;0,0.76+O73+O64+O67+O60,0)</f>
        <v>0</v>
      </c>
      <c r="P74" s="96">
        <f>IF(P11&gt;0,0.76+P73+P64+P67+P60,0)</f>
        <v>0</v>
      </c>
      <c r="Q74" s="98">
        <f>IF(Q11&gt;0,0.76+Q73+Q64+Q67+Q60,0)</f>
        <v>0</v>
      </c>
      <c r="R74" s="96">
        <f>IF(R11&gt;0,0.76+R73+R64+R67+R60,0)</f>
        <v>0</v>
      </c>
      <c r="S74" s="98">
        <f>IF(S11&gt;0,0.76+S73+S64+S67+S60,0)</f>
        <v>0</v>
      </c>
      <c r="T74" s="96">
        <f>IF(T11&gt;0,0.76+T73+T64+T67+T60,0)</f>
        <v>0</v>
      </c>
      <c r="U74" s="98">
        <f>IF(U11&gt;0,0.76+U73+U64+U67+U60,0)</f>
        <v>0</v>
      </c>
      <c r="V74" s="96">
        <f>IF(V11&gt;0,0.76+V73+V64+V67+V60,0)</f>
        <v>0</v>
      </c>
      <c r="W74" s="98">
        <f>IF(W11&gt;0,0.76+W73+W64+W67+W60,0)</f>
        <v>0</v>
      </c>
      <c r="X74" s="96">
        <f>IF(X11&gt;0,0.76+X73+X64+X67+X60,0)</f>
        <v>0</v>
      </c>
      <c r="Y74" s="98">
        <f>IF(Y11&gt;0,0.76+Y73+Y64+Y67+Y60,0)</f>
        <v>0</v>
      </c>
      <c r="Z74" s="96">
        <f>IF(Z11&gt;0,0.76+Z73+Z64+Z67+Z60,0)</f>
        <v>0</v>
      </c>
      <c r="AA74" s="98">
        <f>IF(AA11&gt;0,0.76+AA73+AA64+AA67+AA60,0)</f>
        <v>0</v>
      </c>
      <c r="AB74" s="96">
        <f>IF(AB11&gt;0,0.76+AB73+AB64+AB67+AB60,0)</f>
        <v>0</v>
      </c>
      <c r="AC74" s="98">
        <f>IF(AC11&gt;0,0.76+AC73+AC64+AC67+AC60,0)</f>
        <v>0</v>
      </c>
      <c r="AD74" s="96">
        <f>IF(AD11&gt;0,0.76+AD73+AD64+AD67+AD60,0)</f>
        <v>0</v>
      </c>
      <c r="AE74" s="98">
        <f>IF(AE11&gt;0,0.76+AE73+AE64+AE67+AE60,0)</f>
        <v>0</v>
      </c>
      <c r="AF74" s="96">
        <f>IF(AF11&gt;0,0.76+AF73+AF64+AF67+AF60,0)</f>
        <v>0</v>
      </c>
      <c r="AG74" s="98">
        <f>IF(AG11&gt;0,0.76+AG73+AG64+AG67+AG60,0)</f>
        <v>0</v>
      </c>
      <c r="AH74" s="96">
        <f>IF(AH11&gt;0,0.76+AH73+AH64+AH67+AH60,0)</f>
        <v>0</v>
      </c>
      <c r="AI74" s="98">
        <f>IF(AI11&gt;0,0.76+AI73+AI64+AI67+AI60,0)</f>
        <v>0</v>
      </c>
      <c r="AJ74" s="96">
        <f>IF(AJ11&gt;0,0.76+AJ73+AJ64+AJ67+AJ60,0)</f>
        <v>0</v>
      </c>
      <c r="AK74" s="98">
        <f>IF(AK11&gt;0,0.76+AK73+AK64+AK67+AK60,0)</f>
        <v>0</v>
      </c>
      <c r="AL74" s="96">
        <f>IF(AL11&gt;0,0.76+AL73+AL64+AL67+AL60,0)</f>
        <v>0</v>
      </c>
      <c r="AM74" s="98">
        <f>IF(AM11&gt;0,0.76+AM73+AM64+AM67+AM60,0)</f>
        <v>0</v>
      </c>
      <c r="AN74" s="96">
        <f>IF(AN11&gt;0,0.76+AN73+AN64+AN67+AN60,0)</f>
        <v>0</v>
      </c>
      <c r="AO74" s="98">
        <f>IF(AO11&gt;0,0.76+AO73+AO64+AO67+AO60,0)</f>
        <v>0</v>
      </c>
      <c r="AP74" s="96">
        <f>IF(AP11&gt;0,0.76+AP73+AP64+AP67+AP60,0)</f>
        <v>0</v>
      </c>
      <c r="AQ74" s="98">
        <f>IF(AQ11&gt;0,0.76+AQ73+AQ64+AQ67+AQ60,0)</f>
        <v>0</v>
      </c>
      <c r="AR74" s="96">
        <f>IF(AR11&gt;0,0.76+AR73+AR64+AR67+AR60,0)</f>
        <v>0</v>
      </c>
      <c r="AS74" s="98">
        <f>IF(AS11&gt;0,0.76+AS73+AS64+AS67+AS60,0)</f>
        <v>0</v>
      </c>
      <c r="AT74" s="51"/>
      <c r="AU74" s="56"/>
    </row>
    <row r="75" spans="2:47" ht="13.5" x14ac:dyDescent="0.25">
      <c r="B75" s="55"/>
      <c r="C75" s="10"/>
      <c r="D75" s="11" t="s">
        <v>51</v>
      </c>
      <c r="E75" s="124" t="str">
        <f t="shared" ref="E75" si="17">IF(E74&lt;=2,"A",IF(E74&lt;=2.75,"B",IF(E74&lt;=3.5,"C",IF(E74&lt;=4.25,"D",IF(E74&lt;=5,"E","F")))))</f>
        <v>A</v>
      </c>
      <c r="F75" s="10" t="str">
        <f t="shared" ref="F75:G75" si="18">IF(F74&lt;=2,"A",IF(F74&lt;=2.75,"B",IF(F74&lt;=3.5,"C",IF(F74&lt;=4.25,"D",IF(F74&lt;=5,"E","F")))))</f>
        <v>E</v>
      </c>
      <c r="G75" s="12" t="str">
        <f t="shared" si="18"/>
        <v>E</v>
      </c>
      <c r="H75" s="10" t="str">
        <f t="shared" ref="H75:AS75" si="19">IF(H74&lt;=2,"A",IF(H74&lt;=2.75,"B",IF(H74&lt;=3.5,"C",IF(H74&lt;=4.25,"D",IF(H74&lt;=5,"E","F")))))</f>
        <v>A</v>
      </c>
      <c r="I75" s="99" t="str">
        <f t="shared" si="19"/>
        <v>A</v>
      </c>
      <c r="J75" s="10" t="str">
        <f t="shared" si="19"/>
        <v>A</v>
      </c>
      <c r="K75" s="99" t="str">
        <f t="shared" si="19"/>
        <v>A</v>
      </c>
      <c r="L75" s="10" t="str">
        <f t="shared" si="19"/>
        <v>A</v>
      </c>
      <c r="M75" s="99" t="str">
        <f t="shared" si="19"/>
        <v>A</v>
      </c>
      <c r="N75" s="10" t="str">
        <f t="shared" si="19"/>
        <v>A</v>
      </c>
      <c r="O75" s="99" t="str">
        <f t="shared" si="19"/>
        <v>A</v>
      </c>
      <c r="P75" s="10" t="str">
        <f t="shared" si="19"/>
        <v>A</v>
      </c>
      <c r="Q75" s="99" t="str">
        <f t="shared" si="19"/>
        <v>A</v>
      </c>
      <c r="R75" s="10" t="str">
        <f t="shared" si="19"/>
        <v>A</v>
      </c>
      <c r="S75" s="99" t="str">
        <f t="shared" si="19"/>
        <v>A</v>
      </c>
      <c r="T75" s="10" t="str">
        <f t="shared" si="19"/>
        <v>A</v>
      </c>
      <c r="U75" s="99" t="str">
        <f t="shared" si="19"/>
        <v>A</v>
      </c>
      <c r="V75" s="10" t="str">
        <f t="shared" si="19"/>
        <v>A</v>
      </c>
      <c r="W75" s="99" t="str">
        <f t="shared" si="19"/>
        <v>A</v>
      </c>
      <c r="X75" s="10" t="str">
        <f t="shared" si="19"/>
        <v>A</v>
      </c>
      <c r="Y75" s="99" t="str">
        <f t="shared" si="19"/>
        <v>A</v>
      </c>
      <c r="Z75" s="10" t="str">
        <f t="shared" si="19"/>
        <v>A</v>
      </c>
      <c r="AA75" s="99" t="str">
        <f t="shared" si="19"/>
        <v>A</v>
      </c>
      <c r="AB75" s="10" t="str">
        <f t="shared" si="19"/>
        <v>A</v>
      </c>
      <c r="AC75" s="99" t="str">
        <f t="shared" si="19"/>
        <v>A</v>
      </c>
      <c r="AD75" s="10" t="str">
        <f t="shared" si="19"/>
        <v>A</v>
      </c>
      <c r="AE75" s="99" t="str">
        <f t="shared" si="19"/>
        <v>A</v>
      </c>
      <c r="AF75" s="10" t="str">
        <f t="shared" si="19"/>
        <v>A</v>
      </c>
      <c r="AG75" s="99" t="str">
        <f t="shared" si="19"/>
        <v>A</v>
      </c>
      <c r="AH75" s="10" t="str">
        <f t="shared" si="19"/>
        <v>A</v>
      </c>
      <c r="AI75" s="99" t="str">
        <f t="shared" si="19"/>
        <v>A</v>
      </c>
      <c r="AJ75" s="10" t="str">
        <f t="shared" si="19"/>
        <v>A</v>
      </c>
      <c r="AK75" s="99" t="str">
        <f t="shared" si="19"/>
        <v>A</v>
      </c>
      <c r="AL75" s="10" t="str">
        <f t="shared" si="19"/>
        <v>A</v>
      </c>
      <c r="AM75" s="99" t="str">
        <f t="shared" si="19"/>
        <v>A</v>
      </c>
      <c r="AN75" s="10" t="str">
        <f t="shared" si="19"/>
        <v>A</v>
      </c>
      <c r="AO75" s="99" t="str">
        <f t="shared" si="19"/>
        <v>A</v>
      </c>
      <c r="AP75" s="10" t="str">
        <f t="shared" si="19"/>
        <v>A</v>
      </c>
      <c r="AQ75" s="99" t="str">
        <f t="shared" si="19"/>
        <v>A</v>
      </c>
      <c r="AR75" s="10" t="str">
        <f t="shared" si="19"/>
        <v>A</v>
      </c>
      <c r="AS75" s="99" t="str">
        <f t="shared" si="19"/>
        <v>A</v>
      </c>
      <c r="AT75" s="51"/>
      <c r="AU75" s="56"/>
    </row>
    <row r="76" spans="2:47" s="22" customFormat="1" ht="15.75" x14ac:dyDescent="0.25">
      <c r="B76" s="61"/>
      <c r="C76" s="17"/>
      <c r="D76" s="8" t="s">
        <v>206</v>
      </c>
      <c r="E76" s="116"/>
      <c r="F76" s="17"/>
      <c r="G76" s="18"/>
      <c r="H76" s="17"/>
      <c r="I76" s="18"/>
      <c r="J76" s="17"/>
      <c r="K76" s="18"/>
      <c r="L76" s="17"/>
      <c r="M76" s="18"/>
      <c r="N76" s="17"/>
      <c r="O76" s="18"/>
      <c r="P76" s="17"/>
      <c r="Q76" s="18"/>
      <c r="R76" s="17"/>
      <c r="S76" s="18"/>
      <c r="T76" s="17"/>
      <c r="U76" s="18"/>
      <c r="V76" s="17"/>
      <c r="W76" s="18"/>
      <c r="X76" s="17"/>
      <c r="Y76" s="18"/>
      <c r="Z76" s="17"/>
      <c r="AA76" s="18"/>
      <c r="AB76" s="17"/>
      <c r="AC76" s="18"/>
      <c r="AD76" s="17"/>
      <c r="AE76" s="18"/>
      <c r="AF76" s="17"/>
      <c r="AG76" s="18"/>
      <c r="AH76" s="17"/>
      <c r="AI76" s="18"/>
      <c r="AJ76" s="17"/>
      <c r="AK76" s="18"/>
      <c r="AL76" s="17"/>
      <c r="AM76" s="18"/>
      <c r="AN76" s="17"/>
      <c r="AO76" s="18"/>
      <c r="AP76" s="17"/>
      <c r="AQ76" s="18"/>
      <c r="AR76" s="17"/>
      <c r="AS76" s="18"/>
      <c r="AT76" s="50"/>
      <c r="AU76" s="62"/>
    </row>
    <row r="77" spans="2:47" ht="13.5" x14ac:dyDescent="0.25">
      <c r="B77" s="55"/>
      <c r="C77" s="10" t="s">
        <v>53</v>
      </c>
      <c r="D77" s="11" t="s">
        <v>54</v>
      </c>
      <c r="E77" s="124">
        <f>SUM(E33:E34)</f>
        <v>0</v>
      </c>
      <c r="F77" s="10">
        <f>SUM(F33:F34)</f>
        <v>8</v>
      </c>
      <c r="G77" s="12">
        <f>SUM(G33:G34)</f>
        <v>8</v>
      </c>
      <c r="H77" s="10">
        <f>SUM(H33:H34)</f>
        <v>0</v>
      </c>
      <c r="I77" s="99">
        <f>SUM(I33:I34)</f>
        <v>0</v>
      </c>
      <c r="J77" s="10">
        <f>SUM(J33:J34)</f>
        <v>0</v>
      </c>
      <c r="K77" s="99">
        <f>SUM(K33:K34)</f>
        <v>0</v>
      </c>
      <c r="L77" s="10">
        <f>SUM(L33:L34)</f>
        <v>0</v>
      </c>
      <c r="M77" s="99">
        <f>SUM(M33:M34)</f>
        <v>0</v>
      </c>
      <c r="N77" s="10">
        <f>SUM(N33:N34)</f>
        <v>0</v>
      </c>
      <c r="O77" s="99">
        <f>SUM(O33:O34)</f>
        <v>0</v>
      </c>
      <c r="P77" s="10">
        <f>SUM(P33:P34)</f>
        <v>0</v>
      </c>
      <c r="Q77" s="99">
        <f>SUM(Q33:Q34)</f>
        <v>0</v>
      </c>
      <c r="R77" s="10">
        <f>SUM(R33:R34)</f>
        <v>0</v>
      </c>
      <c r="S77" s="99">
        <f>SUM(S33:S34)</f>
        <v>0</v>
      </c>
      <c r="T77" s="10">
        <f>SUM(T33:T34)</f>
        <v>0</v>
      </c>
      <c r="U77" s="99">
        <f>SUM(U33:U34)</f>
        <v>0</v>
      </c>
      <c r="V77" s="10">
        <f>SUM(V33:V34)</f>
        <v>0</v>
      </c>
      <c r="W77" s="99">
        <f>SUM(W33:W34)</f>
        <v>0</v>
      </c>
      <c r="X77" s="10">
        <f>SUM(X33:X34)</f>
        <v>0</v>
      </c>
      <c r="Y77" s="99">
        <f>SUM(Y33:Y34)</f>
        <v>0</v>
      </c>
      <c r="Z77" s="10">
        <f>SUM(Z33:Z34)</f>
        <v>0</v>
      </c>
      <c r="AA77" s="99">
        <f>SUM(AA33:AA34)</f>
        <v>0</v>
      </c>
      <c r="AB77" s="10">
        <f>SUM(AB33:AB34)</f>
        <v>0</v>
      </c>
      <c r="AC77" s="99">
        <f>SUM(AC33:AC34)</f>
        <v>0</v>
      </c>
      <c r="AD77" s="10">
        <f>SUM(AD33:AD34)</f>
        <v>0</v>
      </c>
      <c r="AE77" s="99">
        <f>SUM(AE33:AE34)</f>
        <v>0</v>
      </c>
      <c r="AF77" s="10">
        <f>SUM(AF33:AF34)</f>
        <v>0</v>
      </c>
      <c r="AG77" s="99">
        <f>SUM(AG33:AG34)</f>
        <v>0</v>
      </c>
      <c r="AH77" s="10">
        <f>SUM(AH33:AH34)</f>
        <v>0</v>
      </c>
      <c r="AI77" s="99">
        <f>SUM(AI33:AI34)</f>
        <v>0</v>
      </c>
      <c r="AJ77" s="10">
        <f>SUM(AJ33:AJ34)</f>
        <v>0</v>
      </c>
      <c r="AK77" s="99">
        <f>SUM(AK33:AK34)</f>
        <v>0</v>
      </c>
      <c r="AL77" s="10">
        <f>SUM(AL33:AL34)</f>
        <v>0</v>
      </c>
      <c r="AM77" s="99">
        <f>SUM(AM33:AM34)</f>
        <v>0</v>
      </c>
      <c r="AN77" s="10">
        <f>SUM(AN33:AN34)</f>
        <v>0</v>
      </c>
      <c r="AO77" s="99">
        <f>SUM(AO33:AO34)</f>
        <v>0</v>
      </c>
      <c r="AP77" s="10">
        <f>SUM(AP33:AP34)</f>
        <v>0</v>
      </c>
      <c r="AQ77" s="99">
        <f>SUM(AQ33:AQ34)</f>
        <v>0</v>
      </c>
      <c r="AR77" s="10">
        <f>SUM(AR33:AR34)</f>
        <v>0</v>
      </c>
      <c r="AS77" s="99">
        <f>SUM(AS33:AS34)</f>
        <v>0</v>
      </c>
      <c r="AT77" s="51"/>
      <c r="AU77" s="56"/>
    </row>
    <row r="78" spans="2:47" ht="14.25" x14ac:dyDescent="0.25">
      <c r="B78" s="55"/>
      <c r="C78" s="10" t="s">
        <v>80</v>
      </c>
      <c r="D78" s="11" t="s">
        <v>55</v>
      </c>
      <c r="E78" s="125">
        <f t="shared" ref="E78" si="20">4*EXP(-1.434/(E77+0.001))</f>
        <v>0</v>
      </c>
      <c r="F78" s="15">
        <f t="shared" ref="F78:G78" si="21">4*EXP(-1.434/(F77+0.001))</f>
        <v>3.3436625049284676</v>
      </c>
      <c r="G78" s="38">
        <f t="shared" si="21"/>
        <v>3.3436625049284676</v>
      </c>
      <c r="H78" s="96">
        <f t="shared" ref="H78:AS78" si="22">4*EXP(-1.434/(H77+0.001))</f>
        <v>0</v>
      </c>
      <c r="I78" s="98">
        <f t="shared" si="22"/>
        <v>0</v>
      </c>
      <c r="J78" s="96">
        <f t="shared" si="22"/>
        <v>0</v>
      </c>
      <c r="K78" s="98">
        <f t="shared" si="22"/>
        <v>0</v>
      </c>
      <c r="L78" s="96">
        <f t="shared" si="22"/>
        <v>0</v>
      </c>
      <c r="M78" s="98">
        <f t="shared" si="22"/>
        <v>0</v>
      </c>
      <c r="N78" s="96">
        <f t="shared" si="22"/>
        <v>0</v>
      </c>
      <c r="O78" s="98">
        <f t="shared" si="22"/>
        <v>0</v>
      </c>
      <c r="P78" s="96">
        <f t="shared" si="22"/>
        <v>0</v>
      </c>
      <c r="Q78" s="98">
        <f t="shared" si="22"/>
        <v>0</v>
      </c>
      <c r="R78" s="96">
        <f t="shared" si="22"/>
        <v>0</v>
      </c>
      <c r="S78" s="98">
        <f t="shared" si="22"/>
        <v>0</v>
      </c>
      <c r="T78" s="96">
        <f t="shared" si="22"/>
        <v>0</v>
      </c>
      <c r="U78" s="98">
        <f t="shared" si="22"/>
        <v>0</v>
      </c>
      <c r="V78" s="96">
        <f t="shared" si="22"/>
        <v>0</v>
      </c>
      <c r="W78" s="98">
        <f t="shared" si="22"/>
        <v>0</v>
      </c>
      <c r="X78" s="96">
        <f t="shared" si="22"/>
        <v>0</v>
      </c>
      <c r="Y78" s="98">
        <f t="shared" si="22"/>
        <v>0</v>
      </c>
      <c r="Z78" s="96">
        <f t="shared" si="22"/>
        <v>0</v>
      </c>
      <c r="AA78" s="98">
        <f t="shared" si="22"/>
        <v>0</v>
      </c>
      <c r="AB78" s="96">
        <f t="shared" si="22"/>
        <v>0</v>
      </c>
      <c r="AC78" s="98">
        <f t="shared" si="22"/>
        <v>0</v>
      </c>
      <c r="AD78" s="96">
        <f t="shared" si="22"/>
        <v>0</v>
      </c>
      <c r="AE78" s="98">
        <f t="shared" si="22"/>
        <v>0</v>
      </c>
      <c r="AF78" s="96">
        <f t="shared" si="22"/>
        <v>0</v>
      </c>
      <c r="AG78" s="98">
        <f t="shared" si="22"/>
        <v>0</v>
      </c>
      <c r="AH78" s="96">
        <f t="shared" si="22"/>
        <v>0</v>
      </c>
      <c r="AI78" s="98">
        <f t="shared" si="22"/>
        <v>0</v>
      </c>
      <c r="AJ78" s="96">
        <f t="shared" si="22"/>
        <v>0</v>
      </c>
      <c r="AK78" s="98">
        <f t="shared" si="22"/>
        <v>0</v>
      </c>
      <c r="AL78" s="96">
        <f t="shared" si="22"/>
        <v>0</v>
      </c>
      <c r="AM78" s="98">
        <f t="shared" si="22"/>
        <v>0</v>
      </c>
      <c r="AN78" s="96">
        <f t="shared" si="22"/>
        <v>0</v>
      </c>
      <c r="AO78" s="98">
        <f t="shared" si="22"/>
        <v>0</v>
      </c>
      <c r="AP78" s="96">
        <f t="shared" si="22"/>
        <v>0</v>
      </c>
      <c r="AQ78" s="98">
        <f t="shared" si="22"/>
        <v>0</v>
      </c>
      <c r="AR78" s="96">
        <f t="shared" si="22"/>
        <v>0</v>
      </c>
      <c r="AS78" s="98">
        <f t="shared" si="22"/>
        <v>0</v>
      </c>
      <c r="AT78" s="51"/>
      <c r="AU78" s="56"/>
    </row>
    <row r="79" spans="2:47" ht="14.25" x14ac:dyDescent="0.25">
      <c r="B79" s="55"/>
      <c r="C79" s="10" t="s">
        <v>81</v>
      </c>
      <c r="D79" s="11" t="s">
        <v>56</v>
      </c>
      <c r="E79" s="125">
        <f>IF(E36&lt;=0.8,1,IF(E36&lt;=1,1+((4*(E36-0.8))/4.2),1+(((4*(E36-0.8))+((E36-1)*(6.5+(5*(E36-1)))))/(4.2*E36))))</f>
        <v>1</v>
      </c>
      <c r="F79" s="15">
        <f>IF(F36&lt;=0.8,1,IF(F36&lt;=1,1+((4*(F36-0.8))/4.2),1+(((4*(F36-0.8))+((F36-1)*(6.5+(5*(F36-1)))))/(4.2*F36))))</f>
        <v>1.0476190476190474</v>
      </c>
      <c r="G79" s="38">
        <f>IF(G36&lt;=0.8,1,IF(G36&lt;=1,1+((4*(G36-0.8))/4.2),1+(((4*(G36-0.8))+((G36-1)*(6.5+(5*(G36-1)))))/(4.2*G36))))</f>
        <v>1.0476190476190474</v>
      </c>
      <c r="H79" s="96">
        <f>IF(H36&lt;=0.8,1,IF(H36&lt;=1,1+((4*(H36-0.8))/4.2),1+(((4*(H36-0.8))+((H36-1)*(6.5+(5*(H36-1)))))/(4.2*H36))))</f>
        <v>1</v>
      </c>
      <c r="I79" s="98">
        <f>IF(I36&lt;=0.8,1,IF(I36&lt;=1,1+((4*(I36-0.8))/4.2),1+(((4*(I36-0.8))+((I36-1)*(6.5+(5*(I36-1)))))/(4.2*I36))))</f>
        <v>1</v>
      </c>
      <c r="J79" s="96">
        <f>IF(J36&lt;=0.8,1,IF(J36&lt;=1,1+((4*(J36-0.8))/4.2),1+(((4*(J36-0.8))+((J36-1)*(6.5+(5*(J36-1)))))/(4.2*J36))))</f>
        <v>1</v>
      </c>
      <c r="K79" s="98">
        <f>IF(K36&lt;=0.8,1,IF(K36&lt;=1,1+((4*(K36-0.8))/4.2),1+(((4*(K36-0.8))+((K36-1)*(6.5+(5*(K36-1)))))/(4.2*K36))))</f>
        <v>1</v>
      </c>
      <c r="L79" s="96">
        <f>IF(L36&lt;=0.8,1,IF(L36&lt;=1,1+((4*(L36-0.8))/4.2),1+(((4*(L36-0.8))+((L36-1)*(6.5+(5*(L36-1)))))/(4.2*L36))))</f>
        <v>1</v>
      </c>
      <c r="M79" s="98">
        <f>IF(M36&lt;=0.8,1,IF(M36&lt;=1,1+((4*(M36-0.8))/4.2),1+(((4*(M36-0.8))+((M36-1)*(6.5+(5*(M36-1)))))/(4.2*M36))))</f>
        <v>1</v>
      </c>
      <c r="N79" s="96">
        <f>IF(N36&lt;=0.8,1,IF(N36&lt;=1,1+((4*(N36-0.8))/4.2),1+(((4*(N36-0.8))+((N36-1)*(6.5+(5*(N36-1)))))/(4.2*N36))))</f>
        <v>1</v>
      </c>
      <c r="O79" s="98">
        <f>IF(O36&lt;=0.8,1,IF(O36&lt;=1,1+((4*(O36-0.8))/4.2),1+(((4*(O36-0.8))+((O36-1)*(6.5+(5*(O36-1)))))/(4.2*O36))))</f>
        <v>1</v>
      </c>
      <c r="P79" s="96">
        <f>IF(P36&lt;=0.8,1,IF(P36&lt;=1,1+((4*(P36-0.8))/4.2),1+(((4*(P36-0.8))+((P36-1)*(6.5+(5*(P36-1)))))/(4.2*P36))))</f>
        <v>1</v>
      </c>
      <c r="Q79" s="98">
        <f>IF(Q36&lt;=0.8,1,IF(Q36&lt;=1,1+((4*(Q36-0.8))/4.2),1+(((4*(Q36-0.8))+((Q36-1)*(6.5+(5*(Q36-1)))))/(4.2*Q36))))</f>
        <v>1</v>
      </c>
      <c r="R79" s="96">
        <f>IF(R36&lt;=0.8,1,IF(R36&lt;=1,1+((4*(R36-0.8))/4.2),1+(((4*(R36-0.8))+((R36-1)*(6.5+(5*(R36-1)))))/(4.2*R36))))</f>
        <v>1</v>
      </c>
      <c r="S79" s="98">
        <f>IF(S36&lt;=0.8,1,IF(S36&lt;=1,1+((4*(S36-0.8))/4.2),1+(((4*(S36-0.8))+((S36-1)*(6.5+(5*(S36-1)))))/(4.2*S36))))</f>
        <v>1</v>
      </c>
      <c r="T79" s="96">
        <f>IF(T36&lt;=0.8,1,IF(T36&lt;=1,1+((4*(T36-0.8))/4.2),1+(((4*(T36-0.8))+((T36-1)*(6.5+(5*(T36-1)))))/(4.2*T36))))</f>
        <v>1</v>
      </c>
      <c r="U79" s="98">
        <f>IF(U36&lt;=0.8,1,IF(U36&lt;=1,1+((4*(U36-0.8))/4.2),1+(((4*(U36-0.8))+((U36-1)*(6.5+(5*(U36-1)))))/(4.2*U36))))</f>
        <v>1</v>
      </c>
      <c r="V79" s="96">
        <f>IF(V36&lt;=0.8,1,IF(V36&lt;=1,1+((4*(V36-0.8))/4.2),1+(((4*(V36-0.8))+((V36-1)*(6.5+(5*(V36-1)))))/(4.2*V36))))</f>
        <v>1</v>
      </c>
      <c r="W79" s="98">
        <f>IF(W36&lt;=0.8,1,IF(W36&lt;=1,1+((4*(W36-0.8))/4.2),1+(((4*(W36-0.8))+((W36-1)*(6.5+(5*(W36-1)))))/(4.2*W36))))</f>
        <v>1</v>
      </c>
      <c r="X79" s="96">
        <f>IF(X36&lt;=0.8,1,IF(X36&lt;=1,1+((4*(X36-0.8))/4.2),1+(((4*(X36-0.8))+((X36-1)*(6.5+(5*(X36-1)))))/(4.2*X36))))</f>
        <v>1</v>
      </c>
      <c r="Y79" s="98">
        <f>IF(Y36&lt;=0.8,1,IF(Y36&lt;=1,1+((4*(Y36-0.8))/4.2),1+(((4*(Y36-0.8))+((Y36-1)*(6.5+(5*(Y36-1)))))/(4.2*Y36))))</f>
        <v>1</v>
      </c>
      <c r="Z79" s="96">
        <f>IF(Z36&lt;=0.8,1,IF(Z36&lt;=1,1+((4*(Z36-0.8))/4.2),1+(((4*(Z36-0.8))+((Z36-1)*(6.5+(5*(Z36-1)))))/(4.2*Z36))))</f>
        <v>1</v>
      </c>
      <c r="AA79" s="98">
        <f>IF(AA36&lt;=0.8,1,IF(AA36&lt;=1,1+((4*(AA36-0.8))/4.2),1+(((4*(AA36-0.8))+((AA36-1)*(6.5+(5*(AA36-1)))))/(4.2*AA36))))</f>
        <v>1</v>
      </c>
      <c r="AB79" s="96">
        <f>IF(AB36&lt;=0.8,1,IF(AB36&lt;=1,1+((4*(AB36-0.8))/4.2),1+(((4*(AB36-0.8))+((AB36-1)*(6.5+(5*(AB36-1)))))/(4.2*AB36))))</f>
        <v>1</v>
      </c>
      <c r="AC79" s="98">
        <f>IF(AC36&lt;=0.8,1,IF(AC36&lt;=1,1+((4*(AC36-0.8))/4.2),1+(((4*(AC36-0.8))+((AC36-1)*(6.5+(5*(AC36-1)))))/(4.2*AC36))))</f>
        <v>1</v>
      </c>
      <c r="AD79" s="96">
        <f>IF(AD36&lt;=0.8,1,IF(AD36&lt;=1,1+((4*(AD36-0.8))/4.2),1+(((4*(AD36-0.8))+((AD36-1)*(6.5+(5*(AD36-1)))))/(4.2*AD36))))</f>
        <v>1</v>
      </c>
      <c r="AE79" s="98">
        <f>IF(AE36&lt;=0.8,1,IF(AE36&lt;=1,1+((4*(AE36-0.8))/4.2),1+(((4*(AE36-0.8))+((AE36-1)*(6.5+(5*(AE36-1)))))/(4.2*AE36))))</f>
        <v>1</v>
      </c>
      <c r="AF79" s="96">
        <f>IF(AF36&lt;=0.8,1,IF(AF36&lt;=1,1+((4*(AF36-0.8))/4.2),1+(((4*(AF36-0.8))+((AF36-1)*(6.5+(5*(AF36-1)))))/(4.2*AF36))))</f>
        <v>1</v>
      </c>
      <c r="AG79" s="98">
        <f>IF(AG36&lt;=0.8,1,IF(AG36&lt;=1,1+((4*(AG36-0.8))/4.2),1+(((4*(AG36-0.8))+((AG36-1)*(6.5+(5*(AG36-1)))))/(4.2*AG36))))</f>
        <v>1</v>
      </c>
      <c r="AH79" s="96">
        <f>IF(AH36&lt;=0.8,1,IF(AH36&lt;=1,1+((4*(AH36-0.8))/4.2),1+(((4*(AH36-0.8))+((AH36-1)*(6.5+(5*(AH36-1)))))/(4.2*AH36))))</f>
        <v>1</v>
      </c>
      <c r="AI79" s="98">
        <f>IF(AI36&lt;=0.8,1,IF(AI36&lt;=1,1+((4*(AI36-0.8))/4.2),1+(((4*(AI36-0.8))+((AI36-1)*(6.5+(5*(AI36-1)))))/(4.2*AI36))))</f>
        <v>1</v>
      </c>
      <c r="AJ79" s="96">
        <f>IF(AJ36&lt;=0.8,1,IF(AJ36&lt;=1,1+((4*(AJ36-0.8))/4.2),1+(((4*(AJ36-0.8))+((AJ36-1)*(6.5+(5*(AJ36-1)))))/(4.2*AJ36))))</f>
        <v>1</v>
      </c>
      <c r="AK79" s="98">
        <f>IF(AK36&lt;=0.8,1,IF(AK36&lt;=1,1+((4*(AK36-0.8))/4.2),1+(((4*(AK36-0.8))+((AK36-1)*(6.5+(5*(AK36-1)))))/(4.2*AK36))))</f>
        <v>1</v>
      </c>
      <c r="AL79" s="96">
        <f>IF(AL36&lt;=0.8,1,IF(AL36&lt;=1,1+((4*(AL36-0.8))/4.2),1+(((4*(AL36-0.8))+((AL36-1)*(6.5+(5*(AL36-1)))))/(4.2*AL36))))</f>
        <v>1</v>
      </c>
      <c r="AM79" s="98">
        <f>IF(AM36&lt;=0.8,1,IF(AM36&lt;=1,1+((4*(AM36-0.8))/4.2),1+(((4*(AM36-0.8))+((AM36-1)*(6.5+(5*(AM36-1)))))/(4.2*AM36))))</f>
        <v>1</v>
      </c>
      <c r="AN79" s="96">
        <f>IF(AN36&lt;=0.8,1,IF(AN36&lt;=1,1+((4*(AN36-0.8))/4.2),1+(((4*(AN36-0.8))+((AN36-1)*(6.5+(5*(AN36-1)))))/(4.2*AN36))))</f>
        <v>1</v>
      </c>
      <c r="AO79" s="98">
        <f>IF(AO36&lt;=0.8,1,IF(AO36&lt;=1,1+((4*(AO36-0.8))/4.2),1+(((4*(AO36-0.8))+((AO36-1)*(6.5+(5*(AO36-1)))))/(4.2*AO36))))</f>
        <v>1</v>
      </c>
      <c r="AP79" s="96">
        <f>IF(AP36&lt;=0.8,1,IF(AP36&lt;=1,1+((4*(AP36-0.8))/4.2),1+(((4*(AP36-0.8))+((AP36-1)*(6.5+(5*(AP36-1)))))/(4.2*AP36))))</f>
        <v>1</v>
      </c>
      <c r="AQ79" s="98">
        <f>IF(AQ36&lt;=0.8,1,IF(AQ36&lt;=1,1+((4*(AQ36-0.8))/4.2),1+(((4*(AQ36-0.8))+((AQ36-1)*(6.5+(5*(AQ36-1)))))/(4.2*AQ36))))</f>
        <v>1</v>
      </c>
      <c r="AR79" s="96">
        <f>IF(AR36&lt;=0.8,1,IF(AR36&lt;=1,1+((4*(AR36-0.8))/4.2),1+(((4*(AR36-0.8))+((AR36-1)*(6.5+(5*(AR36-1)))))/(4.2*AR36))))</f>
        <v>1</v>
      </c>
      <c r="AS79" s="98">
        <f>IF(AS36&lt;=0.8,1,IF(AS36&lt;=1,1+((4*(AS36-0.8))/4.2),1+(((4*(AS36-0.8))+((AS36-1)*(6.5+(5*(AS36-1)))))/(4.2*AS36))))</f>
        <v>1</v>
      </c>
      <c r="AT79" s="51"/>
      <c r="AU79" s="56"/>
    </row>
    <row r="80" spans="2:47" ht="14.25" x14ac:dyDescent="0.25">
      <c r="B80" s="55"/>
      <c r="C80" s="10" t="s">
        <v>82</v>
      </c>
      <c r="D80" s="11" t="s">
        <v>57</v>
      </c>
      <c r="E80" s="126">
        <f>(E40*1.3+E41*0.2)/E38</f>
        <v>0</v>
      </c>
      <c r="F80" s="13">
        <f>(F40*1.3+F41*0.2)/F38</f>
        <v>5.4054054054054057E-2</v>
      </c>
      <c r="G80" s="14">
        <f>(G40*1.3+G41*0.2)/G38</f>
        <v>5.4054054054054057E-2</v>
      </c>
      <c r="H80" s="13" t="e">
        <f>(H40*1.3+H41*0.2)/H38</f>
        <v>#DIV/0!</v>
      </c>
      <c r="I80" s="14" t="e">
        <f>(I40*1.3+I41*0.2)/I38</f>
        <v>#DIV/0!</v>
      </c>
      <c r="J80" s="13" t="e">
        <f>(J40*1.3+J41*0.2)/J38</f>
        <v>#DIV/0!</v>
      </c>
      <c r="K80" s="14" t="e">
        <f>(K40*1.3+K41*0.2)/K38</f>
        <v>#DIV/0!</v>
      </c>
      <c r="L80" s="13" t="e">
        <f>(L40*1.3+L41*0.2)/L38</f>
        <v>#DIV/0!</v>
      </c>
      <c r="M80" s="14" t="e">
        <f>(M40*1.3+M41*0.2)/M38</f>
        <v>#DIV/0!</v>
      </c>
      <c r="N80" s="13" t="e">
        <f>(N40*1.3+N41*0.2)/N38</f>
        <v>#DIV/0!</v>
      </c>
      <c r="O80" s="14" t="e">
        <f>(O40*1.3+O41*0.2)/O38</f>
        <v>#DIV/0!</v>
      </c>
      <c r="P80" s="13" t="e">
        <f>(P40*1.3+P41*0.2)/P38</f>
        <v>#DIV/0!</v>
      </c>
      <c r="Q80" s="14" t="e">
        <f>(Q40*1.3+Q41*0.2)/Q38</f>
        <v>#DIV/0!</v>
      </c>
      <c r="R80" s="13" t="e">
        <f>(R40*1.3+R41*0.2)/R38</f>
        <v>#DIV/0!</v>
      </c>
      <c r="S80" s="14" t="e">
        <f>(S40*1.3+S41*0.2)/S38</f>
        <v>#DIV/0!</v>
      </c>
      <c r="T80" s="13" t="e">
        <f>(T40*1.3+T41*0.2)/T38</f>
        <v>#DIV/0!</v>
      </c>
      <c r="U80" s="14" t="e">
        <f>(U40*1.3+U41*0.2)/U38</f>
        <v>#DIV/0!</v>
      </c>
      <c r="V80" s="13" t="e">
        <f>(V40*1.3+V41*0.2)/V38</f>
        <v>#DIV/0!</v>
      </c>
      <c r="W80" s="14" t="e">
        <f>(W40*1.3+W41*0.2)/W38</f>
        <v>#DIV/0!</v>
      </c>
      <c r="X80" s="13" t="e">
        <f>(X40*1.3+X41*0.2)/X38</f>
        <v>#DIV/0!</v>
      </c>
      <c r="Y80" s="14" t="e">
        <f>(Y40*1.3+Y41*0.2)/Y38</f>
        <v>#DIV/0!</v>
      </c>
      <c r="Z80" s="13" t="e">
        <f>(Z40*1.3+Z41*0.2)/Z38</f>
        <v>#DIV/0!</v>
      </c>
      <c r="AA80" s="14" t="e">
        <f>(AA40*1.3+AA41*0.2)/AA38</f>
        <v>#DIV/0!</v>
      </c>
      <c r="AB80" s="13" t="e">
        <f>(AB40*1.3+AB41*0.2)/AB38</f>
        <v>#DIV/0!</v>
      </c>
      <c r="AC80" s="14" t="e">
        <f>(AC40*1.3+AC41*0.2)/AC38</f>
        <v>#DIV/0!</v>
      </c>
      <c r="AD80" s="13" t="e">
        <f>(AD40*1.3+AD41*0.2)/AD38</f>
        <v>#DIV/0!</v>
      </c>
      <c r="AE80" s="14" t="e">
        <f>(AE40*1.3+AE41*0.2)/AE38</f>
        <v>#DIV/0!</v>
      </c>
      <c r="AF80" s="13" t="e">
        <f>(AF40*1.3+AF41*0.2)/AF38</f>
        <v>#DIV/0!</v>
      </c>
      <c r="AG80" s="14" t="e">
        <f>(AG40*1.3+AG41*0.2)/AG38</f>
        <v>#DIV/0!</v>
      </c>
      <c r="AH80" s="13" t="e">
        <f>(AH40*1.3+AH41*0.2)/AH38</f>
        <v>#DIV/0!</v>
      </c>
      <c r="AI80" s="14" t="e">
        <f>(AI40*1.3+AI41*0.2)/AI38</f>
        <v>#DIV/0!</v>
      </c>
      <c r="AJ80" s="13" t="e">
        <f>(AJ40*1.3+AJ41*0.2)/AJ38</f>
        <v>#DIV/0!</v>
      </c>
      <c r="AK80" s="14" t="e">
        <f>(AK40*1.3+AK41*0.2)/AK38</f>
        <v>#DIV/0!</v>
      </c>
      <c r="AL80" s="13" t="e">
        <f>(AL40*1.3+AL41*0.2)/AL38</f>
        <v>#DIV/0!</v>
      </c>
      <c r="AM80" s="14" t="e">
        <f>(AM40*1.3+AM41*0.2)/AM38</f>
        <v>#DIV/0!</v>
      </c>
      <c r="AN80" s="13" t="e">
        <f>(AN40*1.3+AN41*0.2)/AN38</f>
        <v>#DIV/0!</v>
      </c>
      <c r="AO80" s="14" t="e">
        <f>(AO40*1.3+AO41*0.2)/AO38</f>
        <v>#DIV/0!</v>
      </c>
      <c r="AP80" s="13" t="e">
        <f>(AP40*1.3+AP41*0.2)/AP38</f>
        <v>#DIV/0!</v>
      </c>
      <c r="AQ80" s="14" t="e">
        <f>(AQ40*1.3+AQ41*0.2)/AQ38</f>
        <v>#DIV/0!</v>
      </c>
      <c r="AR80" s="13" t="e">
        <f>(AR40*1.3+AR41*0.2)/AR38</f>
        <v>#DIV/0!</v>
      </c>
      <c r="AS80" s="14" t="e">
        <f>(AS40*1.3+AS41*0.2)/AS38</f>
        <v>#DIV/0!</v>
      </c>
      <c r="AT80" s="51"/>
      <c r="AU80" s="56"/>
    </row>
    <row r="81" spans="2:47" ht="14.25" x14ac:dyDescent="0.25">
      <c r="B81" s="55"/>
      <c r="C81" s="10" t="s">
        <v>83</v>
      </c>
      <c r="D81" s="11" t="s">
        <v>58</v>
      </c>
      <c r="E81" s="126">
        <f>E35/E38</f>
        <v>0</v>
      </c>
      <c r="F81" s="13">
        <f>F35/F38</f>
        <v>0</v>
      </c>
      <c r="G81" s="14">
        <f>G35/G38</f>
        <v>0</v>
      </c>
      <c r="H81" s="13" t="e">
        <f>H35/H38</f>
        <v>#DIV/0!</v>
      </c>
      <c r="I81" s="14" t="e">
        <f>I35/I38</f>
        <v>#DIV/0!</v>
      </c>
      <c r="J81" s="13" t="e">
        <f>J35/J38</f>
        <v>#DIV/0!</v>
      </c>
      <c r="K81" s="14" t="e">
        <f>K35/K38</f>
        <v>#DIV/0!</v>
      </c>
      <c r="L81" s="13" t="e">
        <f>L35/L38</f>
        <v>#DIV/0!</v>
      </c>
      <c r="M81" s="14" t="e">
        <f>M35/M38</f>
        <v>#DIV/0!</v>
      </c>
      <c r="N81" s="13" t="e">
        <f>N35/N38</f>
        <v>#DIV/0!</v>
      </c>
      <c r="O81" s="14" t="e">
        <f>O35/O38</f>
        <v>#DIV/0!</v>
      </c>
      <c r="P81" s="13" t="e">
        <f>P35/P38</f>
        <v>#DIV/0!</v>
      </c>
      <c r="Q81" s="14" t="e">
        <f>Q35/Q38</f>
        <v>#DIV/0!</v>
      </c>
      <c r="R81" s="13" t="e">
        <f>R35/R38</f>
        <v>#DIV/0!</v>
      </c>
      <c r="S81" s="14" t="e">
        <f>S35/S38</f>
        <v>#DIV/0!</v>
      </c>
      <c r="T81" s="13" t="e">
        <f>T35/T38</f>
        <v>#DIV/0!</v>
      </c>
      <c r="U81" s="14" t="e">
        <f>U35/U38</f>
        <v>#DIV/0!</v>
      </c>
      <c r="V81" s="13" t="e">
        <f>V35/V38</f>
        <v>#DIV/0!</v>
      </c>
      <c r="W81" s="14" t="e">
        <f>W35/W38</f>
        <v>#DIV/0!</v>
      </c>
      <c r="X81" s="13" t="e">
        <f>X35/X38</f>
        <v>#DIV/0!</v>
      </c>
      <c r="Y81" s="14" t="e">
        <f>Y35/Y38</f>
        <v>#DIV/0!</v>
      </c>
      <c r="Z81" s="13" t="e">
        <f>Z35/Z38</f>
        <v>#DIV/0!</v>
      </c>
      <c r="AA81" s="14" t="e">
        <f>AA35/AA38</f>
        <v>#DIV/0!</v>
      </c>
      <c r="AB81" s="13" t="e">
        <f>AB35/AB38</f>
        <v>#DIV/0!</v>
      </c>
      <c r="AC81" s="14" t="e">
        <f>AC35/AC38</f>
        <v>#DIV/0!</v>
      </c>
      <c r="AD81" s="13" t="e">
        <f>AD35/AD38</f>
        <v>#DIV/0!</v>
      </c>
      <c r="AE81" s="14" t="e">
        <f>AE35/AE38</f>
        <v>#DIV/0!</v>
      </c>
      <c r="AF81" s="13" t="e">
        <f>AF35/AF38</f>
        <v>#DIV/0!</v>
      </c>
      <c r="AG81" s="14" t="e">
        <f>AG35/AG38</f>
        <v>#DIV/0!</v>
      </c>
      <c r="AH81" s="13" t="e">
        <f>AH35/AH38</f>
        <v>#DIV/0!</v>
      </c>
      <c r="AI81" s="14" t="e">
        <f>AI35/AI38</f>
        <v>#DIV/0!</v>
      </c>
      <c r="AJ81" s="13" t="e">
        <f>AJ35/AJ38</f>
        <v>#DIV/0!</v>
      </c>
      <c r="AK81" s="14" t="e">
        <f>AK35/AK38</f>
        <v>#DIV/0!</v>
      </c>
      <c r="AL81" s="13" t="e">
        <f>AL35/AL38</f>
        <v>#DIV/0!</v>
      </c>
      <c r="AM81" s="14" t="e">
        <f>AM35/AM38</f>
        <v>#DIV/0!</v>
      </c>
      <c r="AN81" s="13" t="e">
        <f>AN35/AN38</f>
        <v>#DIV/0!</v>
      </c>
      <c r="AO81" s="14" t="e">
        <f>AO35/AO38</f>
        <v>#DIV/0!</v>
      </c>
      <c r="AP81" s="13" t="e">
        <f>AP35/AP38</f>
        <v>#DIV/0!</v>
      </c>
      <c r="AQ81" s="14" t="e">
        <f>AQ35/AQ38</f>
        <v>#DIV/0!</v>
      </c>
      <c r="AR81" s="13" t="e">
        <f>AR35/AR38</f>
        <v>#DIV/0!</v>
      </c>
      <c r="AS81" s="14" t="e">
        <f>AS35/AS38</f>
        <v>#DIV/0!</v>
      </c>
      <c r="AT81" s="138"/>
      <c r="AU81" s="56"/>
    </row>
    <row r="82" spans="2:47" ht="14.25" x14ac:dyDescent="0.25">
      <c r="B82" s="55"/>
      <c r="C82" s="10" t="s">
        <v>84</v>
      </c>
      <c r="D82" s="11" t="s">
        <v>59</v>
      </c>
      <c r="E82" s="126" t="e">
        <f>(E79*(60/E37))+(2*E81)-E80</f>
        <v>#DIV/0!</v>
      </c>
      <c r="F82" s="13">
        <f>(F79*(60/F37))+(2*F81)-F80</f>
        <v>6.9300729300729289</v>
      </c>
      <c r="G82" s="14">
        <f>(G79*(60/G37))+(2*G81)-G80</f>
        <v>6.9300729300729289</v>
      </c>
      <c r="H82" s="13" t="e">
        <f>(H79*(60/H37))+(2*H81)-H80</f>
        <v>#DIV/0!</v>
      </c>
      <c r="I82" s="14" t="e">
        <f>(I79*(60/I37))+(2*I81)-I80</f>
        <v>#DIV/0!</v>
      </c>
      <c r="J82" s="13" t="e">
        <f>(J79*(60/J37))+(2*J81)-J80</f>
        <v>#DIV/0!</v>
      </c>
      <c r="K82" s="14" t="e">
        <f>(K79*(60/K37))+(2*K81)-K80</f>
        <v>#DIV/0!</v>
      </c>
      <c r="L82" s="13" t="e">
        <f>(L79*(60/L37))+(2*L81)-L80</f>
        <v>#DIV/0!</v>
      </c>
      <c r="M82" s="14" t="e">
        <f>(M79*(60/M37))+(2*M81)-M80</f>
        <v>#DIV/0!</v>
      </c>
      <c r="N82" s="13" t="e">
        <f>(N79*(60/N37))+(2*N81)-N80</f>
        <v>#DIV/0!</v>
      </c>
      <c r="O82" s="14" t="e">
        <f>(O79*(60/O37))+(2*O81)-O80</f>
        <v>#DIV/0!</v>
      </c>
      <c r="P82" s="13" t="e">
        <f>(P79*(60/P37))+(2*P81)-P80</f>
        <v>#DIV/0!</v>
      </c>
      <c r="Q82" s="14" t="e">
        <f>(Q79*(60/Q37))+(2*Q81)-Q80</f>
        <v>#DIV/0!</v>
      </c>
      <c r="R82" s="13" t="e">
        <f>(R79*(60/R37))+(2*R81)-R80</f>
        <v>#DIV/0!</v>
      </c>
      <c r="S82" s="14" t="e">
        <f>(S79*(60/S37))+(2*S81)-S80</f>
        <v>#DIV/0!</v>
      </c>
      <c r="T82" s="13" t="e">
        <f>(T79*(60/T37))+(2*T81)-T80</f>
        <v>#DIV/0!</v>
      </c>
      <c r="U82" s="14" t="e">
        <f>(U79*(60/U37))+(2*U81)-U80</f>
        <v>#DIV/0!</v>
      </c>
      <c r="V82" s="13" t="e">
        <f>(V79*(60/V37))+(2*V81)-V80</f>
        <v>#DIV/0!</v>
      </c>
      <c r="W82" s="14" t="e">
        <f>(W79*(60/W37))+(2*W81)-W80</f>
        <v>#DIV/0!</v>
      </c>
      <c r="X82" s="13" t="e">
        <f>(X79*(60/X37))+(2*X81)-X80</f>
        <v>#DIV/0!</v>
      </c>
      <c r="Y82" s="14" t="e">
        <f>(Y79*(60/Y37))+(2*Y81)-Y80</f>
        <v>#DIV/0!</v>
      </c>
      <c r="Z82" s="13" t="e">
        <f>(Z79*(60/Z37))+(2*Z81)-Z80</f>
        <v>#DIV/0!</v>
      </c>
      <c r="AA82" s="14" t="e">
        <f>(AA79*(60/AA37))+(2*AA81)-AA80</f>
        <v>#DIV/0!</v>
      </c>
      <c r="AB82" s="13" t="e">
        <f>(AB79*(60/AB37))+(2*AB81)-AB80</f>
        <v>#DIV/0!</v>
      </c>
      <c r="AC82" s="14" t="e">
        <f>(AC79*(60/AC37))+(2*AC81)-AC80</f>
        <v>#DIV/0!</v>
      </c>
      <c r="AD82" s="13" t="e">
        <f>(AD79*(60/AD37))+(2*AD81)-AD80</f>
        <v>#DIV/0!</v>
      </c>
      <c r="AE82" s="14" t="e">
        <f>(AE79*(60/AE37))+(2*AE81)-AE80</f>
        <v>#DIV/0!</v>
      </c>
      <c r="AF82" s="13" t="e">
        <f>(AF79*(60/AF37))+(2*AF81)-AF80</f>
        <v>#DIV/0!</v>
      </c>
      <c r="AG82" s="14" t="e">
        <f>(AG79*(60/AG37))+(2*AG81)-AG80</f>
        <v>#DIV/0!</v>
      </c>
      <c r="AH82" s="13" t="e">
        <f>(AH79*(60/AH37))+(2*AH81)-AH80</f>
        <v>#DIV/0!</v>
      </c>
      <c r="AI82" s="14" t="e">
        <f>(AI79*(60/AI37))+(2*AI81)-AI80</f>
        <v>#DIV/0!</v>
      </c>
      <c r="AJ82" s="13" t="e">
        <f>(AJ79*(60/AJ37))+(2*AJ81)-AJ80</f>
        <v>#DIV/0!</v>
      </c>
      <c r="AK82" s="14" t="e">
        <f>(AK79*(60/AK37))+(2*AK81)-AK80</f>
        <v>#DIV/0!</v>
      </c>
      <c r="AL82" s="13" t="e">
        <f>(AL79*(60/AL37))+(2*AL81)-AL80</f>
        <v>#DIV/0!</v>
      </c>
      <c r="AM82" s="14" t="e">
        <f>(AM79*(60/AM37))+(2*AM81)-AM80</f>
        <v>#DIV/0!</v>
      </c>
      <c r="AN82" s="13" t="e">
        <f>(AN79*(60/AN37))+(2*AN81)-AN80</f>
        <v>#DIV/0!</v>
      </c>
      <c r="AO82" s="14" t="e">
        <f>(AO79*(60/AO37))+(2*AO81)-AO80</f>
        <v>#DIV/0!</v>
      </c>
      <c r="AP82" s="13" t="e">
        <f>(AP79*(60/AP37))+(2*AP81)-AP80</f>
        <v>#DIV/0!</v>
      </c>
      <c r="AQ82" s="14" t="e">
        <f>(AQ79*(60/AQ37))+(2*AQ81)-AQ80</f>
        <v>#DIV/0!</v>
      </c>
      <c r="AR82" s="13" t="e">
        <f>(AR79*(60/AR37))+(2*AR81)-AR80</f>
        <v>#DIV/0!</v>
      </c>
      <c r="AS82" s="14" t="e">
        <f>(AS79*(60/AS37))+(2*AS81)-AS80</f>
        <v>#DIV/0!</v>
      </c>
      <c r="AT82" s="51"/>
      <c r="AU82" s="56"/>
    </row>
    <row r="83" spans="2:47" ht="14.25" x14ac:dyDescent="0.25">
      <c r="B83" s="55"/>
      <c r="C83" s="10" t="s">
        <v>85</v>
      </c>
      <c r="D83" s="11" t="s">
        <v>60</v>
      </c>
      <c r="E83" s="126">
        <f>IF(E39="Yes",6,4)</f>
        <v>4</v>
      </c>
      <c r="F83" s="13">
        <f>IF(F39="Yes",6,4)</f>
        <v>4</v>
      </c>
      <c r="G83" s="14">
        <f>IF(G39="Yes",6,4)</f>
        <v>4</v>
      </c>
      <c r="H83" s="13">
        <f>IF(H39="Yes",6,4)</f>
        <v>4</v>
      </c>
      <c r="I83" s="14">
        <f>IF(I39="Yes",6,4)</f>
        <v>4</v>
      </c>
      <c r="J83" s="13">
        <f>IF(J39="Yes",6,4)</f>
        <v>4</v>
      </c>
      <c r="K83" s="14">
        <f>IF(K39="Yes",6,4)</f>
        <v>4</v>
      </c>
      <c r="L83" s="13">
        <f>IF(L39="Yes",6,4)</f>
        <v>4</v>
      </c>
      <c r="M83" s="14">
        <f>IF(M39="Yes",6,4)</f>
        <v>4</v>
      </c>
      <c r="N83" s="13">
        <f>IF(N39="Yes",6,4)</f>
        <v>4</v>
      </c>
      <c r="O83" s="14">
        <f>IF(O39="Yes",6,4)</f>
        <v>4</v>
      </c>
      <c r="P83" s="13">
        <f>IF(P39="Yes",6,4)</f>
        <v>4</v>
      </c>
      <c r="Q83" s="14">
        <f>IF(Q39="Yes",6,4)</f>
        <v>4</v>
      </c>
      <c r="R83" s="13">
        <f>IF(R39="Yes",6,4)</f>
        <v>4</v>
      </c>
      <c r="S83" s="14">
        <f>IF(S39="Yes",6,4)</f>
        <v>4</v>
      </c>
      <c r="T83" s="13">
        <f>IF(T39="Yes",6,4)</f>
        <v>4</v>
      </c>
      <c r="U83" s="14">
        <f>IF(U39="Yes",6,4)</f>
        <v>4</v>
      </c>
      <c r="V83" s="13">
        <f>IF(V39="Yes",6,4)</f>
        <v>4</v>
      </c>
      <c r="W83" s="14">
        <f>IF(W39="Yes",6,4)</f>
        <v>4</v>
      </c>
      <c r="X83" s="13">
        <f>IF(X39="Yes",6,4)</f>
        <v>4</v>
      </c>
      <c r="Y83" s="14">
        <f>IF(Y39="Yes",6,4)</f>
        <v>4</v>
      </c>
      <c r="Z83" s="13">
        <f>IF(Z39="Yes",6,4)</f>
        <v>4</v>
      </c>
      <c r="AA83" s="14">
        <f>IF(AA39="Yes",6,4)</f>
        <v>4</v>
      </c>
      <c r="AB83" s="13">
        <f>IF(AB39="Yes",6,4)</f>
        <v>4</v>
      </c>
      <c r="AC83" s="14">
        <f>IF(AC39="Yes",6,4)</f>
        <v>4</v>
      </c>
      <c r="AD83" s="13">
        <f>IF(AD39="Yes",6,4)</f>
        <v>4</v>
      </c>
      <c r="AE83" s="14">
        <f>IF(AE39="Yes",6,4)</f>
        <v>4</v>
      </c>
      <c r="AF83" s="13">
        <f>IF(AF39="Yes",6,4)</f>
        <v>4</v>
      </c>
      <c r="AG83" s="14">
        <f>IF(AG39="Yes",6,4)</f>
        <v>4</v>
      </c>
      <c r="AH83" s="13">
        <f>IF(AH39="Yes",6,4)</f>
        <v>4</v>
      </c>
      <c r="AI83" s="14">
        <f>IF(AI39="Yes",6,4)</f>
        <v>4</v>
      </c>
      <c r="AJ83" s="13">
        <f>IF(AJ39="Yes",6,4)</f>
        <v>4</v>
      </c>
      <c r="AK83" s="14">
        <f>IF(AK39="Yes",6,4)</f>
        <v>4</v>
      </c>
      <c r="AL83" s="13">
        <f>IF(AL39="Yes",6,4)</f>
        <v>4</v>
      </c>
      <c r="AM83" s="14">
        <f>IF(AM39="Yes",6,4)</f>
        <v>4</v>
      </c>
      <c r="AN83" s="13">
        <f>IF(AN39="Yes",6,4)</f>
        <v>4</v>
      </c>
      <c r="AO83" s="14">
        <f>IF(AO39="Yes",6,4)</f>
        <v>4</v>
      </c>
      <c r="AP83" s="13">
        <f>IF(AP39="Yes",6,4)</f>
        <v>4</v>
      </c>
      <c r="AQ83" s="14">
        <f>IF(AQ39="Yes",6,4)</f>
        <v>4</v>
      </c>
      <c r="AR83" s="13">
        <f>IF(AR39="Yes",6,4)</f>
        <v>4</v>
      </c>
      <c r="AS83" s="14">
        <f>IF(AS39="Yes",6,4)</f>
        <v>4</v>
      </c>
      <c r="AT83" s="51"/>
      <c r="AU83" s="56"/>
    </row>
    <row r="84" spans="2:47" ht="14.25" x14ac:dyDescent="0.25">
      <c r="B84" s="55"/>
      <c r="C84" s="10" t="s">
        <v>86</v>
      </c>
      <c r="D84" s="11" t="s">
        <v>61</v>
      </c>
      <c r="E84" s="125" t="e">
        <f t="shared" ref="E84" si="23">((-0.4-1)*E83-(-0.4+1)*E82)/((-0.4-1)*E82-(-0.4+1)*E83)</f>
        <v>#DIV/0!</v>
      </c>
      <c r="F84" s="15">
        <f t="shared" ref="F84:G84" si="24">((-0.4-1)*F83-(-0.4+1)*F82)/((-0.4-1)*F82-(-0.4+1)*F83)</f>
        <v>0.80630981921304501</v>
      </c>
      <c r="G84" s="38">
        <f t="shared" si="24"/>
        <v>0.80630981921304501</v>
      </c>
      <c r="H84" s="96" t="e">
        <f t="shared" ref="H84:AS84" si="25">((-0.4-1)*H83-(-0.4+1)*H82)/((-0.4-1)*H82-(-0.4+1)*H83)</f>
        <v>#DIV/0!</v>
      </c>
      <c r="I84" s="98" t="e">
        <f t="shared" si="25"/>
        <v>#DIV/0!</v>
      </c>
      <c r="J84" s="96" t="e">
        <f t="shared" si="25"/>
        <v>#DIV/0!</v>
      </c>
      <c r="K84" s="98" t="e">
        <f t="shared" si="25"/>
        <v>#DIV/0!</v>
      </c>
      <c r="L84" s="96" t="e">
        <f t="shared" si="25"/>
        <v>#DIV/0!</v>
      </c>
      <c r="M84" s="98" t="e">
        <f t="shared" si="25"/>
        <v>#DIV/0!</v>
      </c>
      <c r="N84" s="96" t="e">
        <f t="shared" si="25"/>
        <v>#DIV/0!</v>
      </c>
      <c r="O84" s="98" t="e">
        <f t="shared" si="25"/>
        <v>#DIV/0!</v>
      </c>
      <c r="P84" s="96" t="e">
        <f t="shared" si="25"/>
        <v>#DIV/0!</v>
      </c>
      <c r="Q84" s="98" t="e">
        <f t="shared" si="25"/>
        <v>#DIV/0!</v>
      </c>
      <c r="R84" s="96" t="e">
        <f t="shared" si="25"/>
        <v>#DIV/0!</v>
      </c>
      <c r="S84" s="98" t="e">
        <f t="shared" si="25"/>
        <v>#DIV/0!</v>
      </c>
      <c r="T84" s="96" t="e">
        <f t="shared" si="25"/>
        <v>#DIV/0!</v>
      </c>
      <c r="U84" s="98" t="e">
        <f t="shared" si="25"/>
        <v>#DIV/0!</v>
      </c>
      <c r="V84" s="96" t="e">
        <f t="shared" si="25"/>
        <v>#DIV/0!</v>
      </c>
      <c r="W84" s="98" t="e">
        <f t="shared" si="25"/>
        <v>#DIV/0!</v>
      </c>
      <c r="X84" s="96" t="e">
        <f t="shared" si="25"/>
        <v>#DIV/0!</v>
      </c>
      <c r="Y84" s="98" t="e">
        <f t="shared" si="25"/>
        <v>#DIV/0!</v>
      </c>
      <c r="Z84" s="96" t="e">
        <f t="shared" si="25"/>
        <v>#DIV/0!</v>
      </c>
      <c r="AA84" s="98" t="e">
        <f t="shared" si="25"/>
        <v>#DIV/0!</v>
      </c>
      <c r="AB84" s="96" t="e">
        <f t="shared" si="25"/>
        <v>#DIV/0!</v>
      </c>
      <c r="AC84" s="98" t="e">
        <f t="shared" si="25"/>
        <v>#DIV/0!</v>
      </c>
      <c r="AD84" s="96" t="e">
        <f t="shared" si="25"/>
        <v>#DIV/0!</v>
      </c>
      <c r="AE84" s="98" t="e">
        <f t="shared" si="25"/>
        <v>#DIV/0!</v>
      </c>
      <c r="AF84" s="96" t="e">
        <f t="shared" si="25"/>
        <v>#DIV/0!</v>
      </c>
      <c r="AG84" s="98" t="e">
        <f t="shared" si="25"/>
        <v>#DIV/0!</v>
      </c>
      <c r="AH84" s="96" t="e">
        <f t="shared" si="25"/>
        <v>#DIV/0!</v>
      </c>
      <c r="AI84" s="98" t="e">
        <f t="shared" si="25"/>
        <v>#DIV/0!</v>
      </c>
      <c r="AJ84" s="96" t="e">
        <f t="shared" si="25"/>
        <v>#DIV/0!</v>
      </c>
      <c r="AK84" s="98" t="e">
        <f t="shared" si="25"/>
        <v>#DIV/0!</v>
      </c>
      <c r="AL84" s="96" t="e">
        <f t="shared" si="25"/>
        <v>#DIV/0!</v>
      </c>
      <c r="AM84" s="98" t="e">
        <f t="shared" si="25"/>
        <v>#DIV/0!</v>
      </c>
      <c r="AN84" s="96" t="e">
        <f t="shared" si="25"/>
        <v>#DIV/0!</v>
      </c>
      <c r="AO84" s="98" t="e">
        <f t="shared" si="25"/>
        <v>#DIV/0!</v>
      </c>
      <c r="AP84" s="96" t="e">
        <f t="shared" si="25"/>
        <v>#DIV/0!</v>
      </c>
      <c r="AQ84" s="98" t="e">
        <f t="shared" si="25"/>
        <v>#DIV/0!</v>
      </c>
      <c r="AR84" s="96" t="e">
        <f t="shared" si="25"/>
        <v>#DIV/0!</v>
      </c>
      <c r="AS84" s="98" t="e">
        <f t="shared" si="25"/>
        <v>#DIV/0!</v>
      </c>
      <c r="AT84" s="51"/>
      <c r="AU84" s="56"/>
    </row>
    <row r="85" spans="2:47" ht="14.25" x14ac:dyDescent="0.25">
      <c r="B85" s="55"/>
      <c r="C85" s="10" t="s">
        <v>87</v>
      </c>
      <c r="D85" s="11" t="s">
        <v>62</v>
      </c>
      <c r="E85" s="125" t="e">
        <f t="shared" ref="E85" si="26">E78*E84</f>
        <v>#DIV/0!</v>
      </c>
      <c r="F85" s="15">
        <f t="shared" ref="F85:G85" si="27">F78*F84</f>
        <v>2.69602790985831</v>
      </c>
      <c r="G85" s="38">
        <f t="shared" si="27"/>
        <v>2.69602790985831</v>
      </c>
      <c r="H85" s="96" t="e">
        <f t="shared" ref="H85:AS85" si="28">H78*H84</f>
        <v>#DIV/0!</v>
      </c>
      <c r="I85" s="98" t="e">
        <f t="shared" si="28"/>
        <v>#DIV/0!</v>
      </c>
      <c r="J85" s="96" t="e">
        <f t="shared" si="28"/>
        <v>#DIV/0!</v>
      </c>
      <c r="K85" s="98" t="e">
        <f t="shared" si="28"/>
        <v>#DIV/0!</v>
      </c>
      <c r="L85" s="96" t="e">
        <f t="shared" si="28"/>
        <v>#DIV/0!</v>
      </c>
      <c r="M85" s="98" t="e">
        <f t="shared" si="28"/>
        <v>#DIV/0!</v>
      </c>
      <c r="N85" s="96" t="e">
        <f t="shared" si="28"/>
        <v>#DIV/0!</v>
      </c>
      <c r="O85" s="98" t="e">
        <f t="shared" si="28"/>
        <v>#DIV/0!</v>
      </c>
      <c r="P85" s="96" t="e">
        <f t="shared" si="28"/>
        <v>#DIV/0!</v>
      </c>
      <c r="Q85" s="98" t="e">
        <f t="shared" si="28"/>
        <v>#DIV/0!</v>
      </c>
      <c r="R85" s="96" t="e">
        <f t="shared" si="28"/>
        <v>#DIV/0!</v>
      </c>
      <c r="S85" s="98" t="e">
        <f t="shared" si="28"/>
        <v>#DIV/0!</v>
      </c>
      <c r="T85" s="96" t="e">
        <f t="shared" si="28"/>
        <v>#DIV/0!</v>
      </c>
      <c r="U85" s="98" t="e">
        <f t="shared" si="28"/>
        <v>#DIV/0!</v>
      </c>
      <c r="V85" s="96" t="e">
        <f t="shared" si="28"/>
        <v>#DIV/0!</v>
      </c>
      <c r="W85" s="98" t="e">
        <f t="shared" si="28"/>
        <v>#DIV/0!</v>
      </c>
      <c r="X85" s="96" t="e">
        <f t="shared" si="28"/>
        <v>#DIV/0!</v>
      </c>
      <c r="Y85" s="98" t="e">
        <f t="shared" si="28"/>
        <v>#DIV/0!</v>
      </c>
      <c r="Z85" s="96" t="e">
        <f t="shared" si="28"/>
        <v>#DIV/0!</v>
      </c>
      <c r="AA85" s="98" t="e">
        <f t="shared" si="28"/>
        <v>#DIV/0!</v>
      </c>
      <c r="AB85" s="96" t="e">
        <f t="shared" si="28"/>
        <v>#DIV/0!</v>
      </c>
      <c r="AC85" s="98" t="e">
        <f t="shared" si="28"/>
        <v>#DIV/0!</v>
      </c>
      <c r="AD85" s="96" t="e">
        <f t="shared" si="28"/>
        <v>#DIV/0!</v>
      </c>
      <c r="AE85" s="98" t="e">
        <f t="shared" si="28"/>
        <v>#DIV/0!</v>
      </c>
      <c r="AF85" s="96" t="e">
        <f t="shared" si="28"/>
        <v>#DIV/0!</v>
      </c>
      <c r="AG85" s="98" t="e">
        <f t="shared" si="28"/>
        <v>#DIV/0!</v>
      </c>
      <c r="AH85" s="96" t="e">
        <f t="shared" si="28"/>
        <v>#DIV/0!</v>
      </c>
      <c r="AI85" s="98" t="e">
        <f t="shared" si="28"/>
        <v>#DIV/0!</v>
      </c>
      <c r="AJ85" s="96" t="e">
        <f t="shared" si="28"/>
        <v>#DIV/0!</v>
      </c>
      <c r="AK85" s="98" t="e">
        <f t="shared" si="28"/>
        <v>#DIV/0!</v>
      </c>
      <c r="AL85" s="96" t="e">
        <f t="shared" si="28"/>
        <v>#DIV/0!</v>
      </c>
      <c r="AM85" s="98" t="e">
        <f t="shared" si="28"/>
        <v>#DIV/0!</v>
      </c>
      <c r="AN85" s="96" t="e">
        <f t="shared" si="28"/>
        <v>#DIV/0!</v>
      </c>
      <c r="AO85" s="98" t="e">
        <f t="shared" si="28"/>
        <v>#DIV/0!</v>
      </c>
      <c r="AP85" s="96" t="e">
        <f t="shared" si="28"/>
        <v>#DIV/0!</v>
      </c>
      <c r="AQ85" s="98" t="e">
        <f t="shared" si="28"/>
        <v>#DIV/0!</v>
      </c>
      <c r="AR85" s="96" t="e">
        <f t="shared" si="28"/>
        <v>#DIV/0!</v>
      </c>
      <c r="AS85" s="98" t="e">
        <f t="shared" si="28"/>
        <v>#DIV/0!</v>
      </c>
      <c r="AT85" s="51"/>
      <c r="AU85" s="56"/>
    </row>
    <row r="86" spans="2:47" ht="14.25" x14ac:dyDescent="0.25">
      <c r="B86" s="55"/>
      <c r="C86" s="10" t="s">
        <v>226</v>
      </c>
      <c r="D86" s="11" t="s">
        <v>89</v>
      </c>
      <c r="E86" s="125">
        <f>IF(E11&gt;0,6-(1.5*E85)+(0.15*E57),0)</f>
        <v>0</v>
      </c>
      <c r="F86" s="15">
        <f>IF(F11&gt;0,6-(1.5*F85)+(0.15*F57),0)</f>
        <v>2.3018643597591808</v>
      </c>
      <c r="G86" s="98">
        <f>IF(G11&gt;0,6-(1.5*G85)+(0.15*G57),0)</f>
        <v>2.3438381097591807</v>
      </c>
      <c r="H86" s="96">
        <f>IF(H11&gt;0,6-(1.5*H85)+(0.15*H57),0)</f>
        <v>0</v>
      </c>
      <c r="I86" s="98">
        <f>IF(I11&gt;0,6-(1.5*I85)+(0.15*I57),0)</f>
        <v>0</v>
      </c>
      <c r="J86" s="96">
        <f>IF(J11&gt;0,6-(1.5*J85)+(0.15*J57),0)</f>
        <v>0</v>
      </c>
      <c r="K86" s="98">
        <f>IF(K11&gt;0,6-(1.5*K85)+(0.15*K57),0)</f>
        <v>0</v>
      </c>
      <c r="L86" s="96">
        <f>IF(L11&gt;0,6-(1.5*L85)+(0.15*L57),0)</f>
        <v>0</v>
      </c>
      <c r="M86" s="98">
        <f>IF(M11&gt;0,6-(1.5*M85)+(0.15*M57),0)</f>
        <v>0</v>
      </c>
      <c r="N86" s="96">
        <f>IF(N11&gt;0,6-(1.5*N85)+(0.15*N57),0)</f>
        <v>0</v>
      </c>
      <c r="O86" s="98">
        <f>IF(O11&gt;0,6-(1.5*O85)+(0.15*O57),0)</f>
        <v>0</v>
      </c>
      <c r="P86" s="96">
        <f>IF(P11&gt;0,6-(1.5*P85)+(0.15*P57),0)</f>
        <v>0</v>
      </c>
      <c r="Q86" s="98">
        <f>IF(Q11&gt;0,6-(1.5*Q85)+(0.15*Q57),0)</f>
        <v>0</v>
      </c>
      <c r="R86" s="96">
        <f>IF(R11&gt;0,6-(1.5*R85)+(0.15*R57),0)</f>
        <v>0</v>
      </c>
      <c r="S86" s="98">
        <f>IF(S11&gt;0,6-(1.5*S85)+(0.15*S57),0)</f>
        <v>0</v>
      </c>
      <c r="T86" s="96">
        <f>IF(T11&gt;0,6-(1.5*T85)+(0.15*T57),0)</f>
        <v>0</v>
      </c>
      <c r="U86" s="98">
        <f>IF(U11&gt;0,6-(1.5*U85)+(0.15*U57),0)</f>
        <v>0</v>
      </c>
      <c r="V86" s="96">
        <f>IF(V11&gt;0,6-(1.5*V85)+(0.15*V57),0)</f>
        <v>0</v>
      </c>
      <c r="W86" s="98">
        <f>IF(W11&gt;0,6-(1.5*W85)+(0.15*W57),0)</f>
        <v>0</v>
      </c>
      <c r="X86" s="96">
        <f>IF(X11&gt;0,6-(1.5*X85)+(0.15*X57),0)</f>
        <v>0</v>
      </c>
      <c r="Y86" s="98">
        <f>IF(Y11&gt;0,6-(1.5*Y85)+(0.15*Y57),0)</f>
        <v>0</v>
      </c>
      <c r="Z86" s="96">
        <f>IF(Z11&gt;0,6-(1.5*Z85)+(0.15*Z57),0)</f>
        <v>0</v>
      </c>
      <c r="AA86" s="98">
        <f>IF(AA11&gt;0,6-(1.5*AA85)+(0.15*AA57),0)</f>
        <v>0</v>
      </c>
      <c r="AB86" s="96">
        <f>IF(AB11&gt;0,6-(1.5*AB85)+(0.15*AB57),0)</f>
        <v>0</v>
      </c>
      <c r="AC86" s="98">
        <f>IF(AC11&gt;0,6-(1.5*AC85)+(0.15*AC57),0)</f>
        <v>0</v>
      </c>
      <c r="AD86" s="96">
        <f>IF(AD11&gt;0,6-(1.5*AD85)+(0.15*AD57),0)</f>
        <v>0</v>
      </c>
      <c r="AE86" s="98">
        <f>IF(AE11&gt;0,6-(1.5*AE85)+(0.15*AE57),0)</f>
        <v>0</v>
      </c>
      <c r="AF86" s="96">
        <f>IF(AF11&gt;0,6-(1.5*AF85)+(0.15*AF57),0)</f>
        <v>0</v>
      </c>
      <c r="AG86" s="98">
        <f>IF(AG11&gt;0,6-(1.5*AG85)+(0.15*AG57),0)</f>
        <v>0</v>
      </c>
      <c r="AH86" s="96">
        <f>IF(AH11&gt;0,6-(1.5*AH85)+(0.15*AH57),0)</f>
        <v>0</v>
      </c>
      <c r="AI86" s="98">
        <f>IF(AI11&gt;0,6-(1.5*AI85)+(0.15*AI57),0)</f>
        <v>0</v>
      </c>
      <c r="AJ86" s="96">
        <f>IF(AJ11&gt;0,6-(1.5*AJ85)+(0.15*AJ57),0)</f>
        <v>0</v>
      </c>
      <c r="AK86" s="98">
        <f>IF(AK11&gt;0,6-(1.5*AK85)+(0.15*AK57),0)</f>
        <v>0</v>
      </c>
      <c r="AL86" s="96">
        <f>IF(AL11&gt;0,6-(1.5*AL85)+(0.15*AL57),0)</f>
        <v>0</v>
      </c>
      <c r="AM86" s="98">
        <f>IF(AM11&gt;0,6-(1.5*AM85)+(0.15*AM57),0)</f>
        <v>0</v>
      </c>
      <c r="AN86" s="96">
        <f>IF(AN11&gt;0,6-(1.5*AN85)+(0.15*AN57),0)</f>
        <v>0</v>
      </c>
      <c r="AO86" s="98">
        <f>IF(AO11&gt;0,6-(1.5*AO85)+(0.15*AO57),0)</f>
        <v>0</v>
      </c>
      <c r="AP86" s="96">
        <f>IF(AP11&gt;0,6-(1.5*AP85)+(0.15*AP57),0)</f>
        <v>0</v>
      </c>
      <c r="AQ86" s="98">
        <f>IF(AQ11&gt;0,6-(1.5*AQ85)+(0.15*AQ57),0)</f>
        <v>0</v>
      </c>
      <c r="AR86" s="96">
        <f>IF(AR11&gt;0,6-(1.5*AR85)+(0.15*AR57),0)</f>
        <v>0</v>
      </c>
      <c r="AS86" s="98">
        <f>IF(AS11&gt;0,6-(1.5*AS85)+(0.15*AS57),0)</f>
        <v>0</v>
      </c>
      <c r="AT86" s="51"/>
      <c r="AU86" s="56"/>
    </row>
    <row r="87" spans="2:47" ht="13.5" x14ac:dyDescent="0.25">
      <c r="B87" s="55"/>
      <c r="C87" s="10"/>
      <c r="D87" s="11" t="s">
        <v>52</v>
      </c>
      <c r="E87" s="124" t="str">
        <f t="shared" ref="E87" si="29">IF(E86&lt;=2,"A",IF(E86&lt;=2.75,"B",IF(E86&lt;=3.5,"C",IF(E86&lt;=4.25,"D",IF(E86&lt;=5,"E","F")))))</f>
        <v>A</v>
      </c>
      <c r="F87" s="10" t="str">
        <f t="shared" ref="F87:G87" si="30">IF(F86&lt;=2,"A",IF(F86&lt;=2.75,"B",IF(F86&lt;=3.5,"C",IF(F86&lt;=4.25,"D",IF(F86&lt;=5,"E","F")))))</f>
        <v>B</v>
      </c>
      <c r="G87" s="12" t="str">
        <f t="shared" si="30"/>
        <v>B</v>
      </c>
      <c r="H87" s="10" t="str">
        <f t="shared" ref="H87:AS87" si="31">IF(H86&lt;=2,"A",IF(H86&lt;=2.75,"B",IF(H86&lt;=3.5,"C",IF(H86&lt;=4.25,"D",IF(H86&lt;=5,"E","F")))))</f>
        <v>A</v>
      </c>
      <c r="I87" s="99" t="str">
        <f t="shared" si="31"/>
        <v>A</v>
      </c>
      <c r="J87" s="10" t="str">
        <f t="shared" si="31"/>
        <v>A</v>
      </c>
      <c r="K87" s="99" t="str">
        <f t="shared" si="31"/>
        <v>A</v>
      </c>
      <c r="L87" s="10" t="str">
        <f t="shared" si="31"/>
        <v>A</v>
      </c>
      <c r="M87" s="99" t="str">
        <f t="shared" si="31"/>
        <v>A</v>
      </c>
      <c r="N87" s="10" t="str">
        <f t="shared" si="31"/>
        <v>A</v>
      </c>
      <c r="O87" s="99" t="str">
        <f t="shared" si="31"/>
        <v>A</v>
      </c>
      <c r="P87" s="10" t="str">
        <f t="shared" si="31"/>
        <v>A</v>
      </c>
      <c r="Q87" s="99" t="str">
        <f t="shared" si="31"/>
        <v>A</v>
      </c>
      <c r="R87" s="10" t="str">
        <f t="shared" si="31"/>
        <v>A</v>
      </c>
      <c r="S87" s="99" t="str">
        <f t="shared" si="31"/>
        <v>A</v>
      </c>
      <c r="T87" s="10" t="str">
        <f t="shared" si="31"/>
        <v>A</v>
      </c>
      <c r="U87" s="99" t="str">
        <f t="shared" si="31"/>
        <v>A</v>
      </c>
      <c r="V87" s="10" t="str">
        <f t="shared" si="31"/>
        <v>A</v>
      </c>
      <c r="W87" s="99" t="str">
        <f t="shared" si="31"/>
        <v>A</v>
      </c>
      <c r="X87" s="10" t="str">
        <f t="shared" si="31"/>
        <v>A</v>
      </c>
      <c r="Y87" s="99" t="str">
        <f t="shared" si="31"/>
        <v>A</v>
      </c>
      <c r="Z87" s="10" t="str">
        <f t="shared" si="31"/>
        <v>A</v>
      </c>
      <c r="AA87" s="99" t="str">
        <f t="shared" si="31"/>
        <v>A</v>
      </c>
      <c r="AB87" s="10" t="str">
        <f t="shared" si="31"/>
        <v>A</v>
      </c>
      <c r="AC87" s="99" t="str">
        <f t="shared" si="31"/>
        <v>A</v>
      </c>
      <c r="AD87" s="10" t="str">
        <f t="shared" si="31"/>
        <v>A</v>
      </c>
      <c r="AE87" s="99" t="str">
        <f t="shared" si="31"/>
        <v>A</v>
      </c>
      <c r="AF87" s="10" t="str">
        <f t="shared" si="31"/>
        <v>A</v>
      </c>
      <c r="AG87" s="99" t="str">
        <f t="shared" si="31"/>
        <v>A</v>
      </c>
      <c r="AH87" s="10" t="str">
        <f t="shared" si="31"/>
        <v>A</v>
      </c>
      <c r="AI87" s="99" t="str">
        <f t="shared" si="31"/>
        <v>A</v>
      </c>
      <c r="AJ87" s="10" t="str">
        <f t="shared" si="31"/>
        <v>A</v>
      </c>
      <c r="AK87" s="99" t="str">
        <f t="shared" si="31"/>
        <v>A</v>
      </c>
      <c r="AL87" s="10" t="str">
        <f t="shared" si="31"/>
        <v>A</v>
      </c>
      <c r="AM87" s="99" t="str">
        <f t="shared" si="31"/>
        <v>A</v>
      </c>
      <c r="AN87" s="10" t="str">
        <f t="shared" si="31"/>
        <v>A</v>
      </c>
      <c r="AO87" s="99" t="str">
        <f t="shared" si="31"/>
        <v>A</v>
      </c>
      <c r="AP87" s="10" t="str">
        <f t="shared" si="31"/>
        <v>A</v>
      </c>
      <c r="AQ87" s="99" t="str">
        <f t="shared" si="31"/>
        <v>A</v>
      </c>
      <c r="AR87" s="10" t="str">
        <f t="shared" si="31"/>
        <v>A</v>
      </c>
      <c r="AS87" s="99" t="str">
        <f t="shared" si="31"/>
        <v>A</v>
      </c>
      <c r="AT87" s="51"/>
      <c r="AU87" s="56"/>
    </row>
    <row r="88" spans="2:47" ht="13.5" thickBot="1" x14ac:dyDescent="0.3">
      <c r="B88" s="55"/>
      <c r="C88" s="37"/>
      <c r="D88" s="60"/>
      <c r="E88" s="60"/>
      <c r="F88" s="37"/>
      <c r="G88" s="37"/>
      <c r="H88" s="37"/>
      <c r="I88" s="37"/>
      <c r="J88" s="37"/>
      <c r="K88" s="37"/>
      <c r="L88" s="37"/>
      <c r="M88" s="37"/>
      <c r="N88" s="37"/>
      <c r="O88" s="37"/>
      <c r="P88" s="37"/>
      <c r="Q88" s="37"/>
      <c r="R88" s="37"/>
      <c r="S88" s="37"/>
      <c r="T88" s="37"/>
      <c r="U88" s="37"/>
      <c r="V88" s="37"/>
      <c r="W88" s="37"/>
      <c r="X88" s="37"/>
      <c r="Y88" s="37"/>
      <c r="Z88" s="37"/>
      <c r="AA88" s="37"/>
      <c r="AB88" s="37"/>
      <c r="AC88" s="37"/>
      <c r="AD88" s="37"/>
      <c r="AE88" s="37"/>
      <c r="AF88" s="37"/>
      <c r="AG88" s="37"/>
      <c r="AH88" s="37"/>
      <c r="AI88" s="37"/>
      <c r="AJ88" s="37"/>
      <c r="AK88" s="37"/>
      <c r="AL88" s="37"/>
      <c r="AM88" s="37"/>
      <c r="AN88" s="37"/>
      <c r="AO88" s="37"/>
      <c r="AP88" s="37"/>
      <c r="AQ88" s="37"/>
      <c r="AR88" s="37"/>
      <c r="AS88" s="37"/>
      <c r="AT88" s="60"/>
      <c r="AU88" s="56"/>
    </row>
    <row r="89" spans="2:47" s="21" customFormat="1" ht="15.95" customHeight="1" x14ac:dyDescent="0.25">
      <c r="B89" s="57"/>
      <c r="C89" s="178" t="s">
        <v>49</v>
      </c>
      <c r="D89" s="180"/>
      <c r="E89" s="112"/>
      <c r="F89" s="178" t="str">
        <f>F3</f>
        <v>Link 1</v>
      </c>
      <c r="G89" s="180"/>
      <c r="H89" s="178" t="str">
        <f>H3</f>
        <v>Link 2</v>
      </c>
      <c r="I89" s="180"/>
      <c r="J89" s="178" t="str">
        <f>J3</f>
        <v>Link 3</v>
      </c>
      <c r="K89" s="180"/>
      <c r="L89" s="178" t="str">
        <f>L3</f>
        <v>Link 4</v>
      </c>
      <c r="M89" s="180"/>
      <c r="N89" s="178" t="str">
        <f>N3</f>
        <v>Link 5</v>
      </c>
      <c r="O89" s="180"/>
      <c r="P89" s="178" t="str">
        <f>P3</f>
        <v>Link 6</v>
      </c>
      <c r="Q89" s="180"/>
      <c r="R89" s="178" t="str">
        <f>R3</f>
        <v>Link 7</v>
      </c>
      <c r="S89" s="180"/>
      <c r="T89" s="178" t="str">
        <f>T3</f>
        <v>Link 8</v>
      </c>
      <c r="U89" s="180"/>
      <c r="V89" s="178" t="str">
        <f>V3</f>
        <v>Link 9</v>
      </c>
      <c r="W89" s="180"/>
      <c r="X89" s="178" t="str">
        <f>X3</f>
        <v>Link 10</v>
      </c>
      <c r="Y89" s="180"/>
      <c r="Z89" s="178" t="str">
        <f>Z3</f>
        <v>Link 11</v>
      </c>
      <c r="AA89" s="180"/>
      <c r="AB89" s="178" t="str">
        <f>AB3</f>
        <v>Link 12</v>
      </c>
      <c r="AC89" s="180"/>
      <c r="AD89" s="178" t="str">
        <f>AD3</f>
        <v>Link 13</v>
      </c>
      <c r="AE89" s="180"/>
      <c r="AF89" s="178" t="str">
        <f>AF3</f>
        <v>Link 14</v>
      </c>
      <c r="AG89" s="180"/>
      <c r="AH89" s="178" t="str">
        <f>AH3</f>
        <v>Link 15</v>
      </c>
      <c r="AI89" s="180"/>
      <c r="AJ89" s="178" t="str">
        <f>AJ3</f>
        <v>Link 16</v>
      </c>
      <c r="AK89" s="180"/>
      <c r="AL89" s="178" t="str">
        <f>AL3</f>
        <v>Link 17</v>
      </c>
      <c r="AM89" s="180"/>
      <c r="AN89" s="178" t="str">
        <f>AN3</f>
        <v>Link 18</v>
      </c>
      <c r="AO89" s="180"/>
      <c r="AP89" s="178" t="str">
        <f>AP3</f>
        <v>Link 19</v>
      </c>
      <c r="AQ89" s="180"/>
      <c r="AR89" s="178" t="str">
        <f>AR3</f>
        <v>Link 20</v>
      </c>
      <c r="AS89" s="179"/>
      <c r="AT89" s="47" t="str">
        <f>AT3</f>
        <v>Total</v>
      </c>
      <c r="AU89" s="58"/>
    </row>
    <row r="90" spans="2:47" x14ac:dyDescent="0.25">
      <c r="B90" s="55"/>
      <c r="C90" s="4"/>
      <c r="D90" s="8" t="s">
        <v>50</v>
      </c>
      <c r="E90" s="77"/>
      <c r="F90" s="4"/>
      <c r="G90" s="5"/>
      <c r="H90" s="4"/>
      <c r="I90" s="5"/>
      <c r="J90" s="4"/>
      <c r="K90" s="5"/>
      <c r="L90" s="4"/>
      <c r="M90" s="5"/>
      <c r="N90" s="4"/>
      <c r="O90" s="5"/>
      <c r="P90" s="4"/>
      <c r="Q90" s="5"/>
      <c r="R90" s="4"/>
      <c r="S90" s="5"/>
      <c r="T90" s="4"/>
      <c r="U90" s="5"/>
      <c r="V90" s="4"/>
      <c r="W90" s="5"/>
      <c r="X90" s="4"/>
      <c r="Y90" s="5"/>
      <c r="Z90" s="4"/>
      <c r="AA90" s="5"/>
      <c r="AB90" s="4"/>
      <c r="AC90" s="5"/>
      <c r="AD90" s="4"/>
      <c r="AE90" s="5"/>
      <c r="AF90" s="4"/>
      <c r="AG90" s="5"/>
      <c r="AH90" s="4"/>
      <c r="AI90" s="5"/>
      <c r="AJ90" s="4"/>
      <c r="AK90" s="5"/>
      <c r="AL90" s="4"/>
      <c r="AM90" s="5"/>
      <c r="AN90" s="4"/>
      <c r="AO90" s="5"/>
      <c r="AP90" s="4"/>
      <c r="AQ90" s="5"/>
      <c r="AR90" s="4"/>
      <c r="AS90" s="5"/>
      <c r="AT90" s="46"/>
      <c r="AU90" s="56"/>
    </row>
    <row r="91" spans="2:47" ht="14.25" x14ac:dyDescent="0.25">
      <c r="B91" s="55"/>
      <c r="C91" s="10" t="s">
        <v>224</v>
      </c>
      <c r="D91" s="11" t="s">
        <v>93</v>
      </c>
      <c r="E91" s="114"/>
      <c r="F91" s="184">
        <f>IF(ISBLANK(F7),"",MAX(F57:G57))</f>
        <v>2.585866496977637</v>
      </c>
      <c r="G91" s="185"/>
      <c r="H91" s="184" t="str">
        <f>IF(ISBLANK(H7),"",MAX(H57:I57))</f>
        <v/>
      </c>
      <c r="I91" s="185"/>
      <c r="J91" s="184" t="str">
        <f>IF(ISBLANK(J7),"",MAX(J57:K57))</f>
        <v/>
      </c>
      <c r="K91" s="185"/>
      <c r="L91" s="184" t="str">
        <f>IF(ISBLANK(L7),"",MAX(L57:M57))</f>
        <v/>
      </c>
      <c r="M91" s="185"/>
      <c r="N91" s="184" t="str">
        <f>IF(ISBLANK(N7),"",MAX(N57:O57))</f>
        <v/>
      </c>
      <c r="O91" s="185"/>
      <c r="P91" s="184" t="str">
        <f>IF(ISBLANK(P7),"",MAX(P57:Q57))</f>
        <v/>
      </c>
      <c r="Q91" s="185"/>
      <c r="R91" s="184" t="str">
        <f>IF(ISBLANK(R7),"",MAX(R57:S57))</f>
        <v/>
      </c>
      <c r="S91" s="185"/>
      <c r="T91" s="184" t="str">
        <f>IF(ISBLANK(T7),"",MAX(T57:U57))</f>
        <v/>
      </c>
      <c r="U91" s="185"/>
      <c r="V91" s="184" t="str">
        <f>IF(ISBLANK(V7),"",MAX(V57:W57))</f>
        <v/>
      </c>
      <c r="W91" s="185"/>
      <c r="X91" s="184" t="str">
        <f>IF(ISBLANK(X7),"",MAX(X57:Y57))</f>
        <v/>
      </c>
      <c r="Y91" s="185"/>
      <c r="Z91" s="184" t="str">
        <f>IF(ISBLANK(Z7),"",MAX(Z57:AA57))</f>
        <v/>
      </c>
      <c r="AA91" s="185"/>
      <c r="AB91" s="184" t="str">
        <f>IF(ISBLANK(AB7),"",MAX(AB57:AC57))</f>
        <v/>
      </c>
      <c r="AC91" s="185"/>
      <c r="AD91" s="184" t="str">
        <f>IF(ISBLANK(AD7),"",MAX(AD57:AE57))</f>
        <v/>
      </c>
      <c r="AE91" s="185"/>
      <c r="AF91" s="184" t="str">
        <f>IF(ISBLANK(AF7),"",MAX(AF57:AG57))</f>
        <v/>
      </c>
      <c r="AG91" s="185"/>
      <c r="AH91" s="184" t="str">
        <f>IF(ISBLANK(AH7),"",MAX(AH57:AI57))</f>
        <v/>
      </c>
      <c r="AI91" s="185"/>
      <c r="AJ91" s="184" t="str">
        <f>IF(ISBLANK(AJ7),"",MAX(AJ57:AK57))</f>
        <v/>
      </c>
      <c r="AK91" s="185"/>
      <c r="AL91" s="184" t="str">
        <f>IF(ISBLANK(AL7),"",MAX(AL57:AM57))</f>
        <v/>
      </c>
      <c r="AM91" s="185"/>
      <c r="AN91" s="184" t="str">
        <f>IF(ISBLANK(AN7),"",MAX(AN57:AO57))</f>
        <v/>
      </c>
      <c r="AO91" s="185"/>
      <c r="AP91" s="184" t="str">
        <f>IF(ISBLANK(AP7),"",MAX(AP57:AQ57))</f>
        <v/>
      </c>
      <c r="AQ91" s="185"/>
      <c r="AR91" s="184" t="str">
        <f>IF(ISBLANK(AR7),"",MAX(AR57:AS57))</f>
        <v/>
      </c>
      <c r="AS91" s="185"/>
      <c r="AT91" s="67">
        <f>SUMPRODUCT(F91:AS91,F7:AS7)/SUM(F7:AS7)</f>
        <v>2.585866496977637</v>
      </c>
      <c r="AU91" s="56"/>
    </row>
    <row r="92" spans="2:47" x14ac:dyDescent="0.25">
      <c r="B92" s="55"/>
      <c r="C92" s="10"/>
      <c r="D92" s="11" t="s">
        <v>41</v>
      </c>
      <c r="E92" s="114"/>
      <c r="F92" s="181" t="str">
        <f>IF(F91="","",IF(F91&lt;=2,"A",IF(F91&lt;=2.75,"B",IF(F91&lt;=3.5,"C",IF(F91&lt;=4.25,"D",IF(F91&lt;=5,"E","F"))))))</f>
        <v>B</v>
      </c>
      <c r="G92" s="182"/>
      <c r="H92" s="181" t="str">
        <f>IF(H91="","",IF(H91&lt;=2,"A",IF(H91&lt;=2.75,"B",IF(H91&lt;=3.5,"C",IF(H91&lt;=4.25,"D",IF(H91&lt;=5,"E","F"))))))</f>
        <v/>
      </c>
      <c r="I92" s="182"/>
      <c r="J92" s="181" t="str">
        <f>IF(J91="","",IF(J91&lt;=2,"A",IF(J91&lt;=2.75,"B",IF(J91&lt;=3.5,"C",IF(J91&lt;=4.25,"D",IF(J91&lt;=5,"E","F"))))))</f>
        <v/>
      </c>
      <c r="K92" s="182"/>
      <c r="L92" s="181" t="str">
        <f t="shared" ref="L92" si="32">IF(L91="","",IF(L91&lt;=2,"A",IF(L91&lt;=2.75,"B",IF(L91&lt;=3.5,"C",IF(L91&lt;=4.25,"D",IF(L91&lt;=5,"E","F"))))))</f>
        <v/>
      </c>
      <c r="M92" s="182"/>
      <c r="N92" s="181" t="str">
        <f t="shared" ref="N92" si="33">IF(N91="","",IF(N91&lt;=2,"A",IF(N91&lt;=2.75,"B",IF(N91&lt;=3.5,"C",IF(N91&lt;=4.25,"D",IF(N91&lt;=5,"E","F"))))))</f>
        <v/>
      </c>
      <c r="O92" s="182"/>
      <c r="P92" s="181" t="str">
        <f t="shared" ref="P92" si="34">IF(P91="","",IF(P91&lt;=2,"A",IF(P91&lt;=2.75,"B",IF(P91&lt;=3.5,"C",IF(P91&lt;=4.25,"D",IF(P91&lt;=5,"E","F"))))))</f>
        <v/>
      </c>
      <c r="Q92" s="182"/>
      <c r="R92" s="181" t="str">
        <f t="shared" ref="R92" si="35">IF(R91="","",IF(R91&lt;=2,"A",IF(R91&lt;=2.75,"B",IF(R91&lt;=3.5,"C",IF(R91&lt;=4.25,"D",IF(R91&lt;=5,"E","F"))))))</f>
        <v/>
      </c>
      <c r="S92" s="182"/>
      <c r="T92" s="181" t="str">
        <f t="shared" ref="T92" si="36">IF(T91="","",IF(T91&lt;=2,"A",IF(T91&lt;=2.75,"B",IF(T91&lt;=3.5,"C",IF(T91&lt;=4.25,"D",IF(T91&lt;=5,"E","F"))))))</f>
        <v/>
      </c>
      <c r="U92" s="182"/>
      <c r="V92" s="181" t="str">
        <f t="shared" ref="V92" si="37">IF(V91="","",IF(V91&lt;=2,"A",IF(V91&lt;=2.75,"B",IF(V91&lt;=3.5,"C",IF(V91&lt;=4.25,"D",IF(V91&lt;=5,"E","F"))))))</f>
        <v/>
      </c>
      <c r="W92" s="182"/>
      <c r="X92" s="181" t="str">
        <f t="shared" ref="X92" si="38">IF(X91="","",IF(X91&lt;=2,"A",IF(X91&lt;=2.75,"B",IF(X91&lt;=3.5,"C",IF(X91&lt;=4.25,"D",IF(X91&lt;=5,"E","F"))))))</f>
        <v/>
      </c>
      <c r="Y92" s="182"/>
      <c r="Z92" s="181" t="str">
        <f t="shared" ref="Z92" si="39">IF(Z91="","",IF(Z91&lt;=2,"A",IF(Z91&lt;=2.75,"B",IF(Z91&lt;=3.5,"C",IF(Z91&lt;=4.25,"D",IF(Z91&lt;=5,"E","F"))))))</f>
        <v/>
      </c>
      <c r="AA92" s="182"/>
      <c r="AB92" s="181" t="str">
        <f t="shared" ref="AB92" si="40">IF(AB91="","",IF(AB91&lt;=2,"A",IF(AB91&lt;=2.75,"B",IF(AB91&lt;=3.5,"C",IF(AB91&lt;=4.25,"D",IF(AB91&lt;=5,"E","F"))))))</f>
        <v/>
      </c>
      <c r="AC92" s="182"/>
      <c r="AD92" s="181" t="str">
        <f t="shared" ref="AD92" si="41">IF(AD91="","",IF(AD91&lt;=2,"A",IF(AD91&lt;=2.75,"B",IF(AD91&lt;=3.5,"C",IF(AD91&lt;=4.25,"D",IF(AD91&lt;=5,"E","F"))))))</f>
        <v/>
      </c>
      <c r="AE92" s="182"/>
      <c r="AF92" s="181" t="str">
        <f t="shared" ref="AF92" si="42">IF(AF91="","",IF(AF91&lt;=2,"A",IF(AF91&lt;=2.75,"B",IF(AF91&lt;=3.5,"C",IF(AF91&lt;=4.25,"D",IF(AF91&lt;=5,"E","F"))))))</f>
        <v/>
      </c>
      <c r="AG92" s="182"/>
      <c r="AH92" s="181" t="str">
        <f t="shared" ref="AH92" si="43">IF(AH91="","",IF(AH91&lt;=2,"A",IF(AH91&lt;=2.75,"B",IF(AH91&lt;=3.5,"C",IF(AH91&lt;=4.25,"D",IF(AH91&lt;=5,"E","F"))))))</f>
        <v/>
      </c>
      <c r="AI92" s="182"/>
      <c r="AJ92" s="181" t="str">
        <f t="shared" ref="AJ92" si="44">IF(AJ91="","",IF(AJ91&lt;=2,"A",IF(AJ91&lt;=2.75,"B",IF(AJ91&lt;=3.5,"C",IF(AJ91&lt;=4.25,"D",IF(AJ91&lt;=5,"E","F"))))))</f>
        <v/>
      </c>
      <c r="AK92" s="182"/>
      <c r="AL92" s="181" t="str">
        <f t="shared" ref="AL92" si="45">IF(AL91="","",IF(AL91&lt;=2,"A",IF(AL91&lt;=2.75,"B",IF(AL91&lt;=3.5,"C",IF(AL91&lt;=4.25,"D",IF(AL91&lt;=5,"E","F"))))))</f>
        <v/>
      </c>
      <c r="AM92" s="182"/>
      <c r="AN92" s="181" t="str">
        <f t="shared" ref="AN92" si="46">IF(AN91="","",IF(AN91&lt;=2,"A",IF(AN91&lt;=2.75,"B",IF(AN91&lt;=3.5,"C",IF(AN91&lt;=4.25,"D",IF(AN91&lt;=5,"E","F"))))))</f>
        <v/>
      </c>
      <c r="AO92" s="182"/>
      <c r="AP92" s="181" t="str">
        <f t="shared" ref="AP92" si="47">IF(AP91="","",IF(AP91&lt;=2,"A",IF(AP91&lt;=2.75,"B",IF(AP91&lt;=3.5,"C",IF(AP91&lt;=4.25,"D",IF(AP91&lt;=5,"E","F"))))))</f>
        <v/>
      </c>
      <c r="AQ92" s="182"/>
      <c r="AR92" s="181" t="str">
        <f t="shared" ref="AR92" si="48">IF(AR91="","",IF(AR91&lt;=2,"A",IF(AR91&lt;=2.75,"B",IF(AR91&lt;=3.5,"C",IF(AR91&lt;=4.25,"D",IF(AR91&lt;=5,"E","F"))))))</f>
        <v/>
      </c>
      <c r="AS92" s="182"/>
      <c r="AT92" s="68" t="str">
        <f>IF(AT91&lt;=2,"A",IF(AT91&lt;=2.75,"B",IF(AT91&lt;=3.5,"C",IF(AT91&lt;=4.25,"D",IF(AT91&lt;=5,"E","F")))))</f>
        <v>B</v>
      </c>
      <c r="AU92" s="56"/>
    </row>
    <row r="93" spans="2:47" x14ac:dyDescent="0.25">
      <c r="B93" s="55"/>
      <c r="C93" s="4"/>
      <c r="D93" s="8" t="s">
        <v>20</v>
      </c>
      <c r="E93" s="77"/>
      <c r="F93" s="4"/>
      <c r="G93" s="5"/>
      <c r="H93" s="4"/>
      <c r="I93" s="5"/>
      <c r="J93" s="4"/>
      <c r="K93" s="5"/>
      <c r="L93" s="4"/>
      <c r="M93" s="5"/>
      <c r="N93" s="4"/>
      <c r="O93" s="5"/>
      <c r="P93" s="4"/>
      <c r="Q93" s="5"/>
      <c r="R93" s="4"/>
      <c r="S93" s="5"/>
      <c r="T93" s="4"/>
      <c r="U93" s="5"/>
      <c r="V93" s="4"/>
      <c r="W93" s="5"/>
      <c r="X93" s="4"/>
      <c r="Y93" s="5"/>
      <c r="Z93" s="4"/>
      <c r="AA93" s="5"/>
      <c r="AB93" s="4"/>
      <c r="AC93" s="5"/>
      <c r="AD93" s="4"/>
      <c r="AE93" s="5"/>
      <c r="AF93" s="4"/>
      <c r="AG93" s="5"/>
      <c r="AH93" s="4"/>
      <c r="AI93" s="5"/>
      <c r="AJ93" s="4"/>
      <c r="AK93" s="5"/>
      <c r="AL93" s="4"/>
      <c r="AM93" s="5"/>
      <c r="AN93" s="4"/>
      <c r="AO93" s="5"/>
      <c r="AP93" s="4"/>
      <c r="AQ93" s="5"/>
      <c r="AR93" s="4"/>
      <c r="AS93" s="5"/>
      <c r="AT93" s="46"/>
      <c r="AU93" s="56"/>
    </row>
    <row r="94" spans="2:47" ht="15.95" customHeight="1" x14ac:dyDescent="0.25">
      <c r="B94" s="55"/>
      <c r="C94" s="10" t="s">
        <v>225</v>
      </c>
      <c r="D94" s="11" t="s">
        <v>92</v>
      </c>
      <c r="E94" s="114"/>
      <c r="F94" s="184">
        <f>IF(ISBLANK(F7),"",MAX(F74:G74))</f>
        <v>4.5308900955325564</v>
      </c>
      <c r="G94" s="185"/>
      <c r="H94" s="184" t="str">
        <f>IF(ISBLANK(H7),"",MAX(H74:I74))</f>
        <v/>
      </c>
      <c r="I94" s="185"/>
      <c r="J94" s="184" t="str">
        <f>IF(ISBLANK(J7),"",MAX(J74:K74))</f>
        <v/>
      </c>
      <c r="K94" s="185"/>
      <c r="L94" s="184" t="str">
        <f>IF(ISBLANK(L7),"",MAX(L74:M74))</f>
        <v/>
      </c>
      <c r="M94" s="185"/>
      <c r="N94" s="184" t="str">
        <f>IF(ISBLANK(N7),"",MAX(N74:O74))</f>
        <v/>
      </c>
      <c r="O94" s="185"/>
      <c r="P94" s="184" t="str">
        <f>IF(ISBLANK(P7),"",MAX(P74:Q74))</f>
        <v/>
      </c>
      <c r="Q94" s="185"/>
      <c r="R94" s="184" t="str">
        <f>IF(ISBLANK(R7),"",MAX(R74:S74))</f>
        <v/>
      </c>
      <c r="S94" s="185"/>
      <c r="T94" s="184" t="str">
        <f>IF(ISBLANK(T7),"",MAX(T74:U74))</f>
        <v/>
      </c>
      <c r="U94" s="185"/>
      <c r="V94" s="184" t="str">
        <f>IF(ISBLANK(V7),"",MAX(V74:W74))</f>
        <v/>
      </c>
      <c r="W94" s="185"/>
      <c r="X94" s="184" t="str">
        <f>IF(ISBLANK(X7),"",MAX(X74:Y74))</f>
        <v/>
      </c>
      <c r="Y94" s="185"/>
      <c r="Z94" s="184" t="str">
        <f>IF(ISBLANK(Z7),"",MAX(Z74:AA74))</f>
        <v/>
      </c>
      <c r="AA94" s="185"/>
      <c r="AB94" s="184" t="str">
        <f>IF(ISBLANK(AB7),"",MAX(AB74:AC74))</f>
        <v/>
      </c>
      <c r="AC94" s="185"/>
      <c r="AD94" s="184" t="str">
        <f>IF(ISBLANK(AD7),"",MAX(AD74:AE74))</f>
        <v/>
      </c>
      <c r="AE94" s="185"/>
      <c r="AF94" s="184" t="str">
        <f>IF(ISBLANK(AF7),"",MAX(AF74:AG74))</f>
        <v/>
      </c>
      <c r="AG94" s="185"/>
      <c r="AH94" s="184" t="str">
        <f>IF(ISBLANK(AH7),"",MAX(AH74:AI74))</f>
        <v/>
      </c>
      <c r="AI94" s="185"/>
      <c r="AJ94" s="184" t="str">
        <f>IF(ISBLANK(AJ7),"",MAX(AJ74:AK74))</f>
        <v/>
      </c>
      <c r="AK94" s="185"/>
      <c r="AL94" s="184" t="str">
        <f>IF(ISBLANK(AL7),"",MAX(AL74:AM74))</f>
        <v/>
      </c>
      <c r="AM94" s="185"/>
      <c r="AN94" s="184" t="str">
        <f>IF(ISBLANK(AN7),"",MAX(AN74:AO74))</f>
        <v/>
      </c>
      <c r="AO94" s="185"/>
      <c r="AP94" s="184" t="str">
        <f>IF(ISBLANK(AP7),"",MAX(AP74:AQ74))</f>
        <v/>
      </c>
      <c r="AQ94" s="185"/>
      <c r="AR94" s="184" t="str">
        <f>IF(ISBLANK(AR7),"",MAX(AR74:AS74))</f>
        <v/>
      </c>
      <c r="AS94" s="185"/>
      <c r="AT94" s="67">
        <f>SUMPRODUCT(F94:AS94,F7:AS7)/SUM(F7:AS7)</f>
        <v>4.5308900955325564</v>
      </c>
      <c r="AU94" s="56"/>
    </row>
    <row r="95" spans="2:47" x14ac:dyDescent="0.25">
      <c r="B95" s="55"/>
      <c r="C95" s="10"/>
      <c r="D95" s="11" t="s">
        <v>51</v>
      </c>
      <c r="E95" s="114"/>
      <c r="F95" s="181" t="str">
        <f>IF(F94="","",IF(F94&lt;=2,"A",IF(F94&lt;=2.75,"B",IF(F94&lt;=3.5,"C",IF(F94&lt;=4.25,"D",IF(F94&lt;=5,"E","F"))))))</f>
        <v>E</v>
      </c>
      <c r="G95" s="182"/>
      <c r="H95" s="181" t="str">
        <f>IF(H94="","",IF(H94&lt;=2,"A",IF(H94&lt;=2.75,"B",IF(H94&lt;=3.5,"C",IF(H94&lt;=4.25,"D",IF(H94&lt;=5,"E","F"))))))</f>
        <v/>
      </c>
      <c r="I95" s="182"/>
      <c r="J95" s="181" t="str">
        <f t="shared" ref="J95" si="49">IF(J94="","",IF(J94&lt;=2,"A",IF(J94&lt;=2.75,"B",IF(J94&lt;=3.5,"C",IF(J94&lt;=4.25,"D",IF(J94&lt;=5,"E","F"))))))</f>
        <v/>
      </c>
      <c r="K95" s="182"/>
      <c r="L95" s="181" t="str">
        <f t="shared" ref="L95" si="50">IF(L94="","",IF(L94&lt;=2,"A",IF(L94&lt;=2.75,"B",IF(L94&lt;=3.5,"C",IF(L94&lt;=4.25,"D",IF(L94&lt;=5,"E","F"))))))</f>
        <v/>
      </c>
      <c r="M95" s="182"/>
      <c r="N95" s="181" t="str">
        <f t="shared" ref="N95" si="51">IF(N94="","",IF(N94&lt;=2,"A",IF(N94&lt;=2.75,"B",IF(N94&lt;=3.5,"C",IF(N94&lt;=4.25,"D",IF(N94&lt;=5,"E","F"))))))</f>
        <v/>
      </c>
      <c r="O95" s="182"/>
      <c r="P95" s="181" t="str">
        <f t="shared" ref="P95" si="52">IF(P94="","",IF(P94&lt;=2,"A",IF(P94&lt;=2.75,"B",IF(P94&lt;=3.5,"C",IF(P94&lt;=4.25,"D",IF(P94&lt;=5,"E","F"))))))</f>
        <v/>
      </c>
      <c r="Q95" s="182"/>
      <c r="R95" s="181" t="str">
        <f t="shared" ref="R95" si="53">IF(R94="","",IF(R94&lt;=2,"A",IF(R94&lt;=2.75,"B",IF(R94&lt;=3.5,"C",IF(R94&lt;=4.25,"D",IF(R94&lt;=5,"E","F"))))))</f>
        <v/>
      </c>
      <c r="S95" s="182"/>
      <c r="T95" s="181" t="str">
        <f t="shared" ref="T95" si="54">IF(T94="","",IF(T94&lt;=2,"A",IF(T94&lt;=2.75,"B",IF(T94&lt;=3.5,"C",IF(T94&lt;=4.25,"D",IF(T94&lt;=5,"E","F"))))))</f>
        <v/>
      </c>
      <c r="U95" s="182"/>
      <c r="V95" s="181" t="str">
        <f t="shared" ref="V95" si="55">IF(V94="","",IF(V94&lt;=2,"A",IF(V94&lt;=2.75,"B",IF(V94&lt;=3.5,"C",IF(V94&lt;=4.25,"D",IF(V94&lt;=5,"E","F"))))))</f>
        <v/>
      </c>
      <c r="W95" s="182"/>
      <c r="X95" s="181" t="str">
        <f t="shared" ref="X95" si="56">IF(X94="","",IF(X94&lt;=2,"A",IF(X94&lt;=2.75,"B",IF(X94&lt;=3.5,"C",IF(X94&lt;=4.25,"D",IF(X94&lt;=5,"E","F"))))))</f>
        <v/>
      </c>
      <c r="Y95" s="182"/>
      <c r="Z95" s="181" t="str">
        <f t="shared" ref="Z95" si="57">IF(Z94="","",IF(Z94&lt;=2,"A",IF(Z94&lt;=2.75,"B",IF(Z94&lt;=3.5,"C",IF(Z94&lt;=4.25,"D",IF(Z94&lt;=5,"E","F"))))))</f>
        <v/>
      </c>
      <c r="AA95" s="182"/>
      <c r="AB95" s="181" t="str">
        <f t="shared" ref="AB95" si="58">IF(AB94="","",IF(AB94&lt;=2,"A",IF(AB94&lt;=2.75,"B",IF(AB94&lt;=3.5,"C",IF(AB94&lt;=4.25,"D",IF(AB94&lt;=5,"E","F"))))))</f>
        <v/>
      </c>
      <c r="AC95" s="182"/>
      <c r="AD95" s="181" t="str">
        <f t="shared" ref="AD95" si="59">IF(AD94="","",IF(AD94&lt;=2,"A",IF(AD94&lt;=2.75,"B",IF(AD94&lt;=3.5,"C",IF(AD94&lt;=4.25,"D",IF(AD94&lt;=5,"E","F"))))))</f>
        <v/>
      </c>
      <c r="AE95" s="182"/>
      <c r="AF95" s="181" t="str">
        <f t="shared" ref="AF95" si="60">IF(AF94="","",IF(AF94&lt;=2,"A",IF(AF94&lt;=2.75,"B",IF(AF94&lt;=3.5,"C",IF(AF94&lt;=4.25,"D",IF(AF94&lt;=5,"E","F"))))))</f>
        <v/>
      </c>
      <c r="AG95" s="182"/>
      <c r="AH95" s="181" t="str">
        <f t="shared" ref="AH95" si="61">IF(AH94="","",IF(AH94&lt;=2,"A",IF(AH94&lt;=2.75,"B",IF(AH94&lt;=3.5,"C",IF(AH94&lt;=4.25,"D",IF(AH94&lt;=5,"E","F"))))))</f>
        <v/>
      </c>
      <c r="AI95" s="182"/>
      <c r="AJ95" s="181" t="str">
        <f t="shared" ref="AJ95" si="62">IF(AJ94="","",IF(AJ94&lt;=2,"A",IF(AJ94&lt;=2.75,"B",IF(AJ94&lt;=3.5,"C",IF(AJ94&lt;=4.25,"D",IF(AJ94&lt;=5,"E","F"))))))</f>
        <v/>
      </c>
      <c r="AK95" s="182"/>
      <c r="AL95" s="181" t="str">
        <f t="shared" ref="AL95" si="63">IF(AL94="","",IF(AL94&lt;=2,"A",IF(AL94&lt;=2.75,"B",IF(AL94&lt;=3.5,"C",IF(AL94&lt;=4.25,"D",IF(AL94&lt;=5,"E","F"))))))</f>
        <v/>
      </c>
      <c r="AM95" s="182"/>
      <c r="AN95" s="181" t="str">
        <f t="shared" ref="AN95" si="64">IF(AN94="","",IF(AN94&lt;=2,"A",IF(AN94&lt;=2.75,"B",IF(AN94&lt;=3.5,"C",IF(AN94&lt;=4.25,"D",IF(AN94&lt;=5,"E","F"))))))</f>
        <v/>
      </c>
      <c r="AO95" s="182"/>
      <c r="AP95" s="181" t="str">
        <f t="shared" ref="AP95" si="65">IF(AP94="","",IF(AP94&lt;=2,"A",IF(AP94&lt;=2.75,"B",IF(AP94&lt;=3.5,"C",IF(AP94&lt;=4.25,"D",IF(AP94&lt;=5,"E","F"))))))</f>
        <v/>
      </c>
      <c r="AQ95" s="182"/>
      <c r="AR95" s="181" t="str">
        <f t="shared" ref="AR95" si="66">IF(AR94="","",IF(AR94&lt;=2,"A",IF(AR94&lt;=2.75,"B",IF(AR94&lt;=3.5,"C",IF(AR94&lt;=4.25,"D",IF(AR94&lt;=5,"E","F"))))))</f>
        <v/>
      </c>
      <c r="AS95" s="182"/>
      <c r="AT95" s="68" t="str">
        <f>IF(AT94&lt;=2,"A",IF(AT94&lt;=2.75,"B",IF(AT94&lt;=3.5,"C",IF(AT94&lt;=4.25,"D",IF(AT94&lt;=5,"E","F")))))</f>
        <v>E</v>
      </c>
      <c r="AU95" s="56"/>
    </row>
    <row r="96" spans="2:47" x14ac:dyDescent="0.25">
      <c r="B96" s="55"/>
      <c r="C96" s="4"/>
      <c r="D96" s="8" t="s">
        <v>21</v>
      </c>
      <c r="E96" s="77"/>
      <c r="F96" s="4"/>
      <c r="G96" s="5"/>
      <c r="H96" s="4"/>
      <c r="I96" s="5"/>
      <c r="J96" s="4"/>
      <c r="K96" s="5"/>
      <c r="L96" s="4"/>
      <c r="M96" s="5"/>
      <c r="N96" s="4"/>
      <c r="O96" s="5"/>
      <c r="P96" s="4"/>
      <c r="Q96" s="5"/>
      <c r="R96" s="4"/>
      <c r="S96" s="5"/>
      <c r="T96" s="4"/>
      <c r="U96" s="5"/>
      <c r="V96" s="4"/>
      <c r="W96" s="5"/>
      <c r="X96" s="4"/>
      <c r="Y96" s="5"/>
      <c r="Z96" s="4"/>
      <c r="AA96" s="5"/>
      <c r="AB96" s="4"/>
      <c r="AC96" s="5"/>
      <c r="AD96" s="4"/>
      <c r="AE96" s="5"/>
      <c r="AF96" s="4"/>
      <c r="AG96" s="5"/>
      <c r="AH96" s="4"/>
      <c r="AI96" s="5"/>
      <c r="AJ96" s="4"/>
      <c r="AK96" s="5"/>
      <c r="AL96" s="4"/>
      <c r="AM96" s="5"/>
      <c r="AN96" s="4"/>
      <c r="AO96" s="5"/>
      <c r="AP96" s="4"/>
      <c r="AQ96" s="5"/>
      <c r="AR96" s="4"/>
      <c r="AS96" s="5"/>
      <c r="AT96" s="46"/>
      <c r="AU96" s="56"/>
    </row>
    <row r="97" spans="2:47" ht="14.25" x14ac:dyDescent="0.25">
      <c r="B97" s="55"/>
      <c r="C97" s="109" t="s">
        <v>226</v>
      </c>
      <c r="D97" s="110" t="s">
        <v>94</v>
      </c>
      <c r="E97" s="114"/>
      <c r="F97" s="184">
        <f>IF(ISBLANK(F7),"",IF(AND(F42="Yes",G42="Yes"),MAX(F86:G86), IF(F42="Yes",F86,IF(G42="Yes", G86,0))))</f>
        <v>2.3438381097591807</v>
      </c>
      <c r="G97" s="189"/>
      <c r="H97" s="184" t="str">
        <f>IF(ISBLANK(H7),"",IF(AND(H42="Yes",I42="Yes"),MAX(H86:I86), IF(H42="Yes",H86,IF(I42="Yes", I86,0))))</f>
        <v/>
      </c>
      <c r="I97" s="189"/>
      <c r="J97" s="184" t="str">
        <f>IF(ISBLANK(J7),"",IF(AND(J42="Yes",K42="Yes"),MAX(J86:K86), IF(J42="Yes",J86,IF(K42="Yes", K86,0))))</f>
        <v/>
      </c>
      <c r="K97" s="189"/>
      <c r="L97" s="184" t="str">
        <f>IF(ISBLANK(L7),"",IF(AND(L42="Yes",M42="Yes"),MAX(L86:M86), IF(L42="Yes",L86,IF(M42="Yes", M86,0))))</f>
        <v/>
      </c>
      <c r="M97" s="189"/>
      <c r="N97" s="184" t="str">
        <f>IF(ISBLANK(N7),"",IF(AND(N42="Yes",O42="Yes"),MAX(N86:O86), IF(N42="Yes",N86,IF(O42="Yes", O86,0))))</f>
        <v/>
      </c>
      <c r="O97" s="189"/>
      <c r="P97" s="184" t="str">
        <f>IF(ISBLANK(P7),"",IF(AND(P42="Yes",Q42="Yes"),MAX(P86:Q86), IF(P42="Yes",P86,IF(Q42="Yes", Q86,0))))</f>
        <v/>
      </c>
      <c r="Q97" s="189"/>
      <c r="R97" s="184" t="str">
        <f>IF(ISBLANK(R7),"",IF(AND(R42="Yes",S42="Yes"),MAX(R86:S86), IF(R42="Yes",R86,IF(S42="Yes", S86,0))))</f>
        <v/>
      </c>
      <c r="S97" s="189"/>
      <c r="T97" s="184" t="str">
        <f>IF(ISBLANK(T7),"",IF(AND(T42="Yes",U42="Yes"),MAX(T86:U86), IF(T42="Yes",T86,IF(U42="Yes", U86,0))))</f>
        <v/>
      </c>
      <c r="U97" s="189"/>
      <c r="V97" s="184" t="str">
        <f>IF(ISBLANK(V7),"",IF(AND(V42="Yes",W42="Yes"),MAX(V86:W86), IF(V42="Yes",V86,IF(W42="Yes", W86,0))))</f>
        <v/>
      </c>
      <c r="W97" s="189"/>
      <c r="X97" s="184" t="str">
        <f>IF(ISBLANK(X7),"",IF(AND(X42="Yes",Y42="Yes"),MAX(X86:Y86), IF(X42="Yes",X86,IF(Y42="Yes", Y86,0))))</f>
        <v/>
      </c>
      <c r="Y97" s="189"/>
      <c r="Z97" s="184" t="str">
        <f>IF(ISBLANK(Z7),"",IF(AND(Z42="Yes",AA42="Yes"),MAX(Z86:AA86), IF(Z42="Yes",Z86,IF(AA42="Yes", AA86,0))))</f>
        <v/>
      </c>
      <c r="AA97" s="189"/>
      <c r="AB97" s="184" t="str">
        <f>IF(ISBLANK(AB7),"",IF(AND(AB42="Yes",AC42="Yes"),MAX(AB86:AC86), IF(AB42="Yes",AB86,IF(AC42="Yes", AC86,0))))</f>
        <v/>
      </c>
      <c r="AC97" s="189"/>
      <c r="AD97" s="184" t="str">
        <f>IF(ISBLANK(AD7),"",IF(AND(AD42="Yes",AE42="Yes"),MAX(AD86:AE86), IF(AD42="Yes",AD86,IF(AE42="Yes", AE86,0))))</f>
        <v/>
      </c>
      <c r="AE97" s="189"/>
      <c r="AF97" s="184" t="str">
        <f>IF(ISBLANK(AF7),"",IF(AND(AF42="Yes",AG42="Yes"),MAX(AF86:AG86), IF(AF42="Yes",AF86,IF(AG42="Yes", AG86,0))))</f>
        <v/>
      </c>
      <c r="AG97" s="189"/>
      <c r="AH97" s="184" t="str">
        <f>IF(ISBLANK(AH7),"",IF(AND(AH42="Yes",AI42="Yes"),MAX(AH86:AI86), IF(AH42="Yes",AH86,IF(AI42="Yes", AI86,0))))</f>
        <v/>
      </c>
      <c r="AI97" s="189"/>
      <c r="AJ97" s="184" t="str">
        <f>IF(ISBLANK(AJ7),"",IF(AND(AJ42="Yes",AK42="Yes"),MAX(AJ86:AK86), IF(AJ42="Yes",AJ86,IF(AK42="Yes", AK86,0))))</f>
        <v/>
      </c>
      <c r="AK97" s="189"/>
      <c r="AL97" s="184" t="str">
        <f>IF(ISBLANK(AL7),"",IF(AND(AL42="Yes",AM42="Yes"),MAX(AL86:AM86), IF(AL42="Yes",AL86,IF(AM42="Yes", AM86,0))))</f>
        <v/>
      </c>
      <c r="AM97" s="189"/>
      <c r="AN97" s="184" t="str">
        <f>IF(ISBLANK(AN7),"",IF(AND(AN42="Yes",AO42="Yes"),MAX(AN86:AO86), IF(AN42="Yes",AN86,IF(AO42="Yes", AO86,0))))</f>
        <v/>
      </c>
      <c r="AO97" s="189"/>
      <c r="AP97" s="184" t="str">
        <f>IF(ISBLANK(AP7),"",IF(AND(AP42="Yes",AQ42="Yes"),MAX(AP86:AQ86), IF(AP42="Yes",AP86,IF(AQ42="Yes", AQ86,0))))</f>
        <v/>
      </c>
      <c r="AQ97" s="189"/>
      <c r="AR97" s="184" t="str">
        <f>IF(ISBLANK(AR7),"",IF(AND(AR42="Yes",AS42="Yes"),MAX(AR86:AS86), IF(AR42="Yes",AR86,IF(AS42="Yes", AS86,0))))</f>
        <v/>
      </c>
      <c r="AS97" s="189"/>
      <c r="AT97" s="67">
        <f>SUMPRODUCT(F97:AS97,F7:AS7)/SUM(F7:AS7)</f>
        <v>2.3438381097591807</v>
      </c>
      <c r="AU97" s="56"/>
    </row>
    <row r="98" spans="2:47" ht="13.5" thickBot="1" x14ac:dyDescent="0.3">
      <c r="B98" s="55"/>
      <c r="C98" s="10"/>
      <c r="D98" s="11" t="s">
        <v>52</v>
      </c>
      <c r="E98" s="114"/>
      <c r="F98" s="181" t="str">
        <f>IF(F97="","",IF(F97&lt;=2,"A",IF(F97&lt;=2.75,"B",IF(F97&lt;=3.5,"C",IF(F97&lt;=4.25,"D",IF(F97&lt;=5,"E","F"))))))</f>
        <v>B</v>
      </c>
      <c r="G98" s="182"/>
      <c r="H98" s="181" t="str">
        <f>IF(H97="","",IF(H97&lt;=2,"A",IF(H97&lt;=2.75,"B",IF(H97&lt;=3.5,"C",IF(H97&lt;=4.25,"D",IF(H97&lt;=5,"E","F"))))))</f>
        <v/>
      </c>
      <c r="I98" s="182"/>
      <c r="J98" s="181" t="str">
        <f t="shared" ref="J98" si="67">IF(J97="","",IF(J97&lt;=2,"A",IF(J97&lt;=2.75,"B",IF(J97&lt;=3.5,"C",IF(J97&lt;=4.25,"D",IF(J97&lt;=5,"E","F"))))))</f>
        <v/>
      </c>
      <c r="K98" s="182"/>
      <c r="L98" s="181" t="str">
        <f t="shared" ref="L98" si="68">IF(L97="","",IF(L97&lt;=2,"A",IF(L97&lt;=2.75,"B",IF(L97&lt;=3.5,"C",IF(L97&lt;=4.25,"D",IF(L97&lt;=5,"E","F"))))))</f>
        <v/>
      </c>
      <c r="M98" s="182"/>
      <c r="N98" s="181" t="str">
        <f t="shared" ref="N98" si="69">IF(N97="","",IF(N97&lt;=2,"A",IF(N97&lt;=2.75,"B",IF(N97&lt;=3.5,"C",IF(N97&lt;=4.25,"D",IF(N97&lt;=5,"E","F"))))))</f>
        <v/>
      </c>
      <c r="O98" s="182"/>
      <c r="P98" s="181" t="str">
        <f t="shared" ref="P98" si="70">IF(P97="","",IF(P97&lt;=2,"A",IF(P97&lt;=2.75,"B",IF(P97&lt;=3.5,"C",IF(P97&lt;=4.25,"D",IF(P97&lt;=5,"E","F"))))))</f>
        <v/>
      </c>
      <c r="Q98" s="182"/>
      <c r="R98" s="181" t="str">
        <f t="shared" ref="R98" si="71">IF(R97="","",IF(R97&lt;=2,"A",IF(R97&lt;=2.75,"B",IF(R97&lt;=3.5,"C",IF(R97&lt;=4.25,"D",IF(R97&lt;=5,"E","F"))))))</f>
        <v/>
      </c>
      <c r="S98" s="182"/>
      <c r="T98" s="181" t="str">
        <f t="shared" ref="T98" si="72">IF(T97="","",IF(T97&lt;=2,"A",IF(T97&lt;=2.75,"B",IF(T97&lt;=3.5,"C",IF(T97&lt;=4.25,"D",IF(T97&lt;=5,"E","F"))))))</f>
        <v/>
      </c>
      <c r="U98" s="182"/>
      <c r="V98" s="181" t="str">
        <f t="shared" ref="V98" si="73">IF(V97="","",IF(V97&lt;=2,"A",IF(V97&lt;=2.75,"B",IF(V97&lt;=3.5,"C",IF(V97&lt;=4.25,"D",IF(V97&lt;=5,"E","F"))))))</f>
        <v/>
      </c>
      <c r="W98" s="182"/>
      <c r="X98" s="181" t="str">
        <f t="shared" ref="X98" si="74">IF(X97="","",IF(X97&lt;=2,"A",IF(X97&lt;=2.75,"B",IF(X97&lt;=3.5,"C",IF(X97&lt;=4.25,"D",IF(X97&lt;=5,"E","F"))))))</f>
        <v/>
      </c>
      <c r="Y98" s="182"/>
      <c r="Z98" s="181" t="str">
        <f t="shared" ref="Z98" si="75">IF(Z97="","",IF(Z97&lt;=2,"A",IF(Z97&lt;=2.75,"B",IF(Z97&lt;=3.5,"C",IF(Z97&lt;=4.25,"D",IF(Z97&lt;=5,"E","F"))))))</f>
        <v/>
      </c>
      <c r="AA98" s="182"/>
      <c r="AB98" s="181" t="str">
        <f t="shared" ref="AB98" si="76">IF(AB97="","",IF(AB97&lt;=2,"A",IF(AB97&lt;=2.75,"B",IF(AB97&lt;=3.5,"C",IF(AB97&lt;=4.25,"D",IF(AB97&lt;=5,"E","F"))))))</f>
        <v/>
      </c>
      <c r="AC98" s="182"/>
      <c r="AD98" s="181" t="str">
        <f t="shared" ref="AD98" si="77">IF(AD97="","",IF(AD97&lt;=2,"A",IF(AD97&lt;=2.75,"B",IF(AD97&lt;=3.5,"C",IF(AD97&lt;=4.25,"D",IF(AD97&lt;=5,"E","F"))))))</f>
        <v/>
      </c>
      <c r="AE98" s="182"/>
      <c r="AF98" s="181" t="str">
        <f t="shared" ref="AF98" si="78">IF(AF97="","",IF(AF97&lt;=2,"A",IF(AF97&lt;=2.75,"B",IF(AF97&lt;=3.5,"C",IF(AF97&lt;=4.25,"D",IF(AF97&lt;=5,"E","F"))))))</f>
        <v/>
      </c>
      <c r="AG98" s="182"/>
      <c r="AH98" s="181" t="str">
        <f t="shared" ref="AH98" si="79">IF(AH97="","",IF(AH97&lt;=2,"A",IF(AH97&lt;=2.75,"B",IF(AH97&lt;=3.5,"C",IF(AH97&lt;=4.25,"D",IF(AH97&lt;=5,"E","F"))))))</f>
        <v/>
      </c>
      <c r="AI98" s="182"/>
      <c r="AJ98" s="181" t="str">
        <f t="shared" ref="AJ98" si="80">IF(AJ97="","",IF(AJ97&lt;=2,"A",IF(AJ97&lt;=2.75,"B",IF(AJ97&lt;=3.5,"C",IF(AJ97&lt;=4.25,"D",IF(AJ97&lt;=5,"E","F"))))))</f>
        <v/>
      </c>
      <c r="AK98" s="182"/>
      <c r="AL98" s="181" t="str">
        <f t="shared" ref="AL98" si="81">IF(AL97="","",IF(AL97&lt;=2,"A",IF(AL97&lt;=2.75,"B",IF(AL97&lt;=3.5,"C",IF(AL97&lt;=4.25,"D",IF(AL97&lt;=5,"E","F"))))))</f>
        <v/>
      </c>
      <c r="AM98" s="182"/>
      <c r="AN98" s="181" t="str">
        <f t="shared" ref="AN98" si="82">IF(AN97="","",IF(AN97&lt;=2,"A",IF(AN97&lt;=2.75,"B",IF(AN97&lt;=3.5,"C",IF(AN97&lt;=4.25,"D",IF(AN97&lt;=5,"E","F"))))))</f>
        <v/>
      </c>
      <c r="AO98" s="182"/>
      <c r="AP98" s="181" t="str">
        <f t="shared" ref="AP98" si="83">IF(AP97="","",IF(AP97&lt;=2,"A",IF(AP97&lt;=2.75,"B",IF(AP97&lt;=3.5,"C",IF(AP97&lt;=4.25,"D",IF(AP97&lt;=5,"E","F"))))))</f>
        <v/>
      </c>
      <c r="AQ98" s="182"/>
      <c r="AR98" s="181" t="str">
        <f t="shared" ref="AR98" si="84">IF(AR97="","",IF(AR97&lt;=2,"A",IF(AR97&lt;=2.75,"B",IF(AR97&lt;=3.5,"C",IF(AR97&lt;=4.25,"D",IF(AR97&lt;=5,"E","F"))))))</f>
        <v/>
      </c>
      <c r="AS98" s="182"/>
      <c r="AT98" s="69" t="str">
        <f>IF(AT97&lt;=2,"A",IF(AT97&lt;=2.75,"B",IF(AT97&lt;=3.5,"C",IF(AT97&lt;=4.25,"D",IF(AT97&lt;=5,"E","F")))))</f>
        <v>B</v>
      </c>
      <c r="AU98" s="56"/>
    </row>
    <row r="99" spans="2:47" ht="13.5" thickBot="1" x14ac:dyDescent="0.3">
      <c r="B99" s="63"/>
      <c r="C99" s="30"/>
      <c r="D99" s="64"/>
      <c r="E99" s="64"/>
      <c r="F99" s="30"/>
      <c r="G99" s="30"/>
      <c r="H99" s="30"/>
      <c r="I99" s="30"/>
      <c r="J99" s="30"/>
      <c r="K99" s="30"/>
      <c r="L99" s="30"/>
      <c r="M99" s="30"/>
      <c r="N99" s="30"/>
      <c r="O99" s="30"/>
      <c r="P99" s="30"/>
      <c r="Q99" s="30"/>
      <c r="R99" s="30"/>
      <c r="S99" s="30"/>
      <c r="T99" s="30"/>
      <c r="U99" s="30"/>
      <c r="V99" s="30"/>
      <c r="W99" s="30"/>
      <c r="X99" s="30"/>
      <c r="Y99" s="30"/>
      <c r="Z99" s="30"/>
      <c r="AA99" s="30"/>
      <c r="AB99" s="30"/>
      <c r="AC99" s="30"/>
      <c r="AD99" s="30"/>
      <c r="AE99" s="30"/>
      <c r="AF99" s="30"/>
      <c r="AG99" s="30"/>
      <c r="AH99" s="30"/>
      <c r="AI99" s="30"/>
      <c r="AJ99" s="30"/>
      <c r="AK99" s="30"/>
      <c r="AL99" s="30"/>
      <c r="AM99" s="30"/>
      <c r="AN99" s="30"/>
      <c r="AO99" s="30"/>
      <c r="AP99" s="30"/>
      <c r="AQ99" s="30"/>
      <c r="AR99" s="30"/>
      <c r="AS99" s="30"/>
      <c r="AT99" s="64"/>
      <c r="AU99" s="65"/>
    </row>
    <row r="101" spans="2:47" ht="15.75" x14ac:dyDescent="0.25">
      <c r="C101" s="21" t="s">
        <v>207</v>
      </c>
      <c r="D101" s="20" t="s">
        <v>210</v>
      </c>
      <c r="F101" s="20"/>
      <c r="G101" s="263"/>
    </row>
    <row r="102" spans="2:47" ht="15.75" x14ac:dyDescent="0.25">
      <c r="C102" s="21" t="s">
        <v>208</v>
      </c>
      <c r="D102" s="20" t="s">
        <v>211</v>
      </c>
    </row>
    <row r="103" spans="2:47" ht="15.75" x14ac:dyDescent="0.25">
      <c r="C103" s="21" t="s">
        <v>209</v>
      </c>
      <c r="D103" s="20" t="s">
        <v>214</v>
      </c>
    </row>
    <row r="104" spans="2:47" ht="12.95" customHeight="1" x14ac:dyDescent="0.25">
      <c r="C104" s="21" t="s">
        <v>216</v>
      </c>
      <c r="D104" s="190" t="s">
        <v>217</v>
      </c>
      <c r="E104" s="113"/>
      <c r="F104" s="20"/>
      <c r="I104" s="20"/>
      <c r="J104" s="20">
        <f>PEDDELAYLOS(F103)</f>
        <v>0.5</v>
      </c>
      <c r="K104" s="20"/>
      <c r="L104" s="20"/>
      <c r="M104" s="20"/>
      <c r="N104" s="20"/>
      <c r="O104" s="20"/>
      <c r="P104" s="20"/>
      <c r="Q104" s="20"/>
      <c r="R104" s="20"/>
      <c r="S104" s="20"/>
      <c r="T104" s="20"/>
      <c r="U104" s="20"/>
      <c r="V104" s="20"/>
      <c r="W104" s="20"/>
      <c r="X104" s="20"/>
      <c r="Y104" s="20"/>
      <c r="Z104" s="20"/>
      <c r="AA104" s="20"/>
      <c r="AB104" s="20"/>
      <c r="AC104" s="20"/>
      <c r="AD104" s="20"/>
      <c r="AE104" s="20"/>
      <c r="AF104" s="20"/>
      <c r="AG104" s="20"/>
      <c r="AH104" s="20"/>
      <c r="AI104" s="20"/>
      <c r="AJ104" s="20"/>
      <c r="AK104" s="20"/>
      <c r="AL104" s="20"/>
      <c r="AM104" s="20"/>
      <c r="AN104" s="20"/>
      <c r="AO104" s="20"/>
      <c r="AP104" s="20"/>
      <c r="AQ104" s="20"/>
      <c r="AR104" s="20"/>
      <c r="AS104" s="20"/>
    </row>
    <row r="105" spans="2:47" x14ac:dyDescent="0.25">
      <c r="D105" s="190"/>
      <c r="E105" s="113"/>
      <c r="F105" s="20"/>
      <c r="I105" s="20"/>
      <c r="J105" s="20"/>
      <c r="K105" s="20"/>
      <c r="L105" s="20"/>
      <c r="M105" s="20"/>
      <c r="N105" s="20"/>
      <c r="O105" s="20"/>
      <c r="P105" s="20"/>
      <c r="Q105" s="20"/>
      <c r="R105" s="20"/>
      <c r="S105" s="20"/>
      <c r="T105" s="20"/>
      <c r="U105" s="20"/>
      <c r="V105" s="20"/>
      <c r="W105" s="20"/>
      <c r="X105" s="20"/>
      <c r="Y105" s="20"/>
      <c r="Z105" s="20"/>
      <c r="AA105" s="20"/>
      <c r="AB105" s="20"/>
      <c r="AC105" s="20"/>
      <c r="AD105" s="20"/>
      <c r="AE105" s="20"/>
      <c r="AF105" s="20"/>
      <c r="AG105" s="20"/>
      <c r="AH105" s="20"/>
      <c r="AI105" s="20"/>
      <c r="AJ105" s="20"/>
      <c r="AK105" s="20"/>
      <c r="AL105" s="20"/>
      <c r="AM105" s="20"/>
      <c r="AN105" s="20"/>
      <c r="AO105" s="20"/>
      <c r="AP105" s="20"/>
      <c r="AQ105" s="20"/>
      <c r="AR105" s="20"/>
      <c r="AS105" s="20"/>
    </row>
    <row r="106" spans="2:47" x14ac:dyDescent="0.25">
      <c r="D106" s="190"/>
      <c r="E106" s="113"/>
      <c r="F106" s="20"/>
      <c r="I106" s="20"/>
      <c r="J106" s="20"/>
      <c r="K106" s="20"/>
      <c r="L106" s="20"/>
      <c r="M106" s="20"/>
      <c r="N106" s="20"/>
      <c r="O106" s="20"/>
      <c r="P106" s="20"/>
      <c r="Q106" s="20"/>
      <c r="R106" s="20"/>
      <c r="S106" s="20"/>
      <c r="T106" s="20"/>
      <c r="U106" s="20"/>
      <c r="V106" s="20"/>
      <c r="W106" s="20"/>
      <c r="X106" s="20"/>
      <c r="Y106" s="20"/>
      <c r="Z106" s="20"/>
      <c r="AA106" s="20"/>
      <c r="AB106" s="20"/>
      <c r="AC106" s="20"/>
      <c r="AD106" s="20"/>
      <c r="AE106" s="20"/>
      <c r="AF106" s="20"/>
      <c r="AG106" s="20"/>
      <c r="AH106" s="20"/>
      <c r="AI106" s="20"/>
      <c r="AJ106" s="20"/>
      <c r="AK106" s="20"/>
      <c r="AL106" s="20"/>
      <c r="AM106" s="20"/>
      <c r="AN106" s="20"/>
      <c r="AO106" s="20"/>
      <c r="AP106" s="20"/>
      <c r="AQ106" s="20"/>
      <c r="AR106" s="20"/>
      <c r="AS106" s="20"/>
    </row>
    <row r="107" spans="2:47" ht="25.5" x14ac:dyDescent="0.25">
      <c r="C107" s="145" t="s">
        <v>243</v>
      </c>
      <c r="D107" s="147" t="s">
        <v>245</v>
      </c>
      <c r="E107" s="144"/>
      <c r="F107" s="20"/>
      <c r="I107" s="20"/>
      <c r="J107" s="20"/>
      <c r="K107" s="20"/>
      <c r="L107" s="20"/>
      <c r="M107" s="20"/>
      <c r="N107" s="20"/>
      <c r="O107" s="20"/>
      <c r="P107" s="20"/>
      <c r="Q107" s="20"/>
      <c r="R107" s="20"/>
      <c r="S107" s="20"/>
      <c r="T107" s="20"/>
      <c r="U107" s="20"/>
      <c r="V107" s="20"/>
      <c r="W107" s="20"/>
      <c r="X107" s="20"/>
      <c r="Y107" s="20"/>
      <c r="Z107" s="20"/>
      <c r="AA107" s="20"/>
      <c r="AB107" s="20"/>
      <c r="AC107" s="20"/>
      <c r="AD107" s="20"/>
      <c r="AE107" s="20"/>
      <c r="AF107" s="20"/>
      <c r="AG107" s="20"/>
      <c r="AH107" s="20"/>
      <c r="AI107" s="20"/>
      <c r="AJ107" s="20"/>
      <c r="AK107" s="20"/>
      <c r="AL107" s="20"/>
      <c r="AM107" s="20"/>
      <c r="AN107" s="20"/>
      <c r="AO107" s="20"/>
      <c r="AP107" s="20"/>
      <c r="AQ107" s="20"/>
      <c r="AR107" s="20"/>
      <c r="AS107" s="20"/>
    </row>
    <row r="108" spans="2:47" x14ac:dyDescent="0.25">
      <c r="D108" s="144"/>
      <c r="E108" s="144"/>
      <c r="F108" s="20"/>
      <c r="G108" s="20"/>
      <c r="H108" s="20"/>
      <c r="I108" s="20"/>
      <c r="J108" s="20"/>
      <c r="K108" s="20"/>
      <c r="L108" s="20"/>
      <c r="M108" s="20"/>
      <c r="N108" s="20"/>
      <c r="O108" s="20"/>
      <c r="P108" s="20"/>
      <c r="Q108" s="20"/>
      <c r="R108" s="20"/>
      <c r="S108" s="20"/>
      <c r="T108" s="20"/>
      <c r="U108" s="20"/>
      <c r="V108" s="20"/>
      <c r="W108" s="20"/>
      <c r="X108" s="20"/>
      <c r="Y108" s="20"/>
      <c r="Z108" s="20"/>
      <c r="AA108" s="20"/>
      <c r="AB108" s="20"/>
      <c r="AC108" s="20"/>
      <c r="AD108" s="20"/>
      <c r="AE108" s="20"/>
      <c r="AF108" s="20"/>
      <c r="AG108" s="20"/>
      <c r="AH108" s="20"/>
      <c r="AI108" s="20"/>
      <c r="AJ108" s="20"/>
      <c r="AK108" s="20"/>
      <c r="AL108" s="20"/>
      <c r="AM108" s="20"/>
      <c r="AN108" s="20"/>
      <c r="AO108" s="20"/>
      <c r="AP108" s="20"/>
      <c r="AQ108" s="20"/>
      <c r="AR108" s="20"/>
      <c r="AS108" s="20"/>
    </row>
    <row r="110" spans="2:47" ht="13.5" x14ac:dyDescent="0.25">
      <c r="C110" s="183" t="s">
        <v>230</v>
      </c>
      <c r="D110" s="183"/>
      <c r="F110" s="20"/>
      <c r="G110" s="20"/>
      <c r="H110" s="20"/>
      <c r="I110" s="20"/>
      <c r="J110" s="20"/>
      <c r="K110" s="20"/>
      <c r="L110" s="20"/>
      <c r="M110" s="20"/>
      <c r="N110" s="20"/>
      <c r="O110" s="20"/>
      <c r="P110" s="20"/>
      <c r="Q110" s="20"/>
      <c r="R110" s="20"/>
      <c r="S110" s="20"/>
      <c r="T110" s="20"/>
      <c r="U110" s="20"/>
      <c r="V110" s="20"/>
      <c r="W110" s="20"/>
      <c r="X110" s="20"/>
      <c r="Y110" s="20"/>
      <c r="Z110" s="20"/>
      <c r="AA110" s="20"/>
      <c r="AB110" s="20"/>
      <c r="AC110" s="20"/>
      <c r="AD110" s="20"/>
      <c r="AE110" s="20"/>
      <c r="AF110" s="20"/>
      <c r="AG110" s="20"/>
      <c r="AH110" s="20"/>
      <c r="AI110" s="20"/>
      <c r="AJ110" s="20"/>
      <c r="AK110" s="20"/>
      <c r="AL110" s="20"/>
      <c r="AM110" s="20"/>
      <c r="AN110" s="20"/>
      <c r="AO110" s="20"/>
      <c r="AP110" s="20"/>
      <c r="AQ110" s="20"/>
      <c r="AR110" s="20"/>
      <c r="AS110" s="20"/>
    </row>
  </sheetData>
  <mergeCells count="228">
    <mergeCell ref="D104:D106"/>
    <mergeCell ref="AT3:AT4"/>
    <mergeCell ref="AR91:AS91"/>
    <mergeCell ref="AR92:AS92"/>
    <mergeCell ref="AR94:AS94"/>
    <mergeCell ref="AR95:AS95"/>
    <mergeCell ref="AR97:AS97"/>
    <mergeCell ref="AR98:AS98"/>
    <mergeCell ref="AP92:AQ92"/>
    <mergeCell ref="AP94:AQ94"/>
    <mergeCell ref="AP95:AQ95"/>
    <mergeCell ref="AP97:AQ97"/>
    <mergeCell ref="AP98:AQ98"/>
    <mergeCell ref="AR3:AS3"/>
    <mergeCell ref="AR6:AS6"/>
    <mergeCell ref="AR7:AS7"/>
    <mergeCell ref="AR44:AS44"/>
    <mergeCell ref="AR89:AS89"/>
    <mergeCell ref="AP3:AQ3"/>
    <mergeCell ref="AP6:AQ6"/>
    <mergeCell ref="AP7:AQ7"/>
    <mergeCell ref="AP44:AQ44"/>
    <mergeCell ref="AP89:AQ89"/>
    <mergeCell ref="AP91:AQ91"/>
    <mergeCell ref="AN91:AO91"/>
    <mergeCell ref="AN92:AO92"/>
    <mergeCell ref="AN94:AO94"/>
    <mergeCell ref="AN95:AO95"/>
    <mergeCell ref="AN97:AO97"/>
    <mergeCell ref="AN98:AO98"/>
    <mergeCell ref="AL92:AM92"/>
    <mergeCell ref="AL94:AM94"/>
    <mergeCell ref="AL95:AM95"/>
    <mergeCell ref="AL97:AM97"/>
    <mergeCell ref="AL98:AM98"/>
    <mergeCell ref="AL91:AM91"/>
    <mergeCell ref="AN3:AO3"/>
    <mergeCell ref="AN6:AO6"/>
    <mergeCell ref="AN7:AO7"/>
    <mergeCell ref="AN44:AO44"/>
    <mergeCell ref="AN89:AO89"/>
    <mergeCell ref="AL3:AM3"/>
    <mergeCell ref="AL6:AM6"/>
    <mergeCell ref="AL7:AM7"/>
    <mergeCell ref="AL44:AM44"/>
    <mergeCell ref="AL89:AM89"/>
    <mergeCell ref="AJ91:AK91"/>
    <mergeCell ref="AJ92:AK92"/>
    <mergeCell ref="AJ94:AK94"/>
    <mergeCell ref="AJ95:AK95"/>
    <mergeCell ref="AJ97:AK97"/>
    <mergeCell ref="AJ98:AK98"/>
    <mergeCell ref="AH92:AI92"/>
    <mergeCell ref="AH94:AI94"/>
    <mergeCell ref="AH95:AI95"/>
    <mergeCell ref="AH97:AI97"/>
    <mergeCell ref="AH98:AI98"/>
    <mergeCell ref="AH91:AI91"/>
    <mergeCell ref="AJ3:AK3"/>
    <mergeCell ref="AJ6:AK6"/>
    <mergeCell ref="AJ7:AK7"/>
    <mergeCell ref="AJ44:AK44"/>
    <mergeCell ref="AJ89:AK89"/>
    <mergeCell ref="AH3:AI3"/>
    <mergeCell ref="AH6:AI6"/>
    <mergeCell ref="AH7:AI7"/>
    <mergeCell ref="AH44:AI44"/>
    <mergeCell ref="AH89:AI89"/>
    <mergeCell ref="AF91:AG91"/>
    <mergeCell ref="AF92:AG92"/>
    <mergeCell ref="AF94:AG94"/>
    <mergeCell ref="AF95:AG95"/>
    <mergeCell ref="AF97:AG97"/>
    <mergeCell ref="AF98:AG98"/>
    <mergeCell ref="AD92:AE92"/>
    <mergeCell ref="AD94:AE94"/>
    <mergeCell ref="AD95:AE95"/>
    <mergeCell ref="AD97:AE97"/>
    <mergeCell ref="AD98:AE98"/>
    <mergeCell ref="AD91:AE91"/>
    <mergeCell ref="AF3:AG3"/>
    <mergeCell ref="AF6:AG6"/>
    <mergeCell ref="AF7:AG7"/>
    <mergeCell ref="AF44:AG44"/>
    <mergeCell ref="AF89:AG89"/>
    <mergeCell ref="AD3:AE3"/>
    <mergeCell ref="AD6:AE6"/>
    <mergeCell ref="AD7:AE7"/>
    <mergeCell ref="AD44:AE44"/>
    <mergeCell ref="AD89:AE89"/>
    <mergeCell ref="V98:W98"/>
    <mergeCell ref="V91:W91"/>
    <mergeCell ref="AB3:AC3"/>
    <mergeCell ref="AB6:AC6"/>
    <mergeCell ref="AB7:AC7"/>
    <mergeCell ref="AB44:AC44"/>
    <mergeCell ref="AB89:AC89"/>
    <mergeCell ref="Z3:AA3"/>
    <mergeCell ref="Z6:AA6"/>
    <mergeCell ref="Z7:AA7"/>
    <mergeCell ref="Z44:AA44"/>
    <mergeCell ref="Z89:AA89"/>
    <mergeCell ref="AB91:AC91"/>
    <mergeCell ref="AB92:AC92"/>
    <mergeCell ref="AB94:AC94"/>
    <mergeCell ref="AB95:AC95"/>
    <mergeCell ref="AB97:AC97"/>
    <mergeCell ref="AB98:AC98"/>
    <mergeCell ref="Z92:AA92"/>
    <mergeCell ref="Z94:AA94"/>
    <mergeCell ref="Z95:AA95"/>
    <mergeCell ref="Z97:AA97"/>
    <mergeCell ref="Z98:AA98"/>
    <mergeCell ref="Z91:AA91"/>
    <mergeCell ref="R95:S95"/>
    <mergeCell ref="R97:S97"/>
    <mergeCell ref="R98:S98"/>
    <mergeCell ref="R91:S91"/>
    <mergeCell ref="X3:Y3"/>
    <mergeCell ref="X6:Y6"/>
    <mergeCell ref="X7:Y7"/>
    <mergeCell ref="X44:Y44"/>
    <mergeCell ref="X89:Y89"/>
    <mergeCell ref="V3:W3"/>
    <mergeCell ref="V6:W6"/>
    <mergeCell ref="V7:W7"/>
    <mergeCell ref="V44:W44"/>
    <mergeCell ref="V89:W89"/>
    <mergeCell ref="X91:Y91"/>
    <mergeCell ref="X92:Y92"/>
    <mergeCell ref="X94:Y94"/>
    <mergeCell ref="X95:Y95"/>
    <mergeCell ref="X97:Y97"/>
    <mergeCell ref="X98:Y98"/>
    <mergeCell ref="V92:W92"/>
    <mergeCell ref="V94:W94"/>
    <mergeCell ref="V95:W95"/>
    <mergeCell ref="V97:W97"/>
    <mergeCell ref="P98:Q98"/>
    <mergeCell ref="N92:O92"/>
    <mergeCell ref="N94:O94"/>
    <mergeCell ref="N95:O95"/>
    <mergeCell ref="N97:O97"/>
    <mergeCell ref="N98:O98"/>
    <mergeCell ref="T3:U3"/>
    <mergeCell ref="T6:U6"/>
    <mergeCell ref="T7:U7"/>
    <mergeCell ref="T44:U44"/>
    <mergeCell ref="T89:U89"/>
    <mergeCell ref="R3:S3"/>
    <mergeCell ref="R6:S6"/>
    <mergeCell ref="R7:S7"/>
    <mergeCell ref="R44:S44"/>
    <mergeCell ref="R89:S89"/>
    <mergeCell ref="T91:U91"/>
    <mergeCell ref="T92:U92"/>
    <mergeCell ref="T94:U94"/>
    <mergeCell ref="T95:U95"/>
    <mergeCell ref="T97:U97"/>
    <mergeCell ref="T98:U98"/>
    <mergeCell ref="R92:S92"/>
    <mergeCell ref="R94:S94"/>
    <mergeCell ref="H97:I97"/>
    <mergeCell ref="H98:I98"/>
    <mergeCell ref="H95:I95"/>
    <mergeCell ref="H44:I44"/>
    <mergeCell ref="P3:Q3"/>
    <mergeCell ref="P6:Q6"/>
    <mergeCell ref="P7:Q7"/>
    <mergeCell ref="P44:Q44"/>
    <mergeCell ref="P89:Q89"/>
    <mergeCell ref="L94:M94"/>
    <mergeCell ref="L95:M95"/>
    <mergeCell ref="L97:M97"/>
    <mergeCell ref="L98:M98"/>
    <mergeCell ref="N3:O3"/>
    <mergeCell ref="N6:O6"/>
    <mergeCell ref="N7:O7"/>
    <mergeCell ref="N44:O44"/>
    <mergeCell ref="N89:O89"/>
    <mergeCell ref="N91:O91"/>
    <mergeCell ref="P91:Q91"/>
    <mergeCell ref="P92:Q92"/>
    <mergeCell ref="P94:Q94"/>
    <mergeCell ref="P95:Q95"/>
    <mergeCell ref="P97:Q97"/>
    <mergeCell ref="J95:K95"/>
    <mergeCell ref="J97:K97"/>
    <mergeCell ref="J98:K98"/>
    <mergeCell ref="L3:M3"/>
    <mergeCell ref="L6:M6"/>
    <mergeCell ref="L7:M7"/>
    <mergeCell ref="L44:M44"/>
    <mergeCell ref="L89:M89"/>
    <mergeCell ref="L91:M91"/>
    <mergeCell ref="L92:M92"/>
    <mergeCell ref="J3:K3"/>
    <mergeCell ref="J6:K6"/>
    <mergeCell ref="J7:K7"/>
    <mergeCell ref="J44:K44"/>
    <mergeCell ref="J89:K89"/>
    <mergeCell ref="J91:K91"/>
    <mergeCell ref="J92:K92"/>
    <mergeCell ref="J94:K94"/>
    <mergeCell ref="C110:D110"/>
    <mergeCell ref="H89:I89"/>
    <mergeCell ref="H91:I91"/>
    <mergeCell ref="H92:I92"/>
    <mergeCell ref="H94:I94"/>
    <mergeCell ref="F6:G6"/>
    <mergeCell ref="H3:I3"/>
    <mergeCell ref="C3:D4"/>
    <mergeCell ref="F3:G3"/>
    <mergeCell ref="F7:G7"/>
    <mergeCell ref="C6:D6"/>
    <mergeCell ref="H6:I6"/>
    <mergeCell ref="H7:I7"/>
    <mergeCell ref="E3:E4"/>
    <mergeCell ref="F98:G98"/>
    <mergeCell ref="C44:D44"/>
    <mergeCell ref="F44:G44"/>
    <mergeCell ref="C89:D89"/>
    <mergeCell ref="F89:G89"/>
    <mergeCell ref="F94:G94"/>
    <mergeCell ref="F97:G97"/>
    <mergeCell ref="F92:G92"/>
    <mergeCell ref="F91:G91"/>
    <mergeCell ref="F95:G95"/>
  </mergeCells>
  <dataValidations count="3">
    <dataValidation type="list" allowBlank="1" showInputMessage="1" showErrorMessage="1" sqref="F39:AS39 E42:AS42 F26:AS31 E31 E26" xr:uid="{00000000-0002-0000-0100-000000000000}">
      <formula1>"Yes,No"</formula1>
    </dataValidation>
    <dataValidation type="decimal" operator="greaterThanOrEqual" allowBlank="1" showInputMessage="1" showErrorMessage="1" sqref="F16:AS18" xr:uid="{00000000-0002-0000-0100-000001000000}">
      <formula1>0</formula1>
    </dataValidation>
    <dataValidation type="list" allowBlank="1" showInputMessage="1" showErrorMessage="1" sqref="F8:AS8" xr:uid="{00000000-0002-0000-0100-000002000000}">
      <formula1>"NB,SB,EB,WB"</formula1>
    </dataValidation>
  </dataValidations>
  <pageMargins left="0.7" right="0.7" top="0.75" bottom="0.75" header="0.3" footer="0.3"/>
  <pageSetup orientation="portrait" horizontalDpi="360" verticalDpi="360" r:id="rId1"/>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pageSetUpPr fitToPage="1"/>
  </sheetPr>
  <dimension ref="A1:CM123"/>
  <sheetViews>
    <sheetView view="pageBreakPreview" topLeftCell="A3" zoomScaleNormal="162" zoomScaleSheetLayoutView="100" zoomScalePageLayoutView="120" workbookViewId="0">
      <pane xSplit="5" ySplit="3" topLeftCell="F59" activePane="bottomRight" state="frozenSplit"/>
      <selection activeCell="A3" sqref="A3"/>
      <selection pane="topRight" activeCell="F3" sqref="F3"/>
      <selection pane="bottomLeft" activeCell="A6" sqref="A6"/>
      <selection pane="bottomRight" activeCell="F69" sqref="F69"/>
    </sheetView>
  </sheetViews>
  <sheetFormatPr defaultColWidth="10.875" defaultRowHeight="13.5" x14ac:dyDescent="0.25"/>
  <cols>
    <col min="1" max="2" width="3.375" style="20" customWidth="1"/>
    <col min="3" max="3" width="5.5" style="23" bestFit="1" customWidth="1"/>
    <col min="4" max="4" width="64" style="20" bestFit="1" customWidth="1"/>
    <col min="5" max="5" width="8" style="129" customWidth="1"/>
    <col min="6" max="88" width="9.125" style="23" bestFit="1" customWidth="1"/>
    <col min="89" max="90" width="9.125" style="23" customWidth="1"/>
    <col min="91" max="91" width="3.375" style="23" customWidth="1"/>
    <col min="92" max="16384" width="10.875" style="23"/>
  </cols>
  <sheetData>
    <row r="1" spans="1:91" ht="14.25" thickBot="1" x14ac:dyDescent="0.3">
      <c r="CL1" s="20"/>
      <c r="CM1" s="20"/>
    </row>
    <row r="2" spans="1:91" x14ac:dyDescent="0.25">
      <c r="B2" s="52"/>
      <c r="C2" s="25"/>
      <c r="D2" s="53"/>
      <c r="E2" s="130"/>
      <c r="F2" s="25"/>
      <c r="G2" s="25"/>
      <c r="H2" s="25"/>
      <c r="I2" s="25"/>
      <c r="J2" s="25"/>
      <c r="K2" s="25"/>
      <c r="L2" s="25"/>
      <c r="M2" s="25"/>
      <c r="N2" s="25"/>
      <c r="O2" s="25"/>
      <c r="P2" s="25"/>
      <c r="Q2" s="25"/>
      <c r="R2" s="25"/>
      <c r="S2" s="25"/>
      <c r="T2" s="25"/>
      <c r="U2" s="25"/>
      <c r="V2" s="25"/>
      <c r="W2" s="25"/>
      <c r="X2" s="25"/>
      <c r="Y2" s="25"/>
      <c r="Z2" s="25"/>
      <c r="AA2" s="25"/>
      <c r="AB2" s="25"/>
      <c r="AC2" s="25"/>
      <c r="AD2" s="25"/>
      <c r="AE2" s="25"/>
      <c r="AF2" s="25"/>
      <c r="AG2" s="25"/>
      <c r="AH2" s="25"/>
      <c r="AI2" s="25"/>
      <c r="AJ2" s="25"/>
      <c r="AK2" s="25"/>
      <c r="AL2" s="25"/>
      <c r="AM2" s="25"/>
      <c r="AN2" s="25"/>
      <c r="AO2" s="25"/>
      <c r="AP2" s="25"/>
      <c r="AQ2" s="25"/>
      <c r="AR2" s="25"/>
      <c r="AS2" s="25"/>
      <c r="AT2" s="25"/>
      <c r="AU2" s="25"/>
      <c r="AV2" s="25"/>
      <c r="AW2" s="25"/>
      <c r="AX2" s="25"/>
      <c r="AY2" s="25"/>
      <c r="AZ2" s="25"/>
      <c r="BA2" s="25"/>
      <c r="BB2" s="25"/>
      <c r="BC2" s="25"/>
      <c r="BD2" s="25"/>
      <c r="BE2" s="25"/>
      <c r="BF2" s="25"/>
      <c r="BG2" s="25"/>
      <c r="BH2" s="25"/>
      <c r="BI2" s="25"/>
      <c r="BJ2" s="25"/>
      <c r="BK2" s="25"/>
      <c r="BL2" s="25"/>
      <c r="BM2" s="25"/>
      <c r="BN2" s="25"/>
      <c r="BO2" s="25"/>
      <c r="BP2" s="25"/>
      <c r="BQ2" s="25"/>
      <c r="BR2" s="25"/>
      <c r="BS2" s="25"/>
      <c r="BT2" s="25"/>
      <c r="BU2" s="25"/>
      <c r="BV2" s="25"/>
      <c r="BW2" s="25"/>
      <c r="BX2" s="25"/>
      <c r="BY2" s="25"/>
      <c r="BZ2" s="25"/>
      <c r="CA2" s="25"/>
      <c r="CB2" s="25"/>
      <c r="CC2" s="25"/>
      <c r="CD2" s="25"/>
      <c r="CE2" s="25"/>
      <c r="CF2" s="25"/>
      <c r="CG2" s="25"/>
      <c r="CH2" s="25"/>
      <c r="CI2" s="25"/>
      <c r="CJ2" s="25"/>
      <c r="CK2" s="25"/>
      <c r="CL2" s="53"/>
      <c r="CM2" s="54"/>
    </row>
    <row r="3" spans="1:91" ht="12.75" x14ac:dyDescent="0.25">
      <c r="B3" s="55"/>
      <c r="C3" s="178" t="s">
        <v>68</v>
      </c>
      <c r="D3" s="179"/>
      <c r="E3" s="188" t="s">
        <v>229</v>
      </c>
      <c r="F3" s="178" t="s">
        <v>145</v>
      </c>
      <c r="G3" s="179"/>
      <c r="H3" s="179"/>
      <c r="I3" s="180"/>
      <c r="J3" s="178" t="s">
        <v>179</v>
      </c>
      <c r="K3" s="179"/>
      <c r="L3" s="179"/>
      <c r="M3" s="180"/>
      <c r="N3" s="178" t="s">
        <v>180</v>
      </c>
      <c r="O3" s="179"/>
      <c r="P3" s="179"/>
      <c r="Q3" s="180"/>
      <c r="R3" s="178" t="s">
        <v>181</v>
      </c>
      <c r="S3" s="179"/>
      <c r="T3" s="179"/>
      <c r="U3" s="180"/>
      <c r="V3" s="178" t="s">
        <v>182</v>
      </c>
      <c r="W3" s="179"/>
      <c r="X3" s="179"/>
      <c r="Y3" s="180"/>
      <c r="Z3" s="178" t="s">
        <v>183</v>
      </c>
      <c r="AA3" s="179"/>
      <c r="AB3" s="179"/>
      <c r="AC3" s="180"/>
      <c r="AD3" s="178" t="s">
        <v>184</v>
      </c>
      <c r="AE3" s="179"/>
      <c r="AF3" s="179"/>
      <c r="AG3" s="180"/>
      <c r="AH3" s="178" t="s">
        <v>185</v>
      </c>
      <c r="AI3" s="179"/>
      <c r="AJ3" s="179"/>
      <c r="AK3" s="180"/>
      <c r="AL3" s="178" t="s">
        <v>186</v>
      </c>
      <c r="AM3" s="179"/>
      <c r="AN3" s="179"/>
      <c r="AO3" s="180"/>
      <c r="AP3" s="178" t="s">
        <v>187</v>
      </c>
      <c r="AQ3" s="179"/>
      <c r="AR3" s="179"/>
      <c r="AS3" s="180"/>
      <c r="AT3" s="178" t="s">
        <v>188</v>
      </c>
      <c r="AU3" s="179"/>
      <c r="AV3" s="179"/>
      <c r="AW3" s="180"/>
      <c r="AX3" s="178" t="s">
        <v>189</v>
      </c>
      <c r="AY3" s="179"/>
      <c r="AZ3" s="179"/>
      <c r="BA3" s="180"/>
      <c r="BB3" s="178" t="s">
        <v>190</v>
      </c>
      <c r="BC3" s="179"/>
      <c r="BD3" s="179"/>
      <c r="BE3" s="180"/>
      <c r="BF3" s="178" t="s">
        <v>191</v>
      </c>
      <c r="BG3" s="179"/>
      <c r="BH3" s="179"/>
      <c r="BI3" s="180"/>
      <c r="BJ3" s="178" t="s">
        <v>192</v>
      </c>
      <c r="BK3" s="179"/>
      <c r="BL3" s="179"/>
      <c r="BM3" s="180"/>
      <c r="BN3" s="178" t="s">
        <v>193</v>
      </c>
      <c r="BO3" s="179"/>
      <c r="BP3" s="179"/>
      <c r="BQ3" s="180"/>
      <c r="BR3" s="178" t="s">
        <v>194</v>
      </c>
      <c r="BS3" s="179"/>
      <c r="BT3" s="179"/>
      <c r="BU3" s="180"/>
      <c r="BV3" s="178" t="s">
        <v>195</v>
      </c>
      <c r="BW3" s="179"/>
      <c r="BX3" s="179"/>
      <c r="BY3" s="180"/>
      <c r="BZ3" s="178" t="s">
        <v>196</v>
      </c>
      <c r="CA3" s="179"/>
      <c r="CB3" s="179"/>
      <c r="CC3" s="180"/>
      <c r="CD3" s="178" t="s">
        <v>197</v>
      </c>
      <c r="CE3" s="179"/>
      <c r="CF3" s="179"/>
      <c r="CG3" s="180"/>
      <c r="CH3" s="178" t="s">
        <v>198</v>
      </c>
      <c r="CI3" s="179"/>
      <c r="CJ3" s="179"/>
      <c r="CK3" s="180"/>
      <c r="CL3" s="197" t="s">
        <v>199</v>
      </c>
      <c r="CM3" s="56"/>
    </row>
    <row r="4" spans="1:91" ht="12.95" customHeight="1" x14ac:dyDescent="0.25">
      <c r="A4" s="21"/>
      <c r="B4" s="57"/>
      <c r="C4" s="178"/>
      <c r="D4" s="179"/>
      <c r="E4" s="188"/>
      <c r="F4" s="1" t="s">
        <v>66</v>
      </c>
      <c r="G4" s="88" t="s">
        <v>67</v>
      </c>
      <c r="H4" s="88" t="s">
        <v>143</v>
      </c>
      <c r="I4" s="2" t="s">
        <v>144</v>
      </c>
      <c r="J4" s="1" t="s">
        <v>66</v>
      </c>
      <c r="K4" s="88" t="s">
        <v>67</v>
      </c>
      <c r="L4" s="88" t="s">
        <v>143</v>
      </c>
      <c r="M4" s="2" t="s">
        <v>144</v>
      </c>
      <c r="N4" s="1" t="s">
        <v>66</v>
      </c>
      <c r="O4" s="88" t="s">
        <v>67</v>
      </c>
      <c r="P4" s="88" t="s">
        <v>143</v>
      </c>
      <c r="Q4" s="2" t="s">
        <v>144</v>
      </c>
      <c r="R4" s="1" t="s">
        <v>66</v>
      </c>
      <c r="S4" s="88" t="s">
        <v>67</v>
      </c>
      <c r="T4" s="88" t="s">
        <v>143</v>
      </c>
      <c r="U4" s="2" t="s">
        <v>144</v>
      </c>
      <c r="V4" s="1" t="s">
        <v>66</v>
      </c>
      <c r="W4" s="88" t="s">
        <v>67</v>
      </c>
      <c r="X4" s="88" t="s">
        <v>143</v>
      </c>
      <c r="Y4" s="2" t="s">
        <v>144</v>
      </c>
      <c r="Z4" s="1" t="s">
        <v>66</v>
      </c>
      <c r="AA4" s="88" t="s">
        <v>67</v>
      </c>
      <c r="AB4" s="88" t="s">
        <v>143</v>
      </c>
      <c r="AC4" s="2" t="s">
        <v>144</v>
      </c>
      <c r="AD4" s="1" t="s">
        <v>66</v>
      </c>
      <c r="AE4" s="88" t="s">
        <v>67</v>
      </c>
      <c r="AF4" s="88" t="s">
        <v>143</v>
      </c>
      <c r="AG4" s="2" t="s">
        <v>144</v>
      </c>
      <c r="AH4" s="1" t="s">
        <v>66</v>
      </c>
      <c r="AI4" s="88" t="s">
        <v>67</v>
      </c>
      <c r="AJ4" s="88" t="s">
        <v>143</v>
      </c>
      <c r="AK4" s="2" t="s">
        <v>144</v>
      </c>
      <c r="AL4" s="1" t="s">
        <v>66</v>
      </c>
      <c r="AM4" s="88" t="s">
        <v>67</v>
      </c>
      <c r="AN4" s="88" t="s">
        <v>143</v>
      </c>
      <c r="AO4" s="2" t="s">
        <v>144</v>
      </c>
      <c r="AP4" s="1" t="s">
        <v>66</v>
      </c>
      <c r="AQ4" s="88" t="s">
        <v>67</v>
      </c>
      <c r="AR4" s="88" t="s">
        <v>143</v>
      </c>
      <c r="AS4" s="2" t="s">
        <v>144</v>
      </c>
      <c r="AT4" s="1" t="s">
        <v>66</v>
      </c>
      <c r="AU4" s="88" t="s">
        <v>67</v>
      </c>
      <c r="AV4" s="88" t="s">
        <v>143</v>
      </c>
      <c r="AW4" s="2" t="s">
        <v>144</v>
      </c>
      <c r="AX4" s="1" t="s">
        <v>66</v>
      </c>
      <c r="AY4" s="88" t="s">
        <v>67</v>
      </c>
      <c r="AZ4" s="88" t="s">
        <v>143</v>
      </c>
      <c r="BA4" s="2" t="s">
        <v>144</v>
      </c>
      <c r="BB4" s="1" t="s">
        <v>66</v>
      </c>
      <c r="BC4" s="88" t="s">
        <v>67</v>
      </c>
      <c r="BD4" s="88" t="s">
        <v>143</v>
      </c>
      <c r="BE4" s="2" t="s">
        <v>144</v>
      </c>
      <c r="BF4" s="1" t="s">
        <v>66</v>
      </c>
      <c r="BG4" s="88" t="s">
        <v>67</v>
      </c>
      <c r="BH4" s="88" t="s">
        <v>143</v>
      </c>
      <c r="BI4" s="2" t="s">
        <v>144</v>
      </c>
      <c r="BJ4" s="1" t="s">
        <v>66</v>
      </c>
      <c r="BK4" s="88" t="s">
        <v>67</v>
      </c>
      <c r="BL4" s="88" t="s">
        <v>143</v>
      </c>
      <c r="BM4" s="2" t="s">
        <v>144</v>
      </c>
      <c r="BN4" s="1" t="s">
        <v>66</v>
      </c>
      <c r="BO4" s="88" t="s">
        <v>67</v>
      </c>
      <c r="BP4" s="88" t="s">
        <v>143</v>
      </c>
      <c r="BQ4" s="2" t="s">
        <v>144</v>
      </c>
      <c r="BR4" s="1" t="s">
        <v>66</v>
      </c>
      <c r="BS4" s="88" t="s">
        <v>67</v>
      </c>
      <c r="BT4" s="88" t="s">
        <v>143</v>
      </c>
      <c r="BU4" s="2" t="s">
        <v>144</v>
      </c>
      <c r="BV4" s="1" t="s">
        <v>66</v>
      </c>
      <c r="BW4" s="88" t="s">
        <v>67</v>
      </c>
      <c r="BX4" s="88" t="s">
        <v>143</v>
      </c>
      <c r="BY4" s="2" t="s">
        <v>144</v>
      </c>
      <c r="BZ4" s="1" t="s">
        <v>66</v>
      </c>
      <c r="CA4" s="88" t="s">
        <v>67</v>
      </c>
      <c r="CB4" s="88" t="s">
        <v>143</v>
      </c>
      <c r="CC4" s="2" t="s">
        <v>144</v>
      </c>
      <c r="CD4" s="1" t="s">
        <v>66</v>
      </c>
      <c r="CE4" s="88" t="s">
        <v>67</v>
      </c>
      <c r="CF4" s="88" t="s">
        <v>143</v>
      </c>
      <c r="CG4" s="2" t="s">
        <v>144</v>
      </c>
      <c r="CH4" s="1" t="s">
        <v>66</v>
      </c>
      <c r="CI4" s="88" t="s">
        <v>67</v>
      </c>
      <c r="CJ4" s="88" t="s">
        <v>143</v>
      </c>
      <c r="CK4" s="2" t="s">
        <v>144</v>
      </c>
      <c r="CL4" s="197"/>
      <c r="CM4" s="58"/>
    </row>
    <row r="5" spans="1:91" x14ac:dyDescent="0.25">
      <c r="A5" s="21"/>
      <c r="B5" s="57"/>
      <c r="C5" s="92"/>
      <c r="D5" s="93" t="s">
        <v>203</v>
      </c>
      <c r="E5" s="131"/>
      <c r="F5" s="13" t="s">
        <v>5</v>
      </c>
      <c r="G5" s="44" t="s">
        <v>238</v>
      </c>
      <c r="H5" s="44" t="s">
        <v>239</v>
      </c>
      <c r="I5" s="14" t="s">
        <v>240</v>
      </c>
      <c r="J5" s="13" t="s">
        <v>5</v>
      </c>
      <c r="K5" s="44" t="s">
        <v>238</v>
      </c>
      <c r="L5" s="44" t="s">
        <v>239</v>
      </c>
      <c r="M5" s="14" t="s">
        <v>240</v>
      </c>
      <c r="N5" s="13" t="s">
        <v>5</v>
      </c>
      <c r="O5" s="44" t="s">
        <v>238</v>
      </c>
      <c r="P5" s="44" t="s">
        <v>239</v>
      </c>
      <c r="Q5" s="14" t="s">
        <v>240</v>
      </c>
      <c r="R5" s="13" t="s">
        <v>5</v>
      </c>
      <c r="S5" s="44" t="s">
        <v>238</v>
      </c>
      <c r="T5" s="44" t="s">
        <v>239</v>
      </c>
      <c r="U5" s="14" t="s">
        <v>240</v>
      </c>
      <c r="V5" s="13" t="s">
        <v>5</v>
      </c>
      <c r="W5" s="44" t="s">
        <v>238</v>
      </c>
      <c r="X5" s="44" t="s">
        <v>239</v>
      </c>
      <c r="Y5" s="14" t="s">
        <v>240</v>
      </c>
      <c r="Z5" s="13" t="s">
        <v>5</v>
      </c>
      <c r="AA5" s="44" t="s">
        <v>238</v>
      </c>
      <c r="AB5" s="44" t="s">
        <v>239</v>
      </c>
      <c r="AC5" s="14" t="s">
        <v>240</v>
      </c>
      <c r="AD5" s="13" t="s">
        <v>5</v>
      </c>
      <c r="AE5" s="44" t="s">
        <v>238</v>
      </c>
      <c r="AF5" s="44" t="s">
        <v>239</v>
      </c>
      <c r="AG5" s="14" t="s">
        <v>240</v>
      </c>
      <c r="AH5" s="13" t="s">
        <v>5</v>
      </c>
      <c r="AI5" s="44" t="s">
        <v>238</v>
      </c>
      <c r="AJ5" s="44" t="s">
        <v>239</v>
      </c>
      <c r="AK5" s="14" t="s">
        <v>240</v>
      </c>
      <c r="AL5" s="13" t="s">
        <v>5</v>
      </c>
      <c r="AM5" s="44" t="s">
        <v>238</v>
      </c>
      <c r="AN5" s="44" t="s">
        <v>239</v>
      </c>
      <c r="AO5" s="14" t="s">
        <v>240</v>
      </c>
      <c r="AP5" s="13" t="s">
        <v>5</v>
      </c>
      <c r="AQ5" s="44" t="s">
        <v>238</v>
      </c>
      <c r="AR5" s="44" t="s">
        <v>239</v>
      </c>
      <c r="AS5" s="14" t="s">
        <v>240</v>
      </c>
      <c r="AT5" s="13" t="s">
        <v>5</v>
      </c>
      <c r="AU5" s="44" t="s">
        <v>238</v>
      </c>
      <c r="AV5" s="44" t="s">
        <v>239</v>
      </c>
      <c r="AW5" s="14" t="s">
        <v>240</v>
      </c>
      <c r="AX5" s="13" t="s">
        <v>5</v>
      </c>
      <c r="AY5" s="44" t="s">
        <v>238</v>
      </c>
      <c r="AZ5" s="44" t="s">
        <v>239</v>
      </c>
      <c r="BA5" s="14" t="s">
        <v>240</v>
      </c>
      <c r="BB5" s="13" t="s">
        <v>5</v>
      </c>
      <c r="BC5" s="44" t="s">
        <v>238</v>
      </c>
      <c r="BD5" s="44" t="s">
        <v>239</v>
      </c>
      <c r="BE5" s="14" t="s">
        <v>240</v>
      </c>
      <c r="BF5" s="13" t="s">
        <v>5</v>
      </c>
      <c r="BG5" s="44" t="s">
        <v>238</v>
      </c>
      <c r="BH5" s="44" t="s">
        <v>239</v>
      </c>
      <c r="BI5" s="14" t="s">
        <v>240</v>
      </c>
      <c r="BJ5" s="13" t="s">
        <v>5</v>
      </c>
      <c r="BK5" s="44" t="s">
        <v>238</v>
      </c>
      <c r="BL5" s="44" t="s">
        <v>239</v>
      </c>
      <c r="BM5" s="14" t="s">
        <v>240</v>
      </c>
      <c r="BN5" s="13" t="s">
        <v>5</v>
      </c>
      <c r="BO5" s="44" t="s">
        <v>238</v>
      </c>
      <c r="BP5" s="44" t="s">
        <v>239</v>
      </c>
      <c r="BQ5" s="14" t="s">
        <v>240</v>
      </c>
      <c r="BR5" s="13" t="s">
        <v>5</v>
      </c>
      <c r="BS5" s="44" t="s">
        <v>238</v>
      </c>
      <c r="BT5" s="44" t="s">
        <v>239</v>
      </c>
      <c r="BU5" s="14" t="s">
        <v>240</v>
      </c>
      <c r="BV5" s="13" t="s">
        <v>5</v>
      </c>
      <c r="BW5" s="44" t="s">
        <v>238</v>
      </c>
      <c r="BX5" s="44" t="s">
        <v>239</v>
      </c>
      <c r="BY5" s="14" t="s">
        <v>240</v>
      </c>
      <c r="BZ5" s="13" t="s">
        <v>5</v>
      </c>
      <c r="CA5" s="44" t="s">
        <v>238</v>
      </c>
      <c r="CB5" s="44" t="s">
        <v>239</v>
      </c>
      <c r="CC5" s="14" t="s">
        <v>240</v>
      </c>
      <c r="CD5" s="13" t="s">
        <v>5</v>
      </c>
      <c r="CE5" s="44" t="s">
        <v>238</v>
      </c>
      <c r="CF5" s="44" t="s">
        <v>239</v>
      </c>
      <c r="CG5" s="14" t="s">
        <v>240</v>
      </c>
      <c r="CH5" s="13" t="s">
        <v>5</v>
      </c>
      <c r="CI5" s="44" t="s">
        <v>238</v>
      </c>
      <c r="CJ5" s="44" t="s">
        <v>239</v>
      </c>
      <c r="CK5" s="14" t="s">
        <v>240</v>
      </c>
      <c r="CL5" s="197"/>
      <c r="CM5" s="58"/>
    </row>
    <row r="6" spans="1:91" x14ac:dyDescent="0.25">
      <c r="A6" s="21"/>
      <c r="B6" s="57"/>
      <c r="C6" s="70"/>
      <c r="D6" s="70"/>
      <c r="E6" s="132"/>
      <c r="F6" s="70"/>
      <c r="G6" s="70"/>
      <c r="H6" s="70"/>
      <c r="I6" s="70"/>
      <c r="J6" s="70"/>
      <c r="K6" s="70"/>
      <c r="L6" s="70"/>
      <c r="M6" s="70"/>
      <c r="N6" s="70"/>
      <c r="O6" s="70"/>
      <c r="P6" s="70"/>
      <c r="Q6" s="70"/>
      <c r="R6" s="70"/>
      <c r="S6" s="70"/>
      <c r="T6" s="70"/>
      <c r="U6" s="70"/>
      <c r="V6" s="70"/>
      <c r="W6" s="70"/>
      <c r="X6" s="70"/>
      <c r="Y6" s="70"/>
      <c r="Z6" s="70"/>
      <c r="AA6" s="70"/>
      <c r="AB6" s="70"/>
      <c r="AC6" s="70"/>
      <c r="AD6" s="70"/>
      <c r="AE6" s="70"/>
      <c r="AF6" s="70"/>
      <c r="AG6" s="70"/>
      <c r="AH6" s="70"/>
      <c r="AI6" s="70"/>
      <c r="AJ6" s="70"/>
      <c r="AK6" s="70"/>
      <c r="AL6" s="70"/>
      <c r="AM6" s="70"/>
      <c r="AN6" s="70"/>
      <c r="AO6" s="70"/>
      <c r="AP6" s="70"/>
      <c r="AQ6" s="70"/>
      <c r="AR6" s="70"/>
      <c r="AS6" s="70"/>
      <c r="AT6" s="70"/>
      <c r="AU6" s="70"/>
      <c r="AV6" s="70"/>
      <c r="AW6" s="70"/>
      <c r="AX6" s="70"/>
      <c r="AY6" s="70"/>
      <c r="AZ6" s="70"/>
      <c r="BA6" s="70"/>
      <c r="BB6" s="70"/>
      <c r="BC6" s="70"/>
      <c r="BD6" s="70"/>
      <c r="BE6" s="70"/>
      <c r="BF6" s="70"/>
      <c r="BG6" s="70"/>
      <c r="BH6" s="70"/>
      <c r="BI6" s="70"/>
      <c r="BJ6" s="70"/>
      <c r="BK6" s="70"/>
      <c r="BL6" s="70"/>
      <c r="BM6" s="70"/>
      <c r="BN6" s="70"/>
      <c r="BO6" s="70"/>
      <c r="BP6" s="70"/>
      <c r="BQ6" s="70"/>
      <c r="BR6" s="70"/>
      <c r="BS6" s="70"/>
      <c r="BT6" s="70"/>
      <c r="BU6" s="70"/>
      <c r="BV6" s="70"/>
      <c r="BW6" s="70"/>
      <c r="BX6" s="70"/>
      <c r="BY6" s="70"/>
      <c r="BZ6" s="70"/>
      <c r="CA6" s="70"/>
      <c r="CB6" s="70"/>
      <c r="CC6" s="70"/>
      <c r="CD6" s="70"/>
      <c r="CE6" s="70"/>
      <c r="CF6" s="70"/>
      <c r="CG6" s="70"/>
      <c r="CH6" s="70"/>
      <c r="CI6" s="70"/>
      <c r="CJ6" s="70"/>
      <c r="CK6" s="70"/>
      <c r="CL6" s="70"/>
      <c r="CM6" s="58"/>
    </row>
    <row r="7" spans="1:91" x14ac:dyDescent="0.25">
      <c r="A7" s="21"/>
      <c r="B7" s="57"/>
      <c r="C7" s="178" t="s">
        <v>0</v>
      </c>
      <c r="D7" s="179"/>
      <c r="E7" s="133"/>
      <c r="F7" s="178"/>
      <c r="G7" s="179"/>
      <c r="H7" s="179"/>
      <c r="I7" s="180"/>
      <c r="J7" s="178"/>
      <c r="K7" s="179"/>
      <c r="L7" s="179"/>
      <c r="M7" s="180"/>
      <c r="N7" s="178"/>
      <c r="O7" s="179"/>
      <c r="P7" s="179"/>
      <c r="Q7" s="180"/>
      <c r="R7" s="178"/>
      <c r="S7" s="179"/>
      <c r="T7" s="179"/>
      <c r="U7" s="180"/>
      <c r="V7" s="178"/>
      <c r="W7" s="179"/>
      <c r="X7" s="179"/>
      <c r="Y7" s="180"/>
      <c r="Z7" s="178"/>
      <c r="AA7" s="179"/>
      <c r="AB7" s="179"/>
      <c r="AC7" s="180"/>
      <c r="AD7" s="178"/>
      <c r="AE7" s="179"/>
      <c r="AF7" s="179"/>
      <c r="AG7" s="180"/>
      <c r="AH7" s="178"/>
      <c r="AI7" s="179"/>
      <c r="AJ7" s="179"/>
      <c r="AK7" s="180"/>
      <c r="AL7" s="178"/>
      <c r="AM7" s="179"/>
      <c r="AN7" s="179"/>
      <c r="AO7" s="180"/>
      <c r="AP7" s="178"/>
      <c r="AQ7" s="179"/>
      <c r="AR7" s="179"/>
      <c r="AS7" s="180"/>
      <c r="AT7" s="178"/>
      <c r="AU7" s="179"/>
      <c r="AV7" s="179"/>
      <c r="AW7" s="180"/>
      <c r="AX7" s="178"/>
      <c r="AY7" s="179"/>
      <c r="AZ7" s="179"/>
      <c r="BA7" s="180"/>
      <c r="BB7" s="178"/>
      <c r="BC7" s="179"/>
      <c r="BD7" s="179"/>
      <c r="BE7" s="180"/>
      <c r="BF7" s="178"/>
      <c r="BG7" s="179"/>
      <c r="BH7" s="179"/>
      <c r="BI7" s="180"/>
      <c r="BJ7" s="178"/>
      <c r="BK7" s="179"/>
      <c r="BL7" s="179"/>
      <c r="BM7" s="180"/>
      <c r="BN7" s="178"/>
      <c r="BO7" s="179"/>
      <c r="BP7" s="179"/>
      <c r="BQ7" s="180"/>
      <c r="BR7" s="178"/>
      <c r="BS7" s="179"/>
      <c r="BT7" s="179"/>
      <c r="BU7" s="180"/>
      <c r="BV7" s="178"/>
      <c r="BW7" s="179"/>
      <c r="BX7" s="179"/>
      <c r="BY7" s="180"/>
      <c r="BZ7" s="178"/>
      <c r="CA7" s="179"/>
      <c r="CB7" s="179"/>
      <c r="CC7" s="180"/>
      <c r="CD7" s="178"/>
      <c r="CE7" s="179"/>
      <c r="CF7" s="179"/>
      <c r="CG7" s="180"/>
      <c r="CH7" s="178"/>
      <c r="CI7" s="179"/>
      <c r="CJ7" s="179"/>
      <c r="CK7" s="180"/>
      <c r="CL7" s="48"/>
      <c r="CM7" s="58"/>
    </row>
    <row r="8" spans="1:91" x14ac:dyDescent="0.25">
      <c r="B8" s="55"/>
      <c r="C8" s="4"/>
      <c r="D8" s="77" t="s">
        <v>115</v>
      </c>
      <c r="E8" s="134"/>
      <c r="F8" s="4"/>
      <c r="G8" s="19"/>
      <c r="H8" s="19"/>
      <c r="I8" s="5"/>
      <c r="J8" s="4"/>
      <c r="K8" s="19"/>
      <c r="L8" s="19"/>
      <c r="M8" s="5"/>
      <c r="N8" s="4"/>
      <c r="O8" s="19"/>
      <c r="P8" s="19"/>
      <c r="Q8" s="5"/>
      <c r="R8" s="4"/>
      <c r="S8" s="19"/>
      <c r="T8" s="19"/>
      <c r="U8" s="5"/>
      <c r="V8" s="4"/>
      <c r="W8" s="19"/>
      <c r="X8" s="19"/>
      <c r="Y8" s="5"/>
      <c r="Z8" s="4"/>
      <c r="AA8" s="19"/>
      <c r="AB8" s="19"/>
      <c r="AC8" s="5"/>
      <c r="AD8" s="4"/>
      <c r="AE8" s="19"/>
      <c r="AF8" s="19"/>
      <c r="AG8" s="5"/>
      <c r="AH8" s="4"/>
      <c r="AI8" s="19"/>
      <c r="AJ8" s="19"/>
      <c r="AK8" s="5"/>
      <c r="AL8" s="4"/>
      <c r="AM8" s="19"/>
      <c r="AN8" s="19"/>
      <c r="AO8" s="5"/>
      <c r="AP8" s="4"/>
      <c r="AQ8" s="19"/>
      <c r="AR8" s="19"/>
      <c r="AS8" s="5"/>
      <c r="AT8" s="4"/>
      <c r="AU8" s="19"/>
      <c r="AV8" s="19"/>
      <c r="AW8" s="5"/>
      <c r="AX8" s="4"/>
      <c r="AY8" s="19"/>
      <c r="AZ8" s="19"/>
      <c r="BA8" s="5"/>
      <c r="BB8" s="4"/>
      <c r="BC8" s="19"/>
      <c r="BD8" s="19"/>
      <c r="BE8" s="5"/>
      <c r="BF8" s="4"/>
      <c r="BG8" s="19"/>
      <c r="BH8" s="19"/>
      <c r="BI8" s="5"/>
      <c r="BJ8" s="4"/>
      <c r="BK8" s="19"/>
      <c r="BL8" s="19"/>
      <c r="BM8" s="5"/>
      <c r="BN8" s="4"/>
      <c r="BO8" s="19"/>
      <c r="BP8" s="19"/>
      <c r="BQ8" s="5"/>
      <c r="BR8" s="4"/>
      <c r="BS8" s="19"/>
      <c r="BT8" s="19"/>
      <c r="BU8" s="5"/>
      <c r="BV8" s="4"/>
      <c r="BW8" s="19"/>
      <c r="BX8" s="19"/>
      <c r="BY8" s="5"/>
      <c r="BZ8" s="4"/>
      <c r="CA8" s="19"/>
      <c r="CB8" s="19"/>
      <c r="CC8" s="5"/>
      <c r="CD8" s="4"/>
      <c r="CE8" s="19"/>
      <c r="CF8" s="19"/>
      <c r="CG8" s="5"/>
      <c r="CH8" s="4"/>
      <c r="CI8" s="19"/>
      <c r="CJ8" s="19"/>
      <c r="CK8" s="5"/>
      <c r="CL8" s="48"/>
      <c r="CM8" s="58"/>
    </row>
    <row r="9" spans="1:91" ht="14.25" x14ac:dyDescent="0.25">
      <c r="B9" s="55"/>
      <c r="C9" s="9" t="s">
        <v>146</v>
      </c>
      <c r="D9" s="76" t="s">
        <v>147</v>
      </c>
      <c r="E9" s="118">
        <v>4</v>
      </c>
      <c r="F9" s="80">
        <v>5</v>
      </c>
      <c r="G9" s="89">
        <v>5</v>
      </c>
      <c r="H9" s="89">
        <v>4</v>
      </c>
      <c r="I9" s="81">
        <v>4</v>
      </c>
      <c r="J9" s="80"/>
      <c r="K9" s="89">
        <v>2</v>
      </c>
      <c r="L9" s="89">
        <v>4</v>
      </c>
      <c r="M9" s="81">
        <v>4</v>
      </c>
      <c r="N9" s="80"/>
      <c r="O9" s="89"/>
      <c r="P9" s="89"/>
      <c r="Q9" s="81"/>
      <c r="R9" s="80"/>
      <c r="S9" s="89"/>
      <c r="T9" s="89"/>
      <c r="U9" s="81"/>
      <c r="V9" s="80"/>
      <c r="W9" s="89"/>
      <c r="X9" s="89"/>
      <c r="Y9" s="81"/>
      <c r="Z9" s="80"/>
      <c r="AA9" s="89"/>
      <c r="AB9" s="89"/>
      <c r="AC9" s="81"/>
      <c r="AD9" s="80"/>
      <c r="AE9" s="89"/>
      <c r="AF9" s="89"/>
      <c r="AG9" s="81"/>
      <c r="AH9" s="80"/>
      <c r="AI9" s="89"/>
      <c r="AJ9" s="89"/>
      <c r="AK9" s="81"/>
      <c r="AL9" s="80"/>
      <c r="AM9" s="89"/>
      <c r="AN9" s="89"/>
      <c r="AO9" s="81"/>
      <c r="AP9" s="80"/>
      <c r="AQ9" s="89"/>
      <c r="AR9" s="89"/>
      <c r="AS9" s="81"/>
      <c r="AT9" s="80"/>
      <c r="AU9" s="89"/>
      <c r="AV9" s="89"/>
      <c r="AW9" s="81"/>
      <c r="AX9" s="80"/>
      <c r="AY9" s="89"/>
      <c r="AZ9" s="89"/>
      <c r="BA9" s="81"/>
      <c r="BB9" s="80"/>
      <c r="BC9" s="89"/>
      <c r="BD9" s="89"/>
      <c r="BE9" s="81"/>
      <c r="BF9" s="80"/>
      <c r="BG9" s="89"/>
      <c r="BH9" s="89"/>
      <c r="BI9" s="81"/>
      <c r="BJ9" s="80"/>
      <c r="BK9" s="89"/>
      <c r="BL9" s="89"/>
      <c r="BM9" s="81"/>
      <c r="BN9" s="80"/>
      <c r="BO9" s="89"/>
      <c r="BP9" s="89"/>
      <c r="BQ9" s="81"/>
      <c r="BR9" s="80"/>
      <c r="BS9" s="89"/>
      <c r="BT9" s="89"/>
      <c r="BU9" s="81"/>
      <c r="BV9" s="80"/>
      <c r="BW9" s="89"/>
      <c r="BX9" s="89"/>
      <c r="BY9" s="81"/>
      <c r="BZ9" s="80"/>
      <c r="CA9" s="89"/>
      <c r="CB9" s="89"/>
      <c r="CC9" s="81"/>
      <c r="CD9" s="80"/>
      <c r="CE9" s="89"/>
      <c r="CF9" s="89"/>
      <c r="CG9" s="81"/>
      <c r="CH9" s="80"/>
      <c r="CI9" s="89"/>
      <c r="CJ9" s="89"/>
      <c r="CK9" s="81"/>
      <c r="CL9" s="49"/>
      <c r="CM9" s="56"/>
    </row>
    <row r="10" spans="1:91" ht="14.25" x14ac:dyDescent="0.25">
      <c r="B10" s="55"/>
      <c r="C10" s="9" t="s">
        <v>531</v>
      </c>
      <c r="D10" s="76" t="s">
        <v>532</v>
      </c>
      <c r="E10" s="118">
        <v>5</v>
      </c>
      <c r="F10" s="80">
        <v>4</v>
      </c>
      <c r="G10" s="89">
        <v>4</v>
      </c>
      <c r="H10" s="89">
        <v>5</v>
      </c>
      <c r="I10" s="81">
        <v>5</v>
      </c>
      <c r="J10" s="80"/>
      <c r="K10" s="89"/>
      <c r="L10" s="89"/>
      <c r="M10" s="81"/>
      <c r="N10" s="80"/>
      <c r="O10" s="89"/>
      <c r="P10" s="89"/>
      <c r="Q10" s="81"/>
      <c r="R10" s="80"/>
      <c r="S10" s="89"/>
      <c r="T10" s="89"/>
      <c r="U10" s="81"/>
      <c r="V10" s="80"/>
      <c r="W10" s="89"/>
      <c r="X10" s="89"/>
      <c r="Y10" s="81"/>
      <c r="Z10" s="80"/>
      <c r="AA10" s="89"/>
      <c r="AB10" s="89"/>
      <c r="AC10" s="81"/>
      <c r="AD10" s="80"/>
      <c r="AE10" s="89"/>
      <c r="AF10" s="89"/>
      <c r="AG10" s="81"/>
      <c r="AH10" s="80"/>
      <c r="AI10" s="89"/>
      <c r="AJ10" s="89"/>
      <c r="AK10" s="81"/>
      <c r="AL10" s="80"/>
      <c r="AM10" s="89"/>
      <c r="AN10" s="89"/>
      <c r="AO10" s="81"/>
      <c r="AP10" s="80"/>
      <c r="AQ10" s="89"/>
      <c r="AR10" s="89"/>
      <c r="AS10" s="81"/>
      <c r="AT10" s="80"/>
      <c r="AU10" s="89"/>
      <c r="AV10" s="89"/>
      <c r="AW10" s="81"/>
      <c r="AX10" s="80"/>
      <c r="AY10" s="89"/>
      <c r="AZ10" s="89"/>
      <c r="BA10" s="81"/>
      <c r="BB10" s="80"/>
      <c r="BC10" s="89"/>
      <c r="BD10" s="89"/>
      <c r="BE10" s="81"/>
      <c r="BF10" s="80"/>
      <c r="BG10" s="89"/>
      <c r="BH10" s="89"/>
      <c r="BI10" s="81"/>
      <c r="BJ10" s="80"/>
      <c r="BK10" s="89"/>
      <c r="BL10" s="89"/>
      <c r="BM10" s="81"/>
      <c r="BN10" s="80"/>
      <c r="BO10" s="89"/>
      <c r="BP10" s="89"/>
      <c r="BQ10" s="81"/>
      <c r="BR10" s="80"/>
      <c r="BS10" s="89"/>
      <c r="BT10" s="89"/>
      <c r="BU10" s="81"/>
      <c r="BV10" s="80"/>
      <c r="BW10" s="89"/>
      <c r="BX10" s="89"/>
      <c r="BY10" s="81"/>
      <c r="BZ10" s="80"/>
      <c r="CA10" s="89"/>
      <c r="CB10" s="89"/>
      <c r="CC10" s="81"/>
      <c r="CD10" s="80"/>
      <c r="CE10" s="89"/>
      <c r="CF10" s="89"/>
      <c r="CG10" s="81"/>
      <c r="CH10" s="80"/>
      <c r="CI10" s="89"/>
      <c r="CJ10" s="89"/>
      <c r="CK10" s="81"/>
      <c r="CL10" s="49"/>
      <c r="CM10" s="56"/>
    </row>
    <row r="11" spans="1:91" ht="14.25" x14ac:dyDescent="0.25">
      <c r="B11" s="55"/>
      <c r="C11" s="9" t="s">
        <v>117</v>
      </c>
      <c r="D11" s="76" t="s">
        <v>174</v>
      </c>
      <c r="E11" s="120">
        <v>2</v>
      </c>
      <c r="F11" s="82">
        <v>2</v>
      </c>
      <c r="G11" s="90">
        <v>2</v>
      </c>
      <c r="H11" s="90">
        <v>2</v>
      </c>
      <c r="I11" s="83">
        <v>2</v>
      </c>
      <c r="J11" s="82"/>
      <c r="K11" s="90">
        <v>1</v>
      </c>
      <c r="L11" s="90">
        <v>2</v>
      </c>
      <c r="M11" s="83">
        <v>2</v>
      </c>
      <c r="N11" s="82"/>
      <c r="O11" s="90"/>
      <c r="P11" s="90"/>
      <c r="Q11" s="83"/>
      <c r="R11" s="82"/>
      <c r="S11" s="90"/>
      <c r="T11" s="90"/>
      <c r="U11" s="83"/>
      <c r="V11" s="82"/>
      <c r="W11" s="90"/>
      <c r="X11" s="90"/>
      <c r="Y11" s="83"/>
      <c r="Z11" s="82"/>
      <c r="AA11" s="90"/>
      <c r="AB11" s="90"/>
      <c r="AC11" s="83"/>
      <c r="AD11" s="82"/>
      <c r="AE11" s="90"/>
      <c r="AF11" s="90"/>
      <c r="AG11" s="83"/>
      <c r="AH11" s="82"/>
      <c r="AI11" s="90"/>
      <c r="AJ11" s="90"/>
      <c r="AK11" s="83"/>
      <c r="AL11" s="82"/>
      <c r="AM11" s="90"/>
      <c r="AN11" s="90"/>
      <c r="AO11" s="83"/>
      <c r="AP11" s="82"/>
      <c r="AQ11" s="90"/>
      <c r="AR11" s="90"/>
      <c r="AS11" s="83"/>
      <c r="AT11" s="82"/>
      <c r="AU11" s="90"/>
      <c r="AV11" s="90"/>
      <c r="AW11" s="83"/>
      <c r="AX11" s="82"/>
      <c r="AY11" s="90"/>
      <c r="AZ11" s="90"/>
      <c r="BA11" s="83"/>
      <c r="BB11" s="82"/>
      <c r="BC11" s="90"/>
      <c r="BD11" s="90"/>
      <c r="BE11" s="83"/>
      <c r="BF11" s="82"/>
      <c r="BG11" s="90"/>
      <c r="BH11" s="90"/>
      <c r="BI11" s="83"/>
      <c r="BJ11" s="82"/>
      <c r="BK11" s="90"/>
      <c r="BL11" s="90"/>
      <c r="BM11" s="83"/>
      <c r="BN11" s="82"/>
      <c r="BO11" s="90"/>
      <c r="BP11" s="90"/>
      <c r="BQ11" s="83"/>
      <c r="BR11" s="82"/>
      <c r="BS11" s="90"/>
      <c r="BT11" s="90"/>
      <c r="BU11" s="83"/>
      <c r="BV11" s="82"/>
      <c r="BW11" s="90"/>
      <c r="BX11" s="90"/>
      <c r="BY11" s="83"/>
      <c r="BZ11" s="82"/>
      <c r="CA11" s="90"/>
      <c r="CB11" s="90"/>
      <c r="CC11" s="83"/>
      <c r="CD11" s="82"/>
      <c r="CE11" s="90"/>
      <c r="CF11" s="90"/>
      <c r="CG11" s="83"/>
      <c r="CH11" s="82"/>
      <c r="CI11" s="90"/>
      <c r="CJ11" s="90"/>
      <c r="CK11" s="83"/>
      <c r="CL11" s="49"/>
      <c r="CM11" s="56"/>
    </row>
    <row r="12" spans="1:91" ht="15.75" x14ac:dyDescent="0.25">
      <c r="B12" s="55"/>
      <c r="C12" s="9" t="s">
        <v>148</v>
      </c>
      <c r="D12" s="76" t="s">
        <v>149</v>
      </c>
      <c r="E12" s="118">
        <v>25</v>
      </c>
      <c r="F12" s="80">
        <v>25</v>
      </c>
      <c r="G12" s="89">
        <v>25</v>
      </c>
      <c r="H12" s="89">
        <v>25</v>
      </c>
      <c r="I12" s="81">
        <v>25</v>
      </c>
      <c r="J12" s="80"/>
      <c r="K12" s="89">
        <v>25</v>
      </c>
      <c r="L12" s="89">
        <v>25</v>
      </c>
      <c r="M12" s="81">
        <v>25</v>
      </c>
      <c r="N12" s="80"/>
      <c r="O12" s="89"/>
      <c r="P12" s="89"/>
      <c r="Q12" s="81"/>
      <c r="R12" s="80"/>
      <c r="S12" s="89"/>
      <c r="T12" s="89"/>
      <c r="U12" s="81"/>
      <c r="V12" s="80"/>
      <c r="W12" s="89"/>
      <c r="X12" s="89"/>
      <c r="Y12" s="81"/>
      <c r="Z12" s="80"/>
      <c r="AA12" s="89"/>
      <c r="AB12" s="89"/>
      <c r="AC12" s="81"/>
      <c r="AD12" s="80"/>
      <c r="AE12" s="89"/>
      <c r="AF12" s="89"/>
      <c r="AG12" s="81"/>
      <c r="AH12" s="80"/>
      <c r="AI12" s="89"/>
      <c r="AJ12" s="89"/>
      <c r="AK12" s="81"/>
      <c r="AL12" s="80"/>
      <c r="AM12" s="89"/>
      <c r="AN12" s="89"/>
      <c r="AO12" s="81"/>
      <c r="AP12" s="80"/>
      <c r="AQ12" s="89"/>
      <c r="AR12" s="89"/>
      <c r="AS12" s="81"/>
      <c r="AT12" s="80"/>
      <c r="AU12" s="89"/>
      <c r="AV12" s="89"/>
      <c r="AW12" s="81"/>
      <c r="AX12" s="80"/>
      <c r="AY12" s="89"/>
      <c r="AZ12" s="89"/>
      <c r="BA12" s="81"/>
      <c r="BB12" s="80"/>
      <c r="BC12" s="89"/>
      <c r="BD12" s="89"/>
      <c r="BE12" s="81"/>
      <c r="BF12" s="80"/>
      <c r="BG12" s="89"/>
      <c r="BH12" s="89"/>
      <c r="BI12" s="81"/>
      <c r="BJ12" s="80"/>
      <c r="BK12" s="89"/>
      <c r="BL12" s="89"/>
      <c r="BM12" s="81"/>
      <c r="BN12" s="80"/>
      <c r="BO12" s="89"/>
      <c r="BP12" s="89"/>
      <c r="BQ12" s="81"/>
      <c r="BR12" s="80"/>
      <c r="BS12" s="89"/>
      <c r="BT12" s="89"/>
      <c r="BU12" s="81"/>
      <c r="BV12" s="80"/>
      <c r="BW12" s="89"/>
      <c r="BX12" s="89"/>
      <c r="BY12" s="81"/>
      <c r="BZ12" s="80"/>
      <c r="CA12" s="89"/>
      <c r="CB12" s="89"/>
      <c r="CC12" s="81"/>
      <c r="CD12" s="80"/>
      <c r="CE12" s="89"/>
      <c r="CF12" s="89"/>
      <c r="CG12" s="81"/>
      <c r="CH12" s="80"/>
      <c r="CI12" s="89"/>
      <c r="CJ12" s="89"/>
      <c r="CK12" s="81"/>
      <c r="CL12" s="49"/>
      <c r="CM12" s="56"/>
    </row>
    <row r="13" spans="1:91" ht="14.25" x14ac:dyDescent="0.25">
      <c r="B13" s="55"/>
      <c r="C13" s="9" t="s">
        <v>153</v>
      </c>
      <c r="D13" s="76" t="s">
        <v>241</v>
      </c>
      <c r="E13" s="118">
        <v>200</v>
      </c>
      <c r="F13" s="80">
        <v>34</v>
      </c>
      <c r="G13" s="89">
        <v>72</v>
      </c>
      <c r="H13" s="89">
        <v>144</v>
      </c>
      <c r="I13" s="81">
        <v>36</v>
      </c>
      <c r="J13" s="80"/>
      <c r="K13" s="89">
        <v>38</v>
      </c>
      <c r="L13" s="89">
        <v>20</v>
      </c>
      <c r="M13" s="81">
        <v>0</v>
      </c>
      <c r="N13" s="80"/>
      <c r="O13" s="89"/>
      <c r="P13" s="89"/>
      <c r="Q13" s="81"/>
      <c r="R13" s="80"/>
      <c r="S13" s="89"/>
      <c r="T13" s="89"/>
      <c r="U13" s="81"/>
      <c r="V13" s="80"/>
      <c r="W13" s="89"/>
      <c r="X13" s="89"/>
      <c r="Y13" s="81"/>
      <c r="Z13" s="80"/>
      <c r="AA13" s="89"/>
      <c r="AB13" s="89"/>
      <c r="AC13" s="81"/>
      <c r="AD13" s="80"/>
      <c r="AE13" s="89"/>
      <c r="AF13" s="89"/>
      <c r="AG13" s="81"/>
      <c r="AH13" s="80"/>
      <c r="AI13" s="89"/>
      <c r="AJ13" s="89"/>
      <c r="AK13" s="81"/>
      <c r="AL13" s="80"/>
      <c r="AM13" s="89"/>
      <c r="AN13" s="89"/>
      <c r="AO13" s="81"/>
      <c r="AP13" s="80"/>
      <c r="AQ13" s="89"/>
      <c r="AR13" s="89"/>
      <c r="AS13" s="81"/>
      <c r="AT13" s="80"/>
      <c r="AU13" s="89"/>
      <c r="AV13" s="89"/>
      <c r="AW13" s="81"/>
      <c r="AX13" s="80"/>
      <c r="AY13" s="89"/>
      <c r="AZ13" s="89"/>
      <c r="BA13" s="81"/>
      <c r="BB13" s="80"/>
      <c r="BC13" s="89"/>
      <c r="BD13" s="89"/>
      <c r="BE13" s="81"/>
      <c r="BF13" s="80"/>
      <c r="BG13" s="89"/>
      <c r="BH13" s="89"/>
      <c r="BI13" s="81"/>
      <c r="BJ13" s="80"/>
      <c r="BK13" s="89"/>
      <c r="BL13" s="89"/>
      <c r="BM13" s="81"/>
      <c r="BN13" s="80"/>
      <c r="BO13" s="89"/>
      <c r="BP13" s="89"/>
      <c r="BQ13" s="81"/>
      <c r="BR13" s="80"/>
      <c r="BS13" s="89"/>
      <c r="BT13" s="89"/>
      <c r="BU13" s="81"/>
      <c r="BV13" s="80"/>
      <c r="BW13" s="89"/>
      <c r="BX13" s="89"/>
      <c r="BY13" s="81"/>
      <c r="BZ13" s="80"/>
      <c r="CA13" s="89"/>
      <c r="CB13" s="89"/>
      <c r="CC13" s="81"/>
      <c r="CD13" s="80"/>
      <c r="CE13" s="89"/>
      <c r="CF13" s="89"/>
      <c r="CG13" s="81"/>
      <c r="CH13" s="80"/>
      <c r="CI13" s="89"/>
      <c r="CJ13" s="89"/>
      <c r="CK13" s="81"/>
      <c r="CL13" s="49"/>
      <c r="CM13" s="56"/>
    </row>
    <row r="14" spans="1:91" ht="14.25" x14ac:dyDescent="0.25">
      <c r="B14" s="55"/>
      <c r="C14" s="9" t="s">
        <v>152</v>
      </c>
      <c r="D14" s="76" t="s">
        <v>157</v>
      </c>
      <c r="E14" s="118">
        <v>200</v>
      </c>
      <c r="F14" s="80">
        <v>17</v>
      </c>
      <c r="G14" s="89">
        <v>132</v>
      </c>
      <c r="H14" s="89">
        <v>92</v>
      </c>
      <c r="I14" s="81">
        <v>73</v>
      </c>
      <c r="J14" s="80"/>
      <c r="K14" s="89">
        <v>17</v>
      </c>
      <c r="L14" s="89">
        <v>0</v>
      </c>
      <c r="M14" s="81">
        <v>20</v>
      </c>
      <c r="N14" s="80"/>
      <c r="O14" s="89"/>
      <c r="P14" s="89"/>
      <c r="Q14" s="81"/>
      <c r="R14" s="80"/>
      <c r="S14" s="89"/>
      <c r="T14" s="89"/>
      <c r="U14" s="81"/>
      <c r="V14" s="80"/>
      <c r="W14" s="89"/>
      <c r="X14" s="89"/>
      <c r="Y14" s="81"/>
      <c r="Z14" s="80"/>
      <c r="AA14" s="89"/>
      <c r="AB14" s="89"/>
      <c r="AC14" s="81"/>
      <c r="AD14" s="80"/>
      <c r="AE14" s="89"/>
      <c r="AF14" s="89"/>
      <c r="AG14" s="81"/>
      <c r="AH14" s="80"/>
      <c r="AI14" s="89"/>
      <c r="AJ14" s="89"/>
      <c r="AK14" s="81"/>
      <c r="AL14" s="80"/>
      <c r="AM14" s="89"/>
      <c r="AN14" s="89"/>
      <c r="AO14" s="81"/>
      <c r="AP14" s="80"/>
      <c r="AQ14" s="89"/>
      <c r="AR14" s="89"/>
      <c r="AS14" s="81"/>
      <c r="AT14" s="80"/>
      <c r="AU14" s="89"/>
      <c r="AV14" s="89"/>
      <c r="AW14" s="81"/>
      <c r="AX14" s="80"/>
      <c r="AY14" s="89"/>
      <c r="AZ14" s="89"/>
      <c r="BA14" s="81"/>
      <c r="BB14" s="80"/>
      <c r="BC14" s="89"/>
      <c r="BD14" s="89"/>
      <c r="BE14" s="81"/>
      <c r="BF14" s="80"/>
      <c r="BG14" s="89"/>
      <c r="BH14" s="89"/>
      <c r="BI14" s="81"/>
      <c r="BJ14" s="80"/>
      <c r="BK14" s="89"/>
      <c r="BL14" s="89"/>
      <c r="BM14" s="81"/>
      <c r="BN14" s="80"/>
      <c r="BO14" s="89"/>
      <c r="BP14" s="89"/>
      <c r="BQ14" s="81"/>
      <c r="BR14" s="80"/>
      <c r="BS14" s="89"/>
      <c r="BT14" s="89"/>
      <c r="BU14" s="81"/>
      <c r="BV14" s="80"/>
      <c r="BW14" s="89"/>
      <c r="BX14" s="89"/>
      <c r="BY14" s="81"/>
      <c r="BZ14" s="80"/>
      <c r="CA14" s="89"/>
      <c r="CB14" s="89"/>
      <c r="CC14" s="81"/>
      <c r="CD14" s="80"/>
      <c r="CE14" s="89"/>
      <c r="CF14" s="89"/>
      <c r="CG14" s="81"/>
      <c r="CH14" s="80"/>
      <c r="CI14" s="89"/>
      <c r="CJ14" s="89"/>
      <c r="CK14" s="81"/>
      <c r="CL14" s="49"/>
      <c r="CM14" s="56"/>
    </row>
    <row r="15" spans="1:91" ht="14.25" x14ac:dyDescent="0.25">
      <c r="B15" s="55"/>
      <c r="C15" s="9" t="s">
        <v>170</v>
      </c>
      <c r="D15" s="76" t="s">
        <v>158</v>
      </c>
      <c r="E15" s="118">
        <v>200</v>
      </c>
      <c r="F15" s="80">
        <v>601</v>
      </c>
      <c r="G15" s="89">
        <v>682</v>
      </c>
      <c r="H15" s="89">
        <v>327</v>
      </c>
      <c r="I15" s="81">
        <v>238</v>
      </c>
      <c r="J15" s="80"/>
      <c r="K15" s="89">
        <v>0</v>
      </c>
      <c r="L15" s="89">
        <v>315</v>
      </c>
      <c r="M15" s="81">
        <v>444</v>
      </c>
      <c r="N15" s="80"/>
      <c r="O15" s="89"/>
      <c r="P15" s="89"/>
      <c r="Q15" s="81"/>
      <c r="R15" s="80"/>
      <c r="S15" s="89"/>
      <c r="T15" s="89"/>
      <c r="U15" s="81"/>
      <c r="V15" s="80"/>
      <c r="W15" s="89"/>
      <c r="X15" s="89"/>
      <c r="Y15" s="81"/>
      <c r="Z15" s="80"/>
      <c r="AA15" s="89"/>
      <c r="AB15" s="89"/>
      <c r="AC15" s="81"/>
      <c r="AD15" s="80"/>
      <c r="AE15" s="89"/>
      <c r="AF15" s="89"/>
      <c r="AG15" s="81"/>
      <c r="AH15" s="80"/>
      <c r="AI15" s="89"/>
      <c r="AJ15" s="89"/>
      <c r="AK15" s="81"/>
      <c r="AL15" s="80"/>
      <c r="AM15" s="89"/>
      <c r="AN15" s="89"/>
      <c r="AO15" s="81"/>
      <c r="AP15" s="80"/>
      <c r="AQ15" s="89"/>
      <c r="AR15" s="89"/>
      <c r="AS15" s="81"/>
      <c r="AT15" s="80"/>
      <c r="AU15" s="89"/>
      <c r="AV15" s="89"/>
      <c r="AW15" s="81"/>
      <c r="AX15" s="80"/>
      <c r="AY15" s="89"/>
      <c r="AZ15" s="89"/>
      <c r="BA15" s="81"/>
      <c r="BB15" s="80"/>
      <c r="BC15" s="89"/>
      <c r="BD15" s="89"/>
      <c r="BE15" s="81"/>
      <c r="BF15" s="80"/>
      <c r="BG15" s="89"/>
      <c r="BH15" s="89"/>
      <c r="BI15" s="81"/>
      <c r="BJ15" s="80"/>
      <c r="BK15" s="89"/>
      <c r="BL15" s="89"/>
      <c r="BM15" s="81"/>
      <c r="BN15" s="80"/>
      <c r="BO15" s="89"/>
      <c r="BP15" s="89"/>
      <c r="BQ15" s="81"/>
      <c r="BR15" s="80"/>
      <c r="BS15" s="89"/>
      <c r="BT15" s="89"/>
      <c r="BU15" s="81"/>
      <c r="BV15" s="80"/>
      <c r="BW15" s="89"/>
      <c r="BX15" s="89"/>
      <c r="BY15" s="81"/>
      <c r="BZ15" s="80"/>
      <c r="CA15" s="89"/>
      <c r="CB15" s="89"/>
      <c r="CC15" s="81"/>
      <c r="CD15" s="80"/>
      <c r="CE15" s="89"/>
      <c r="CF15" s="89"/>
      <c r="CG15" s="81"/>
      <c r="CH15" s="80"/>
      <c r="CI15" s="89"/>
      <c r="CJ15" s="89"/>
      <c r="CK15" s="81"/>
      <c r="CL15" s="49"/>
      <c r="CM15" s="56"/>
    </row>
    <row r="16" spans="1:91" ht="14.25" x14ac:dyDescent="0.25">
      <c r="B16" s="55"/>
      <c r="C16" s="9" t="s">
        <v>302</v>
      </c>
      <c r="D16" s="76" t="s">
        <v>538</v>
      </c>
      <c r="E16" s="118">
        <v>600</v>
      </c>
      <c r="F16" s="80">
        <f>SUM(F13:G15)</f>
        <v>1538</v>
      </c>
      <c r="G16" s="89">
        <f>SUM(F13:G15)</f>
        <v>1538</v>
      </c>
      <c r="H16" s="89">
        <f>SUM(H13:I15)</f>
        <v>910</v>
      </c>
      <c r="I16" s="81">
        <f>SUM(H13:I15)</f>
        <v>910</v>
      </c>
      <c r="J16" s="80"/>
      <c r="K16" s="89">
        <f>SUM(K13:K15)</f>
        <v>55</v>
      </c>
      <c r="L16" s="89">
        <f>SUM(L13:M15)</f>
        <v>799</v>
      </c>
      <c r="M16" s="89">
        <f>SUM(L13:M15)</f>
        <v>799</v>
      </c>
      <c r="N16" s="80"/>
      <c r="O16" s="89"/>
      <c r="P16" s="89"/>
      <c r="Q16" s="81"/>
      <c r="R16" s="80"/>
      <c r="S16" s="89"/>
      <c r="T16" s="89"/>
      <c r="U16" s="81"/>
      <c r="V16" s="80"/>
      <c r="W16" s="89"/>
      <c r="X16" s="89"/>
      <c r="Y16" s="81"/>
      <c r="Z16" s="80"/>
      <c r="AA16" s="89"/>
      <c r="AB16" s="89"/>
      <c r="AC16" s="81"/>
      <c r="AD16" s="80"/>
      <c r="AE16" s="89"/>
      <c r="AF16" s="89"/>
      <c r="AG16" s="81"/>
      <c r="AH16" s="80"/>
      <c r="AI16" s="89"/>
      <c r="AJ16" s="89"/>
      <c r="AK16" s="81"/>
      <c r="AL16" s="80"/>
      <c r="AM16" s="89"/>
      <c r="AN16" s="89"/>
      <c r="AO16" s="81"/>
      <c r="AP16" s="80"/>
      <c r="AQ16" s="89"/>
      <c r="AR16" s="89"/>
      <c r="AS16" s="81"/>
      <c r="AT16" s="80"/>
      <c r="AU16" s="89"/>
      <c r="AV16" s="89"/>
      <c r="AW16" s="81"/>
      <c r="AX16" s="80"/>
      <c r="AY16" s="89"/>
      <c r="AZ16" s="89"/>
      <c r="BA16" s="81"/>
      <c r="BB16" s="80"/>
      <c r="BC16" s="89"/>
      <c r="BD16" s="89"/>
      <c r="BE16" s="81"/>
      <c r="BF16" s="80"/>
      <c r="BG16" s="89"/>
      <c r="BH16" s="89"/>
      <c r="BI16" s="81"/>
      <c r="BJ16" s="80"/>
      <c r="BK16" s="89"/>
      <c r="BL16" s="89"/>
      <c r="BM16" s="81"/>
      <c r="BN16" s="80"/>
      <c r="BO16" s="89"/>
      <c r="BP16" s="89"/>
      <c r="BQ16" s="81"/>
      <c r="BR16" s="80"/>
      <c r="BS16" s="89"/>
      <c r="BT16" s="89"/>
      <c r="BU16" s="81"/>
      <c r="BV16" s="80"/>
      <c r="BW16" s="89"/>
      <c r="BX16" s="89"/>
      <c r="BY16" s="81"/>
      <c r="BZ16" s="80"/>
      <c r="CA16" s="89"/>
      <c r="CB16" s="89"/>
      <c r="CC16" s="81"/>
      <c r="CD16" s="80"/>
      <c r="CE16" s="89"/>
      <c r="CF16" s="89"/>
      <c r="CG16" s="81"/>
      <c r="CH16" s="80"/>
      <c r="CI16" s="89"/>
      <c r="CJ16" s="89"/>
      <c r="CK16" s="81"/>
      <c r="CL16" s="49"/>
      <c r="CM16" s="56"/>
    </row>
    <row r="17" spans="2:91" ht="14.25" x14ac:dyDescent="0.25">
      <c r="B17" s="55"/>
      <c r="C17" s="9" t="s">
        <v>529</v>
      </c>
      <c r="D17" s="76" t="s">
        <v>539</v>
      </c>
      <c r="E17" s="118">
        <v>600</v>
      </c>
      <c r="F17" s="80">
        <f>H16</f>
        <v>910</v>
      </c>
      <c r="G17" s="89">
        <f>I16</f>
        <v>910</v>
      </c>
      <c r="H17" s="89">
        <f>G16</f>
        <v>1538</v>
      </c>
      <c r="I17" s="81">
        <f>F16</f>
        <v>1538</v>
      </c>
      <c r="J17" s="80"/>
      <c r="K17" s="89">
        <f>M16</f>
        <v>799</v>
      </c>
      <c r="L17" s="89">
        <f>K16</f>
        <v>55</v>
      </c>
      <c r="M17" s="81">
        <f>J16</f>
        <v>0</v>
      </c>
      <c r="N17" s="80"/>
      <c r="O17" s="89"/>
      <c r="P17" s="89"/>
      <c r="Q17" s="81"/>
      <c r="R17" s="80"/>
      <c r="S17" s="89"/>
      <c r="T17" s="89"/>
      <c r="U17" s="81"/>
      <c r="V17" s="80"/>
      <c r="W17" s="89"/>
      <c r="X17" s="89"/>
      <c r="Y17" s="81"/>
      <c r="Z17" s="80"/>
      <c r="AA17" s="89"/>
      <c r="AB17" s="89"/>
      <c r="AC17" s="81"/>
      <c r="AD17" s="80"/>
      <c r="AE17" s="89"/>
      <c r="AF17" s="89"/>
      <c r="AG17" s="81"/>
      <c r="AH17" s="80"/>
      <c r="AI17" s="89"/>
      <c r="AJ17" s="89"/>
      <c r="AK17" s="81"/>
      <c r="AL17" s="80"/>
      <c r="AM17" s="89"/>
      <c r="AN17" s="89"/>
      <c r="AO17" s="81"/>
      <c r="AP17" s="80"/>
      <c r="AQ17" s="89"/>
      <c r="AR17" s="89"/>
      <c r="AS17" s="81"/>
      <c r="AT17" s="80"/>
      <c r="AU17" s="89"/>
      <c r="AV17" s="89"/>
      <c r="AW17" s="81"/>
      <c r="AX17" s="80"/>
      <c r="AY17" s="89"/>
      <c r="AZ17" s="89"/>
      <c r="BA17" s="81"/>
      <c r="BB17" s="80"/>
      <c r="BC17" s="89"/>
      <c r="BD17" s="89"/>
      <c r="BE17" s="81"/>
      <c r="BF17" s="80"/>
      <c r="BG17" s="89"/>
      <c r="BH17" s="89"/>
      <c r="BI17" s="81"/>
      <c r="BJ17" s="80"/>
      <c r="BK17" s="89"/>
      <c r="BL17" s="89"/>
      <c r="BM17" s="81"/>
      <c r="BN17" s="80"/>
      <c r="BO17" s="89"/>
      <c r="BP17" s="89"/>
      <c r="BQ17" s="81"/>
      <c r="BR17" s="80"/>
      <c r="BS17" s="89"/>
      <c r="BT17" s="89"/>
      <c r="BU17" s="81"/>
      <c r="BV17" s="80"/>
      <c r="BW17" s="89"/>
      <c r="BX17" s="89"/>
      <c r="BY17" s="81"/>
      <c r="BZ17" s="80"/>
      <c r="CA17" s="89"/>
      <c r="CB17" s="89"/>
      <c r="CC17" s="81"/>
      <c r="CD17" s="80"/>
      <c r="CE17" s="89"/>
      <c r="CF17" s="89"/>
      <c r="CG17" s="81"/>
      <c r="CH17" s="80"/>
      <c r="CI17" s="89"/>
      <c r="CJ17" s="89"/>
      <c r="CK17" s="81"/>
      <c r="CL17" s="49"/>
      <c r="CM17" s="56"/>
    </row>
    <row r="18" spans="2:91" ht="14.25" x14ac:dyDescent="0.25">
      <c r="B18" s="55"/>
      <c r="C18" s="140" t="s">
        <v>232</v>
      </c>
      <c r="D18" s="76" t="s">
        <v>305</v>
      </c>
      <c r="E18" s="118">
        <v>100</v>
      </c>
      <c r="F18" s="80">
        <v>91</v>
      </c>
      <c r="G18" s="89">
        <v>110</v>
      </c>
      <c r="H18" s="89">
        <v>133</v>
      </c>
      <c r="I18" s="81">
        <v>190</v>
      </c>
      <c r="J18" s="80"/>
      <c r="K18" s="89">
        <v>38</v>
      </c>
      <c r="L18" s="89">
        <v>20</v>
      </c>
      <c r="M18" s="81">
        <v>0</v>
      </c>
      <c r="N18" s="80"/>
      <c r="O18" s="89"/>
      <c r="P18" s="89"/>
      <c r="Q18" s="81"/>
      <c r="R18" s="80"/>
      <c r="S18" s="89"/>
      <c r="T18" s="89"/>
      <c r="U18" s="81"/>
      <c r="V18" s="80"/>
      <c r="W18" s="89"/>
      <c r="X18" s="89"/>
      <c r="Y18" s="81"/>
      <c r="Z18" s="80"/>
      <c r="AA18" s="89"/>
      <c r="AB18" s="89"/>
      <c r="AC18" s="81"/>
      <c r="AD18" s="80"/>
      <c r="AE18" s="89"/>
      <c r="AF18" s="89"/>
      <c r="AG18" s="81"/>
      <c r="AH18" s="80"/>
      <c r="AI18" s="89"/>
      <c r="AJ18" s="89"/>
      <c r="AK18" s="81"/>
      <c r="AL18" s="80"/>
      <c r="AM18" s="89"/>
      <c r="AN18" s="89"/>
      <c r="AO18" s="81"/>
      <c r="AP18" s="80"/>
      <c r="AQ18" s="89"/>
      <c r="AR18" s="89"/>
      <c r="AS18" s="81"/>
      <c r="AT18" s="80"/>
      <c r="AU18" s="89"/>
      <c r="AV18" s="89"/>
      <c r="AW18" s="81"/>
      <c r="AX18" s="80"/>
      <c r="AY18" s="89"/>
      <c r="AZ18" s="89"/>
      <c r="BA18" s="81"/>
      <c r="BB18" s="80"/>
      <c r="BC18" s="89"/>
      <c r="BD18" s="89"/>
      <c r="BE18" s="81"/>
      <c r="BF18" s="80"/>
      <c r="BG18" s="89"/>
      <c r="BH18" s="89"/>
      <c r="BI18" s="81"/>
      <c r="BJ18" s="80"/>
      <c r="BK18" s="89"/>
      <c r="BL18" s="89"/>
      <c r="BM18" s="81"/>
      <c r="BN18" s="80"/>
      <c r="BO18" s="89"/>
      <c r="BP18" s="89"/>
      <c r="BQ18" s="81"/>
      <c r="BR18" s="80"/>
      <c r="BS18" s="89"/>
      <c r="BT18" s="89"/>
      <c r="BU18" s="81"/>
      <c r="BV18" s="80"/>
      <c r="BW18" s="89"/>
      <c r="BX18" s="89"/>
      <c r="BY18" s="81"/>
      <c r="BZ18" s="80"/>
      <c r="CA18" s="89"/>
      <c r="CB18" s="89"/>
      <c r="CC18" s="81"/>
      <c r="CD18" s="80"/>
      <c r="CE18" s="89"/>
      <c r="CF18" s="89"/>
      <c r="CG18" s="81"/>
      <c r="CH18" s="80"/>
      <c r="CI18" s="89"/>
      <c r="CJ18" s="89"/>
      <c r="CK18" s="81"/>
      <c r="CL18" s="49"/>
      <c r="CM18" s="56"/>
    </row>
    <row r="19" spans="2:91" ht="14.25" x14ac:dyDescent="0.25">
      <c r="B19" s="55"/>
      <c r="C19" s="9" t="s">
        <v>155</v>
      </c>
      <c r="D19" s="76" t="s">
        <v>156</v>
      </c>
      <c r="E19" s="118">
        <v>100</v>
      </c>
      <c r="F19" s="80">
        <v>110</v>
      </c>
      <c r="G19" s="89">
        <v>91</v>
      </c>
      <c r="H19" s="89">
        <v>190</v>
      </c>
      <c r="I19" s="81">
        <v>133</v>
      </c>
      <c r="J19" s="80"/>
      <c r="K19" s="89">
        <v>17</v>
      </c>
      <c r="L19" s="89">
        <v>0</v>
      </c>
      <c r="M19" s="81">
        <v>20</v>
      </c>
      <c r="N19" s="80"/>
      <c r="O19" s="89"/>
      <c r="P19" s="89"/>
      <c r="Q19" s="81"/>
      <c r="R19" s="80"/>
      <c r="S19" s="89"/>
      <c r="T19" s="89"/>
      <c r="U19" s="81"/>
      <c r="V19" s="80"/>
      <c r="W19" s="89"/>
      <c r="X19" s="89"/>
      <c r="Y19" s="81"/>
      <c r="Z19" s="80"/>
      <c r="AA19" s="89"/>
      <c r="AB19" s="89"/>
      <c r="AC19" s="81"/>
      <c r="AD19" s="80"/>
      <c r="AE19" s="89"/>
      <c r="AF19" s="89"/>
      <c r="AG19" s="81"/>
      <c r="AH19" s="80"/>
      <c r="AI19" s="89"/>
      <c r="AJ19" s="89"/>
      <c r="AK19" s="81"/>
      <c r="AL19" s="80"/>
      <c r="AM19" s="89"/>
      <c r="AN19" s="89"/>
      <c r="AO19" s="81"/>
      <c r="AP19" s="80"/>
      <c r="AQ19" s="89"/>
      <c r="AR19" s="89"/>
      <c r="AS19" s="81"/>
      <c r="AT19" s="80"/>
      <c r="AU19" s="89"/>
      <c r="AV19" s="89"/>
      <c r="AW19" s="81"/>
      <c r="AX19" s="80"/>
      <c r="AY19" s="89"/>
      <c r="AZ19" s="89"/>
      <c r="BA19" s="81"/>
      <c r="BB19" s="80"/>
      <c r="BC19" s="89"/>
      <c r="BD19" s="89"/>
      <c r="BE19" s="81"/>
      <c r="BF19" s="80"/>
      <c r="BG19" s="89"/>
      <c r="BH19" s="89"/>
      <c r="BI19" s="81"/>
      <c r="BJ19" s="80"/>
      <c r="BK19" s="89"/>
      <c r="BL19" s="89"/>
      <c r="BM19" s="81"/>
      <c r="BN19" s="80"/>
      <c r="BO19" s="89"/>
      <c r="BP19" s="89"/>
      <c r="BQ19" s="81"/>
      <c r="BR19" s="80"/>
      <c r="BS19" s="89"/>
      <c r="BT19" s="89"/>
      <c r="BU19" s="81"/>
      <c r="BV19" s="80"/>
      <c r="BW19" s="89"/>
      <c r="BX19" s="89"/>
      <c r="BY19" s="81"/>
      <c r="BZ19" s="80"/>
      <c r="CA19" s="89"/>
      <c r="CB19" s="89"/>
      <c r="CC19" s="81"/>
      <c r="CD19" s="80"/>
      <c r="CE19" s="89"/>
      <c r="CF19" s="89"/>
      <c r="CG19" s="81"/>
      <c r="CH19" s="80"/>
      <c r="CI19" s="89"/>
      <c r="CJ19" s="89"/>
      <c r="CK19" s="81"/>
      <c r="CL19" s="49"/>
      <c r="CM19" s="56"/>
    </row>
    <row r="20" spans="2:91" ht="14.25" x14ac:dyDescent="0.25">
      <c r="B20" s="55"/>
      <c r="C20" s="9" t="s">
        <v>282</v>
      </c>
      <c r="D20" s="76" t="s">
        <v>283</v>
      </c>
      <c r="E20" s="118">
        <v>100</v>
      </c>
      <c r="F20" s="80">
        <v>100</v>
      </c>
      <c r="G20" s="89">
        <v>100</v>
      </c>
      <c r="H20" s="89">
        <v>100</v>
      </c>
      <c r="I20" s="81">
        <v>100</v>
      </c>
      <c r="J20" s="80"/>
      <c r="K20" s="89">
        <v>163</v>
      </c>
      <c r="L20" s="89">
        <v>100</v>
      </c>
      <c r="M20" s="81">
        <v>0</v>
      </c>
      <c r="N20" s="80"/>
      <c r="O20" s="89"/>
      <c r="P20" s="89"/>
      <c r="Q20" s="81"/>
      <c r="R20" s="80"/>
      <c r="S20" s="89"/>
      <c r="T20" s="89"/>
      <c r="U20" s="81"/>
      <c r="V20" s="80"/>
      <c r="W20" s="89"/>
      <c r="X20" s="89"/>
      <c r="Y20" s="81"/>
      <c r="Z20" s="80"/>
      <c r="AA20" s="89"/>
      <c r="AB20" s="89"/>
      <c r="AC20" s="81"/>
      <c r="AD20" s="80"/>
      <c r="AE20" s="89"/>
      <c r="AF20" s="89"/>
      <c r="AG20" s="81"/>
      <c r="AH20" s="80"/>
      <c r="AI20" s="89"/>
      <c r="AJ20" s="89"/>
      <c r="AK20" s="81"/>
      <c r="AL20" s="80"/>
      <c r="AM20" s="89"/>
      <c r="AN20" s="89"/>
      <c r="AO20" s="81"/>
      <c r="AP20" s="80"/>
      <c r="AQ20" s="89"/>
      <c r="AR20" s="89"/>
      <c r="AS20" s="81"/>
      <c r="AT20" s="80"/>
      <c r="AU20" s="89"/>
      <c r="AV20" s="89"/>
      <c r="AW20" s="81"/>
      <c r="AX20" s="80"/>
      <c r="AY20" s="89"/>
      <c r="AZ20" s="89"/>
      <c r="BA20" s="81"/>
      <c r="BB20" s="80"/>
      <c r="BC20" s="89"/>
      <c r="BD20" s="89"/>
      <c r="BE20" s="81"/>
      <c r="BF20" s="80"/>
      <c r="BG20" s="89"/>
      <c r="BH20" s="89"/>
      <c r="BI20" s="81"/>
      <c r="BJ20" s="80"/>
      <c r="BK20" s="89"/>
      <c r="BL20" s="89"/>
      <c r="BM20" s="81"/>
      <c r="BN20" s="80"/>
      <c r="BO20" s="89"/>
      <c r="BP20" s="89"/>
      <c r="BQ20" s="81"/>
      <c r="BR20" s="80"/>
      <c r="BS20" s="89"/>
      <c r="BT20" s="89"/>
      <c r="BU20" s="81"/>
      <c r="BV20" s="80"/>
      <c r="BW20" s="89"/>
      <c r="BX20" s="89"/>
      <c r="BY20" s="81"/>
      <c r="BZ20" s="80"/>
      <c r="CA20" s="89"/>
      <c r="CB20" s="89"/>
      <c r="CC20" s="81"/>
      <c r="CD20" s="80"/>
      <c r="CE20" s="89"/>
      <c r="CF20" s="89"/>
      <c r="CG20" s="81"/>
      <c r="CH20" s="80"/>
      <c r="CI20" s="89"/>
      <c r="CJ20" s="89"/>
      <c r="CK20" s="81"/>
      <c r="CL20" s="49"/>
      <c r="CM20" s="56"/>
    </row>
    <row r="21" spans="2:91" ht="14.25" x14ac:dyDescent="0.25">
      <c r="B21" s="55"/>
      <c r="C21" s="9" t="s">
        <v>321</v>
      </c>
      <c r="D21" s="76" t="s">
        <v>322</v>
      </c>
      <c r="E21" s="118">
        <v>25</v>
      </c>
      <c r="F21" s="80">
        <v>25</v>
      </c>
      <c r="G21" s="89">
        <v>25</v>
      </c>
      <c r="H21" s="89">
        <v>25</v>
      </c>
      <c r="I21" s="81">
        <v>25</v>
      </c>
      <c r="J21" s="80"/>
      <c r="K21" s="89">
        <v>25</v>
      </c>
      <c r="L21" s="89">
        <v>25</v>
      </c>
      <c r="M21" s="81">
        <v>25</v>
      </c>
      <c r="N21" s="80"/>
      <c r="O21" s="89"/>
      <c r="P21" s="89"/>
      <c r="Q21" s="81"/>
      <c r="R21" s="80"/>
      <c r="S21" s="89"/>
      <c r="T21" s="89"/>
      <c r="U21" s="81"/>
      <c r="V21" s="80"/>
      <c r="W21" s="89"/>
      <c r="X21" s="89"/>
      <c r="Y21" s="81"/>
      <c r="Z21" s="80"/>
      <c r="AA21" s="89"/>
      <c r="AB21" s="89"/>
      <c r="AC21" s="81"/>
      <c r="AD21" s="80"/>
      <c r="AE21" s="89"/>
      <c r="AF21" s="89"/>
      <c r="AG21" s="81"/>
      <c r="AH21" s="80"/>
      <c r="AI21" s="89"/>
      <c r="AJ21" s="89"/>
      <c r="AK21" s="81"/>
      <c r="AL21" s="80"/>
      <c r="AM21" s="89"/>
      <c r="AN21" s="89"/>
      <c r="AO21" s="81"/>
      <c r="AP21" s="80"/>
      <c r="AQ21" s="89"/>
      <c r="AR21" s="89"/>
      <c r="AS21" s="81"/>
      <c r="AT21" s="80"/>
      <c r="AU21" s="89"/>
      <c r="AV21" s="89"/>
      <c r="AW21" s="81"/>
      <c r="AX21" s="80"/>
      <c r="AY21" s="89"/>
      <c r="AZ21" s="89"/>
      <c r="BA21" s="81"/>
      <c r="BB21" s="80"/>
      <c r="BC21" s="89"/>
      <c r="BD21" s="89"/>
      <c r="BE21" s="81"/>
      <c r="BF21" s="80"/>
      <c r="BG21" s="89"/>
      <c r="BH21" s="89"/>
      <c r="BI21" s="81"/>
      <c r="BJ21" s="80"/>
      <c r="BK21" s="89"/>
      <c r="BL21" s="89"/>
      <c r="BM21" s="81"/>
      <c r="BN21" s="80"/>
      <c r="BO21" s="89"/>
      <c r="BP21" s="89"/>
      <c r="BQ21" s="81"/>
      <c r="BR21" s="80"/>
      <c r="BS21" s="89"/>
      <c r="BT21" s="89"/>
      <c r="BU21" s="81"/>
      <c r="BV21" s="80"/>
      <c r="BW21" s="89"/>
      <c r="BX21" s="89"/>
      <c r="BY21" s="81"/>
      <c r="BZ21" s="80"/>
      <c r="CA21" s="89"/>
      <c r="CB21" s="89"/>
      <c r="CC21" s="81"/>
      <c r="CD21" s="80"/>
      <c r="CE21" s="89"/>
      <c r="CF21" s="89"/>
      <c r="CG21" s="81"/>
      <c r="CH21" s="80"/>
      <c r="CI21" s="89"/>
      <c r="CJ21" s="89"/>
      <c r="CK21" s="81"/>
      <c r="CL21" s="49"/>
      <c r="CM21" s="56"/>
    </row>
    <row r="22" spans="2:91" ht="14.25" x14ac:dyDescent="0.25">
      <c r="B22" s="55"/>
      <c r="C22" s="9" t="s">
        <v>511</v>
      </c>
      <c r="D22" s="76" t="s">
        <v>516</v>
      </c>
      <c r="E22" s="118">
        <v>5</v>
      </c>
      <c r="F22" s="80">
        <v>5</v>
      </c>
      <c r="G22" s="89">
        <v>5</v>
      </c>
      <c r="H22" s="89">
        <v>5</v>
      </c>
      <c r="I22" s="81">
        <v>5</v>
      </c>
      <c r="J22" s="80"/>
      <c r="K22" s="89">
        <v>5</v>
      </c>
      <c r="L22" s="89">
        <v>5</v>
      </c>
      <c r="M22" s="81">
        <v>5</v>
      </c>
      <c r="N22" s="80"/>
      <c r="O22" s="89"/>
      <c r="P22" s="89"/>
      <c r="Q22" s="81"/>
      <c r="R22" s="80"/>
      <c r="S22" s="89"/>
      <c r="T22" s="89"/>
      <c r="U22" s="81"/>
      <c r="V22" s="80"/>
      <c r="W22" s="89"/>
      <c r="X22" s="89"/>
      <c r="Y22" s="81"/>
      <c r="Z22" s="80"/>
      <c r="AA22" s="89"/>
      <c r="AB22" s="89"/>
      <c r="AC22" s="81"/>
      <c r="AD22" s="80"/>
      <c r="AE22" s="89"/>
      <c r="AF22" s="89"/>
      <c r="AG22" s="81"/>
      <c r="AH22" s="80"/>
      <c r="AI22" s="89"/>
      <c r="AJ22" s="89"/>
      <c r="AK22" s="81"/>
      <c r="AL22" s="80"/>
      <c r="AM22" s="89"/>
      <c r="AN22" s="89"/>
      <c r="AO22" s="81"/>
      <c r="AP22" s="80"/>
      <c r="AQ22" s="89"/>
      <c r="AR22" s="89"/>
      <c r="AS22" s="81"/>
      <c r="AT22" s="80"/>
      <c r="AU22" s="89"/>
      <c r="AV22" s="89"/>
      <c r="AW22" s="81"/>
      <c r="AX22" s="80"/>
      <c r="AY22" s="89"/>
      <c r="AZ22" s="89"/>
      <c r="BA22" s="81"/>
      <c r="BB22" s="80"/>
      <c r="BC22" s="89"/>
      <c r="BD22" s="89"/>
      <c r="BE22" s="81"/>
      <c r="BF22" s="80"/>
      <c r="BG22" s="89"/>
      <c r="BH22" s="89"/>
      <c r="BI22" s="81"/>
      <c r="BJ22" s="80"/>
      <c r="BK22" s="89"/>
      <c r="BL22" s="89"/>
      <c r="BM22" s="81"/>
      <c r="BN22" s="80"/>
      <c r="BO22" s="89"/>
      <c r="BP22" s="89"/>
      <c r="BQ22" s="81"/>
      <c r="BR22" s="80"/>
      <c r="BS22" s="89"/>
      <c r="BT22" s="89"/>
      <c r="BU22" s="81"/>
      <c r="BV22" s="80"/>
      <c r="BW22" s="89"/>
      <c r="BX22" s="89"/>
      <c r="BY22" s="81"/>
      <c r="BZ22" s="80"/>
      <c r="CA22" s="89"/>
      <c r="CB22" s="89"/>
      <c r="CC22" s="81"/>
      <c r="CD22" s="80"/>
      <c r="CE22" s="89"/>
      <c r="CF22" s="89"/>
      <c r="CG22" s="81"/>
      <c r="CH22" s="80"/>
      <c r="CI22" s="89"/>
      <c r="CJ22" s="89"/>
      <c r="CK22" s="81"/>
      <c r="CL22" s="49"/>
      <c r="CM22" s="56"/>
    </row>
    <row r="23" spans="2:91" ht="14.25" x14ac:dyDescent="0.25">
      <c r="B23" s="55"/>
      <c r="C23" s="9" t="s">
        <v>512</v>
      </c>
      <c r="D23" s="76" t="s">
        <v>515</v>
      </c>
      <c r="E23" s="118">
        <v>5</v>
      </c>
      <c r="F23" s="80">
        <v>5</v>
      </c>
      <c r="G23" s="89">
        <v>5</v>
      </c>
      <c r="H23" s="89">
        <v>5</v>
      </c>
      <c r="I23" s="81">
        <v>5</v>
      </c>
      <c r="J23" s="80"/>
      <c r="K23" s="89">
        <v>5</v>
      </c>
      <c r="L23" s="89">
        <v>5</v>
      </c>
      <c r="M23" s="81">
        <v>5</v>
      </c>
      <c r="N23" s="80"/>
      <c r="O23" s="89"/>
      <c r="P23" s="89"/>
      <c r="Q23" s="81"/>
      <c r="R23" s="80"/>
      <c r="S23" s="89"/>
      <c r="T23" s="89"/>
      <c r="U23" s="81"/>
      <c r="V23" s="80"/>
      <c r="W23" s="89"/>
      <c r="X23" s="89"/>
      <c r="Y23" s="81"/>
      <c r="Z23" s="80"/>
      <c r="AA23" s="89"/>
      <c r="AB23" s="89"/>
      <c r="AC23" s="81"/>
      <c r="AD23" s="80"/>
      <c r="AE23" s="89"/>
      <c r="AF23" s="89"/>
      <c r="AG23" s="81"/>
      <c r="AH23" s="80"/>
      <c r="AI23" s="89"/>
      <c r="AJ23" s="89"/>
      <c r="AK23" s="81"/>
      <c r="AL23" s="80"/>
      <c r="AM23" s="89"/>
      <c r="AN23" s="89"/>
      <c r="AO23" s="81"/>
      <c r="AP23" s="80"/>
      <c r="AQ23" s="89"/>
      <c r="AR23" s="89"/>
      <c r="AS23" s="81"/>
      <c r="AT23" s="80"/>
      <c r="AU23" s="89"/>
      <c r="AV23" s="89"/>
      <c r="AW23" s="81"/>
      <c r="AX23" s="80"/>
      <c r="AY23" s="89"/>
      <c r="AZ23" s="89"/>
      <c r="BA23" s="81"/>
      <c r="BB23" s="80"/>
      <c r="BC23" s="89"/>
      <c r="BD23" s="89"/>
      <c r="BE23" s="81"/>
      <c r="BF23" s="80"/>
      <c r="BG23" s="89"/>
      <c r="BH23" s="89"/>
      <c r="BI23" s="81"/>
      <c r="BJ23" s="80"/>
      <c r="BK23" s="89"/>
      <c r="BL23" s="89"/>
      <c r="BM23" s="81"/>
      <c r="BN23" s="80"/>
      <c r="BO23" s="89"/>
      <c r="BP23" s="89"/>
      <c r="BQ23" s="81"/>
      <c r="BR23" s="80"/>
      <c r="BS23" s="89"/>
      <c r="BT23" s="89"/>
      <c r="BU23" s="81"/>
      <c r="BV23" s="80"/>
      <c r="BW23" s="89"/>
      <c r="BX23" s="89"/>
      <c r="BY23" s="81"/>
      <c r="BZ23" s="80"/>
      <c r="CA23" s="89"/>
      <c r="CB23" s="89"/>
      <c r="CC23" s="81"/>
      <c r="CD23" s="80"/>
      <c r="CE23" s="89"/>
      <c r="CF23" s="89"/>
      <c r="CG23" s="81"/>
      <c r="CH23" s="80"/>
      <c r="CI23" s="89"/>
      <c r="CJ23" s="89"/>
      <c r="CK23" s="81"/>
      <c r="CL23" s="49"/>
      <c r="CM23" s="56"/>
    </row>
    <row r="24" spans="2:91" ht="14.25" x14ac:dyDescent="0.25">
      <c r="B24" s="55"/>
      <c r="C24" s="9" t="s">
        <v>513</v>
      </c>
      <c r="D24" s="76" t="s">
        <v>514</v>
      </c>
      <c r="E24" s="264">
        <v>0.5</v>
      </c>
      <c r="F24" s="262">
        <v>0.5</v>
      </c>
      <c r="G24" s="261">
        <v>0.5</v>
      </c>
      <c r="H24" s="261">
        <v>0.5</v>
      </c>
      <c r="I24" s="260">
        <v>0.5</v>
      </c>
      <c r="J24" s="262"/>
      <c r="K24" s="261">
        <v>0.5</v>
      </c>
      <c r="L24" s="261">
        <v>0.5</v>
      </c>
      <c r="M24" s="260">
        <v>0.5</v>
      </c>
      <c r="N24" s="262"/>
      <c r="O24" s="261"/>
      <c r="P24" s="261"/>
      <c r="Q24" s="260"/>
      <c r="R24" s="262"/>
      <c r="S24" s="261"/>
      <c r="T24" s="261"/>
      <c r="U24" s="260"/>
      <c r="V24" s="262"/>
      <c r="W24" s="261"/>
      <c r="X24" s="261"/>
      <c r="Y24" s="260"/>
      <c r="Z24" s="262"/>
      <c r="AA24" s="261"/>
      <c r="AB24" s="261"/>
      <c r="AC24" s="260"/>
      <c r="AD24" s="262"/>
      <c r="AE24" s="261"/>
      <c r="AF24" s="261"/>
      <c r="AG24" s="260"/>
      <c r="AH24" s="262"/>
      <c r="AI24" s="261"/>
      <c r="AJ24" s="261"/>
      <c r="AK24" s="260"/>
      <c r="AL24" s="262"/>
      <c r="AM24" s="261"/>
      <c r="AN24" s="261"/>
      <c r="AO24" s="260"/>
      <c r="AP24" s="262"/>
      <c r="AQ24" s="261"/>
      <c r="AR24" s="261"/>
      <c r="AS24" s="260"/>
      <c r="AT24" s="262"/>
      <c r="AU24" s="261"/>
      <c r="AV24" s="261"/>
      <c r="AW24" s="260"/>
      <c r="AX24" s="262"/>
      <c r="AY24" s="261"/>
      <c r="AZ24" s="261"/>
      <c r="BA24" s="260"/>
      <c r="BB24" s="262"/>
      <c r="BC24" s="261"/>
      <c r="BD24" s="261"/>
      <c r="BE24" s="260"/>
      <c r="BF24" s="262"/>
      <c r="BG24" s="261"/>
      <c r="BH24" s="261"/>
      <c r="BI24" s="260"/>
      <c r="BJ24" s="262"/>
      <c r="BK24" s="261"/>
      <c r="BL24" s="261"/>
      <c r="BM24" s="260"/>
      <c r="BN24" s="262"/>
      <c r="BO24" s="261"/>
      <c r="BP24" s="261"/>
      <c r="BQ24" s="260"/>
      <c r="BR24" s="262"/>
      <c r="BS24" s="261"/>
      <c r="BT24" s="261"/>
      <c r="BU24" s="260"/>
      <c r="BV24" s="262"/>
      <c r="BW24" s="261"/>
      <c r="BX24" s="261"/>
      <c r="BY24" s="260"/>
      <c r="BZ24" s="262"/>
      <c r="CA24" s="261"/>
      <c r="CB24" s="261"/>
      <c r="CC24" s="260"/>
      <c r="CD24" s="262"/>
      <c r="CE24" s="261"/>
      <c r="CF24" s="261"/>
      <c r="CG24" s="260"/>
      <c r="CH24" s="262"/>
      <c r="CI24" s="261"/>
      <c r="CJ24" s="261"/>
      <c r="CK24" s="260"/>
      <c r="CL24" s="49"/>
      <c r="CM24" s="56"/>
    </row>
    <row r="25" spans="2:91" ht="14.25" x14ac:dyDescent="0.25">
      <c r="B25" s="55"/>
      <c r="C25" s="9" t="s">
        <v>159</v>
      </c>
      <c r="D25" s="76" t="s">
        <v>160</v>
      </c>
      <c r="E25" s="118">
        <v>0</v>
      </c>
      <c r="F25" s="80">
        <v>0</v>
      </c>
      <c r="G25" s="89">
        <v>0</v>
      </c>
      <c r="H25" s="89">
        <v>0</v>
      </c>
      <c r="I25" s="81">
        <v>0</v>
      </c>
      <c r="J25" s="80"/>
      <c r="K25" s="89">
        <v>0</v>
      </c>
      <c r="L25" s="89">
        <v>0</v>
      </c>
      <c r="M25" s="81">
        <v>0</v>
      </c>
      <c r="N25" s="80"/>
      <c r="O25" s="89"/>
      <c r="P25" s="89"/>
      <c r="Q25" s="81"/>
      <c r="R25" s="80"/>
      <c r="S25" s="89"/>
      <c r="T25" s="89"/>
      <c r="U25" s="81"/>
      <c r="V25" s="80"/>
      <c r="W25" s="89"/>
      <c r="X25" s="89"/>
      <c r="Y25" s="81"/>
      <c r="Z25" s="80"/>
      <c r="AA25" s="89"/>
      <c r="AB25" s="89"/>
      <c r="AC25" s="81"/>
      <c r="AD25" s="80"/>
      <c r="AE25" s="89"/>
      <c r="AF25" s="89"/>
      <c r="AG25" s="81"/>
      <c r="AH25" s="80"/>
      <c r="AI25" s="89"/>
      <c r="AJ25" s="89"/>
      <c r="AK25" s="81"/>
      <c r="AL25" s="80"/>
      <c r="AM25" s="89"/>
      <c r="AN25" s="89"/>
      <c r="AO25" s="81"/>
      <c r="AP25" s="80"/>
      <c r="AQ25" s="89"/>
      <c r="AR25" s="89"/>
      <c r="AS25" s="81"/>
      <c r="AT25" s="80"/>
      <c r="AU25" s="89"/>
      <c r="AV25" s="89"/>
      <c r="AW25" s="81"/>
      <c r="AX25" s="80"/>
      <c r="AY25" s="89"/>
      <c r="AZ25" s="89"/>
      <c r="BA25" s="81"/>
      <c r="BB25" s="80"/>
      <c r="BC25" s="89"/>
      <c r="BD25" s="89"/>
      <c r="BE25" s="81"/>
      <c r="BF25" s="80"/>
      <c r="BG25" s="89"/>
      <c r="BH25" s="89"/>
      <c r="BI25" s="81"/>
      <c r="BJ25" s="80"/>
      <c r="BK25" s="89"/>
      <c r="BL25" s="89"/>
      <c r="BM25" s="81"/>
      <c r="BN25" s="80"/>
      <c r="BO25" s="89"/>
      <c r="BP25" s="89"/>
      <c r="BQ25" s="81"/>
      <c r="BR25" s="80"/>
      <c r="BS25" s="89"/>
      <c r="BT25" s="89"/>
      <c r="BU25" s="81"/>
      <c r="BV25" s="80"/>
      <c r="BW25" s="89"/>
      <c r="BX25" s="89"/>
      <c r="BY25" s="81"/>
      <c r="BZ25" s="80"/>
      <c r="CA25" s="89"/>
      <c r="CB25" s="89"/>
      <c r="CC25" s="81"/>
      <c r="CD25" s="80"/>
      <c r="CE25" s="89"/>
      <c r="CF25" s="89"/>
      <c r="CG25" s="81"/>
      <c r="CH25" s="80"/>
      <c r="CI25" s="89"/>
      <c r="CJ25" s="89"/>
      <c r="CK25" s="81"/>
      <c r="CL25" s="49"/>
      <c r="CM25" s="56"/>
    </row>
    <row r="26" spans="2:91" x14ac:dyDescent="0.25">
      <c r="B26" s="55"/>
      <c r="C26" s="9" t="s">
        <v>319</v>
      </c>
      <c r="D26" s="76" t="s">
        <v>320</v>
      </c>
      <c r="E26" s="118">
        <v>30</v>
      </c>
      <c r="F26" s="86">
        <v>47.7</v>
      </c>
      <c r="G26" s="91">
        <v>47.7</v>
      </c>
      <c r="H26" s="91">
        <v>31.1</v>
      </c>
      <c r="I26" s="87">
        <v>31.1</v>
      </c>
      <c r="J26" s="80"/>
      <c r="K26" s="89"/>
      <c r="L26" s="89"/>
      <c r="M26" s="81"/>
      <c r="N26" s="80"/>
      <c r="O26" s="89"/>
      <c r="P26" s="89"/>
      <c r="Q26" s="81"/>
      <c r="R26" s="80"/>
      <c r="S26" s="89"/>
      <c r="T26" s="89"/>
      <c r="U26" s="81"/>
      <c r="V26" s="80"/>
      <c r="W26" s="89"/>
      <c r="X26" s="89"/>
      <c r="Y26" s="81"/>
      <c r="Z26" s="80"/>
      <c r="AA26" s="89"/>
      <c r="AB26" s="89"/>
      <c r="AC26" s="81"/>
      <c r="AD26" s="80"/>
      <c r="AE26" s="89"/>
      <c r="AF26" s="89"/>
      <c r="AG26" s="81"/>
      <c r="AH26" s="80"/>
      <c r="AI26" s="89"/>
      <c r="AJ26" s="89"/>
      <c r="AK26" s="81"/>
      <c r="AL26" s="80"/>
      <c r="AM26" s="89"/>
      <c r="AN26" s="89"/>
      <c r="AO26" s="81"/>
      <c r="AP26" s="80"/>
      <c r="AQ26" s="89"/>
      <c r="AR26" s="89"/>
      <c r="AS26" s="81"/>
      <c r="AT26" s="80"/>
      <c r="AU26" s="89"/>
      <c r="AV26" s="89"/>
      <c r="AW26" s="81"/>
      <c r="AX26" s="80"/>
      <c r="AY26" s="89"/>
      <c r="AZ26" s="89"/>
      <c r="BA26" s="81"/>
      <c r="BB26" s="80"/>
      <c r="BC26" s="89"/>
      <c r="BD26" s="89"/>
      <c r="BE26" s="81"/>
      <c r="BF26" s="80"/>
      <c r="BG26" s="89"/>
      <c r="BH26" s="89"/>
      <c r="BI26" s="81"/>
      <c r="BJ26" s="80"/>
      <c r="BK26" s="89"/>
      <c r="BL26" s="89"/>
      <c r="BM26" s="81"/>
      <c r="BN26" s="80"/>
      <c r="BO26" s="89"/>
      <c r="BP26" s="89"/>
      <c r="BQ26" s="81"/>
      <c r="BR26" s="80"/>
      <c r="BS26" s="89"/>
      <c r="BT26" s="89"/>
      <c r="BU26" s="81"/>
      <c r="BV26" s="80"/>
      <c r="BW26" s="89"/>
      <c r="BX26" s="89"/>
      <c r="BY26" s="81"/>
      <c r="BZ26" s="80"/>
      <c r="CA26" s="89"/>
      <c r="CB26" s="89"/>
      <c r="CC26" s="81"/>
      <c r="CD26" s="80"/>
      <c r="CE26" s="89"/>
      <c r="CF26" s="89"/>
      <c r="CG26" s="81"/>
      <c r="CH26" s="80"/>
      <c r="CI26" s="89"/>
      <c r="CJ26" s="89"/>
      <c r="CK26" s="81"/>
      <c r="CL26" s="49"/>
      <c r="CM26" s="56"/>
    </row>
    <row r="27" spans="2:91" x14ac:dyDescent="0.25">
      <c r="B27" s="55"/>
      <c r="C27" s="9" t="s">
        <v>336</v>
      </c>
      <c r="D27" s="76" t="s">
        <v>337</v>
      </c>
      <c r="E27" s="118">
        <v>5</v>
      </c>
      <c r="F27" s="86">
        <v>5.3</v>
      </c>
      <c r="G27" s="91">
        <v>5.3</v>
      </c>
      <c r="H27" s="91">
        <v>5.9</v>
      </c>
      <c r="I27" s="87">
        <v>5.9</v>
      </c>
      <c r="J27" s="80"/>
      <c r="K27" s="89"/>
      <c r="L27" s="89"/>
      <c r="M27" s="81"/>
      <c r="N27" s="80"/>
      <c r="O27" s="89"/>
      <c r="P27" s="89"/>
      <c r="Q27" s="81"/>
      <c r="R27" s="80"/>
      <c r="S27" s="89"/>
      <c r="T27" s="89"/>
      <c r="U27" s="81"/>
      <c r="V27" s="80"/>
      <c r="W27" s="89"/>
      <c r="X27" s="89"/>
      <c r="Y27" s="81"/>
      <c r="Z27" s="80"/>
      <c r="AA27" s="89"/>
      <c r="AB27" s="89"/>
      <c r="AC27" s="81"/>
      <c r="AD27" s="80"/>
      <c r="AE27" s="89"/>
      <c r="AF27" s="89"/>
      <c r="AG27" s="81"/>
      <c r="AH27" s="80"/>
      <c r="AI27" s="89"/>
      <c r="AJ27" s="89"/>
      <c r="AK27" s="81"/>
      <c r="AL27" s="80"/>
      <c r="AM27" s="89"/>
      <c r="AN27" s="89"/>
      <c r="AO27" s="81"/>
      <c r="AP27" s="80"/>
      <c r="AQ27" s="89"/>
      <c r="AR27" s="89"/>
      <c r="AS27" s="81"/>
      <c r="AT27" s="80"/>
      <c r="AU27" s="89"/>
      <c r="AV27" s="89"/>
      <c r="AW27" s="81"/>
      <c r="AX27" s="80"/>
      <c r="AY27" s="89"/>
      <c r="AZ27" s="89"/>
      <c r="BA27" s="81"/>
      <c r="BB27" s="80"/>
      <c r="BC27" s="89"/>
      <c r="BD27" s="89"/>
      <c r="BE27" s="81"/>
      <c r="BF27" s="80"/>
      <c r="BG27" s="89"/>
      <c r="BH27" s="89"/>
      <c r="BI27" s="81"/>
      <c r="BJ27" s="80"/>
      <c r="BK27" s="89"/>
      <c r="BL27" s="89"/>
      <c r="BM27" s="81"/>
      <c r="BN27" s="80"/>
      <c r="BO27" s="89"/>
      <c r="BP27" s="89"/>
      <c r="BQ27" s="81"/>
      <c r="BR27" s="80"/>
      <c r="BS27" s="89"/>
      <c r="BT27" s="89"/>
      <c r="BU27" s="81"/>
      <c r="BV27" s="80"/>
      <c r="BW27" s="89"/>
      <c r="BX27" s="89"/>
      <c r="BY27" s="81"/>
      <c r="BZ27" s="80"/>
      <c r="CA27" s="89"/>
      <c r="CB27" s="89"/>
      <c r="CC27" s="81"/>
      <c r="CD27" s="80"/>
      <c r="CE27" s="89"/>
      <c r="CF27" s="89"/>
      <c r="CG27" s="81"/>
      <c r="CH27" s="80"/>
      <c r="CI27" s="89"/>
      <c r="CJ27" s="89"/>
      <c r="CK27" s="81"/>
      <c r="CL27" s="49"/>
      <c r="CM27" s="56"/>
    </row>
    <row r="28" spans="2:91" x14ac:dyDescent="0.25">
      <c r="B28" s="55"/>
      <c r="C28" s="9" t="s">
        <v>161</v>
      </c>
      <c r="D28" s="76" t="s">
        <v>162</v>
      </c>
      <c r="E28" s="118">
        <v>100</v>
      </c>
      <c r="F28" s="80">
        <v>95</v>
      </c>
      <c r="G28" s="89">
        <v>95</v>
      </c>
      <c r="H28" s="89">
        <v>95</v>
      </c>
      <c r="I28" s="81">
        <v>95</v>
      </c>
      <c r="J28" s="80"/>
      <c r="K28" s="89">
        <v>0</v>
      </c>
      <c r="L28" s="89">
        <v>0</v>
      </c>
      <c r="M28" s="81">
        <v>0</v>
      </c>
      <c r="N28" s="80"/>
      <c r="O28" s="89"/>
      <c r="P28" s="89"/>
      <c r="Q28" s="81"/>
      <c r="R28" s="80"/>
      <c r="S28" s="89"/>
      <c r="T28" s="89"/>
      <c r="U28" s="81"/>
      <c r="V28" s="80"/>
      <c r="W28" s="89"/>
      <c r="X28" s="89"/>
      <c r="Y28" s="81"/>
      <c r="Z28" s="80"/>
      <c r="AA28" s="89"/>
      <c r="AB28" s="89"/>
      <c r="AC28" s="81"/>
      <c r="AD28" s="80"/>
      <c r="AE28" s="89"/>
      <c r="AF28" s="89"/>
      <c r="AG28" s="81"/>
      <c r="AH28" s="80"/>
      <c r="AI28" s="89"/>
      <c r="AJ28" s="89"/>
      <c r="AK28" s="81"/>
      <c r="AL28" s="80"/>
      <c r="AM28" s="89"/>
      <c r="AN28" s="89"/>
      <c r="AO28" s="81"/>
      <c r="AP28" s="80"/>
      <c r="AQ28" s="89"/>
      <c r="AR28" s="89"/>
      <c r="AS28" s="81"/>
      <c r="AT28" s="80"/>
      <c r="AU28" s="89"/>
      <c r="AV28" s="89"/>
      <c r="AW28" s="81"/>
      <c r="AX28" s="80"/>
      <c r="AY28" s="89"/>
      <c r="AZ28" s="89"/>
      <c r="BA28" s="81"/>
      <c r="BB28" s="80"/>
      <c r="BC28" s="89"/>
      <c r="BD28" s="89"/>
      <c r="BE28" s="81"/>
      <c r="BF28" s="80"/>
      <c r="BG28" s="89"/>
      <c r="BH28" s="89"/>
      <c r="BI28" s="81"/>
      <c r="BJ28" s="80"/>
      <c r="BK28" s="89"/>
      <c r="BL28" s="89"/>
      <c r="BM28" s="81"/>
      <c r="BN28" s="80"/>
      <c r="BO28" s="89"/>
      <c r="BP28" s="89"/>
      <c r="BQ28" s="81"/>
      <c r="BR28" s="80"/>
      <c r="BS28" s="89"/>
      <c r="BT28" s="89"/>
      <c r="BU28" s="81"/>
      <c r="BV28" s="80"/>
      <c r="BW28" s="89"/>
      <c r="BX28" s="89"/>
      <c r="BY28" s="81"/>
      <c r="BZ28" s="80"/>
      <c r="CA28" s="89"/>
      <c r="CB28" s="89"/>
      <c r="CC28" s="81"/>
      <c r="CD28" s="80"/>
      <c r="CE28" s="89"/>
      <c r="CF28" s="89"/>
      <c r="CG28" s="81"/>
      <c r="CH28" s="80"/>
      <c r="CI28" s="89"/>
      <c r="CJ28" s="89"/>
      <c r="CK28" s="81"/>
      <c r="CL28" s="49"/>
      <c r="CM28" s="56"/>
    </row>
    <row r="29" spans="2:91" ht="14.25" x14ac:dyDescent="0.25">
      <c r="B29" s="55"/>
      <c r="C29" s="9" t="s">
        <v>163</v>
      </c>
      <c r="D29" s="139" t="s">
        <v>165</v>
      </c>
      <c r="E29" s="118">
        <v>45</v>
      </c>
      <c r="F29" s="80">
        <v>47.7</v>
      </c>
      <c r="G29" s="89">
        <v>47.7</v>
      </c>
      <c r="H29" s="89">
        <v>31.1</v>
      </c>
      <c r="I29" s="81">
        <v>31.1</v>
      </c>
      <c r="J29" s="80"/>
      <c r="K29" s="89">
        <v>0</v>
      </c>
      <c r="L29" s="89">
        <v>0</v>
      </c>
      <c r="M29" s="81">
        <v>0</v>
      </c>
      <c r="N29" s="80"/>
      <c r="O29" s="89"/>
      <c r="P29" s="89"/>
      <c r="Q29" s="81"/>
      <c r="R29" s="80"/>
      <c r="S29" s="89"/>
      <c r="T29" s="89"/>
      <c r="U29" s="81"/>
      <c r="V29" s="80"/>
      <c r="W29" s="89"/>
      <c r="X29" s="89"/>
      <c r="Y29" s="81"/>
      <c r="Z29" s="80"/>
      <c r="AA29" s="89"/>
      <c r="AB29" s="89"/>
      <c r="AC29" s="81"/>
      <c r="AD29" s="80"/>
      <c r="AE29" s="89"/>
      <c r="AF29" s="89"/>
      <c r="AG29" s="81"/>
      <c r="AH29" s="80"/>
      <c r="AI29" s="89"/>
      <c r="AJ29" s="89"/>
      <c r="AK29" s="81"/>
      <c r="AL29" s="80"/>
      <c r="AM29" s="89"/>
      <c r="AN29" s="89"/>
      <c r="AO29" s="81"/>
      <c r="AP29" s="80"/>
      <c r="AQ29" s="89"/>
      <c r="AR29" s="89"/>
      <c r="AS29" s="81"/>
      <c r="AT29" s="80"/>
      <c r="AU29" s="89"/>
      <c r="AV29" s="89"/>
      <c r="AW29" s="81"/>
      <c r="AX29" s="80"/>
      <c r="AY29" s="89"/>
      <c r="AZ29" s="89"/>
      <c r="BA29" s="81"/>
      <c r="BB29" s="80"/>
      <c r="BC29" s="89"/>
      <c r="BD29" s="89"/>
      <c r="BE29" s="81"/>
      <c r="BF29" s="80"/>
      <c r="BG29" s="89"/>
      <c r="BH29" s="89"/>
      <c r="BI29" s="81"/>
      <c r="BJ29" s="80"/>
      <c r="BK29" s="89"/>
      <c r="BL29" s="89"/>
      <c r="BM29" s="81"/>
      <c r="BN29" s="80"/>
      <c r="BO29" s="89"/>
      <c r="BP29" s="89"/>
      <c r="BQ29" s="81"/>
      <c r="BR29" s="80"/>
      <c r="BS29" s="89"/>
      <c r="BT29" s="89"/>
      <c r="BU29" s="81"/>
      <c r="BV29" s="80"/>
      <c r="BW29" s="89"/>
      <c r="BX29" s="89"/>
      <c r="BY29" s="81"/>
      <c r="BZ29" s="80"/>
      <c r="CA29" s="89"/>
      <c r="CB29" s="89"/>
      <c r="CC29" s="81"/>
      <c r="CD29" s="80"/>
      <c r="CE29" s="89"/>
      <c r="CF29" s="89"/>
      <c r="CG29" s="81"/>
      <c r="CH29" s="80"/>
      <c r="CI29" s="89"/>
      <c r="CJ29" s="89"/>
      <c r="CK29" s="81"/>
      <c r="CL29" s="49"/>
      <c r="CM29" s="56"/>
    </row>
    <row r="30" spans="2:91" ht="14.25" x14ac:dyDescent="0.25">
      <c r="B30" s="55"/>
      <c r="C30" s="9" t="s">
        <v>297</v>
      </c>
      <c r="D30" s="76" t="s">
        <v>298</v>
      </c>
      <c r="E30" s="118">
        <v>12</v>
      </c>
      <c r="F30" s="80">
        <v>12</v>
      </c>
      <c r="G30" s="89">
        <v>12</v>
      </c>
      <c r="H30" s="89">
        <v>12</v>
      </c>
      <c r="I30" s="81">
        <v>12</v>
      </c>
      <c r="J30" s="80"/>
      <c r="K30" s="89">
        <v>12</v>
      </c>
      <c r="L30" s="89">
        <v>12</v>
      </c>
      <c r="M30" s="81">
        <v>0</v>
      </c>
      <c r="N30" s="80"/>
      <c r="O30" s="89"/>
      <c r="P30" s="89"/>
      <c r="Q30" s="81"/>
      <c r="R30" s="80"/>
      <c r="S30" s="89"/>
      <c r="T30" s="89"/>
      <c r="U30" s="81"/>
      <c r="V30" s="80"/>
      <c r="W30" s="89"/>
      <c r="X30" s="89"/>
      <c r="Y30" s="81"/>
      <c r="Z30" s="80"/>
      <c r="AA30" s="89"/>
      <c r="AB30" s="89"/>
      <c r="AC30" s="81"/>
      <c r="AD30" s="80"/>
      <c r="AE30" s="89"/>
      <c r="AF30" s="89"/>
      <c r="AG30" s="81"/>
      <c r="AH30" s="80"/>
      <c r="AI30" s="89"/>
      <c r="AJ30" s="89"/>
      <c r="AK30" s="81"/>
      <c r="AL30" s="80"/>
      <c r="AM30" s="89"/>
      <c r="AN30" s="89"/>
      <c r="AO30" s="81"/>
      <c r="AP30" s="80"/>
      <c r="AQ30" s="89"/>
      <c r="AR30" s="89"/>
      <c r="AS30" s="81"/>
      <c r="AT30" s="80"/>
      <c r="AU30" s="89"/>
      <c r="AV30" s="89"/>
      <c r="AW30" s="81"/>
      <c r="AX30" s="80"/>
      <c r="AY30" s="89"/>
      <c r="AZ30" s="89"/>
      <c r="BA30" s="81"/>
      <c r="BB30" s="80"/>
      <c r="BC30" s="89"/>
      <c r="BD30" s="89"/>
      <c r="BE30" s="81"/>
      <c r="BF30" s="80"/>
      <c r="BG30" s="89"/>
      <c r="BH30" s="89"/>
      <c r="BI30" s="81"/>
      <c r="BJ30" s="80"/>
      <c r="BK30" s="89"/>
      <c r="BL30" s="89"/>
      <c r="BM30" s="81"/>
      <c r="BN30" s="80"/>
      <c r="BO30" s="89"/>
      <c r="BP30" s="89"/>
      <c r="BQ30" s="81"/>
      <c r="BR30" s="80"/>
      <c r="BS30" s="89"/>
      <c r="BT30" s="89"/>
      <c r="BU30" s="81"/>
      <c r="BV30" s="80"/>
      <c r="BW30" s="89"/>
      <c r="BX30" s="89"/>
      <c r="BY30" s="81"/>
      <c r="BZ30" s="80"/>
      <c r="CA30" s="89"/>
      <c r="CB30" s="89"/>
      <c r="CC30" s="81"/>
      <c r="CD30" s="80"/>
      <c r="CE30" s="89"/>
      <c r="CF30" s="89"/>
      <c r="CG30" s="81"/>
      <c r="CH30" s="80"/>
      <c r="CI30" s="89"/>
      <c r="CJ30" s="89"/>
      <c r="CK30" s="81"/>
      <c r="CL30" s="49"/>
      <c r="CM30" s="56"/>
    </row>
    <row r="31" spans="2:91" ht="14.25" x14ac:dyDescent="0.25">
      <c r="B31" s="55"/>
      <c r="C31" s="9" t="s">
        <v>171</v>
      </c>
      <c r="D31" s="76" t="s">
        <v>526</v>
      </c>
      <c r="E31" s="118">
        <v>54</v>
      </c>
      <c r="F31" s="80">
        <v>72</v>
      </c>
      <c r="G31" s="89">
        <v>72</v>
      </c>
      <c r="H31" s="89">
        <v>56</v>
      </c>
      <c r="I31" s="81">
        <v>56</v>
      </c>
      <c r="J31" s="80"/>
      <c r="K31" s="89">
        <v>32</v>
      </c>
      <c r="L31" s="89">
        <v>56</v>
      </c>
      <c r="M31" s="81">
        <v>56</v>
      </c>
      <c r="N31" s="80"/>
      <c r="O31" s="89"/>
      <c r="P31" s="89"/>
      <c r="Q31" s="81"/>
      <c r="R31" s="80"/>
      <c r="S31" s="89"/>
      <c r="T31" s="89"/>
      <c r="U31" s="81"/>
      <c r="V31" s="80"/>
      <c r="W31" s="89"/>
      <c r="X31" s="89"/>
      <c r="Y31" s="81"/>
      <c r="Z31" s="80"/>
      <c r="AA31" s="89"/>
      <c r="AB31" s="89"/>
      <c r="AC31" s="81"/>
      <c r="AD31" s="80"/>
      <c r="AE31" s="89"/>
      <c r="AF31" s="89"/>
      <c r="AG31" s="81"/>
      <c r="AH31" s="80"/>
      <c r="AI31" s="89"/>
      <c r="AJ31" s="89"/>
      <c r="AK31" s="81"/>
      <c r="AL31" s="80"/>
      <c r="AM31" s="89"/>
      <c r="AN31" s="89"/>
      <c r="AO31" s="81"/>
      <c r="AP31" s="80"/>
      <c r="AQ31" s="89"/>
      <c r="AR31" s="89"/>
      <c r="AS31" s="81"/>
      <c r="AT31" s="80"/>
      <c r="AU31" s="89"/>
      <c r="AV31" s="89"/>
      <c r="AW31" s="81"/>
      <c r="AX31" s="80"/>
      <c r="AY31" s="89"/>
      <c r="AZ31" s="89"/>
      <c r="BA31" s="81"/>
      <c r="BB31" s="80"/>
      <c r="BC31" s="89"/>
      <c r="BD31" s="89"/>
      <c r="BE31" s="81"/>
      <c r="BF31" s="80"/>
      <c r="BG31" s="89"/>
      <c r="BH31" s="89"/>
      <c r="BI31" s="81"/>
      <c r="BJ31" s="80"/>
      <c r="BK31" s="89"/>
      <c r="BL31" s="89"/>
      <c r="BM31" s="81"/>
      <c r="BN31" s="80"/>
      <c r="BO31" s="89"/>
      <c r="BP31" s="89"/>
      <c r="BQ31" s="81"/>
      <c r="BR31" s="80"/>
      <c r="BS31" s="89"/>
      <c r="BT31" s="89"/>
      <c r="BU31" s="81"/>
      <c r="BV31" s="80"/>
      <c r="BW31" s="89"/>
      <c r="BX31" s="89"/>
      <c r="BY31" s="81"/>
      <c r="BZ31" s="80"/>
      <c r="CA31" s="89"/>
      <c r="CB31" s="89"/>
      <c r="CC31" s="81"/>
      <c r="CD31" s="80"/>
      <c r="CE31" s="89"/>
      <c r="CF31" s="89"/>
      <c r="CG31" s="81"/>
      <c r="CH31" s="80"/>
      <c r="CI31" s="89"/>
      <c r="CJ31" s="89"/>
      <c r="CK31" s="81"/>
      <c r="CL31" s="49"/>
      <c r="CM31" s="56"/>
    </row>
    <row r="32" spans="2:91" x14ac:dyDescent="0.25">
      <c r="B32" s="55"/>
      <c r="C32" s="9" t="s">
        <v>352</v>
      </c>
      <c r="D32" s="76" t="s">
        <v>527</v>
      </c>
      <c r="E32" s="118">
        <v>54</v>
      </c>
      <c r="F32" s="80">
        <v>56</v>
      </c>
      <c r="G32" s="89">
        <v>56</v>
      </c>
      <c r="H32" s="89">
        <v>72</v>
      </c>
      <c r="I32" s="81">
        <v>72</v>
      </c>
      <c r="J32" s="80"/>
      <c r="K32" s="89">
        <v>56</v>
      </c>
      <c r="L32" s="89">
        <v>32</v>
      </c>
      <c r="M32" s="81">
        <v>32</v>
      </c>
      <c r="N32" s="80"/>
      <c r="O32" s="89"/>
      <c r="P32" s="89"/>
      <c r="Q32" s="81"/>
      <c r="R32" s="80"/>
      <c r="S32" s="89"/>
      <c r="T32" s="89"/>
      <c r="U32" s="81"/>
      <c r="V32" s="80"/>
      <c r="W32" s="89"/>
      <c r="X32" s="89"/>
      <c r="Y32" s="81"/>
      <c r="Z32" s="80"/>
      <c r="AA32" s="89"/>
      <c r="AB32" s="89"/>
      <c r="AC32" s="81"/>
      <c r="AD32" s="80"/>
      <c r="AE32" s="89"/>
      <c r="AF32" s="89"/>
      <c r="AG32" s="81"/>
      <c r="AH32" s="80"/>
      <c r="AI32" s="89"/>
      <c r="AJ32" s="89"/>
      <c r="AK32" s="81"/>
      <c r="AL32" s="80"/>
      <c r="AM32" s="89"/>
      <c r="AN32" s="89"/>
      <c r="AO32" s="81"/>
      <c r="AP32" s="80"/>
      <c r="AQ32" s="89"/>
      <c r="AR32" s="89"/>
      <c r="AS32" s="81"/>
      <c r="AT32" s="80"/>
      <c r="AU32" s="89"/>
      <c r="AV32" s="89"/>
      <c r="AW32" s="81"/>
      <c r="AX32" s="80"/>
      <c r="AY32" s="89"/>
      <c r="AZ32" s="89"/>
      <c r="BA32" s="81"/>
      <c r="BB32" s="80"/>
      <c r="BC32" s="89"/>
      <c r="BD32" s="89"/>
      <c r="BE32" s="81"/>
      <c r="BF32" s="80"/>
      <c r="BG32" s="89"/>
      <c r="BH32" s="89"/>
      <c r="BI32" s="81"/>
      <c r="BJ32" s="80"/>
      <c r="BK32" s="89"/>
      <c r="BL32" s="89"/>
      <c r="BM32" s="81"/>
      <c r="BN32" s="80"/>
      <c r="BO32" s="89"/>
      <c r="BP32" s="89"/>
      <c r="BQ32" s="81"/>
      <c r="BR32" s="80"/>
      <c r="BS32" s="89"/>
      <c r="BT32" s="89"/>
      <c r="BU32" s="81"/>
      <c r="BV32" s="80"/>
      <c r="BW32" s="89"/>
      <c r="BX32" s="89"/>
      <c r="BY32" s="81"/>
      <c r="BZ32" s="80"/>
      <c r="CA32" s="89"/>
      <c r="CB32" s="89"/>
      <c r="CC32" s="81"/>
      <c r="CD32" s="80"/>
      <c r="CE32" s="89"/>
      <c r="CF32" s="89"/>
      <c r="CG32" s="81"/>
      <c r="CH32" s="80"/>
      <c r="CI32" s="89"/>
      <c r="CJ32" s="89"/>
      <c r="CK32" s="81"/>
      <c r="CL32" s="49"/>
      <c r="CM32" s="56"/>
    </row>
    <row r="33" spans="1:91" ht="14.25" x14ac:dyDescent="0.25">
      <c r="B33" s="55"/>
      <c r="C33" s="9" t="s">
        <v>28</v>
      </c>
      <c r="D33" s="76" t="s">
        <v>15</v>
      </c>
      <c r="E33" s="122">
        <v>6</v>
      </c>
      <c r="F33" s="86">
        <v>0</v>
      </c>
      <c r="G33" s="91">
        <v>0</v>
      </c>
      <c r="H33" s="91">
        <v>0</v>
      </c>
      <c r="I33" s="87">
        <v>0</v>
      </c>
      <c r="J33" s="86"/>
      <c r="K33" s="91">
        <v>0</v>
      </c>
      <c r="L33" s="91">
        <v>0</v>
      </c>
      <c r="M33" s="87">
        <v>0</v>
      </c>
      <c r="N33" s="86"/>
      <c r="O33" s="91"/>
      <c r="P33" s="91"/>
      <c r="Q33" s="87"/>
      <c r="R33" s="86"/>
      <c r="S33" s="91"/>
      <c r="T33" s="91"/>
      <c r="U33" s="87"/>
      <c r="V33" s="86"/>
      <c r="W33" s="91"/>
      <c r="X33" s="91"/>
      <c r="Y33" s="87"/>
      <c r="Z33" s="86"/>
      <c r="AA33" s="91"/>
      <c r="AB33" s="91"/>
      <c r="AC33" s="87"/>
      <c r="AD33" s="86"/>
      <c r="AE33" s="91"/>
      <c r="AF33" s="91"/>
      <c r="AG33" s="87"/>
      <c r="AH33" s="86"/>
      <c r="AI33" s="91"/>
      <c r="AJ33" s="91"/>
      <c r="AK33" s="87"/>
      <c r="AL33" s="86"/>
      <c r="AM33" s="91"/>
      <c r="AN33" s="91"/>
      <c r="AO33" s="87"/>
      <c r="AP33" s="86"/>
      <c r="AQ33" s="91"/>
      <c r="AR33" s="91"/>
      <c r="AS33" s="87"/>
      <c r="AT33" s="86"/>
      <c r="AU33" s="91"/>
      <c r="AV33" s="91"/>
      <c r="AW33" s="87"/>
      <c r="AX33" s="86"/>
      <c r="AY33" s="91"/>
      <c r="AZ33" s="91"/>
      <c r="BA33" s="87"/>
      <c r="BB33" s="86"/>
      <c r="BC33" s="91"/>
      <c r="BD33" s="91"/>
      <c r="BE33" s="87"/>
      <c r="BF33" s="86"/>
      <c r="BG33" s="91"/>
      <c r="BH33" s="91"/>
      <c r="BI33" s="87"/>
      <c r="BJ33" s="86"/>
      <c r="BK33" s="91"/>
      <c r="BL33" s="91"/>
      <c r="BM33" s="87"/>
      <c r="BN33" s="86"/>
      <c r="BO33" s="91"/>
      <c r="BP33" s="91"/>
      <c r="BQ33" s="87"/>
      <c r="BR33" s="86"/>
      <c r="BS33" s="91"/>
      <c r="BT33" s="91"/>
      <c r="BU33" s="87"/>
      <c r="BV33" s="86"/>
      <c r="BW33" s="91"/>
      <c r="BX33" s="91"/>
      <c r="BY33" s="87"/>
      <c r="BZ33" s="86"/>
      <c r="CA33" s="91"/>
      <c r="CB33" s="91"/>
      <c r="CC33" s="87"/>
      <c r="CD33" s="86"/>
      <c r="CE33" s="91"/>
      <c r="CF33" s="91"/>
      <c r="CG33" s="87"/>
      <c r="CH33" s="86"/>
      <c r="CI33" s="91"/>
      <c r="CJ33" s="91"/>
      <c r="CK33" s="87"/>
      <c r="CL33" s="49"/>
      <c r="CM33" s="56"/>
    </row>
    <row r="34" spans="1:91" ht="14.25" x14ac:dyDescent="0.25">
      <c r="B34" s="55"/>
      <c r="C34" s="9" t="s">
        <v>30</v>
      </c>
      <c r="D34" s="76" t="s">
        <v>16</v>
      </c>
      <c r="E34" s="122">
        <v>12</v>
      </c>
      <c r="F34" s="86">
        <v>12</v>
      </c>
      <c r="G34" s="91">
        <v>12</v>
      </c>
      <c r="H34" s="91">
        <v>12</v>
      </c>
      <c r="I34" s="87">
        <v>12</v>
      </c>
      <c r="J34" s="86"/>
      <c r="K34" s="91">
        <v>10</v>
      </c>
      <c r="L34" s="91">
        <v>12</v>
      </c>
      <c r="M34" s="87">
        <v>12</v>
      </c>
      <c r="N34" s="86"/>
      <c r="O34" s="91"/>
      <c r="P34" s="91"/>
      <c r="Q34" s="87"/>
      <c r="R34" s="86"/>
      <c r="S34" s="91"/>
      <c r="T34" s="91"/>
      <c r="U34" s="87"/>
      <c r="V34" s="86"/>
      <c r="W34" s="91"/>
      <c r="X34" s="91"/>
      <c r="Y34" s="87"/>
      <c r="Z34" s="86"/>
      <c r="AA34" s="91"/>
      <c r="AB34" s="91"/>
      <c r="AC34" s="87"/>
      <c r="AD34" s="86"/>
      <c r="AE34" s="91"/>
      <c r="AF34" s="91"/>
      <c r="AG34" s="87"/>
      <c r="AH34" s="86"/>
      <c r="AI34" s="91"/>
      <c r="AJ34" s="91"/>
      <c r="AK34" s="87"/>
      <c r="AL34" s="86"/>
      <c r="AM34" s="91"/>
      <c r="AN34" s="91"/>
      <c r="AO34" s="87"/>
      <c r="AP34" s="86"/>
      <c r="AQ34" s="91"/>
      <c r="AR34" s="91"/>
      <c r="AS34" s="87"/>
      <c r="AT34" s="86"/>
      <c r="AU34" s="91"/>
      <c r="AV34" s="91"/>
      <c r="AW34" s="87"/>
      <c r="AX34" s="86"/>
      <c r="AY34" s="91"/>
      <c r="AZ34" s="91"/>
      <c r="BA34" s="87"/>
      <c r="BB34" s="86"/>
      <c r="BC34" s="91"/>
      <c r="BD34" s="91"/>
      <c r="BE34" s="87"/>
      <c r="BF34" s="86"/>
      <c r="BG34" s="91"/>
      <c r="BH34" s="91"/>
      <c r="BI34" s="87"/>
      <c r="BJ34" s="86"/>
      <c r="BK34" s="91"/>
      <c r="BL34" s="91"/>
      <c r="BM34" s="87"/>
      <c r="BN34" s="86"/>
      <c r="BO34" s="91"/>
      <c r="BP34" s="91"/>
      <c r="BQ34" s="87"/>
      <c r="BR34" s="86"/>
      <c r="BS34" s="91"/>
      <c r="BT34" s="91"/>
      <c r="BU34" s="87"/>
      <c r="BV34" s="86"/>
      <c r="BW34" s="91"/>
      <c r="BX34" s="91"/>
      <c r="BY34" s="87"/>
      <c r="BZ34" s="86"/>
      <c r="CA34" s="91"/>
      <c r="CB34" s="91"/>
      <c r="CC34" s="87"/>
      <c r="CD34" s="86"/>
      <c r="CE34" s="91"/>
      <c r="CF34" s="91"/>
      <c r="CG34" s="87"/>
      <c r="CH34" s="86"/>
      <c r="CI34" s="91"/>
      <c r="CJ34" s="91"/>
      <c r="CK34" s="87"/>
      <c r="CL34" s="49"/>
      <c r="CM34" s="56"/>
    </row>
    <row r="35" spans="1:91" ht="14.25" x14ac:dyDescent="0.25">
      <c r="B35" s="55"/>
      <c r="C35" s="9" t="s">
        <v>27</v>
      </c>
      <c r="D35" s="76" t="s">
        <v>14</v>
      </c>
      <c r="E35" s="119">
        <v>0.85</v>
      </c>
      <c r="F35" s="40">
        <v>0.9</v>
      </c>
      <c r="G35" s="78">
        <v>0.9</v>
      </c>
      <c r="H35" s="78">
        <v>0.9</v>
      </c>
      <c r="I35" s="41">
        <v>0.9</v>
      </c>
      <c r="J35" s="40"/>
      <c r="K35" s="78">
        <v>0.9</v>
      </c>
      <c r="L35" s="78">
        <v>0.9</v>
      </c>
      <c r="M35" s="41">
        <v>0.9</v>
      </c>
      <c r="N35" s="40"/>
      <c r="O35" s="78"/>
      <c r="P35" s="78"/>
      <c r="Q35" s="41"/>
      <c r="R35" s="40"/>
      <c r="S35" s="78"/>
      <c r="T35" s="78"/>
      <c r="U35" s="41"/>
      <c r="V35" s="40"/>
      <c r="W35" s="78"/>
      <c r="X35" s="78"/>
      <c r="Y35" s="41"/>
      <c r="Z35" s="40"/>
      <c r="AA35" s="78"/>
      <c r="AB35" s="78"/>
      <c r="AC35" s="41"/>
      <c r="AD35" s="40"/>
      <c r="AE35" s="78"/>
      <c r="AF35" s="78"/>
      <c r="AG35" s="41"/>
      <c r="AH35" s="40"/>
      <c r="AI35" s="78"/>
      <c r="AJ35" s="78"/>
      <c r="AK35" s="41"/>
      <c r="AL35" s="40"/>
      <c r="AM35" s="78"/>
      <c r="AN35" s="78"/>
      <c r="AO35" s="41"/>
      <c r="AP35" s="40"/>
      <c r="AQ35" s="78"/>
      <c r="AR35" s="78"/>
      <c r="AS35" s="41"/>
      <c r="AT35" s="40"/>
      <c r="AU35" s="78"/>
      <c r="AV35" s="78"/>
      <c r="AW35" s="41"/>
      <c r="AX35" s="40"/>
      <c r="AY35" s="78"/>
      <c r="AZ35" s="78"/>
      <c r="BA35" s="41"/>
      <c r="BB35" s="40"/>
      <c r="BC35" s="78"/>
      <c r="BD35" s="78"/>
      <c r="BE35" s="41"/>
      <c r="BF35" s="40"/>
      <c r="BG35" s="78"/>
      <c r="BH35" s="78"/>
      <c r="BI35" s="41"/>
      <c r="BJ35" s="40"/>
      <c r="BK35" s="78"/>
      <c r="BL35" s="78"/>
      <c r="BM35" s="41"/>
      <c r="BN35" s="40"/>
      <c r="BO35" s="78"/>
      <c r="BP35" s="78"/>
      <c r="BQ35" s="41"/>
      <c r="BR35" s="40"/>
      <c r="BS35" s="78"/>
      <c r="BT35" s="78"/>
      <c r="BU35" s="41"/>
      <c r="BV35" s="40"/>
      <c r="BW35" s="78"/>
      <c r="BX35" s="78"/>
      <c r="BY35" s="41"/>
      <c r="BZ35" s="40"/>
      <c r="CA35" s="78"/>
      <c r="CB35" s="78"/>
      <c r="CC35" s="41"/>
      <c r="CD35" s="40"/>
      <c r="CE35" s="78"/>
      <c r="CF35" s="78"/>
      <c r="CG35" s="41"/>
      <c r="CH35" s="40"/>
      <c r="CI35" s="78"/>
      <c r="CJ35" s="78"/>
      <c r="CK35" s="41"/>
      <c r="CL35" s="49"/>
      <c r="CM35" s="56"/>
    </row>
    <row r="36" spans="1:91" ht="14.25" x14ac:dyDescent="0.25">
      <c r="B36" s="55"/>
      <c r="C36" s="9" t="s">
        <v>121</v>
      </c>
      <c r="D36" s="76" t="s">
        <v>23</v>
      </c>
      <c r="E36" s="122">
        <v>9</v>
      </c>
      <c r="F36" s="86">
        <v>9</v>
      </c>
      <c r="G36" s="91">
        <v>9</v>
      </c>
      <c r="H36" s="91">
        <v>9</v>
      </c>
      <c r="I36" s="87">
        <v>9</v>
      </c>
      <c r="J36" s="86"/>
      <c r="K36" s="91">
        <v>8</v>
      </c>
      <c r="L36" s="91">
        <v>9</v>
      </c>
      <c r="M36" s="87">
        <v>9</v>
      </c>
      <c r="N36" s="86"/>
      <c r="O36" s="91"/>
      <c r="P36" s="91"/>
      <c r="Q36" s="87"/>
      <c r="R36" s="86"/>
      <c r="S36" s="91"/>
      <c r="T36" s="91"/>
      <c r="U36" s="87"/>
      <c r="V36" s="86"/>
      <c r="W36" s="91"/>
      <c r="X36" s="91"/>
      <c r="Y36" s="87"/>
      <c r="Z36" s="86"/>
      <c r="AA36" s="91"/>
      <c r="AB36" s="91"/>
      <c r="AC36" s="87"/>
      <c r="AD36" s="86"/>
      <c r="AE36" s="91"/>
      <c r="AF36" s="91"/>
      <c r="AG36" s="87"/>
      <c r="AH36" s="86"/>
      <c r="AI36" s="91"/>
      <c r="AJ36" s="91"/>
      <c r="AK36" s="87"/>
      <c r="AL36" s="86"/>
      <c r="AM36" s="91"/>
      <c r="AN36" s="91"/>
      <c r="AO36" s="87"/>
      <c r="AP36" s="86"/>
      <c r="AQ36" s="91"/>
      <c r="AR36" s="91"/>
      <c r="AS36" s="87"/>
      <c r="AT36" s="86"/>
      <c r="AU36" s="91"/>
      <c r="AV36" s="91"/>
      <c r="AW36" s="87"/>
      <c r="AX36" s="86"/>
      <c r="AY36" s="91"/>
      <c r="AZ36" s="91"/>
      <c r="BA36" s="87"/>
      <c r="BB36" s="86"/>
      <c r="BC36" s="91"/>
      <c r="BD36" s="91"/>
      <c r="BE36" s="87"/>
      <c r="BF36" s="86"/>
      <c r="BG36" s="91"/>
      <c r="BH36" s="91"/>
      <c r="BI36" s="87"/>
      <c r="BJ36" s="86"/>
      <c r="BK36" s="91"/>
      <c r="BL36" s="91"/>
      <c r="BM36" s="87"/>
      <c r="BN36" s="86"/>
      <c r="BO36" s="91"/>
      <c r="BP36" s="91"/>
      <c r="BQ36" s="87"/>
      <c r="BR36" s="86"/>
      <c r="BS36" s="91"/>
      <c r="BT36" s="91"/>
      <c r="BU36" s="87"/>
      <c r="BV36" s="86"/>
      <c r="BW36" s="91"/>
      <c r="BX36" s="91"/>
      <c r="BY36" s="87"/>
      <c r="BZ36" s="86"/>
      <c r="CA36" s="91"/>
      <c r="CB36" s="91"/>
      <c r="CC36" s="87"/>
      <c r="CD36" s="86"/>
      <c r="CE36" s="91"/>
      <c r="CF36" s="91"/>
      <c r="CG36" s="87"/>
      <c r="CH36" s="86"/>
      <c r="CI36" s="91"/>
      <c r="CJ36" s="91"/>
      <c r="CK36" s="87"/>
      <c r="CL36" s="49"/>
      <c r="CM36" s="56"/>
    </row>
    <row r="37" spans="1:91" ht="14.25" x14ac:dyDescent="0.25">
      <c r="B37" s="55"/>
      <c r="C37" s="9" t="s">
        <v>29</v>
      </c>
      <c r="D37" s="76" t="s">
        <v>22</v>
      </c>
      <c r="E37" s="122">
        <v>0</v>
      </c>
      <c r="F37" s="86">
        <v>0</v>
      </c>
      <c r="G37" s="91">
        <v>0</v>
      </c>
      <c r="H37" s="91">
        <v>0</v>
      </c>
      <c r="I37" s="87">
        <v>0</v>
      </c>
      <c r="J37" s="86"/>
      <c r="K37" s="91">
        <v>0</v>
      </c>
      <c r="L37" s="91">
        <v>0</v>
      </c>
      <c r="M37" s="87">
        <v>0</v>
      </c>
      <c r="N37" s="86"/>
      <c r="O37" s="91"/>
      <c r="P37" s="91"/>
      <c r="Q37" s="87"/>
      <c r="R37" s="86"/>
      <c r="S37" s="91"/>
      <c r="T37" s="91"/>
      <c r="U37" s="87"/>
      <c r="V37" s="86"/>
      <c r="W37" s="91"/>
      <c r="X37" s="91"/>
      <c r="Y37" s="87"/>
      <c r="Z37" s="86"/>
      <c r="AA37" s="91"/>
      <c r="AB37" s="91"/>
      <c r="AC37" s="87"/>
      <c r="AD37" s="86"/>
      <c r="AE37" s="91"/>
      <c r="AF37" s="91"/>
      <c r="AG37" s="87"/>
      <c r="AH37" s="86"/>
      <c r="AI37" s="91"/>
      <c r="AJ37" s="91"/>
      <c r="AK37" s="87"/>
      <c r="AL37" s="86"/>
      <c r="AM37" s="91"/>
      <c r="AN37" s="91"/>
      <c r="AO37" s="87"/>
      <c r="AP37" s="86"/>
      <c r="AQ37" s="91"/>
      <c r="AR37" s="91"/>
      <c r="AS37" s="87"/>
      <c r="AT37" s="86"/>
      <c r="AU37" s="91"/>
      <c r="AV37" s="91"/>
      <c r="AW37" s="87"/>
      <c r="AX37" s="86"/>
      <c r="AY37" s="91"/>
      <c r="AZ37" s="91"/>
      <c r="BA37" s="87"/>
      <c r="BB37" s="86"/>
      <c r="BC37" s="91"/>
      <c r="BD37" s="91"/>
      <c r="BE37" s="87"/>
      <c r="BF37" s="86"/>
      <c r="BG37" s="91"/>
      <c r="BH37" s="91"/>
      <c r="BI37" s="87"/>
      <c r="BJ37" s="86"/>
      <c r="BK37" s="91"/>
      <c r="BL37" s="91"/>
      <c r="BM37" s="87"/>
      <c r="BN37" s="86"/>
      <c r="BO37" s="91"/>
      <c r="BP37" s="91"/>
      <c r="BQ37" s="87"/>
      <c r="BR37" s="86"/>
      <c r="BS37" s="91"/>
      <c r="BT37" s="91"/>
      <c r="BU37" s="87"/>
      <c r="BV37" s="86"/>
      <c r="BW37" s="91"/>
      <c r="BX37" s="91"/>
      <c r="BY37" s="87"/>
      <c r="BZ37" s="86"/>
      <c r="CA37" s="91"/>
      <c r="CB37" s="91"/>
      <c r="CC37" s="87"/>
      <c r="CD37" s="86"/>
      <c r="CE37" s="91"/>
      <c r="CF37" s="91"/>
      <c r="CG37" s="87"/>
      <c r="CH37" s="86"/>
      <c r="CI37" s="91"/>
      <c r="CJ37" s="91"/>
      <c r="CK37" s="87"/>
      <c r="CL37" s="49"/>
      <c r="CM37" s="56"/>
    </row>
    <row r="38" spans="1:91" ht="14.25" x14ac:dyDescent="0.25">
      <c r="B38" s="55"/>
      <c r="C38" s="9" t="s">
        <v>331</v>
      </c>
      <c r="D38" s="76" t="s">
        <v>328</v>
      </c>
      <c r="E38" s="122">
        <v>0.5</v>
      </c>
      <c r="F38" s="91">
        <v>0.5</v>
      </c>
      <c r="G38" s="91">
        <v>0.5</v>
      </c>
      <c r="H38" s="91">
        <v>0.5</v>
      </c>
      <c r="I38" s="91">
        <v>0.5</v>
      </c>
      <c r="J38" s="91"/>
      <c r="K38" s="91">
        <v>1</v>
      </c>
      <c r="L38" s="91">
        <v>0.1</v>
      </c>
      <c r="M38" s="91">
        <v>0.1</v>
      </c>
      <c r="N38" s="86"/>
      <c r="O38" s="91"/>
      <c r="P38" s="91"/>
      <c r="Q38" s="87"/>
      <c r="R38" s="86"/>
      <c r="S38" s="91"/>
      <c r="T38" s="91"/>
      <c r="U38" s="87"/>
      <c r="V38" s="86"/>
      <c r="W38" s="91"/>
      <c r="X38" s="91"/>
      <c r="Y38" s="87"/>
      <c r="Z38" s="86"/>
      <c r="AA38" s="91"/>
      <c r="AB38" s="91"/>
      <c r="AC38" s="87"/>
      <c r="AD38" s="86"/>
      <c r="AE38" s="91"/>
      <c r="AF38" s="91"/>
      <c r="AG38" s="87"/>
      <c r="AH38" s="86"/>
      <c r="AI38" s="91"/>
      <c r="AJ38" s="91"/>
      <c r="AK38" s="87"/>
      <c r="AL38" s="86"/>
      <c r="AM38" s="91"/>
      <c r="AN38" s="91"/>
      <c r="AO38" s="87"/>
      <c r="AP38" s="86"/>
      <c r="AQ38" s="91"/>
      <c r="AR38" s="91"/>
      <c r="AS38" s="87"/>
      <c r="AT38" s="86"/>
      <c r="AU38" s="91"/>
      <c r="AV38" s="91"/>
      <c r="AW38" s="87"/>
      <c r="AX38" s="86"/>
      <c r="AY38" s="91"/>
      <c r="AZ38" s="91"/>
      <c r="BA38" s="87"/>
      <c r="BB38" s="86"/>
      <c r="BC38" s="91"/>
      <c r="BD38" s="91"/>
      <c r="BE38" s="87"/>
      <c r="BF38" s="86"/>
      <c r="BG38" s="91"/>
      <c r="BH38" s="91"/>
      <c r="BI38" s="87"/>
      <c r="BJ38" s="86"/>
      <c r="BK38" s="91"/>
      <c r="BL38" s="91"/>
      <c r="BM38" s="87"/>
      <c r="BN38" s="86"/>
      <c r="BO38" s="91"/>
      <c r="BP38" s="91"/>
      <c r="BQ38" s="87"/>
      <c r="BR38" s="86"/>
      <c r="BS38" s="91"/>
      <c r="BT38" s="91"/>
      <c r="BU38" s="87"/>
      <c r="BV38" s="86"/>
      <c r="BW38" s="91"/>
      <c r="BX38" s="91"/>
      <c r="BY38" s="87"/>
      <c r="BZ38" s="86"/>
      <c r="CA38" s="91"/>
      <c r="CB38" s="91"/>
      <c r="CC38" s="87"/>
      <c r="CD38" s="86"/>
      <c r="CE38" s="91"/>
      <c r="CF38" s="91"/>
      <c r="CG38" s="87"/>
      <c r="CH38" s="86"/>
      <c r="CI38" s="91"/>
      <c r="CJ38" s="91"/>
      <c r="CK38" s="87"/>
      <c r="CL38" s="49"/>
      <c r="CM38" s="56"/>
    </row>
    <row r="39" spans="1:91" ht="14.25" x14ac:dyDescent="0.25">
      <c r="B39" s="55"/>
      <c r="C39" s="9" t="s">
        <v>330</v>
      </c>
      <c r="D39" s="76" t="s">
        <v>329</v>
      </c>
      <c r="E39" s="122">
        <v>0.1</v>
      </c>
      <c r="F39" s="91">
        <v>0.1</v>
      </c>
      <c r="G39" s="91">
        <v>0.1</v>
      </c>
      <c r="H39" s="91">
        <v>0.1</v>
      </c>
      <c r="I39" s="91">
        <v>0.1</v>
      </c>
      <c r="J39" s="91"/>
      <c r="K39" s="91">
        <v>0.1</v>
      </c>
      <c r="L39" s="91">
        <v>0.1</v>
      </c>
      <c r="M39" s="91">
        <v>0.1</v>
      </c>
      <c r="N39" s="86"/>
      <c r="O39" s="91"/>
      <c r="P39" s="91"/>
      <c r="Q39" s="87"/>
      <c r="R39" s="86"/>
      <c r="S39" s="91"/>
      <c r="T39" s="91"/>
      <c r="U39" s="87"/>
      <c r="V39" s="86"/>
      <c r="W39" s="91"/>
      <c r="X39" s="91"/>
      <c r="Y39" s="87"/>
      <c r="Z39" s="86"/>
      <c r="AA39" s="91"/>
      <c r="AB39" s="91"/>
      <c r="AC39" s="87"/>
      <c r="AD39" s="86"/>
      <c r="AE39" s="91"/>
      <c r="AF39" s="91"/>
      <c r="AG39" s="87"/>
      <c r="AH39" s="86"/>
      <c r="AI39" s="91"/>
      <c r="AJ39" s="91"/>
      <c r="AK39" s="87"/>
      <c r="AL39" s="86"/>
      <c r="AM39" s="91"/>
      <c r="AN39" s="91"/>
      <c r="AO39" s="87"/>
      <c r="AP39" s="86"/>
      <c r="AQ39" s="91"/>
      <c r="AR39" s="91"/>
      <c r="AS39" s="87"/>
      <c r="AT39" s="86"/>
      <c r="AU39" s="91"/>
      <c r="AV39" s="91"/>
      <c r="AW39" s="87"/>
      <c r="AX39" s="86"/>
      <c r="AY39" s="91"/>
      <c r="AZ39" s="91"/>
      <c r="BA39" s="87"/>
      <c r="BB39" s="86"/>
      <c r="BC39" s="91"/>
      <c r="BD39" s="91"/>
      <c r="BE39" s="87"/>
      <c r="BF39" s="86"/>
      <c r="BG39" s="91"/>
      <c r="BH39" s="91"/>
      <c r="BI39" s="87"/>
      <c r="BJ39" s="86"/>
      <c r="BK39" s="91"/>
      <c r="BL39" s="91"/>
      <c r="BM39" s="87"/>
      <c r="BN39" s="86"/>
      <c r="BO39" s="91"/>
      <c r="BP39" s="91"/>
      <c r="BQ39" s="87"/>
      <c r="BR39" s="86"/>
      <c r="BS39" s="91"/>
      <c r="BT39" s="91"/>
      <c r="BU39" s="87"/>
      <c r="BV39" s="86"/>
      <c r="BW39" s="91"/>
      <c r="BX39" s="91"/>
      <c r="BY39" s="87"/>
      <c r="BZ39" s="86"/>
      <c r="CA39" s="91"/>
      <c r="CB39" s="91"/>
      <c r="CC39" s="87"/>
      <c r="CD39" s="86"/>
      <c r="CE39" s="91"/>
      <c r="CF39" s="91"/>
      <c r="CG39" s="87"/>
      <c r="CH39" s="86"/>
      <c r="CI39" s="91"/>
      <c r="CJ39" s="91"/>
      <c r="CK39" s="87"/>
      <c r="CL39" s="49"/>
      <c r="CM39" s="56"/>
    </row>
    <row r="40" spans="1:91" ht="14.25" x14ac:dyDescent="0.25">
      <c r="B40" s="55"/>
      <c r="C40" s="9" t="s">
        <v>324</v>
      </c>
      <c r="D40" s="76" t="s">
        <v>325</v>
      </c>
      <c r="E40" s="122">
        <v>10</v>
      </c>
      <c r="F40" s="91">
        <v>10</v>
      </c>
      <c r="G40" s="91">
        <v>10</v>
      </c>
      <c r="H40" s="91">
        <v>10</v>
      </c>
      <c r="I40" s="91">
        <v>10</v>
      </c>
      <c r="J40" s="91"/>
      <c r="K40" s="91">
        <v>10</v>
      </c>
      <c r="L40" s="91">
        <v>10</v>
      </c>
      <c r="M40" s="91">
        <v>10</v>
      </c>
      <c r="N40" s="86"/>
      <c r="O40" s="91"/>
      <c r="P40" s="91"/>
      <c r="Q40" s="87"/>
      <c r="R40" s="86"/>
      <c r="S40" s="91"/>
      <c r="T40" s="91"/>
      <c r="U40" s="87"/>
      <c r="V40" s="86"/>
      <c r="W40" s="91"/>
      <c r="X40" s="91"/>
      <c r="Y40" s="87"/>
      <c r="Z40" s="86"/>
      <c r="AA40" s="91"/>
      <c r="AB40" s="91"/>
      <c r="AC40" s="87"/>
      <c r="AD40" s="86"/>
      <c r="AE40" s="91"/>
      <c r="AF40" s="91"/>
      <c r="AG40" s="87"/>
      <c r="AH40" s="86"/>
      <c r="AI40" s="91"/>
      <c r="AJ40" s="91"/>
      <c r="AK40" s="87"/>
      <c r="AL40" s="86"/>
      <c r="AM40" s="91"/>
      <c r="AN40" s="91"/>
      <c r="AO40" s="87"/>
      <c r="AP40" s="86"/>
      <c r="AQ40" s="91"/>
      <c r="AR40" s="91"/>
      <c r="AS40" s="87"/>
      <c r="AT40" s="86"/>
      <c r="AU40" s="91"/>
      <c r="AV40" s="91"/>
      <c r="AW40" s="87"/>
      <c r="AX40" s="86"/>
      <c r="AY40" s="91"/>
      <c r="AZ40" s="91"/>
      <c r="BA40" s="87"/>
      <c r="BB40" s="86"/>
      <c r="BC40" s="91"/>
      <c r="BD40" s="91"/>
      <c r="BE40" s="87"/>
      <c r="BF40" s="86"/>
      <c r="BG40" s="91"/>
      <c r="BH40" s="91"/>
      <c r="BI40" s="87"/>
      <c r="BJ40" s="86"/>
      <c r="BK40" s="91"/>
      <c r="BL40" s="91"/>
      <c r="BM40" s="87"/>
      <c r="BN40" s="86"/>
      <c r="BO40" s="91"/>
      <c r="BP40" s="91"/>
      <c r="BQ40" s="87"/>
      <c r="BR40" s="86"/>
      <c r="BS40" s="91"/>
      <c r="BT40" s="91"/>
      <c r="BU40" s="87"/>
      <c r="BV40" s="86"/>
      <c r="BW40" s="91"/>
      <c r="BX40" s="91"/>
      <c r="BY40" s="87"/>
      <c r="BZ40" s="86"/>
      <c r="CA40" s="91"/>
      <c r="CB40" s="91"/>
      <c r="CC40" s="87"/>
      <c r="CD40" s="86"/>
      <c r="CE40" s="91"/>
      <c r="CF40" s="91"/>
      <c r="CG40" s="87"/>
      <c r="CH40" s="86"/>
      <c r="CI40" s="91"/>
      <c r="CJ40" s="91"/>
      <c r="CK40" s="87"/>
      <c r="CL40" s="49"/>
      <c r="CM40" s="56"/>
    </row>
    <row r="41" spans="1:91" ht="14.25" x14ac:dyDescent="0.25">
      <c r="B41" s="55"/>
      <c r="C41" s="9" t="s">
        <v>326</v>
      </c>
      <c r="D41" s="76" t="s">
        <v>327</v>
      </c>
      <c r="E41" s="122">
        <v>3</v>
      </c>
      <c r="F41" s="91">
        <v>3</v>
      </c>
      <c r="G41" s="91">
        <v>3</v>
      </c>
      <c r="H41" s="91">
        <v>3</v>
      </c>
      <c r="I41" s="91">
        <v>3</v>
      </c>
      <c r="J41" s="91"/>
      <c r="K41" s="91">
        <v>3</v>
      </c>
      <c r="L41" s="91">
        <v>3</v>
      </c>
      <c r="M41" s="91">
        <v>3</v>
      </c>
      <c r="N41" s="86"/>
      <c r="O41" s="91"/>
      <c r="P41" s="91"/>
      <c r="Q41" s="87"/>
      <c r="R41" s="86"/>
      <c r="S41" s="91"/>
      <c r="T41" s="91"/>
      <c r="U41" s="87"/>
      <c r="V41" s="86"/>
      <c r="W41" s="91"/>
      <c r="X41" s="91"/>
      <c r="Y41" s="87"/>
      <c r="Z41" s="86"/>
      <c r="AA41" s="91"/>
      <c r="AB41" s="91"/>
      <c r="AC41" s="87"/>
      <c r="AD41" s="86"/>
      <c r="AE41" s="91"/>
      <c r="AF41" s="91"/>
      <c r="AG41" s="87"/>
      <c r="AH41" s="86"/>
      <c r="AI41" s="91"/>
      <c r="AJ41" s="91"/>
      <c r="AK41" s="87"/>
      <c r="AL41" s="86"/>
      <c r="AM41" s="91"/>
      <c r="AN41" s="91"/>
      <c r="AO41" s="87"/>
      <c r="AP41" s="86"/>
      <c r="AQ41" s="91"/>
      <c r="AR41" s="91"/>
      <c r="AS41" s="87"/>
      <c r="AT41" s="86"/>
      <c r="AU41" s="91"/>
      <c r="AV41" s="91"/>
      <c r="AW41" s="87"/>
      <c r="AX41" s="86"/>
      <c r="AY41" s="91"/>
      <c r="AZ41" s="91"/>
      <c r="BA41" s="87"/>
      <c r="BB41" s="86"/>
      <c r="BC41" s="91"/>
      <c r="BD41" s="91"/>
      <c r="BE41" s="87"/>
      <c r="BF41" s="86"/>
      <c r="BG41" s="91"/>
      <c r="BH41" s="91"/>
      <c r="BI41" s="87"/>
      <c r="BJ41" s="86"/>
      <c r="BK41" s="91"/>
      <c r="BL41" s="91"/>
      <c r="BM41" s="87"/>
      <c r="BN41" s="86"/>
      <c r="BO41" s="91"/>
      <c r="BP41" s="91"/>
      <c r="BQ41" s="87"/>
      <c r="BR41" s="86"/>
      <c r="BS41" s="91"/>
      <c r="BT41" s="91"/>
      <c r="BU41" s="87"/>
      <c r="BV41" s="86"/>
      <c r="BW41" s="91"/>
      <c r="BX41" s="91"/>
      <c r="BY41" s="87"/>
      <c r="BZ41" s="86"/>
      <c r="CA41" s="91"/>
      <c r="CB41" s="91"/>
      <c r="CC41" s="87"/>
      <c r="CD41" s="86"/>
      <c r="CE41" s="91"/>
      <c r="CF41" s="91"/>
      <c r="CG41" s="87"/>
      <c r="CH41" s="86"/>
      <c r="CI41" s="91"/>
      <c r="CJ41" s="91"/>
      <c r="CK41" s="87"/>
      <c r="CL41" s="49"/>
      <c r="CM41" s="56"/>
    </row>
    <row r="42" spans="1:91" s="272" customFormat="1" x14ac:dyDescent="0.25">
      <c r="A42" s="267"/>
      <c r="B42" s="268"/>
      <c r="C42" s="9"/>
      <c r="D42" s="76" t="s">
        <v>273</v>
      </c>
      <c r="E42" s="122" t="s">
        <v>275</v>
      </c>
      <c r="F42" s="269" t="s">
        <v>274</v>
      </c>
      <c r="G42" s="269" t="s">
        <v>274</v>
      </c>
      <c r="H42" s="269" t="s">
        <v>274</v>
      </c>
      <c r="I42" s="269" t="s">
        <v>274</v>
      </c>
      <c r="J42" s="269"/>
      <c r="K42" s="269" t="s">
        <v>537</v>
      </c>
      <c r="L42" s="269" t="s">
        <v>276</v>
      </c>
      <c r="M42" s="269" t="s">
        <v>276</v>
      </c>
      <c r="N42" s="269"/>
      <c r="O42" s="269"/>
      <c r="P42" s="269"/>
      <c r="Q42" s="269"/>
      <c r="R42" s="269"/>
      <c r="S42" s="269"/>
      <c r="T42" s="269"/>
      <c r="U42" s="269"/>
      <c r="V42" s="269"/>
      <c r="W42" s="269"/>
      <c r="X42" s="269"/>
      <c r="Y42" s="269"/>
      <c r="Z42" s="269"/>
      <c r="AA42" s="269"/>
      <c r="AB42" s="269"/>
      <c r="AC42" s="269"/>
      <c r="AD42" s="269"/>
      <c r="AE42" s="269"/>
      <c r="AF42" s="269"/>
      <c r="AG42" s="269"/>
      <c r="AH42" s="269"/>
      <c r="AI42" s="269"/>
      <c r="AJ42" s="269"/>
      <c r="AK42" s="269"/>
      <c r="AL42" s="269"/>
      <c r="AM42" s="269"/>
      <c r="AN42" s="269"/>
      <c r="AO42" s="269"/>
      <c r="AP42" s="269"/>
      <c r="AQ42" s="269"/>
      <c r="AR42" s="269"/>
      <c r="AS42" s="269"/>
      <c r="AT42" s="269"/>
      <c r="AU42" s="269"/>
      <c r="AV42" s="269"/>
      <c r="AW42" s="269"/>
      <c r="AX42" s="269"/>
      <c r="AY42" s="269"/>
      <c r="AZ42" s="269"/>
      <c r="BA42" s="269"/>
      <c r="BB42" s="269"/>
      <c r="BC42" s="269"/>
      <c r="BD42" s="269"/>
      <c r="BE42" s="269"/>
      <c r="BF42" s="269"/>
      <c r="BG42" s="269"/>
      <c r="BH42" s="269"/>
      <c r="BI42" s="269"/>
      <c r="BJ42" s="269"/>
      <c r="BK42" s="269"/>
      <c r="BL42" s="269"/>
      <c r="BM42" s="269"/>
      <c r="BN42" s="269"/>
      <c r="BO42" s="269"/>
      <c r="BP42" s="269"/>
      <c r="BQ42" s="269"/>
      <c r="BR42" s="269"/>
      <c r="BS42" s="269"/>
      <c r="BT42" s="269"/>
      <c r="BU42" s="269"/>
      <c r="BV42" s="269"/>
      <c r="BW42" s="269"/>
      <c r="BX42" s="269"/>
      <c r="BY42" s="269"/>
      <c r="BZ42" s="269"/>
      <c r="CA42" s="269"/>
      <c r="CB42" s="269"/>
      <c r="CC42" s="269"/>
      <c r="CD42" s="269"/>
      <c r="CE42" s="269"/>
      <c r="CF42" s="269"/>
      <c r="CG42" s="269"/>
      <c r="CH42" s="269"/>
      <c r="CI42" s="269"/>
      <c r="CJ42" s="269"/>
      <c r="CK42" s="269"/>
      <c r="CL42" s="270"/>
      <c r="CM42" s="271"/>
    </row>
    <row r="43" spans="1:91" x14ac:dyDescent="0.25">
      <c r="B43" s="55"/>
      <c r="C43" s="9"/>
      <c r="D43" s="76" t="s">
        <v>173</v>
      </c>
      <c r="E43" s="119" t="s">
        <v>74</v>
      </c>
      <c r="F43" s="40" t="s">
        <v>74</v>
      </c>
      <c r="G43" s="78" t="s">
        <v>74</v>
      </c>
      <c r="H43" s="78" t="s">
        <v>74</v>
      </c>
      <c r="I43" s="41" t="s">
        <v>74</v>
      </c>
      <c r="J43" s="40"/>
      <c r="K43" s="78" t="s">
        <v>74</v>
      </c>
      <c r="L43" s="78" t="s">
        <v>74</v>
      </c>
      <c r="M43" s="41" t="s">
        <v>74</v>
      </c>
      <c r="N43" s="40"/>
      <c r="O43" s="78"/>
      <c r="P43" s="78"/>
      <c r="Q43" s="41"/>
      <c r="R43" s="40"/>
      <c r="S43" s="78"/>
      <c r="T43" s="78"/>
      <c r="U43" s="41"/>
      <c r="V43" s="40"/>
      <c r="W43" s="78"/>
      <c r="X43" s="78"/>
      <c r="Y43" s="41"/>
      <c r="Z43" s="40"/>
      <c r="AA43" s="78"/>
      <c r="AB43" s="78"/>
      <c r="AC43" s="41"/>
      <c r="AD43" s="40"/>
      <c r="AE43" s="78"/>
      <c r="AF43" s="78"/>
      <c r="AG43" s="41"/>
      <c r="AH43" s="40"/>
      <c r="AI43" s="78"/>
      <c r="AJ43" s="78"/>
      <c r="AK43" s="41"/>
      <c r="AL43" s="40"/>
      <c r="AM43" s="78"/>
      <c r="AN43" s="78"/>
      <c r="AO43" s="41"/>
      <c r="AP43" s="40"/>
      <c r="AQ43" s="78"/>
      <c r="AR43" s="78"/>
      <c r="AS43" s="41"/>
      <c r="AT43" s="40"/>
      <c r="AU43" s="78"/>
      <c r="AV43" s="78"/>
      <c r="AW43" s="41"/>
      <c r="AX43" s="40"/>
      <c r="AY43" s="78"/>
      <c r="AZ43" s="78"/>
      <c r="BA43" s="41"/>
      <c r="BB43" s="40"/>
      <c r="BC43" s="78"/>
      <c r="BD43" s="78"/>
      <c r="BE43" s="41"/>
      <c r="BF43" s="40"/>
      <c r="BG43" s="78"/>
      <c r="BH43" s="78"/>
      <c r="BI43" s="41"/>
      <c r="BJ43" s="40"/>
      <c r="BK43" s="78"/>
      <c r="BL43" s="78"/>
      <c r="BM43" s="41"/>
      <c r="BN43" s="40"/>
      <c r="BO43" s="78"/>
      <c r="BP43" s="78"/>
      <c r="BQ43" s="41"/>
      <c r="BR43" s="40"/>
      <c r="BS43" s="78"/>
      <c r="BT43" s="78"/>
      <c r="BU43" s="41"/>
      <c r="BV43" s="40"/>
      <c r="BW43" s="78"/>
      <c r="BX43" s="78"/>
      <c r="BY43" s="41"/>
      <c r="BZ43" s="40"/>
      <c r="CA43" s="78"/>
      <c r="CB43" s="78"/>
      <c r="CC43" s="41"/>
      <c r="CD43" s="40"/>
      <c r="CE43" s="78"/>
      <c r="CF43" s="78"/>
      <c r="CG43" s="41"/>
      <c r="CH43" s="40"/>
      <c r="CI43" s="78"/>
      <c r="CJ43" s="78"/>
      <c r="CK43" s="41"/>
      <c r="CL43" s="49"/>
      <c r="CM43" s="28"/>
    </row>
    <row r="44" spans="1:91" ht="15.75" x14ac:dyDescent="0.25">
      <c r="B44" s="55"/>
      <c r="C44" s="9"/>
      <c r="D44" s="107" t="s">
        <v>236</v>
      </c>
      <c r="E44" s="119" t="s">
        <v>74</v>
      </c>
      <c r="F44" s="40" t="s">
        <v>74</v>
      </c>
      <c r="G44" s="78" t="s">
        <v>74</v>
      </c>
      <c r="H44" s="78" t="s">
        <v>74</v>
      </c>
      <c r="I44" s="41" t="s">
        <v>74</v>
      </c>
      <c r="J44" s="40"/>
      <c r="K44" s="78" t="s">
        <v>64</v>
      </c>
      <c r="L44" s="78" t="s">
        <v>74</v>
      </c>
      <c r="M44" s="41" t="s">
        <v>74</v>
      </c>
      <c r="N44" s="40"/>
      <c r="O44" s="78"/>
      <c r="P44" s="78"/>
      <c r="Q44" s="41"/>
      <c r="R44" s="40"/>
      <c r="S44" s="78"/>
      <c r="T44" s="78"/>
      <c r="U44" s="41"/>
      <c r="V44" s="40"/>
      <c r="W44" s="78"/>
      <c r="X44" s="78"/>
      <c r="Y44" s="41"/>
      <c r="Z44" s="40"/>
      <c r="AA44" s="78"/>
      <c r="AB44" s="78"/>
      <c r="AC44" s="41"/>
      <c r="AD44" s="40"/>
      <c r="AE44" s="78"/>
      <c r="AF44" s="78"/>
      <c r="AG44" s="41"/>
      <c r="AH44" s="40"/>
      <c r="AI44" s="78"/>
      <c r="AJ44" s="78"/>
      <c r="AK44" s="41"/>
      <c r="AL44" s="40"/>
      <c r="AM44" s="78"/>
      <c r="AN44" s="78"/>
      <c r="AO44" s="41"/>
      <c r="AP44" s="40"/>
      <c r="AQ44" s="78"/>
      <c r="AR44" s="78"/>
      <c r="AS44" s="41"/>
      <c r="AT44" s="40"/>
      <c r="AU44" s="78"/>
      <c r="AV44" s="78"/>
      <c r="AW44" s="41"/>
      <c r="AX44" s="40"/>
      <c r="AY44" s="78"/>
      <c r="AZ44" s="78"/>
      <c r="BA44" s="41"/>
      <c r="BB44" s="40"/>
      <c r="BC44" s="78"/>
      <c r="BD44" s="78"/>
      <c r="BE44" s="41"/>
      <c r="BF44" s="40"/>
      <c r="BG44" s="78"/>
      <c r="BH44" s="78"/>
      <c r="BI44" s="41"/>
      <c r="BJ44" s="40"/>
      <c r="BK44" s="78"/>
      <c r="BL44" s="78"/>
      <c r="BM44" s="41"/>
      <c r="BN44" s="40"/>
      <c r="BO44" s="78"/>
      <c r="BP44" s="78"/>
      <c r="BQ44" s="41"/>
      <c r="BR44" s="40"/>
      <c r="BS44" s="78"/>
      <c r="BT44" s="78"/>
      <c r="BU44" s="41"/>
      <c r="BV44" s="40"/>
      <c r="BW44" s="78"/>
      <c r="BX44" s="78"/>
      <c r="BY44" s="41"/>
      <c r="BZ44" s="40"/>
      <c r="CA44" s="78"/>
      <c r="CB44" s="78"/>
      <c r="CC44" s="41"/>
      <c r="CD44" s="40"/>
      <c r="CE44" s="78"/>
      <c r="CF44" s="78"/>
      <c r="CG44" s="41"/>
      <c r="CH44" s="40"/>
      <c r="CI44" s="78"/>
      <c r="CJ44" s="78"/>
      <c r="CK44" s="41"/>
      <c r="CL44" s="49"/>
      <c r="CM44" s="28"/>
    </row>
    <row r="45" spans="1:91" x14ac:dyDescent="0.25">
      <c r="B45" s="55"/>
      <c r="C45" s="37"/>
      <c r="D45" s="60"/>
      <c r="E45" s="117"/>
      <c r="F45" s="37"/>
      <c r="G45" s="37"/>
      <c r="H45" s="37"/>
      <c r="I45" s="37"/>
      <c r="J45" s="37"/>
      <c r="K45" s="37"/>
      <c r="L45" s="37"/>
      <c r="M45" s="37"/>
      <c r="N45" s="37"/>
      <c r="O45" s="37"/>
      <c r="P45" s="37"/>
      <c r="Q45" s="37"/>
      <c r="R45" s="37"/>
      <c r="S45" s="37"/>
      <c r="T45" s="37"/>
      <c r="U45" s="37"/>
      <c r="V45" s="37"/>
      <c r="W45" s="37"/>
      <c r="X45" s="37"/>
      <c r="Y45" s="37"/>
      <c r="Z45" s="37"/>
      <c r="AA45" s="37"/>
      <c r="AB45" s="37"/>
      <c r="AC45" s="37"/>
      <c r="AD45" s="37"/>
      <c r="AE45" s="37"/>
      <c r="AF45" s="37"/>
      <c r="AG45" s="37"/>
      <c r="AH45" s="37"/>
      <c r="AI45" s="37"/>
      <c r="AJ45" s="37"/>
      <c r="AK45" s="37"/>
      <c r="AL45" s="37"/>
      <c r="AM45" s="37"/>
      <c r="AN45" s="37"/>
      <c r="AO45" s="37"/>
      <c r="AP45" s="37"/>
      <c r="AQ45" s="37"/>
      <c r="AR45" s="37"/>
      <c r="AS45" s="37"/>
      <c r="AT45" s="37"/>
      <c r="AU45" s="37"/>
      <c r="AV45" s="37"/>
      <c r="AW45" s="37"/>
      <c r="AX45" s="37"/>
      <c r="AY45" s="37"/>
      <c r="AZ45" s="37"/>
      <c r="BA45" s="37"/>
      <c r="BB45" s="37"/>
      <c r="BC45" s="37"/>
      <c r="BD45" s="37"/>
      <c r="BE45" s="37"/>
      <c r="BF45" s="37"/>
      <c r="BG45" s="37"/>
      <c r="BH45" s="37"/>
      <c r="BI45" s="37"/>
      <c r="BJ45" s="37"/>
      <c r="BK45" s="37"/>
      <c r="BL45" s="37"/>
      <c r="BM45" s="37"/>
      <c r="BN45" s="37"/>
      <c r="BO45" s="37"/>
      <c r="BP45" s="37"/>
      <c r="BQ45" s="37"/>
      <c r="BR45" s="37"/>
      <c r="BS45" s="37"/>
      <c r="BT45" s="37"/>
      <c r="BU45" s="37"/>
      <c r="BV45" s="37"/>
      <c r="BW45" s="37"/>
      <c r="BX45" s="37"/>
      <c r="BY45" s="37"/>
      <c r="BZ45" s="37"/>
      <c r="CA45" s="37"/>
      <c r="CB45" s="37"/>
      <c r="CC45" s="37"/>
      <c r="CD45" s="37"/>
      <c r="CE45" s="37"/>
      <c r="CF45" s="37"/>
      <c r="CG45" s="37"/>
      <c r="CH45" s="37"/>
      <c r="CI45" s="37"/>
      <c r="CJ45" s="37"/>
      <c r="CK45" s="37"/>
      <c r="CL45" s="37"/>
      <c r="CM45" s="28"/>
    </row>
    <row r="46" spans="1:91" x14ac:dyDescent="0.25">
      <c r="A46" s="22"/>
      <c r="B46" s="61"/>
      <c r="C46" s="178" t="s">
        <v>24</v>
      </c>
      <c r="D46" s="179"/>
      <c r="E46" s="133"/>
      <c r="F46" s="178"/>
      <c r="G46" s="179"/>
      <c r="H46" s="179"/>
      <c r="I46" s="180"/>
      <c r="J46" s="178"/>
      <c r="K46" s="179"/>
      <c r="L46" s="179"/>
      <c r="M46" s="180"/>
      <c r="N46" s="178"/>
      <c r="O46" s="179"/>
      <c r="P46" s="179"/>
      <c r="Q46" s="180"/>
      <c r="R46" s="178"/>
      <c r="S46" s="179"/>
      <c r="T46" s="179"/>
      <c r="U46" s="180"/>
      <c r="V46" s="178"/>
      <c r="W46" s="179"/>
      <c r="X46" s="179"/>
      <c r="Y46" s="180"/>
      <c r="Z46" s="178"/>
      <c r="AA46" s="179"/>
      <c r="AB46" s="179"/>
      <c r="AC46" s="180"/>
      <c r="AD46" s="178"/>
      <c r="AE46" s="179"/>
      <c r="AF46" s="179"/>
      <c r="AG46" s="180"/>
      <c r="AH46" s="178"/>
      <c r="AI46" s="179"/>
      <c r="AJ46" s="179"/>
      <c r="AK46" s="180"/>
      <c r="AL46" s="178"/>
      <c r="AM46" s="179"/>
      <c r="AN46" s="179"/>
      <c r="AO46" s="180"/>
      <c r="AP46" s="178"/>
      <c r="AQ46" s="179"/>
      <c r="AR46" s="179"/>
      <c r="AS46" s="180"/>
      <c r="AT46" s="178"/>
      <c r="AU46" s="179"/>
      <c r="AV46" s="179"/>
      <c r="AW46" s="180"/>
      <c r="AX46" s="178"/>
      <c r="AY46" s="179"/>
      <c r="AZ46" s="179"/>
      <c r="BA46" s="180"/>
      <c r="BB46" s="178"/>
      <c r="BC46" s="179"/>
      <c r="BD46" s="179"/>
      <c r="BE46" s="180"/>
      <c r="BF46" s="178"/>
      <c r="BG46" s="179"/>
      <c r="BH46" s="179"/>
      <c r="BI46" s="180"/>
      <c r="BJ46" s="178"/>
      <c r="BK46" s="179"/>
      <c r="BL46" s="179"/>
      <c r="BM46" s="180"/>
      <c r="BN46" s="178"/>
      <c r="BO46" s="179"/>
      <c r="BP46" s="179"/>
      <c r="BQ46" s="180"/>
      <c r="BR46" s="178"/>
      <c r="BS46" s="179"/>
      <c r="BT46" s="179"/>
      <c r="BU46" s="180"/>
      <c r="BV46" s="178"/>
      <c r="BW46" s="179"/>
      <c r="BX46" s="179"/>
      <c r="BY46" s="180"/>
      <c r="BZ46" s="178"/>
      <c r="CA46" s="179"/>
      <c r="CB46" s="179"/>
      <c r="CC46" s="180"/>
      <c r="CD46" s="178"/>
      <c r="CE46" s="179"/>
      <c r="CF46" s="179"/>
      <c r="CG46" s="180"/>
      <c r="CH46" s="178"/>
      <c r="CI46" s="179"/>
      <c r="CJ46" s="179"/>
      <c r="CK46" s="180"/>
      <c r="CL46" s="49"/>
      <c r="CM46" s="28"/>
    </row>
    <row r="47" spans="1:91" ht="15.75" x14ac:dyDescent="0.25">
      <c r="B47" s="55"/>
      <c r="C47" s="4"/>
      <c r="D47" s="77" t="s">
        <v>234</v>
      </c>
      <c r="E47" s="134"/>
      <c r="F47" s="4"/>
      <c r="G47" s="19"/>
      <c r="H47" s="19"/>
      <c r="I47" s="5"/>
      <c r="J47" s="4"/>
      <c r="K47" s="19"/>
      <c r="L47" s="19"/>
      <c r="M47" s="5"/>
      <c r="N47" s="4"/>
      <c r="O47" s="19"/>
      <c r="P47" s="19"/>
      <c r="Q47" s="5"/>
      <c r="R47" s="4"/>
      <c r="S47" s="19"/>
      <c r="T47" s="19"/>
      <c r="U47" s="5"/>
      <c r="V47" s="4"/>
      <c r="W47" s="19"/>
      <c r="X47" s="19"/>
      <c r="Y47" s="5"/>
      <c r="Z47" s="4"/>
      <c r="AA47" s="19"/>
      <c r="AB47" s="19"/>
      <c r="AC47" s="5"/>
      <c r="AD47" s="4"/>
      <c r="AE47" s="19"/>
      <c r="AF47" s="19"/>
      <c r="AG47" s="5"/>
      <c r="AH47" s="4"/>
      <c r="AI47" s="19"/>
      <c r="AJ47" s="19"/>
      <c r="AK47" s="5"/>
      <c r="AL47" s="4"/>
      <c r="AM47" s="19"/>
      <c r="AN47" s="19"/>
      <c r="AO47" s="5"/>
      <c r="AP47" s="4"/>
      <c r="AQ47" s="19"/>
      <c r="AR47" s="19"/>
      <c r="AS47" s="5"/>
      <c r="AT47" s="4"/>
      <c r="AU47" s="19"/>
      <c r="AV47" s="19"/>
      <c r="AW47" s="5"/>
      <c r="AX47" s="4"/>
      <c r="AY47" s="19"/>
      <c r="AZ47" s="19"/>
      <c r="BA47" s="5"/>
      <c r="BB47" s="4"/>
      <c r="BC47" s="19"/>
      <c r="BD47" s="19"/>
      <c r="BE47" s="5"/>
      <c r="BF47" s="4"/>
      <c r="BG47" s="19"/>
      <c r="BH47" s="19"/>
      <c r="BI47" s="5"/>
      <c r="BJ47" s="4"/>
      <c r="BK47" s="19"/>
      <c r="BL47" s="19"/>
      <c r="BM47" s="5"/>
      <c r="BN47" s="4"/>
      <c r="BO47" s="19"/>
      <c r="BP47" s="19"/>
      <c r="BQ47" s="5"/>
      <c r="BR47" s="4"/>
      <c r="BS47" s="19"/>
      <c r="BT47" s="19"/>
      <c r="BU47" s="5"/>
      <c r="BV47" s="4"/>
      <c r="BW47" s="19"/>
      <c r="BX47" s="19"/>
      <c r="BY47" s="5"/>
      <c r="BZ47" s="4"/>
      <c r="CA47" s="19"/>
      <c r="CB47" s="19"/>
      <c r="CC47" s="5"/>
      <c r="CD47" s="4"/>
      <c r="CE47" s="19"/>
      <c r="CF47" s="19"/>
      <c r="CG47" s="5"/>
      <c r="CH47" s="4"/>
      <c r="CI47" s="19"/>
      <c r="CJ47" s="19"/>
      <c r="CK47" s="5"/>
      <c r="CL47" s="49"/>
      <c r="CM47" s="28"/>
    </row>
    <row r="48" spans="1:91" ht="14.25" x14ac:dyDescent="0.25">
      <c r="B48" s="55"/>
      <c r="C48" s="10" t="s">
        <v>277</v>
      </c>
      <c r="D48" s="93" t="s">
        <v>281</v>
      </c>
      <c r="E48" s="125">
        <f>(E31/3.5) + 3</f>
        <v>18.428571428571431</v>
      </c>
      <c r="F48" s="162">
        <f>(F31/3.5) + 3</f>
        <v>23.571428571428573</v>
      </c>
      <c r="G48" s="164">
        <f>(G31/3.5) + 3</f>
        <v>23.571428571428573</v>
      </c>
      <c r="H48" s="164">
        <f>(H31/3.5) + 3</f>
        <v>19</v>
      </c>
      <c r="I48" s="164">
        <f t="shared" ref="I48" si="0">(I31/3.5) + 3</f>
        <v>19</v>
      </c>
      <c r="J48" s="162">
        <f>(J31/3.5) + 3</f>
        <v>3</v>
      </c>
      <c r="K48" s="164">
        <f>(K31/3.5) + 3</f>
        <v>12.142857142857142</v>
      </c>
      <c r="L48" s="164">
        <f>(L31/3.5) + 3</f>
        <v>19</v>
      </c>
      <c r="M48" s="163">
        <f t="shared" ref="M48" si="1">(M31/3.5) + 3</f>
        <v>19</v>
      </c>
      <c r="N48" s="169">
        <f>(N31/3.5) + 3</f>
        <v>3</v>
      </c>
      <c r="O48" s="172">
        <f>(O31/3.5) + 3</f>
        <v>3</v>
      </c>
      <c r="P48" s="172">
        <f>(P31/3.5) + 3</f>
        <v>3</v>
      </c>
      <c r="Q48" s="170">
        <f t="shared" ref="Q48" si="2">(Q31/3.5) + 3</f>
        <v>3</v>
      </c>
      <c r="R48" s="169">
        <f>(R31/3.5) + 3</f>
        <v>3</v>
      </c>
      <c r="S48" s="172">
        <f>(S31/3.5) + 3</f>
        <v>3</v>
      </c>
      <c r="T48" s="172">
        <f>(T31/3.5) + 3</f>
        <v>3</v>
      </c>
      <c r="U48" s="170">
        <f t="shared" ref="U48" si="3">(U31/3.5) + 3</f>
        <v>3</v>
      </c>
      <c r="V48" s="169">
        <f>(V31/3.5) + 3</f>
        <v>3</v>
      </c>
      <c r="W48" s="172">
        <f>(W31/3.5) + 3</f>
        <v>3</v>
      </c>
      <c r="X48" s="172">
        <f>(X31/3.5) + 3</f>
        <v>3</v>
      </c>
      <c r="Y48" s="170">
        <f t="shared" ref="Y48" si="4">(Y31/3.5) + 3</f>
        <v>3</v>
      </c>
      <c r="Z48" s="169">
        <f>(Z31/3.5) + 3</f>
        <v>3</v>
      </c>
      <c r="AA48" s="172">
        <f>(AA31/3.5) + 3</f>
        <v>3</v>
      </c>
      <c r="AB48" s="172">
        <f>(AB31/3.5) + 3</f>
        <v>3</v>
      </c>
      <c r="AC48" s="170">
        <f t="shared" ref="AC48" si="5">(AC31/3.5) + 3</f>
        <v>3</v>
      </c>
      <c r="AD48" s="169">
        <f>(AD31/3.5) + 3</f>
        <v>3</v>
      </c>
      <c r="AE48" s="172">
        <f>(AE31/3.5) + 3</f>
        <v>3</v>
      </c>
      <c r="AF48" s="172">
        <f>(AF31/3.5) + 3</f>
        <v>3</v>
      </c>
      <c r="AG48" s="170">
        <f t="shared" ref="AG48" si="6">(AG31/3.5) + 3</f>
        <v>3</v>
      </c>
      <c r="AH48" s="169">
        <f>(AH31/3.5) + 3</f>
        <v>3</v>
      </c>
      <c r="AI48" s="172">
        <f>(AI31/3.5) + 3</f>
        <v>3</v>
      </c>
      <c r="AJ48" s="172">
        <f>(AJ31/3.5) + 3</f>
        <v>3</v>
      </c>
      <c r="AK48" s="170">
        <f t="shared" ref="AK48" si="7">(AK31/3.5) + 3</f>
        <v>3</v>
      </c>
      <c r="AL48" s="169">
        <f>(AL31/3.5) + 3</f>
        <v>3</v>
      </c>
      <c r="AM48" s="172">
        <f>(AM31/3.5) + 3</f>
        <v>3</v>
      </c>
      <c r="AN48" s="172">
        <f>(AN31/3.5) + 3</f>
        <v>3</v>
      </c>
      <c r="AO48" s="170">
        <f t="shared" ref="AO48" si="8">(AO31/3.5) + 3</f>
        <v>3</v>
      </c>
      <c r="AP48" s="169">
        <f>(AP31/3.5) + 3</f>
        <v>3</v>
      </c>
      <c r="AQ48" s="172">
        <f>(AQ31/3.5) + 3</f>
        <v>3</v>
      </c>
      <c r="AR48" s="172">
        <f>(AR31/3.5) + 3</f>
        <v>3</v>
      </c>
      <c r="AS48" s="170">
        <f t="shared" ref="AS48" si="9">(AS31/3.5) + 3</f>
        <v>3</v>
      </c>
      <c r="AT48" s="169">
        <f>(AT31/3.5) + 3</f>
        <v>3</v>
      </c>
      <c r="AU48" s="172">
        <f>(AU31/3.5) + 3</f>
        <v>3</v>
      </c>
      <c r="AV48" s="172">
        <f>(AV31/3.5) + 3</f>
        <v>3</v>
      </c>
      <c r="AW48" s="170">
        <f t="shared" ref="AW48" si="10">(AW31/3.5) + 3</f>
        <v>3</v>
      </c>
      <c r="AX48" s="169">
        <f>(AX31/3.5) + 3</f>
        <v>3</v>
      </c>
      <c r="AY48" s="172">
        <f>(AY31/3.5) + 3</f>
        <v>3</v>
      </c>
      <c r="AZ48" s="172">
        <f>(AZ31/3.5) + 3</f>
        <v>3</v>
      </c>
      <c r="BA48" s="170">
        <f t="shared" ref="BA48" si="11">(BA31/3.5) + 3</f>
        <v>3</v>
      </c>
      <c r="BB48" s="169">
        <f>(BB31/3.5) + 3</f>
        <v>3</v>
      </c>
      <c r="BC48" s="172">
        <f>(BC31/3.5) + 3</f>
        <v>3</v>
      </c>
      <c r="BD48" s="172">
        <f>(BD31/3.5) + 3</f>
        <v>3</v>
      </c>
      <c r="BE48" s="170">
        <f t="shared" ref="BE48" si="12">(BE31/3.5) + 3</f>
        <v>3</v>
      </c>
      <c r="BF48" s="169">
        <f>(BF31/3.5) + 3</f>
        <v>3</v>
      </c>
      <c r="BG48" s="172">
        <f>(BG31/3.5) + 3</f>
        <v>3</v>
      </c>
      <c r="BH48" s="172">
        <f>(BH31/3.5) + 3</f>
        <v>3</v>
      </c>
      <c r="BI48" s="170">
        <f t="shared" ref="BI48" si="13">(BI31/3.5) + 3</f>
        <v>3</v>
      </c>
      <c r="BJ48" s="169">
        <f>(BJ31/3.5) + 3</f>
        <v>3</v>
      </c>
      <c r="BK48" s="172">
        <f>(BK31/3.5) + 3</f>
        <v>3</v>
      </c>
      <c r="BL48" s="172">
        <f>(BL31/3.5) + 3</f>
        <v>3</v>
      </c>
      <c r="BM48" s="170">
        <f t="shared" ref="BM48" si="14">(BM31/3.5) + 3</f>
        <v>3</v>
      </c>
      <c r="BN48" s="169">
        <f>(BN31/3.5) + 3</f>
        <v>3</v>
      </c>
      <c r="BO48" s="172">
        <f>(BO31/3.5) + 3</f>
        <v>3</v>
      </c>
      <c r="BP48" s="172">
        <f>(BP31/3.5) + 3</f>
        <v>3</v>
      </c>
      <c r="BQ48" s="170">
        <f t="shared" ref="BQ48" si="15">(BQ31/3.5) + 3</f>
        <v>3</v>
      </c>
      <c r="BR48" s="169">
        <f>(BR31/3.5) + 3</f>
        <v>3</v>
      </c>
      <c r="BS48" s="172">
        <f>(BS31/3.5) + 3</f>
        <v>3</v>
      </c>
      <c r="BT48" s="172">
        <f>(BT31/3.5) + 3</f>
        <v>3</v>
      </c>
      <c r="BU48" s="170">
        <f t="shared" ref="BU48" si="16">(BU31/3.5) + 3</f>
        <v>3</v>
      </c>
      <c r="BV48" s="169">
        <f>(BV31/3.5) + 3</f>
        <v>3</v>
      </c>
      <c r="BW48" s="172">
        <f>(BW31/3.5) + 3</f>
        <v>3</v>
      </c>
      <c r="BX48" s="172">
        <f>(BX31/3.5) + 3</f>
        <v>3</v>
      </c>
      <c r="BY48" s="170">
        <f t="shared" ref="BY48" si="17">(BY31/3.5) + 3</f>
        <v>3</v>
      </c>
      <c r="BZ48" s="169">
        <f>(BZ31/3.5) + 3</f>
        <v>3</v>
      </c>
      <c r="CA48" s="172">
        <f>(CA31/3.5) + 3</f>
        <v>3</v>
      </c>
      <c r="CB48" s="172">
        <f>(CB31/3.5) + 3</f>
        <v>3</v>
      </c>
      <c r="CC48" s="170">
        <f t="shared" ref="CC48" si="18">(CC31/3.5) + 3</f>
        <v>3</v>
      </c>
      <c r="CD48" s="169">
        <f>(CD31/3.5) + 3</f>
        <v>3</v>
      </c>
      <c r="CE48" s="172">
        <f>(CE31/3.5) + 3</f>
        <v>3</v>
      </c>
      <c r="CF48" s="172">
        <f>(CF31/3.5) + 3</f>
        <v>3</v>
      </c>
      <c r="CG48" s="170">
        <f t="shared" ref="CG48" si="19">(CG31/3.5) + 3</f>
        <v>3</v>
      </c>
      <c r="CH48" s="169">
        <f>(CH31/3.5) + 3</f>
        <v>3</v>
      </c>
      <c r="CI48" s="172">
        <f>(CI31/3.5) + 3</f>
        <v>3</v>
      </c>
      <c r="CJ48" s="172">
        <f>(CJ31/3.5) + 3</f>
        <v>3</v>
      </c>
      <c r="CK48" s="170">
        <f t="shared" ref="CK48" si="20">(CK31/3.5) + 3</f>
        <v>3</v>
      </c>
      <c r="CL48" s="49"/>
      <c r="CM48" s="28"/>
    </row>
    <row r="49" spans="2:91" x14ac:dyDescent="0.25">
      <c r="B49" s="55"/>
      <c r="C49" s="10" t="s">
        <v>284</v>
      </c>
      <c r="D49" s="93" t="s">
        <v>286</v>
      </c>
      <c r="E49" s="125">
        <f>E16/3600</f>
        <v>0.16666666666666666</v>
      </c>
      <c r="F49" s="164">
        <f>F16/3600</f>
        <v>0.42722222222222223</v>
      </c>
      <c r="G49" s="164">
        <f>G16/3600</f>
        <v>0.42722222222222223</v>
      </c>
      <c r="H49" s="164">
        <f>H16/3600</f>
        <v>0.25277777777777777</v>
      </c>
      <c r="I49" s="164">
        <f>I16/3600</f>
        <v>0.25277777777777777</v>
      </c>
      <c r="J49" s="162">
        <f>J16/3600</f>
        <v>0</v>
      </c>
      <c r="K49" s="164">
        <f>K16/3600</f>
        <v>1.5277777777777777E-2</v>
      </c>
      <c r="L49" s="164">
        <f>L16/3600</f>
        <v>0.22194444444444444</v>
      </c>
      <c r="M49" s="163">
        <f>M16/3600</f>
        <v>0.22194444444444444</v>
      </c>
      <c r="N49" s="169">
        <f>N16/3600</f>
        <v>0</v>
      </c>
      <c r="O49" s="172">
        <f>O16/3600</f>
        <v>0</v>
      </c>
      <c r="P49" s="172">
        <f>P16/3600</f>
        <v>0</v>
      </c>
      <c r="Q49" s="170">
        <f>Q16/3600</f>
        <v>0</v>
      </c>
      <c r="R49" s="169">
        <f>R16/3600</f>
        <v>0</v>
      </c>
      <c r="S49" s="172">
        <f>S16/3600</f>
        <v>0</v>
      </c>
      <c r="T49" s="172">
        <f>T16/3600</f>
        <v>0</v>
      </c>
      <c r="U49" s="170">
        <f>U16/3600</f>
        <v>0</v>
      </c>
      <c r="V49" s="169">
        <f>V16/3600</f>
        <v>0</v>
      </c>
      <c r="W49" s="172">
        <f>W16/3600</f>
        <v>0</v>
      </c>
      <c r="X49" s="172">
        <f>X16/3600</f>
        <v>0</v>
      </c>
      <c r="Y49" s="170">
        <f>Y16/3600</f>
        <v>0</v>
      </c>
      <c r="Z49" s="169">
        <f>Z16/3600</f>
        <v>0</v>
      </c>
      <c r="AA49" s="172">
        <f>AA16/3600</f>
        <v>0</v>
      </c>
      <c r="AB49" s="172">
        <f>AB16/3600</f>
        <v>0</v>
      </c>
      <c r="AC49" s="170">
        <f>AC16/3600</f>
        <v>0</v>
      </c>
      <c r="AD49" s="169">
        <f>AD16/3600</f>
        <v>0</v>
      </c>
      <c r="AE49" s="172">
        <f>AE16/3600</f>
        <v>0</v>
      </c>
      <c r="AF49" s="172">
        <f>AF16/3600</f>
        <v>0</v>
      </c>
      <c r="AG49" s="170">
        <f>AG16/3600</f>
        <v>0</v>
      </c>
      <c r="AH49" s="169">
        <f>AH16/3600</f>
        <v>0</v>
      </c>
      <c r="AI49" s="172">
        <f>AI16/3600</f>
        <v>0</v>
      </c>
      <c r="AJ49" s="172">
        <f>AJ16/3600</f>
        <v>0</v>
      </c>
      <c r="AK49" s="170">
        <f>AK16/3600</f>
        <v>0</v>
      </c>
      <c r="AL49" s="169">
        <f>AL16/3600</f>
        <v>0</v>
      </c>
      <c r="AM49" s="172">
        <f>AM16/3600</f>
        <v>0</v>
      </c>
      <c r="AN49" s="172">
        <f>AN16/3600</f>
        <v>0</v>
      </c>
      <c r="AO49" s="170">
        <f>AO16/3600</f>
        <v>0</v>
      </c>
      <c r="AP49" s="169">
        <f>AP16/3600</f>
        <v>0</v>
      </c>
      <c r="AQ49" s="172">
        <f>AQ16/3600</f>
        <v>0</v>
      </c>
      <c r="AR49" s="172">
        <f>AR16/3600</f>
        <v>0</v>
      </c>
      <c r="AS49" s="170">
        <f>AS16/3600</f>
        <v>0</v>
      </c>
      <c r="AT49" s="169">
        <f>AT16/3600</f>
        <v>0</v>
      </c>
      <c r="AU49" s="172">
        <f>AU16/3600</f>
        <v>0</v>
      </c>
      <c r="AV49" s="172">
        <f>AV16/3600</f>
        <v>0</v>
      </c>
      <c r="AW49" s="170">
        <f>AW16/3600</f>
        <v>0</v>
      </c>
      <c r="AX49" s="169">
        <f>AX16/3600</f>
        <v>0</v>
      </c>
      <c r="AY49" s="172">
        <f>AY16/3600</f>
        <v>0</v>
      </c>
      <c r="AZ49" s="172">
        <f>AZ16/3600</f>
        <v>0</v>
      </c>
      <c r="BA49" s="170">
        <f>BA16/3600</f>
        <v>0</v>
      </c>
      <c r="BB49" s="169">
        <f>BB16/3600</f>
        <v>0</v>
      </c>
      <c r="BC49" s="172">
        <f>BC16/3600</f>
        <v>0</v>
      </c>
      <c r="BD49" s="172">
        <f>BD16/3600</f>
        <v>0</v>
      </c>
      <c r="BE49" s="170">
        <f>BE16/3600</f>
        <v>0</v>
      </c>
      <c r="BF49" s="169">
        <f>BF16/3600</f>
        <v>0</v>
      </c>
      <c r="BG49" s="172">
        <f>BG16/3600</f>
        <v>0</v>
      </c>
      <c r="BH49" s="172">
        <f>BH16/3600</f>
        <v>0</v>
      </c>
      <c r="BI49" s="170">
        <f>BI16/3600</f>
        <v>0</v>
      </c>
      <c r="BJ49" s="169">
        <f>BJ16/3600</f>
        <v>0</v>
      </c>
      <c r="BK49" s="172">
        <f>BK16/3600</f>
        <v>0</v>
      </c>
      <c r="BL49" s="172">
        <f>BL16/3600</f>
        <v>0</v>
      </c>
      <c r="BM49" s="170">
        <f>BM16/3600</f>
        <v>0</v>
      </c>
      <c r="BN49" s="169">
        <f>BN16/3600</f>
        <v>0</v>
      </c>
      <c r="BO49" s="172">
        <f>BO16/3600</f>
        <v>0</v>
      </c>
      <c r="BP49" s="172">
        <f>BP16/3600</f>
        <v>0</v>
      </c>
      <c r="BQ49" s="170">
        <f>BQ16/3600</f>
        <v>0</v>
      </c>
      <c r="BR49" s="169">
        <f>BR16/3600</f>
        <v>0</v>
      </c>
      <c r="BS49" s="172">
        <f>BS16/3600</f>
        <v>0</v>
      </c>
      <c r="BT49" s="172">
        <f>BT16/3600</f>
        <v>0</v>
      </c>
      <c r="BU49" s="170">
        <f>BU16/3600</f>
        <v>0</v>
      </c>
      <c r="BV49" s="169">
        <f>BV16/3600</f>
        <v>0</v>
      </c>
      <c r="BW49" s="172">
        <f>BW16/3600</f>
        <v>0</v>
      </c>
      <c r="BX49" s="172">
        <f>BX16/3600</f>
        <v>0</v>
      </c>
      <c r="BY49" s="170">
        <f>BY16/3600</f>
        <v>0</v>
      </c>
      <c r="BZ49" s="169">
        <f>BZ16/3600</f>
        <v>0</v>
      </c>
      <c r="CA49" s="172">
        <f>CA16/3600</f>
        <v>0</v>
      </c>
      <c r="CB49" s="172">
        <f>CB16/3600</f>
        <v>0</v>
      </c>
      <c r="CC49" s="170">
        <f>CC16/3600</f>
        <v>0</v>
      </c>
      <c r="CD49" s="169">
        <f>CD16/3600</f>
        <v>0</v>
      </c>
      <c r="CE49" s="172">
        <f>CE16/3600</f>
        <v>0</v>
      </c>
      <c r="CF49" s="172">
        <f>CF16/3600</f>
        <v>0</v>
      </c>
      <c r="CG49" s="170">
        <f>CG16/3600</f>
        <v>0</v>
      </c>
      <c r="CH49" s="169">
        <f>CH16/3600</f>
        <v>0</v>
      </c>
      <c r="CI49" s="172">
        <f>CI16/3600</f>
        <v>0</v>
      </c>
      <c r="CJ49" s="172">
        <f>CJ16/3600</f>
        <v>0</v>
      </c>
      <c r="CK49" s="170">
        <f>CK16/3600</f>
        <v>0</v>
      </c>
      <c r="CL49" s="49"/>
      <c r="CM49" s="28"/>
    </row>
    <row r="50" spans="2:91" ht="14.25" x14ac:dyDescent="0.25">
      <c r="B50" s="55"/>
      <c r="C50" s="10" t="s">
        <v>282</v>
      </c>
      <c r="D50" s="93" t="s">
        <v>285</v>
      </c>
      <c r="E50" s="125">
        <f>E20/3600</f>
        <v>2.7777777777777776E-2</v>
      </c>
      <c r="F50" s="164">
        <f>F20/3600</f>
        <v>2.7777777777777776E-2</v>
      </c>
      <c r="G50" s="164">
        <f>G20/3600</f>
        <v>2.7777777777777776E-2</v>
      </c>
      <c r="H50" s="164">
        <f>H20/3600</f>
        <v>2.7777777777777776E-2</v>
      </c>
      <c r="I50" s="164">
        <f>I20/3600</f>
        <v>2.7777777777777776E-2</v>
      </c>
      <c r="J50" s="162">
        <f>J20/3600</f>
        <v>0</v>
      </c>
      <c r="K50" s="164">
        <f>K20/3600</f>
        <v>4.5277777777777778E-2</v>
      </c>
      <c r="L50" s="164">
        <f>L20/3600</f>
        <v>2.7777777777777776E-2</v>
      </c>
      <c r="M50" s="163">
        <f>M20/3600</f>
        <v>0</v>
      </c>
      <c r="N50" s="169">
        <f>N20/3600</f>
        <v>0</v>
      </c>
      <c r="O50" s="172">
        <f>O20/3600</f>
        <v>0</v>
      </c>
      <c r="P50" s="172">
        <f>P20/3600</f>
        <v>0</v>
      </c>
      <c r="Q50" s="170">
        <f>Q20/3600</f>
        <v>0</v>
      </c>
      <c r="R50" s="169">
        <f>R20/3600</f>
        <v>0</v>
      </c>
      <c r="S50" s="172">
        <f>S20/3600</f>
        <v>0</v>
      </c>
      <c r="T50" s="172">
        <f>T20/3600</f>
        <v>0</v>
      </c>
      <c r="U50" s="170">
        <f>U20/3600</f>
        <v>0</v>
      </c>
      <c r="V50" s="169">
        <f>V20/3600</f>
        <v>0</v>
      </c>
      <c r="W50" s="172">
        <f>W20/3600</f>
        <v>0</v>
      </c>
      <c r="X50" s="172">
        <f>X20/3600</f>
        <v>0</v>
      </c>
      <c r="Y50" s="170">
        <f>Y20/3600</f>
        <v>0</v>
      </c>
      <c r="Z50" s="169">
        <f>Z20/3600</f>
        <v>0</v>
      </c>
      <c r="AA50" s="172">
        <f>AA20/3600</f>
        <v>0</v>
      </c>
      <c r="AB50" s="172">
        <f>AB20/3600</f>
        <v>0</v>
      </c>
      <c r="AC50" s="170">
        <f>AC20/3600</f>
        <v>0</v>
      </c>
      <c r="AD50" s="169">
        <f>AD20/3600</f>
        <v>0</v>
      </c>
      <c r="AE50" s="172">
        <f>AE20/3600</f>
        <v>0</v>
      </c>
      <c r="AF50" s="172">
        <f>AF20/3600</f>
        <v>0</v>
      </c>
      <c r="AG50" s="170">
        <f>AG20/3600</f>
        <v>0</v>
      </c>
      <c r="AH50" s="169">
        <f>AH20/3600</f>
        <v>0</v>
      </c>
      <c r="AI50" s="172">
        <f>AI20/3600</f>
        <v>0</v>
      </c>
      <c r="AJ50" s="172">
        <f>AJ20/3600</f>
        <v>0</v>
      </c>
      <c r="AK50" s="170">
        <f>AK20/3600</f>
        <v>0</v>
      </c>
      <c r="AL50" s="169">
        <f>AL20/3600</f>
        <v>0</v>
      </c>
      <c r="AM50" s="172">
        <f>AM20/3600</f>
        <v>0</v>
      </c>
      <c r="AN50" s="172">
        <f>AN20/3600</f>
        <v>0</v>
      </c>
      <c r="AO50" s="170">
        <f>AO20/3600</f>
        <v>0</v>
      </c>
      <c r="AP50" s="169">
        <f>AP20/3600</f>
        <v>0</v>
      </c>
      <c r="AQ50" s="172">
        <f>AQ20/3600</f>
        <v>0</v>
      </c>
      <c r="AR50" s="172">
        <f>AR20/3600</f>
        <v>0</v>
      </c>
      <c r="AS50" s="170">
        <f>AS20/3600</f>
        <v>0</v>
      </c>
      <c r="AT50" s="169">
        <f>AT20/3600</f>
        <v>0</v>
      </c>
      <c r="AU50" s="172">
        <f>AU20/3600</f>
        <v>0</v>
      </c>
      <c r="AV50" s="172">
        <f>AV20/3600</f>
        <v>0</v>
      </c>
      <c r="AW50" s="170">
        <f>AW20/3600</f>
        <v>0</v>
      </c>
      <c r="AX50" s="169">
        <f>AX20/3600</f>
        <v>0</v>
      </c>
      <c r="AY50" s="172">
        <f>AY20/3600</f>
        <v>0</v>
      </c>
      <c r="AZ50" s="172">
        <f>AZ20/3600</f>
        <v>0</v>
      </c>
      <c r="BA50" s="170">
        <f>BA20/3600</f>
        <v>0</v>
      </c>
      <c r="BB50" s="169">
        <f>BB20/3600</f>
        <v>0</v>
      </c>
      <c r="BC50" s="172">
        <f>BC20/3600</f>
        <v>0</v>
      </c>
      <c r="BD50" s="172">
        <f>BD20/3600</f>
        <v>0</v>
      </c>
      <c r="BE50" s="170">
        <f>BE20/3600</f>
        <v>0</v>
      </c>
      <c r="BF50" s="169">
        <f>BF20/3600</f>
        <v>0</v>
      </c>
      <c r="BG50" s="172">
        <f>BG20/3600</f>
        <v>0</v>
      </c>
      <c r="BH50" s="172">
        <f>BH20/3600</f>
        <v>0</v>
      </c>
      <c r="BI50" s="170">
        <f>BI20/3600</f>
        <v>0</v>
      </c>
      <c r="BJ50" s="169">
        <f>BJ20/3600</f>
        <v>0</v>
      </c>
      <c r="BK50" s="172">
        <f>BK20/3600</f>
        <v>0</v>
      </c>
      <c r="BL50" s="172">
        <f>BL20/3600</f>
        <v>0</v>
      </c>
      <c r="BM50" s="170">
        <f>BM20/3600</f>
        <v>0</v>
      </c>
      <c r="BN50" s="169">
        <f>BN20/3600</f>
        <v>0</v>
      </c>
      <c r="BO50" s="172">
        <f>BO20/3600</f>
        <v>0</v>
      </c>
      <c r="BP50" s="172">
        <f>BP20/3600</f>
        <v>0</v>
      </c>
      <c r="BQ50" s="170">
        <f>BQ20/3600</f>
        <v>0</v>
      </c>
      <c r="BR50" s="169">
        <f>BR20/3600</f>
        <v>0</v>
      </c>
      <c r="BS50" s="172">
        <f>BS20/3600</f>
        <v>0</v>
      </c>
      <c r="BT50" s="172">
        <f>BT20/3600</f>
        <v>0</v>
      </c>
      <c r="BU50" s="170">
        <f>BU20/3600</f>
        <v>0</v>
      </c>
      <c r="BV50" s="169">
        <f>BV20/3600</f>
        <v>0</v>
      </c>
      <c r="BW50" s="172">
        <f>BW20/3600</f>
        <v>0</v>
      </c>
      <c r="BX50" s="172">
        <f>BX20/3600</f>
        <v>0</v>
      </c>
      <c r="BY50" s="170">
        <f>BY20/3600</f>
        <v>0</v>
      </c>
      <c r="BZ50" s="169">
        <f>BZ20/3600</f>
        <v>0</v>
      </c>
      <c r="CA50" s="172">
        <f>CA20/3600</f>
        <v>0</v>
      </c>
      <c r="CB50" s="172">
        <f>CB20/3600</f>
        <v>0</v>
      </c>
      <c r="CC50" s="170">
        <f>CC20/3600</f>
        <v>0</v>
      </c>
      <c r="CD50" s="169">
        <f>CD20/3600</f>
        <v>0</v>
      </c>
      <c r="CE50" s="172">
        <f>CE20/3600</f>
        <v>0</v>
      </c>
      <c r="CF50" s="172">
        <f>CF20/3600</f>
        <v>0</v>
      </c>
      <c r="CG50" s="170">
        <f>CG20/3600</f>
        <v>0</v>
      </c>
      <c r="CH50" s="169">
        <f>CH20/3600</f>
        <v>0</v>
      </c>
      <c r="CI50" s="172">
        <f>CI20/3600</f>
        <v>0</v>
      </c>
      <c r="CJ50" s="172">
        <f>CJ20/3600</f>
        <v>0</v>
      </c>
      <c r="CK50" s="170">
        <f>CK20/3600</f>
        <v>0</v>
      </c>
      <c r="CL50" s="49"/>
      <c r="CM50" s="28"/>
    </row>
    <row r="51" spans="2:91" ht="14.25" x14ac:dyDescent="0.25">
      <c r="B51" s="55"/>
      <c r="C51" s="10" t="s">
        <v>279</v>
      </c>
      <c r="D51" s="93" t="s">
        <v>287</v>
      </c>
      <c r="E51" s="125">
        <f t="shared" ref="E51:M51" si="21">MAX(8*E52/E30,1)</f>
        <v>2.3970300963621431</v>
      </c>
      <c r="F51" s="162">
        <f t="shared" si="21"/>
        <v>962.03422947808122</v>
      </c>
      <c r="G51" s="164">
        <f t="shared" si="21"/>
        <v>962.03422947808122</v>
      </c>
      <c r="H51" s="164">
        <f t="shared" si="21"/>
        <v>8.3971377584595732</v>
      </c>
      <c r="I51" s="163">
        <f t="shared" si="21"/>
        <v>8.3971377584595732</v>
      </c>
      <c r="J51" s="162" t="e">
        <f t="shared" si="21"/>
        <v>#DIV/0!</v>
      </c>
      <c r="K51" s="164">
        <f t="shared" si="21"/>
        <v>1</v>
      </c>
      <c r="L51" s="164">
        <f t="shared" si="21"/>
        <v>5.3792612389096677</v>
      </c>
      <c r="M51" s="163" t="e">
        <f t="shared" si="21"/>
        <v>#DIV/0!</v>
      </c>
      <c r="N51" s="169" t="e">
        <f t="shared" ref="N51" si="22">MAX(8*N52/N30,1)</f>
        <v>#DIV/0!</v>
      </c>
      <c r="O51" s="172" t="e">
        <f t="shared" ref="O51" si="23">MAX(8*O52/O30,1)</f>
        <v>#DIV/0!</v>
      </c>
      <c r="P51" s="172" t="e">
        <f t="shared" ref="P51" si="24">MAX(8*P52/P30,1)</f>
        <v>#DIV/0!</v>
      </c>
      <c r="Q51" s="170" t="e">
        <f t="shared" ref="Q51" si="25">MAX(8*Q52/Q30,1)</f>
        <v>#DIV/0!</v>
      </c>
      <c r="R51" s="169" t="e">
        <f t="shared" ref="R51" si="26">MAX(8*R52/R30,1)</f>
        <v>#DIV/0!</v>
      </c>
      <c r="S51" s="172" t="e">
        <f t="shared" ref="S51" si="27">MAX(8*S52/S30,1)</f>
        <v>#DIV/0!</v>
      </c>
      <c r="T51" s="172" t="e">
        <f t="shared" ref="T51" si="28">MAX(8*T52/T30,1)</f>
        <v>#DIV/0!</v>
      </c>
      <c r="U51" s="170" t="e">
        <f t="shared" ref="U51" si="29">MAX(8*U52/U30,1)</f>
        <v>#DIV/0!</v>
      </c>
      <c r="V51" s="169" t="e">
        <f t="shared" ref="V51" si="30">MAX(8*V52/V30,1)</f>
        <v>#DIV/0!</v>
      </c>
      <c r="W51" s="172" t="e">
        <f t="shared" ref="W51" si="31">MAX(8*W52/W30,1)</f>
        <v>#DIV/0!</v>
      </c>
      <c r="X51" s="172" t="e">
        <f t="shared" ref="X51" si="32">MAX(8*X52/X30,1)</f>
        <v>#DIV/0!</v>
      </c>
      <c r="Y51" s="170" t="e">
        <f t="shared" ref="Y51" si="33">MAX(8*Y52/Y30,1)</f>
        <v>#DIV/0!</v>
      </c>
      <c r="Z51" s="169" t="e">
        <f t="shared" ref="Z51" si="34">MAX(8*Z52/Z30,1)</f>
        <v>#DIV/0!</v>
      </c>
      <c r="AA51" s="172" t="e">
        <f t="shared" ref="AA51" si="35">MAX(8*AA52/AA30,1)</f>
        <v>#DIV/0!</v>
      </c>
      <c r="AB51" s="172" t="e">
        <f t="shared" ref="AB51" si="36">MAX(8*AB52/AB30,1)</f>
        <v>#DIV/0!</v>
      </c>
      <c r="AC51" s="170" t="e">
        <f t="shared" ref="AC51" si="37">MAX(8*AC52/AC30,1)</f>
        <v>#DIV/0!</v>
      </c>
      <c r="AD51" s="169" t="e">
        <f t="shared" ref="AD51" si="38">MAX(8*AD52/AD30,1)</f>
        <v>#DIV/0!</v>
      </c>
      <c r="AE51" s="172" t="e">
        <f t="shared" ref="AE51" si="39">MAX(8*AE52/AE30,1)</f>
        <v>#DIV/0!</v>
      </c>
      <c r="AF51" s="172" t="e">
        <f t="shared" ref="AF51" si="40">MAX(8*AF52/AF30,1)</f>
        <v>#DIV/0!</v>
      </c>
      <c r="AG51" s="170" t="e">
        <f t="shared" ref="AG51" si="41">MAX(8*AG52/AG30,1)</f>
        <v>#DIV/0!</v>
      </c>
      <c r="AH51" s="169" t="e">
        <f t="shared" ref="AH51" si="42">MAX(8*AH52/AH30,1)</f>
        <v>#DIV/0!</v>
      </c>
      <c r="AI51" s="172" t="e">
        <f t="shared" ref="AI51" si="43">MAX(8*AI52/AI30,1)</f>
        <v>#DIV/0!</v>
      </c>
      <c r="AJ51" s="172" t="e">
        <f t="shared" ref="AJ51" si="44">MAX(8*AJ52/AJ30,1)</f>
        <v>#DIV/0!</v>
      </c>
      <c r="AK51" s="170" t="e">
        <f t="shared" ref="AK51" si="45">MAX(8*AK52/AK30,1)</f>
        <v>#DIV/0!</v>
      </c>
      <c r="AL51" s="169" t="e">
        <f t="shared" ref="AL51" si="46">MAX(8*AL52/AL30,1)</f>
        <v>#DIV/0!</v>
      </c>
      <c r="AM51" s="172" t="e">
        <f t="shared" ref="AM51" si="47">MAX(8*AM52/AM30,1)</f>
        <v>#DIV/0!</v>
      </c>
      <c r="AN51" s="172" t="e">
        <f t="shared" ref="AN51" si="48">MAX(8*AN52/AN30,1)</f>
        <v>#DIV/0!</v>
      </c>
      <c r="AO51" s="170" t="e">
        <f t="shared" ref="AO51" si="49">MAX(8*AO52/AO30,1)</f>
        <v>#DIV/0!</v>
      </c>
      <c r="AP51" s="169" t="e">
        <f t="shared" ref="AP51" si="50">MAX(8*AP52/AP30,1)</f>
        <v>#DIV/0!</v>
      </c>
      <c r="AQ51" s="172" t="e">
        <f t="shared" ref="AQ51" si="51">MAX(8*AQ52/AQ30,1)</f>
        <v>#DIV/0!</v>
      </c>
      <c r="AR51" s="172" t="e">
        <f t="shared" ref="AR51" si="52">MAX(8*AR52/AR30,1)</f>
        <v>#DIV/0!</v>
      </c>
      <c r="AS51" s="170" t="e">
        <f t="shared" ref="AS51" si="53">MAX(8*AS52/AS30,1)</f>
        <v>#DIV/0!</v>
      </c>
      <c r="AT51" s="169" t="e">
        <f t="shared" ref="AT51" si="54">MAX(8*AT52/AT30,1)</f>
        <v>#DIV/0!</v>
      </c>
      <c r="AU51" s="172" t="e">
        <f t="shared" ref="AU51" si="55">MAX(8*AU52/AU30,1)</f>
        <v>#DIV/0!</v>
      </c>
      <c r="AV51" s="172" t="e">
        <f t="shared" ref="AV51" si="56">MAX(8*AV52/AV30,1)</f>
        <v>#DIV/0!</v>
      </c>
      <c r="AW51" s="170" t="e">
        <f t="shared" ref="AW51" si="57">MAX(8*AW52/AW30,1)</f>
        <v>#DIV/0!</v>
      </c>
      <c r="AX51" s="169" t="e">
        <f t="shared" ref="AX51" si="58">MAX(8*AX52/AX30,1)</f>
        <v>#DIV/0!</v>
      </c>
      <c r="AY51" s="172" t="e">
        <f t="shared" ref="AY51" si="59">MAX(8*AY52/AY30,1)</f>
        <v>#DIV/0!</v>
      </c>
      <c r="AZ51" s="172" t="e">
        <f t="shared" ref="AZ51" si="60">MAX(8*AZ52/AZ30,1)</f>
        <v>#DIV/0!</v>
      </c>
      <c r="BA51" s="170" t="e">
        <f t="shared" ref="BA51" si="61">MAX(8*BA52/BA30,1)</f>
        <v>#DIV/0!</v>
      </c>
      <c r="BB51" s="169" t="e">
        <f t="shared" ref="BB51" si="62">MAX(8*BB52/BB30,1)</f>
        <v>#DIV/0!</v>
      </c>
      <c r="BC51" s="172" t="e">
        <f t="shared" ref="BC51" si="63">MAX(8*BC52/BC30,1)</f>
        <v>#DIV/0!</v>
      </c>
      <c r="BD51" s="172" t="e">
        <f t="shared" ref="BD51" si="64">MAX(8*BD52/BD30,1)</f>
        <v>#DIV/0!</v>
      </c>
      <c r="BE51" s="170" t="e">
        <f t="shared" ref="BE51" si="65">MAX(8*BE52/BE30,1)</f>
        <v>#DIV/0!</v>
      </c>
      <c r="BF51" s="169" t="e">
        <f t="shared" ref="BF51" si="66">MAX(8*BF52/BF30,1)</f>
        <v>#DIV/0!</v>
      </c>
      <c r="BG51" s="172" t="e">
        <f t="shared" ref="BG51" si="67">MAX(8*BG52/BG30,1)</f>
        <v>#DIV/0!</v>
      </c>
      <c r="BH51" s="172" t="e">
        <f t="shared" ref="BH51" si="68">MAX(8*BH52/BH30,1)</f>
        <v>#DIV/0!</v>
      </c>
      <c r="BI51" s="170" t="e">
        <f t="shared" ref="BI51" si="69">MAX(8*BI52/BI30,1)</f>
        <v>#DIV/0!</v>
      </c>
      <c r="BJ51" s="169" t="e">
        <f t="shared" ref="BJ51" si="70">MAX(8*BJ52/BJ30,1)</f>
        <v>#DIV/0!</v>
      </c>
      <c r="BK51" s="172" t="e">
        <f t="shared" ref="BK51" si="71">MAX(8*BK52/BK30,1)</f>
        <v>#DIV/0!</v>
      </c>
      <c r="BL51" s="172" t="e">
        <f t="shared" ref="BL51" si="72">MAX(8*BL52/BL30,1)</f>
        <v>#DIV/0!</v>
      </c>
      <c r="BM51" s="170" t="e">
        <f t="shared" ref="BM51" si="73">MAX(8*BM52/BM30,1)</f>
        <v>#DIV/0!</v>
      </c>
      <c r="BN51" s="169" t="e">
        <f t="shared" ref="BN51" si="74">MAX(8*BN52/BN30,1)</f>
        <v>#DIV/0!</v>
      </c>
      <c r="BO51" s="172" t="e">
        <f t="shared" ref="BO51" si="75">MAX(8*BO52/BO30,1)</f>
        <v>#DIV/0!</v>
      </c>
      <c r="BP51" s="172" t="e">
        <f t="shared" ref="BP51" si="76">MAX(8*BP52/BP30,1)</f>
        <v>#DIV/0!</v>
      </c>
      <c r="BQ51" s="170" t="e">
        <f t="shared" ref="BQ51" si="77">MAX(8*BQ52/BQ30,1)</f>
        <v>#DIV/0!</v>
      </c>
      <c r="BR51" s="169" t="e">
        <f t="shared" ref="BR51" si="78">MAX(8*BR52/BR30,1)</f>
        <v>#DIV/0!</v>
      </c>
      <c r="BS51" s="172" t="e">
        <f t="shared" ref="BS51" si="79">MAX(8*BS52/BS30,1)</f>
        <v>#DIV/0!</v>
      </c>
      <c r="BT51" s="172" t="e">
        <f t="shared" ref="BT51" si="80">MAX(8*BT52/BT30,1)</f>
        <v>#DIV/0!</v>
      </c>
      <c r="BU51" s="170" t="e">
        <f t="shared" ref="BU51" si="81">MAX(8*BU52/BU30,1)</f>
        <v>#DIV/0!</v>
      </c>
      <c r="BV51" s="169" t="e">
        <f t="shared" ref="BV51" si="82">MAX(8*BV52/BV30,1)</f>
        <v>#DIV/0!</v>
      </c>
      <c r="BW51" s="172" t="e">
        <f t="shared" ref="BW51" si="83">MAX(8*BW52/BW30,1)</f>
        <v>#DIV/0!</v>
      </c>
      <c r="BX51" s="172" t="e">
        <f t="shared" ref="BX51" si="84">MAX(8*BX52/BX30,1)</f>
        <v>#DIV/0!</v>
      </c>
      <c r="BY51" s="170" t="e">
        <f t="shared" ref="BY51" si="85">MAX(8*BY52/BY30,1)</f>
        <v>#DIV/0!</v>
      </c>
      <c r="BZ51" s="169" t="e">
        <f t="shared" ref="BZ51" si="86">MAX(8*BZ52/BZ30,1)</f>
        <v>#DIV/0!</v>
      </c>
      <c r="CA51" s="172" t="e">
        <f t="shared" ref="CA51" si="87">MAX(8*CA52/CA30,1)</f>
        <v>#DIV/0!</v>
      </c>
      <c r="CB51" s="172" t="e">
        <f t="shared" ref="CB51" si="88">MAX(8*CB52/CB30,1)</f>
        <v>#DIV/0!</v>
      </c>
      <c r="CC51" s="170" t="e">
        <f t="shared" ref="CC51" si="89">MAX(8*CC52/CC30,1)</f>
        <v>#DIV/0!</v>
      </c>
      <c r="CD51" s="169" t="e">
        <f t="shared" ref="CD51" si="90">MAX(8*CD52/CD30,1)</f>
        <v>#DIV/0!</v>
      </c>
      <c r="CE51" s="172" t="e">
        <f t="shared" ref="CE51" si="91">MAX(8*CE52/CE30,1)</f>
        <v>#DIV/0!</v>
      </c>
      <c r="CF51" s="172" t="e">
        <f t="shared" ref="CF51" si="92">MAX(8*CF52/CF30,1)</f>
        <v>#DIV/0!</v>
      </c>
      <c r="CG51" s="170" t="e">
        <f t="shared" ref="CG51" si="93">MAX(8*CG52/CG30,1)</f>
        <v>#DIV/0!</v>
      </c>
      <c r="CH51" s="169" t="e">
        <f t="shared" ref="CH51" si="94">MAX(8*CH52/CH30,1)</f>
        <v>#DIV/0!</v>
      </c>
      <c r="CI51" s="172" t="e">
        <f t="shared" ref="CI51" si="95">MAX(8*CI52/CI30,1)</f>
        <v>#DIV/0!</v>
      </c>
      <c r="CJ51" s="172" t="e">
        <f t="shared" ref="CJ51" si="96">MAX(8*CJ52/CJ30,1)</f>
        <v>#DIV/0!</v>
      </c>
      <c r="CK51" s="170" t="e">
        <f t="shared" ref="CK51" si="97">MAX(8*CK52/CK30,1)</f>
        <v>#DIV/0!</v>
      </c>
      <c r="CL51" s="49"/>
      <c r="CM51" s="28"/>
    </row>
    <row r="52" spans="2:91" ht="14.25" x14ac:dyDescent="0.25">
      <c r="B52" s="55"/>
      <c r="C52" s="10" t="s">
        <v>278</v>
      </c>
      <c r="D52" s="93" t="s">
        <v>288</v>
      </c>
      <c r="E52" s="125">
        <f>(E50*EXP(E50*E48)+E49*EXP(-E49*E48))/((E50+E49)*EXP((E50-E49)*E48))</f>
        <v>3.5955451445432147</v>
      </c>
      <c r="F52" s="162">
        <f t="shared" ref="F52:M52" si="98">(F50*EXP(F50*F48)+F49*EXP(-F49*F48))/((F50+F49)*EXP((F50-F49)*F48))</f>
        <v>1443.0513442171218</v>
      </c>
      <c r="G52" s="164">
        <f t="shared" si="98"/>
        <v>1443.0513442171218</v>
      </c>
      <c r="H52" s="164">
        <f t="shared" si="98"/>
        <v>12.595706637689361</v>
      </c>
      <c r="I52" s="163">
        <f t="shared" si="98"/>
        <v>12.595706637689361</v>
      </c>
      <c r="J52" s="162" t="e">
        <f t="shared" si="98"/>
        <v>#DIV/0!</v>
      </c>
      <c r="K52" s="164">
        <f t="shared" si="98"/>
        <v>1.0457079977469688</v>
      </c>
      <c r="L52" s="164">
        <f t="shared" si="98"/>
        <v>8.068891858364502</v>
      </c>
      <c r="M52" s="163">
        <f t="shared" si="98"/>
        <v>1</v>
      </c>
      <c r="N52" s="169" t="e">
        <f t="shared" ref="N52:BY52" si="99">(N50*EXP(N50*N48)+N49*EXP(-N49*N48))/((N50+N49)*EXP((N50-N49)*N48))</f>
        <v>#DIV/0!</v>
      </c>
      <c r="O52" s="172" t="e">
        <f t="shared" si="99"/>
        <v>#DIV/0!</v>
      </c>
      <c r="P52" s="172" t="e">
        <f t="shared" si="99"/>
        <v>#DIV/0!</v>
      </c>
      <c r="Q52" s="170" t="e">
        <f t="shared" si="99"/>
        <v>#DIV/0!</v>
      </c>
      <c r="R52" s="169" t="e">
        <f t="shared" si="99"/>
        <v>#DIV/0!</v>
      </c>
      <c r="S52" s="172" t="e">
        <f t="shared" si="99"/>
        <v>#DIV/0!</v>
      </c>
      <c r="T52" s="172" t="e">
        <f t="shared" si="99"/>
        <v>#DIV/0!</v>
      </c>
      <c r="U52" s="170" t="e">
        <f t="shared" si="99"/>
        <v>#DIV/0!</v>
      </c>
      <c r="V52" s="169" t="e">
        <f t="shared" si="99"/>
        <v>#DIV/0!</v>
      </c>
      <c r="W52" s="172" t="e">
        <f t="shared" si="99"/>
        <v>#DIV/0!</v>
      </c>
      <c r="X52" s="172" t="e">
        <f t="shared" si="99"/>
        <v>#DIV/0!</v>
      </c>
      <c r="Y52" s="170" t="e">
        <f t="shared" si="99"/>
        <v>#DIV/0!</v>
      </c>
      <c r="Z52" s="169" t="e">
        <f t="shared" si="99"/>
        <v>#DIV/0!</v>
      </c>
      <c r="AA52" s="172" t="e">
        <f t="shared" si="99"/>
        <v>#DIV/0!</v>
      </c>
      <c r="AB52" s="172" t="e">
        <f t="shared" si="99"/>
        <v>#DIV/0!</v>
      </c>
      <c r="AC52" s="170" t="e">
        <f t="shared" si="99"/>
        <v>#DIV/0!</v>
      </c>
      <c r="AD52" s="169" t="e">
        <f t="shared" si="99"/>
        <v>#DIV/0!</v>
      </c>
      <c r="AE52" s="172" t="e">
        <f t="shared" si="99"/>
        <v>#DIV/0!</v>
      </c>
      <c r="AF52" s="172" t="e">
        <f t="shared" si="99"/>
        <v>#DIV/0!</v>
      </c>
      <c r="AG52" s="170" t="e">
        <f t="shared" si="99"/>
        <v>#DIV/0!</v>
      </c>
      <c r="AH52" s="169" t="e">
        <f t="shared" si="99"/>
        <v>#DIV/0!</v>
      </c>
      <c r="AI52" s="172" t="e">
        <f t="shared" si="99"/>
        <v>#DIV/0!</v>
      </c>
      <c r="AJ52" s="172" t="e">
        <f t="shared" si="99"/>
        <v>#DIV/0!</v>
      </c>
      <c r="AK52" s="170" t="e">
        <f t="shared" si="99"/>
        <v>#DIV/0!</v>
      </c>
      <c r="AL52" s="169" t="e">
        <f t="shared" si="99"/>
        <v>#DIV/0!</v>
      </c>
      <c r="AM52" s="172" t="e">
        <f t="shared" si="99"/>
        <v>#DIV/0!</v>
      </c>
      <c r="AN52" s="172" t="e">
        <f t="shared" si="99"/>
        <v>#DIV/0!</v>
      </c>
      <c r="AO52" s="170" t="e">
        <f t="shared" si="99"/>
        <v>#DIV/0!</v>
      </c>
      <c r="AP52" s="169" t="e">
        <f t="shared" si="99"/>
        <v>#DIV/0!</v>
      </c>
      <c r="AQ52" s="172" t="e">
        <f t="shared" si="99"/>
        <v>#DIV/0!</v>
      </c>
      <c r="AR52" s="172" t="e">
        <f t="shared" si="99"/>
        <v>#DIV/0!</v>
      </c>
      <c r="AS52" s="170" t="e">
        <f t="shared" si="99"/>
        <v>#DIV/0!</v>
      </c>
      <c r="AT52" s="169" t="e">
        <f t="shared" si="99"/>
        <v>#DIV/0!</v>
      </c>
      <c r="AU52" s="172" t="e">
        <f t="shared" si="99"/>
        <v>#DIV/0!</v>
      </c>
      <c r="AV52" s="172" t="e">
        <f t="shared" si="99"/>
        <v>#DIV/0!</v>
      </c>
      <c r="AW52" s="170" t="e">
        <f t="shared" si="99"/>
        <v>#DIV/0!</v>
      </c>
      <c r="AX52" s="169" t="e">
        <f t="shared" si="99"/>
        <v>#DIV/0!</v>
      </c>
      <c r="AY52" s="172" t="e">
        <f t="shared" si="99"/>
        <v>#DIV/0!</v>
      </c>
      <c r="AZ52" s="172" t="e">
        <f t="shared" si="99"/>
        <v>#DIV/0!</v>
      </c>
      <c r="BA52" s="170" t="e">
        <f t="shared" si="99"/>
        <v>#DIV/0!</v>
      </c>
      <c r="BB52" s="169" t="e">
        <f t="shared" si="99"/>
        <v>#DIV/0!</v>
      </c>
      <c r="BC52" s="172" t="e">
        <f t="shared" si="99"/>
        <v>#DIV/0!</v>
      </c>
      <c r="BD52" s="172" t="e">
        <f t="shared" si="99"/>
        <v>#DIV/0!</v>
      </c>
      <c r="BE52" s="170" t="e">
        <f t="shared" si="99"/>
        <v>#DIV/0!</v>
      </c>
      <c r="BF52" s="169" t="e">
        <f t="shared" si="99"/>
        <v>#DIV/0!</v>
      </c>
      <c r="BG52" s="172" t="e">
        <f t="shared" si="99"/>
        <v>#DIV/0!</v>
      </c>
      <c r="BH52" s="172" t="e">
        <f t="shared" si="99"/>
        <v>#DIV/0!</v>
      </c>
      <c r="BI52" s="170" t="e">
        <f t="shared" si="99"/>
        <v>#DIV/0!</v>
      </c>
      <c r="BJ52" s="169" t="e">
        <f t="shared" si="99"/>
        <v>#DIV/0!</v>
      </c>
      <c r="BK52" s="172" t="e">
        <f t="shared" si="99"/>
        <v>#DIV/0!</v>
      </c>
      <c r="BL52" s="172" t="e">
        <f t="shared" si="99"/>
        <v>#DIV/0!</v>
      </c>
      <c r="BM52" s="170" t="e">
        <f t="shared" si="99"/>
        <v>#DIV/0!</v>
      </c>
      <c r="BN52" s="169" t="e">
        <f t="shared" si="99"/>
        <v>#DIV/0!</v>
      </c>
      <c r="BO52" s="172" t="e">
        <f t="shared" si="99"/>
        <v>#DIV/0!</v>
      </c>
      <c r="BP52" s="172" t="e">
        <f t="shared" si="99"/>
        <v>#DIV/0!</v>
      </c>
      <c r="BQ52" s="170" t="e">
        <f t="shared" si="99"/>
        <v>#DIV/0!</v>
      </c>
      <c r="BR52" s="169" t="e">
        <f t="shared" si="99"/>
        <v>#DIV/0!</v>
      </c>
      <c r="BS52" s="172" t="e">
        <f t="shared" si="99"/>
        <v>#DIV/0!</v>
      </c>
      <c r="BT52" s="172" t="e">
        <f t="shared" si="99"/>
        <v>#DIV/0!</v>
      </c>
      <c r="BU52" s="170" t="e">
        <f t="shared" si="99"/>
        <v>#DIV/0!</v>
      </c>
      <c r="BV52" s="169" t="e">
        <f t="shared" si="99"/>
        <v>#DIV/0!</v>
      </c>
      <c r="BW52" s="172" t="e">
        <f t="shared" si="99"/>
        <v>#DIV/0!</v>
      </c>
      <c r="BX52" s="172" t="e">
        <f t="shared" si="99"/>
        <v>#DIV/0!</v>
      </c>
      <c r="BY52" s="170" t="e">
        <f t="shared" si="99"/>
        <v>#DIV/0!</v>
      </c>
      <c r="BZ52" s="169" t="e">
        <f t="shared" ref="BZ52:CK52" si="100">(BZ50*EXP(BZ50*BZ48)+BZ49*EXP(-BZ49*BZ48))/((BZ50+BZ49)*EXP((BZ50-BZ49)*BZ48))</f>
        <v>#DIV/0!</v>
      </c>
      <c r="CA52" s="172" t="e">
        <f t="shared" si="100"/>
        <v>#DIV/0!</v>
      </c>
      <c r="CB52" s="172" t="e">
        <f t="shared" si="100"/>
        <v>#DIV/0!</v>
      </c>
      <c r="CC52" s="170" t="e">
        <f t="shared" si="100"/>
        <v>#DIV/0!</v>
      </c>
      <c r="CD52" s="169" t="e">
        <f t="shared" si="100"/>
        <v>#DIV/0!</v>
      </c>
      <c r="CE52" s="172" t="e">
        <f t="shared" si="100"/>
        <v>#DIV/0!</v>
      </c>
      <c r="CF52" s="172" t="e">
        <f t="shared" si="100"/>
        <v>#DIV/0!</v>
      </c>
      <c r="CG52" s="170" t="e">
        <f t="shared" si="100"/>
        <v>#DIV/0!</v>
      </c>
      <c r="CH52" s="169" t="e">
        <f t="shared" si="100"/>
        <v>#DIV/0!</v>
      </c>
      <c r="CI52" s="172" t="e">
        <f t="shared" si="100"/>
        <v>#DIV/0!</v>
      </c>
      <c r="CJ52" s="172" t="e">
        <f t="shared" si="100"/>
        <v>#DIV/0!</v>
      </c>
      <c r="CK52" s="170" t="e">
        <f t="shared" si="100"/>
        <v>#DIV/0!</v>
      </c>
      <c r="CL52" s="49"/>
      <c r="CM52" s="28"/>
    </row>
    <row r="53" spans="2:91" ht="14.25" x14ac:dyDescent="0.25">
      <c r="B53" s="55"/>
      <c r="C53" s="10" t="s">
        <v>280</v>
      </c>
      <c r="D53" s="93" t="s">
        <v>289</v>
      </c>
      <c r="E53" s="125">
        <f t="shared" ref="E53:L53" si="101">E48+2*(E51-1)</f>
        <v>21.222631621295719</v>
      </c>
      <c r="F53" s="162">
        <f>F48+2*(F51-1)</f>
        <v>1945.6398875275911</v>
      </c>
      <c r="G53" s="164">
        <f t="shared" si="101"/>
        <v>1945.6398875275911</v>
      </c>
      <c r="H53" s="164">
        <f t="shared" si="101"/>
        <v>33.794275516919143</v>
      </c>
      <c r="I53" s="163">
        <f t="shared" si="101"/>
        <v>33.794275516919143</v>
      </c>
      <c r="J53" s="162" t="e">
        <f t="shared" si="101"/>
        <v>#DIV/0!</v>
      </c>
      <c r="K53" s="164">
        <f t="shared" si="101"/>
        <v>12.142857142857142</v>
      </c>
      <c r="L53" s="164">
        <f t="shared" si="101"/>
        <v>27.758522477819334</v>
      </c>
      <c r="M53" s="163" t="e">
        <f>M48+2*(M51-1)</f>
        <v>#DIV/0!</v>
      </c>
      <c r="N53" s="169" t="e">
        <f t="shared" ref="N53:Q53" si="102">N48+2*(N51-1)</f>
        <v>#DIV/0!</v>
      </c>
      <c r="O53" s="172" t="e">
        <f t="shared" si="102"/>
        <v>#DIV/0!</v>
      </c>
      <c r="P53" s="172" t="e">
        <f t="shared" si="102"/>
        <v>#DIV/0!</v>
      </c>
      <c r="Q53" s="170" t="e">
        <f>Q48+2*(Q51-1)</f>
        <v>#DIV/0!</v>
      </c>
      <c r="R53" s="169" t="e">
        <f t="shared" ref="R53:U53" si="103">R48+2*(R51-1)</f>
        <v>#DIV/0!</v>
      </c>
      <c r="S53" s="172" t="e">
        <f t="shared" si="103"/>
        <v>#DIV/0!</v>
      </c>
      <c r="T53" s="172" t="e">
        <f t="shared" si="103"/>
        <v>#DIV/0!</v>
      </c>
      <c r="U53" s="170" t="e">
        <f>U48+2*(U51-1)</f>
        <v>#DIV/0!</v>
      </c>
      <c r="V53" s="169" t="e">
        <f t="shared" ref="V53:Y53" si="104">V48+2*(V51-1)</f>
        <v>#DIV/0!</v>
      </c>
      <c r="W53" s="172" t="e">
        <f t="shared" si="104"/>
        <v>#DIV/0!</v>
      </c>
      <c r="X53" s="172" t="e">
        <f t="shared" si="104"/>
        <v>#DIV/0!</v>
      </c>
      <c r="Y53" s="170" t="e">
        <f>Y48+2*(Y51-1)</f>
        <v>#DIV/0!</v>
      </c>
      <c r="Z53" s="169" t="e">
        <f t="shared" ref="Z53:AC53" si="105">Z48+2*(Z51-1)</f>
        <v>#DIV/0!</v>
      </c>
      <c r="AA53" s="172" t="e">
        <f t="shared" si="105"/>
        <v>#DIV/0!</v>
      </c>
      <c r="AB53" s="172" t="e">
        <f t="shared" si="105"/>
        <v>#DIV/0!</v>
      </c>
      <c r="AC53" s="170" t="e">
        <f>AC48+2*(AC51-1)</f>
        <v>#DIV/0!</v>
      </c>
      <c r="AD53" s="169" t="e">
        <f t="shared" ref="AD53:AG53" si="106">AD48+2*(AD51-1)</f>
        <v>#DIV/0!</v>
      </c>
      <c r="AE53" s="172" t="e">
        <f t="shared" si="106"/>
        <v>#DIV/0!</v>
      </c>
      <c r="AF53" s="172" t="e">
        <f t="shared" si="106"/>
        <v>#DIV/0!</v>
      </c>
      <c r="AG53" s="170" t="e">
        <f>AG48+2*(AG51-1)</f>
        <v>#DIV/0!</v>
      </c>
      <c r="AH53" s="169" t="e">
        <f t="shared" ref="AH53:AK53" si="107">AH48+2*(AH51-1)</f>
        <v>#DIV/0!</v>
      </c>
      <c r="AI53" s="172" t="e">
        <f t="shared" si="107"/>
        <v>#DIV/0!</v>
      </c>
      <c r="AJ53" s="172" t="e">
        <f t="shared" si="107"/>
        <v>#DIV/0!</v>
      </c>
      <c r="AK53" s="170" t="e">
        <f>AK48+2*(AK51-1)</f>
        <v>#DIV/0!</v>
      </c>
      <c r="AL53" s="169" t="e">
        <f t="shared" ref="AL53:AO53" si="108">AL48+2*(AL51-1)</f>
        <v>#DIV/0!</v>
      </c>
      <c r="AM53" s="172" t="e">
        <f t="shared" si="108"/>
        <v>#DIV/0!</v>
      </c>
      <c r="AN53" s="172" t="e">
        <f t="shared" si="108"/>
        <v>#DIV/0!</v>
      </c>
      <c r="AO53" s="170" t="e">
        <f>AO48+2*(AO51-1)</f>
        <v>#DIV/0!</v>
      </c>
      <c r="AP53" s="169" t="e">
        <f t="shared" ref="AP53:AS53" si="109">AP48+2*(AP51-1)</f>
        <v>#DIV/0!</v>
      </c>
      <c r="AQ53" s="172" t="e">
        <f t="shared" si="109"/>
        <v>#DIV/0!</v>
      </c>
      <c r="AR53" s="172" t="e">
        <f t="shared" si="109"/>
        <v>#DIV/0!</v>
      </c>
      <c r="AS53" s="170" t="e">
        <f>AS48+2*(AS51-1)</f>
        <v>#DIV/0!</v>
      </c>
      <c r="AT53" s="169" t="e">
        <f t="shared" ref="AT53:AW53" si="110">AT48+2*(AT51-1)</f>
        <v>#DIV/0!</v>
      </c>
      <c r="AU53" s="172" t="e">
        <f t="shared" si="110"/>
        <v>#DIV/0!</v>
      </c>
      <c r="AV53" s="172" t="e">
        <f t="shared" si="110"/>
        <v>#DIV/0!</v>
      </c>
      <c r="AW53" s="170" t="e">
        <f>AW48+2*(AW51-1)</f>
        <v>#DIV/0!</v>
      </c>
      <c r="AX53" s="169" t="e">
        <f t="shared" ref="AX53:BA53" si="111">AX48+2*(AX51-1)</f>
        <v>#DIV/0!</v>
      </c>
      <c r="AY53" s="172" t="e">
        <f t="shared" si="111"/>
        <v>#DIV/0!</v>
      </c>
      <c r="AZ53" s="172" t="e">
        <f t="shared" si="111"/>
        <v>#DIV/0!</v>
      </c>
      <c r="BA53" s="170" t="e">
        <f>BA48+2*(BA51-1)</f>
        <v>#DIV/0!</v>
      </c>
      <c r="BB53" s="169" t="e">
        <f t="shared" ref="BB53:BE53" si="112">BB48+2*(BB51-1)</f>
        <v>#DIV/0!</v>
      </c>
      <c r="BC53" s="172" t="e">
        <f t="shared" si="112"/>
        <v>#DIV/0!</v>
      </c>
      <c r="BD53" s="172" t="e">
        <f t="shared" si="112"/>
        <v>#DIV/0!</v>
      </c>
      <c r="BE53" s="170" t="e">
        <f>BE48+2*(BE51-1)</f>
        <v>#DIV/0!</v>
      </c>
      <c r="BF53" s="169" t="e">
        <f t="shared" ref="BF53:BI53" si="113">BF48+2*(BF51-1)</f>
        <v>#DIV/0!</v>
      </c>
      <c r="BG53" s="172" t="e">
        <f t="shared" si="113"/>
        <v>#DIV/0!</v>
      </c>
      <c r="BH53" s="172" t="e">
        <f t="shared" si="113"/>
        <v>#DIV/0!</v>
      </c>
      <c r="BI53" s="170" t="e">
        <f>BI48+2*(BI51-1)</f>
        <v>#DIV/0!</v>
      </c>
      <c r="BJ53" s="169" t="e">
        <f t="shared" ref="BJ53:BM53" si="114">BJ48+2*(BJ51-1)</f>
        <v>#DIV/0!</v>
      </c>
      <c r="BK53" s="172" t="e">
        <f t="shared" si="114"/>
        <v>#DIV/0!</v>
      </c>
      <c r="BL53" s="172" t="e">
        <f t="shared" si="114"/>
        <v>#DIV/0!</v>
      </c>
      <c r="BM53" s="170" t="e">
        <f>BM48+2*(BM51-1)</f>
        <v>#DIV/0!</v>
      </c>
      <c r="BN53" s="169" t="e">
        <f t="shared" ref="BN53:BQ53" si="115">BN48+2*(BN51-1)</f>
        <v>#DIV/0!</v>
      </c>
      <c r="BO53" s="172" t="e">
        <f t="shared" si="115"/>
        <v>#DIV/0!</v>
      </c>
      <c r="BP53" s="172" t="e">
        <f t="shared" si="115"/>
        <v>#DIV/0!</v>
      </c>
      <c r="BQ53" s="170" t="e">
        <f>BQ48+2*(BQ51-1)</f>
        <v>#DIV/0!</v>
      </c>
      <c r="BR53" s="169" t="e">
        <f t="shared" ref="BR53:BU53" si="116">BR48+2*(BR51-1)</f>
        <v>#DIV/0!</v>
      </c>
      <c r="BS53" s="172" t="e">
        <f t="shared" si="116"/>
        <v>#DIV/0!</v>
      </c>
      <c r="BT53" s="172" t="e">
        <f t="shared" si="116"/>
        <v>#DIV/0!</v>
      </c>
      <c r="BU53" s="170" t="e">
        <f>BU48+2*(BU51-1)</f>
        <v>#DIV/0!</v>
      </c>
      <c r="BV53" s="169" t="e">
        <f t="shared" ref="BV53:BY53" si="117">BV48+2*(BV51-1)</f>
        <v>#DIV/0!</v>
      </c>
      <c r="BW53" s="172" t="e">
        <f t="shared" si="117"/>
        <v>#DIV/0!</v>
      </c>
      <c r="BX53" s="172" t="e">
        <f t="shared" si="117"/>
        <v>#DIV/0!</v>
      </c>
      <c r="BY53" s="170" t="e">
        <f>BY48+2*(BY51-1)</f>
        <v>#DIV/0!</v>
      </c>
      <c r="BZ53" s="169" t="e">
        <f t="shared" ref="BZ53:CC53" si="118">BZ48+2*(BZ51-1)</f>
        <v>#DIV/0!</v>
      </c>
      <c r="CA53" s="172" t="e">
        <f t="shared" si="118"/>
        <v>#DIV/0!</v>
      </c>
      <c r="CB53" s="172" t="e">
        <f t="shared" si="118"/>
        <v>#DIV/0!</v>
      </c>
      <c r="CC53" s="170" t="e">
        <f>CC48+2*(CC51-1)</f>
        <v>#DIV/0!</v>
      </c>
      <c r="CD53" s="169" t="e">
        <f t="shared" ref="CD53:CG53" si="119">CD48+2*(CD51-1)</f>
        <v>#DIV/0!</v>
      </c>
      <c r="CE53" s="172" t="e">
        <f t="shared" si="119"/>
        <v>#DIV/0!</v>
      </c>
      <c r="CF53" s="172" t="e">
        <f t="shared" si="119"/>
        <v>#DIV/0!</v>
      </c>
      <c r="CG53" s="170" t="e">
        <f>CG48+2*(CG51-1)</f>
        <v>#DIV/0!</v>
      </c>
      <c r="CH53" s="169" t="e">
        <f t="shared" ref="CH53:CK53" si="120">CH48+2*(CH51-1)</f>
        <v>#DIV/0!</v>
      </c>
      <c r="CI53" s="172" t="e">
        <f t="shared" si="120"/>
        <v>#DIV/0!</v>
      </c>
      <c r="CJ53" s="172" t="e">
        <f t="shared" si="120"/>
        <v>#DIV/0!</v>
      </c>
      <c r="CK53" s="170" t="e">
        <f>CK48+2*(CK51-1)</f>
        <v>#DIV/0!</v>
      </c>
      <c r="CL53" s="49"/>
      <c r="CM53" s="28"/>
    </row>
    <row r="54" spans="2:91" ht="14.25" x14ac:dyDescent="0.25">
      <c r="B54" s="55"/>
      <c r="C54" s="10" t="s">
        <v>296</v>
      </c>
      <c r="D54" s="93" t="s">
        <v>291</v>
      </c>
      <c r="E54" s="125">
        <f>1-EXP(-E53*E49/E9)</f>
        <v>0.58698704461988693</v>
      </c>
      <c r="F54" s="162">
        <f>1-EXP(-F53*F49/F9)</f>
        <v>1</v>
      </c>
      <c r="G54" s="164">
        <f>1-EXP(-G53*G49/G9)</f>
        <v>1</v>
      </c>
      <c r="H54" s="164">
        <f>1-EXP(-H53*H49/H9)</f>
        <v>0.88182757197896</v>
      </c>
      <c r="I54" s="163">
        <f>1-EXP(-I53*I49/I9)</f>
        <v>0.88182757197896</v>
      </c>
      <c r="J54" s="162" t="e">
        <f>1-EXP(-J53*J49/J9)</f>
        <v>#DIV/0!</v>
      </c>
      <c r="K54" s="164">
        <f>1-EXP(-K53*K49/K9)</f>
        <v>8.8585906325507557E-2</v>
      </c>
      <c r="L54" s="164">
        <f>1-EXP(-L53*L49/L9)</f>
        <v>0.78566444167620197</v>
      </c>
      <c r="M54" s="163" t="e">
        <f>1-EXP(-M53*M49/M9)</f>
        <v>#DIV/0!</v>
      </c>
      <c r="N54" s="169" t="e">
        <f>1-EXP(-N53*N49/N9)</f>
        <v>#DIV/0!</v>
      </c>
      <c r="O54" s="172" t="e">
        <f>1-EXP(-O53*O49/O9)</f>
        <v>#DIV/0!</v>
      </c>
      <c r="P54" s="172" t="e">
        <f>1-EXP(-P53*P49/P9)</f>
        <v>#DIV/0!</v>
      </c>
      <c r="Q54" s="170" t="e">
        <f>1-EXP(-Q53*Q49/Q9)</f>
        <v>#DIV/0!</v>
      </c>
      <c r="R54" s="169" t="e">
        <f>1-EXP(-R53*R49/R9)</f>
        <v>#DIV/0!</v>
      </c>
      <c r="S54" s="172" t="e">
        <f>1-EXP(-S53*S49/S9)</f>
        <v>#DIV/0!</v>
      </c>
      <c r="T54" s="172" t="e">
        <f>1-EXP(-T53*T49/T9)</f>
        <v>#DIV/0!</v>
      </c>
      <c r="U54" s="170" t="e">
        <f>1-EXP(-U53*U49/U9)</f>
        <v>#DIV/0!</v>
      </c>
      <c r="V54" s="169" t="e">
        <f>1-EXP(-V53*V49/V9)</f>
        <v>#DIV/0!</v>
      </c>
      <c r="W54" s="172" t="e">
        <f>1-EXP(-W53*W49/W9)</f>
        <v>#DIV/0!</v>
      </c>
      <c r="X54" s="172" t="e">
        <f>1-EXP(-X53*X49/X9)</f>
        <v>#DIV/0!</v>
      </c>
      <c r="Y54" s="170" t="e">
        <f>1-EXP(-Y53*Y49/Y9)</f>
        <v>#DIV/0!</v>
      </c>
      <c r="Z54" s="169" t="e">
        <f>1-EXP(-Z53*Z49/Z9)</f>
        <v>#DIV/0!</v>
      </c>
      <c r="AA54" s="172" t="e">
        <f>1-EXP(-AA53*AA49/AA9)</f>
        <v>#DIV/0!</v>
      </c>
      <c r="AB54" s="172" t="e">
        <f>1-EXP(-AB53*AB49/AB9)</f>
        <v>#DIV/0!</v>
      </c>
      <c r="AC54" s="170" t="e">
        <f>1-EXP(-AC53*AC49/AC9)</f>
        <v>#DIV/0!</v>
      </c>
      <c r="AD54" s="169" t="e">
        <f>1-EXP(-AD53*AD49/AD9)</f>
        <v>#DIV/0!</v>
      </c>
      <c r="AE54" s="172" t="e">
        <f>1-EXP(-AE53*AE49/AE9)</f>
        <v>#DIV/0!</v>
      </c>
      <c r="AF54" s="172" t="e">
        <f>1-EXP(-AF53*AF49/AF9)</f>
        <v>#DIV/0!</v>
      </c>
      <c r="AG54" s="170" t="e">
        <f>1-EXP(-AG53*AG49/AG9)</f>
        <v>#DIV/0!</v>
      </c>
      <c r="AH54" s="169" t="e">
        <f>1-EXP(-AH53*AH49/AH9)</f>
        <v>#DIV/0!</v>
      </c>
      <c r="AI54" s="172" t="e">
        <f>1-EXP(-AI53*AI49/AI9)</f>
        <v>#DIV/0!</v>
      </c>
      <c r="AJ54" s="172" t="e">
        <f>1-EXP(-AJ53*AJ49/AJ9)</f>
        <v>#DIV/0!</v>
      </c>
      <c r="AK54" s="170" t="e">
        <f>1-EXP(-AK53*AK49/AK9)</f>
        <v>#DIV/0!</v>
      </c>
      <c r="AL54" s="169" t="e">
        <f>1-EXP(-AL53*AL49/AL9)</f>
        <v>#DIV/0!</v>
      </c>
      <c r="AM54" s="172" t="e">
        <f>1-EXP(-AM53*AM49/AM9)</f>
        <v>#DIV/0!</v>
      </c>
      <c r="AN54" s="172" t="e">
        <f>1-EXP(-AN53*AN49/AN9)</f>
        <v>#DIV/0!</v>
      </c>
      <c r="AO54" s="170" t="e">
        <f>1-EXP(-AO53*AO49/AO9)</f>
        <v>#DIV/0!</v>
      </c>
      <c r="AP54" s="169" t="e">
        <f>1-EXP(-AP53*AP49/AP9)</f>
        <v>#DIV/0!</v>
      </c>
      <c r="AQ54" s="172" t="e">
        <f>1-EXP(-AQ53*AQ49/AQ9)</f>
        <v>#DIV/0!</v>
      </c>
      <c r="AR54" s="172" t="e">
        <f>1-EXP(-AR53*AR49/AR9)</f>
        <v>#DIV/0!</v>
      </c>
      <c r="AS54" s="170" t="e">
        <f>1-EXP(-AS53*AS49/AS9)</f>
        <v>#DIV/0!</v>
      </c>
      <c r="AT54" s="169" t="e">
        <f>1-EXP(-AT53*AT49/AT9)</f>
        <v>#DIV/0!</v>
      </c>
      <c r="AU54" s="172" t="e">
        <f>1-EXP(-AU53*AU49/AU9)</f>
        <v>#DIV/0!</v>
      </c>
      <c r="AV54" s="172" t="e">
        <f>1-EXP(-AV53*AV49/AV9)</f>
        <v>#DIV/0!</v>
      </c>
      <c r="AW54" s="170" t="e">
        <f>1-EXP(-AW53*AW49/AW9)</f>
        <v>#DIV/0!</v>
      </c>
      <c r="AX54" s="169" t="e">
        <f>1-EXP(-AX53*AX49/AX9)</f>
        <v>#DIV/0!</v>
      </c>
      <c r="AY54" s="172" t="e">
        <f>1-EXP(-AY53*AY49/AY9)</f>
        <v>#DIV/0!</v>
      </c>
      <c r="AZ54" s="172" t="e">
        <f>1-EXP(-AZ53*AZ49/AZ9)</f>
        <v>#DIV/0!</v>
      </c>
      <c r="BA54" s="170" t="e">
        <f>1-EXP(-BA53*BA49/BA9)</f>
        <v>#DIV/0!</v>
      </c>
      <c r="BB54" s="169" t="e">
        <f>1-EXP(-BB53*BB49/BB9)</f>
        <v>#DIV/0!</v>
      </c>
      <c r="BC54" s="172" t="e">
        <f>1-EXP(-BC53*BC49/BC9)</f>
        <v>#DIV/0!</v>
      </c>
      <c r="BD54" s="172" t="e">
        <f>1-EXP(-BD53*BD49/BD9)</f>
        <v>#DIV/0!</v>
      </c>
      <c r="BE54" s="170" t="e">
        <f>1-EXP(-BE53*BE49/BE9)</f>
        <v>#DIV/0!</v>
      </c>
      <c r="BF54" s="169" t="e">
        <f>1-EXP(-BF53*BF49/BF9)</f>
        <v>#DIV/0!</v>
      </c>
      <c r="BG54" s="172" t="e">
        <f>1-EXP(-BG53*BG49/BG9)</f>
        <v>#DIV/0!</v>
      </c>
      <c r="BH54" s="172" t="e">
        <f>1-EXP(-BH53*BH49/BH9)</f>
        <v>#DIV/0!</v>
      </c>
      <c r="BI54" s="170" t="e">
        <f>1-EXP(-BI53*BI49/BI9)</f>
        <v>#DIV/0!</v>
      </c>
      <c r="BJ54" s="169" t="e">
        <f>1-EXP(-BJ53*BJ49/BJ9)</f>
        <v>#DIV/0!</v>
      </c>
      <c r="BK54" s="172" t="e">
        <f>1-EXP(-BK53*BK49/BK9)</f>
        <v>#DIV/0!</v>
      </c>
      <c r="BL54" s="172" t="e">
        <f>1-EXP(-BL53*BL49/BL9)</f>
        <v>#DIV/0!</v>
      </c>
      <c r="BM54" s="170" t="e">
        <f>1-EXP(-BM53*BM49/BM9)</f>
        <v>#DIV/0!</v>
      </c>
      <c r="BN54" s="169" t="e">
        <f>1-EXP(-BN53*BN49/BN9)</f>
        <v>#DIV/0!</v>
      </c>
      <c r="BO54" s="172" t="e">
        <f>1-EXP(-BO53*BO49/BO9)</f>
        <v>#DIV/0!</v>
      </c>
      <c r="BP54" s="172" t="e">
        <f>1-EXP(-BP53*BP49/BP9)</f>
        <v>#DIV/0!</v>
      </c>
      <c r="BQ54" s="170" t="e">
        <f>1-EXP(-BQ53*BQ49/BQ9)</f>
        <v>#DIV/0!</v>
      </c>
      <c r="BR54" s="169" t="e">
        <f>1-EXP(-BR53*BR49/BR9)</f>
        <v>#DIV/0!</v>
      </c>
      <c r="BS54" s="172" t="e">
        <f>1-EXP(-BS53*BS49/BS9)</f>
        <v>#DIV/0!</v>
      </c>
      <c r="BT54" s="172" t="e">
        <f>1-EXP(-BT53*BT49/BT9)</f>
        <v>#DIV/0!</v>
      </c>
      <c r="BU54" s="170" t="e">
        <f>1-EXP(-BU53*BU49/BU9)</f>
        <v>#DIV/0!</v>
      </c>
      <c r="BV54" s="169" t="e">
        <f>1-EXP(-BV53*BV49/BV9)</f>
        <v>#DIV/0!</v>
      </c>
      <c r="BW54" s="172" t="e">
        <f>1-EXP(-BW53*BW49/BW9)</f>
        <v>#DIV/0!</v>
      </c>
      <c r="BX54" s="172" t="e">
        <f>1-EXP(-BX53*BX49/BX9)</f>
        <v>#DIV/0!</v>
      </c>
      <c r="BY54" s="170" t="e">
        <f>1-EXP(-BY53*BY49/BY9)</f>
        <v>#DIV/0!</v>
      </c>
      <c r="BZ54" s="169" t="e">
        <f>1-EXP(-BZ53*BZ49/BZ9)</f>
        <v>#DIV/0!</v>
      </c>
      <c r="CA54" s="172" t="e">
        <f>1-EXP(-CA53*CA49/CA9)</f>
        <v>#DIV/0!</v>
      </c>
      <c r="CB54" s="172" t="e">
        <f>1-EXP(-CB53*CB49/CB9)</f>
        <v>#DIV/0!</v>
      </c>
      <c r="CC54" s="170" t="e">
        <f>1-EXP(-CC53*CC49/CC9)</f>
        <v>#DIV/0!</v>
      </c>
      <c r="CD54" s="169" t="e">
        <f>1-EXP(-CD53*CD49/CD9)</f>
        <v>#DIV/0!</v>
      </c>
      <c r="CE54" s="172" t="e">
        <f>1-EXP(-CE53*CE49/CE9)</f>
        <v>#DIV/0!</v>
      </c>
      <c r="CF54" s="172" t="e">
        <f>1-EXP(-CF53*CF49/CF9)</f>
        <v>#DIV/0!</v>
      </c>
      <c r="CG54" s="170" t="e">
        <f>1-EXP(-CG53*CG49/CG9)</f>
        <v>#DIV/0!</v>
      </c>
      <c r="CH54" s="169" t="e">
        <f>1-EXP(-CH53*CH49/CH9)</f>
        <v>#DIV/0!</v>
      </c>
      <c r="CI54" s="172" t="e">
        <f>1-EXP(-CI53*CI49/CI9)</f>
        <v>#DIV/0!</v>
      </c>
      <c r="CJ54" s="172" t="e">
        <f>1-EXP(-CJ53*CJ49/CJ9)</f>
        <v>#DIV/0!</v>
      </c>
      <c r="CK54" s="170" t="e">
        <f>1-EXP(-CK53*CK49/CK9)</f>
        <v>#DIV/0!</v>
      </c>
      <c r="CL54" s="49"/>
      <c r="CM54" s="28"/>
    </row>
    <row r="55" spans="2:91" ht="14.25" x14ac:dyDescent="0.25">
      <c r="B55" s="55"/>
      <c r="C55" s="10" t="s">
        <v>290</v>
      </c>
      <c r="D55" s="93" t="s">
        <v>292</v>
      </c>
      <c r="E55" s="125">
        <f>1-(1-E54)^E9</f>
        <v>0.97090256550037191</v>
      </c>
      <c r="F55" s="162">
        <f>1-(1-F54)^F9</f>
        <v>1</v>
      </c>
      <c r="G55" s="164">
        <f>1-(1-G54)^G9</f>
        <v>1</v>
      </c>
      <c r="H55" s="164">
        <f>1-(1-H54)^H9</f>
        <v>0.99980498651867233</v>
      </c>
      <c r="I55" s="163">
        <f>1-(1-I54)^I9</f>
        <v>0.99980498651867233</v>
      </c>
      <c r="J55" s="162" t="e">
        <f>1-(1-J54)^J9</f>
        <v>#DIV/0!</v>
      </c>
      <c r="K55" s="164">
        <f>1-(1-K54)^K9</f>
        <v>0.16932434985150346</v>
      </c>
      <c r="L55" s="164">
        <f>1-(1-L54)^L9</f>
        <v>0.99788954106401373</v>
      </c>
      <c r="M55" s="163" t="e">
        <f>1-(1-M54)^M9</f>
        <v>#DIV/0!</v>
      </c>
      <c r="N55" s="169" t="e">
        <f>1-(1-N54)^N9</f>
        <v>#DIV/0!</v>
      </c>
      <c r="O55" s="172" t="e">
        <f>1-(1-O54)^O9</f>
        <v>#DIV/0!</v>
      </c>
      <c r="P55" s="172" t="e">
        <f>1-(1-P54)^P9</f>
        <v>#DIV/0!</v>
      </c>
      <c r="Q55" s="170" t="e">
        <f>1-(1-Q54)^Q9</f>
        <v>#DIV/0!</v>
      </c>
      <c r="R55" s="169" t="e">
        <f>1-(1-R54)^R9</f>
        <v>#DIV/0!</v>
      </c>
      <c r="S55" s="172" t="e">
        <f>1-(1-S54)^S9</f>
        <v>#DIV/0!</v>
      </c>
      <c r="T55" s="172" t="e">
        <f>1-(1-T54)^T9</f>
        <v>#DIV/0!</v>
      </c>
      <c r="U55" s="170" t="e">
        <f>1-(1-U54)^U9</f>
        <v>#DIV/0!</v>
      </c>
      <c r="V55" s="169" t="e">
        <f>1-(1-V54)^V9</f>
        <v>#DIV/0!</v>
      </c>
      <c r="W55" s="172" t="e">
        <f>1-(1-W54)^W9</f>
        <v>#DIV/0!</v>
      </c>
      <c r="X55" s="172" t="e">
        <f>1-(1-X54)^X9</f>
        <v>#DIV/0!</v>
      </c>
      <c r="Y55" s="170" t="e">
        <f>1-(1-Y54)^Y9</f>
        <v>#DIV/0!</v>
      </c>
      <c r="Z55" s="169" t="e">
        <f>1-(1-Z54)^Z9</f>
        <v>#DIV/0!</v>
      </c>
      <c r="AA55" s="172" t="e">
        <f>1-(1-AA54)^AA9</f>
        <v>#DIV/0!</v>
      </c>
      <c r="AB55" s="172" t="e">
        <f>1-(1-AB54)^AB9</f>
        <v>#DIV/0!</v>
      </c>
      <c r="AC55" s="170" t="e">
        <f>1-(1-AC54)^AC9</f>
        <v>#DIV/0!</v>
      </c>
      <c r="AD55" s="169" t="e">
        <f>1-(1-AD54)^AD9</f>
        <v>#DIV/0!</v>
      </c>
      <c r="AE55" s="172" t="e">
        <f>1-(1-AE54)^AE9</f>
        <v>#DIV/0!</v>
      </c>
      <c r="AF55" s="172" t="e">
        <f>1-(1-AF54)^AF9</f>
        <v>#DIV/0!</v>
      </c>
      <c r="AG55" s="170" t="e">
        <f>1-(1-AG54)^AG9</f>
        <v>#DIV/0!</v>
      </c>
      <c r="AH55" s="169" t="e">
        <f>1-(1-AH54)^AH9</f>
        <v>#DIV/0!</v>
      </c>
      <c r="AI55" s="172" t="e">
        <f>1-(1-AI54)^AI9</f>
        <v>#DIV/0!</v>
      </c>
      <c r="AJ55" s="172" t="e">
        <f>1-(1-AJ54)^AJ9</f>
        <v>#DIV/0!</v>
      </c>
      <c r="AK55" s="170" t="e">
        <f>1-(1-AK54)^AK9</f>
        <v>#DIV/0!</v>
      </c>
      <c r="AL55" s="169" t="e">
        <f>1-(1-AL54)^AL9</f>
        <v>#DIV/0!</v>
      </c>
      <c r="AM55" s="172" t="e">
        <f>1-(1-AM54)^AM9</f>
        <v>#DIV/0!</v>
      </c>
      <c r="AN55" s="172" t="e">
        <f>1-(1-AN54)^AN9</f>
        <v>#DIV/0!</v>
      </c>
      <c r="AO55" s="170" t="e">
        <f>1-(1-AO54)^AO9</f>
        <v>#DIV/0!</v>
      </c>
      <c r="AP55" s="169" t="e">
        <f>1-(1-AP54)^AP9</f>
        <v>#DIV/0!</v>
      </c>
      <c r="AQ55" s="172" t="e">
        <f>1-(1-AQ54)^AQ9</f>
        <v>#DIV/0!</v>
      </c>
      <c r="AR55" s="172" t="e">
        <f>1-(1-AR54)^AR9</f>
        <v>#DIV/0!</v>
      </c>
      <c r="AS55" s="170" t="e">
        <f>1-(1-AS54)^AS9</f>
        <v>#DIV/0!</v>
      </c>
      <c r="AT55" s="169" t="e">
        <f>1-(1-AT54)^AT9</f>
        <v>#DIV/0!</v>
      </c>
      <c r="AU55" s="172" t="e">
        <f>1-(1-AU54)^AU9</f>
        <v>#DIV/0!</v>
      </c>
      <c r="AV55" s="172" t="e">
        <f>1-(1-AV54)^AV9</f>
        <v>#DIV/0!</v>
      </c>
      <c r="AW55" s="170" t="e">
        <f>1-(1-AW54)^AW9</f>
        <v>#DIV/0!</v>
      </c>
      <c r="AX55" s="169" t="e">
        <f>1-(1-AX54)^AX9</f>
        <v>#DIV/0!</v>
      </c>
      <c r="AY55" s="172" t="e">
        <f>1-(1-AY54)^AY9</f>
        <v>#DIV/0!</v>
      </c>
      <c r="AZ55" s="172" t="e">
        <f>1-(1-AZ54)^AZ9</f>
        <v>#DIV/0!</v>
      </c>
      <c r="BA55" s="170" t="e">
        <f>1-(1-BA54)^BA9</f>
        <v>#DIV/0!</v>
      </c>
      <c r="BB55" s="169" t="e">
        <f>1-(1-BB54)^BB9</f>
        <v>#DIV/0!</v>
      </c>
      <c r="BC55" s="172" t="e">
        <f>1-(1-BC54)^BC9</f>
        <v>#DIV/0!</v>
      </c>
      <c r="BD55" s="172" t="e">
        <f>1-(1-BD54)^BD9</f>
        <v>#DIV/0!</v>
      </c>
      <c r="BE55" s="170" t="e">
        <f>1-(1-BE54)^BE9</f>
        <v>#DIV/0!</v>
      </c>
      <c r="BF55" s="169" t="e">
        <f>1-(1-BF54)^BF9</f>
        <v>#DIV/0!</v>
      </c>
      <c r="BG55" s="172" t="e">
        <f>1-(1-BG54)^BG9</f>
        <v>#DIV/0!</v>
      </c>
      <c r="BH55" s="172" t="e">
        <f>1-(1-BH54)^BH9</f>
        <v>#DIV/0!</v>
      </c>
      <c r="BI55" s="170" t="e">
        <f>1-(1-BI54)^BI9</f>
        <v>#DIV/0!</v>
      </c>
      <c r="BJ55" s="169" t="e">
        <f>1-(1-BJ54)^BJ9</f>
        <v>#DIV/0!</v>
      </c>
      <c r="BK55" s="172" t="e">
        <f>1-(1-BK54)^BK9</f>
        <v>#DIV/0!</v>
      </c>
      <c r="BL55" s="172" t="e">
        <f>1-(1-BL54)^BL9</f>
        <v>#DIV/0!</v>
      </c>
      <c r="BM55" s="170" t="e">
        <f>1-(1-BM54)^BM9</f>
        <v>#DIV/0!</v>
      </c>
      <c r="BN55" s="169" t="e">
        <f>1-(1-BN54)^BN9</f>
        <v>#DIV/0!</v>
      </c>
      <c r="BO55" s="172" t="e">
        <f>1-(1-BO54)^BO9</f>
        <v>#DIV/0!</v>
      </c>
      <c r="BP55" s="172" t="e">
        <f>1-(1-BP54)^BP9</f>
        <v>#DIV/0!</v>
      </c>
      <c r="BQ55" s="170" t="e">
        <f>1-(1-BQ54)^BQ9</f>
        <v>#DIV/0!</v>
      </c>
      <c r="BR55" s="169" t="e">
        <f>1-(1-BR54)^BR9</f>
        <v>#DIV/0!</v>
      </c>
      <c r="BS55" s="172" t="e">
        <f>1-(1-BS54)^BS9</f>
        <v>#DIV/0!</v>
      </c>
      <c r="BT55" s="172" t="e">
        <f>1-(1-BT54)^BT9</f>
        <v>#DIV/0!</v>
      </c>
      <c r="BU55" s="170" t="e">
        <f>1-(1-BU54)^BU9</f>
        <v>#DIV/0!</v>
      </c>
      <c r="BV55" s="169" t="e">
        <f>1-(1-BV54)^BV9</f>
        <v>#DIV/0!</v>
      </c>
      <c r="BW55" s="172" t="e">
        <f>1-(1-BW54)^BW9</f>
        <v>#DIV/0!</v>
      </c>
      <c r="BX55" s="172" t="e">
        <f>1-(1-BX54)^BX9</f>
        <v>#DIV/0!</v>
      </c>
      <c r="BY55" s="170" t="e">
        <f>1-(1-BY54)^BY9</f>
        <v>#DIV/0!</v>
      </c>
      <c r="BZ55" s="169" t="e">
        <f>1-(1-BZ54)^BZ9</f>
        <v>#DIV/0!</v>
      </c>
      <c r="CA55" s="172" t="e">
        <f>1-(1-CA54)^CA9</f>
        <v>#DIV/0!</v>
      </c>
      <c r="CB55" s="172" t="e">
        <f>1-(1-CB54)^CB9</f>
        <v>#DIV/0!</v>
      </c>
      <c r="CC55" s="170" t="e">
        <f>1-(1-CC54)^CC9</f>
        <v>#DIV/0!</v>
      </c>
      <c r="CD55" s="169" t="e">
        <f>1-(1-CD54)^CD9</f>
        <v>#DIV/0!</v>
      </c>
      <c r="CE55" s="172" t="e">
        <f>1-(1-CE54)^CE9</f>
        <v>#DIV/0!</v>
      </c>
      <c r="CF55" s="172" t="e">
        <f>1-(1-CF54)^CF9</f>
        <v>#DIV/0!</v>
      </c>
      <c r="CG55" s="170" t="e">
        <f>1-(1-CG54)^CG9</f>
        <v>#DIV/0!</v>
      </c>
      <c r="CH55" s="169" t="e">
        <f>1-(1-CH54)^CH9</f>
        <v>#DIV/0!</v>
      </c>
      <c r="CI55" s="172" t="e">
        <f>1-(1-CI54)^CI9</f>
        <v>#DIV/0!</v>
      </c>
      <c r="CJ55" s="172" t="e">
        <f>1-(1-CJ54)^CJ9</f>
        <v>#DIV/0!</v>
      </c>
      <c r="CK55" s="170" t="e">
        <f>1-(1-CK54)^CK9</f>
        <v>#DIV/0!</v>
      </c>
      <c r="CL55" s="49"/>
      <c r="CM55" s="28"/>
    </row>
    <row r="56" spans="2:91" ht="14.25" x14ac:dyDescent="0.25">
      <c r="B56" s="55"/>
      <c r="C56" s="10" t="s">
        <v>293</v>
      </c>
      <c r="D56" s="93" t="s">
        <v>303</v>
      </c>
      <c r="E56" s="125" t="str">
        <f t="shared" ref="E56:J56" si="121">IF(E42="Free", (1/E49)*(EXP(E49*E53)-E49*E53-1)/E55, "-")</f>
        <v>-</v>
      </c>
      <c r="F56" s="162" t="str">
        <f>IF(F42="Free", (1/F49)*(EXP(F49*F53)-F49*F53-1)/F55, "-")</f>
        <v>-</v>
      </c>
      <c r="G56" s="164" t="str">
        <f t="shared" si="121"/>
        <v>-</v>
      </c>
      <c r="H56" s="164" t="str">
        <f t="shared" si="121"/>
        <v>-</v>
      </c>
      <c r="I56" s="163" t="str">
        <f t="shared" si="121"/>
        <v>-</v>
      </c>
      <c r="J56" s="162" t="str">
        <f t="shared" si="121"/>
        <v>-</v>
      </c>
      <c r="K56" s="164" t="str">
        <f>IF(K42="Free", (1/K49)*(EXP(K49*K53)-K49*K53-1)/K55, "-")</f>
        <v>-</v>
      </c>
      <c r="L56" s="164">
        <f>IF(L42="Free", (1/L49)*(EXP(L49*L53)-L49*L53-1)/L55, "-")</f>
        <v>2107.0890522639775</v>
      </c>
      <c r="M56" s="163" t="e">
        <f>IF(M42="Free", (1/M49)*(EXP(M49*M53)-M49*M53-1)/M55, "-")</f>
        <v>#DIV/0!</v>
      </c>
      <c r="N56" s="169" t="str">
        <f t="shared" ref="N56:Q56" si="122">IF(N42="Free", (1/N49)*(EXP(N49*N53)-N49*N53-1)/N55, "-")</f>
        <v>-</v>
      </c>
      <c r="O56" s="172" t="str">
        <f>IF(O42="Free", (1/O49)*(EXP(O49*O53)-O49*O53-1)/O55, "-")</f>
        <v>-</v>
      </c>
      <c r="P56" s="172" t="str">
        <f>IF(P42="Free", (1/P49)*(EXP(P49*P53)-P49*P53-1)/P55, "-")</f>
        <v>-</v>
      </c>
      <c r="Q56" s="170" t="str">
        <f>IF(Q42="Free", (1/Q49)*(EXP(Q49*Q53)-Q49*Q53-1)/Q55, "-")</f>
        <v>-</v>
      </c>
      <c r="R56" s="169" t="str">
        <f t="shared" ref="R56:U56" si="123">IF(R42="Free", (1/R49)*(EXP(R49*R53)-R49*R53-1)/R55, "-")</f>
        <v>-</v>
      </c>
      <c r="S56" s="172" t="str">
        <f>IF(S42="Free", (1/S49)*(EXP(S49*S53)-S49*S53-1)/S55, "-")</f>
        <v>-</v>
      </c>
      <c r="T56" s="172" t="str">
        <f>IF(T42="Free", (1/T49)*(EXP(T49*T53)-T49*T53-1)/T55, "-")</f>
        <v>-</v>
      </c>
      <c r="U56" s="170" t="str">
        <f>IF(U42="Free", (1/U49)*(EXP(U49*U53)-U49*U53-1)/U55, "-")</f>
        <v>-</v>
      </c>
      <c r="V56" s="169" t="str">
        <f t="shared" ref="V56:Y56" si="124">IF(V42="Free", (1/V49)*(EXP(V49*V53)-V49*V53-1)/V55, "-")</f>
        <v>-</v>
      </c>
      <c r="W56" s="172" t="str">
        <f>IF(W42="Free", (1/W49)*(EXP(W49*W53)-W49*W53-1)/W55, "-")</f>
        <v>-</v>
      </c>
      <c r="X56" s="172" t="str">
        <f>IF(X42="Free", (1/X49)*(EXP(X49*X53)-X49*X53-1)/X55, "-")</f>
        <v>-</v>
      </c>
      <c r="Y56" s="170" t="str">
        <f>IF(Y42="Free", (1/Y49)*(EXP(Y49*Y53)-Y49*Y53-1)/Y55, "-")</f>
        <v>-</v>
      </c>
      <c r="Z56" s="169" t="str">
        <f t="shared" ref="Z56:AC56" si="125">IF(Z42="Free", (1/Z49)*(EXP(Z49*Z53)-Z49*Z53-1)/Z55, "-")</f>
        <v>-</v>
      </c>
      <c r="AA56" s="172" t="str">
        <f>IF(AA42="Free", (1/AA49)*(EXP(AA49*AA53)-AA49*AA53-1)/AA55, "-")</f>
        <v>-</v>
      </c>
      <c r="AB56" s="172" t="str">
        <f>IF(AB42="Free", (1/AB49)*(EXP(AB49*AB53)-AB49*AB53-1)/AB55, "-")</f>
        <v>-</v>
      </c>
      <c r="AC56" s="170" t="str">
        <f>IF(AC42="Free", (1/AC49)*(EXP(AC49*AC53)-AC49*AC53-1)/AC55, "-")</f>
        <v>-</v>
      </c>
      <c r="AD56" s="169" t="str">
        <f t="shared" ref="AD56:AG56" si="126">IF(AD42="Free", (1/AD49)*(EXP(AD49*AD53)-AD49*AD53-1)/AD55, "-")</f>
        <v>-</v>
      </c>
      <c r="AE56" s="172" t="str">
        <f>IF(AE42="Free", (1/AE49)*(EXP(AE49*AE53)-AE49*AE53-1)/AE55, "-")</f>
        <v>-</v>
      </c>
      <c r="AF56" s="172" t="str">
        <f>IF(AF42="Free", (1/AF49)*(EXP(AF49*AF53)-AF49*AF53-1)/AF55, "-")</f>
        <v>-</v>
      </c>
      <c r="AG56" s="170" t="str">
        <f>IF(AG42="Free", (1/AG49)*(EXP(AG49*AG53)-AG49*AG53-1)/AG55, "-")</f>
        <v>-</v>
      </c>
      <c r="AH56" s="169" t="str">
        <f t="shared" ref="AH56:AK56" si="127">IF(AH42="Free", (1/AH49)*(EXP(AH49*AH53)-AH49*AH53-1)/AH55, "-")</f>
        <v>-</v>
      </c>
      <c r="AI56" s="172" t="str">
        <f>IF(AI42="Free", (1/AI49)*(EXP(AI49*AI53)-AI49*AI53-1)/AI55, "-")</f>
        <v>-</v>
      </c>
      <c r="AJ56" s="172" t="str">
        <f>IF(AJ42="Free", (1/AJ49)*(EXP(AJ49*AJ53)-AJ49*AJ53-1)/AJ55, "-")</f>
        <v>-</v>
      </c>
      <c r="AK56" s="170" t="str">
        <f>IF(AK42="Free", (1/AK49)*(EXP(AK49*AK53)-AK49*AK53-1)/AK55, "-")</f>
        <v>-</v>
      </c>
      <c r="AL56" s="169" t="str">
        <f t="shared" ref="AL56:AO56" si="128">IF(AL42="Free", (1/AL49)*(EXP(AL49*AL53)-AL49*AL53-1)/AL55, "-")</f>
        <v>-</v>
      </c>
      <c r="AM56" s="172" t="str">
        <f>IF(AM42="Free", (1/AM49)*(EXP(AM49*AM53)-AM49*AM53-1)/AM55, "-")</f>
        <v>-</v>
      </c>
      <c r="AN56" s="172" t="str">
        <f>IF(AN42="Free", (1/AN49)*(EXP(AN49*AN53)-AN49*AN53-1)/AN55, "-")</f>
        <v>-</v>
      </c>
      <c r="AO56" s="170" t="str">
        <f>IF(AO42="Free", (1/AO49)*(EXP(AO49*AO53)-AO49*AO53-1)/AO55, "-")</f>
        <v>-</v>
      </c>
      <c r="AP56" s="169" t="str">
        <f t="shared" ref="AP56:AS56" si="129">IF(AP42="Free", (1/AP49)*(EXP(AP49*AP53)-AP49*AP53-1)/AP55, "-")</f>
        <v>-</v>
      </c>
      <c r="AQ56" s="172" t="str">
        <f>IF(AQ42="Free", (1/AQ49)*(EXP(AQ49*AQ53)-AQ49*AQ53-1)/AQ55, "-")</f>
        <v>-</v>
      </c>
      <c r="AR56" s="172" t="str">
        <f>IF(AR42="Free", (1/AR49)*(EXP(AR49*AR53)-AR49*AR53-1)/AR55, "-")</f>
        <v>-</v>
      </c>
      <c r="AS56" s="170" t="str">
        <f>IF(AS42="Free", (1/AS49)*(EXP(AS49*AS53)-AS49*AS53-1)/AS55, "-")</f>
        <v>-</v>
      </c>
      <c r="AT56" s="169" t="str">
        <f t="shared" ref="AT56:AW56" si="130">IF(AT42="Free", (1/AT49)*(EXP(AT49*AT53)-AT49*AT53-1)/AT55, "-")</f>
        <v>-</v>
      </c>
      <c r="AU56" s="172" t="str">
        <f>IF(AU42="Free", (1/AU49)*(EXP(AU49*AU53)-AU49*AU53-1)/AU55, "-")</f>
        <v>-</v>
      </c>
      <c r="AV56" s="172" t="str">
        <f>IF(AV42="Free", (1/AV49)*(EXP(AV49*AV53)-AV49*AV53-1)/AV55, "-")</f>
        <v>-</v>
      </c>
      <c r="AW56" s="170" t="str">
        <f>IF(AW42="Free", (1/AW49)*(EXP(AW49*AW53)-AW49*AW53-1)/AW55, "-")</f>
        <v>-</v>
      </c>
      <c r="AX56" s="169" t="str">
        <f t="shared" ref="AX56:BA56" si="131">IF(AX42="Free", (1/AX49)*(EXP(AX49*AX53)-AX49*AX53-1)/AX55, "-")</f>
        <v>-</v>
      </c>
      <c r="AY56" s="172" t="str">
        <f>IF(AY42="Free", (1/AY49)*(EXP(AY49*AY53)-AY49*AY53-1)/AY55, "-")</f>
        <v>-</v>
      </c>
      <c r="AZ56" s="172" t="str">
        <f>IF(AZ42="Free", (1/AZ49)*(EXP(AZ49*AZ53)-AZ49*AZ53-1)/AZ55, "-")</f>
        <v>-</v>
      </c>
      <c r="BA56" s="170" t="str">
        <f>IF(BA42="Free", (1/BA49)*(EXP(BA49*BA53)-BA49*BA53-1)/BA55, "-")</f>
        <v>-</v>
      </c>
      <c r="BB56" s="169" t="str">
        <f t="shared" ref="BB56:BE56" si="132">IF(BB42="Free", (1/BB49)*(EXP(BB49*BB53)-BB49*BB53-1)/BB55, "-")</f>
        <v>-</v>
      </c>
      <c r="BC56" s="172" t="str">
        <f>IF(BC42="Free", (1/BC49)*(EXP(BC49*BC53)-BC49*BC53-1)/BC55, "-")</f>
        <v>-</v>
      </c>
      <c r="BD56" s="172" t="str">
        <f>IF(BD42="Free", (1/BD49)*(EXP(BD49*BD53)-BD49*BD53-1)/BD55, "-")</f>
        <v>-</v>
      </c>
      <c r="BE56" s="170" t="str">
        <f>IF(BE42="Free", (1/BE49)*(EXP(BE49*BE53)-BE49*BE53-1)/BE55, "-")</f>
        <v>-</v>
      </c>
      <c r="BF56" s="169" t="str">
        <f t="shared" ref="BF56:BI56" si="133">IF(BF42="Free", (1/BF49)*(EXP(BF49*BF53)-BF49*BF53-1)/BF55, "-")</f>
        <v>-</v>
      </c>
      <c r="BG56" s="172" t="str">
        <f>IF(BG42="Free", (1/BG49)*(EXP(BG49*BG53)-BG49*BG53-1)/BG55, "-")</f>
        <v>-</v>
      </c>
      <c r="BH56" s="172" t="str">
        <f>IF(BH42="Free", (1/BH49)*(EXP(BH49*BH53)-BH49*BH53-1)/BH55, "-")</f>
        <v>-</v>
      </c>
      <c r="BI56" s="170" t="str">
        <f>IF(BI42="Free", (1/BI49)*(EXP(BI49*BI53)-BI49*BI53-1)/BI55, "-")</f>
        <v>-</v>
      </c>
      <c r="BJ56" s="169" t="str">
        <f t="shared" ref="BJ56:BM56" si="134">IF(BJ42="Free", (1/BJ49)*(EXP(BJ49*BJ53)-BJ49*BJ53-1)/BJ55, "-")</f>
        <v>-</v>
      </c>
      <c r="BK56" s="172" t="str">
        <f>IF(BK42="Free", (1/BK49)*(EXP(BK49*BK53)-BK49*BK53-1)/BK55, "-")</f>
        <v>-</v>
      </c>
      <c r="BL56" s="172" t="str">
        <f>IF(BL42="Free", (1/BL49)*(EXP(BL49*BL53)-BL49*BL53-1)/BL55, "-")</f>
        <v>-</v>
      </c>
      <c r="BM56" s="170" t="str">
        <f>IF(BM42="Free", (1/BM49)*(EXP(BM49*BM53)-BM49*BM53-1)/BM55, "-")</f>
        <v>-</v>
      </c>
      <c r="BN56" s="169" t="str">
        <f t="shared" ref="BN56:BQ56" si="135">IF(BN42="Free", (1/BN49)*(EXP(BN49*BN53)-BN49*BN53-1)/BN55, "-")</f>
        <v>-</v>
      </c>
      <c r="BO56" s="172" t="str">
        <f>IF(BO42="Free", (1/BO49)*(EXP(BO49*BO53)-BO49*BO53-1)/BO55, "-")</f>
        <v>-</v>
      </c>
      <c r="BP56" s="172" t="str">
        <f>IF(BP42="Free", (1/BP49)*(EXP(BP49*BP53)-BP49*BP53-1)/BP55, "-")</f>
        <v>-</v>
      </c>
      <c r="BQ56" s="170" t="str">
        <f>IF(BQ42="Free", (1/BQ49)*(EXP(BQ49*BQ53)-BQ49*BQ53-1)/BQ55, "-")</f>
        <v>-</v>
      </c>
      <c r="BR56" s="169" t="str">
        <f t="shared" ref="BR56:BU56" si="136">IF(BR42="Free", (1/BR49)*(EXP(BR49*BR53)-BR49*BR53-1)/BR55, "-")</f>
        <v>-</v>
      </c>
      <c r="BS56" s="172" t="str">
        <f>IF(BS42="Free", (1/BS49)*(EXP(BS49*BS53)-BS49*BS53-1)/BS55, "-")</f>
        <v>-</v>
      </c>
      <c r="BT56" s="172" t="str">
        <f>IF(BT42="Free", (1/BT49)*(EXP(BT49*BT53)-BT49*BT53-1)/BT55, "-")</f>
        <v>-</v>
      </c>
      <c r="BU56" s="170" t="str">
        <f>IF(BU42="Free", (1/BU49)*(EXP(BU49*BU53)-BU49*BU53-1)/BU55, "-")</f>
        <v>-</v>
      </c>
      <c r="BV56" s="169" t="str">
        <f t="shared" ref="BV56:BY56" si="137">IF(BV42="Free", (1/BV49)*(EXP(BV49*BV53)-BV49*BV53-1)/BV55, "-")</f>
        <v>-</v>
      </c>
      <c r="BW56" s="172" t="str">
        <f>IF(BW42="Free", (1/BW49)*(EXP(BW49*BW53)-BW49*BW53-1)/BW55, "-")</f>
        <v>-</v>
      </c>
      <c r="BX56" s="172" t="str">
        <f>IF(BX42="Free", (1/BX49)*(EXP(BX49*BX53)-BX49*BX53-1)/BX55, "-")</f>
        <v>-</v>
      </c>
      <c r="BY56" s="170" t="str">
        <f>IF(BY42="Free", (1/BY49)*(EXP(BY49*BY53)-BY49*BY53-1)/BY55, "-")</f>
        <v>-</v>
      </c>
      <c r="BZ56" s="169" t="str">
        <f t="shared" ref="BZ56:CC56" si="138">IF(BZ42="Free", (1/BZ49)*(EXP(BZ49*BZ53)-BZ49*BZ53-1)/BZ55, "-")</f>
        <v>-</v>
      </c>
      <c r="CA56" s="172" t="str">
        <f>IF(CA42="Free", (1/CA49)*(EXP(CA49*CA53)-CA49*CA53-1)/CA55, "-")</f>
        <v>-</v>
      </c>
      <c r="CB56" s="172" t="str">
        <f>IF(CB42="Free", (1/CB49)*(EXP(CB49*CB53)-CB49*CB53-1)/CB55, "-")</f>
        <v>-</v>
      </c>
      <c r="CC56" s="170" t="str">
        <f>IF(CC42="Free", (1/CC49)*(EXP(CC49*CC53)-CC49*CC53-1)/CC55, "-")</f>
        <v>-</v>
      </c>
      <c r="CD56" s="169" t="str">
        <f t="shared" ref="CD56:CG56" si="139">IF(CD42="Free", (1/CD49)*(EXP(CD49*CD53)-CD49*CD53-1)/CD55, "-")</f>
        <v>-</v>
      </c>
      <c r="CE56" s="172" t="str">
        <f>IF(CE42="Free", (1/CE49)*(EXP(CE49*CE53)-CE49*CE53-1)/CE55, "-")</f>
        <v>-</v>
      </c>
      <c r="CF56" s="172" t="str">
        <f>IF(CF42="Free", (1/CF49)*(EXP(CF49*CF53)-CF49*CF53-1)/CF55, "-")</f>
        <v>-</v>
      </c>
      <c r="CG56" s="170" t="str">
        <f>IF(CG42="Free", (1/CG49)*(EXP(CG49*CG53)-CG49*CG53-1)/CG55, "-")</f>
        <v>-</v>
      </c>
      <c r="CH56" s="169" t="str">
        <f t="shared" ref="CH56:CK56" si="140">IF(CH42="Free", (1/CH49)*(EXP(CH49*CH53)-CH49*CH53-1)/CH55, "-")</f>
        <v>-</v>
      </c>
      <c r="CI56" s="172" t="str">
        <f>IF(CI42="Free", (1/CI49)*(EXP(CI49*CI53)-CI49*CI53-1)/CI55, "-")</f>
        <v>-</v>
      </c>
      <c r="CJ56" s="172" t="str">
        <f>IF(CJ42="Free", (1/CJ49)*(EXP(CJ49*CJ53)-CJ49*CJ53-1)/CJ55, "-")</f>
        <v>-</v>
      </c>
      <c r="CK56" s="170" t="str">
        <f>IF(CK42="Free", (1/CK49)*(EXP(CK49*CK53)-CK49*CK53-1)/CK55, "-")</f>
        <v>-</v>
      </c>
      <c r="CL56" s="49"/>
      <c r="CM56" s="28"/>
    </row>
    <row r="57" spans="2:91" ht="14.25" x14ac:dyDescent="0.25">
      <c r="B57" s="55"/>
      <c r="C57" s="10" t="s">
        <v>301</v>
      </c>
      <c r="D57" s="93" t="s">
        <v>304</v>
      </c>
      <c r="E57" s="125" t="str">
        <f t="shared" ref="E57:M57" si="141">IF(E42="Free", ROUND(1/EXP(-E49*E48),0),"-")</f>
        <v>-</v>
      </c>
      <c r="F57" s="164" t="str">
        <f>IF(F42="Free", ROUND(1/EXP(-F49*F48),0),"-")</f>
        <v>-</v>
      </c>
      <c r="G57" s="164" t="str">
        <f t="shared" si="141"/>
        <v>-</v>
      </c>
      <c r="H57" s="164" t="str">
        <f t="shared" si="141"/>
        <v>-</v>
      </c>
      <c r="I57" s="164" t="str">
        <f t="shared" si="141"/>
        <v>-</v>
      </c>
      <c r="J57" s="162" t="str">
        <f t="shared" si="141"/>
        <v>-</v>
      </c>
      <c r="K57" s="164" t="str">
        <f t="shared" si="141"/>
        <v>-</v>
      </c>
      <c r="L57" s="164">
        <f t="shared" si="141"/>
        <v>68</v>
      </c>
      <c r="M57" s="163">
        <f t="shared" si="141"/>
        <v>68</v>
      </c>
      <c r="N57" s="169" t="str">
        <f t="shared" ref="N57:BY57" si="142">IF(N42="Free", ROUND(1/EXP(-N49*N48),0),"-")</f>
        <v>-</v>
      </c>
      <c r="O57" s="172" t="str">
        <f t="shared" si="142"/>
        <v>-</v>
      </c>
      <c r="P57" s="172" t="str">
        <f t="shared" si="142"/>
        <v>-</v>
      </c>
      <c r="Q57" s="170" t="str">
        <f t="shared" si="142"/>
        <v>-</v>
      </c>
      <c r="R57" s="169" t="str">
        <f t="shared" si="142"/>
        <v>-</v>
      </c>
      <c r="S57" s="172" t="str">
        <f t="shared" si="142"/>
        <v>-</v>
      </c>
      <c r="T57" s="172" t="str">
        <f t="shared" si="142"/>
        <v>-</v>
      </c>
      <c r="U57" s="170" t="str">
        <f t="shared" si="142"/>
        <v>-</v>
      </c>
      <c r="V57" s="169" t="str">
        <f t="shared" si="142"/>
        <v>-</v>
      </c>
      <c r="W57" s="172" t="str">
        <f t="shared" si="142"/>
        <v>-</v>
      </c>
      <c r="X57" s="172" t="str">
        <f t="shared" si="142"/>
        <v>-</v>
      </c>
      <c r="Y57" s="170" t="str">
        <f t="shared" si="142"/>
        <v>-</v>
      </c>
      <c r="Z57" s="169" t="str">
        <f t="shared" si="142"/>
        <v>-</v>
      </c>
      <c r="AA57" s="172" t="str">
        <f t="shared" si="142"/>
        <v>-</v>
      </c>
      <c r="AB57" s="172" t="str">
        <f t="shared" si="142"/>
        <v>-</v>
      </c>
      <c r="AC57" s="170" t="str">
        <f t="shared" si="142"/>
        <v>-</v>
      </c>
      <c r="AD57" s="169" t="str">
        <f t="shared" si="142"/>
        <v>-</v>
      </c>
      <c r="AE57" s="172" t="str">
        <f t="shared" si="142"/>
        <v>-</v>
      </c>
      <c r="AF57" s="172" t="str">
        <f t="shared" si="142"/>
        <v>-</v>
      </c>
      <c r="AG57" s="170" t="str">
        <f t="shared" si="142"/>
        <v>-</v>
      </c>
      <c r="AH57" s="169" t="str">
        <f t="shared" si="142"/>
        <v>-</v>
      </c>
      <c r="AI57" s="172" t="str">
        <f t="shared" si="142"/>
        <v>-</v>
      </c>
      <c r="AJ57" s="172" t="str">
        <f t="shared" si="142"/>
        <v>-</v>
      </c>
      <c r="AK57" s="170" t="str">
        <f t="shared" si="142"/>
        <v>-</v>
      </c>
      <c r="AL57" s="169" t="str">
        <f t="shared" si="142"/>
        <v>-</v>
      </c>
      <c r="AM57" s="172" t="str">
        <f t="shared" si="142"/>
        <v>-</v>
      </c>
      <c r="AN57" s="172" t="str">
        <f t="shared" si="142"/>
        <v>-</v>
      </c>
      <c r="AO57" s="170" t="str">
        <f t="shared" si="142"/>
        <v>-</v>
      </c>
      <c r="AP57" s="169" t="str">
        <f t="shared" si="142"/>
        <v>-</v>
      </c>
      <c r="AQ57" s="172" t="str">
        <f t="shared" si="142"/>
        <v>-</v>
      </c>
      <c r="AR57" s="172" t="str">
        <f t="shared" si="142"/>
        <v>-</v>
      </c>
      <c r="AS57" s="170" t="str">
        <f t="shared" si="142"/>
        <v>-</v>
      </c>
      <c r="AT57" s="169" t="str">
        <f t="shared" si="142"/>
        <v>-</v>
      </c>
      <c r="AU57" s="172" t="str">
        <f t="shared" si="142"/>
        <v>-</v>
      </c>
      <c r="AV57" s="172" t="str">
        <f t="shared" si="142"/>
        <v>-</v>
      </c>
      <c r="AW57" s="170" t="str">
        <f t="shared" si="142"/>
        <v>-</v>
      </c>
      <c r="AX57" s="169" t="str">
        <f t="shared" si="142"/>
        <v>-</v>
      </c>
      <c r="AY57" s="172" t="str">
        <f t="shared" si="142"/>
        <v>-</v>
      </c>
      <c r="AZ57" s="172" t="str">
        <f t="shared" si="142"/>
        <v>-</v>
      </c>
      <c r="BA57" s="170" t="str">
        <f t="shared" si="142"/>
        <v>-</v>
      </c>
      <c r="BB57" s="169" t="str">
        <f t="shared" si="142"/>
        <v>-</v>
      </c>
      <c r="BC57" s="172" t="str">
        <f t="shared" si="142"/>
        <v>-</v>
      </c>
      <c r="BD57" s="172" t="str">
        <f t="shared" si="142"/>
        <v>-</v>
      </c>
      <c r="BE57" s="170" t="str">
        <f t="shared" si="142"/>
        <v>-</v>
      </c>
      <c r="BF57" s="169" t="str">
        <f t="shared" si="142"/>
        <v>-</v>
      </c>
      <c r="BG57" s="172" t="str">
        <f t="shared" si="142"/>
        <v>-</v>
      </c>
      <c r="BH57" s="172" t="str">
        <f t="shared" si="142"/>
        <v>-</v>
      </c>
      <c r="BI57" s="170" t="str">
        <f t="shared" si="142"/>
        <v>-</v>
      </c>
      <c r="BJ57" s="169" t="str">
        <f t="shared" si="142"/>
        <v>-</v>
      </c>
      <c r="BK57" s="172" t="str">
        <f t="shared" si="142"/>
        <v>-</v>
      </c>
      <c r="BL57" s="172" t="str">
        <f t="shared" si="142"/>
        <v>-</v>
      </c>
      <c r="BM57" s="170" t="str">
        <f t="shared" si="142"/>
        <v>-</v>
      </c>
      <c r="BN57" s="169" t="str">
        <f t="shared" si="142"/>
        <v>-</v>
      </c>
      <c r="BO57" s="172" t="str">
        <f t="shared" si="142"/>
        <v>-</v>
      </c>
      <c r="BP57" s="172" t="str">
        <f t="shared" si="142"/>
        <v>-</v>
      </c>
      <c r="BQ57" s="170" t="str">
        <f t="shared" si="142"/>
        <v>-</v>
      </c>
      <c r="BR57" s="169" t="str">
        <f t="shared" si="142"/>
        <v>-</v>
      </c>
      <c r="BS57" s="172" t="str">
        <f t="shared" si="142"/>
        <v>-</v>
      </c>
      <c r="BT57" s="172" t="str">
        <f t="shared" si="142"/>
        <v>-</v>
      </c>
      <c r="BU57" s="170" t="str">
        <f t="shared" si="142"/>
        <v>-</v>
      </c>
      <c r="BV57" s="169" t="str">
        <f t="shared" si="142"/>
        <v>-</v>
      </c>
      <c r="BW57" s="172" t="str">
        <f t="shared" si="142"/>
        <v>-</v>
      </c>
      <c r="BX57" s="172" t="str">
        <f t="shared" si="142"/>
        <v>-</v>
      </c>
      <c r="BY57" s="170" t="str">
        <f t="shared" si="142"/>
        <v>-</v>
      </c>
      <c r="BZ57" s="169" t="str">
        <f t="shared" ref="BZ57:CK57" si="143">IF(BZ42="Free", ROUND(1/EXP(-BZ49*BZ48),0),"-")</f>
        <v>-</v>
      </c>
      <c r="CA57" s="172" t="str">
        <f t="shared" si="143"/>
        <v>-</v>
      </c>
      <c r="CB57" s="172" t="str">
        <f t="shared" si="143"/>
        <v>-</v>
      </c>
      <c r="CC57" s="170" t="str">
        <f t="shared" si="143"/>
        <v>-</v>
      </c>
      <c r="CD57" s="169" t="str">
        <f t="shared" si="143"/>
        <v>-</v>
      </c>
      <c r="CE57" s="172" t="str">
        <f t="shared" si="143"/>
        <v>-</v>
      </c>
      <c r="CF57" s="172" t="str">
        <f t="shared" si="143"/>
        <v>-</v>
      </c>
      <c r="CG57" s="170" t="str">
        <f t="shared" si="143"/>
        <v>-</v>
      </c>
      <c r="CH57" s="169" t="str">
        <f t="shared" si="143"/>
        <v>-</v>
      </c>
      <c r="CI57" s="172" t="str">
        <f t="shared" si="143"/>
        <v>-</v>
      </c>
      <c r="CJ57" s="172" t="str">
        <f t="shared" si="143"/>
        <v>-</v>
      </c>
      <c r="CK57" s="170" t="str">
        <f t="shared" si="143"/>
        <v>-</v>
      </c>
      <c r="CL57" s="49"/>
      <c r="CM57" s="28"/>
    </row>
    <row r="58" spans="2:91" ht="14.25" x14ac:dyDescent="0.25">
      <c r="B58" s="55"/>
      <c r="C58" s="10" t="s">
        <v>300</v>
      </c>
      <c r="D58" s="93" t="s">
        <v>299</v>
      </c>
      <c r="E58" s="125">
        <f>((1/(E49/E9)) - (E48-(1/(E49/E9)))*EXP(-(E49/E9)*E48))/(1-EXP(-(E49/E9)*E48))</f>
        <v>49.599795895179433</v>
      </c>
      <c r="F58" s="164">
        <f>((1/(F49/F9)) - (F48-(1/(F49/F9)))*EXP(-(F49/F9)*F48))/(1-EXP(-(F49/F9)*F48))</f>
        <v>11.678192772537651</v>
      </c>
      <c r="G58" s="164">
        <f>((1/(G49/G9)) - (G48-(1/(G49/G9)))*EXP(-(G49/G9)*G48))/(1-EXP(-(G49/G9)*G48))</f>
        <v>11.678192772537651</v>
      </c>
      <c r="H58" s="164">
        <f>((1/(H49/H9)) - (H48-(1/(H49/H9)))*EXP(-(H49/H9)*H48))/(1-EXP(-(H49/H9)*H48))</f>
        <v>21.27036271020209</v>
      </c>
      <c r="I58" s="164">
        <f>((1/(I49/I9)) - (I48-(1/(I49/I9)))*EXP(-(I49/I9)*I48))/(1-EXP(-(I49/I9)*I48))</f>
        <v>21.27036271020209</v>
      </c>
      <c r="J58" s="162" t="e">
        <f>1/(J49/J9)</f>
        <v>#DIV/0!</v>
      </c>
      <c r="K58" s="164">
        <f>((1/(K49/K9)) - (K48-(1/(K49/K9)))*EXP(-(K49/K9)*K48))/(1-EXP(-(K49/K9)*K48))</f>
        <v>2699.6880219016657</v>
      </c>
      <c r="L58" s="166">
        <f>((1/(L49/L9)) - (L48-(1/(L49/L9)))*EXP(-(L49/L9)*L48))/(1-EXP(-(L49/L9)*L48))</f>
        <v>27.138593675237082</v>
      </c>
      <c r="M58" s="163">
        <f>((1/(M49/M9)) - (M48-(1/(M49/M9)))*EXP(-(M49/M9)*M48))/(1-EXP(-(M49/M9)*M48))</f>
        <v>27.138593675237082</v>
      </c>
      <c r="N58" s="169" t="e">
        <f>1/(N49/N9)</f>
        <v>#DIV/0!</v>
      </c>
      <c r="O58" s="172" t="e">
        <f>((1/(O49/O9)) - (O48-(1/(O49/O9)))*EXP(-(O49/O9)*O48))/(1-EXP(-(O49/O9)*O48))</f>
        <v>#DIV/0!</v>
      </c>
      <c r="P58" s="172" t="e">
        <f>((1/(P49/P9)) - (P48-(1/(P49/P9)))*EXP(-(P49/P9)*P48))/(1-EXP(-(P49/P9)*P48))</f>
        <v>#DIV/0!</v>
      </c>
      <c r="Q58" s="170" t="e">
        <f>((1/(Q49/Q9)) - (Q48-(1/(Q49/Q9)))*EXP(-(Q49/Q9)*Q48))/(1-EXP(-(Q49/Q9)*Q48))</f>
        <v>#DIV/0!</v>
      </c>
      <c r="R58" s="169" t="e">
        <f>1/(R49/R9)</f>
        <v>#DIV/0!</v>
      </c>
      <c r="S58" s="172" t="e">
        <f>((1/(S49/S9)) - (S48-(1/(S49/S9)))*EXP(-(S49/S9)*S48))/(1-EXP(-(S49/S9)*S48))</f>
        <v>#DIV/0!</v>
      </c>
      <c r="T58" s="172" t="e">
        <f>((1/(T49/T9)) - (T48-(1/(T49/T9)))*EXP(-(T49/T9)*T48))/(1-EXP(-(T49/T9)*T48))</f>
        <v>#DIV/0!</v>
      </c>
      <c r="U58" s="170" t="e">
        <f>((1/(U49/U9)) - (U48-(1/(U49/U9)))*EXP(-(U49/U9)*U48))/(1-EXP(-(U49/U9)*U48))</f>
        <v>#DIV/0!</v>
      </c>
      <c r="V58" s="169" t="e">
        <f>1/(V49/V9)</f>
        <v>#DIV/0!</v>
      </c>
      <c r="W58" s="172" t="e">
        <f>((1/(W49/W9)) - (W48-(1/(W49/W9)))*EXP(-(W49/W9)*W48))/(1-EXP(-(W49/W9)*W48))</f>
        <v>#DIV/0!</v>
      </c>
      <c r="X58" s="172" t="e">
        <f>((1/(X49/X9)) - (X48-(1/(X49/X9)))*EXP(-(X49/X9)*X48))/(1-EXP(-(X49/X9)*X48))</f>
        <v>#DIV/0!</v>
      </c>
      <c r="Y58" s="170" t="e">
        <f>((1/(Y49/Y9)) - (Y48-(1/(Y49/Y9)))*EXP(-(Y49/Y9)*Y48))/(1-EXP(-(Y49/Y9)*Y48))</f>
        <v>#DIV/0!</v>
      </c>
      <c r="Z58" s="169" t="e">
        <f>1/(Z49/Z9)</f>
        <v>#DIV/0!</v>
      </c>
      <c r="AA58" s="172" t="e">
        <f>((1/(AA49/AA9)) - (AA48-(1/(AA49/AA9)))*EXP(-(AA49/AA9)*AA48))/(1-EXP(-(AA49/AA9)*AA48))</f>
        <v>#DIV/0!</v>
      </c>
      <c r="AB58" s="172" t="e">
        <f>((1/(AB49/AB9)) - (AB48-(1/(AB49/AB9)))*EXP(-(AB49/AB9)*AB48))/(1-EXP(-(AB49/AB9)*AB48))</f>
        <v>#DIV/0!</v>
      </c>
      <c r="AC58" s="170" t="e">
        <f>((1/(AC49/AC9)) - (AC48-(1/(AC49/AC9)))*EXP(-(AC49/AC9)*AC48))/(1-EXP(-(AC49/AC9)*AC48))</f>
        <v>#DIV/0!</v>
      </c>
      <c r="AD58" s="169" t="e">
        <f>1/(AD49/AD9)</f>
        <v>#DIV/0!</v>
      </c>
      <c r="AE58" s="172" t="e">
        <f>((1/(AE49/AE9)) - (AE48-(1/(AE49/AE9)))*EXP(-(AE49/AE9)*AE48))/(1-EXP(-(AE49/AE9)*AE48))</f>
        <v>#DIV/0!</v>
      </c>
      <c r="AF58" s="172" t="e">
        <f>((1/(AF49/AF9)) - (AF48-(1/(AF49/AF9)))*EXP(-(AF49/AF9)*AF48))/(1-EXP(-(AF49/AF9)*AF48))</f>
        <v>#DIV/0!</v>
      </c>
      <c r="AG58" s="170" t="e">
        <f>((1/(AG49/AG9)) - (AG48-(1/(AG49/AG9)))*EXP(-(AG49/AG9)*AG48))/(1-EXP(-(AG49/AG9)*AG48))</f>
        <v>#DIV/0!</v>
      </c>
      <c r="AH58" s="169" t="e">
        <f>1/(AH49/AH9)</f>
        <v>#DIV/0!</v>
      </c>
      <c r="AI58" s="172" t="e">
        <f>((1/(AI49/AI9)) - (AI48-(1/(AI49/AI9)))*EXP(-(AI49/AI9)*AI48))/(1-EXP(-(AI49/AI9)*AI48))</f>
        <v>#DIV/0!</v>
      </c>
      <c r="AJ58" s="172" t="e">
        <f>((1/(AJ49/AJ9)) - (AJ48-(1/(AJ49/AJ9)))*EXP(-(AJ49/AJ9)*AJ48))/(1-EXP(-(AJ49/AJ9)*AJ48))</f>
        <v>#DIV/0!</v>
      </c>
      <c r="AK58" s="170" t="e">
        <f>((1/(AK49/AK9)) - (AK48-(1/(AK49/AK9)))*EXP(-(AK49/AK9)*AK48))/(1-EXP(-(AK49/AK9)*AK48))</f>
        <v>#DIV/0!</v>
      </c>
      <c r="AL58" s="169" t="e">
        <f>1/(AL49/AL9)</f>
        <v>#DIV/0!</v>
      </c>
      <c r="AM58" s="172" t="e">
        <f>((1/(AM49/AM9)) - (AM48-(1/(AM49/AM9)))*EXP(-(AM49/AM9)*AM48))/(1-EXP(-(AM49/AM9)*AM48))</f>
        <v>#DIV/0!</v>
      </c>
      <c r="AN58" s="172" t="e">
        <f>((1/(AN49/AN9)) - (AN48-(1/(AN49/AN9)))*EXP(-(AN49/AN9)*AN48))/(1-EXP(-(AN49/AN9)*AN48))</f>
        <v>#DIV/0!</v>
      </c>
      <c r="AO58" s="170" t="e">
        <f>((1/(AO49/AO9)) - (AO48-(1/(AO49/AO9)))*EXP(-(AO49/AO9)*AO48))/(1-EXP(-(AO49/AO9)*AO48))</f>
        <v>#DIV/0!</v>
      </c>
      <c r="AP58" s="169" t="e">
        <f>1/(AP49/AP9)</f>
        <v>#DIV/0!</v>
      </c>
      <c r="AQ58" s="172" t="e">
        <f>((1/(AQ49/AQ9)) - (AQ48-(1/(AQ49/AQ9)))*EXP(-(AQ49/AQ9)*AQ48))/(1-EXP(-(AQ49/AQ9)*AQ48))</f>
        <v>#DIV/0!</v>
      </c>
      <c r="AR58" s="172" t="e">
        <f>((1/(AR49/AR9)) - (AR48-(1/(AR49/AR9)))*EXP(-(AR49/AR9)*AR48))/(1-EXP(-(AR49/AR9)*AR48))</f>
        <v>#DIV/0!</v>
      </c>
      <c r="AS58" s="170" t="e">
        <f>((1/(AS49/AS9)) - (AS48-(1/(AS49/AS9)))*EXP(-(AS49/AS9)*AS48))/(1-EXP(-(AS49/AS9)*AS48))</f>
        <v>#DIV/0!</v>
      </c>
      <c r="AT58" s="169" t="e">
        <f>1/(AT49/AT9)</f>
        <v>#DIV/0!</v>
      </c>
      <c r="AU58" s="172" t="e">
        <f>((1/(AU49/AU9)) - (AU48-(1/(AU49/AU9)))*EXP(-(AU49/AU9)*AU48))/(1-EXP(-(AU49/AU9)*AU48))</f>
        <v>#DIV/0!</v>
      </c>
      <c r="AV58" s="172" t="e">
        <f>((1/(AV49/AV9)) - (AV48-(1/(AV49/AV9)))*EXP(-(AV49/AV9)*AV48))/(1-EXP(-(AV49/AV9)*AV48))</f>
        <v>#DIV/0!</v>
      </c>
      <c r="AW58" s="170" t="e">
        <f>((1/(AW49/AW9)) - (AW48-(1/(AW49/AW9)))*EXP(-(AW49/AW9)*AW48))/(1-EXP(-(AW49/AW9)*AW48))</f>
        <v>#DIV/0!</v>
      </c>
      <c r="AX58" s="169" t="e">
        <f>1/(AX49/AX9)</f>
        <v>#DIV/0!</v>
      </c>
      <c r="AY58" s="172" t="e">
        <f>((1/(AY49/AY9)) - (AY48-(1/(AY49/AY9)))*EXP(-(AY49/AY9)*AY48))/(1-EXP(-(AY49/AY9)*AY48))</f>
        <v>#DIV/0!</v>
      </c>
      <c r="AZ58" s="172" t="e">
        <f>((1/(AZ49/AZ9)) - (AZ48-(1/(AZ49/AZ9)))*EXP(-(AZ49/AZ9)*AZ48))/(1-EXP(-(AZ49/AZ9)*AZ48))</f>
        <v>#DIV/0!</v>
      </c>
      <c r="BA58" s="170" t="e">
        <f>((1/(BA49/BA9)) - (BA48-(1/(BA49/BA9)))*EXP(-(BA49/BA9)*BA48))/(1-EXP(-(BA49/BA9)*BA48))</f>
        <v>#DIV/0!</v>
      </c>
      <c r="BB58" s="169" t="e">
        <f>1/(BB49/BB9)</f>
        <v>#DIV/0!</v>
      </c>
      <c r="BC58" s="172" t="e">
        <f>((1/(BC49/BC9)) - (BC48-(1/(BC49/BC9)))*EXP(-(BC49/BC9)*BC48))/(1-EXP(-(BC49/BC9)*BC48))</f>
        <v>#DIV/0!</v>
      </c>
      <c r="BD58" s="172" t="e">
        <f>((1/(BD49/BD9)) - (BD48-(1/(BD49/BD9)))*EXP(-(BD49/BD9)*BD48))/(1-EXP(-(BD49/BD9)*BD48))</f>
        <v>#DIV/0!</v>
      </c>
      <c r="BE58" s="170" t="e">
        <f>((1/(BE49/BE9)) - (BE48-(1/(BE49/BE9)))*EXP(-(BE49/BE9)*BE48))/(1-EXP(-(BE49/BE9)*BE48))</f>
        <v>#DIV/0!</v>
      </c>
      <c r="BF58" s="169" t="e">
        <f>1/(BF49/BF9)</f>
        <v>#DIV/0!</v>
      </c>
      <c r="BG58" s="172" t="e">
        <f>((1/(BG49/BG9)) - (BG48-(1/(BG49/BG9)))*EXP(-(BG49/BG9)*BG48))/(1-EXP(-(BG49/BG9)*BG48))</f>
        <v>#DIV/0!</v>
      </c>
      <c r="BH58" s="172" t="e">
        <f>((1/(BH49/BH9)) - (BH48-(1/(BH49/BH9)))*EXP(-(BH49/BH9)*BH48))/(1-EXP(-(BH49/BH9)*BH48))</f>
        <v>#DIV/0!</v>
      </c>
      <c r="BI58" s="170" t="e">
        <f>((1/(BI49/BI9)) - (BI48-(1/(BI49/BI9)))*EXP(-(BI49/BI9)*BI48))/(1-EXP(-(BI49/BI9)*BI48))</f>
        <v>#DIV/0!</v>
      </c>
      <c r="BJ58" s="169" t="e">
        <f>1/(BJ49/BJ9)</f>
        <v>#DIV/0!</v>
      </c>
      <c r="BK58" s="172" t="e">
        <f>((1/(BK49/BK9)) - (BK48-(1/(BK49/BK9)))*EXP(-(BK49/BK9)*BK48))/(1-EXP(-(BK49/BK9)*BK48))</f>
        <v>#DIV/0!</v>
      </c>
      <c r="BL58" s="172" t="e">
        <f>((1/(BL49/BL9)) - (BL48-(1/(BL49/BL9)))*EXP(-(BL49/BL9)*BL48))/(1-EXP(-(BL49/BL9)*BL48))</f>
        <v>#DIV/0!</v>
      </c>
      <c r="BM58" s="170" t="e">
        <f>((1/(BM49/BM9)) - (BM48-(1/(BM49/BM9)))*EXP(-(BM49/BM9)*BM48))/(1-EXP(-(BM49/BM9)*BM48))</f>
        <v>#DIV/0!</v>
      </c>
      <c r="BN58" s="169" t="e">
        <f>1/(BN49/BN9)</f>
        <v>#DIV/0!</v>
      </c>
      <c r="BO58" s="172" t="e">
        <f>((1/(BO49/BO9)) - (BO48-(1/(BO49/BO9)))*EXP(-(BO49/BO9)*BO48))/(1-EXP(-(BO49/BO9)*BO48))</f>
        <v>#DIV/0!</v>
      </c>
      <c r="BP58" s="172" t="e">
        <f>((1/(BP49/BP9)) - (BP48-(1/(BP49/BP9)))*EXP(-(BP49/BP9)*BP48))/(1-EXP(-(BP49/BP9)*BP48))</f>
        <v>#DIV/0!</v>
      </c>
      <c r="BQ58" s="170" t="e">
        <f>((1/(BQ49/BQ9)) - (BQ48-(1/(BQ49/BQ9)))*EXP(-(BQ49/BQ9)*BQ48))/(1-EXP(-(BQ49/BQ9)*BQ48))</f>
        <v>#DIV/0!</v>
      </c>
      <c r="BR58" s="169" t="e">
        <f>1/(BR49/BR9)</f>
        <v>#DIV/0!</v>
      </c>
      <c r="BS58" s="172" t="e">
        <f>((1/(BS49/BS9)) - (BS48-(1/(BS49/BS9)))*EXP(-(BS49/BS9)*BS48))/(1-EXP(-(BS49/BS9)*BS48))</f>
        <v>#DIV/0!</v>
      </c>
      <c r="BT58" s="172" t="e">
        <f>((1/(BT49/BT9)) - (BT48-(1/(BT49/BT9)))*EXP(-(BT49/BT9)*BT48))/(1-EXP(-(BT49/BT9)*BT48))</f>
        <v>#DIV/0!</v>
      </c>
      <c r="BU58" s="170" t="e">
        <f>((1/(BU49/BU9)) - (BU48-(1/(BU49/BU9)))*EXP(-(BU49/BU9)*BU48))/(1-EXP(-(BU49/BU9)*BU48))</f>
        <v>#DIV/0!</v>
      </c>
      <c r="BV58" s="169" t="e">
        <f>1/(BV49/BV9)</f>
        <v>#DIV/0!</v>
      </c>
      <c r="BW58" s="172" t="e">
        <f>((1/(BW49/BW9)) - (BW48-(1/(BW49/BW9)))*EXP(-(BW49/BW9)*BW48))/(1-EXP(-(BW49/BW9)*BW48))</f>
        <v>#DIV/0!</v>
      </c>
      <c r="BX58" s="172" t="e">
        <f>((1/(BX49/BX9)) - (BX48-(1/(BX49/BX9)))*EXP(-(BX49/BX9)*BX48))/(1-EXP(-(BX49/BX9)*BX48))</f>
        <v>#DIV/0!</v>
      </c>
      <c r="BY58" s="170" t="e">
        <f>((1/(BY49/BY9)) - (BY48-(1/(BY49/BY9)))*EXP(-(BY49/BY9)*BY48))/(1-EXP(-(BY49/BY9)*BY48))</f>
        <v>#DIV/0!</v>
      </c>
      <c r="BZ58" s="169" t="e">
        <f>1/(BZ49/BZ9)</f>
        <v>#DIV/0!</v>
      </c>
      <c r="CA58" s="172" t="e">
        <f>((1/(CA49/CA9)) - (CA48-(1/(CA49/CA9)))*EXP(-(CA49/CA9)*CA48))/(1-EXP(-(CA49/CA9)*CA48))</f>
        <v>#DIV/0!</v>
      </c>
      <c r="CB58" s="172" t="e">
        <f>((1/(CB49/CB9)) - (CB48-(1/(CB49/CB9)))*EXP(-(CB49/CB9)*CB48))/(1-EXP(-(CB49/CB9)*CB48))</f>
        <v>#DIV/0!</v>
      </c>
      <c r="CC58" s="170" t="e">
        <f>((1/(CC49/CC9)) - (CC48-(1/(CC49/CC9)))*EXP(-(CC49/CC9)*CC48))/(1-EXP(-(CC49/CC9)*CC48))</f>
        <v>#DIV/0!</v>
      </c>
      <c r="CD58" s="169" t="e">
        <f>1/(CD49/CD9)</f>
        <v>#DIV/0!</v>
      </c>
      <c r="CE58" s="172" t="e">
        <f>((1/(CE49/CE9)) - (CE48-(1/(CE49/CE9)))*EXP(-(CE49/CE9)*CE48))/(1-EXP(-(CE49/CE9)*CE48))</f>
        <v>#DIV/0!</v>
      </c>
      <c r="CF58" s="172" t="e">
        <f>((1/(CF49/CF9)) - (CF48-(1/(CF49/CF9)))*EXP(-(CF49/CF9)*CF48))/(1-EXP(-(CF49/CF9)*CF48))</f>
        <v>#DIV/0!</v>
      </c>
      <c r="CG58" s="170" t="e">
        <f>((1/(CG49/CG9)) - (CG48-(1/(CG49/CG9)))*EXP(-(CG49/CG9)*CG48))/(1-EXP(-(CG49/CG9)*CG48))</f>
        <v>#DIV/0!</v>
      </c>
      <c r="CH58" s="169" t="e">
        <f>1/(CH49/CH9)</f>
        <v>#DIV/0!</v>
      </c>
      <c r="CI58" s="172" t="e">
        <f>((1/(CI49/CI9)) - (CI48-(1/(CI49/CI9)))*EXP(-(CI49/CI9)*CI48))/(1-EXP(-(CI49/CI9)*CI48))</f>
        <v>#DIV/0!</v>
      </c>
      <c r="CJ58" s="172" t="e">
        <f>((1/(CJ49/CJ9)) - (CJ48-(1/(CJ49/CJ9)))*EXP(-(CJ49/CJ9)*CJ48))/(1-EXP(-(CJ49/CJ9)*CJ48))</f>
        <v>#DIV/0!</v>
      </c>
      <c r="CK58" s="170" t="e">
        <f>((1/(CK49/CK9)) - (CK48-(1/(CK49/CK9)))*EXP(-(CK49/CK9)*CK48))/(1-EXP(-(CK49/CK9)*CK48))</f>
        <v>#DIV/0!</v>
      </c>
      <c r="CL58" s="49"/>
      <c r="CM58" s="28"/>
    </row>
    <row r="59" spans="2:91" ht="14.25" x14ac:dyDescent="0.25">
      <c r="B59" s="55"/>
      <c r="C59" s="10" t="s">
        <v>103</v>
      </c>
      <c r="D59" s="93" t="s">
        <v>39</v>
      </c>
      <c r="E59" s="125">
        <f>0.681*E9^0.514</f>
        <v>1.3886920442435355</v>
      </c>
      <c r="F59" s="72">
        <f>0.681*F9^0.514</f>
        <v>1.5574628423543384</v>
      </c>
      <c r="G59" s="73">
        <f>0.681*G9^0.514</f>
        <v>1.5574628423543384</v>
      </c>
      <c r="H59" s="73">
        <f>0.681*H9^0.514</f>
        <v>1.3886920442435355</v>
      </c>
      <c r="I59" s="74">
        <f>0.681*I9^0.514</f>
        <v>1.3886920442435355</v>
      </c>
      <c r="J59" s="96">
        <f>0.681*J9^0.514</f>
        <v>0</v>
      </c>
      <c r="K59" s="97">
        <f>0.681*K9^0.514</f>
        <v>0.97247071016552877</v>
      </c>
      <c r="L59" s="97">
        <f>0.681*L9^0.514</f>
        <v>1.3886920442435355</v>
      </c>
      <c r="M59" s="98">
        <f>0.681*M9^0.514</f>
        <v>1.3886920442435355</v>
      </c>
      <c r="N59" s="169">
        <f>0.681*N9^0.514</f>
        <v>0</v>
      </c>
      <c r="O59" s="172">
        <f>0.681*O9^0.514</f>
        <v>0</v>
      </c>
      <c r="P59" s="172">
        <f>0.681*P9^0.514</f>
        <v>0</v>
      </c>
      <c r="Q59" s="170">
        <f>0.681*Q9^0.514</f>
        <v>0</v>
      </c>
      <c r="R59" s="169">
        <f>0.681*R9^0.514</f>
        <v>0</v>
      </c>
      <c r="S59" s="172">
        <f>0.681*S9^0.514</f>
        <v>0</v>
      </c>
      <c r="T59" s="172">
        <f>0.681*T9^0.514</f>
        <v>0</v>
      </c>
      <c r="U59" s="170">
        <f>0.681*U9^0.514</f>
        <v>0</v>
      </c>
      <c r="V59" s="169">
        <f>0.681*V9^0.514</f>
        <v>0</v>
      </c>
      <c r="W59" s="172">
        <f>0.681*W9^0.514</f>
        <v>0</v>
      </c>
      <c r="X59" s="172">
        <f>0.681*X9^0.514</f>
        <v>0</v>
      </c>
      <c r="Y59" s="170">
        <f>0.681*Y9^0.514</f>
        <v>0</v>
      </c>
      <c r="Z59" s="169">
        <f>0.681*Z9^0.514</f>
        <v>0</v>
      </c>
      <c r="AA59" s="172">
        <f>0.681*AA9^0.514</f>
        <v>0</v>
      </c>
      <c r="AB59" s="172">
        <f>0.681*AB9^0.514</f>
        <v>0</v>
      </c>
      <c r="AC59" s="170">
        <f>0.681*AC9^0.514</f>
        <v>0</v>
      </c>
      <c r="AD59" s="169">
        <f>0.681*AD9^0.514</f>
        <v>0</v>
      </c>
      <c r="AE59" s="172">
        <f>0.681*AE9^0.514</f>
        <v>0</v>
      </c>
      <c r="AF59" s="172">
        <f>0.681*AF9^0.514</f>
        <v>0</v>
      </c>
      <c r="AG59" s="170">
        <f>0.681*AG9^0.514</f>
        <v>0</v>
      </c>
      <c r="AH59" s="169">
        <f>0.681*AH9^0.514</f>
        <v>0</v>
      </c>
      <c r="AI59" s="172">
        <f>0.681*AI9^0.514</f>
        <v>0</v>
      </c>
      <c r="AJ59" s="172">
        <f>0.681*AJ9^0.514</f>
        <v>0</v>
      </c>
      <c r="AK59" s="170">
        <f>0.681*AK9^0.514</f>
        <v>0</v>
      </c>
      <c r="AL59" s="169">
        <f>0.681*AL9^0.514</f>
        <v>0</v>
      </c>
      <c r="AM59" s="172">
        <f>0.681*AM9^0.514</f>
        <v>0</v>
      </c>
      <c r="AN59" s="172">
        <f>0.681*AN9^0.514</f>
        <v>0</v>
      </c>
      <c r="AO59" s="170">
        <f>0.681*AO9^0.514</f>
        <v>0</v>
      </c>
      <c r="AP59" s="169">
        <f>0.681*AP9^0.514</f>
        <v>0</v>
      </c>
      <c r="AQ59" s="172">
        <f>0.681*AQ9^0.514</f>
        <v>0</v>
      </c>
      <c r="AR59" s="172">
        <f>0.681*AR9^0.514</f>
        <v>0</v>
      </c>
      <c r="AS59" s="170">
        <f>0.681*AS9^0.514</f>
        <v>0</v>
      </c>
      <c r="AT59" s="169">
        <f>0.681*AT9^0.514</f>
        <v>0</v>
      </c>
      <c r="AU59" s="172">
        <f>0.681*AU9^0.514</f>
        <v>0</v>
      </c>
      <c r="AV59" s="172">
        <f>0.681*AV9^0.514</f>
        <v>0</v>
      </c>
      <c r="AW59" s="170">
        <f>0.681*AW9^0.514</f>
        <v>0</v>
      </c>
      <c r="AX59" s="169">
        <f>0.681*AX9^0.514</f>
        <v>0</v>
      </c>
      <c r="AY59" s="172">
        <f>0.681*AY9^0.514</f>
        <v>0</v>
      </c>
      <c r="AZ59" s="172">
        <f>0.681*AZ9^0.514</f>
        <v>0</v>
      </c>
      <c r="BA59" s="170">
        <f>0.681*BA9^0.514</f>
        <v>0</v>
      </c>
      <c r="BB59" s="169">
        <f>0.681*BB9^0.514</f>
        <v>0</v>
      </c>
      <c r="BC59" s="172">
        <f>0.681*BC9^0.514</f>
        <v>0</v>
      </c>
      <c r="BD59" s="172">
        <f>0.681*BD9^0.514</f>
        <v>0</v>
      </c>
      <c r="BE59" s="170">
        <f>0.681*BE9^0.514</f>
        <v>0</v>
      </c>
      <c r="BF59" s="169">
        <f>0.681*BF9^0.514</f>
        <v>0</v>
      </c>
      <c r="BG59" s="172">
        <f>0.681*BG9^0.514</f>
        <v>0</v>
      </c>
      <c r="BH59" s="172">
        <f>0.681*BH9^0.514</f>
        <v>0</v>
      </c>
      <c r="BI59" s="170">
        <f>0.681*BI9^0.514</f>
        <v>0</v>
      </c>
      <c r="BJ59" s="169">
        <f>0.681*BJ9^0.514</f>
        <v>0</v>
      </c>
      <c r="BK59" s="172">
        <f>0.681*BK9^0.514</f>
        <v>0</v>
      </c>
      <c r="BL59" s="172">
        <f>0.681*BL9^0.514</f>
        <v>0</v>
      </c>
      <c r="BM59" s="170">
        <f>0.681*BM9^0.514</f>
        <v>0</v>
      </c>
      <c r="BN59" s="169">
        <f>0.681*BN9^0.514</f>
        <v>0</v>
      </c>
      <c r="BO59" s="172">
        <f>0.681*BO9^0.514</f>
        <v>0</v>
      </c>
      <c r="BP59" s="172">
        <f>0.681*BP9^0.514</f>
        <v>0</v>
      </c>
      <c r="BQ59" s="170">
        <f>0.681*BQ9^0.514</f>
        <v>0</v>
      </c>
      <c r="BR59" s="169">
        <f>0.681*BR9^0.514</f>
        <v>0</v>
      </c>
      <c r="BS59" s="172">
        <f>0.681*BS9^0.514</f>
        <v>0</v>
      </c>
      <c r="BT59" s="172">
        <f>0.681*BT9^0.514</f>
        <v>0</v>
      </c>
      <c r="BU59" s="170">
        <f>0.681*BU9^0.514</f>
        <v>0</v>
      </c>
      <c r="BV59" s="169">
        <f>0.681*BV9^0.514</f>
        <v>0</v>
      </c>
      <c r="BW59" s="172">
        <f>0.681*BW9^0.514</f>
        <v>0</v>
      </c>
      <c r="BX59" s="172">
        <f>0.681*BX9^0.514</f>
        <v>0</v>
      </c>
      <c r="BY59" s="170">
        <f>0.681*BY9^0.514</f>
        <v>0</v>
      </c>
      <c r="BZ59" s="169">
        <f>0.681*BZ9^0.514</f>
        <v>0</v>
      </c>
      <c r="CA59" s="172">
        <f>0.681*CA9^0.514</f>
        <v>0</v>
      </c>
      <c r="CB59" s="172">
        <f>0.681*CB9^0.514</f>
        <v>0</v>
      </c>
      <c r="CC59" s="170">
        <f>0.681*CC9^0.514</f>
        <v>0</v>
      </c>
      <c r="CD59" s="169">
        <f>0.681*CD9^0.514</f>
        <v>0</v>
      </c>
      <c r="CE59" s="172">
        <f>0.681*CE9^0.514</f>
        <v>0</v>
      </c>
      <c r="CF59" s="172">
        <f>0.681*CF9^0.514</f>
        <v>0</v>
      </c>
      <c r="CG59" s="170">
        <f>0.681*CG9^0.514</f>
        <v>0</v>
      </c>
      <c r="CH59" s="169">
        <f>0.681*CH9^0.514</f>
        <v>0</v>
      </c>
      <c r="CI59" s="172">
        <f>0.681*CI9^0.514</f>
        <v>0</v>
      </c>
      <c r="CJ59" s="172">
        <f>0.681*CJ9^0.514</f>
        <v>0</v>
      </c>
      <c r="CK59" s="170">
        <f>0.681*CK9^0.514</f>
        <v>0</v>
      </c>
      <c r="CL59" s="49"/>
      <c r="CM59" s="28"/>
    </row>
    <row r="60" spans="2:91" ht="14.25" x14ac:dyDescent="0.25">
      <c r="B60" s="55"/>
      <c r="C60" s="10" t="s">
        <v>150</v>
      </c>
      <c r="D60" s="93" t="s">
        <v>151</v>
      </c>
      <c r="E60" s="127">
        <f>SUM(E13:E15,G14,F15,H13)/(4*E9)</f>
        <v>92.3125</v>
      </c>
      <c r="F60" s="42">
        <f>SUM(F13:F15,H14,G15,I13)/(4*F9)</f>
        <v>73.099999999999994</v>
      </c>
      <c r="G60" s="45">
        <f>SUM(G13:G15,F15,H13,I14)/(4*G9)</f>
        <v>85.2</v>
      </c>
      <c r="H60" s="45">
        <f>SUM(H13:H15,G14,F13,I15)/(4*H9)</f>
        <v>60.4375</v>
      </c>
      <c r="I60" s="94">
        <f>SUM(I13:I15,F14,G13,H15)/(4*I9)</f>
        <v>47.6875</v>
      </c>
      <c r="J60" s="100" t="e">
        <f>SUM(J13:J15,L14,K15,M13)/(4*J9)</f>
        <v>#DIV/0!</v>
      </c>
      <c r="K60" s="101">
        <f>SUM(K13:K15,J15,L13,M14)/(4*K9)</f>
        <v>11.875</v>
      </c>
      <c r="L60" s="101">
        <f>SUM(L13:L15,K14,J13,M15)/(4*L9)</f>
        <v>49.75</v>
      </c>
      <c r="M60" s="102">
        <f>SUM(M13:M15,J14,K13,L15)/(4*M9)</f>
        <v>51.0625</v>
      </c>
      <c r="N60" s="173" t="e">
        <f>SUM(N13:N15,P14,O15,Q13)/(4*N9)</f>
        <v>#DIV/0!</v>
      </c>
      <c r="O60" s="174" t="e">
        <f>SUM(O13:O15,N15,P13,Q14)/(4*O9)</f>
        <v>#DIV/0!</v>
      </c>
      <c r="P60" s="174" t="e">
        <f>SUM(P13:P15,O14,N13,Q15)/(4*P9)</f>
        <v>#DIV/0!</v>
      </c>
      <c r="Q60" s="175" t="e">
        <f>SUM(Q13:Q15,N14,O13,P15)/(4*Q9)</f>
        <v>#DIV/0!</v>
      </c>
      <c r="R60" s="173" t="e">
        <f>SUM(R13:R15,T14,S15,U13)/(4*R9)</f>
        <v>#DIV/0!</v>
      </c>
      <c r="S60" s="174" t="e">
        <f>SUM(S13:S15,R15,T13,U14)/(4*S9)</f>
        <v>#DIV/0!</v>
      </c>
      <c r="T60" s="174" t="e">
        <f>SUM(T13:T15,S14,R13,U15)/(4*T9)</f>
        <v>#DIV/0!</v>
      </c>
      <c r="U60" s="175" t="e">
        <f>SUM(U13:U15,R14,S13,T15)/(4*U9)</f>
        <v>#DIV/0!</v>
      </c>
      <c r="V60" s="173" t="e">
        <f>SUM(V13:V15,X14,W15,Y13)/(4*V9)</f>
        <v>#DIV/0!</v>
      </c>
      <c r="W60" s="174" t="e">
        <f>SUM(W13:W15,V15,X13,Y14)/(4*W9)</f>
        <v>#DIV/0!</v>
      </c>
      <c r="X60" s="174" t="e">
        <f>SUM(X13:X15,W14,V13,Y15)/(4*X9)</f>
        <v>#DIV/0!</v>
      </c>
      <c r="Y60" s="175" t="e">
        <f>SUM(Y13:Y15,V14,W13,X15)/(4*Y9)</f>
        <v>#DIV/0!</v>
      </c>
      <c r="Z60" s="173" t="e">
        <f>SUM(Z13:Z15,AB14,AA15,AC13)/(4*Z9)</f>
        <v>#DIV/0!</v>
      </c>
      <c r="AA60" s="174" t="e">
        <f>SUM(AA13:AA15,Z15,AB13,AC14)/(4*AA9)</f>
        <v>#DIV/0!</v>
      </c>
      <c r="AB60" s="174" t="e">
        <f>SUM(AB13:AB15,AA14,Z13,AC15)/(4*AB9)</f>
        <v>#DIV/0!</v>
      </c>
      <c r="AC60" s="175" t="e">
        <f>SUM(AC13:AC15,Z14,AA13,AB15)/(4*AC9)</f>
        <v>#DIV/0!</v>
      </c>
      <c r="AD60" s="173" t="e">
        <f>SUM(AD13:AD15,AF14,AE15,AG13)/(4*AD9)</f>
        <v>#DIV/0!</v>
      </c>
      <c r="AE60" s="174" t="e">
        <f>SUM(AE13:AE15,AD15,AF13,AG14)/(4*AE9)</f>
        <v>#DIV/0!</v>
      </c>
      <c r="AF60" s="174" t="e">
        <f>SUM(AF13:AF15,AE14,AD13,AG15)/(4*AF9)</f>
        <v>#DIV/0!</v>
      </c>
      <c r="AG60" s="175" t="e">
        <f>SUM(AG13:AG15,AD14,AE13,AF15)/(4*AG9)</f>
        <v>#DIV/0!</v>
      </c>
      <c r="AH60" s="173" t="e">
        <f>SUM(AH13:AH15,AJ14,AI15,AK13)/(4*AH9)</f>
        <v>#DIV/0!</v>
      </c>
      <c r="AI60" s="174" t="e">
        <f>SUM(AI13:AI15,AH15,AJ13,AK14)/(4*AI9)</f>
        <v>#DIV/0!</v>
      </c>
      <c r="AJ60" s="174" t="e">
        <f>SUM(AJ13:AJ15,AI14,AH13,AK15)/(4*AJ9)</f>
        <v>#DIV/0!</v>
      </c>
      <c r="AK60" s="175" t="e">
        <f>SUM(AK13:AK15,AH14,AI13,AJ15)/(4*AK9)</f>
        <v>#DIV/0!</v>
      </c>
      <c r="AL60" s="173" t="e">
        <f>SUM(AL13:AL15,AN14,AM15,AO13)/(4*AL9)</f>
        <v>#DIV/0!</v>
      </c>
      <c r="AM60" s="174" t="e">
        <f>SUM(AM13:AM15,AL15,AN13,AO14)/(4*AM9)</f>
        <v>#DIV/0!</v>
      </c>
      <c r="AN60" s="174" t="e">
        <f>SUM(AN13:AN15,AM14,AL13,AO15)/(4*AN9)</f>
        <v>#DIV/0!</v>
      </c>
      <c r="AO60" s="175" t="e">
        <f>SUM(AO13:AO15,AL14,AM13,AN15)/(4*AO9)</f>
        <v>#DIV/0!</v>
      </c>
      <c r="AP60" s="173" t="e">
        <f>SUM(AP13:AP15,AR14,AQ15,AS13)/(4*AP9)</f>
        <v>#DIV/0!</v>
      </c>
      <c r="AQ60" s="174" t="e">
        <f>SUM(AQ13:AQ15,AP15,AR13,AS14)/(4*AQ9)</f>
        <v>#DIV/0!</v>
      </c>
      <c r="AR60" s="174" t="e">
        <f>SUM(AR13:AR15,AQ14,AP13,AS15)/(4*AR9)</f>
        <v>#DIV/0!</v>
      </c>
      <c r="AS60" s="175" t="e">
        <f>SUM(AS13:AS15,AP14,AQ13,AR15)/(4*AS9)</f>
        <v>#DIV/0!</v>
      </c>
      <c r="AT60" s="173" t="e">
        <f>SUM(AT13:AT15,AV14,AU15,AW13)/(4*AT9)</f>
        <v>#DIV/0!</v>
      </c>
      <c r="AU60" s="174" t="e">
        <f>SUM(AU13:AU15,AT15,AV13,AW14)/(4*AU9)</f>
        <v>#DIV/0!</v>
      </c>
      <c r="AV60" s="174" t="e">
        <f>SUM(AV13:AV15,AU14,AT13,AW15)/(4*AV9)</f>
        <v>#DIV/0!</v>
      </c>
      <c r="AW60" s="175" t="e">
        <f>SUM(AW13:AW15,AT14,AU13,AV15)/(4*AW9)</f>
        <v>#DIV/0!</v>
      </c>
      <c r="AX60" s="173" t="e">
        <f>SUM(AX13:AX15,AZ14,AY15,BA13)/(4*AX9)</f>
        <v>#DIV/0!</v>
      </c>
      <c r="AY60" s="174" t="e">
        <f>SUM(AY13:AY15,AX15,AZ13,BA14)/(4*AY9)</f>
        <v>#DIV/0!</v>
      </c>
      <c r="AZ60" s="174" t="e">
        <f>SUM(AZ13:AZ15,AY14,AX13,BA15)/(4*AZ9)</f>
        <v>#DIV/0!</v>
      </c>
      <c r="BA60" s="175" t="e">
        <f>SUM(BA13:BA15,AX14,AY13,AZ15)/(4*BA9)</f>
        <v>#DIV/0!</v>
      </c>
      <c r="BB60" s="173" t="e">
        <f>SUM(BB13:BB15,BD14,BC15,BE13)/(4*BB9)</f>
        <v>#DIV/0!</v>
      </c>
      <c r="BC60" s="174" t="e">
        <f>SUM(BC13:BC15,BB15,BD13,BE14)/(4*BC9)</f>
        <v>#DIV/0!</v>
      </c>
      <c r="BD60" s="174" t="e">
        <f>SUM(BD13:BD15,BC14,BB13,BE15)/(4*BD9)</f>
        <v>#DIV/0!</v>
      </c>
      <c r="BE60" s="175" t="e">
        <f>SUM(BE13:BE15,BB14,BC13,BD15)/(4*BE9)</f>
        <v>#DIV/0!</v>
      </c>
      <c r="BF60" s="173" t="e">
        <f>SUM(BF13:BF15,BH14,BG15,BI13)/(4*BF9)</f>
        <v>#DIV/0!</v>
      </c>
      <c r="BG60" s="174" t="e">
        <f>SUM(BG13:BG15,BF15,BH13,BI14)/(4*BG9)</f>
        <v>#DIV/0!</v>
      </c>
      <c r="BH60" s="174" t="e">
        <f>SUM(BH13:BH15,BG14,BF13,BI15)/(4*BH9)</f>
        <v>#DIV/0!</v>
      </c>
      <c r="BI60" s="175" t="e">
        <f>SUM(BI13:BI15,BF14,BG13,BH15)/(4*BI9)</f>
        <v>#DIV/0!</v>
      </c>
      <c r="BJ60" s="173" t="e">
        <f>SUM(BJ13:BJ15,BL14,BK15,BM13)/(4*BJ9)</f>
        <v>#DIV/0!</v>
      </c>
      <c r="BK60" s="174" t="e">
        <f>SUM(BK13:BK15,BJ15,BL13,BM14)/(4*BK9)</f>
        <v>#DIV/0!</v>
      </c>
      <c r="BL60" s="174" t="e">
        <f>SUM(BL13:BL15,BK14,BJ13,BM15)/(4*BL9)</f>
        <v>#DIV/0!</v>
      </c>
      <c r="BM60" s="175" t="e">
        <f>SUM(BM13:BM15,BJ14,BK13,BL15)/(4*BM9)</f>
        <v>#DIV/0!</v>
      </c>
      <c r="BN60" s="173" t="e">
        <f>SUM(BN13:BN15,BP14,BO15,BQ13)/(4*BN9)</f>
        <v>#DIV/0!</v>
      </c>
      <c r="BO60" s="174" t="e">
        <f>SUM(BO13:BO15,BN15,BP13,BQ14)/(4*BO9)</f>
        <v>#DIV/0!</v>
      </c>
      <c r="BP60" s="174" t="e">
        <f>SUM(BP13:BP15,BO14,BN13,BQ15)/(4*BP9)</f>
        <v>#DIV/0!</v>
      </c>
      <c r="BQ60" s="175" t="e">
        <f>SUM(BQ13:BQ15,BN14,BO13,BP15)/(4*BQ9)</f>
        <v>#DIV/0!</v>
      </c>
      <c r="BR60" s="173" t="e">
        <f>SUM(BR13:BR15,BT14,BS15,BU13)/(4*BR9)</f>
        <v>#DIV/0!</v>
      </c>
      <c r="BS60" s="174" t="e">
        <f>SUM(BS13:BS15,BR15,BT13,BU14)/(4*BS9)</f>
        <v>#DIV/0!</v>
      </c>
      <c r="BT60" s="174" t="e">
        <f>SUM(BT13:BT15,BS14,BR13,BU15)/(4*BT9)</f>
        <v>#DIV/0!</v>
      </c>
      <c r="BU60" s="175" t="e">
        <f>SUM(BU13:BU15,BR14,BS13,BT15)/(4*BU9)</f>
        <v>#DIV/0!</v>
      </c>
      <c r="BV60" s="173" t="e">
        <f>SUM(BV13:BV15,BX14,BW15,BY13)/(4*BV9)</f>
        <v>#DIV/0!</v>
      </c>
      <c r="BW60" s="174" t="e">
        <f>SUM(BW13:BW15,BV15,BX13,BY14)/(4*BW9)</f>
        <v>#DIV/0!</v>
      </c>
      <c r="BX60" s="174" t="e">
        <f>SUM(BX13:BX15,BW14,BV13,BY15)/(4*BX9)</f>
        <v>#DIV/0!</v>
      </c>
      <c r="BY60" s="175" t="e">
        <f>SUM(BY13:BY15,BV14,BW13,BX15)/(4*BY9)</f>
        <v>#DIV/0!</v>
      </c>
      <c r="BZ60" s="173" t="e">
        <f>SUM(BZ13:BZ15,CB14,CA15,CC13)/(4*BZ9)</f>
        <v>#DIV/0!</v>
      </c>
      <c r="CA60" s="174" t="e">
        <f>SUM(CA13:CA15,BZ15,CB13,CC14)/(4*CA9)</f>
        <v>#DIV/0!</v>
      </c>
      <c r="CB60" s="174" t="e">
        <f>SUM(CB13:CB15,CA14,BZ13,CC15)/(4*CB9)</f>
        <v>#DIV/0!</v>
      </c>
      <c r="CC60" s="175" t="e">
        <f>SUM(CC13:CC15,BZ14,CA13,CB15)/(4*CC9)</f>
        <v>#DIV/0!</v>
      </c>
      <c r="CD60" s="173" t="e">
        <f>SUM(CD13:CD15,CF14,CE15,CG13)/(4*CD9)</f>
        <v>#DIV/0!</v>
      </c>
      <c r="CE60" s="174" t="e">
        <f>SUM(CE13:CE15,CD15,CF13,CG14)/(4*CE9)</f>
        <v>#DIV/0!</v>
      </c>
      <c r="CF60" s="174" t="e">
        <f>SUM(CF13:CF15,CE14,CD13,CG15)/(4*CF9)</f>
        <v>#DIV/0!</v>
      </c>
      <c r="CG60" s="175" t="e">
        <f>SUM(CG13:CG15,CD14,CE13,CF15)/(4*CG9)</f>
        <v>#DIV/0!</v>
      </c>
      <c r="CH60" s="173" t="e">
        <f>SUM(CH13:CH15,CJ14,CI15,CK13)/(4*CH9)</f>
        <v>#DIV/0!</v>
      </c>
      <c r="CI60" s="174" t="e">
        <f>SUM(CI13:CI15,CH15,CJ13,CK14)/(4*CI9)</f>
        <v>#DIV/0!</v>
      </c>
      <c r="CJ60" s="174" t="e">
        <f>SUM(CJ13:CJ15,CI14,CH13,CK15)/(4*CJ9)</f>
        <v>#DIV/0!</v>
      </c>
      <c r="CK60" s="175" t="e">
        <f>SUM(CK13:CK15,CH14,CI13,CJ15)/(4*CK9)</f>
        <v>#DIV/0!</v>
      </c>
      <c r="CL60" s="49"/>
      <c r="CM60" s="28"/>
    </row>
    <row r="61" spans="2:91" ht="14.25" x14ac:dyDescent="0.25">
      <c r="B61" s="55"/>
      <c r="C61" s="10" t="s">
        <v>101</v>
      </c>
      <c r="D61" s="93" t="s">
        <v>32</v>
      </c>
      <c r="E61" s="125">
        <f>0.00013*E60*E12</f>
        <v>0.30001562499999995</v>
      </c>
      <c r="F61" s="72">
        <f>0.00013*F60*F12</f>
        <v>0.23757499999999998</v>
      </c>
      <c r="G61" s="73">
        <f>0.00013*G60*G12</f>
        <v>0.27689999999999998</v>
      </c>
      <c r="H61" s="73">
        <f>0.00013*H60*H12</f>
        <v>0.19642187499999997</v>
      </c>
      <c r="I61" s="74">
        <f>0.00013*I60*I12</f>
        <v>0.15498437499999998</v>
      </c>
      <c r="J61" s="96" t="e">
        <f>0.00013*J60*J12</f>
        <v>#DIV/0!</v>
      </c>
      <c r="K61" s="97">
        <f>0.00013*K60*K12</f>
        <v>3.8593749999999996E-2</v>
      </c>
      <c r="L61" s="97">
        <f>0.00013*L60*L12</f>
        <v>0.16168749999999998</v>
      </c>
      <c r="M61" s="98">
        <f>0.00013*M60*M12</f>
        <v>0.16595312499999998</v>
      </c>
      <c r="N61" s="169" t="e">
        <f>0.00013*N60*N12</f>
        <v>#DIV/0!</v>
      </c>
      <c r="O61" s="172" t="e">
        <f>0.00013*O60*O12</f>
        <v>#DIV/0!</v>
      </c>
      <c r="P61" s="172" t="e">
        <f>0.00013*P60*P12</f>
        <v>#DIV/0!</v>
      </c>
      <c r="Q61" s="170" t="e">
        <f>0.00013*Q60*Q12</f>
        <v>#DIV/0!</v>
      </c>
      <c r="R61" s="169" t="e">
        <f>0.00013*R60*R12</f>
        <v>#DIV/0!</v>
      </c>
      <c r="S61" s="172" t="e">
        <f>0.00013*S60*S12</f>
        <v>#DIV/0!</v>
      </c>
      <c r="T61" s="172" t="e">
        <f>0.00013*T60*T12</f>
        <v>#DIV/0!</v>
      </c>
      <c r="U61" s="170" t="e">
        <f>0.00013*U60*U12</f>
        <v>#DIV/0!</v>
      </c>
      <c r="V61" s="169" t="e">
        <f>0.00013*V60*V12</f>
        <v>#DIV/0!</v>
      </c>
      <c r="W61" s="172" t="e">
        <f>0.00013*W60*W12</f>
        <v>#DIV/0!</v>
      </c>
      <c r="X61" s="172" t="e">
        <f>0.00013*X60*X12</f>
        <v>#DIV/0!</v>
      </c>
      <c r="Y61" s="170" t="e">
        <f>0.00013*Y60*Y12</f>
        <v>#DIV/0!</v>
      </c>
      <c r="Z61" s="169" t="e">
        <f>0.00013*Z60*Z12</f>
        <v>#DIV/0!</v>
      </c>
      <c r="AA61" s="172" t="e">
        <f>0.00013*AA60*AA12</f>
        <v>#DIV/0!</v>
      </c>
      <c r="AB61" s="172" t="e">
        <f>0.00013*AB60*AB12</f>
        <v>#DIV/0!</v>
      </c>
      <c r="AC61" s="170" t="e">
        <f>0.00013*AC60*AC12</f>
        <v>#DIV/0!</v>
      </c>
      <c r="AD61" s="169" t="e">
        <f>0.00013*AD60*AD12</f>
        <v>#DIV/0!</v>
      </c>
      <c r="AE61" s="172" t="e">
        <f>0.00013*AE60*AE12</f>
        <v>#DIV/0!</v>
      </c>
      <c r="AF61" s="172" t="e">
        <f>0.00013*AF60*AF12</f>
        <v>#DIV/0!</v>
      </c>
      <c r="AG61" s="170" t="e">
        <f>0.00013*AG60*AG12</f>
        <v>#DIV/0!</v>
      </c>
      <c r="AH61" s="169" t="e">
        <f>0.00013*AH60*AH12</f>
        <v>#DIV/0!</v>
      </c>
      <c r="AI61" s="172" t="e">
        <f>0.00013*AI60*AI12</f>
        <v>#DIV/0!</v>
      </c>
      <c r="AJ61" s="172" t="e">
        <f>0.00013*AJ60*AJ12</f>
        <v>#DIV/0!</v>
      </c>
      <c r="AK61" s="170" t="e">
        <f>0.00013*AK60*AK12</f>
        <v>#DIV/0!</v>
      </c>
      <c r="AL61" s="169" t="e">
        <f>0.00013*AL60*AL12</f>
        <v>#DIV/0!</v>
      </c>
      <c r="AM61" s="172" t="e">
        <f>0.00013*AM60*AM12</f>
        <v>#DIV/0!</v>
      </c>
      <c r="AN61" s="172" t="e">
        <f>0.00013*AN60*AN12</f>
        <v>#DIV/0!</v>
      </c>
      <c r="AO61" s="170" t="e">
        <f>0.00013*AO60*AO12</f>
        <v>#DIV/0!</v>
      </c>
      <c r="AP61" s="169" t="e">
        <f>0.00013*AP60*AP12</f>
        <v>#DIV/0!</v>
      </c>
      <c r="AQ61" s="172" t="e">
        <f>0.00013*AQ60*AQ12</f>
        <v>#DIV/0!</v>
      </c>
      <c r="AR61" s="172" t="e">
        <f>0.00013*AR60*AR12</f>
        <v>#DIV/0!</v>
      </c>
      <c r="AS61" s="170" t="e">
        <f>0.00013*AS60*AS12</f>
        <v>#DIV/0!</v>
      </c>
      <c r="AT61" s="169" t="e">
        <f>0.00013*AT60*AT12</f>
        <v>#DIV/0!</v>
      </c>
      <c r="AU61" s="172" t="e">
        <f>0.00013*AU60*AU12</f>
        <v>#DIV/0!</v>
      </c>
      <c r="AV61" s="172" t="e">
        <f>0.00013*AV60*AV12</f>
        <v>#DIV/0!</v>
      </c>
      <c r="AW61" s="170" t="e">
        <f>0.00013*AW60*AW12</f>
        <v>#DIV/0!</v>
      </c>
      <c r="AX61" s="169" t="e">
        <f>0.00013*AX60*AX12</f>
        <v>#DIV/0!</v>
      </c>
      <c r="AY61" s="172" t="e">
        <f>0.00013*AY60*AY12</f>
        <v>#DIV/0!</v>
      </c>
      <c r="AZ61" s="172" t="e">
        <f>0.00013*AZ60*AZ12</f>
        <v>#DIV/0!</v>
      </c>
      <c r="BA61" s="170" t="e">
        <f>0.00013*BA60*BA12</f>
        <v>#DIV/0!</v>
      </c>
      <c r="BB61" s="169" t="e">
        <f>0.00013*BB60*BB12</f>
        <v>#DIV/0!</v>
      </c>
      <c r="BC61" s="172" t="e">
        <f>0.00013*BC60*BC12</f>
        <v>#DIV/0!</v>
      </c>
      <c r="BD61" s="172" t="e">
        <f>0.00013*BD60*BD12</f>
        <v>#DIV/0!</v>
      </c>
      <c r="BE61" s="170" t="e">
        <f>0.00013*BE60*BE12</f>
        <v>#DIV/0!</v>
      </c>
      <c r="BF61" s="169" t="e">
        <f>0.00013*BF60*BF12</f>
        <v>#DIV/0!</v>
      </c>
      <c r="BG61" s="172" t="e">
        <f>0.00013*BG60*BG12</f>
        <v>#DIV/0!</v>
      </c>
      <c r="BH61" s="172" t="e">
        <f>0.00013*BH60*BH12</f>
        <v>#DIV/0!</v>
      </c>
      <c r="BI61" s="170" t="e">
        <f>0.00013*BI60*BI12</f>
        <v>#DIV/0!</v>
      </c>
      <c r="BJ61" s="169" t="e">
        <f>0.00013*BJ60*BJ12</f>
        <v>#DIV/0!</v>
      </c>
      <c r="BK61" s="172" t="e">
        <f>0.00013*BK60*BK12</f>
        <v>#DIV/0!</v>
      </c>
      <c r="BL61" s="172" t="e">
        <f>0.00013*BL60*BL12</f>
        <v>#DIV/0!</v>
      </c>
      <c r="BM61" s="170" t="e">
        <f>0.00013*BM60*BM12</f>
        <v>#DIV/0!</v>
      </c>
      <c r="BN61" s="169" t="e">
        <f>0.00013*BN60*BN12</f>
        <v>#DIV/0!</v>
      </c>
      <c r="BO61" s="172" t="e">
        <f>0.00013*BO60*BO12</f>
        <v>#DIV/0!</v>
      </c>
      <c r="BP61" s="172" t="e">
        <f>0.00013*BP60*BP12</f>
        <v>#DIV/0!</v>
      </c>
      <c r="BQ61" s="170" t="e">
        <f>0.00013*BQ60*BQ12</f>
        <v>#DIV/0!</v>
      </c>
      <c r="BR61" s="169" t="e">
        <f>0.00013*BR60*BR12</f>
        <v>#DIV/0!</v>
      </c>
      <c r="BS61" s="172" t="e">
        <f>0.00013*BS60*BS12</f>
        <v>#DIV/0!</v>
      </c>
      <c r="BT61" s="172" t="e">
        <f>0.00013*BT60*BT12</f>
        <v>#DIV/0!</v>
      </c>
      <c r="BU61" s="170" t="e">
        <f>0.00013*BU60*BU12</f>
        <v>#DIV/0!</v>
      </c>
      <c r="BV61" s="169" t="e">
        <f>0.00013*BV60*BV12</f>
        <v>#DIV/0!</v>
      </c>
      <c r="BW61" s="172" t="e">
        <f>0.00013*BW60*BW12</f>
        <v>#DIV/0!</v>
      </c>
      <c r="BX61" s="172" t="e">
        <f>0.00013*BX60*BX12</f>
        <v>#DIV/0!</v>
      </c>
      <c r="BY61" s="170" t="e">
        <f>0.00013*BY60*BY12</f>
        <v>#DIV/0!</v>
      </c>
      <c r="BZ61" s="169" t="e">
        <f>0.00013*BZ60*BZ12</f>
        <v>#DIV/0!</v>
      </c>
      <c r="CA61" s="172" t="e">
        <f>0.00013*CA60*CA12</f>
        <v>#DIV/0!</v>
      </c>
      <c r="CB61" s="172" t="e">
        <f>0.00013*CB60*CB12</f>
        <v>#DIV/0!</v>
      </c>
      <c r="CC61" s="170" t="e">
        <f>0.00013*CC60*CC12</f>
        <v>#DIV/0!</v>
      </c>
      <c r="CD61" s="169" t="e">
        <f>0.00013*CD60*CD12</f>
        <v>#DIV/0!</v>
      </c>
      <c r="CE61" s="172" t="e">
        <f>0.00013*CE60*CE12</f>
        <v>#DIV/0!</v>
      </c>
      <c r="CF61" s="172" t="e">
        <f>0.00013*CF60*CF12</f>
        <v>#DIV/0!</v>
      </c>
      <c r="CG61" s="170" t="e">
        <f>0.00013*CG60*CG12</f>
        <v>#DIV/0!</v>
      </c>
      <c r="CH61" s="169" t="e">
        <f>0.00013*CH60*CH12</f>
        <v>#DIV/0!</v>
      </c>
      <c r="CI61" s="172" t="e">
        <f>0.00013*CI60*CI12</f>
        <v>#DIV/0!</v>
      </c>
      <c r="CJ61" s="172" t="e">
        <f>0.00013*CJ60*CJ12</f>
        <v>#DIV/0!</v>
      </c>
      <c r="CK61" s="170" t="e">
        <f>0.00013*CK60*CK12</f>
        <v>#DIV/0!</v>
      </c>
      <c r="CL61" s="49"/>
      <c r="CM61" s="28"/>
    </row>
    <row r="62" spans="2:91" ht="14.25" x14ac:dyDescent="0.25">
      <c r="B62" s="55"/>
      <c r="C62" s="10" t="s">
        <v>102</v>
      </c>
      <c r="D62" s="93" t="s">
        <v>33</v>
      </c>
      <c r="E62" s="125">
        <f>0.00569*SUM(E18:E19)/4-E25*(0.0027*E60-0.1946)</f>
        <v>0.28449999999999998</v>
      </c>
      <c r="F62" s="72">
        <f>0.00569*SUM(F18:F19)/4-F25*(0.0027*F60-0.1946)</f>
        <v>0.28592249999999997</v>
      </c>
      <c r="G62" s="73">
        <f>0.00569*SUM(G18:G19)/4-G25*(0.0027*G60-0.1946)</f>
        <v>0.28592249999999997</v>
      </c>
      <c r="H62" s="73">
        <f>0.00569*SUM(H18:H19)/4-H25*(0.0027*H60-0.1946)</f>
        <v>0.45946749999999997</v>
      </c>
      <c r="I62" s="74">
        <f>0.00569*SUM(I18:I19)/4-I25*(0.0027*I60-0.1946)</f>
        <v>0.45946749999999997</v>
      </c>
      <c r="J62" s="96" t="e">
        <f>0.00569*SUM(J18:J19)/4-J25*(0.0027*J60-0.1946)</f>
        <v>#DIV/0!</v>
      </c>
      <c r="K62" s="97">
        <f>0.00569*SUM(K18:K19)/4-K25*(0.0027*K60-0.1946)</f>
        <v>7.8237500000000001E-2</v>
      </c>
      <c r="L62" s="97">
        <f>0.00569*SUM(L18:L19)/4-L25*(0.0027*L60-0.1946)</f>
        <v>2.845E-2</v>
      </c>
      <c r="M62" s="98">
        <f>0.00569*SUM(M18:M19)/4-M25*(0.0027*M60-0.1946)</f>
        <v>2.845E-2</v>
      </c>
      <c r="N62" s="169" t="e">
        <f>0.00569*SUM(N18:N19)/4-N25*(0.0027*N60-0.1946)</f>
        <v>#DIV/0!</v>
      </c>
      <c r="O62" s="172" t="e">
        <f>0.00569*SUM(O18:O19)/4-O25*(0.0027*O60-0.1946)</f>
        <v>#DIV/0!</v>
      </c>
      <c r="P62" s="172" t="e">
        <f>0.00569*SUM(P18:P19)/4-P25*(0.0027*P60-0.1946)</f>
        <v>#DIV/0!</v>
      </c>
      <c r="Q62" s="170" t="e">
        <f>0.00569*SUM(Q18:Q19)/4-Q25*(0.0027*Q60-0.1946)</f>
        <v>#DIV/0!</v>
      </c>
      <c r="R62" s="169" t="e">
        <f>0.00569*SUM(R18:R19)/4-R25*(0.0027*R60-0.1946)</f>
        <v>#DIV/0!</v>
      </c>
      <c r="S62" s="172" t="e">
        <f>0.00569*SUM(S18:S19)/4-S25*(0.0027*S60-0.1946)</f>
        <v>#DIV/0!</v>
      </c>
      <c r="T62" s="172" t="e">
        <f>0.00569*SUM(T18:T19)/4-T25*(0.0027*T60-0.1946)</f>
        <v>#DIV/0!</v>
      </c>
      <c r="U62" s="170" t="e">
        <f>0.00569*SUM(U18:U19)/4-U25*(0.0027*U60-0.1946)</f>
        <v>#DIV/0!</v>
      </c>
      <c r="V62" s="169" t="e">
        <f>0.00569*SUM(V18:V19)/4-V25*(0.0027*V60-0.1946)</f>
        <v>#DIV/0!</v>
      </c>
      <c r="W62" s="172" t="e">
        <f>0.00569*SUM(W18:W19)/4-W25*(0.0027*W60-0.1946)</f>
        <v>#DIV/0!</v>
      </c>
      <c r="X62" s="172" t="e">
        <f>0.00569*SUM(X18:X19)/4-X25*(0.0027*X60-0.1946)</f>
        <v>#DIV/0!</v>
      </c>
      <c r="Y62" s="170" t="e">
        <f>0.00569*SUM(Y18:Y19)/4-Y25*(0.0027*Y60-0.1946)</f>
        <v>#DIV/0!</v>
      </c>
      <c r="Z62" s="169" t="e">
        <f>0.00569*SUM(Z18:Z19)/4-Z25*(0.0027*Z60-0.1946)</f>
        <v>#DIV/0!</v>
      </c>
      <c r="AA62" s="172" t="e">
        <f>0.00569*SUM(AA18:AA19)/4-AA25*(0.0027*AA60-0.1946)</f>
        <v>#DIV/0!</v>
      </c>
      <c r="AB62" s="172" t="e">
        <f>0.00569*SUM(AB18:AB19)/4-AB25*(0.0027*AB60-0.1946)</f>
        <v>#DIV/0!</v>
      </c>
      <c r="AC62" s="170" t="e">
        <f>0.00569*SUM(AC18:AC19)/4-AC25*(0.0027*AC60-0.1946)</f>
        <v>#DIV/0!</v>
      </c>
      <c r="AD62" s="169" t="e">
        <f>0.00569*SUM(AD18:AD19)/4-AD25*(0.0027*AD60-0.1946)</f>
        <v>#DIV/0!</v>
      </c>
      <c r="AE62" s="172" t="e">
        <f>0.00569*SUM(AE18:AE19)/4-AE25*(0.0027*AE60-0.1946)</f>
        <v>#DIV/0!</v>
      </c>
      <c r="AF62" s="172" t="e">
        <f>0.00569*SUM(AF18:AF19)/4-AF25*(0.0027*AF60-0.1946)</f>
        <v>#DIV/0!</v>
      </c>
      <c r="AG62" s="170" t="e">
        <f>0.00569*SUM(AG18:AG19)/4-AG25*(0.0027*AG60-0.1946)</f>
        <v>#DIV/0!</v>
      </c>
      <c r="AH62" s="169" t="e">
        <f>0.00569*SUM(AH18:AH19)/4-AH25*(0.0027*AH60-0.1946)</f>
        <v>#DIV/0!</v>
      </c>
      <c r="AI62" s="172" t="e">
        <f>0.00569*SUM(AI18:AI19)/4-AI25*(0.0027*AI60-0.1946)</f>
        <v>#DIV/0!</v>
      </c>
      <c r="AJ62" s="172" t="e">
        <f>0.00569*SUM(AJ18:AJ19)/4-AJ25*(0.0027*AJ60-0.1946)</f>
        <v>#DIV/0!</v>
      </c>
      <c r="AK62" s="170" t="e">
        <f>0.00569*SUM(AK18:AK19)/4-AK25*(0.0027*AK60-0.1946)</f>
        <v>#DIV/0!</v>
      </c>
      <c r="AL62" s="169" t="e">
        <f>0.00569*SUM(AL18:AL19)/4-AL25*(0.0027*AL60-0.1946)</f>
        <v>#DIV/0!</v>
      </c>
      <c r="AM62" s="172" t="e">
        <f>0.00569*SUM(AM18:AM19)/4-AM25*(0.0027*AM60-0.1946)</f>
        <v>#DIV/0!</v>
      </c>
      <c r="AN62" s="172" t="e">
        <f>0.00569*SUM(AN18:AN19)/4-AN25*(0.0027*AN60-0.1946)</f>
        <v>#DIV/0!</v>
      </c>
      <c r="AO62" s="170" t="e">
        <f>0.00569*SUM(AO18:AO19)/4-AO25*(0.0027*AO60-0.1946)</f>
        <v>#DIV/0!</v>
      </c>
      <c r="AP62" s="169" t="e">
        <f>0.00569*SUM(AP18:AP19)/4-AP25*(0.0027*AP60-0.1946)</f>
        <v>#DIV/0!</v>
      </c>
      <c r="AQ62" s="172" t="e">
        <f>0.00569*SUM(AQ18:AQ19)/4-AQ25*(0.0027*AQ60-0.1946)</f>
        <v>#DIV/0!</v>
      </c>
      <c r="AR62" s="172" t="e">
        <f>0.00569*SUM(AR18:AR19)/4-AR25*(0.0027*AR60-0.1946)</f>
        <v>#DIV/0!</v>
      </c>
      <c r="AS62" s="170" t="e">
        <f>0.00569*SUM(AS18:AS19)/4-AS25*(0.0027*AS60-0.1946)</f>
        <v>#DIV/0!</v>
      </c>
      <c r="AT62" s="169" t="e">
        <f>0.00569*SUM(AT18:AT19)/4-AT25*(0.0027*AT60-0.1946)</f>
        <v>#DIV/0!</v>
      </c>
      <c r="AU62" s="172" t="e">
        <f>0.00569*SUM(AU18:AU19)/4-AU25*(0.0027*AU60-0.1946)</f>
        <v>#DIV/0!</v>
      </c>
      <c r="AV62" s="172" t="e">
        <f>0.00569*SUM(AV18:AV19)/4-AV25*(0.0027*AV60-0.1946)</f>
        <v>#DIV/0!</v>
      </c>
      <c r="AW62" s="170" t="e">
        <f>0.00569*SUM(AW18:AW19)/4-AW25*(0.0027*AW60-0.1946)</f>
        <v>#DIV/0!</v>
      </c>
      <c r="AX62" s="169" t="e">
        <f>0.00569*SUM(AX18:AX19)/4-AX25*(0.0027*AX60-0.1946)</f>
        <v>#DIV/0!</v>
      </c>
      <c r="AY62" s="172" t="e">
        <f>0.00569*SUM(AY18:AY19)/4-AY25*(0.0027*AY60-0.1946)</f>
        <v>#DIV/0!</v>
      </c>
      <c r="AZ62" s="172" t="e">
        <f>0.00569*SUM(AZ18:AZ19)/4-AZ25*(0.0027*AZ60-0.1946)</f>
        <v>#DIV/0!</v>
      </c>
      <c r="BA62" s="170" t="e">
        <f>0.00569*SUM(BA18:BA19)/4-BA25*(0.0027*BA60-0.1946)</f>
        <v>#DIV/0!</v>
      </c>
      <c r="BB62" s="169" t="e">
        <f>0.00569*SUM(BB18:BB19)/4-BB25*(0.0027*BB60-0.1946)</f>
        <v>#DIV/0!</v>
      </c>
      <c r="BC62" s="172" t="e">
        <f>0.00569*SUM(BC18:BC19)/4-BC25*(0.0027*BC60-0.1946)</f>
        <v>#DIV/0!</v>
      </c>
      <c r="BD62" s="172" t="e">
        <f>0.00569*SUM(BD18:BD19)/4-BD25*(0.0027*BD60-0.1946)</f>
        <v>#DIV/0!</v>
      </c>
      <c r="BE62" s="170" t="e">
        <f>0.00569*SUM(BE18:BE19)/4-BE25*(0.0027*BE60-0.1946)</f>
        <v>#DIV/0!</v>
      </c>
      <c r="BF62" s="169" t="e">
        <f>0.00569*SUM(BF18:BF19)/4-BF25*(0.0027*BF60-0.1946)</f>
        <v>#DIV/0!</v>
      </c>
      <c r="BG62" s="172" t="e">
        <f>0.00569*SUM(BG18:BG19)/4-BG25*(0.0027*BG60-0.1946)</f>
        <v>#DIV/0!</v>
      </c>
      <c r="BH62" s="172" t="e">
        <f>0.00569*SUM(BH18:BH19)/4-BH25*(0.0027*BH60-0.1946)</f>
        <v>#DIV/0!</v>
      </c>
      <c r="BI62" s="170" t="e">
        <f>0.00569*SUM(BI18:BI19)/4-BI25*(0.0027*BI60-0.1946)</f>
        <v>#DIV/0!</v>
      </c>
      <c r="BJ62" s="169" t="e">
        <f>0.00569*SUM(BJ18:BJ19)/4-BJ25*(0.0027*BJ60-0.1946)</f>
        <v>#DIV/0!</v>
      </c>
      <c r="BK62" s="172" t="e">
        <f>0.00569*SUM(BK18:BK19)/4-BK25*(0.0027*BK60-0.1946)</f>
        <v>#DIV/0!</v>
      </c>
      <c r="BL62" s="172" t="e">
        <f>0.00569*SUM(BL18:BL19)/4-BL25*(0.0027*BL60-0.1946)</f>
        <v>#DIV/0!</v>
      </c>
      <c r="BM62" s="170" t="e">
        <f>0.00569*SUM(BM18:BM19)/4-BM25*(0.0027*BM60-0.1946)</f>
        <v>#DIV/0!</v>
      </c>
      <c r="BN62" s="169" t="e">
        <f>0.00569*SUM(BN18:BN19)/4-BN25*(0.0027*BN60-0.1946)</f>
        <v>#DIV/0!</v>
      </c>
      <c r="BO62" s="172" t="e">
        <f>0.00569*SUM(BO18:BO19)/4-BO25*(0.0027*BO60-0.1946)</f>
        <v>#DIV/0!</v>
      </c>
      <c r="BP62" s="172" t="e">
        <f>0.00569*SUM(BP18:BP19)/4-BP25*(0.0027*BP60-0.1946)</f>
        <v>#DIV/0!</v>
      </c>
      <c r="BQ62" s="170" t="e">
        <f>0.00569*SUM(BQ18:BQ19)/4-BQ25*(0.0027*BQ60-0.1946)</f>
        <v>#DIV/0!</v>
      </c>
      <c r="BR62" s="169" t="e">
        <f>0.00569*SUM(BR18:BR19)/4-BR25*(0.0027*BR60-0.1946)</f>
        <v>#DIV/0!</v>
      </c>
      <c r="BS62" s="172" t="e">
        <f>0.00569*SUM(BS18:BS19)/4-BS25*(0.0027*BS60-0.1946)</f>
        <v>#DIV/0!</v>
      </c>
      <c r="BT62" s="172" t="e">
        <f>0.00569*SUM(BT18:BT19)/4-BT25*(0.0027*BT60-0.1946)</f>
        <v>#DIV/0!</v>
      </c>
      <c r="BU62" s="170" t="e">
        <f>0.00569*SUM(BU18:BU19)/4-BU25*(0.0027*BU60-0.1946)</f>
        <v>#DIV/0!</v>
      </c>
      <c r="BV62" s="169" t="e">
        <f>0.00569*SUM(BV18:BV19)/4-BV25*(0.0027*BV60-0.1946)</f>
        <v>#DIV/0!</v>
      </c>
      <c r="BW62" s="172" t="e">
        <f>0.00569*SUM(BW18:BW19)/4-BW25*(0.0027*BW60-0.1946)</f>
        <v>#DIV/0!</v>
      </c>
      <c r="BX62" s="172" t="e">
        <f>0.00569*SUM(BX18:BX19)/4-BX25*(0.0027*BX60-0.1946)</f>
        <v>#DIV/0!</v>
      </c>
      <c r="BY62" s="170" t="e">
        <f>0.00569*SUM(BY18:BY19)/4-BY25*(0.0027*BY60-0.1946)</f>
        <v>#DIV/0!</v>
      </c>
      <c r="BZ62" s="169" t="e">
        <f>0.00569*SUM(BZ18:BZ19)/4-BZ25*(0.0027*BZ60-0.1946)</f>
        <v>#DIV/0!</v>
      </c>
      <c r="CA62" s="172" t="e">
        <f>0.00569*SUM(CA18:CA19)/4-CA25*(0.0027*CA60-0.1946)</f>
        <v>#DIV/0!</v>
      </c>
      <c r="CB62" s="172" t="e">
        <f>0.00569*SUM(CB18:CB19)/4-CB25*(0.0027*CB60-0.1946)</f>
        <v>#DIV/0!</v>
      </c>
      <c r="CC62" s="170" t="e">
        <f>0.00569*SUM(CC18:CC19)/4-CC25*(0.0027*CC60-0.1946)</f>
        <v>#DIV/0!</v>
      </c>
      <c r="CD62" s="169" t="e">
        <f>0.00569*SUM(CD18:CD19)/4-CD25*(0.0027*CD60-0.1946)</f>
        <v>#DIV/0!</v>
      </c>
      <c r="CE62" s="172" t="e">
        <f>0.00569*SUM(CE18:CE19)/4-CE25*(0.0027*CE60-0.1946)</f>
        <v>#DIV/0!</v>
      </c>
      <c r="CF62" s="172" t="e">
        <f>0.00569*SUM(CF18:CF19)/4-CF25*(0.0027*CF60-0.1946)</f>
        <v>#DIV/0!</v>
      </c>
      <c r="CG62" s="170" t="e">
        <f>0.00569*SUM(CG18:CG19)/4-CG25*(0.0027*CG60-0.1946)</f>
        <v>#DIV/0!</v>
      </c>
      <c r="CH62" s="169" t="e">
        <f>0.00569*SUM(CH18:CH19)/4-CH25*(0.0027*CH60-0.1946)</f>
        <v>#DIV/0!</v>
      </c>
      <c r="CI62" s="172" t="e">
        <f>0.00569*SUM(CI18:CI19)/4-CI25*(0.0027*CI60-0.1946)</f>
        <v>#DIV/0!</v>
      </c>
      <c r="CJ62" s="172" t="e">
        <f>0.00569*SUM(CJ18:CJ19)/4-CJ25*(0.0027*CJ60-0.1946)</f>
        <v>#DIV/0!</v>
      </c>
      <c r="CK62" s="170" t="e">
        <f>0.00569*SUM(CK18:CK19)/4-CK25*(0.0027*CK60-0.1946)</f>
        <v>#DIV/0!</v>
      </c>
      <c r="CL62" s="49"/>
      <c r="CM62" s="28"/>
    </row>
    <row r="63" spans="2:91" ht="14.25" x14ac:dyDescent="0.25">
      <c r="B63" s="55"/>
      <c r="C63" s="10" t="s">
        <v>164</v>
      </c>
      <c r="D63" s="93" t="s">
        <v>221</v>
      </c>
      <c r="E63" s="127">
        <f>E29+4</f>
        <v>49</v>
      </c>
      <c r="F63" s="42">
        <f>F29+4</f>
        <v>51.7</v>
      </c>
      <c r="G63" s="45">
        <f>G29+4</f>
        <v>51.7</v>
      </c>
      <c r="H63" s="45">
        <f>H29+4</f>
        <v>35.1</v>
      </c>
      <c r="I63" s="94">
        <f>I29+4</f>
        <v>35.1</v>
      </c>
      <c r="J63" s="100">
        <f>J29+4</f>
        <v>4</v>
      </c>
      <c r="K63" s="101">
        <f>K29+4</f>
        <v>4</v>
      </c>
      <c r="L63" s="101">
        <f>L29+4</f>
        <v>4</v>
      </c>
      <c r="M63" s="102">
        <f>M29+4</f>
        <v>4</v>
      </c>
      <c r="N63" s="173">
        <f>N29+4</f>
        <v>4</v>
      </c>
      <c r="O63" s="174">
        <f>O29+4</f>
        <v>4</v>
      </c>
      <c r="P63" s="174">
        <f>P29+4</f>
        <v>4</v>
      </c>
      <c r="Q63" s="175">
        <f>Q29+4</f>
        <v>4</v>
      </c>
      <c r="R63" s="173">
        <f>R29+4</f>
        <v>4</v>
      </c>
      <c r="S63" s="174">
        <f>S29+4</f>
        <v>4</v>
      </c>
      <c r="T63" s="174">
        <f>T29+4</f>
        <v>4</v>
      </c>
      <c r="U63" s="175">
        <f>U29+4</f>
        <v>4</v>
      </c>
      <c r="V63" s="173">
        <f>V29+4</f>
        <v>4</v>
      </c>
      <c r="W63" s="174">
        <f>W29+4</f>
        <v>4</v>
      </c>
      <c r="X63" s="174">
        <f>X29+4</f>
        <v>4</v>
      </c>
      <c r="Y63" s="175">
        <f>Y29+4</f>
        <v>4</v>
      </c>
      <c r="Z63" s="173">
        <f>Z29+4</f>
        <v>4</v>
      </c>
      <c r="AA63" s="174">
        <f>AA29+4</f>
        <v>4</v>
      </c>
      <c r="AB63" s="174">
        <f>AB29+4</f>
        <v>4</v>
      </c>
      <c r="AC63" s="175">
        <f>AC29+4</f>
        <v>4</v>
      </c>
      <c r="AD63" s="173">
        <f>AD29+4</f>
        <v>4</v>
      </c>
      <c r="AE63" s="174">
        <f>AE29+4</f>
        <v>4</v>
      </c>
      <c r="AF63" s="174">
        <f>AF29+4</f>
        <v>4</v>
      </c>
      <c r="AG63" s="175">
        <f>AG29+4</f>
        <v>4</v>
      </c>
      <c r="AH63" s="173">
        <f>AH29+4</f>
        <v>4</v>
      </c>
      <c r="AI63" s="174">
        <f>AI29+4</f>
        <v>4</v>
      </c>
      <c r="AJ63" s="174">
        <f>AJ29+4</f>
        <v>4</v>
      </c>
      <c r="AK63" s="175">
        <f>AK29+4</f>
        <v>4</v>
      </c>
      <c r="AL63" s="173">
        <f>AL29+4</f>
        <v>4</v>
      </c>
      <c r="AM63" s="174">
        <f>AM29+4</f>
        <v>4</v>
      </c>
      <c r="AN63" s="174">
        <f>AN29+4</f>
        <v>4</v>
      </c>
      <c r="AO63" s="175">
        <f>AO29+4</f>
        <v>4</v>
      </c>
      <c r="AP63" s="173">
        <f>AP29+4</f>
        <v>4</v>
      </c>
      <c r="AQ63" s="174">
        <f>AQ29+4</f>
        <v>4</v>
      </c>
      <c r="AR63" s="174">
        <f>AR29+4</f>
        <v>4</v>
      </c>
      <c r="AS63" s="175">
        <f>AS29+4</f>
        <v>4</v>
      </c>
      <c r="AT63" s="173">
        <f>AT29+4</f>
        <v>4</v>
      </c>
      <c r="AU63" s="174">
        <f>AU29+4</f>
        <v>4</v>
      </c>
      <c r="AV63" s="174">
        <f>AV29+4</f>
        <v>4</v>
      </c>
      <c r="AW63" s="175">
        <f>AW29+4</f>
        <v>4</v>
      </c>
      <c r="AX63" s="173">
        <f>AX29+4</f>
        <v>4</v>
      </c>
      <c r="AY63" s="174">
        <f>AY29+4</f>
        <v>4</v>
      </c>
      <c r="AZ63" s="174">
        <f>AZ29+4</f>
        <v>4</v>
      </c>
      <c r="BA63" s="175">
        <f>BA29+4</f>
        <v>4</v>
      </c>
      <c r="BB63" s="173">
        <f>BB29+4</f>
        <v>4</v>
      </c>
      <c r="BC63" s="174">
        <f>BC29+4</f>
        <v>4</v>
      </c>
      <c r="BD63" s="174">
        <f>BD29+4</f>
        <v>4</v>
      </c>
      <c r="BE63" s="175">
        <f>BE29+4</f>
        <v>4</v>
      </c>
      <c r="BF63" s="173">
        <f>BF29+4</f>
        <v>4</v>
      </c>
      <c r="BG63" s="174">
        <f>BG29+4</f>
        <v>4</v>
      </c>
      <c r="BH63" s="174">
        <f>BH29+4</f>
        <v>4</v>
      </c>
      <c r="BI63" s="175">
        <f>BI29+4</f>
        <v>4</v>
      </c>
      <c r="BJ63" s="173">
        <f>BJ29+4</f>
        <v>4</v>
      </c>
      <c r="BK63" s="174">
        <f>BK29+4</f>
        <v>4</v>
      </c>
      <c r="BL63" s="174">
        <f>BL29+4</f>
        <v>4</v>
      </c>
      <c r="BM63" s="175">
        <f>BM29+4</f>
        <v>4</v>
      </c>
      <c r="BN63" s="173">
        <f>BN29+4</f>
        <v>4</v>
      </c>
      <c r="BO63" s="174">
        <f>BO29+4</f>
        <v>4</v>
      </c>
      <c r="BP63" s="174">
        <f>BP29+4</f>
        <v>4</v>
      </c>
      <c r="BQ63" s="175">
        <f>BQ29+4</f>
        <v>4</v>
      </c>
      <c r="BR63" s="173">
        <f>BR29+4</f>
        <v>4</v>
      </c>
      <c r="BS63" s="174">
        <f>BS29+4</f>
        <v>4</v>
      </c>
      <c r="BT63" s="174">
        <f>BT29+4</f>
        <v>4</v>
      </c>
      <c r="BU63" s="175">
        <f>BU29+4</f>
        <v>4</v>
      </c>
      <c r="BV63" s="173">
        <f>BV29+4</f>
        <v>4</v>
      </c>
      <c r="BW63" s="174">
        <f>BW29+4</f>
        <v>4</v>
      </c>
      <c r="BX63" s="174">
        <f>BX29+4</f>
        <v>4</v>
      </c>
      <c r="BY63" s="175">
        <f>BY29+4</f>
        <v>4</v>
      </c>
      <c r="BZ63" s="173">
        <f>BZ29+4</f>
        <v>4</v>
      </c>
      <c r="CA63" s="174">
        <f>CA29+4</f>
        <v>4</v>
      </c>
      <c r="CB63" s="174">
        <f>CB29+4</f>
        <v>4</v>
      </c>
      <c r="CC63" s="175">
        <f>CC29+4</f>
        <v>4</v>
      </c>
      <c r="CD63" s="173">
        <f>CD29+4</f>
        <v>4</v>
      </c>
      <c r="CE63" s="174">
        <f>CE29+4</f>
        <v>4</v>
      </c>
      <c r="CF63" s="174">
        <f>CF29+4</f>
        <v>4</v>
      </c>
      <c r="CG63" s="175">
        <f>CG29+4</f>
        <v>4</v>
      </c>
      <c r="CH63" s="173">
        <f>CH29+4</f>
        <v>4</v>
      </c>
      <c r="CI63" s="174">
        <f>CI29+4</f>
        <v>4</v>
      </c>
      <c r="CJ63" s="174">
        <f>CJ29+4</f>
        <v>4</v>
      </c>
      <c r="CK63" s="175">
        <f>CK29+4</f>
        <v>4</v>
      </c>
      <c r="CL63" s="49"/>
      <c r="CM63" s="28"/>
    </row>
    <row r="64" spans="2:91" ht="14.25" x14ac:dyDescent="0.25">
      <c r="B64" s="55"/>
      <c r="C64" s="10" t="s">
        <v>166</v>
      </c>
      <c r="D64" s="93" t="s">
        <v>167</v>
      </c>
      <c r="E64" s="126">
        <f>IF(E42="Signalized",(E28-E63)^2/(2*E28), IF(E42="Free",TWSC_PED_DELAY(E9,E57,E58,E54,E55,E38,E56), IF(E42="Stop",1,"Control N/A!")))</f>
        <v>1</v>
      </c>
      <c r="F64" s="13">
        <f>IF(F42="Signalized",(F28-F63)^2/(2*F28),IF(F42="Free",TWSC_PED_DELAY(F9,F57,F58,F54,F55,F38,F56),IF(F42="Stop - Two way",1,IF(F42="Stop - All way",1,"Control N/A!"))))</f>
        <v>9.867842105263156</v>
      </c>
      <c r="G64" s="44">
        <f>IF(G42="Signalized",(G28-G63)^2/(2*G28),IF(G42="Free",TWSC_PED_DELAY(G9,G57,G58,G54,G55,G38,G56),IF(G42="Stop - Two way",1,IF(G42="Stop - All way",1,"Control N/A!"))))</f>
        <v>9.867842105263156</v>
      </c>
      <c r="H64" s="44">
        <f>IF(H42="Signalized",(H28-H63)^2/(2*H28),IF(H42="Free",TWSC_PED_DELAY(H9,H57,H58,H54,H55,H38,H56),IF(H42="Stop - Two way",1,IF(H42="Stop - All way",1,"Control N/A!"))))</f>
        <v>18.884263157894736</v>
      </c>
      <c r="I64" s="14">
        <f>IF(I42="Signalized",(I28-I63)^2/(2*I28),IF(I42="Free",TWSC_PED_DELAY(I9,I57,I58,I54,I55,I38,I56),IF(I42="Stop - Two way",1,IF(I42="Stop - All way",1,"Control N/A!"))))</f>
        <v>18.884263157894736</v>
      </c>
      <c r="J64" s="13" t="str">
        <f>IF(J42="Signalized",(J28-J63)^2/(2*J28),IF(J42="Free",TWSC_PED_DELAY(J9,J57,J58,J54,J55,J38,J56),IF(J42="Stop - Two way",1,IF(J42="Stop - All way",1,"Control N/A!"))))</f>
        <v>Control N/A!</v>
      </c>
      <c r="K64" s="44">
        <f>IF(K42="Signalized",(K28-K63)^2/(2*K28),IF(K42="Free",TWSC_PED_DELAY(K9,K57,K58,K54,K55,K38,K56),IF(K42="Stop - Two way",1,IF(K42="Stop - All way",1,"Control N/A!"))))</f>
        <v>1</v>
      </c>
      <c r="L64" s="44">
        <f>IF(L42="Signalized",(L28-L63)^2/(2*L28),IF(L42="Free",TWSC_PED_DELAY(L9,L57,L58,L54,L55,L38,L56),IF(L42="Stop - Two way",1,IF(L42="Stop - All way",1,"Control N/A!"))))</f>
        <v>2102.6421273447081</v>
      </c>
      <c r="M64" s="14" t="e">
        <f>IF(M42="Signalized",(M28-M63)^2/(2*M28),IF(M42="Free",TWSC_PED_DELAY(M9,M57,M58,M54,M55,M38,M56),IF(M42="Stop - Two way",1,IF(M42="Stop - All way",1,"Control N/A!"))))</f>
        <v>#VALUE!</v>
      </c>
      <c r="N64" s="13" t="str">
        <f>IF(N42="Signalized",(N28-N63)^2/(2*N28),IF(N42="Free",TWSC_PED_DELAY(N9,N57,N58,N54,N55,N38,N56),IF(N42="Stop - Two way",1,IF(N42="Stop - All way",1,"Control N/A!"))))</f>
        <v>Control N/A!</v>
      </c>
      <c r="O64" s="44" t="str">
        <f>IF(O42="Signalized",(O28-O63)^2/(2*O28),IF(O42="Free",TWSC_PED_DELAY(O9,O57,O58,O54,O55,O38,O56),IF(O42="Stop - Two way",1,IF(O42="Stop - All way",1,"Control N/A!"))))</f>
        <v>Control N/A!</v>
      </c>
      <c r="P64" s="44" t="str">
        <f>IF(P42="Signalized",(P28-P63)^2/(2*P28),IF(P42="Free",TWSC_PED_DELAY(P9,P57,P58,P54,P55,P38,P56),IF(P42="Stop - Two way",1,IF(P42="Stop - All way",1,"Control N/A!"))))</f>
        <v>Control N/A!</v>
      </c>
      <c r="Q64" s="14" t="str">
        <f>IF(Q42="Signalized",(Q28-Q63)^2/(2*Q28),IF(Q42="Free",TWSC_PED_DELAY(Q9,Q57,Q58,Q54,Q55,Q38,Q56),IF(Q42="Stop - Two way",1,IF(Q42="Stop - All way",1,"Control N/A!"))))</f>
        <v>Control N/A!</v>
      </c>
      <c r="R64" s="13" t="str">
        <f>IF(R42="Signalized",(R28-R63)^2/(2*R28),IF(R42="Free",TWSC_PED_DELAY(R9,R57,R58,R54,R55,R38,R56),IF(R42="Stop - Two way",1,IF(R42="Stop - All way",1,"Control N/A!"))))</f>
        <v>Control N/A!</v>
      </c>
      <c r="S64" s="44" t="str">
        <f>IF(S42="Signalized",(S28-S63)^2/(2*S28),IF(S42="Free",TWSC_PED_DELAY(S9,S57,S58,S54,S55,S38,S56),IF(S42="Stop - Two way",1,IF(S42="Stop - All way",1,"Control N/A!"))))</f>
        <v>Control N/A!</v>
      </c>
      <c r="T64" s="44" t="str">
        <f>IF(T42="Signalized",(T28-T63)^2/(2*T28),IF(T42="Free",TWSC_PED_DELAY(T9,T57,T58,T54,T55,T38,T56),IF(T42="Stop - Two way",1,IF(T42="Stop - All way",1,"Control N/A!"))))</f>
        <v>Control N/A!</v>
      </c>
      <c r="U64" s="14" t="str">
        <f>IF(U42="Signalized",(U28-U63)^2/(2*U28),IF(U42="Free",TWSC_PED_DELAY(U9,U57,U58,U54,U55,U38,U56),IF(U42="Stop - Two way",1,IF(U42="Stop - All way",1,"Control N/A!"))))</f>
        <v>Control N/A!</v>
      </c>
      <c r="V64" s="13" t="str">
        <f>IF(V42="Signalized",(V28-V63)^2/(2*V28),IF(V42="Free",TWSC_PED_DELAY(V9,V57,V58,V54,V55,V38,V56),IF(V42="Stop - Two way",1,IF(V42="Stop - All way",1,"Control N/A!"))))</f>
        <v>Control N/A!</v>
      </c>
      <c r="W64" s="44" t="str">
        <f>IF(W42="Signalized",(W28-W63)^2/(2*W28),IF(W42="Free",TWSC_PED_DELAY(W9,W57,W58,W54,W55,W38,W56),IF(W42="Stop - Two way",1,IF(W42="Stop - All way",1,"Control N/A!"))))</f>
        <v>Control N/A!</v>
      </c>
      <c r="X64" s="44" t="str">
        <f>IF(X42="Signalized",(X28-X63)^2/(2*X28),IF(X42="Free",TWSC_PED_DELAY(X9,X57,X58,X54,X55,X38,X56),IF(X42="Stop - Two way",1,IF(X42="Stop - All way",1,"Control N/A!"))))</f>
        <v>Control N/A!</v>
      </c>
      <c r="Y64" s="14" t="str">
        <f>IF(Y42="Signalized",(Y28-Y63)^2/(2*Y28),IF(Y42="Free",TWSC_PED_DELAY(Y9,Y57,Y58,Y54,Y55,Y38,Y56),IF(Y42="Stop - Two way",1,IF(Y42="Stop - All way",1,"Control N/A!"))))</f>
        <v>Control N/A!</v>
      </c>
      <c r="Z64" s="13" t="str">
        <f>IF(Z42="Signalized",(Z28-Z63)^2/(2*Z28),IF(Z42="Free",TWSC_PED_DELAY(Z9,Z57,Z58,Z54,Z55,Z38,Z56),IF(Z42="Stop - Two way",1,IF(Z42="Stop - All way",1,"Control N/A!"))))</f>
        <v>Control N/A!</v>
      </c>
      <c r="AA64" s="44" t="str">
        <f>IF(AA42="Signalized",(AA28-AA63)^2/(2*AA28),IF(AA42="Free",TWSC_PED_DELAY(AA9,AA57,AA58,AA54,AA55,AA38,AA56),IF(AA42="Stop - Two way",1,IF(AA42="Stop - All way",1,"Control N/A!"))))</f>
        <v>Control N/A!</v>
      </c>
      <c r="AB64" s="44" t="str">
        <f>IF(AB42="Signalized",(AB28-AB63)^2/(2*AB28),IF(AB42="Free",TWSC_PED_DELAY(AB9,AB57,AB58,AB54,AB55,AB38,AB56),IF(AB42="Stop - Two way",1,IF(AB42="Stop - All way",1,"Control N/A!"))))</f>
        <v>Control N/A!</v>
      </c>
      <c r="AC64" s="14" t="str">
        <f>IF(AC42="Signalized",(AC28-AC63)^2/(2*AC28),IF(AC42="Free",TWSC_PED_DELAY(AC9,AC57,AC58,AC54,AC55,AC38,AC56),IF(AC42="Stop - Two way",1,IF(AC42="Stop - All way",1,"Control N/A!"))))</f>
        <v>Control N/A!</v>
      </c>
      <c r="AD64" s="13" t="str">
        <f>IF(AD42="Signalized",(AD28-AD63)^2/(2*AD28),IF(AD42="Free",TWSC_PED_DELAY(AD9,AD57,AD58,AD54,AD55,AD38,AD56),IF(AD42="Stop - Two way",1,IF(AD42="Stop - All way",1,"Control N/A!"))))</f>
        <v>Control N/A!</v>
      </c>
      <c r="AE64" s="44" t="str">
        <f>IF(AE42="Signalized",(AE28-AE63)^2/(2*AE28),IF(AE42="Free",TWSC_PED_DELAY(AE9,AE57,AE58,AE54,AE55,AE38,AE56),IF(AE42="Stop - Two way",1,IF(AE42="Stop - All way",1,"Control N/A!"))))</f>
        <v>Control N/A!</v>
      </c>
      <c r="AF64" s="44" t="str">
        <f>IF(AF42="Signalized",(AF28-AF63)^2/(2*AF28),IF(AF42="Free",TWSC_PED_DELAY(AF9,AF57,AF58,AF54,AF55,AF38,AF56),IF(AF42="Stop - Two way",1,IF(AF42="Stop - All way",1,"Control N/A!"))))</f>
        <v>Control N/A!</v>
      </c>
      <c r="AG64" s="14" t="str">
        <f>IF(AG42="Signalized",(AG28-AG63)^2/(2*AG28),IF(AG42="Free",TWSC_PED_DELAY(AG9,AG57,AG58,AG54,AG55,AG38,AG56),IF(AG42="Stop - Two way",1,IF(AG42="Stop - All way",1,"Control N/A!"))))</f>
        <v>Control N/A!</v>
      </c>
      <c r="AH64" s="13" t="str">
        <f>IF(AH42="Signalized",(AH28-AH63)^2/(2*AH28),IF(AH42="Free",TWSC_PED_DELAY(AH9,AH57,AH58,AH54,AH55,AH38,AH56),IF(AH42="Stop - Two way",1,IF(AH42="Stop - All way",1,"Control N/A!"))))</f>
        <v>Control N/A!</v>
      </c>
      <c r="AI64" s="44" t="str">
        <f>IF(AI42="Signalized",(AI28-AI63)^2/(2*AI28),IF(AI42="Free",TWSC_PED_DELAY(AI9,AI57,AI58,AI54,AI55,AI38,AI56),IF(AI42="Stop - Two way",1,IF(AI42="Stop - All way",1,"Control N/A!"))))</f>
        <v>Control N/A!</v>
      </c>
      <c r="AJ64" s="44" t="str">
        <f>IF(AJ42="Signalized",(AJ28-AJ63)^2/(2*AJ28),IF(AJ42="Free",TWSC_PED_DELAY(AJ9,AJ57,AJ58,AJ54,AJ55,AJ38,AJ56),IF(AJ42="Stop - Two way",1,IF(AJ42="Stop - All way",1,"Control N/A!"))))</f>
        <v>Control N/A!</v>
      </c>
      <c r="AK64" s="14" t="str">
        <f>IF(AK42="Signalized",(AK28-AK63)^2/(2*AK28),IF(AK42="Free",TWSC_PED_DELAY(AK9,AK57,AK58,AK54,AK55,AK38,AK56),IF(AK42="Stop - Two way",1,IF(AK42="Stop - All way",1,"Control N/A!"))))</f>
        <v>Control N/A!</v>
      </c>
      <c r="AL64" s="13" t="str">
        <f>IF(AL42="Signalized",(AL28-AL63)^2/(2*AL28),IF(AL42="Free",TWSC_PED_DELAY(AL9,AL57,AL58,AL54,AL55,AL38,AL56),IF(AL42="Stop - Two way",1,IF(AL42="Stop - All way",1,"Control N/A!"))))</f>
        <v>Control N/A!</v>
      </c>
      <c r="AM64" s="44" t="str">
        <f>IF(AM42="Signalized",(AM28-AM63)^2/(2*AM28),IF(AM42="Free",TWSC_PED_DELAY(AM9,AM57,AM58,AM54,AM55,AM38,AM56),IF(AM42="Stop - Two way",1,IF(AM42="Stop - All way",1,"Control N/A!"))))</f>
        <v>Control N/A!</v>
      </c>
      <c r="AN64" s="44" t="str">
        <f>IF(AN42="Signalized",(AN28-AN63)^2/(2*AN28),IF(AN42="Free",TWSC_PED_DELAY(AN9,AN57,AN58,AN54,AN55,AN38,AN56),IF(AN42="Stop - Two way",1,IF(AN42="Stop - All way",1,"Control N/A!"))))</f>
        <v>Control N/A!</v>
      </c>
      <c r="AO64" s="14" t="str">
        <f>IF(AO42="Signalized",(AO28-AO63)^2/(2*AO28),IF(AO42="Free",TWSC_PED_DELAY(AO9,AO57,AO58,AO54,AO55,AO38,AO56),IF(AO42="Stop - Two way",1,IF(AO42="Stop - All way",1,"Control N/A!"))))</f>
        <v>Control N/A!</v>
      </c>
      <c r="AP64" s="13" t="str">
        <f>IF(AP42="Signalized",(AP28-AP63)^2/(2*AP28),IF(AP42="Free",TWSC_PED_DELAY(AP9,AP57,AP58,AP54,AP55,AP38,AP56),IF(AP42="Stop - Two way",1,IF(AP42="Stop - All way",1,"Control N/A!"))))</f>
        <v>Control N/A!</v>
      </c>
      <c r="AQ64" s="44" t="str">
        <f>IF(AQ42="Signalized",(AQ28-AQ63)^2/(2*AQ28),IF(AQ42="Free",TWSC_PED_DELAY(AQ9,AQ57,AQ58,AQ54,AQ55,AQ38,AQ56),IF(AQ42="Stop - Two way",1,IF(AQ42="Stop - All way",1,"Control N/A!"))))</f>
        <v>Control N/A!</v>
      </c>
      <c r="AR64" s="44" t="str">
        <f>IF(AR42="Signalized",(AR28-AR63)^2/(2*AR28),IF(AR42="Free",TWSC_PED_DELAY(AR9,AR57,AR58,AR54,AR55,AR38,AR56),IF(AR42="Stop - Two way",1,IF(AR42="Stop - All way",1,"Control N/A!"))))</f>
        <v>Control N/A!</v>
      </c>
      <c r="AS64" s="14" t="str">
        <f>IF(AS42="Signalized",(AS28-AS63)^2/(2*AS28),IF(AS42="Free",TWSC_PED_DELAY(AS9,AS57,AS58,AS54,AS55,AS38,AS56),IF(AS42="Stop - Two way",1,IF(AS42="Stop - All way",1,"Control N/A!"))))</f>
        <v>Control N/A!</v>
      </c>
      <c r="AT64" s="13" t="str">
        <f>IF(AT42="Signalized",(AT28-AT63)^2/(2*AT28),IF(AT42="Free",TWSC_PED_DELAY(AT9,AT57,AT58,AT54,AT55,AT38,AT56),IF(AT42="Stop - Two way",1,IF(AT42="Stop - All way",1,"Control N/A!"))))</f>
        <v>Control N/A!</v>
      </c>
      <c r="AU64" s="44" t="str">
        <f>IF(AU42="Signalized",(AU28-AU63)^2/(2*AU28),IF(AU42="Free",TWSC_PED_DELAY(AU9,AU57,AU58,AU54,AU55,AU38,AU56),IF(AU42="Stop - Two way",1,IF(AU42="Stop - All way",1,"Control N/A!"))))</f>
        <v>Control N/A!</v>
      </c>
      <c r="AV64" s="44" t="str">
        <f>IF(AV42="Signalized",(AV28-AV63)^2/(2*AV28),IF(AV42="Free",TWSC_PED_DELAY(AV9,AV57,AV58,AV54,AV55,AV38,AV56),IF(AV42="Stop - Two way",1,IF(AV42="Stop - All way",1,"Control N/A!"))))</f>
        <v>Control N/A!</v>
      </c>
      <c r="AW64" s="14" t="str">
        <f>IF(AW42="Signalized",(AW28-AW63)^2/(2*AW28),IF(AW42="Free",TWSC_PED_DELAY(AW9,AW57,AW58,AW54,AW55,AW38,AW56),IF(AW42="Stop - Two way",1,IF(AW42="Stop - All way",1,"Control N/A!"))))</f>
        <v>Control N/A!</v>
      </c>
      <c r="AX64" s="13" t="str">
        <f>IF(AX42="Signalized",(AX28-AX63)^2/(2*AX28),IF(AX42="Free",TWSC_PED_DELAY(AX9,AX57,AX58,AX54,AX55,AX38,AX56),IF(AX42="Stop - Two way",1,IF(AX42="Stop - All way",1,"Control N/A!"))))</f>
        <v>Control N/A!</v>
      </c>
      <c r="AY64" s="44" t="str">
        <f>IF(AY42="Signalized",(AY28-AY63)^2/(2*AY28),IF(AY42="Free",TWSC_PED_DELAY(AY9,AY57,AY58,AY54,AY55,AY38,AY56),IF(AY42="Stop - Two way",1,IF(AY42="Stop - All way",1,"Control N/A!"))))</f>
        <v>Control N/A!</v>
      </c>
      <c r="AZ64" s="44" t="str">
        <f>IF(AZ42="Signalized",(AZ28-AZ63)^2/(2*AZ28),IF(AZ42="Free",TWSC_PED_DELAY(AZ9,AZ57,AZ58,AZ54,AZ55,AZ38,AZ56),IF(AZ42="Stop - Two way",1,IF(AZ42="Stop - All way",1,"Control N/A!"))))</f>
        <v>Control N/A!</v>
      </c>
      <c r="BA64" s="14" t="str">
        <f>IF(BA42="Signalized",(BA28-BA63)^2/(2*BA28),IF(BA42="Free",TWSC_PED_DELAY(BA9,BA57,BA58,BA54,BA55,BA38,BA56),IF(BA42="Stop - Two way",1,IF(BA42="Stop - All way",1,"Control N/A!"))))</f>
        <v>Control N/A!</v>
      </c>
      <c r="BB64" s="13" t="str">
        <f>IF(BB42="Signalized",(BB28-BB63)^2/(2*BB28),IF(BB42="Free",TWSC_PED_DELAY(BB9,BB57,BB58,BB54,BB55,BB38,BB56),IF(BB42="Stop - Two way",1,IF(BB42="Stop - All way",1,"Control N/A!"))))</f>
        <v>Control N/A!</v>
      </c>
      <c r="BC64" s="44" t="str">
        <f>IF(BC42="Signalized",(BC28-BC63)^2/(2*BC28),IF(BC42="Free",TWSC_PED_DELAY(BC9,BC57,BC58,BC54,BC55,BC38,BC56),IF(BC42="Stop - Two way",1,IF(BC42="Stop - All way",1,"Control N/A!"))))</f>
        <v>Control N/A!</v>
      </c>
      <c r="BD64" s="44" t="str">
        <f>IF(BD42="Signalized",(BD28-BD63)^2/(2*BD28),IF(BD42="Free",TWSC_PED_DELAY(BD9,BD57,BD58,BD54,BD55,BD38,BD56),IF(BD42="Stop - Two way",1,IF(BD42="Stop - All way",1,"Control N/A!"))))</f>
        <v>Control N/A!</v>
      </c>
      <c r="BE64" s="14" t="str">
        <f>IF(BE42="Signalized",(BE28-BE63)^2/(2*BE28),IF(BE42="Free",TWSC_PED_DELAY(BE9,BE57,BE58,BE54,BE55,BE38,BE56),IF(BE42="Stop - Two way",1,IF(BE42="Stop - All way",1,"Control N/A!"))))</f>
        <v>Control N/A!</v>
      </c>
      <c r="BF64" s="13" t="str">
        <f>IF(BF42="Signalized",(BF28-BF63)^2/(2*BF28),IF(BF42="Free",TWSC_PED_DELAY(BF9,BF57,BF58,BF54,BF55,BF38,BF56),IF(BF42="Stop - Two way",1,IF(BF42="Stop - All way",1,"Control N/A!"))))</f>
        <v>Control N/A!</v>
      </c>
      <c r="BG64" s="44" t="str">
        <f>IF(BG42="Signalized",(BG28-BG63)^2/(2*BG28),IF(BG42="Free",TWSC_PED_DELAY(BG9,BG57,BG58,BG54,BG55,BG38,BG56),IF(BG42="Stop - Two way",1,IF(BG42="Stop - All way",1,"Control N/A!"))))</f>
        <v>Control N/A!</v>
      </c>
      <c r="BH64" s="44" t="str">
        <f>IF(BH42="Signalized",(BH28-BH63)^2/(2*BH28),IF(BH42="Free",TWSC_PED_DELAY(BH9,BH57,BH58,BH54,BH55,BH38,BH56),IF(BH42="Stop - Two way",1,IF(BH42="Stop - All way",1,"Control N/A!"))))</f>
        <v>Control N/A!</v>
      </c>
      <c r="BI64" s="14" t="str">
        <f>IF(BI42="Signalized",(BI28-BI63)^2/(2*BI28),IF(BI42="Free",TWSC_PED_DELAY(BI9,BI57,BI58,BI54,BI55,BI38,BI56),IF(BI42="Stop - Two way",1,IF(BI42="Stop - All way",1,"Control N/A!"))))</f>
        <v>Control N/A!</v>
      </c>
      <c r="BJ64" s="13" t="str">
        <f>IF(BJ42="Signalized",(BJ28-BJ63)^2/(2*BJ28),IF(BJ42="Free",TWSC_PED_DELAY(BJ9,BJ57,BJ58,BJ54,BJ55,BJ38,BJ56),IF(BJ42="Stop - Two way",1,IF(BJ42="Stop - All way",1,"Control N/A!"))))</f>
        <v>Control N/A!</v>
      </c>
      <c r="BK64" s="44" t="str">
        <f>IF(BK42="Signalized",(BK28-BK63)^2/(2*BK28),IF(BK42="Free",TWSC_PED_DELAY(BK9,BK57,BK58,BK54,BK55,BK38,BK56),IF(BK42="Stop - Two way",1,IF(BK42="Stop - All way",1,"Control N/A!"))))</f>
        <v>Control N/A!</v>
      </c>
      <c r="BL64" s="44" t="str">
        <f>IF(BL42="Signalized",(BL28-BL63)^2/(2*BL28),IF(BL42="Free",TWSC_PED_DELAY(BL9,BL57,BL58,BL54,BL55,BL38,BL56),IF(BL42="Stop - Two way",1,IF(BL42="Stop - All way",1,"Control N/A!"))))</f>
        <v>Control N/A!</v>
      </c>
      <c r="BM64" s="14" t="str">
        <f>IF(BM42="Signalized",(BM28-BM63)^2/(2*BM28),IF(BM42="Free",TWSC_PED_DELAY(BM9,BM57,BM58,BM54,BM55,BM38,BM56),IF(BM42="Stop - Two way",1,IF(BM42="Stop - All way",1,"Control N/A!"))))</f>
        <v>Control N/A!</v>
      </c>
      <c r="BN64" s="13" t="str">
        <f>IF(BN42="Signalized",(BN28-BN63)^2/(2*BN28),IF(BN42="Free",TWSC_PED_DELAY(BN9,BN57,BN58,BN54,BN55,BN38,BN56),IF(BN42="Stop - Two way",1,IF(BN42="Stop - All way",1,"Control N/A!"))))</f>
        <v>Control N/A!</v>
      </c>
      <c r="BO64" s="44" t="str">
        <f>IF(BO42="Signalized",(BO28-BO63)^2/(2*BO28),IF(BO42="Free",TWSC_PED_DELAY(BO9,BO57,BO58,BO54,BO55,BO38,BO56),IF(BO42="Stop - Two way",1,IF(BO42="Stop - All way",1,"Control N/A!"))))</f>
        <v>Control N/A!</v>
      </c>
      <c r="BP64" s="44" t="str">
        <f>IF(BP42="Signalized",(BP28-BP63)^2/(2*BP28),IF(BP42="Free",TWSC_PED_DELAY(BP9,BP57,BP58,BP54,BP55,BP38,BP56),IF(BP42="Stop - Two way",1,IF(BP42="Stop - All way",1,"Control N/A!"))))</f>
        <v>Control N/A!</v>
      </c>
      <c r="BQ64" s="14" t="str">
        <f>IF(BQ42="Signalized",(BQ28-BQ63)^2/(2*BQ28),IF(BQ42="Free",TWSC_PED_DELAY(BQ9,BQ57,BQ58,BQ54,BQ55,BQ38,BQ56),IF(BQ42="Stop - Two way",1,IF(BQ42="Stop - All way",1,"Control N/A!"))))</f>
        <v>Control N/A!</v>
      </c>
      <c r="BR64" s="13" t="str">
        <f>IF(BR42="Signalized",(BR28-BR63)^2/(2*BR28),IF(BR42="Free",TWSC_PED_DELAY(BR9,BR57,BR58,BR54,BR55,BR38,BR56),IF(BR42="Stop - Two way",1,IF(BR42="Stop - All way",1,"Control N/A!"))))</f>
        <v>Control N/A!</v>
      </c>
      <c r="BS64" s="44" t="str">
        <f>IF(BS42="Signalized",(BS28-BS63)^2/(2*BS28),IF(BS42="Free",TWSC_PED_DELAY(BS9,BS57,BS58,BS54,BS55,BS38,BS56),IF(BS42="Stop - Two way",1,IF(BS42="Stop - All way",1,"Control N/A!"))))</f>
        <v>Control N/A!</v>
      </c>
      <c r="BT64" s="44" t="str">
        <f>IF(BT42="Signalized",(BT28-BT63)^2/(2*BT28),IF(BT42="Free",TWSC_PED_DELAY(BT9,BT57,BT58,BT54,BT55,BT38,BT56),IF(BT42="Stop - Two way",1,IF(BT42="Stop - All way",1,"Control N/A!"))))</f>
        <v>Control N/A!</v>
      </c>
      <c r="BU64" s="14" t="str">
        <f>IF(BU42="Signalized",(BU28-BU63)^2/(2*BU28),IF(BU42="Free",TWSC_PED_DELAY(BU9,BU57,BU58,BU54,BU55,BU38,BU56),IF(BU42="Stop - Two way",1,IF(BU42="Stop - All way",1,"Control N/A!"))))</f>
        <v>Control N/A!</v>
      </c>
      <c r="BV64" s="13" t="str">
        <f>IF(BV42="Signalized",(BV28-BV63)^2/(2*BV28),IF(BV42="Free",TWSC_PED_DELAY(BV9,BV57,BV58,BV54,BV55,BV38,BV56),IF(BV42="Stop - Two way",1,IF(BV42="Stop - All way",1,"Control N/A!"))))</f>
        <v>Control N/A!</v>
      </c>
      <c r="BW64" s="44" t="str">
        <f>IF(BW42="Signalized",(BW28-BW63)^2/(2*BW28),IF(BW42="Free",TWSC_PED_DELAY(BW9,BW57,BW58,BW54,BW55,BW38,BW56),IF(BW42="Stop - Two way",1,IF(BW42="Stop - All way",1,"Control N/A!"))))</f>
        <v>Control N/A!</v>
      </c>
      <c r="BX64" s="44" t="str">
        <f>IF(BX42="Signalized",(BX28-BX63)^2/(2*BX28),IF(BX42="Free",TWSC_PED_DELAY(BX9,BX57,BX58,BX54,BX55,BX38,BX56),IF(BX42="Stop - Two way",1,IF(BX42="Stop - All way",1,"Control N/A!"))))</f>
        <v>Control N/A!</v>
      </c>
      <c r="BY64" s="14" t="str">
        <f>IF(BY42="Signalized",(BY28-BY63)^2/(2*BY28),IF(BY42="Free",TWSC_PED_DELAY(BY9,BY57,BY58,BY54,BY55,BY38,BY56),IF(BY42="Stop - Two way",1,IF(BY42="Stop - All way",1,"Control N/A!"))))</f>
        <v>Control N/A!</v>
      </c>
      <c r="BZ64" s="13" t="str">
        <f>IF(BZ42="Signalized",(BZ28-BZ63)^2/(2*BZ28),IF(BZ42="Free",TWSC_PED_DELAY(BZ9,BZ57,BZ58,BZ54,BZ55,BZ38,BZ56),IF(BZ42="Stop - Two way",1,IF(BZ42="Stop - All way",1,"Control N/A!"))))</f>
        <v>Control N/A!</v>
      </c>
      <c r="CA64" s="44" t="str">
        <f>IF(CA42="Signalized",(CA28-CA63)^2/(2*CA28),IF(CA42="Free",TWSC_PED_DELAY(CA9,CA57,CA58,CA54,CA55,CA38,CA56),IF(CA42="Stop - Two way",1,IF(CA42="Stop - All way",1,"Control N/A!"))))</f>
        <v>Control N/A!</v>
      </c>
      <c r="CB64" s="44" t="str">
        <f>IF(CB42="Signalized",(CB28-CB63)^2/(2*CB28),IF(CB42="Free",TWSC_PED_DELAY(CB9,CB57,CB58,CB54,CB55,CB38,CB56),IF(CB42="Stop - Two way",1,IF(CB42="Stop - All way",1,"Control N/A!"))))</f>
        <v>Control N/A!</v>
      </c>
      <c r="CC64" s="14" t="str">
        <f>IF(CC42="Signalized",(CC28-CC63)^2/(2*CC28),IF(CC42="Free",TWSC_PED_DELAY(CC9,CC57,CC58,CC54,CC55,CC38,CC56),IF(CC42="Stop - Two way",1,IF(CC42="Stop - All way",1,"Control N/A!"))))</f>
        <v>Control N/A!</v>
      </c>
      <c r="CD64" s="13" t="str">
        <f>IF(CD42="Signalized",(CD28-CD63)^2/(2*CD28),IF(CD42="Free",TWSC_PED_DELAY(CD9,CD57,CD58,CD54,CD55,CD38,CD56),IF(CD42="Stop - Two way",1,IF(CD42="Stop - All way",1,"Control N/A!"))))</f>
        <v>Control N/A!</v>
      </c>
      <c r="CE64" s="44" t="str">
        <f>IF(CE42="Signalized",(CE28-CE63)^2/(2*CE28),IF(CE42="Free",TWSC_PED_DELAY(CE9,CE57,CE58,CE54,CE55,CE38,CE56),IF(CE42="Stop - Two way",1,IF(CE42="Stop - All way",1,"Control N/A!"))))</f>
        <v>Control N/A!</v>
      </c>
      <c r="CF64" s="44" t="str">
        <f>IF(CF42="Signalized",(CF28-CF63)^2/(2*CF28),IF(CF42="Free",TWSC_PED_DELAY(CF9,CF57,CF58,CF54,CF55,CF38,CF56),IF(CF42="Stop - Two way",1,IF(CF42="Stop - All way",1,"Control N/A!"))))</f>
        <v>Control N/A!</v>
      </c>
      <c r="CG64" s="14" t="str">
        <f>IF(CG42="Signalized",(CG28-CG63)^2/(2*CG28),IF(CG42="Free",TWSC_PED_DELAY(CG9,CG57,CG58,CG54,CG55,CG38,CG56),IF(CG42="Stop - Two way",1,IF(CG42="Stop - All way",1,"Control N/A!"))))</f>
        <v>Control N/A!</v>
      </c>
      <c r="CH64" s="13" t="str">
        <f>IF(CH42="Signalized",(CH28-CH63)^2/(2*CH28),IF(CH42="Free",TWSC_PED_DELAY(CH9,CH57,CH58,CH54,CH55,CH38,CH56),IF(CH42="Stop - Two way",1,IF(CH42="Stop - All way",1,"Control N/A!"))))</f>
        <v>Control N/A!</v>
      </c>
      <c r="CI64" s="44" t="str">
        <f>IF(CI42="Signalized",(CI28-CI63)^2/(2*CI28),IF(CI42="Free",TWSC_PED_DELAY(CI9,CI57,CI58,CI54,CI55,CI38,CI56),IF(CI42="Stop - Two way",1,IF(CI42="Stop - All way",1,"Control N/A!"))))</f>
        <v>Control N/A!</v>
      </c>
      <c r="CJ64" s="44" t="str">
        <f>IF(CJ42="Signalized",(CJ28-CJ63)^2/(2*CJ28),IF(CJ42="Free",TWSC_PED_DELAY(CJ9,CJ57,CJ58,CJ54,CJ55,CJ38,CJ56),IF(CJ42="Stop - Two way",1,IF(CJ42="Stop - All way",1,"Control N/A!"))))</f>
        <v>Control N/A!</v>
      </c>
      <c r="CK64" s="14" t="str">
        <f>IF(CK42="Signalized",(CK28-CK63)^2/(2*CK28),IF(CK42="Free",TWSC_PED_DELAY(CK9,CK57,CK58,CK54,CK55,CK38,CK56),IF(CK42="Stop - Two way",1,IF(CK42="Stop - All way",1,"Control N/A!"))))</f>
        <v>Control N/A!</v>
      </c>
      <c r="CL64" s="49"/>
      <c r="CM64" s="28"/>
    </row>
    <row r="65" spans="2:91" ht="14.25" x14ac:dyDescent="0.25">
      <c r="B65" s="55"/>
      <c r="C65" s="10" t="s">
        <v>168</v>
      </c>
      <c r="D65" s="93" t="s">
        <v>169</v>
      </c>
      <c r="E65" s="125">
        <f>0.0401*LN(E64)</f>
        <v>0</v>
      </c>
      <c r="F65" s="72">
        <f>0.0401*LN(F64)</f>
        <v>9.1800176034041711E-2</v>
      </c>
      <c r="G65" s="73">
        <f>0.0401*LN(G64)</f>
        <v>9.1800176034041711E-2</v>
      </c>
      <c r="H65" s="73">
        <f t="shared" ref="H65:I65" si="144">0.0401*LN(H64)</f>
        <v>0.11782699041710107</v>
      </c>
      <c r="I65" s="74">
        <f t="shared" si="144"/>
        <v>0.11782699041710107</v>
      </c>
      <c r="J65" s="96" t="e">
        <f>0.0401*LN(J64)</f>
        <v>#VALUE!</v>
      </c>
      <c r="K65" s="97">
        <f>0.0401*LN(K64)</f>
        <v>0</v>
      </c>
      <c r="L65" s="97">
        <f t="shared" ref="K65:BV65" si="145">0.0401*LN(L64)</f>
        <v>0.30680309454988075</v>
      </c>
      <c r="M65" s="98" t="e">
        <f t="shared" si="145"/>
        <v>#VALUE!</v>
      </c>
      <c r="N65" s="169" t="e">
        <f>0.0401*LN(N64)</f>
        <v>#VALUE!</v>
      </c>
      <c r="O65" s="172" t="e">
        <f t="shared" ref="O65:Q65" si="146">0.0401*LN(O64)</f>
        <v>#VALUE!</v>
      </c>
      <c r="P65" s="172" t="e">
        <f t="shared" si="146"/>
        <v>#VALUE!</v>
      </c>
      <c r="Q65" s="170" t="e">
        <f t="shared" si="146"/>
        <v>#VALUE!</v>
      </c>
      <c r="R65" s="169" t="e">
        <f>0.0401*LN(R64)</f>
        <v>#VALUE!</v>
      </c>
      <c r="S65" s="172" t="e">
        <f t="shared" ref="S65:U65" si="147">0.0401*LN(S64)</f>
        <v>#VALUE!</v>
      </c>
      <c r="T65" s="172" t="e">
        <f t="shared" si="147"/>
        <v>#VALUE!</v>
      </c>
      <c r="U65" s="170" t="e">
        <f t="shared" si="147"/>
        <v>#VALUE!</v>
      </c>
      <c r="V65" s="169" t="e">
        <f>0.0401*LN(V64)</f>
        <v>#VALUE!</v>
      </c>
      <c r="W65" s="172" t="e">
        <f t="shared" ref="W65:Y65" si="148">0.0401*LN(W64)</f>
        <v>#VALUE!</v>
      </c>
      <c r="X65" s="172" t="e">
        <f t="shared" si="148"/>
        <v>#VALUE!</v>
      </c>
      <c r="Y65" s="170" t="e">
        <f t="shared" si="148"/>
        <v>#VALUE!</v>
      </c>
      <c r="Z65" s="169" t="e">
        <f>0.0401*LN(Z64)</f>
        <v>#VALUE!</v>
      </c>
      <c r="AA65" s="172" t="e">
        <f t="shared" ref="AA65:AC65" si="149">0.0401*LN(AA64)</f>
        <v>#VALUE!</v>
      </c>
      <c r="AB65" s="172" t="e">
        <f t="shared" si="149"/>
        <v>#VALUE!</v>
      </c>
      <c r="AC65" s="170" t="e">
        <f t="shared" si="149"/>
        <v>#VALUE!</v>
      </c>
      <c r="AD65" s="169" t="e">
        <f>0.0401*LN(AD64)</f>
        <v>#VALUE!</v>
      </c>
      <c r="AE65" s="172" t="e">
        <f t="shared" ref="AE65:AG65" si="150">0.0401*LN(AE64)</f>
        <v>#VALUE!</v>
      </c>
      <c r="AF65" s="172" t="e">
        <f t="shared" si="150"/>
        <v>#VALUE!</v>
      </c>
      <c r="AG65" s="170" t="e">
        <f t="shared" si="150"/>
        <v>#VALUE!</v>
      </c>
      <c r="AH65" s="169" t="e">
        <f>0.0401*LN(AH64)</f>
        <v>#VALUE!</v>
      </c>
      <c r="AI65" s="172" t="e">
        <f t="shared" ref="AI65:AK65" si="151">0.0401*LN(AI64)</f>
        <v>#VALUE!</v>
      </c>
      <c r="AJ65" s="172" t="e">
        <f t="shared" si="151"/>
        <v>#VALUE!</v>
      </c>
      <c r="AK65" s="170" t="e">
        <f t="shared" si="151"/>
        <v>#VALUE!</v>
      </c>
      <c r="AL65" s="169" t="e">
        <f>0.0401*LN(AL64)</f>
        <v>#VALUE!</v>
      </c>
      <c r="AM65" s="172" t="e">
        <f t="shared" ref="AM65:AO65" si="152">0.0401*LN(AM64)</f>
        <v>#VALUE!</v>
      </c>
      <c r="AN65" s="172" t="e">
        <f t="shared" si="152"/>
        <v>#VALUE!</v>
      </c>
      <c r="AO65" s="170" t="e">
        <f t="shared" si="152"/>
        <v>#VALUE!</v>
      </c>
      <c r="AP65" s="169" t="e">
        <f>0.0401*LN(AP64)</f>
        <v>#VALUE!</v>
      </c>
      <c r="AQ65" s="172" t="e">
        <f t="shared" ref="AQ65:AS65" si="153">0.0401*LN(AQ64)</f>
        <v>#VALUE!</v>
      </c>
      <c r="AR65" s="172" t="e">
        <f t="shared" si="153"/>
        <v>#VALUE!</v>
      </c>
      <c r="AS65" s="170" t="e">
        <f t="shared" si="153"/>
        <v>#VALUE!</v>
      </c>
      <c r="AT65" s="169" t="e">
        <f>0.0401*LN(AT64)</f>
        <v>#VALUE!</v>
      </c>
      <c r="AU65" s="172" t="e">
        <f t="shared" ref="AU65:AW65" si="154">0.0401*LN(AU64)</f>
        <v>#VALUE!</v>
      </c>
      <c r="AV65" s="172" t="e">
        <f t="shared" si="154"/>
        <v>#VALUE!</v>
      </c>
      <c r="AW65" s="170" t="e">
        <f t="shared" si="154"/>
        <v>#VALUE!</v>
      </c>
      <c r="AX65" s="169" t="e">
        <f>0.0401*LN(AX64)</f>
        <v>#VALUE!</v>
      </c>
      <c r="AY65" s="172" t="e">
        <f t="shared" ref="AY65:BA65" si="155">0.0401*LN(AY64)</f>
        <v>#VALUE!</v>
      </c>
      <c r="AZ65" s="172" t="e">
        <f t="shared" si="155"/>
        <v>#VALUE!</v>
      </c>
      <c r="BA65" s="170" t="e">
        <f t="shared" si="155"/>
        <v>#VALUE!</v>
      </c>
      <c r="BB65" s="169" t="e">
        <f>0.0401*LN(BB64)</f>
        <v>#VALUE!</v>
      </c>
      <c r="BC65" s="172" t="e">
        <f t="shared" ref="BC65:BE65" si="156">0.0401*LN(BC64)</f>
        <v>#VALUE!</v>
      </c>
      <c r="BD65" s="172" t="e">
        <f t="shared" si="156"/>
        <v>#VALUE!</v>
      </c>
      <c r="BE65" s="170" t="e">
        <f t="shared" si="156"/>
        <v>#VALUE!</v>
      </c>
      <c r="BF65" s="169" t="e">
        <f>0.0401*LN(BF64)</f>
        <v>#VALUE!</v>
      </c>
      <c r="BG65" s="172" t="e">
        <f t="shared" ref="BG65:BI65" si="157">0.0401*LN(BG64)</f>
        <v>#VALUE!</v>
      </c>
      <c r="BH65" s="172" t="e">
        <f t="shared" si="157"/>
        <v>#VALUE!</v>
      </c>
      <c r="BI65" s="170" t="e">
        <f t="shared" si="157"/>
        <v>#VALUE!</v>
      </c>
      <c r="BJ65" s="169" t="e">
        <f>0.0401*LN(BJ64)</f>
        <v>#VALUE!</v>
      </c>
      <c r="BK65" s="172" t="e">
        <f t="shared" ref="BK65:BM65" si="158">0.0401*LN(BK64)</f>
        <v>#VALUE!</v>
      </c>
      <c r="BL65" s="172" t="e">
        <f t="shared" si="158"/>
        <v>#VALUE!</v>
      </c>
      <c r="BM65" s="170" t="e">
        <f t="shared" si="158"/>
        <v>#VALUE!</v>
      </c>
      <c r="BN65" s="169" t="e">
        <f>0.0401*LN(BN64)</f>
        <v>#VALUE!</v>
      </c>
      <c r="BO65" s="172" t="e">
        <f t="shared" ref="BO65:BQ65" si="159">0.0401*LN(BO64)</f>
        <v>#VALUE!</v>
      </c>
      <c r="BP65" s="172" t="e">
        <f t="shared" si="159"/>
        <v>#VALUE!</v>
      </c>
      <c r="BQ65" s="170" t="e">
        <f t="shared" si="159"/>
        <v>#VALUE!</v>
      </c>
      <c r="BR65" s="169" t="e">
        <f>0.0401*LN(BR64)</f>
        <v>#VALUE!</v>
      </c>
      <c r="BS65" s="172" t="e">
        <f t="shared" ref="BS65:BU65" si="160">0.0401*LN(BS64)</f>
        <v>#VALUE!</v>
      </c>
      <c r="BT65" s="172" t="e">
        <f t="shared" si="160"/>
        <v>#VALUE!</v>
      </c>
      <c r="BU65" s="170" t="e">
        <f t="shared" si="160"/>
        <v>#VALUE!</v>
      </c>
      <c r="BV65" s="169" t="e">
        <f>0.0401*LN(BV64)</f>
        <v>#VALUE!</v>
      </c>
      <c r="BW65" s="172" t="e">
        <f t="shared" ref="BW65:BY65" si="161">0.0401*LN(BW64)</f>
        <v>#VALUE!</v>
      </c>
      <c r="BX65" s="172" t="e">
        <f t="shared" si="161"/>
        <v>#VALUE!</v>
      </c>
      <c r="BY65" s="170" t="e">
        <f t="shared" si="161"/>
        <v>#VALUE!</v>
      </c>
      <c r="BZ65" s="169" t="e">
        <f>0.0401*LN(BZ64)</f>
        <v>#VALUE!</v>
      </c>
      <c r="CA65" s="172" t="e">
        <f t="shared" ref="CA65:CC65" si="162">0.0401*LN(CA64)</f>
        <v>#VALUE!</v>
      </c>
      <c r="CB65" s="172" t="e">
        <f t="shared" si="162"/>
        <v>#VALUE!</v>
      </c>
      <c r="CC65" s="170" t="e">
        <f t="shared" si="162"/>
        <v>#VALUE!</v>
      </c>
      <c r="CD65" s="169" t="e">
        <f>0.0401*LN(CD64)</f>
        <v>#VALUE!</v>
      </c>
      <c r="CE65" s="172" t="e">
        <f t="shared" ref="CE65:CG65" si="163">0.0401*LN(CE64)</f>
        <v>#VALUE!</v>
      </c>
      <c r="CF65" s="172" t="e">
        <f t="shared" si="163"/>
        <v>#VALUE!</v>
      </c>
      <c r="CG65" s="170" t="e">
        <f t="shared" si="163"/>
        <v>#VALUE!</v>
      </c>
      <c r="CH65" s="169" t="e">
        <f>0.0401*LN(CH64)</f>
        <v>#VALUE!</v>
      </c>
      <c r="CI65" s="172" t="e">
        <f t="shared" ref="CI65:CK65" si="164">0.0401*LN(CI64)</f>
        <v>#VALUE!</v>
      </c>
      <c r="CJ65" s="172" t="e">
        <f t="shared" si="164"/>
        <v>#VALUE!</v>
      </c>
      <c r="CK65" s="170" t="e">
        <f t="shared" si="164"/>
        <v>#VALUE!</v>
      </c>
      <c r="CL65" s="49"/>
      <c r="CM65" s="28"/>
    </row>
    <row r="66" spans="2:91" ht="14.25" x14ac:dyDescent="0.25">
      <c r="B66" s="55"/>
      <c r="C66" s="10" t="s">
        <v>48</v>
      </c>
      <c r="D66" s="93" t="s">
        <v>40</v>
      </c>
      <c r="E66" s="125">
        <f>IF(E9&gt;0,0.5997+E59+E61+E62+E65,0)</f>
        <v>2.5729076692435355</v>
      </c>
      <c r="F66" s="72">
        <f>IF(AND(F9&gt;0,F30&gt;0),0.5997+F59+F61+F62+F65,0)</f>
        <v>2.7724605183883799</v>
      </c>
      <c r="G66" s="73">
        <f>IF(AND(G9&gt;0,G30&gt;0),0.5997+G59+G61+G62+G65,0)</f>
        <v>2.8117855183883798</v>
      </c>
      <c r="H66" s="73">
        <f>IF(AND(H9&gt;0,H30&gt;0),0.5997+H59+H61+H62+H65,0)</f>
        <v>2.762108409660637</v>
      </c>
      <c r="I66" s="74">
        <f>IF(AND(I9&gt;0,I30&gt;0),0.5997+I59+I61+I62+I65,0)</f>
        <v>2.7206709096606372</v>
      </c>
      <c r="J66" s="96">
        <f>IF(AND(J9&gt;0,J30&gt;0),0.5997+J59+J61+J62+J65,0)</f>
        <v>0</v>
      </c>
      <c r="K66" s="97">
        <f>IF(AND(K9&gt;0,K30&gt;0),0.5997+K59+K61+K62+K65,0)</f>
        <v>1.6890019601655288</v>
      </c>
      <c r="L66" s="97">
        <f>IF(AND(L9&gt;0,L30&gt;0),0.5997+L59+L61+L62+L65,0)</f>
        <v>2.485332638793416</v>
      </c>
      <c r="M66" s="98">
        <f>IF(AND(M9&gt;0,M30&gt;0),0.5997+M59+M61+M62+M65,0)</f>
        <v>0</v>
      </c>
      <c r="N66" s="169">
        <f>IF(AND(N9&gt;0,N30&gt;0),0.5997+N59+N61+N62+N65,0)</f>
        <v>0</v>
      </c>
      <c r="O66" s="172">
        <f>IF(AND(O9&gt;0,O30&gt;0),0.5997+O59+O61+O62+O65,0)</f>
        <v>0</v>
      </c>
      <c r="P66" s="172">
        <f>IF(AND(P9&gt;0,P30&gt;0),0.5997+P59+P61+P62+P65,0)</f>
        <v>0</v>
      </c>
      <c r="Q66" s="170">
        <f>IF(AND(Q9&gt;0,Q30&gt;0),0.5997+Q59+Q61+Q62+Q65,0)</f>
        <v>0</v>
      </c>
      <c r="R66" s="169">
        <f>IF(AND(R9&gt;0,R30&gt;0),0.5997+R59+R61+R62+R65,0)</f>
        <v>0</v>
      </c>
      <c r="S66" s="172">
        <f>IF(AND(S9&gt;0,S30&gt;0),0.5997+S59+S61+S62+S65,0)</f>
        <v>0</v>
      </c>
      <c r="T66" s="172">
        <f>IF(AND(T9&gt;0,T30&gt;0),0.5997+T59+T61+T62+T65,0)</f>
        <v>0</v>
      </c>
      <c r="U66" s="170">
        <f>IF(AND(U9&gt;0,U30&gt;0),0.5997+U59+U61+U62+U65,0)</f>
        <v>0</v>
      </c>
      <c r="V66" s="169">
        <f>IF(AND(V9&gt;0,V30&gt;0),0.5997+V59+V61+V62+V65,0)</f>
        <v>0</v>
      </c>
      <c r="W66" s="172">
        <f>IF(AND(W9&gt;0,W30&gt;0),0.5997+W59+W61+W62+W65,0)</f>
        <v>0</v>
      </c>
      <c r="X66" s="172">
        <f>IF(AND(X9&gt;0,X30&gt;0),0.5997+X59+X61+X62+X65,0)</f>
        <v>0</v>
      </c>
      <c r="Y66" s="170">
        <f>IF(AND(Y9&gt;0,Y30&gt;0),0.5997+Y59+Y61+Y62+Y65,0)</f>
        <v>0</v>
      </c>
      <c r="Z66" s="169">
        <f>IF(AND(Z9&gt;0,Z30&gt;0),0.5997+Z59+Z61+Z62+Z65,0)</f>
        <v>0</v>
      </c>
      <c r="AA66" s="172">
        <f>IF(AND(AA9&gt;0,AA30&gt;0),0.5997+AA59+AA61+AA62+AA65,0)</f>
        <v>0</v>
      </c>
      <c r="AB66" s="172">
        <f>IF(AND(AB9&gt;0,AB30&gt;0),0.5997+AB59+AB61+AB62+AB65,0)</f>
        <v>0</v>
      </c>
      <c r="AC66" s="170">
        <f>IF(AND(AC9&gt;0,AC30&gt;0),0.5997+AC59+AC61+AC62+AC65,0)</f>
        <v>0</v>
      </c>
      <c r="AD66" s="169">
        <f>IF(AND(AD9&gt;0,AD30&gt;0),0.5997+AD59+AD61+AD62+AD65,0)</f>
        <v>0</v>
      </c>
      <c r="AE66" s="172">
        <f>IF(AND(AE9&gt;0,AE30&gt;0),0.5997+AE59+AE61+AE62+AE65,0)</f>
        <v>0</v>
      </c>
      <c r="AF66" s="172">
        <f>IF(AND(AF9&gt;0,AF30&gt;0),0.5997+AF59+AF61+AF62+AF65,0)</f>
        <v>0</v>
      </c>
      <c r="AG66" s="170">
        <f>IF(AND(AG9&gt;0,AG30&gt;0),0.5997+AG59+AG61+AG62+AG65,0)</f>
        <v>0</v>
      </c>
      <c r="AH66" s="169">
        <f>IF(AND(AH9&gt;0,AH30&gt;0),0.5997+AH59+AH61+AH62+AH65,0)</f>
        <v>0</v>
      </c>
      <c r="AI66" s="172">
        <f>IF(AND(AI9&gt;0,AI30&gt;0),0.5997+AI59+AI61+AI62+AI65,0)</f>
        <v>0</v>
      </c>
      <c r="AJ66" s="172">
        <f>IF(AND(AJ9&gt;0,AJ30&gt;0),0.5997+AJ59+AJ61+AJ62+AJ65,0)</f>
        <v>0</v>
      </c>
      <c r="AK66" s="170">
        <f>IF(AND(AK9&gt;0,AK30&gt;0),0.5997+AK59+AK61+AK62+AK65,0)</f>
        <v>0</v>
      </c>
      <c r="AL66" s="169">
        <f>IF(AND(AL9&gt;0,AL30&gt;0),0.5997+AL59+AL61+AL62+AL65,0)</f>
        <v>0</v>
      </c>
      <c r="AM66" s="172">
        <f>IF(AND(AM9&gt;0,AM30&gt;0),0.5997+AM59+AM61+AM62+AM65,0)</f>
        <v>0</v>
      </c>
      <c r="AN66" s="172">
        <f>IF(AND(AN9&gt;0,AN30&gt;0),0.5997+AN59+AN61+AN62+AN65,0)</f>
        <v>0</v>
      </c>
      <c r="AO66" s="170">
        <f>IF(AND(AO9&gt;0,AO30&gt;0),0.5997+AO59+AO61+AO62+AO65,0)</f>
        <v>0</v>
      </c>
      <c r="AP66" s="169">
        <f>IF(AND(AP9&gt;0,AP30&gt;0),0.5997+AP59+AP61+AP62+AP65,0)</f>
        <v>0</v>
      </c>
      <c r="AQ66" s="172">
        <f>IF(AND(AQ9&gt;0,AQ30&gt;0),0.5997+AQ59+AQ61+AQ62+AQ65,0)</f>
        <v>0</v>
      </c>
      <c r="AR66" s="172">
        <f>IF(AND(AR9&gt;0,AR30&gt;0),0.5997+AR59+AR61+AR62+AR65,0)</f>
        <v>0</v>
      </c>
      <c r="AS66" s="170">
        <f>IF(AND(AS9&gt;0,AS30&gt;0),0.5997+AS59+AS61+AS62+AS65,0)</f>
        <v>0</v>
      </c>
      <c r="AT66" s="169">
        <f>IF(AND(AT9&gt;0,AT30&gt;0),0.5997+AT59+AT61+AT62+AT65,0)</f>
        <v>0</v>
      </c>
      <c r="AU66" s="172">
        <f>IF(AND(AU9&gt;0,AU30&gt;0),0.5997+AU59+AU61+AU62+AU65,0)</f>
        <v>0</v>
      </c>
      <c r="AV66" s="172">
        <f>IF(AND(AV9&gt;0,AV30&gt;0),0.5997+AV59+AV61+AV62+AV65,0)</f>
        <v>0</v>
      </c>
      <c r="AW66" s="170">
        <f>IF(AND(AW9&gt;0,AW30&gt;0),0.5997+AW59+AW61+AW62+AW65,0)</f>
        <v>0</v>
      </c>
      <c r="AX66" s="169">
        <f>IF(AND(AX9&gt;0,AX30&gt;0),0.5997+AX59+AX61+AX62+AX65,0)</f>
        <v>0</v>
      </c>
      <c r="AY66" s="172">
        <f>IF(AND(AY9&gt;0,AY30&gt;0),0.5997+AY59+AY61+AY62+AY65,0)</f>
        <v>0</v>
      </c>
      <c r="AZ66" s="172">
        <f>IF(AND(AZ9&gt;0,AZ30&gt;0),0.5997+AZ59+AZ61+AZ62+AZ65,0)</f>
        <v>0</v>
      </c>
      <c r="BA66" s="170">
        <f>IF(AND(BA9&gt;0,BA30&gt;0),0.5997+BA59+BA61+BA62+BA65,0)</f>
        <v>0</v>
      </c>
      <c r="BB66" s="169">
        <f>IF(AND(BB9&gt;0,BB30&gt;0),0.5997+BB59+BB61+BB62+BB65,0)</f>
        <v>0</v>
      </c>
      <c r="BC66" s="172">
        <f>IF(AND(BC9&gt;0,BC30&gt;0),0.5997+BC59+BC61+BC62+BC65,0)</f>
        <v>0</v>
      </c>
      <c r="BD66" s="172">
        <f>IF(AND(BD9&gt;0,BD30&gt;0),0.5997+BD59+BD61+BD62+BD65,0)</f>
        <v>0</v>
      </c>
      <c r="BE66" s="170">
        <f>IF(AND(BE9&gt;0,BE30&gt;0),0.5997+BE59+BE61+BE62+BE65,0)</f>
        <v>0</v>
      </c>
      <c r="BF66" s="169">
        <f>IF(AND(BF9&gt;0,BF30&gt;0),0.5997+BF59+BF61+BF62+BF65,0)</f>
        <v>0</v>
      </c>
      <c r="BG66" s="172">
        <f>IF(AND(BG9&gt;0,BG30&gt;0),0.5997+BG59+BG61+BG62+BG65,0)</f>
        <v>0</v>
      </c>
      <c r="BH66" s="172">
        <f>IF(AND(BH9&gt;0,BH30&gt;0),0.5997+BH59+BH61+BH62+BH65,0)</f>
        <v>0</v>
      </c>
      <c r="BI66" s="170">
        <f>IF(AND(BI9&gt;0,BI30&gt;0),0.5997+BI59+BI61+BI62+BI65,0)</f>
        <v>0</v>
      </c>
      <c r="BJ66" s="169">
        <f>IF(AND(BJ9&gt;0,BJ30&gt;0),0.5997+BJ59+BJ61+BJ62+BJ65,0)</f>
        <v>0</v>
      </c>
      <c r="BK66" s="172">
        <f>IF(AND(BK9&gt;0,BK30&gt;0),0.5997+BK59+BK61+BK62+BK65,0)</f>
        <v>0</v>
      </c>
      <c r="BL66" s="172">
        <f>IF(AND(BL9&gt;0,BL30&gt;0),0.5997+BL59+BL61+BL62+BL65,0)</f>
        <v>0</v>
      </c>
      <c r="BM66" s="170">
        <f>IF(AND(BM9&gt;0,BM30&gt;0),0.5997+BM59+BM61+BM62+BM65,0)</f>
        <v>0</v>
      </c>
      <c r="BN66" s="169">
        <f>IF(AND(BN9&gt;0,BN30&gt;0),0.5997+BN59+BN61+BN62+BN65,0)</f>
        <v>0</v>
      </c>
      <c r="BO66" s="172">
        <f>IF(AND(BO9&gt;0,BO30&gt;0),0.5997+BO59+BO61+BO62+BO65,0)</f>
        <v>0</v>
      </c>
      <c r="BP66" s="172">
        <f>IF(AND(BP9&gt;0,BP30&gt;0),0.5997+BP59+BP61+BP62+BP65,0)</f>
        <v>0</v>
      </c>
      <c r="BQ66" s="170">
        <f>IF(AND(BQ9&gt;0,BQ30&gt;0),0.5997+BQ59+BQ61+BQ62+BQ65,0)</f>
        <v>0</v>
      </c>
      <c r="BR66" s="169">
        <f>IF(AND(BR9&gt;0,BR30&gt;0),0.5997+BR59+BR61+BR62+BR65,0)</f>
        <v>0</v>
      </c>
      <c r="BS66" s="172">
        <f>IF(AND(BS9&gt;0,BS30&gt;0),0.5997+BS59+BS61+BS62+BS65,0)</f>
        <v>0</v>
      </c>
      <c r="BT66" s="172">
        <f>IF(AND(BT9&gt;0,BT30&gt;0),0.5997+BT59+BT61+BT62+BT65,0)</f>
        <v>0</v>
      </c>
      <c r="BU66" s="170">
        <f>IF(AND(BU9&gt;0,BU30&gt;0),0.5997+BU59+BU61+BU62+BU65,0)</f>
        <v>0</v>
      </c>
      <c r="BV66" s="169">
        <f>IF(AND(BV9&gt;0,BV30&gt;0),0.5997+BV59+BV61+BV62+BV65,0)</f>
        <v>0</v>
      </c>
      <c r="BW66" s="172">
        <f>IF(AND(BW9&gt;0,BW30&gt;0),0.5997+BW59+BW61+BW62+BW65,0)</f>
        <v>0</v>
      </c>
      <c r="BX66" s="172">
        <f>IF(AND(BX9&gt;0,BX30&gt;0),0.5997+BX59+BX61+BX62+BX65,0)</f>
        <v>0</v>
      </c>
      <c r="BY66" s="170">
        <f>IF(AND(BY9&gt;0,BY30&gt;0),0.5997+BY59+BY61+BY62+BY65,0)</f>
        <v>0</v>
      </c>
      <c r="BZ66" s="169">
        <f>IF(AND(BZ9&gt;0,BZ30&gt;0),0.5997+BZ59+BZ61+BZ62+BZ65,0)</f>
        <v>0</v>
      </c>
      <c r="CA66" s="172">
        <f>IF(AND(CA9&gt;0,CA30&gt;0),0.5997+CA59+CA61+CA62+CA65,0)</f>
        <v>0</v>
      </c>
      <c r="CB66" s="172">
        <f>IF(AND(CB9&gt;0,CB30&gt;0),0.5997+CB59+CB61+CB62+CB65,0)</f>
        <v>0</v>
      </c>
      <c r="CC66" s="170">
        <f>IF(AND(CC9&gt;0,CC30&gt;0),0.5997+CC59+CC61+CC62+CC65,0)</f>
        <v>0</v>
      </c>
      <c r="CD66" s="169">
        <f>IF(AND(CD9&gt;0,CD30&gt;0),0.5997+CD59+CD61+CD62+CD65,0)</f>
        <v>0</v>
      </c>
      <c r="CE66" s="172">
        <f>IF(AND(CE9&gt;0,CE30&gt;0),0.5997+CE59+CE61+CE62+CE65,0)</f>
        <v>0</v>
      </c>
      <c r="CF66" s="172">
        <f>IF(AND(CF9&gt;0,CF30&gt;0),0.5997+CF59+CF61+CF62+CF65,0)</f>
        <v>0</v>
      </c>
      <c r="CG66" s="170">
        <f>IF(AND(CG9&gt;0,CG30&gt;0),0.5997+CG59+CG61+CG62+CG65,0)</f>
        <v>0</v>
      </c>
      <c r="CH66" s="169">
        <f>IF(AND(CH9&gt;0,CH30&gt;0),0.5997+CH59+CH61+CH62+CH65,0)</f>
        <v>0</v>
      </c>
      <c r="CI66" s="172">
        <f>IF(AND(CI9&gt;0,CI30&gt;0),0.5997+CI59+CI61+CI62+CI65,0)</f>
        <v>0</v>
      </c>
      <c r="CJ66" s="172">
        <f>IF(AND(CJ9&gt;0,CJ30&gt;0),0.5997+CJ59+CJ61+CJ62+CJ65,0)</f>
        <v>0</v>
      </c>
      <c r="CK66" s="170">
        <f>IF(AND(CK9&gt;0,CK30&gt;0),0.5997+CK59+CK61+CK62+CK65,0)</f>
        <v>0</v>
      </c>
      <c r="CL66" s="49"/>
      <c r="CM66" s="28"/>
    </row>
    <row r="67" spans="2:91" x14ac:dyDescent="0.25">
      <c r="B67" s="55"/>
      <c r="C67" s="10"/>
      <c r="D67" s="93" t="s">
        <v>220</v>
      </c>
      <c r="E67" s="124" t="str">
        <f t="shared" ref="E67" si="165">IF(E66&lt;=2,"A",IF(E66&lt;=2.75,"B",IF(E66&lt;=3.5,"C",IF(E66&lt;=4.25,"D",IF(E66&lt;=5,"E","F")))))</f>
        <v>B</v>
      </c>
      <c r="F67" s="10" t="str">
        <f t="shared" ref="F67:I67" si="166">IF(F66&lt;=2,"A",IF(F66&lt;=2.75,"B",IF(F66&lt;=3.5,"C",IF(F66&lt;=4.25,"D",IF(F66&lt;=5,"E","F")))))</f>
        <v>C</v>
      </c>
      <c r="G67" s="71" t="str">
        <f t="shared" si="166"/>
        <v>C</v>
      </c>
      <c r="H67" s="71" t="str">
        <f t="shared" si="166"/>
        <v>C</v>
      </c>
      <c r="I67" s="75" t="str">
        <f t="shared" si="166"/>
        <v>B</v>
      </c>
      <c r="J67" s="10" t="str">
        <f t="shared" ref="J67:BU67" si="167">IF(J66&lt;=2,"A",IF(J66&lt;=2.75,"B",IF(J66&lt;=3.5,"C",IF(J66&lt;=4.25,"D",IF(J66&lt;=5,"E","F")))))</f>
        <v>A</v>
      </c>
      <c r="K67" s="95" t="str">
        <f t="shared" si="167"/>
        <v>A</v>
      </c>
      <c r="L67" s="95" t="str">
        <f t="shared" si="167"/>
        <v>B</v>
      </c>
      <c r="M67" s="99" t="str">
        <f>IF(M66&lt;=2,"A",IF(M66&lt;=2.75,"B",IF(M66&lt;=3.5,"C",IF(M66&lt;=4.25,"D",IF(M66&lt;=5,"E","F")))))</f>
        <v>A</v>
      </c>
      <c r="N67" s="10" t="str">
        <f t="shared" ref="N67:Q67" si="168">IF(N66&lt;=2,"A",IF(N66&lt;=2.75,"B",IF(N66&lt;=3.5,"C",IF(N66&lt;=4.25,"D",IF(N66&lt;=5,"E","F")))))</f>
        <v>A</v>
      </c>
      <c r="O67" s="167" t="str">
        <f t="shared" si="168"/>
        <v>A</v>
      </c>
      <c r="P67" s="167" t="str">
        <f t="shared" si="168"/>
        <v>A</v>
      </c>
      <c r="Q67" s="171" t="str">
        <f>IF(Q66&lt;=2,"A",IF(Q66&lt;=2.75,"B",IF(Q66&lt;=3.5,"C",IF(Q66&lt;=4.25,"D",IF(Q66&lt;=5,"E","F")))))</f>
        <v>A</v>
      </c>
      <c r="R67" s="10" t="str">
        <f t="shared" ref="R67:U67" si="169">IF(R66&lt;=2,"A",IF(R66&lt;=2.75,"B",IF(R66&lt;=3.5,"C",IF(R66&lt;=4.25,"D",IF(R66&lt;=5,"E","F")))))</f>
        <v>A</v>
      </c>
      <c r="S67" s="167" t="str">
        <f t="shared" si="169"/>
        <v>A</v>
      </c>
      <c r="T67" s="167" t="str">
        <f t="shared" si="169"/>
        <v>A</v>
      </c>
      <c r="U67" s="171" t="str">
        <f>IF(U66&lt;=2,"A",IF(U66&lt;=2.75,"B",IF(U66&lt;=3.5,"C",IF(U66&lt;=4.25,"D",IF(U66&lt;=5,"E","F")))))</f>
        <v>A</v>
      </c>
      <c r="V67" s="10" t="str">
        <f t="shared" ref="V67:Y67" si="170">IF(V66&lt;=2,"A",IF(V66&lt;=2.75,"B",IF(V66&lt;=3.5,"C",IF(V66&lt;=4.25,"D",IF(V66&lt;=5,"E","F")))))</f>
        <v>A</v>
      </c>
      <c r="W67" s="167" t="str">
        <f t="shared" si="170"/>
        <v>A</v>
      </c>
      <c r="X67" s="167" t="str">
        <f t="shared" si="170"/>
        <v>A</v>
      </c>
      <c r="Y67" s="171" t="str">
        <f>IF(Y66&lt;=2,"A",IF(Y66&lt;=2.75,"B",IF(Y66&lt;=3.5,"C",IF(Y66&lt;=4.25,"D",IF(Y66&lt;=5,"E","F")))))</f>
        <v>A</v>
      </c>
      <c r="Z67" s="10" t="str">
        <f t="shared" ref="Z67:AC67" si="171">IF(Z66&lt;=2,"A",IF(Z66&lt;=2.75,"B",IF(Z66&lt;=3.5,"C",IF(Z66&lt;=4.25,"D",IF(Z66&lt;=5,"E","F")))))</f>
        <v>A</v>
      </c>
      <c r="AA67" s="167" t="str">
        <f t="shared" si="171"/>
        <v>A</v>
      </c>
      <c r="AB67" s="167" t="str">
        <f t="shared" si="171"/>
        <v>A</v>
      </c>
      <c r="AC67" s="171" t="str">
        <f>IF(AC66&lt;=2,"A",IF(AC66&lt;=2.75,"B",IF(AC66&lt;=3.5,"C",IF(AC66&lt;=4.25,"D",IF(AC66&lt;=5,"E","F")))))</f>
        <v>A</v>
      </c>
      <c r="AD67" s="10" t="str">
        <f t="shared" ref="AD67:AG67" si="172">IF(AD66&lt;=2,"A",IF(AD66&lt;=2.75,"B",IF(AD66&lt;=3.5,"C",IF(AD66&lt;=4.25,"D",IF(AD66&lt;=5,"E","F")))))</f>
        <v>A</v>
      </c>
      <c r="AE67" s="167" t="str">
        <f t="shared" si="172"/>
        <v>A</v>
      </c>
      <c r="AF67" s="167" t="str">
        <f t="shared" si="172"/>
        <v>A</v>
      </c>
      <c r="AG67" s="171" t="str">
        <f>IF(AG66&lt;=2,"A",IF(AG66&lt;=2.75,"B",IF(AG66&lt;=3.5,"C",IF(AG66&lt;=4.25,"D",IF(AG66&lt;=5,"E","F")))))</f>
        <v>A</v>
      </c>
      <c r="AH67" s="10" t="str">
        <f t="shared" ref="AH67:AK67" si="173">IF(AH66&lt;=2,"A",IF(AH66&lt;=2.75,"B",IF(AH66&lt;=3.5,"C",IF(AH66&lt;=4.25,"D",IF(AH66&lt;=5,"E","F")))))</f>
        <v>A</v>
      </c>
      <c r="AI67" s="167" t="str">
        <f t="shared" si="173"/>
        <v>A</v>
      </c>
      <c r="AJ67" s="167" t="str">
        <f t="shared" si="173"/>
        <v>A</v>
      </c>
      <c r="AK67" s="171" t="str">
        <f>IF(AK66&lt;=2,"A",IF(AK66&lt;=2.75,"B",IF(AK66&lt;=3.5,"C",IF(AK66&lt;=4.25,"D",IF(AK66&lt;=5,"E","F")))))</f>
        <v>A</v>
      </c>
      <c r="AL67" s="10" t="str">
        <f t="shared" ref="AL67:AO67" si="174">IF(AL66&lt;=2,"A",IF(AL66&lt;=2.75,"B",IF(AL66&lt;=3.5,"C",IF(AL66&lt;=4.25,"D",IF(AL66&lt;=5,"E","F")))))</f>
        <v>A</v>
      </c>
      <c r="AM67" s="167" t="str">
        <f t="shared" si="174"/>
        <v>A</v>
      </c>
      <c r="AN67" s="167" t="str">
        <f t="shared" si="174"/>
        <v>A</v>
      </c>
      <c r="AO67" s="171" t="str">
        <f>IF(AO66&lt;=2,"A",IF(AO66&lt;=2.75,"B",IF(AO66&lt;=3.5,"C",IF(AO66&lt;=4.25,"D",IF(AO66&lt;=5,"E","F")))))</f>
        <v>A</v>
      </c>
      <c r="AP67" s="10" t="str">
        <f t="shared" ref="AP67:AS67" si="175">IF(AP66&lt;=2,"A",IF(AP66&lt;=2.75,"B",IF(AP66&lt;=3.5,"C",IF(AP66&lt;=4.25,"D",IF(AP66&lt;=5,"E","F")))))</f>
        <v>A</v>
      </c>
      <c r="AQ67" s="167" t="str">
        <f t="shared" si="175"/>
        <v>A</v>
      </c>
      <c r="AR67" s="167" t="str">
        <f t="shared" si="175"/>
        <v>A</v>
      </c>
      <c r="AS67" s="171" t="str">
        <f>IF(AS66&lt;=2,"A",IF(AS66&lt;=2.75,"B",IF(AS66&lt;=3.5,"C",IF(AS66&lt;=4.25,"D",IF(AS66&lt;=5,"E","F")))))</f>
        <v>A</v>
      </c>
      <c r="AT67" s="10" t="str">
        <f t="shared" ref="AT67:AW67" si="176">IF(AT66&lt;=2,"A",IF(AT66&lt;=2.75,"B",IF(AT66&lt;=3.5,"C",IF(AT66&lt;=4.25,"D",IF(AT66&lt;=5,"E","F")))))</f>
        <v>A</v>
      </c>
      <c r="AU67" s="167" t="str">
        <f t="shared" si="176"/>
        <v>A</v>
      </c>
      <c r="AV67" s="167" t="str">
        <f t="shared" si="176"/>
        <v>A</v>
      </c>
      <c r="AW67" s="171" t="str">
        <f>IF(AW66&lt;=2,"A",IF(AW66&lt;=2.75,"B",IF(AW66&lt;=3.5,"C",IF(AW66&lt;=4.25,"D",IF(AW66&lt;=5,"E","F")))))</f>
        <v>A</v>
      </c>
      <c r="AX67" s="10" t="str">
        <f t="shared" ref="AX67:BA67" si="177">IF(AX66&lt;=2,"A",IF(AX66&lt;=2.75,"B",IF(AX66&lt;=3.5,"C",IF(AX66&lt;=4.25,"D",IF(AX66&lt;=5,"E","F")))))</f>
        <v>A</v>
      </c>
      <c r="AY67" s="167" t="str">
        <f t="shared" si="177"/>
        <v>A</v>
      </c>
      <c r="AZ67" s="167" t="str">
        <f t="shared" si="177"/>
        <v>A</v>
      </c>
      <c r="BA67" s="171" t="str">
        <f>IF(BA66&lt;=2,"A",IF(BA66&lt;=2.75,"B",IF(BA66&lt;=3.5,"C",IF(BA66&lt;=4.25,"D",IF(BA66&lt;=5,"E","F")))))</f>
        <v>A</v>
      </c>
      <c r="BB67" s="10" t="str">
        <f t="shared" ref="BB67:BE67" si="178">IF(BB66&lt;=2,"A",IF(BB66&lt;=2.75,"B",IF(BB66&lt;=3.5,"C",IF(BB66&lt;=4.25,"D",IF(BB66&lt;=5,"E","F")))))</f>
        <v>A</v>
      </c>
      <c r="BC67" s="167" t="str">
        <f t="shared" si="178"/>
        <v>A</v>
      </c>
      <c r="BD67" s="167" t="str">
        <f t="shared" si="178"/>
        <v>A</v>
      </c>
      <c r="BE67" s="171" t="str">
        <f>IF(BE66&lt;=2,"A",IF(BE66&lt;=2.75,"B",IF(BE66&lt;=3.5,"C",IF(BE66&lt;=4.25,"D",IF(BE66&lt;=5,"E","F")))))</f>
        <v>A</v>
      </c>
      <c r="BF67" s="10" t="str">
        <f t="shared" ref="BF67:BI67" si="179">IF(BF66&lt;=2,"A",IF(BF66&lt;=2.75,"B",IF(BF66&lt;=3.5,"C",IF(BF66&lt;=4.25,"D",IF(BF66&lt;=5,"E","F")))))</f>
        <v>A</v>
      </c>
      <c r="BG67" s="167" t="str">
        <f t="shared" si="179"/>
        <v>A</v>
      </c>
      <c r="BH67" s="167" t="str">
        <f t="shared" si="179"/>
        <v>A</v>
      </c>
      <c r="BI67" s="171" t="str">
        <f>IF(BI66&lt;=2,"A",IF(BI66&lt;=2.75,"B",IF(BI66&lt;=3.5,"C",IF(BI66&lt;=4.25,"D",IF(BI66&lt;=5,"E","F")))))</f>
        <v>A</v>
      </c>
      <c r="BJ67" s="10" t="str">
        <f t="shared" ref="BJ67:BM67" si="180">IF(BJ66&lt;=2,"A",IF(BJ66&lt;=2.75,"B",IF(BJ66&lt;=3.5,"C",IF(BJ66&lt;=4.25,"D",IF(BJ66&lt;=5,"E","F")))))</f>
        <v>A</v>
      </c>
      <c r="BK67" s="167" t="str">
        <f t="shared" si="180"/>
        <v>A</v>
      </c>
      <c r="BL67" s="167" t="str">
        <f t="shared" si="180"/>
        <v>A</v>
      </c>
      <c r="BM67" s="171" t="str">
        <f>IF(BM66&lt;=2,"A",IF(BM66&lt;=2.75,"B",IF(BM66&lt;=3.5,"C",IF(BM66&lt;=4.25,"D",IF(BM66&lt;=5,"E","F")))))</f>
        <v>A</v>
      </c>
      <c r="BN67" s="10" t="str">
        <f t="shared" ref="BN67:BQ67" si="181">IF(BN66&lt;=2,"A",IF(BN66&lt;=2.75,"B",IF(BN66&lt;=3.5,"C",IF(BN66&lt;=4.25,"D",IF(BN66&lt;=5,"E","F")))))</f>
        <v>A</v>
      </c>
      <c r="BO67" s="167" t="str">
        <f t="shared" si="181"/>
        <v>A</v>
      </c>
      <c r="BP67" s="167" t="str">
        <f t="shared" si="181"/>
        <v>A</v>
      </c>
      <c r="BQ67" s="171" t="str">
        <f>IF(BQ66&lt;=2,"A",IF(BQ66&lt;=2.75,"B",IF(BQ66&lt;=3.5,"C",IF(BQ66&lt;=4.25,"D",IF(BQ66&lt;=5,"E","F")))))</f>
        <v>A</v>
      </c>
      <c r="BR67" s="10" t="str">
        <f t="shared" ref="BR67:BU67" si="182">IF(BR66&lt;=2,"A",IF(BR66&lt;=2.75,"B",IF(BR66&lt;=3.5,"C",IF(BR66&lt;=4.25,"D",IF(BR66&lt;=5,"E","F")))))</f>
        <v>A</v>
      </c>
      <c r="BS67" s="167" t="str">
        <f t="shared" si="182"/>
        <v>A</v>
      </c>
      <c r="BT67" s="167" t="str">
        <f t="shared" si="182"/>
        <v>A</v>
      </c>
      <c r="BU67" s="171" t="str">
        <f>IF(BU66&lt;=2,"A",IF(BU66&lt;=2.75,"B",IF(BU66&lt;=3.5,"C",IF(BU66&lt;=4.25,"D",IF(BU66&lt;=5,"E","F")))))</f>
        <v>A</v>
      </c>
      <c r="BV67" s="10" t="str">
        <f t="shared" ref="BV67:BY67" si="183">IF(BV66&lt;=2,"A",IF(BV66&lt;=2.75,"B",IF(BV66&lt;=3.5,"C",IF(BV66&lt;=4.25,"D",IF(BV66&lt;=5,"E","F")))))</f>
        <v>A</v>
      </c>
      <c r="BW67" s="167" t="str">
        <f t="shared" si="183"/>
        <v>A</v>
      </c>
      <c r="BX67" s="167" t="str">
        <f t="shared" si="183"/>
        <v>A</v>
      </c>
      <c r="BY67" s="171" t="str">
        <f>IF(BY66&lt;=2,"A",IF(BY66&lt;=2.75,"B",IF(BY66&lt;=3.5,"C",IF(BY66&lt;=4.25,"D",IF(BY66&lt;=5,"E","F")))))</f>
        <v>A</v>
      </c>
      <c r="BZ67" s="10" t="str">
        <f t="shared" ref="BZ67:CC67" si="184">IF(BZ66&lt;=2,"A",IF(BZ66&lt;=2.75,"B",IF(BZ66&lt;=3.5,"C",IF(BZ66&lt;=4.25,"D",IF(BZ66&lt;=5,"E","F")))))</f>
        <v>A</v>
      </c>
      <c r="CA67" s="167" t="str">
        <f t="shared" si="184"/>
        <v>A</v>
      </c>
      <c r="CB67" s="167" t="str">
        <f t="shared" si="184"/>
        <v>A</v>
      </c>
      <c r="CC67" s="171" t="str">
        <f>IF(CC66&lt;=2,"A",IF(CC66&lt;=2.75,"B",IF(CC66&lt;=3.5,"C",IF(CC66&lt;=4.25,"D",IF(CC66&lt;=5,"E","F")))))</f>
        <v>A</v>
      </c>
      <c r="CD67" s="10" t="str">
        <f t="shared" ref="CD67:CG67" si="185">IF(CD66&lt;=2,"A",IF(CD66&lt;=2.75,"B",IF(CD66&lt;=3.5,"C",IF(CD66&lt;=4.25,"D",IF(CD66&lt;=5,"E","F")))))</f>
        <v>A</v>
      </c>
      <c r="CE67" s="167" t="str">
        <f t="shared" si="185"/>
        <v>A</v>
      </c>
      <c r="CF67" s="167" t="str">
        <f t="shared" si="185"/>
        <v>A</v>
      </c>
      <c r="CG67" s="171" t="str">
        <f>IF(CG66&lt;=2,"A",IF(CG66&lt;=2.75,"B",IF(CG66&lt;=3.5,"C",IF(CG66&lt;=4.25,"D",IF(CG66&lt;=5,"E","F")))))</f>
        <v>A</v>
      </c>
      <c r="CH67" s="10" t="str">
        <f t="shared" ref="CH67:CK67" si="186">IF(CH66&lt;=2,"A",IF(CH66&lt;=2.75,"B",IF(CH66&lt;=3.5,"C",IF(CH66&lt;=4.25,"D",IF(CH66&lt;=5,"E","F")))))</f>
        <v>A</v>
      </c>
      <c r="CI67" s="167" t="str">
        <f t="shared" si="186"/>
        <v>A</v>
      </c>
      <c r="CJ67" s="167" t="str">
        <f t="shared" si="186"/>
        <v>A</v>
      </c>
      <c r="CK67" s="171" t="str">
        <f>IF(CK66&lt;=2,"A",IF(CK66&lt;=2.75,"B",IF(CK66&lt;=3.5,"C",IF(CK66&lt;=4.25,"D",IF(CK66&lt;=5,"E","F")))))</f>
        <v>A</v>
      </c>
      <c r="CL67" s="49"/>
      <c r="CM67" s="28"/>
    </row>
    <row r="68" spans="2:91" x14ac:dyDescent="0.25">
      <c r="B68" s="55"/>
      <c r="C68" s="10"/>
      <c r="D68" s="93" t="s">
        <v>177</v>
      </c>
      <c r="E68" s="131"/>
      <c r="F68" s="194">
        <f>SUM(F18:F19)*IF(F44="Yes",1,0)+SUM(G18:G19)*IF(G44="Yes",1,0)+SUM(H18:H19)*IF(H44="Yes",1,0)+SUM(I18:I19)*IF(I44="Yes",1,0)</f>
        <v>1048</v>
      </c>
      <c r="G68" s="195"/>
      <c r="H68" s="195"/>
      <c r="I68" s="196"/>
      <c r="J68" s="194">
        <f>SUM(J18:J19)*IF(J44="Yes",1,0)+SUM(K18:K19)*IF(K44="Yes",1,0)+SUM(L18:L19)*IF(L44="Yes",1,0)+SUM(M18:M19)*IF(M44="Yes",1,0)</f>
        <v>40</v>
      </c>
      <c r="K68" s="195"/>
      <c r="L68" s="195"/>
      <c r="M68" s="196"/>
      <c r="N68" s="194">
        <f>SUM(N18:N19)*IF(N44="Yes",1,0)+SUM(O18:O19)*IF(O44="Yes",1,0)+SUM(P18:P19)*IF(P44="Yes",1,0)+SUM(Q18:Q19)*IF(Q44="Yes",1,0)</f>
        <v>0</v>
      </c>
      <c r="O68" s="195"/>
      <c r="P68" s="195"/>
      <c r="Q68" s="196"/>
      <c r="R68" s="194">
        <f>SUM(R18:R19)*IF(R44="Yes",1,0)+SUM(S18:S19)*IF(S44="Yes",1,0)+SUM(T18:T19)*IF(T44="Yes",1,0)+SUM(U18:U19)*IF(U44="Yes",1,0)</f>
        <v>0</v>
      </c>
      <c r="S68" s="195"/>
      <c r="T68" s="195"/>
      <c r="U68" s="196"/>
      <c r="V68" s="194">
        <f>SUM(V18:V19)*IF(V44="Yes",1,0)+SUM(W18:W19)*IF(W44="Yes",1,0)+SUM(X18:X19)*IF(X44="Yes",1,0)+SUM(Y18:Y19)*IF(Y44="Yes",1,0)</f>
        <v>0</v>
      </c>
      <c r="W68" s="195"/>
      <c r="X68" s="195"/>
      <c r="Y68" s="196"/>
      <c r="Z68" s="194">
        <f>SUM(Z18:Z19)*IF(Z44="Yes",1,0)+SUM(AA18:AA19)*IF(AA44="Yes",1,0)+SUM(AB18:AB19)*IF(AB44="Yes",1,0)+SUM(AC18:AC19)*IF(AC44="Yes",1,0)</f>
        <v>0</v>
      </c>
      <c r="AA68" s="195"/>
      <c r="AB68" s="195"/>
      <c r="AC68" s="196"/>
      <c r="AD68" s="194">
        <f>SUM(AD18:AD19)*IF(AD44="Yes",1,0)+SUM(AE18:AE19)*IF(AE44="Yes",1,0)+SUM(AF18:AF19)*IF(AF44="Yes",1,0)+SUM(AG18:AG19)*IF(AG44="Yes",1,0)</f>
        <v>0</v>
      </c>
      <c r="AE68" s="195"/>
      <c r="AF68" s="195"/>
      <c r="AG68" s="196"/>
      <c r="AH68" s="194">
        <f>SUM(AH18:AH19)*IF(AH44="Yes",1,0)+SUM(AI18:AI19)*IF(AI44="Yes",1,0)+SUM(AJ18:AJ19)*IF(AJ44="Yes",1,0)+SUM(AK18:AK19)*IF(AK44="Yes",1,0)</f>
        <v>0</v>
      </c>
      <c r="AI68" s="195"/>
      <c r="AJ68" s="195"/>
      <c r="AK68" s="196"/>
      <c r="AL68" s="194">
        <f>SUM(AL18:AL19)*IF(AL44="Yes",1,0)+SUM(AM18:AM19)*IF(AM44="Yes",1,0)+SUM(AN18:AN19)*IF(AN44="Yes",1,0)+SUM(AO18:AO19)*IF(AO44="Yes",1,0)</f>
        <v>0</v>
      </c>
      <c r="AM68" s="195"/>
      <c r="AN68" s="195"/>
      <c r="AO68" s="196"/>
      <c r="AP68" s="194">
        <f>SUM(AP18:AP19)*IF(AP44="Yes",1,0)+SUM(AQ18:AQ19)*IF(AQ44="Yes",1,0)+SUM(AR18:AR19)*IF(AR44="Yes",1,0)+SUM(AS18:AS19)*IF(AS44="Yes",1,0)</f>
        <v>0</v>
      </c>
      <c r="AQ68" s="195"/>
      <c r="AR68" s="195"/>
      <c r="AS68" s="196"/>
      <c r="AT68" s="194">
        <f>SUM(AT18:AT19)*IF(AT44="Yes",1,0)+SUM(AU18:AU19)*IF(AU44="Yes",1,0)+SUM(AV18:AV19)*IF(AV44="Yes",1,0)+SUM(AW18:AW19)*IF(AW44="Yes",1,0)</f>
        <v>0</v>
      </c>
      <c r="AU68" s="195"/>
      <c r="AV68" s="195"/>
      <c r="AW68" s="196"/>
      <c r="AX68" s="194">
        <f>SUM(AX18:AX19)*IF(AX44="Yes",1,0)+SUM(AY18:AY19)*IF(AY44="Yes",1,0)+SUM(AZ18:AZ19)*IF(AZ44="Yes",1,0)+SUM(BA18:BA19)*IF(BA44="Yes",1,0)</f>
        <v>0</v>
      </c>
      <c r="AY68" s="195"/>
      <c r="AZ68" s="195"/>
      <c r="BA68" s="196"/>
      <c r="BB68" s="194">
        <f>SUM(BB18:BB19)*IF(BB44="Yes",1,0)+SUM(BC18:BC19)*IF(BC44="Yes",1,0)+SUM(BD18:BD19)*IF(BD44="Yes",1,0)+SUM(BE18:BE19)*IF(BE44="Yes",1,0)</f>
        <v>0</v>
      </c>
      <c r="BC68" s="195"/>
      <c r="BD68" s="195"/>
      <c r="BE68" s="196"/>
      <c r="BF68" s="194">
        <f>SUM(BF18:BF19)*IF(BF44="Yes",1,0)+SUM(BG18:BG19)*IF(BG44="Yes",1,0)+SUM(BH18:BH19)*IF(BH44="Yes",1,0)+SUM(BI18:BI19)*IF(BI44="Yes",1,0)</f>
        <v>0</v>
      </c>
      <c r="BG68" s="195"/>
      <c r="BH68" s="195"/>
      <c r="BI68" s="196"/>
      <c r="BJ68" s="194">
        <f>SUM(BJ18:BJ19)*IF(BJ44="Yes",1,0)+SUM(BK18:BK19)*IF(BK44="Yes",1,0)+SUM(BL18:BL19)*IF(BL44="Yes",1,0)+SUM(BM18:BM19)*IF(BM44="Yes",1,0)</f>
        <v>0</v>
      </c>
      <c r="BK68" s="195"/>
      <c r="BL68" s="195"/>
      <c r="BM68" s="196"/>
      <c r="BN68" s="194">
        <f>SUM(BN18:BN19)*IF(BN44="Yes",1,0)+SUM(BO18:BO19)*IF(BO44="Yes",1,0)+SUM(BP18:BP19)*IF(BP44="Yes",1,0)+SUM(BQ18:BQ19)*IF(BQ44="Yes",1,0)</f>
        <v>0</v>
      </c>
      <c r="BO68" s="195"/>
      <c r="BP68" s="195"/>
      <c r="BQ68" s="196"/>
      <c r="BR68" s="194">
        <f>SUM(BR18:BR19)*IF(BR44="Yes",1,0)+SUM(BS18:BS19)*IF(BS44="Yes",1,0)+SUM(BT18:BT19)*IF(BT44="Yes",1,0)+SUM(BU18:BU19)*IF(BU44="Yes",1,0)</f>
        <v>0</v>
      </c>
      <c r="BS68" s="195"/>
      <c r="BT68" s="195"/>
      <c r="BU68" s="196"/>
      <c r="BV68" s="194">
        <f>SUM(BV18:BV19)*IF(BV44="Yes",1,0)+SUM(BW18:BW19)*IF(BW44="Yes",1,0)+SUM(BX18:BX19)*IF(BX44="Yes",1,0)+SUM(BY18:BY19)*IF(BY44="Yes",1,0)</f>
        <v>0</v>
      </c>
      <c r="BW68" s="195"/>
      <c r="BX68" s="195"/>
      <c r="BY68" s="196"/>
      <c r="BZ68" s="194">
        <f>SUM(BZ18:BZ19)*IF(BZ44="Yes",1,0)+SUM(CA18:CA19)*IF(CA44="Yes",1,0)+SUM(CB18:CB19)*IF(CB44="Yes",1,0)+SUM(CC18:CC19)*IF(CC44="Yes",1,0)</f>
        <v>0</v>
      </c>
      <c r="CA68" s="195"/>
      <c r="CB68" s="195"/>
      <c r="CC68" s="196"/>
      <c r="CD68" s="194">
        <f>SUM(CD18:CD19)*IF(CD44="Yes",1,0)+SUM(CE18:CE19)*IF(CE44="Yes",1,0)+SUM(CF18:CF19)*IF(CF44="Yes",1,0)+SUM(CG18:CG19)*IF(CG44="Yes",1,0)</f>
        <v>0</v>
      </c>
      <c r="CE68" s="195"/>
      <c r="CF68" s="195"/>
      <c r="CG68" s="196"/>
      <c r="CH68" s="194">
        <f>SUM(CH18:CH19)*IF(CH44="Yes",1,0)+SUM(CI18:CI19)*IF(CI44="Yes",1,0)+SUM(CJ18:CJ19)*IF(CJ44="Yes",1,0)+SUM(CK18:CK19)*IF(CK44="Yes",1,0)</f>
        <v>0</v>
      </c>
      <c r="CI68" s="195"/>
      <c r="CJ68" s="195"/>
      <c r="CK68" s="196"/>
      <c r="CL68" s="49"/>
      <c r="CM68" s="28"/>
    </row>
    <row r="69" spans="2:91" ht="15.75" x14ac:dyDescent="0.25">
      <c r="B69" s="55"/>
      <c r="C69" s="4"/>
      <c r="D69" s="77" t="s">
        <v>235</v>
      </c>
      <c r="E69" s="134"/>
      <c r="F69" s="4"/>
      <c r="G69" s="19"/>
      <c r="H69" s="19"/>
      <c r="I69" s="5"/>
      <c r="J69" s="4"/>
      <c r="K69" s="19"/>
      <c r="L69" s="19"/>
      <c r="M69" s="5"/>
      <c r="N69" s="4"/>
      <c r="O69" s="19"/>
      <c r="P69" s="19"/>
      <c r="Q69" s="5"/>
      <c r="R69" s="4"/>
      <c r="S69" s="19"/>
      <c r="T69" s="19"/>
      <c r="U69" s="5"/>
      <c r="V69" s="4"/>
      <c r="W69" s="19"/>
      <c r="X69" s="19"/>
      <c r="Y69" s="5"/>
      <c r="Z69" s="4"/>
      <c r="AA69" s="19"/>
      <c r="AB69" s="19"/>
      <c r="AC69" s="5"/>
      <c r="AD69" s="4"/>
      <c r="AE69" s="19"/>
      <c r="AF69" s="19"/>
      <c r="AG69" s="5"/>
      <c r="AH69" s="4"/>
      <c r="AI69" s="19"/>
      <c r="AJ69" s="19"/>
      <c r="AK69" s="5"/>
      <c r="AL69" s="4"/>
      <c r="AM69" s="19"/>
      <c r="AN69" s="19"/>
      <c r="AO69" s="5"/>
      <c r="AP69" s="4"/>
      <c r="AQ69" s="19"/>
      <c r="AR69" s="19"/>
      <c r="AS69" s="5"/>
      <c r="AT69" s="4"/>
      <c r="AU69" s="19"/>
      <c r="AV69" s="19"/>
      <c r="AW69" s="5"/>
      <c r="AX69" s="4"/>
      <c r="AY69" s="19"/>
      <c r="AZ69" s="19"/>
      <c r="BA69" s="5"/>
      <c r="BB69" s="4"/>
      <c r="BC69" s="19"/>
      <c r="BD69" s="19"/>
      <c r="BE69" s="5"/>
      <c r="BF69" s="4"/>
      <c r="BG69" s="19"/>
      <c r="BH69" s="19"/>
      <c r="BI69" s="5"/>
      <c r="BJ69" s="4"/>
      <c r="BK69" s="19"/>
      <c r="BL69" s="19"/>
      <c r="BM69" s="5"/>
      <c r="BN69" s="4"/>
      <c r="BO69" s="19"/>
      <c r="BP69" s="19"/>
      <c r="BQ69" s="5"/>
      <c r="BR69" s="4"/>
      <c r="BS69" s="19"/>
      <c r="BT69" s="19"/>
      <c r="BU69" s="5"/>
      <c r="BV69" s="4"/>
      <c r="BW69" s="19"/>
      <c r="BX69" s="19"/>
      <c r="BY69" s="5"/>
      <c r="BZ69" s="4"/>
      <c r="CA69" s="19"/>
      <c r="CB69" s="19"/>
      <c r="CC69" s="5"/>
      <c r="CD69" s="4"/>
      <c r="CE69" s="19"/>
      <c r="CF69" s="19"/>
      <c r="CG69" s="5"/>
      <c r="CH69" s="4"/>
      <c r="CI69" s="19"/>
      <c r="CJ69" s="19"/>
      <c r="CK69" s="5"/>
      <c r="CL69" s="49"/>
      <c r="CM69" s="28"/>
    </row>
    <row r="70" spans="2:91" ht="14.25" x14ac:dyDescent="0.25">
      <c r="B70" s="55"/>
      <c r="C70" s="10" t="s">
        <v>318</v>
      </c>
      <c r="D70" s="93" t="s">
        <v>495</v>
      </c>
      <c r="E70" s="126">
        <f>MAX(1500*ROUNDDOWN(E33/2.5,0),1500)</f>
        <v>3000</v>
      </c>
      <c r="F70" s="13">
        <f>MAX(1500*ROUNDDOWN(F33/2.5,0),1500)</f>
        <v>1500</v>
      </c>
      <c r="G70" s="44">
        <f>MAX(1500*ROUNDDOWN(G33/2.5,0),1500)</f>
        <v>1500</v>
      </c>
      <c r="H70" s="44">
        <f>MAX(1500*ROUNDDOWN(H33/2.5,0),1500)</f>
        <v>1500</v>
      </c>
      <c r="I70" s="14">
        <f>MAX(1500*ROUNDDOWN(I33/2.5,0),1500)</f>
        <v>1500</v>
      </c>
      <c r="J70" s="13">
        <f>MAX(1500*ROUNDDOWN(J33/2.5,0),1500)</f>
        <v>1500</v>
      </c>
      <c r="K70" s="44">
        <f>MAX(1500*ROUNDDOWN(K33/2.5,0),1500)</f>
        <v>1500</v>
      </c>
      <c r="L70" s="44">
        <f>MAX(1500*ROUNDDOWN(L33/2.5,0),1500)</f>
        <v>1500</v>
      </c>
      <c r="M70" s="14">
        <f>MAX(1500*ROUNDDOWN(M33/2.5,0),1500)</f>
        <v>1500</v>
      </c>
      <c r="N70" s="13">
        <f>MAX(1500*ROUNDDOWN(N33/2.5,0),1500)</f>
        <v>1500</v>
      </c>
      <c r="O70" s="44">
        <f>MAX(1500*ROUNDDOWN(O33/2.5,0),1500)</f>
        <v>1500</v>
      </c>
      <c r="P70" s="44">
        <f>MAX(1500*ROUNDDOWN(P33/2.5,0),1500)</f>
        <v>1500</v>
      </c>
      <c r="Q70" s="14">
        <f>MAX(1500*ROUNDDOWN(Q33/2.5,0),1500)</f>
        <v>1500</v>
      </c>
      <c r="R70" s="13">
        <f>MAX(1500*ROUNDDOWN(R33/2.5,0),1500)</f>
        <v>1500</v>
      </c>
      <c r="S70" s="44">
        <f>MAX(1500*ROUNDDOWN(S33/2.5,0),1500)</f>
        <v>1500</v>
      </c>
      <c r="T70" s="44">
        <f>MAX(1500*ROUNDDOWN(T33/2.5,0),1500)</f>
        <v>1500</v>
      </c>
      <c r="U70" s="14">
        <f>MAX(1500*ROUNDDOWN(U33/2.5,0),1500)</f>
        <v>1500</v>
      </c>
      <c r="V70" s="13">
        <f>MAX(1500*ROUNDDOWN(V33/2.5,0),1500)</f>
        <v>1500</v>
      </c>
      <c r="W70" s="44">
        <f>MAX(1500*ROUNDDOWN(W33/2.5,0),1500)</f>
        <v>1500</v>
      </c>
      <c r="X70" s="44">
        <f>MAX(1500*ROUNDDOWN(X33/2.5,0),1500)</f>
        <v>1500</v>
      </c>
      <c r="Y70" s="14">
        <f>MAX(1500*ROUNDDOWN(Y33/2.5,0),1500)</f>
        <v>1500</v>
      </c>
      <c r="Z70" s="13">
        <f>MAX(1500*ROUNDDOWN(Z33/2.5,0),1500)</f>
        <v>1500</v>
      </c>
      <c r="AA70" s="44">
        <f>MAX(1500*ROUNDDOWN(AA33/2.5,0),1500)</f>
        <v>1500</v>
      </c>
      <c r="AB70" s="44">
        <f>MAX(1500*ROUNDDOWN(AB33/2.5,0),1500)</f>
        <v>1500</v>
      </c>
      <c r="AC70" s="14">
        <f>MAX(1500*ROUNDDOWN(AC33/2.5,0),1500)</f>
        <v>1500</v>
      </c>
      <c r="AD70" s="13">
        <f>MAX(1500*ROUNDDOWN(AD33/2.5,0),1500)</f>
        <v>1500</v>
      </c>
      <c r="AE70" s="44">
        <f>MAX(1500*ROUNDDOWN(AE33/2.5,0),1500)</f>
        <v>1500</v>
      </c>
      <c r="AF70" s="44">
        <f>MAX(1500*ROUNDDOWN(AF33/2.5,0),1500)</f>
        <v>1500</v>
      </c>
      <c r="AG70" s="14">
        <f>MAX(1500*ROUNDDOWN(AG33/2.5,0),1500)</f>
        <v>1500</v>
      </c>
      <c r="AH70" s="13">
        <f>MAX(1500*ROUNDDOWN(AH33/2.5,0),1500)</f>
        <v>1500</v>
      </c>
      <c r="AI70" s="44">
        <f>MAX(1500*ROUNDDOWN(AI33/2.5,0),1500)</f>
        <v>1500</v>
      </c>
      <c r="AJ70" s="44">
        <f>MAX(1500*ROUNDDOWN(AJ33/2.5,0),1500)</f>
        <v>1500</v>
      </c>
      <c r="AK70" s="14">
        <f>MAX(1500*ROUNDDOWN(AK33/2.5,0),1500)</f>
        <v>1500</v>
      </c>
      <c r="AL70" s="13">
        <f>MAX(1500*ROUNDDOWN(AL33/2.5,0),1500)</f>
        <v>1500</v>
      </c>
      <c r="AM70" s="44">
        <f>MAX(1500*ROUNDDOWN(AM33/2.5,0),1500)</f>
        <v>1500</v>
      </c>
      <c r="AN70" s="44">
        <f>MAX(1500*ROUNDDOWN(AN33/2.5,0),1500)</f>
        <v>1500</v>
      </c>
      <c r="AO70" s="14">
        <f>MAX(1500*ROUNDDOWN(AO33/2.5,0),1500)</f>
        <v>1500</v>
      </c>
      <c r="AP70" s="13">
        <f>MAX(1500*ROUNDDOWN(AP33/2.5,0),1500)</f>
        <v>1500</v>
      </c>
      <c r="AQ70" s="44">
        <f>MAX(1500*ROUNDDOWN(AQ33/2.5,0),1500)</f>
        <v>1500</v>
      </c>
      <c r="AR70" s="44">
        <f>MAX(1500*ROUNDDOWN(AR33/2.5,0),1500)</f>
        <v>1500</v>
      </c>
      <c r="AS70" s="14">
        <f>MAX(1500*ROUNDDOWN(AS33/2.5,0),1500)</f>
        <v>1500</v>
      </c>
      <c r="AT70" s="13">
        <f>MAX(1500*ROUNDDOWN(AT33/2.5,0),1500)</f>
        <v>1500</v>
      </c>
      <c r="AU70" s="44">
        <f>MAX(1500*ROUNDDOWN(AU33/2.5,0),1500)</f>
        <v>1500</v>
      </c>
      <c r="AV70" s="44">
        <f>MAX(1500*ROUNDDOWN(AV33/2.5,0),1500)</f>
        <v>1500</v>
      </c>
      <c r="AW70" s="14">
        <f>MAX(1500*ROUNDDOWN(AW33/2.5,0),1500)</f>
        <v>1500</v>
      </c>
      <c r="AX70" s="13">
        <f>MAX(1500*ROUNDDOWN(AX33/2.5,0),1500)</f>
        <v>1500</v>
      </c>
      <c r="AY70" s="44">
        <f>MAX(1500*ROUNDDOWN(AY33/2.5,0),1500)</f>
        <v>1500</v>
      </c>
      <c r="AZ70" s="44">
        <f>MAX(1500*ROUNDDOWN(AZ33/2.5,0),1500)</f>
        <v>1500</v>
      </c>
      <c r="BA70" s="14">
        <f>MAX(1500*ROUNDDOWN(BA33/2.5,0),1500)</f>
        <v>1500</v>
      </c>
      <c r="BB70" s="13">
        <f>MAX(1500*ROUNDDOWN(BB33/2.5,0),1500)</f>
        <v>1500</v>
      </c>
      <c r="BC70" s="44">
        <f>MAX(1500*ROUNDDOWN(BC33/2.5,0),1500)</f>
        <v>1500</v>
      </c>
      <c r="BD70" s="44">
        <f>MAX(1500*ROUNDDOWN(BD33/2.5,0),1500)</f>
        <v>1500</v>
      </c>
      <c r="BE70" s="14">
        <f>MAX(1500*ROUNDDOWN(BE33/2.5,0),1500)</f>
        <v>1500</v>
      </c>
      <c r="BF70" s="13">
        <f>MAX(1500*ROUNDDOWN(BF33/2.5,0),1500)</f>
        <v>1500</v>
      </c>
      <c r="BG70" s="44">
        <f>MAX(1500*ROUNDDOWN(BG33/2.5,0),1500)</f>
        <v>1500</v>
      </c>
      <c r="BH70" s="44">
        <f>MAX(1500*ROUNDDOWN(BH33/2.5,0),1500)</f>
        <v>1500</v>
      </c>
      <c r="BI70" s="14">
        <f>MAX(1500*ROUNDDOWN(BI33/2.5,0),1500)</f>
        <v>1500</v>
      </c>
      <c r="BJ70" s="13">
        <f>MAX(1500*ROUNDDOWN(BJ33/2.5,0),1500)</f>
        <v>1500</v>
      </c>
      <c r="BK70" s="44">
        <f>MAX(1500*ROUNDDOWN(BK33/2.5,0),1500)</f>
        <v>1500</v>
      </c>
      <c r="BL70" s="44">
        <f>MAX(1500*ROUNDDOWN(BL33/2.5,0),1500)</f>
        <v>1500</v>
      </c>
      <c r="BM70" s="14">
        <f>MAX(1500*ROUNDDOWN(BM33/2.5,0),1500)</f>
        <v>1500</v>
      </c>
      <c r="BN70" s="13">
        <f>MAX(1500*ROUNDDOWN(BN33/2.5,0),1500)</f>
        <v>1500</v>
      </c>
      <c r="BO70" s="44">
        <f>MAX(1500*ROUNDDOWN(BO33/2.5,0),1500)</f>
        <v>1500</v>
      </c>
      <c r="BP70" s="44">
        <f>MAX(1500*ROUNDDOWN(BP33/2.5,0),1500)</f>
        <v>1500</v>
      </c>
      <c r="BQ70" s="14">
        <f>MAX(1500*ROUNDDOWN(BQ33/2.5,0),1500)</f>
        <v>1500</v>
      </c>
      <c r="BR70" s="13">
        <f>MAX(1500*ROUNDDOWN(BR33/2.5,0),1500)</f>
        <v>1500</v>
      </c>
      <c r="BS70" s="44">
        <f>MAX(1500*ROUNDDOWN(BS33/2.5,0),1500)</f>
        <v>1500</v>
      </c>
      <c r="BT70" s="44">
        <f>MAX(1500*ROUNDDOWN(BT33/2.5,0),1500)</f>
        <v>1500</v>
      </c>
      <c r="BU70" s="14">
        <f>MAX(1500*ROUNDDOWN(BU33/2.5,0),1500)</f>
        <v>1500</v>
      </c>
      <c r="BV70" s="13">
        <f>MAX(1500*ROUNDDOWN(BV33/2.5,0),1500)</f>
        <v>1500</v>
      </c>
      <c r="BW70" s="44">
        <f>MAX(1500*ROUNDDOWN(BW33/2.5,0),1500)</f>
        <v>1500</v>
      </c>
      <c r="BX70" s="44">
        <f>MAX(1500*ROUNDDOWN(BX33/2.5,0),1500)</f>
        <v>1500</v>
      </c>
      <c r="BY70" s="14">
        <f>MAX(1500*ROUNDDOWN(BY33/2.5,0),1500)</f>
        <v>1500</v>
      </c>
      <c r="BZ70" s="13">
        <f>MAX(1500*ROUNDDOWN(BZ33/2.5,0),1500)</f>
        <v>1500</v>
      </c>
      <c r="CA70" s="44">
        <f>MAX(1500*ROUNDDOWN(CA33/2.5,0),1500)</f>
        <v>1500</v>
      </c>
      <c r="CB70" s="44">
        <f>MAX(1500*ROUNDDOWN(CB33/2.5,0),1500)</f>
        <v>1500</v>
      </c>
      <c r="CC70" s="14">
        <f>MAX(1500*ROUNDDOWN(CC33/2.5,0),1500)</f>
        <v>1500</v>
      </c>
      <c r="CD70" s="13">
        <f>MAX(1500*ROUNDDOWN(CD33/2.5,0),1500)</f>
        <v>1500</v>
      </c>
      <c r="CE70" s="44">
        <f>MAX(1500*ROUNDDOWN(CE33/2.5,0),1500)</f>
        <v>1500</v>
      </c>
      <c r="CF70" s="44">
        <f>MAX(1500*ROUNDDOWN(CF33/2.5,0),1500)</f>
        <v>1500</v>
      </c>
      <c r="CG70" s="14">
        <f>MAX(1500*ROUNDDOWN(CG33/2.5,0),1500)</f>
        <v>1500</v>
      </c>
      <c r="CH70" s="13">
        <f>MAX(1500*ROUNDDOWN(CH33/2.5,0),1500)</f>
        <v>1500</v>
      </c>
      <c r="CI70" s="44">
        <f>MAX(1500*ROUNDDOWN(CI33/2.5,0),1500)</f>
        <v>1500</v>
      </c>
      <c r="CJ70" s="44">
        <f>MAX(1500*ROUNDDOWN(CJ33/2.5,0),1500)</f>
        <v>1500</v>
      </c>
      <c r="CK70" s="14">
        <f>MAX(1500*ROUNDDOWN(CK33/2.5,0),1500)</f>
        <v>1500</v>
      </c>
      <c r="CL70" s="49"/>
      <c r="CM70" s="28"/>
    </row>
    <row r="71" spans="2:91" ht="14.25" x14ac:dyDescent="0.25">
      <c r="B71" s="55"/>
      <c r="C71" s="10" t="s">
        <v>323</v>
      </c>
      <c r="D71" s="93" t="s">
        <v>496</v>
      </c>
      <c r="E71" s="126">
        <v>5</v>
      </c>
      <c r="F71" s="13">
        <v>5</v>
      </c>
      <c r="G71" s="44">
        <v>5</v>
      </c>
      <c r="H71" s="44">
        <v>5</v>
      </c>
      <c r="I71" s="14">
        <v>5</v>
      </c>
      <c r="J71" s="13">
        <v>5</v>
      </c>
      <c r="K71" s="44">
        <v>5</v>
      </c>
      <c r="L71" s="44">
        <v>5</v>
      </c>
      <c r="M71" s="14">
        <v>5</v>
      </c>
      <c r="N71" s="13">
        <v>5</v>
      </c>
      <c r="O71" s="44">
        <v>5</v>
      </c>
      <c r="P71" s="44">
        <v>5</v>
      </c>
      <c r="Q71" s="14">
        <v>5</v>
      </c>
      <c r="R71" s="13">
        <v>5</v>
      </c>
      <c r="S71" s="44">
        <v>5</v>
      </c>
      <c r="T71" s="44">
        <v>5</v>
      </c>
      <c r="U71" s="14">
        <v>5</v>
      </c>
      <c r="V71" s="13">
        <v>5</v>
      </c>
      <c r="W71" s="44">
        <v>5</v>
      </c>
      <c r="X71" s="44">
        <v>5</v>
      </c>
      <c r="Y71" s="14">
        <v>5</v>
      </c>
      <c r="Z71" s="13">
        <v>5</v>
      </c>
      <c r="AA71" s="44">
        <v>5</v>
      </c>
      <c r="AB71" s="44">
        <v>5</v>
      </c>
      <c r="AC71" s="14">
        <v>5</v>
      </c>
      <c r="AD71" s="13">
        <v>5</v>
      </c>
      <c r="AE71" s="44">
        <v>5</v>
      </c>
      <c r="AF71" s="44">
        <v>5</v>
      </c>
      <c r="AG71" s="14">
        <v>5</v>
      </c>
      <c r="AH71" s="13">
        <v>5</v>
      </c>
      <c r="AI71" s="44">
        <v>5</v>
      </c>
      <c r="AJ71" s="44">
        <v>5</v>
      </c>
      <c r="AK71" s="14">
        <v>5</v>
      </c>
      <c r="AL71" s="13">
        <v>5</v>
      </c>
      <c r="AM71" s="44">
        <v>5</v>
      </c>
      <c r="AN71" s="44">
        <v>5</v>
      </c>
      <c r="AO71" s="14">
        <v>5</v>
      </c>
      <c r="AP71" s="13">
        <v>5</v>
      </c>
      <c r="AQ71" s="44">
        <v>5</v>
      </c>
      <c r="AR71" s="44">
        <v>5</v>
      </c>
      <c r="AS71" s="14">
        <v>5</v>
      </c>
      <c r="AT71" s="13">
        <v>5</v>
      </c>
      <c r="AU71" s="44">
        <v>5</v>
      </c>
      <c r="AV71" s="44">
        <v>5</v>
      </c>
      <c r="AW71" s="14">
        <v>5</v>
      </c>
      <c r="AX71" s="13">
        <v>5</v>
      </c>
      <c r="AY71" s="44">
        <v>5</v>
      </c>
      <c r="AZ71" s="44">
        <v>5</v>
      </c>
      <c r="BA71" s="14">
        <v>5</v>
      </c>
      <c r="BB71" s="13">
        <v>5</v>
      </c>
      <c r="BC71" s="44">
        <v>5</v>
      </c>
      <c r="BD71" s="44">
        <v>5</v>
      </c>
      <c r="BE71" s="14">
        <v>5</v>
      </c>
      <c r="BF71" s="13">
        <v>5</v>
      </c>
      <c r="BG71" s="44">
        <v>5</v>
      </c>
      <c r="BH71" s="44">
        <v>5</v>
      </c>
      <c r="BI71" s="14">
        <v>5</v>
      </c>
      <c r="BJ71" s="13">
        <v>5</v>
      </c>
      <c r="BK71" s="44">
        <v>5</v>
      </c>
      <c r="BL71" s="44">
        <v>5</v>
      </c>
      <c r="BM71" s="14">
        <v>5</v>
      </c>
      <c r="BN71" s="13">
        <v>5</v>
      </c>
      <c r="BO71" s="44">
        <v>5</v>
      </c>
      <c r="BP71" s="44">
        <v>5</v>
      </c>
      <c r="BQ71" s="14">
        <v>5</v>
      </c>
      <c r="BR71" s="13">
        <v>5</v>
      </c>
      <c r="BS71" s="44">
        <v>5</v>
      </c>
      <c r="BT71" s="44">
        <v>5</v>
      </c>
      <c r="BU71" s="14">
        <v>5</v>
      </c>
      <c r="BV71" s="13">
        <v>5</v>
      </c>
      <c r="BW71" s="44">
        <v>5</v>
      </c>
      <c r="BX71" s="44">
        <v>5</v>
      </c>
      <c r="BY71" s="14">
        <v>5</v>
      </c>
      <c r="BZ71" s="13">
        <v>5</v>
      </c>
      <c r="CA71" s="44">
        <v>5</v>
      </c>
      <c r="CB71" s="44">
        <v>5</v>
      </c>
      <c r="CC71" s="14">
        <v>5</v>
      </c>
      <c r="CD71" s="13">
        <v>5</v>
      </c>
      <c r="CE71" s="44">
        <v>5</v>
      </c>
      <c r="CF71" s="44">
        <v>5</v>
      </c>
      <c r="CG71" s="14">
        <v>5</v>
      </c>
      <c r="CH71" s="13">
        <v>5</v>
      </c>
      <c r="CI71" s="44">
        <v>5</v>
      </c>
      <c r="CJ71" s="44">
        <v>5</v>
      </c>
      <c r="CK71" s="14">
        <v>5</v>
      </c>
      <c r="CL71" s="49"/>
      <c r="CM71" s="28"/>
    </row>
    <row r="72" spans="2:91" ht="14.25" x14ac:dyDescent="0.25">
      <c r="B72" s="55"/>
      <c r="C72" s="10" t="s">
        <v>307</v>
      </c>
      <c r="D72" s="93" t="s">
        <v>498</v>
      </c>
      <c r="E72" s="127">
        <f>E70*EXP(-(E13/3600)*E71)*E26/E28</f>
        <v>681.7186155572698</v>
      </c>
      <c r="F72" s="13">
        <f>F70*EXP(-(F13/3600)*F71)*F26/F28</f>
        <v>718.41878940419929</v>
      </c>
      <c r="G72" s="44">
        <f>G70*EXP(-(G13/3600)*G71)*G26/G28</f>
        <v>681.48544484708327</v>
      </c>
      <c r="H72" s="44">
        <f>H70*EXP(-(H13/3600)*H71)*H26/H28</f>
        <v>402.03989085355641</v>
      </c>
      <c r="I72" s="14">
        <f>I70*EXP(-(I13/3600)*I71)*I26/I28</f>
        <v>467.10371213640326</v>
      </c>
      <c r="J72" s="13" t="e">
        <f>J70*EXP(-(J13/3600)*J71)*J26/J28</f>
        <v>#DIV/0!</v>
      </c>
      <c r="K72" s="44" t="e">
        <f>K70*EXP(-(K13/3600)*K71)*K26/K28</f>
        <v>#DIV/0!</v>
      </c>
      <c r="L72" s="44" t="e">
        <f>L70*EXP(-(L13/3600)*L71)*L26/L28</f>
        <v>#DIV/0!</v>
      </c>
      <c r="M72" s="14" t="e">
        <f>M70*EXP(-(M13/3600)*M71)*M26/M28</f>
        <v>#DIV/0!</v>
      </c>
      <c r="N72" s="13" t="e">
        <f>N70*EXP(-(N13/3600)*N71)*N26/N28</f>
        <v>#DIV/0!</v>
      </c>
      <c r="O72" s="44" t="e">
        <f>O70*EXP(-(O13/3600)*O71)*O26/O28</f>
        <v>#DIV/0!</v>
      </c>
      <c r="P72" s="44" t="e">
        <f>P70*EXP(-(P13/3600)*P71)*P26/P28</f>
        <v>#DIV/0!</v>
      </c>
      <c r="Q72" s="14" t="e">
        <f>Q70*EXP(-(Q13/3600)*Q71)*Q26/Q28</f>
        <v>#DIV/0!</v>
      </c>
      <c r="R72" s="13" t="e">
        <f>R70*EXP(-(R13/3600)*R71)*R26/R28</f>
        <v>#DIV/0!</v>
      </c>
      <c r="S72" s="44" t="e">
        <f>S70*EXP(-(S13/3600)*S71)*S26/S28</f>
        <v>#DIV/0!</v>
      </c>
      <c r="T72" s="44" t="e">
        <f>T70*EXP(-(T13/3600)*T71)*T26/T28</f>
        <v>#DIV/0!</v>
      </c>
      <c r="U72" s="14" t="e">
        <f>U70*EXP(-(U13/3600)*U71)*U26/U28</f>
        <v>#DIV/0!</v>
      </c>
      <c r="V72" s="13" t="e">
        <f>V70*EXP(-(V13/3600)*V71)*V26/V28</f>
        <v>#DIV/0!</v>
      </c>
      <c r="W72" s="44" t="e">
        <f>W70*EXP(-(W13/3600)*W71)*W26/W28</f>
        <v>#DIV/0!</v>
      </c>
      <c r="X72" s="44" t="e">
        <f>X70*EXP(-(X13/3600)*X71)*X26/X28</f>
        <v>#DIV/0!</v>
      </c>
      <c r="Y72" s="14" t="e">
        <f>Y70*EXP(-(Y13/3600)*Y71)*Y26/Y28</f>
        <v>#DIV/0!</v>
      </c>
      <c r="Z72" s="13" t="e">
        <f>Z70*EXP(-(Z13/3600)*Z71)*Z26/Z28</f>
        <v>#DIV/0!</v>
      </c>
      <c r="AA72" s="44" t="e">
        <f>AA70*EXP(-(AA13/3600)*AA71)*AA26/AA28</f>
        <v>#DIV/0!</v>
      </c>
      <c r="AB72" s="44" t="e">
        <f>AB70*EXP(-(AB13/3600)*AB71)*AB26/AB28</f>
        <v>#DIV/0!</v>
      </c>
      <c r="AC72" s="14" t="e">
        <f>AC70*EXP(-(AC13/3600)*AC71)*AC26/AC28</f>
        <v>#DIV/0!</v>
      </c>
      <c r="AD72" s="13" t="e">
        <f>AD70*EXP(-(AD13/3600)*AD71)*AD26/AD28</f>
        <v>#DIV/0!</v>
      </c>
      <c r="AE72" s="44" t="e">
        <f>AE70*EXP(-(AE13/3600)*AE71)*AE26/AE28</f>
        <v>#DIV/0!</v>
      </c>
      <c r="AF72" s="44" t="e">
        <f>AF70*EXP(-(AF13/3600)*AF71)*AF26/AF28</f>
        <v>#DIV/0!</v>
      </c>
      <c r="AG72" s="14" t="e">
        <f>AG70*EXP(-(AG13/3600)*AG71)*AG26/AG28</f>
        <v>#DIV/0!</v>
      </c>
      <c r="AH72" s="13" t="e">
        <f>AH70*EXP(-(AH13/3600)*AH71)*AH26/AH28</f>
        <v>#DIV/0!</v>
      </c>
      <c r="AI72" s="44" t="e">
        <f>AI70*EXP(-(AI13/3600)*AI71)*AI26/AI28</f>
        <v>#DIV/0!</v>
      </c>
      <c r="AJ72" s="44" t="e">
        <f>AJ70*EXP(-(AJ13/3600)*AJ71)*AJ26/AJ28</f>
        <v>#DIV/0!</v>
      </c>
      <c r="AK72" s="14" t="e">
        <f>AK70*EXP(-(AK13/3600)*AK71)*AK26/AK28</f>
        <v>#DIV/0!</v>
      </c>
      <c r="AL72" s="13" t="e">
        <f>AL70*EXP(-(AL13/3600)*AL71)*AL26/AL28</f>
        <v>#DIV/0!</v>
      </c>
      <c r="AM72" s="44" t="e">
        <f>AM70*EXP(-(AM13/3600)*AM71)*AM26/AM28</f>
        <v>#DIV/0!</v>
      </c>
      <c r="AN72" s="44" t="e">
        <f>AN70*EXP(-(AN13/3600)*AN71)*AN26/AN28</f>
        <v>#DIV/0!</v>
      </c>
      <c r="AO72" s="14" t="e">
        <f>AO70*EXP(-(AO13/3600)*AO71)*AO26/AO28</f>
        <v>#DIV/0!</v>
      </c>
      <c r="AP72" s="13" t="e">
        <f>AP70*EXP(-(AP13/3600)*AP71)*AP26/AP28</f>
        <v>#DIV/0!</v>
      </c>
      <c r="AQ72" s="44" t="e">
        <f>AQ70*EXP(-(AQ13/3600)*AQ71)*AQ26/AQ28</f>
        <v>#DIV/0!</v>
      </c>
      <c r="AR72" s="44" t="e">
        <f>AR70*EXP(-(AR13/3600)*AR71)*AR26/AR28</f>
        <v>#DIV/0!</v>
      </c>
      <c r="AS72" s="14" t="e">
        <f>AS70*EXP(-(AS13/3600)*AS71)*AS26/AS28</f>
        <v>#DIV/0!</v>
      </c>
      <c r="AT72" s="13" t="e">
        <f>AT70*EXP(-(AT13/3600)*AT71)*AT26/AT28</f>
        <v>#DIV/0!</v>
      </c>
      <c r="AU72" s="44" t="e">
        <f>AU70*EXP(-(AU13/3600)*AU71)*AU26/AU28</f>
        <v>#DIV/0!</v>
      </c>
      <c r="AV72" s="44" t="e">
        <f>AV70*EXP(-(AV13/3600)*AV71)*AV26/AV28</f>
        <v>#DIV/0!</v>
      </c>
      <c r="AW72" s="14" t="e">
        <f>AW70*EXP(-(AW13/3600)*AW71)*AW26/AW28</f>
        <v>#DIV/0!</v>
      </c>
      <c r="AX72" s="13" t="e">
        <f>AX70*EXP(-(AX13/3600)*AX71)*AX26/AX28</f>
        <v>#DIV/0!</v>
      </c>
      <c r="AY72" s="44" t="e">
        <f>AY70*EXP(-(AY13/3600)*AY71)*AY26/AY28</f>
        <v>#DIV/0!</v>
      </c>
      <c r="AZ72" s="44" t="e">
        <f>AZ70*EXP(-(AZ13/3600)*AZ71)*AZ26/AZ28</f>
        <v>#DIV/0!</v>
      </c>
      <c r="BA72" s="14" t="e">
        <f>BA70*EXP(-(BA13/3600)*BA71)*BA26/BA28</f>
        <v>#DIV/0!</v>
      </c>
      <c r="BB72" s="13" t="e">
        <f>BB70*EXP(-(BB13/3600)*BB71)*BB26/BB28</f>
        <v>#DIV/0!</v>
      </c>
      <c r="BC72" s="44" t="e">
        <f>BC70*EXP(-(BC13/3600)*BC71)*BC26/BC28</f>
        <v>#DIV/0!</v>
      </c>
      <c r="BD72" s="44" t="e">
        <f>BD70*EXP(-(BD13/3600)*BD71)*BD26/BD28</f>
        <v>#DIV/0!</v>
      </c>
      <c r="BE72" s="14" t="e">
        <f>BE70*EXP(-(BE13/3600)*BE71)*BE26/BE28</f>
        <v>#DIV/0!</v>
      </c>
      <c r="BF72" s="13" t="e">
        <f>BF70*EXP(-(BF13/3600)*BF71)*BF26/BF28</f>
        <v>#DIV/0!</v>
      </c>
      <c r="BG72" s="44" t="e">
        <f>BG70*EXP(-(BG13/3600)*BG71)*BG26/BG28</f>
        <v>#DIV/0!</v>
      </c>
      <c r="BH72" s="44" t="e">
        <f>BH70*EXP(-(BH13/3600)*BH71)*BH26/BH28</f>
        <v>#DIV/0!</v>
      </c>
      <c r="BI72" s="14" t="e">
        <f>BI70*EXP(-(BI13/3600)*BI71)*BI26/BI28</f>
        <v>#DIV/0!</v>
      </c>
      <c r="BJ72" s="13" t="e">
        <f>BJ70*EXP(-(BJ13/3600)*BJ71)*BJ26/BJ28</f>
        <v>#DIV/0!</v>
      </c>
      <c r="BK72" s="44" t="e">
        <f>BK70*EXP(-(BK13/3600)*BK71)*BK26/BK28</f>
        <v>#DIV/0!</v>
      </c>
      <c r="BL72" s="44" t="e">
        <f>BL70*EXP(-(BL13/3600)*BL71)*BL26/BL28</f>
        <v>#DIV/0!</v>
      </c>
      <c r="BM72" s="14" t="e">
        <f>BM70*EXP(-(BM13/3600)*BM71)*BM26/BM28</f>
        <v>#DIV/0!</v>
      </c>
      <c r="BN72" s="13" t="e">
        <f>BN70*EXP(-(BN13/3600)*BN71)*BN26/BN28</f>
        <v>#DIV/0!</v>
      </c>
      <c r="BO72" s="44" t="e">
        <f>BO70*EXP(-(BO13/3600)*BO71)*BO26/BO28</f>
        <v>#DIV/0!</v>
      </c>
      <c r="BP72" s="44" t="e">
        <f>BP70*EXP(-(BP13/3600)*BP71)*BP26/BP28</f>
        <v>#DIV/0!</v>
      </c>
      <c r="BQ72" s="14" t="e">
        <f>BQ70*EXP(-(BQ13/3600)*BQ71)*BQ26/BQ28</f>
        <v>#DIV/0!</v>
      </c>
      <c r="BR72" s="13" t="e">
        <f>BR70*EXP(-(BR13/3600)*BR71)*BR26/BR28</f>
        <v>#DIV/0!</v>
      </c>
      <c r="BS72" s="44" t="e">
        <f>BS70*EXP(-(BS13/3600)*BS71)*BS26/BS28</f>
        <v>#DIV/0!</v>
      </c>
      <c r="BT72" s="44" t="e">
        <f>BT70*EXP(-(BT13/3600)*BT71)*BT26/BT28</f>
        <v>#DIV/0!</v>
      </c>
      <c r="BU72" s="14" t="e">
        <f>BU70*EXP(-(BU13/3600)*BU71)*BU26/BU28</f>
        <v>#DIV/0!</v>
      </c>
      <c r="BV72" s="13" t="e">
        <f>BV70*EXP(-(BV13/3600)*BV71)*BV26/BV28</f>
        <v>#DIV/0!</v>
      </c>
      <c r="BW72" s="44" t="e">
        <f>BW70*EXP(-(BW13/3600)*BW71)*BW26/BW28</f>
        <v>#DIV/0!</v>
      </c>
      <c r="BX72" s="44" t="e">
        <f>BX70*EXP(-(BX13/3600)*BX71)*BX26/BX28</f>
        <v>#DIV/0!</v>
      </c>
      <c r="BY72" s="14" t="e">
        <f>BY70*EXP(-(BY13/3600)*BY71)*BY26/BY28</f>
        <v>#DIV/0!</v>
      </c>
      <c r="BZ72" s="13" t="e">
        <f>BZ70*EXP(-(BZ13/3600)*BZ71)*BZ26/BZ28</f>
        <v>#DIV/0!</v>
      </c>
      <c r="CA72" s="44" t="e">
        <f>CA70*EXP(-(CA13/3600)*CA71)*CA26/CA28</f>
        <v>#DIV/0!</v>
      </c>
      <c r="CB72" s="44" t="e">
        <f>CB70*EXP(-(CB13/3600)*CB71)*CB26/CB28</f>
        <v>#DIV/0!</v>
      </c>
      <c r="CC72" s="14" t="e">
        <f>CC70*EXP(-(CC13/3600)*CC71)*CC26/CC28</f>
        <v>#DIV/0!</v>
      </c>
      <c r="CD72" s="13" t="e">
        <f>CD70*EXP(-(CD13/3600)*CD71)*CD26/CD28</f>
        <v>#DIV/0!</v>
      </c>
      <c r="CE72" s="44" t="e">
        <f>CE70*EXP(-(CE13/3600)*CE71)*CE26/CE28</f>
        <v>#DIV/0!</v>
      </c>
      <c r="CF72" s="44" t="e">
        <f>CF70*EXP(-(CF13/3600)*CF71)*CF26/CF28</f>
        <v>#DIV/0!</v>
      </c>
      <c r="CG72" s="14" t="e">
        <f>CG70*EXP(-(CG13/3600)*CG71)*CG26/CG28</f>
        <v>#DIV/0!</v>
      </c>
      <c r="CH72" s="13" t="e">
        <f>CH70*EXP(-(CH13/3600)*CH71)*CH26/CH28</f>
        <v>#DIV/0!</v>
      </c>
      <c r="CI72" s="44" t="e">
        <f>CI70*EXP(-(CI13/3600)*CI71)*CI26/CI28</f>
        <v>#DIV/0!</v>
      </c>
      <c r="CJ72" s="44" t="e">
        <f>CJ70*EXP(-(CJ13/3600)*CJ71)*CJ26/CJ28</f>
        <v>#DIV/0!</v>
      </c>
      <c r="CK72" s="14" t="e">
        <f>CK70*EXP(-(CK13/3600)*CK71)*CK26/CK28</f>
        <v>#DIV/0!</v>
      </c>
      <c r="CL72" s="49"/>
      <c r="CM72" s="28"/>
    </row>
    <row r="73" spans="2:91" ht="14.25" x14ac:dyDescent="0.25">
      <c r="B73" s="55"/>
      <c r="C73" s="236" t="s">
        <v>521</v>
      </c>
      <c r="D73" s="202" t="s">
        <v>522</v>
      </c>
      <c r="E73" s="126">
        <f>0.5*E28*(1-E26/E28)^2/(1-MIN(E21/E72,1)*(E26/E28))</f>
        <v>24.772537713673362</v>
      </c>
      <c r="F73" s="13">
        <f>0.5*F28*(1-F26/F28)^2/(1-MIN(F21/F72,1)*(F26/F28))</f>
        <v>11.98461265993951</v>
      </c>
      <c r="G73" s="44">
        <f>0.5*G28*(1-G26/G28)^2/(1-MIN(G21/G72,1)*(G26/G28))</f>
        <v>11.996174241310193</v>
      </c>
      <c r="H73" s="44">
        <f>0.5*H28*(1-H26/H28)^2/(1-MIN(H21/H72,1)*(H26/H28))</f>
        <v>21.937147147912178</v>
      </c>
      <c r="I73" s="14">
        <f>0.5*I28*(1-I26/I28)^2/(1-MIN(I21/I72,1)*(I26/I28))</f>
        <v>21.873834446035616</v>
      </c>
      <c r="J73" s="13" t="e">
        <f>0.5*J28*(1-J26/J28)^2/(1-MIN(J21/J72,1)*(J26/J28))</f>
        <v>#DIV/0!</v>
      </c>
      <c r="K73" s="44" t="e">
        <f>0.5*K28*(1-K26/K28)^2/(1-MIN(K21/K72,1)*(K26/K28))</f>
        <v>#DIV/0!</v>
      </c>
      <c r="L73" s="44" t="e">
        <f>0.5*L28*(1-L26/L28)^2/(1-MIN(L21/L72,1)*(L26/L28))</f>
        <v>#DIV/0!</v>
      </c>
      <c r="M73" s="14" t="e">
        <f>0.5*M28*(1-M26/M28)^2/(1-MIN(M21/M72,1)*(M26/M28))</f>
        <v>#DIV/0!</v>
      </c>
      <c r="N73" s="13" t="e">
        <f>0.5*N28*(1-N26/N28)^2/(1-MIN(N21/N72,1)*(N26/N28))</f>
        <v>#DIV/0!</v>
      </c>
      <c r="O73" s="44" t="e">
        <f>0.5*O28*(1-O26/O28)^2/(1-MIN(O21/O72,1)*(O26/O28))</f>
        <v>#DIV/0!</v>
      </c>
      <c r="P73" s="44" t="e">
        <f>0.5*P28*(1-P26/P28)^2/(1-MIN(P21/P72,1)*(P26/P28))</f>
        <v>#DIV/0!</v>
      </c>
      <c r="Q73" s="14" t="e">
        <f>0.5*Q28*(1-Q26/Q28)^2/(1-MIN(Q21/Q72,1)*(Q26/Q28))</f>
        <v>#DIV/0!</v>
      </c>
      <c r="R73" s="13" t="e">
        <f>0.5*R28*(1-R26/R28)^2/(1-MIN(R21/R72,1)*(R26/R28))</f>
        <v>#DIV/0!</v>
      </c>
      <c r="S73" s="44" t="e">
        <f>0.5*S28*(1-S26/S28)^2/(1-MIN(S21/S72,1)*(S26/S28))</f>
        <v>#DIV/0!</v>
      </c>
      <c r="T73" s="44" t="e">
        <f>0.5*T28*(1-T26/T28)^2/(1-MIN(T21/T72,1)*(T26/T28))</f>
        <v>#DIV/0!</v>
      </c>
      <c r="U73" s="14" t="e">
        <f>0.5*U28*(1-U26/U28)^2/(1-MIN(U21/U72,1)*(U26/U28))</f>
        <v>#DIV/0!</v>
      </c>
      <c r="V73" s="13" t="e">
        <f>0.5*V28*(1-V26/V28)^2/(1-MIN(V21/V72,1)*(V26/V28))</f>
        <v>#DIV/0!</v>
      </c>
      <c r="W73" s="44" t="e">
        <f>0.5*W28*(1-W26/W28)^2/(1-MIN(W21/W72,1)*(W26/W28))</f>
        <v>#DIV/0!</v>
      </c>
      <c r="X73" s="44" t="e">
        <f>0.5*X28*(1-X26/X28)^2/(1-MIN(X21/X72,1)*(X26/X28))</f>
        <v>#DIV/0!</v>
      </c>
      <c r="Y73" s="14" t="e">
        <f>0.5*Y28*(1-Y26/Y28)^2/(1-MIN(Y21/Y72,1)*(Y26/Y28))</f>
        <v>#DIV/0!</v>
      </c>
      <c r="Z73" s="13" t="e">
        <f>0.5*Z28*(1-Z26/Z28)^2/(1-MIN(Z21/Z72,1)*(Z26/Z28))</f>
        <v>#DIV/0!</v>
      </c>
      <c r="AA73" s="44" t="e">
        <f>0.5*AA28*(1-AA26/AA28)^2/(1-MIN(AA21/AA72,1)*(AA26/AA28))</f>
        <v>#DIV/0!</v>
      </c>
      <c r="AB73" s="44" t="e">
        <f>0.5*AB28*(1-AB26/AB28)^2/(1-MIN(AB21/AB72,1)*(AB26/AB28))</f>
        <v>#DIV/0!</v>
      </c>
      <c r="AC73" s="14" t="e">
        <f>0.5*AC28*(1-AC26/AC28)^2/(1-MIN(AC21/AC72,1)*(AC26/AC28))</f>
        <v>#DIV/0!</v>
      </c>
      <c r="AD73" s="13" t="e">
        <f>0.5*AD28*(1-AD26/AD28)^2/(1-MIN(AD21/AD72,1)*(AD26/AD28))</f>
        <v>#DIV/0!</v>
      </c>
      <c r="AE73" s="44" t="e">
        <f>0.5*AE28*(1-AE26/AE28)^2/(1-MIN(AE21/AE72,1)*(AE26/AE28))</f>
        <v>#DIV/0!</v>
      </c>
      <c r="AF73" s="44" t="e">
        <f>0.5*AF28*(1-AF26/AF28)^2/(1-MIN(AF21/AF72,1)*(AF26/AF28))</f>
        <v>#DIV/0!</v>
      </c>
      <c r="AG73" s="14" t="e">
        <f>0.5*AG28*(1-AG26/AG28)^2/(1-MIN(AG21/AG72,1)*(AG26/AG28))</f>
        <v>#DIV/0!</v>
      </c>
      <c r="AH73" s="13" t="e">
        <f>0.5*AH28*(1-AH26/AH28)^2/(1-MIN(AH21/AH72,1)*(AH26/AH28))</f>
        <v>#DIV/0!</v>
      </c>
      <c r="AI73" s="44" t="e">
        <f>0.5*AI28*(1-AI26/AI28)^2/(1-MIN(AI21/AI72,1)*(AI26/AI28))</f>
        <v>#DIV/0!</v>
      </c>
      <c r="AJ73" s="44" t="e">
        <f>0.5*AJ28*(1-AJ26/AJ28)^2/(1-MIN(AJ21/AJ72,1)*(AJ26/AJ28))</f>
        <v>#DIV/0!</v>
      </c>
      <c r="AK73" s="14" t="e">
        <f>0.5*AK28*(1-AK26/AK28)^2/(1-MIN(AK21/AK72,1)*(AK26/AK28))</f>
        <v>#DIV/0!</v>
      </c>
      <c r="AL73" s="13" t="e">
        <f>0.5*AL28*(1-AL26/AL28)^2/(1-MIN(AL21/AL72,1)*(AL26/AL28))</f>
        <v>#DIV/0!</v>
      </c>
      <c r="AM73" s="44" t="e">
        <f>0.5*AM28*(1-AM26/AM28)^2/(1-MIN(AM21/AM72,1)*(AM26/AM28))</f>
        <v>#DIV/0!</v>
      </c>
      <c r="AN73" s="44" t="e">
        <f>0.5*AN28*(1-AN26/AN28)^2/(1-MIN(AN21/AN72,1)*(AN26/AN28))</f>
        <v>#DIV/0!</v>
      </c>
      <c r="AO73" s="14" t="e">
        <f>0.5*AO28*(1-AO26/AO28)^2/(1-MIN(AO21/AO72,1)*(AO26/AO28))</f>
        <v>#DIV/0!</v>
      </c>
      <c r="AP73" s="13" t="e">
        <f>0.5*AP28*(1-AP26/AP28)^2/(1-MIN(AP21/AP72,1)*(AP26/AP28))</f>
        <v>#DIV/0!</v>
      </c>
      <c r="AQ73" s="44" t="e">
        <f>0.5*AQ28*(1-AQ26/AQ28)^2/(1-MIN(AQ21/AQ72,1)*(AQ26/AQ28))</f>
        <v>#DIV/0!</v>
      </c>
      <c r="AR73" s="44" t="e">
        <f>0.5*AR28*(1-AR26/AR28)^2/(1-MIN(AR21/AR72,1)*(AR26/AR28))</f>
        <v>#DIV/0!</v>
      </c>
      <c r="AS73" s="14" t="e">
        <f>0.5*AS28*(1-AS26/AS28)^2/(1-MIN(AS21/AS72,1)*(AS26/AS28))</f>
        <v>#DIV/0!</v>
      </c>
      <c r="AT73" s="13" t="e">
        <f>0.5*AT28*(1-AT26/AT28)^2/(1-MIN(AT21/AT72,1)*(AT26/AT28))</f>
        <v>#DIV/0!</v>
      </c>
      <c r="AU73" s="44" t="e">
        <f>0.5*AU28*(1-AU26/AU28)^2/(1-MIN(AU21/AU72,1)*(AU26/AU28))</f>
        <v>#DIV/0!</v>
      </c>
      <c r="AV73" s="44" t="e">
        <f>0.5*AV28*(1-AV26/AV28)^2/(1-MIN(AV21/AV72,1)*(AV26/AV28))</f>
        <v>#DIV/0!</v>
      </c>
      <c r="AW73" s="14" t="e">
        <f>0.5*AW28*(1-AW26/AW28)^2/(1-MIN(AW21/AW72,1)*(AW26/AW28))</f>
        <v>#DIV/0!</v>
      </c>
      <c r="AX73" s="13" t="e">
        <f>0.5*AX28*(1-AX26/AX28)^2/(1-MIN(AX21/AX72,1)*(AX26/AX28))</f>
        <v>#DIV/0!</v>
      </c>
      <c r="AY73" s="44" t="e">
        <f>0.5*AY28*(1-AY26/AY28)^2/(1-MIN(AY21/AY72,1)*(AY26/AY28))</f>
        <v>#DIV/0!</v>
      </c>
      <c r="AZ73" s="44" t="e">
        <f>0.5*AZ28*(1-AZ26/AZ28)^2/(1-MIN(AZ21/AZ72,1)*(AZ26/AZ28))</f>
        <v>#DIV/0!</v>
      </c>
      <c r="BA73" s="14" t="e">
        <f>0.5*BA28*(1-BA26/BA28)^2/(1-MIN(BA21/BA72,1)*(BA26/BA28))</f>
        <v>#DIV/0!</v>
      </c>
      <c r="BB73" s="13" t="e">
        <f>0.5*BB28*(1-BB26/BB28)^2/(1-MIN(BB21/BB72,1)*(BB26/BB28))</f>
        <v>#DIV/0!</v>
      </c>
      <c r="BC73" s="44" t="e">
        <f>0.5*BC28*(1-BC26/BC28)^2/(1-MIN(BC21/BC72,1)*(BC26/BC28))</f>
        <v>#DIV/0!</v>
      </c>
      <c r="BD73" s="44" t="e">
        <f>0.5*BD28*(1-BD26/BD28)^2/(1-MIN(BD21/BD72,1)*(BD26/BD28))</f>
        <v>#DIV/0!</v>
      </c>
      <c r="BE73" s="14" t="e">
        <f>0.5*BE28*(1-BE26/BE28)^2/(1-MIN(BE21/BE72,1)*(BE26/BE28))</f>
        <v>#DIV/0!</v>
      </c>
      <c r="BF73" s="13" t="e">
        <f>0.5*BF28*(1-BF26/BF28)^2/(1-MIN(BF21/BF72,1)*(BF26/BF28))</f>
        <v>#DIV/0!</v>
      </c>
      <c r="BG73" s="44" t="e">
        <f>0.5*BG28*(1-BG26/BG28)^2/(1-MIN(BG21/BG72,1)*(BG26/BG28))</f>
        <v>#DIV/0!</v>
      </c>
      <c r="BH73" s="44" t="e">
        <f>0.5*BH28*(1-BH26/BH28)^2/(1-MIN(BH21/BH72,1)*(BH26/BH28))</f>
        <v>#DIV/0!</v>
      </c>
      <c r="BI73" s="14" t="e">
        <f>0.5*BI28*(1-BI26/BI28)^2/(1-MIN(BI21/BI72,1)*(BI26/BI28))</f>
        <v>#DIV/0!</v>
      </c>
      <c r="BJ73" s="13" t="e">
        <f>0.5*BJ28*(1-BJ26/BJ28)^2/(1-MIN(BJ21/BJ72,1)*(BJ26/BJ28))</f>
        <v>#DIV/0!</v>
      </c>
      <c r="BK73" s="44" t="e">
        <f>0.5*BK28*(1-BK26/BK28)^2/(1-MIN(BK21/BK72,1)*(BK26/BK28))</f>
        <v>#DIV/0!</v>
      </c>
      <c r="BL73" s="44" t="e">
        <f>0.5*BL28*(1-BL26/BL28)^2/(1-MIN(BL21/BL72,1)*(BL26/BL28))</f>
        <v>#DIV/0!</v>
      </c>
      <c r="BM73" s="14" t="e">
        <f>0.5*BM28*(1-BM26/BM28)^2/(1-MIN(BM21/BM72,1)*(BM26/BM28))</f>
        <v>#DIV/0!</v>
      </c>
      <c r="BN73" s="13" t="e">
        <f>0.5*BN28*(1-BN26/BN28)^2/(1-MIN(BN21/BN72,1)*(BN26/BN28))</f>
        <v>#DIV/0!</v>
      </c>
      <c r="BO73" s="44" t="e">
        <f>0.5*BO28*(1-BO26/BO28)^2/(1-MIN(BO21/BO72,1)*(BO26/BO28))</f>
        <v>#DIV/0!</v>
      </c>
      <c r="BP73" s="44" t="e">
        <f>0.5*BP28*(1-BP26/BP28)^2/(1-MIN(BP21/BP72,1)*(BP26/BP28))</f>
        <v>#DIV/0!</v>
      </c>
      <c r="BQ73" s="14" t="e">
        <f>0.5*BQ28*(1-BQ26/BQ28)^2/(1-MIN(BQ21/BQ72,1)*(BQ26/BQ28))</f>
        <v>#DIV/0!</v>
      </c>
      <c r="BR73" s="13" t="e">
        <f>0.5*BR28*(1-BR26/BR28)^2/(1-MIN(BR21/BR72,1)*(BR26/BR28))</f>
        <v>#DIV/0!</v>
      </c>
      <c r="BS73" s="44" t="e">
        <f>0.5*BS28*(1-BS26/BS28)^2/(1-MIN(BS21/BS72,1)*(BS26/BS28))</f>
        <v>#DIV/0!</v>
      </c>
      <c r="BT73" s="44" t="e">
        <f>0.5*BT28*(1-BT26/BT28)^2/(1-MIN(BT21/BT72,1)*(BT26/BT28))</f>
        <v>#DIV/0!</v>
      </c>
      <c r="BU73" s="14" t="e">
        <f>0.5*BU28*(1-BU26/BU28)^2/(1-MIN(BU21/BU72,1)*(BU26/BU28))</f>
        <v>#DIV/0!</v>
      </c>
      <c r="BV73" s="13" t="e">
        <f>0.5*BV28*(1-BV26/BV28)^2/(1-MIN(BV21/BV72,1)*(BV26/BV28))</f>
        <v>#DIV/0!</v>
      </c>
      <c r="BW73" s="44" t="e">
        <f>0.5*BW28*(1-BW26/BW28)^2/(1-MIN(BW21/BW72,1)*(BW26/BW28))</f>
        <v>#DIV/0!</v>
      </c>
      <c r="BX73" s="44" t="e">
        <f>0.5*BX28*(1-BX26/BX28)^2/(1-MIN(BX21/BX72,1)*(BX26/BX28))</f>
        <v>#DIV/0!</v>
      </c>
      <c r="BY73" s="14" t="e">
        <f>0.5*BY28*(1-BY26/BY28)^2/(1-MIN(BY21/BY72,1)*(BY26/BY28))</f>
        <v>#DIV/0!</v>
      </c>
      <c r="BZ73" s="13" t="e">
        <f>0.5*BZ28*(1-BZ26/BZ28)^2/(1-MIN(BZ21/BZ72,1)*(BZ26/BZ28))</f>
        <v>#DIV/0!</v>
      </c>
      <c r="CA73" s="44" t="e">
        <f>0.5*CA28*(1-CA26/CA28)^2/(1-MIN(CA21/CA72,1)*(CA26/CA28))</f>
        <v>#DIV/0!</v>
      </c>
      <c r="CB73" s="44" t="e">
        <f>0.5*CB28*(1-CB26/CB28)^2/(1-MIN(CB21/CB72,1)*(CB26/CB28))</f>
        <v>#DIV/0!</v>
      </c>
      <c r="CC73" s="14" t="e">
        <f>0.5*CC28*(1-CC26/CC28)^2/(1-MIN(CC21/CC72,1)*(CC26/CC28))</f>
        <v>#DIV/0!</v>
      </c>
      <c r="CD73" s="13" t="e">
        <f>0.5*CD28*(1-CD26/CD28)^2/(1-MIN(CD21/CD72,1)*(CD26/CD28))</f>
        <v>#DIV/0!</v>
      </c>
      <c r="CE73" s="44" t="e">
        <f>0.5*CE28*(1-CE26/CE28)^2/(1-MIN(CE21/CE72,1)*(CE26/CE28))</f>
        <v>#DIV/0!</v>
      </c>
      <c r="CF73" s="44" t="e">
        <f>0.5*CF28*(1-CF26/CF28)^2/(1-MIN(CF21/CF72,1)*(CF26/CF28))</f>
        <v>#DIV/0!</v>
      </c>
      <c r="CG73" s="14" t="e">
        <f>0.5*CG28*(1-CG26/CG28)^2/(1-MIN(CG21/CG72,1)*(CG26/CG28))</f>
        <v>#DIV/0!</v>
      </c>
      <c r="CH73" s="13" t="e">
        <f>0.5*CH28*(1-CH26/CH28)^2/(1-MIN(CH21/CH72,1)*(CH26/CH28))</f>
        <v>#DIV/0!</v>
      </c>
      <c r="CI73" s="44" t="e">
        <f>0.5*CI28*(1-CI26/CI28)^2/(1-MIN(CI21/CI72,1)*(CI26/CI28))</f>
        <v>#DIV/0!</v>
      </c>
      <c r="CJ73" s="44" t="e">
        <f>0.5*CJ28*(1-CJ26/CJ28)^2/(1-MIN(CJ21/CJ72,1)*(CJ26/CJ28))</f>
        <v>#DIV/0!</v>
      </c>
      <c r="CK73" s="14" t="e">
        <f>0.5*CK28*(1-CK26/CK28)^2/(1-MIN(CK21/CK72,1)*(CK26/CK28))</f>
        <v>#DIV/0!</v>
      </c>
      <c r="CL73" s="49"/>
      <c r="CM73" s="28"/>
    </row>
    <row r="74" spans="2:91" x14ac:dyDescent="0.25">
      <c r="B74" s="55"/>
      <c r="C74" s="181" t="s">
        <v>534</v>
      </c>
      <c r="D74" s="182"/>
      <c r="E74" s="273"/>
      <c r="F74" s="13"/>
      <c r="G74" s="44"/>
      <c r="H74" s="44"/>
      <c r="I74" s="14"/>
      <c r="J74" s="13"/>
      <c r="K74" s="44"/>
      <c r="L74" s="44"/>
      <c r="M74" s="14"/>
      <c r="N74" s="13"/>
      <c r="O74" s="44"/>
      <c r="P74" s="44"/>
      <c r="Q74" s="14"/>
      <c r="R74" s="13"/>
      <c r="S74" s="44"/>
      <c r="T74" s="44"/>
      <c r="U74" s="14"/>
      <c r="V74" s="13"/>
      <c r="W74" s="44"/>
      <c r="X74" s="44"/>
      <c r="Y74" s="14"/>
      <c r="Z74" s="13"/>
      <c r="AA74" s="44"/>
      <c r="AB74" s="44"/>
      <c r="AC74" s="14"/>
      <c r="AD74" s="13"/>
      <c r="AE74" s="44"/>
      <c r="AF74" s="44"/>
      <c r="AG74" s="14"/>
      <c r="AH74" s="13"/>
      <c r="AI74" s="44"/>
      <c r="AJ74" s="44"/>
      <c r="AK74" s="14"/>
      <c r="AL74" s="13"/>
      <c r="AM74" s="44"/>
      <c r="AN74" s="44"/>
      <c r="AO74" s="14"/>
      <c r="AP74" s="13"/>
      <c r="AQ74" s="44"/>
      <c r="AR74" s="44"/>
      <c r="AS74" s="14"/>
      <c r="AT74" s="13"/>
      <c r="AU74" s="44"/>
      <c r="AV74" s="44"/>
      <c r="AW74" s="14"/>
      <c r="AX74" s="13"/>
      <c r="AY74" s="44"/>
      <c r="AZ74" s="44"/>
      <c r="BA74" s="14"/>
      <c r="BB74" s="13"/>
      <c r="BC74" s="44"/>
      <c r="BD74" s="44"/>
      <c r="BE74" s="14"/>
      <c r="BF74" s="13"/>
      <c r="BG74" s="44"/>
      <c r="BH74" s="44"/>
      <c r="BI74" s="14"/>
      <c r="BJ74" s="13"/>
      <c r="BK74" s="44"/>
      <c r="BL74" s="44"/>
      <c r="BM74" s="14"/>
      <c r="BN74" s="13"/>
      <c r="BO74" s="44"/>
      <c r="BP74" s="44"/>
      <c r="BQ74" s="14"/>
      <c r="BR74" s="13"/>
      <c r="BS74" s="44"/>
      <c r="BT74" s="44"/>
      <c r="BU74" s="14"/>
      <c r="BV74" s="13"/>
      <c r="BW74" s="44"/>
      <c r="BX74" s="44"/>
      <c r="BY74" s="14"/>
      <c r="BZ74" s="13"/>
      <c r="CA74" s="44"/>
      <c r="CB74" s="44"/>
      <c r="CC74" s="14"/>
      <c r="CD74" s="13"/>
      <c r="CE74" s="44"/>
      <c r="CF74" s="44"/>
      <c r="CG74" s="14"/>
      <c r="CH74" s="13"/>
      <c r="CI74" s="44"/>
      <c r="CJ74" s="44"/>
      <c r="CK74" s="14"/>
      <c r="CL74" s="49"/>
      <c r="CM74" s="28"/>
    </row>
    <row r="75" spans="2:91" ht="14.25" x14ac:dyDescent="0.25">
      <c r="B75" s="55"/>
      <c r="C75" s="10" t="s">
        <v>523</v>
      </c>
      <c r="D75" s="93" t="s">
        <v>524</v>
      </c>
      <c r="E75" s="125">
        <f>E32/E40 +E41</f>
        <v>8.4</v>
      </c>
      <c r="F75" s="13">
        <f>F32/F40 +F41</f>
        <v>8.6</v>
      </c>
      <c r="G75" s="44">
        <f>G32/G40 +G41</f>
        <v>8.6</v>
      </c>
      <c r="H75" s="44">
        <f>H32/H40 +H41</f>
        <v>10.199999999999999</v>
      </c>
      <c r="I75" s="14">
        <f>I32/I40 +I41</f>
        <v>10.199999999999999</v>
      </c>
      <c r="J75" s="13" t="e">
        <f>J32/J40 +J41</f>
        <v>#DIV/0!</v>
      </c>
      <c r="K75" s="44">
        <f>K32/K40 +K41</f>
        <v>8.6</v>
      </c>
      <c r="L75" s="44">
        <f>L32/L40 +L41</f>
        <v>6.2</v>
      </c>
      <c r="M75" s="14">
        <f>M32/M40 +M41</f>
        <v>6.2</v>
      </c>
      <c r="N75" s="13" t="e">
        <f>N32/N40 +N41</f>
        <v>#DIV/0!</v>
      </c>
      <c r="O75" s="44" t="e">
        <f>O32/O40 +O41</f>
        <v>#DIV/0!</v>
      </c>
      <c r="P75" s="44" t="e">
        <f>P32/P40 +P41</f>
        <v>#DIV/0!</v>
      </c>
      <c r="Q75" s="14" t="e">
        <f>Q32/Q40 +Q41</f>
        <v>#DIV/0!</v>
      </c>
      <c r="R75" s="13" t="e">
        <f>R32/R40 +R41</f>
        <v>#DIV/0!</v>
      </c>
      <c r="S75" s="44" t="e">
        <f>S32/S40 +S41</f>
        <v>#DIV/0!</v>
      </c>
      <c r="T75" s="44" t="e">
        <f>T32/T40 +T41</f>
        <v>#DIV/0!</v>
      </c>
      <c r="U75" s="14" t="e">
        <f>U32/U40 +U41</f>
        <v>#DIV/0!</v>
      </c>
      <c r="V75" s="13" t="e">
        <f>V32/V40 +V41</f>
        <v>#DIV/0!</v>
      </c>
      <c r="W75" s="44" t="e">
        <f>W32/W40 +W41</f>
        <v>#DIV/0!</v>
      </c>
      <c r="X75" s="44" t="e">
        <f>X32/X40 +X41</f>
        <v>#DIV/0!</v>
      </c>
      <c r="Y75" s="14" t="e">
        <f>Y32/Y40 +Y41</f>
        <v>#DIV/0!</v>
      </c>
      <c r="Z75" s="13" t="e">
        <f>Z32/Z40 +Z41</f>
        <v>#DIV/0!</v>
      </c>
      <c r="AA75" s="44" t="e">
        <f>AA32/AA40 +AA41</f>
        <v>#DIV/0!</v>
      </c>
      <c r="AB75" s="44" t="e">
        <f>AB32/AB40 +AB41</f>
        <v>#DIV/0!</v>
      </c>
      <c r="AC75" s="14" t="e">
        <f>AC32/AC40 +AC41</f>
        <v>#DIV/0!</v>
      </c>
      <c r="AD75" s="13" t="e">
        <f>AD32/AD40 +AD41</f>
        <v>#DIV/0!</v>
      </c>
      <c r="AE75" s="44" t="e">
        <f>AE32/AE40 +AE41</f>
        <v>#DIV/0!</v>
      </c>
      <c r="AF75" s="44" t="e">
        <f>AF32/AF40 +AF41</f>
        <v>#DIV/0!</v>
      </c>
      <c r="AG75" s="14" t="e">
        <f>AG32/AG40 +AG41</f>
        <v>#DIV/0!</v>
      </c>
      <c r="AH75" s="13" t="e">
        <f>AH32/AH40 +AH41</f>
        <v>#DIV/0!</v>
      </c>
      <c r="AI75" s="44" t="e">
        <f>AI32/AI40 +AI41</f>
        <v>#DIV/0!</v>
      </c>
      <c r="AJ75" s="44" t="e">
        <f>AJ32/AJ40 +AJ41</f>
        <v>#DIV/0!</v>
      </c>
      <c r="AK75" s="14" t="e">
        <f>AK32/AK40 +AK41</f>
        <v>#DIV/0!</v>
      </c>
      <c r="AL75" s="13" t="e">
        <f>AL32/AL40 +AL41</f>
        <v>#DIV/0!</v>
      </c>
      <c r="AM75" s="44" t="e">
        <f>AM32/AM40 +AM41</f>
        <v>#DIV/0!</v>
      </c>
      <c r="AN75" s="44" t="e">
        <f>AN32/AN40 +AN41</f>
        <v>#DIV/0!</v>
      </c>
      <c r="AO75" s="14" t="e">
        <f>AO32/AO40 +AO41</f>
        <v>#DIV/0!</v>
      </c>
      <c r="AP75" s="13" t="e">
        <f>AP32/AP40 +AP41</f>
        <v>#DIV/0!</v>
      </c>
      <c r="AQ75" s="44" t="e">
        <f>AQ32/AQ40 +AQ41</f>
        <v>#DIV/0!</v>
      </c>
      <c r="AR75" s="44" t="e">
        <f>AR32/AR40 +AR41</f>
        <v>#DIV/0!</v>
      </c>
      <c r="AS75" s="14" t="e">
        <f>AS32/AS40 +AS41</f>
        <v>#DIV/0!</v>
      </c>
      <c r="AT75" s="13" t="e">
        <f>AT32/AT40 +AT41</f>
        <v>#DIV/0!</v>
      </c>
      <c r="AU75" s="44" t="e">
        <f>AU32/AU40 +AU41</f>
        <v>#DIV/0!</v>
      </c>
      <c r="AV75" s="44" t="e">
        <f>AV32/AV40 +AV41</f>
        <v>#DIV/0!</v>
      </c>
      <c r="AW75" s="14" t="e">
        <f>AW32/AW40 +AW41</f>
        <v>#DIV/0!</v>
      </c>
      <c r="AX75" s="13" t="e">
        <f>AX32/AX40 +AX41</f>
        <v>#DIV/0!</v>
      </c>
      <c r="AY75" s="44" t="e">
        <f>AY32/AY40 +AY41</f>
        <v>#DIV/0!</v>
      </c>
      <c r="AZ75" s="44" t="e">
        <f>AZ32/AZ40 +AZ41</f>
        <v>#DIV/0!</v>
      </c>
      <c r="BA75" s="14" t="e">
        <f>BA32/BA40 +BA41</f>
        <v>#DIV/0!</v>
      </c>
      <c r="BB75" s="13" t="e">
        <f>BB32/BB40 +BB41</f>
        <v>#DIV/0!</v>
      </c>
      <c r="BC75" s="44" t="e">
        <f>BC32/BC40 +BC41</f>
        <v>#DIV/0!</v>
      </c>
      <c r="BD75" s="44" t="e">
        <f>BD32/BD40 +BD41</f>
        <v>#DIV/0!</v>
      </c>
      <c r="BE75" s="14" t="e">
        <f>BE32/BE40 +BE41</f>
        <v>#DIV/0!</v>
      </c>
      <c r="BF75" s="13" t="e">
        <f>BF32/BF40 +BF41</f>
        <v>#DIV/0!</v>
      </c>
      <c r="BG75" s="44" t="e">
        <f>BG32/BG40 +BG41</f>
        <v>#DIV/0!</v>
      </c>
      <c r="BH75" s="44" t="e">
        <f>BH32/BH40 +BH41</f>
        <v>#DIV/0!</v>
      </c>
      <c r="BI75" s="14" t="e">
        <f>BI32/BI40 +BI41</f>
        <v>#DIV/0!</v>
      </c>
      <c r="BJ75" s="13" t="e">
        <f>BJ32/BJ40 +BJ41</f>
        <v>#DIV/0!</v>
      </c>
      <c r="BK75" s="44" t="e">
        <f>BK32/BK40 +BK41</f>
        <v>#DIV/0!</v>
      </c>
      <c r="BL75" s="44" t="e">
        <f>BL32/BL40 +BL41</f>
        <v>#DIV/0!</v>
      </c>
      <c r="BM75" s="14" t="e">
        <f>BM32/BM40 +BM41</f>
        <v>#DIV/0!</v>
      </c>
      <c r="BN75" s="13" t="e">
        <f>BN32/BN40 +BN41</f>
        <v>#DIV/0!</v>
      </c>
      <c r="BO75" s="44" t="e">
        <f>BO32/BO40 +BO41</f>
        <v>#DIV/0!</v>
      </c>
      <c r="BP75" s="44" t="e">
        <f>BP32/BP40 +BP41</f>
        <v>#DIV/0!</v>
      </c>
      <c r="BQ75" s="14" t="e">
        <f>BQ32/BQ40 +BQ41</f>
        <v>#DIV/0!</v>
      </c>
      <c r="BR75" s="13" t="e">
        <f>BR32/BR40 +BR41</f>
        <v>#DIV/0!</v>
      </c>
      <c r="BS75" s="44" t="e">
        <f>BS32/BS40 +BS41</f>
        <v>#DIV/0!</v>
      </c>
      <c r="BT75" s="44" t="e">
        <f>BT32/BT40 +BT41</f>
        <v>#DIV/0!</v>
      </c>
      <c r="BU75" s="14" t="e">
        <f>BU32/BU40 +BU41</f>
        <v>#DIV/0!</v>
      </c>
      <c r="BV75" s="13" t="e">
        <f>BV32/BV40 +BV41</f>
        <v>#DIV/0!</v>
      </c>
      <c r="BW75" s="44" t="e">
        <f>BW32/BW40 +BW41</f>
        <v>#DIV/0!</v>
      </c>
      <c r="BX75" s="44" t="e">
        <f>BX32/BX40 +BX41</f>
        <v>#DIV/0!</v>
      </c>
      <c r="BY75" s="14" t="e">
        <f>BY32/BY40 +BY41</f>
        <v>#DIV/0!</v>
      </c>
      <c r="BZ75" s="13" t="e">
        <f>BZ32/BZ40 +BZ41</f>
        <v>#DIV/0!</v>
      </c>
      <c r="CA75" s="44" t="e">
        <f>CA32/CA40 +CA41</f>
        <v>#DIV/0!</v>
      </c>
      <c r="CB75" s="44" t="e">
        <f>CB32/CB40 +CB41</f>
        <v>#DIV/0!</v>
      </c>
      <c r="CC75" s="14" t="e">
        <f>CC32/CC40 +CC41</f>
        <v>#DIV/0!</v>
      </c>
      <c r="CD75" s="13" t="e">
        <f>CD32/CD40 +CD41</f>
        <v>#DIV/0!</v>
      </c>
      <c r="CE75" s="44" t="e">
        <f>CE32/CE40 +CE41</f>
        <v>#DIV/0!</v>
      </c>
      <c r="CF75" s="44" t="e">
        <f>CF32/CF40 +CF41</f>
        <v>#DIV/0!</v>
      </c>
      <c r="CG75" s="14" t="e">
        <f>CG32/CG40 +CG41</f>
        <v>#DIV/0!</v>
      </c>
      <c r="CH75" s="13" t="e">
        <f>CH32/CH40 +CH41</f>
        <v>#DIV/0!</v>
      </c>
      <c r="CI75" s="44" t="e">
        <f>CI32/CI40 +CI41</f>
        <v>#DIV/0!</v>
      </c>
      <c r="CJ75" s="44" t="e">
        <f>CJ32/CJ40 +CJ41</f>
        <v>#DIV/0!</v>
      </c>
      <c r="CK75" s="14" t="e">
        <f>CK32/CK40 +CK41</f>
        <v>#DIV/0!</v>
      </c>
      <c r="CL75" s="49"/>
      <c r="CM75" s="28"/>
    </row>
    <row r="76" spans="2:91" ht="14.25" x14ac:dyDescent="0.25">
      <c r="B76" s="55"/>
      <c r="C76" s="10" t="s">
        <v>529</v>
      </c>
      <c r="D76" s="265" t="s">
        <v>530</v>
      </c>
      <c r="E76" s="125">
        <f>E17/3600</f>
        <v>0.16666666666666666</v>
      </c>
      <c r="F76" s="169">
        <f>F17/3600</f>
        <v>0.25277777777777777</v>
      </c>
      <c r="G76" s="44">
        <f>G17/3600</f>
        <v>0.25277777777777777</v>
      </c>
      <c r="H76" s="44">
        <f>H17/3600</f>
        <v>0.42722222222222223</v>
      </c>
      <c r="I76" s="14">
        <f>I17/3600</f>
        <v>0.42722222222222223</v>
      </c>
      <c r="J76" s="169">
        <f>J17/3600</f>
        <v>0</v>
      </c>
      <c r="K76" s="44">
        <f>K17/3600</f>
        <v>0.22194444444444444</v>
      </c>
      <c r="L76" s="44">
        <f>L17/3600</f>
        <v>1.5277777777777777E-2</v>
      </c>
      <c r="M76" s="14">
        <f>M17/3600</f>
        <v>0</v>
      </c>
      <c r="N76" s="169">
        <f>N17/3600</f>
        <v>0</v>
      </c>
      <c r="O76" s="44">
        <f>O17/3600</f>
        <v>0</v>
      </c>
      <c r="P76" s="44">
        <f>P17/3600</f>
        <v>0</v>
      </c>
      <c r="Q76" s="14">
        <f>Q17/3600</f>
        <v>0</v>
      </c>
      <c r="R76" s="169">
        <f>R17/3600</f>
        <v>0</v>
      </c>
      <c r="S76" s="44">
        <f>S17/3600</f>
        <v>0</v>
      </c>
      <c r="T76" s="44">
        <f>T17/3600</f>
        <v>0</v>
      </c>
      <c r="U76" s="14">
        <f>U17/3600</f>
        <v>0</v>
      </c>
      <c r="V76" s="169">
        <f>V17/3600</f>
        <v>0</v>
      </c>
      <c r="W76" s="44">
        <f>W17/3600</f>
        <v>0</v>
      </c>
      <c r="X76" s="44">
        <f>X17/3600</f>
        <v>0</v>
      </c>
      <c r="Y76" s="14">
        <f>Y17/3600</f>
        <v>0</v>
      </c>
      <c r="Z76" s="169">
        <f>Z17/3600</f>
        <v>0</v>
      </c>
      <c r="AA76" s="44">
        <f>AA17/3600</f>
        <v>0</v>
      </c>
      <c r="AB76" s="44">
        <f>AB17/3600</f>
        <v>0</v>
      </c>
      <c r="AC76" s="14">
        <f>AC17/3600</f>
        <v>0</v>
      </c>
      <c r="AD76" s="169">
        <f>AD17/3600</f>
        <v>0</v>
      </c>
      <c r="AE76" s="44">
        <f>AE17/3600</f>
        <v>0</v>
      </c>
      <c r="AF76" s="44">
        <f>AF17/3600</f>
        <v>0</v>
      </c>
      <c r="AG76" s="14">
        <f>AG17/3600</f>
        <v>0</v>
      </c>
      <c r="AH76" s="169">
        <f>AH17/3600</f>
        <v>0</v>
      </c>
      <c r="AI76" s="44">
        <f>AI17/3600</f>
        <v>0</v>
      </c>
      <c r="AJ76" s="44">
        <f>AJ17/3600</f>
        <v>0</v>
      </c>
      <c r="AK76" s="14">
        <f>AK17/3600</f>
        <v>0</v>
      </c>
      <c r="AL76" s="169">
        <f>AL17/3600</f>
        <v>0</v>
      </c>
      <c r="AM76" s="44">
        <f>AM17/3600</f>
        <v>0</v>
      </c>
      <c r="AN76" s="44">
        <f>AN17/3600</f>
        <v>0</v>
      </c>
      <c r="AO76" s="14">
        <f>AO17/3600</f>
        <v>0</v>
      </c>
      <c r="AP76" s="169">
        <f>AP17/3600</f>
        <v>0</v>
      </c>
      <c r="AQ76" s="44">
        <f>AQ17/3600</f>
        <v>0</v>
      </c>
      <c r="AR76" s="44">
        <f>AR17/3600</f>
        <v>0</v>
      </c>
      <c r="AS76" s="14">
        <f>AS17/3600</f>
        <v>0</v>
      </c>
      <c r="AT76" s="169">
        <f>AT17/3600</f>
        <v>0</v>
      </c>
      <c r="AU76" s="44">
        <f>AU17/3600</f>
        <v>0</v>
      </c>
      <c r="AV76" s="44">
        <f>AV17/3600</f>
        <v>0</v>
      </c>
      <c r="AW76" s="14">
        <f>AW17/3600</f>
        <v>0</v>
      </c>
      <c r="AX76" s="169">
        <f>AX17/3600</f>
        <v>0</v>
      </c>
      <c r="AY76" s="44">
        <f>AY17/3600</f>
        <v>0</v>
      </c>
      <c r="AZ76" s="44">
        <f>AZ17/3600</f>
        <v>0</v>
      </c>
      <c r="BA76" s="14">
        <f>BA17/3600</f>
        <v>0</v>
      </c>
      <c r="BB76" s="169">
        <f>BB17/3600</f>
        <v>0</v>
      </c>
      <c r="BC76" s="44">
        <f>BC17/3600</f>
        <v>0</v>
      </c>
      <c r="BD76" s="44">
        <f>BD17/3600</f>
        <v>0</v>
      </c>
      <c r="BE76" s="14">
        <f>BE17/3600</f>
        <v>0</v>
      </c>
      <c r="BF76" s="169">
        <f>BF17/3600</f>
        <v>0</v>
      </c>
      <c r="BG76" s="44">
        <f>BG17/3600</f>
        <v>0</v>
      </c>
      <c r="BH76" s="44">
        <f>BH17/3600</f>
        <v>0</v>
      </c>
      <c r="BI76" s="14">
        <f>BI17/3600</f>
        <v>0</v>
      </c>
      <c r="BJ76" s="169">
        <f>BJ17/3600</f>
        <v>0</v>
      </c>
      <c r="BK76" s="44">
        <f>BK17/3600</f>
        <v>0</v>
      </c>
      <c r="BL76" s="44">
        <f>BL17/3600</f>
        <v>0</v>
      </c>
      <c r="BM76" s="14">
        <f>BM17/3600</f>
        <v>0</v>
      </c>
      <c r="BN76" s="169">
        <f>BN17/3600</f>
        <v>0</v>
      </c>
      <c r="BO76" s="44">
        <f>BO17/3600</f>
        <v>0</v>
      </c>
      <c r="BP76" s="44">
        <f>BP17/3600</f>
        <v>0</v>
      </c>
      <c r="BQ76" s="14">
        <f>BQ17/3600</f>
        <v>0</v>
      </c>
      <c r="BR76" s="169">
        <f>BR17/3600</f>
        <v>0</v>
      </c>
      <c r="BS76" s="44">
        <f>BS17/3600</f>
        <v>0</v>
      </c>
      <c r="BT76" s="44">
        <f>BT17/3600</f>
        <v>0</v>
      </c>
      <c r="BU76" s="14">
        <f>BU17/3600</f>
        <v>0</v>
      </c>
      <c r="BV76" s="169">
        <f>BV17/3600</f>
        <v>0</v>
      </c>
      <c r="BW76" s="44">
        <f>BW17/3600</f>
        <v>0</v>
      </c>
      <c r="BX76" s="44">
        <f>BX17/3600</f>
        <v>0</v>
      </c>
      <c r="BY76" s="14">
        <f>BY17/3600</f>
        <v>0</v>
      </c>
      <c r="BZ76" s="169">
        <f>BZ17/3600</f>
        <v>0</v>
      </c>
      <c r="CA76" s="44">
        <f>CA17/3600</f>
        <v>0</v>
      </c>
      <c r="CB76" s="44">
        <f>CB17/3600</f>
        <v>0</v>
      </c>
      <c r="CC76" s="14">
        <f>CC17/3600</f>
        <v>0</v>
      </c>
      <c r="CD76" s="169">
        <f>CD17/3600</f>
        <v>0</v>
      </c>
      <c r="CE76" s="44">
        <f>CE17/3600</f>
        <v>0</v>
      </c>
      <c r="CF76" s="44">
        <f>CF17/3600</f>
        <v>0</v>
      </c>
      <c r="CG76" s="14">
        <f>CG17/3600</f>
        <v>0</v>
      </c>
      <c r="CH76" s="169">
        <f>CH17/3600</f>
        <v>0</v>
      </c>
      <c r="CI76" s="44">
        <f>CI17/3600</f>
        <v>0</v>
      </c>
      <c r="CJ76" s="44">
        <f>CJ17/3600</f>
        <v>0</v>
      </c>
      <c r="CK76" s="14">
        <f>CK17/3600</f>
        <v>0</v>
      </c>
      <c r="CL76" s="49"/>
      <c r="CM76" s="28"/>
    </row>
    <row r="77" spans="2:91" ht="14.25" x14ac:dyDescent="0.25">
      <c r="B77" s="55"/>
      <c r="C77" s="10" t="s">
        <v>309</v>
      </c>
      <c r="D77" s="93" t="s">
        <v>499</v>
      </c>
      <c r="E77" s="125">
        <f>MAX(IF(E33=0,0,4*E78/E33),1)</f>
        <v>1</v>
      </c>
      <c r="F77" s="13">
        <f>MAX(IF(F33=0,0,4*F78/F33),1)</f>
        <v>1</v>
      </c>
      <c r="G77" s="44">
        <f>MAX(IF(G33=0,0,4*G78/G33),1)</f>
        <v>1</v>
      </c>
      <c r="H77" s="44">
        <f>MAX(IF(H33=0,0,4*H78/H33),1)</f>
        <v>1</v>
      </c>
      <c r="I77" s="14">
        <f>MAX(IF(I33=0,0,4*I78/I33),1)</f>
        <v>1</v>
      </c>
      <c r="J77" s="13">
        <f>MAX(IF(J33=0,0,4*J78/J33),1)</f>
        <v>1</v>
      </c>
      <c r="K77" s="44">
        <f>MAX(IF(K33=0,0,4*K78/K33),1)</f>
        <v>1</v>
      </c>
      <c r="L77" s="44">
        <f>MAX(IF(L33=0,0,4*L78/L33),1)</f>
        <v>1</v>
      </c>
      <c r="M77" s="14">
        <f>MAX(IF(M33=0,0,4*M78/M33),1)</f>
        <v>1</v>
      </c>
      <c r="N77" s="13">
        <f>MAX(IF(N33=0,0,4*N78/N33),1)</f>
        <v>1</v>
      </c>
      <c r="O77" s="44">
        <f>MAX(IF(O33=0,0,4*O78/O33),1)</f>
        <v>1</v>
      </c>
      <c r="P77" s="44">
        <f>MAX(IF(P33=0,0,4*P78/P33),1)</f>
        <v>1</v>
      </c>
      <c r="Q77" s="14">
        <f>MAX(IF(Q33=0,0,4*Q78/Q33),1)</f>
        <v>1</v>
      </c>
      <c r="R77" s="13">
        <f>MAX(IF(R33=0,0,4*R78/R33),1)</f>
        <v>1</v>
      </c>
      <c r="S77" s="44">
        <f>MAX(IF(S33=0,0,4*S78/S33),1)</f>
        <v>1</v>
      </c>
      <c r="T77" s="44">
        <f>MAX(IF(T33=0,0,4*T78/T33),1)</f>
        <v>1</v>
      </c>
      <c r="U77" s="14">
        <f>MAX(IF(U33=0,0,4*U78/U33),1)</f>
        <v>1</v>
      </c>
      <c r="V77" s="13">
        <f>MAX(IF(V33=0,0,4*V78/V33),1)</f>
        <v>1</v>
      </c>
      <c r="W77" s="44">
        <f>MAX(IF(W33=0,0,4*W78/W33),1)</f>
        <v>1</v>
      </c>
      <c r="X77" s="44">
        <f>MAX(IF(X33=0,0,4*X78/X33),1)</f>
        <v>1</v>
      </c>
      <c r="Y77" s="14">
        <f>MAX(IF(Y33=0,0,4*Y78/Y33),1)</f>
        <v>1</v>
      </c>
      <c r="Z77" s="13">
        <f>MAX(IF(Z33=0,0,4*Z78/Z33),1)</f>
        <v>1</v>
      </c>
      <c r="AA77" s="44">
        <f>MAX(IF(AA33=0,0,4*AA78/AA33),1)</f>
        <v>1</v>
      </c>
      <c r="AB77" s="44">
        <f>MAX(IF(AB33=0,0,4*AB78/AB33),1)</f>
        <v>1</v>
      </c>
      <c r="AC77" s="14">
        <f>MAX(IF(AC33=0,0,4*AC78/AC33),1)</f>
        <v>1</v>
      </c>
      <c r="AD77" s="13">
        <f>MAX(IF(AD33=0,0,4*AD78/AD33),1)</f>
        <v>1</v>
      </c>
      <c r="AE77" s="44">
        <f>MAX(IF(AE33=0,0,4*AE78/AE33),1)</f>
        <v>1</v>
      </c>
      <c r="AF77" s="44">
        <f>MAX(IF(AF33=0,0,4*AF78/AF33),1)</f>
        <v>1</v>
      </c>
      <c r="AG77" s="14">
        <f>MAX(IF(AG33=0,0,4*AG78/AG33),1)</f>
        <v>1</v>
      </c>
      <c r="AH77" s="13">
        <f>MAX(IF(AH33=0,0,4*AH78/AH33),1)</f>
        <v>1</v>
      </c>
      <c r="AI77" s="44">
        <f>MAX(IF(AI33=0,0,4*AI78/AI33),1)</f>
        <v>1</v>
      </c>
      <c r="AJ77" s="44">
        <f>MAX(IF(AJ33=0,0,4*AJ78/AJ33),1)</f>
        <v>1</v>
      </c>
      <c r="AK77" s="14">
        <f>MAX(IF(AK33=0,0,4*AK78/AK33),1)</f>
        <v>1</v>
      </c>
      <c r="AL77" s="13">
        <f>MAX(IF(AL33=0,0,4*AL78/AL33),1)</f>
        <v>1</v>
      </c>
      <c r="AM77" s="44">
        <f>MAX(IF(AM33=0,0,4*AM78/AM33),1)</f>
        <v>1</v>
      </c>
      <c r="AN77" s="44">
        <f>MAX(IF(AN33=0,0,4*AN78/AN33),1)</f>
        <v>1</v>
      </c>
      <c r="AO77" s="14">
        <f>MAX(IF(AO33=0,0,4*AO78/AO33),1)</f>
        <v>1</v>
      </c>
      <c r="AP77" s="13">
        <f>MAX(IF(AP33=0,0,4*AP78/AP33),1)</f>
        <v>1</v>
      </c>
      <c r="AQ77" s="44">
        <f>MAX(IF(AQ33=0,0,4*AQ78/AQ33),1)</f>
        <v>1</v>
      </c>
      <c r="AR77" s="44">
        <f>MAX(IF(AR33=0,0,4*AR78/AR33),1)</f>
        <v>1</v>
      </c>
      <c r="AS77" s="14">
        <f>MAX(IF(AS33=0,0,4*AS78/AS33),1)</f>
        <v>1</v>
      </c>
      <c r="AT77" s="13">
        <f>MAX(IF(AT33=0,0,4*AT78/AT33),1)</f>
        <v>1</v>
      </c>
      <c r="AU77" s="44">
        <f>MAX(IF(AU33=0,0,4*AU78/AU33),1)</f>
        <v>1</v>
      </c>
      <c r="AV77" s="44">
        <f>MAX(IF(AV33=0,0,4*AV78/AV33),1)</f>
        <v>1</v>
      </c>
      <c r="AW77" s="14">
        <f>MAX(IF(AW33=0,0,4*AW78/AW33),1)</f>
        <v>1</v>
      </c>
      <c r="AX77" s="13">
        <f>MAX(IF(AX33=0,0,4*AX78/AX33),1)</f>
        <v>1</v>
      </c>
      <c r="AY77" s="44">
        <f>MAX(IF(AY33=0,0,4*AY78/AY33),1)</f>
        <v>1</v>
      </c>
      <c r="AZ77" s="44">
        <f>MAX(IF(AZ33=0,0,4*AZ78/AZ33),1)</f>
        <v>1</v>
      </c>
      <c r="BA77" s="14">
        <f>MAX(IF(BA33=0,0,4*BA78/BA33),1)</f>
        <v>1</v>
      </c>
      <c r="BB77" s="13">
        <f>MAX(IF(BB33=0,0,4*BB78/BB33),1)</f>
        <v>1</v>
      </c>
      <c r="BC77" s="44">
        <f>MAX(IF(BC33=0,0,4*BC78/BC33),1)</f>
        <v>1</v>
      </c>
      <c r="BD77" s="44">
        <f>MAX(IF(BD33=0,0,4*BD78/BD33),1)</f>
        <v>1</v>
      </c>
      <c r="BE77" s="14">
        <f>MAX(IF(BE33=0,0,4*BE78/BE33),1)</f>
        <v>1</v>
      </c>
      <c r="BF77" s="13">
        <f>MAX(IF(BF33=0,0,4*BF78/BF33),1)</f>
        <v>1</v>
      </c>
      <c r="BG77" s="44">
        <f>MAX(IF(BG33=0,0,4*BG78/BG33),1)</f>
        <v>1</v>
      </c>
      <c r="BH77" s="44">
        <f>MAX(IF(BH33=0,0,4*BH78/BH33),1)</f>
        <v>1</v>
      </c>
      <c r="BI77" s="14">
        <f>MAX(IF(BI33=0,0,4*BI78/BI33),1)</f>
        <v>1</v>
      </c>
      <c r="BJ77" s="13">
        <f>MAX(IF(BJ33=0,0,4*BJ78/BJ33),1)</f>
        <v>1</v>
      </c>
      <c r="BK77" s="44">
        <f>MAX(IF(BK33=0,0,4*BK78/BK33),1)</f>
        <v>1</v>
      </c>
      <c r="BL77" s="44">
        <f>MAX(IF(BL33=0,0,4*BL78/BL33),1)</f>
        <v>1</v>
      </c>
      <c r="BM77" s="14">
        <f>MAX(IF(BM33=0,0,4*BM78/BM33),1)</f>
        <v>1</v>
      </c>
      <c r="BN77" s="13">
        <f>MAX(IF(BN33=0,0,4*BN78/BN33),1)</f>
        <v>1</v>
      </c>
      <c r="BO77" s="44">
        <f>MAX(IF(BO33=0,0,4*BO78/BO33),1)</f>
        <v>1</v>
      </c>
      <c r="BP77" s="44">
        <f>MAX(IF(BP33=0,0,4*BP78/BP33),1)</f>
        <v>1</v>
      </c>
      <c r="BQ77" s="14">
        <f>MAX(IF(BQ33=0,0,4*BQ78/BQ33),1)</f>
        <v>1</v>
      </c>
      <c r="BR77" s="13">
        <f>MAX(IF(BR33=0,0,4*BR78/BR33),1)</f>
        <v>1</v>
      </c>
      <c r="BS77" s="44">
        <f>MAX(IF(BS33=0,0,4*BS78/BS33),1)</f>
        <v>1</v>
      </c>
      <c r="BT77" s="44">
        <f>MAX(IF(BT33=0,0,4*BT78/BT33),1)</f>
        <v>1</v>
      </c>
      <c r="BU77" s="14">
        <f>MAX(IF(BU33=0,0,4*BU78/BU33),1)</f>
        <v>1</v>
      </c>
      <c r="BV77" s="13">
        <f>MAX(IF(BV33=0,0,4*BV78/BV33),1)</f>
        <v>1</v>
      </c>
      <c r="BW77" s="44">
        <f>MAX(IF(BW33=0,0,4*BW78/BW33),1)</f>
        <v>1</v>
      </c>
      <c r="BX77" s="44">
        <f>MAX(IF(BX33=0,0,4*BX78/BX33),1)</f>
        <v>1</v>
      </c>
      <c r="BY77" s="14">
        <f>MAX(IF(BY33=0,0,4*BY78/BY33),1)</f>
        <v>1</v>
      </c>
      <c r="BZ77" s="13">
        <f>MAX(IF(BZ33=0,0,4*BZ78/BZ33),1)</f>
        <v>1</v>
      </c>
      <c r="CA77" s="44">
        <f>MAX(IF(CA33=0,0,4*CA78/CA33),1)</f>
        <v>1</v>
      </c>
      <c r="CB77" s="44">
        <f>MAX(IF(CB33=0,0,4*CB78/CB33),1)</f>
        <v>1</v>
      </c>
      <c r="CC77" s="14">
        <f>MAX(IF(CC33=0,0,4*CC78/CC33),1)</f>
        <v>1</v>
      </c>
      <c r="CD77" s="13">
        <f>MAX(IF(CD33=0,0,4*CD78/CD33),1)</f>
        <v>1</v>
      </c>
      <c r="CE77" s="44">
        <f>MAX(IF(CE33=0,0,4*CE78/CE33),1)</f>
        <v>1</v>
      </c>
      <c r="CF77" s="44">
        <f>MAX(IF(CF33=0,0,4*CF78/CF33),1)</f>
        <v>1</v>
      </c>
      <c r="CG77" s="14">
        <f>MAX(IF(CG33=0,0,4*CG78/CG33),1)</f>
        <v>1</v>
      </c>
      <c r="CH77" s="13">
        <f>MAX(IF(CH33=0,0,4*CH78/CH33),1)</f>
        <v>1</v>
      </c>
      <c r="CI77" s="44">
        <f>MAX(IF(CI33=0,0,4*CI78/CI33),1)</f>
        <v>1</v>
      </c>
      <c r="CJ77" s="44">
        <f>MAX(IF(CJ33=0,0,4*CJ78/CJ33),1)</f>
        <v>1</v>
      </c>
      <c r="CK77" s="14">
        <f>MAX(IF(CK33=0,0,4*CK78/CK33),1)</f>
        <v>1</v>
      </c>
      <c r="CL77" s="49"/>
      <c r="CM77" s="28"/>
    </row>
    <row r="78" spans="2:91" ht="14.25" x14ac:dyDescent="0.25">
      <c r="B78" s="55"/>
      <c r="C78" s="10" t="s">
        <v>310</v>
      </c>
      <c r="D78" s="93" t="s">
        <v>500</v>
      </c>
      <c r="E78" s="125">
        <f>((E21/3600)*EXP(E75*E21/3600) + E76*EXP(-E76*E75))/(((E21/3600)+E76)*EXP(((E21/3600)-E76))*E75)</f>
        <v>3.8985468704999048E-2</v>
      </c>
      <c r="F78" s="13">
        <f>((F21/3600)*EXP(F75*F21/3600) + F76*EXP(-F76*F75))/(((F21/3600)+F76)*EXP(((F21/3600)-F76))*F75)</f>
        <v>2.0678574117255807E-2</v>
      </c>
      <c r="G78" s="44">
        <f>((G21/3600)*EXP(G75*G21/3600) + G76*EXP(-G76*G75))/(((G21/3600)+G76)*EXP(((G21/3600)-G76))*G75)</f>
        <v>2.0678574117255807E-2</v>
      </c>
      <c r="H78" s="44">
        <f>((H21/3600)*EXP(H75*H21/3600) + H76*EXP(-H76*H75))/(((H21/3600)+H76)*EXP(((H21/3600)-H76))*H75)</f>
        <v>4.443618419739964E-3</v>
      </c>
      <c r="I78" s="14">
        <f>((I21/3600)*EXP(I75*I21/3600) + I76*EXP(-I76*I75))/(((I21/3600)+I76)*EXP(((I21/3600)-I76))*I75)</f>
        <v>4.443618419739964E-3</v>
      </c>
      <c r="J78" s="13" t="e">
        <f>((J21/3600)*EXP(J75*J21/3600) + J76*EXP(-J76*J75))/(((J21/3600)+J76)*EXP(((J21/3600)-J76))*J75)</f>
        <v>#DIV/0!</v>
      </c>
      <c r="K78" s="44">
        <f>((K21/3600)*EXP(K75*K21/3600) + K76*EXP(-K76*K75))/(((K21/3600)+K76)*EXP(((K21/3600)-K76))*K75)</f>
        <v>2.5370776978518667E-2</v>
      </c>
      <c r="L78" s="44">
        <f>((L21/3600)*EXP(L75*L21/3600) + L76*EXP(-L76*L75))/(((L21/3600)+L76)*EXP(((L21/3600)-L76))*L75)</f>
        <v>0.1547708980856595</v>
      </c>
      <c r="M78" s="14">
        <f>((M21/3600)*EXP(M75*M21/3600) + M76*EXP(-M76*M75))/(((M21/3600)+M76)*EXP(((M21/3600)-M76))*M75)</f>
        <v>0.16722113497955068</v>
      </c>
      <c r="N78" s="13" t="e">
        <f>((N21/3600)*EXP(N75*N21/3600) + N76*EXP(-N76*N75))/(((N21/3600)+N76)*EXP(((N21/3600)-N76))*N75)</f>
        <v>#DIV/0!</v>
      </c>
      <c r="O78" s="44" t="e">
        <f>((O21/3600)*EXP(O75*O21/3600) + O76*EXP(-O76*O75))/(((O21/3600)+O76)*EXP(((O21/3600)-O76))*O75)</f>
        <v>#DIV/0!</v>
      </c>
      <c r="P78" s="44" t="e">
        <f>((P21/3600)*EXP(P75*P21/3600) + P76*EXP(-P76*P75))/(((P21/3600)+P76)*EXP(((P21/3600)-P76))*P75)</f>
        <v>#DIV/0!</v>
      </c>
      <c r="Q78" s="14" t="e">
        <f>((Q21/3600)*EXP(Q75*Q21/3600) + Q76*EXP(-Q76*Q75))/(((Q21/3600)+Q76)*EXP(((Q21/3600)-Q76))*Q75)</f>
        <v>#DIV/0!</v>
      </c>
      <c r="R78" s="13" t="e">
        <f>((R21/3600)*EXP(R75*R21/3600) + R76*EXP(-R76*R75))/(((R21/3600)+R76)*EXP(((R21/3600)-R76))*R75)</f>
        <v>#DIV/0!</v>
      </c>
      <c r="S78" s="44" t="e">
        <f>((S21/3600)*EXP(S75*S21/3600) + S76*EXP(-S76*S75))/(((S21/3600)+S76)*EXP(((S21/3600)-S76))*S75)</f>
        <v>#DIV/0!</v>
      </c>
      <c r="T78" s="44" t="e">
        <f>((T21/3600)*EXP(T75*T21/3600) + T76*EXP(-T76*T75))/(((T21/3600)+T76)*EXP(((T21/3600)-T76))*T75)</f>
        <v>#DIV/0!</v>
      </c>
      <c r="U78" s="14" t="e">
        <f>((U21/3600)*EXP(U75*U21/3600) + U76*EXP(-U76*U75))/(((U21/3600)+U76)*EXP(((U21/3600)-U76))*U75)</f>
        <v>#DIV/0!</v>
      </c>
      <c r="V78" s="13" t="e">
        <f>((V21/3600)*EXP(V75*V21/3600) + V76*EXP(-V76*V75))/(((V21/3600)+V76)*EXP(((V21/3600)-V76))*V75)</f>
        <v>#DIV/0!</v>
      </c>
      <c r="W78" s="44" t="e">
        <f>((W21/3600)*EXP(W75*W21/3600) + W76*EXP(-W76*W75))/(((W21/3600)+W76)*EXP(((W21/3600)-W76))*W75)</f>
        <v>#DIV/0!</v>
      </c>
      <c r="X78" s="44" t="e">
        <f>((X21/3600)*EXP(X75*X21/3600) + X76*EXP(-X76*X75))/(((X21/3600)+X76)*EXP(((X21/3600)-X76))*X75)</f>
        <v>#DIV/0!</v>
      </c>
      <c r="Y78" s="14" t="e">
        <f>((Y21/3600)*EXP(Y75*Y21/3600) + Y76*EXP(-Y76*Y75))/(((Y21/3600)+Y76)*EXP(((Y21/3600)-Y76))*Y75)</f>
        <v>#DIV/0!</v>
      </c>
      <c r="Z78" s="13" t="e">
        <f>((Z21/3600)*EXP(Z75*Z21/3600) + Z76*EXP(-Z76*Z75))/(((Z21/3600)+Z76)*EXP(((Z21/3600)-Z76))*Z75)</f>
        <v>#DIV/0!</v>
      </c>
      <c r="AA78" s="44" t="e">
        <f>((AA21/3600)*EXP(AA75*AA21/3600) + AA76*EXP(-AA76*AA75))/(((AA21/3600)+AA76)*EXP(((AA21/3600)-AA76))*AA75)</f>
        <v>#DIV/0!</v>
      </c>
      <c r="AB78" s="44" t="e">
        <f>((AB21/3600)*EXP(AB75*AB21/3600) + AB76*EXP(-AB76*AB75))/(((AB21/3600)+AB76)*EXP(((AB21/3600)-AB76))*AB75)</f>
        <v>#DIV/0!</v>
      </c>
      <c r="AC78" s="14" t="e">
        <f>((AC21/3600)*EXP(AC75*AC21/3600) + AC76*EXP(-AC76*AC75))/(((AC21/3600)+AC76)*EXP(((AC21/3600)-AC76))*AC75)</f>
        <v>#DIV/0!</v>
      </c>
      <c r="AD78" s="13" t="e">
        <f>((AD21/3600)*EXP(AD75*AD21/3600) + AD76*EXP(-AD76*AD75))/(((AD21/3600)+AD76)*EXP(((AD21/3600)-AD76))*AD75)</f>
        <v>#DIV/0!</v>
      </c>
      <c r="AE78" s="44" t="e">
        <f>((AE21/3600)*EXP(AE75*AE21/3600) + AE76*EXP(-AE76*AE75))/(((AE21/3600)+AE76)*EXP(((AE21/3600)-AE76))*AE75)</f>
        <v>#DIV/0!</v>
      </c>
      <c r="AF78" s="44" t="e">
        <f>((AF21/3600)*EXP(AF75*AF21/3600) + AF76*EXP(-AF76*AF75))/(((AF21/3600)+AF76)*EXP(((AF21/3600)-AF76))*AF75)</f>
        <v>#DIV/0!</v>
      </c>
      <c r="AG78" s="14" t="e">
        <f>((AG21/3600)*EXP(AG75*AG21/3600) + AG76*EXP(-AG76*AG75))/(((AG21/3600)+AG76)*EXP(((AG21/3600)-AG76))*AG75)</f>
        <v>#DIV/0!</v>
      </c>
      <c r="AH78" s="13" t="e">
        <f>((AH21/3600)*EXP(AH75*AH21/3600) + AH76*EXP(-AH76*AH75))/(((AH21/3600)+AH76)*EXP(((AH21/3600)-AH76))*AH75)</f>
        <v>#DIV/0!</v>
      </c>
      <c r="AI78" s="44" t="e">
        <f>((AI21/3600)*EXP(AI75*AI21/3600) + AI76*EXP(-AI76*AI75))/(((AI21/3600)+AI76)*EXP(((AI21/3600)-AI76))*AI75)</f>
        <v>#DIV/0!</v>
      </c>
      <c r="AJ78" s="44" t="e">
        <f>((AJ21/3600)*EXP(AJ75*AJ21/3600) + AJ76*EXP(-AJ76*AJ75))/(((AJ21/3600)+AJ76)*EXP(((AJ21/3600)-AJ76))*AJ75)</f>
        <v>#DIV/0!</v>
      </c>
      <c r="AK78" s="14" t="e">
        <f>((AK21/3600)*EXP(AK75*AK21/3600) + AK76*EXP(-AK76*AK75))/(((AK21/3600)+AK76)*EXP(((AK21/3600)-AK76))*AK75)</f>
        <v>#DIV/0!</v>
      </c>
      <c r="AL78" s="13" t="e">
        <f>((AL21/3600)*EXP(AL75*AL21/3600) + AL76*EXP(-AL76*AL75))/(((AL21/3600)+AL76)*EXP(((AL21/3600)-AL76))*AL75)</f>
        <v>#DIV/0!</v>
      </c>
      <c r="AM78" s="44" t="e">
        <f>((AM21/3600)*EXP(AM75*AM21/3600) + AM76*EXP(-AM76*AM75))/(((AM21/3600)+AM76)*EXP(((AM21/3600)-AM76))*AM75)</f>
        <v>#DIV/0!</v>
      </c>
      <c r="AN78" s="44" t="e">
        <f>((AN21/3600)*EXP(AN75*AN21/3600) + AN76*EXP(-AN76*AN75))/(((AN21/3600)+AN76)*EXP(((AN21/3600)-AN76))*AN75)</f>
        <v>#DIV/0!</v>
      </c>
      <c r="AO78" s="14" t="e">
        <f>((AO21/3600)*EXP(AO75*AO21/3600) + AO76*EXP(-AO76*AO75))/(((AO21/3600)+AO76)*EXP(((AO21/3600)-AO76))*AO75)</f>
        <v>#DIV/0!</v>
      </c>
      <c r="AP78" s="13" t="e">
        <f>((AP21/3600)*EXP(AP75*AP21/3600) + AP76*EXP(-AP76*AP75))/(((AP21/3600)+AP76)*EXP(((AP21/3600)-AP76))*AP75)</f>
        <v>#DIV/0!</v>
      </c>
      <c r="AQ78" s="44" t="e">
        <f>((AQ21/3600)*EXP(AQ75*AQ21/3600) + AQ76*EXP(-AQ76*AQ75))/(((AQ21/3600)+AQ76)*EXP(((AQ21/3600)-AQ76))*AQ75)</f>
        <v>#DIV/0!</v>
      </c>
      <c r="AR78" s="44" t="e">
        <f>((AR21/3600)*EXP(AR75*AR21/3600) + AR76*EXP(-AR76*AR75))/(((AR21/3600)+AR76)*EXP(((AR21/3600)-AR76))*AR75)</f>
        <v>#DIV/0!</v>
      </c>
      <c r="AS78" s="14" t="e">
        <f>((AS21/3600)*EXP(AS75*AS21/3600) + AS76*EXP(-AS76*AS75))/(((AS21/3600)+AS76)*EXP(((AS21/3600)-AS76))*AS75)</f>
        <v>#DIV/0!</v>
      </c>
      <c r="AT78" s="13" t="e">
        <f>((AT21/3600)*EXP(AT75*AT21/3600) + AT76*EXP(-AT76*AT75))/(((AT21/3600)+AT76)*EXP(((AT21/3600)-AT76))*AT75)</f>
        <v>#DIV/0!</v>
      </c>
      <c r="AU78" s="44" t="e">
        <f>((AU21/3600)*EXP(AU75*AU21/3600) + AU76*EXP(-AU76*AU75))/(((AU21/3600)+AU76)*EXP(((AU21/3600)-AU76))*AU75)</f>
        <v>#DIV/0!</v>
      </c>
      <c r="AV78" s="44" t="e">
        <f>((AV21/3600)*EXP(AV75*AV21/3600) + AV76*EXP(-AV76*AV75))/(((AV21/3600)+AV76)*EXP(((AV21/3600)-AV76))*AV75)</f>
        <v>#DIV/0!</v>
      </c>
      <c r="AW78" s="14" t="e">
        <f>((AW21/3600)*EXP(AW75*AW21/3600) + AW76*EXP(-AW76*AW75))/(((AW21/3600)+AW76)*EXP(((AW21/3600)-AW76))*AW75)</f>
        <v>#DIV/0!</v>
      </c>
      <c r="AX78" s="13" t="e">
        <f>((AX21/3600)*EXP(AX75*AX21/3600) + AX76*EXP(-AX76*AX75))/(((AX21/3600)+AX76)*EXP(((AX21/3600)-AX76))*AX75)</f>
        <v>#DIV/0!</v>
      </c>
      <c r="AY78" s="44" t="e">
        <f>((AY21/3600)*EXP(AY75*AY21/3600) + AY76*EXP(-AY76*AY75))/(((AY21/3600)+AY76)*EXP(((AY21/3600)-AY76))*AY75)</f>
        <v>#DIV/0!</v>
      </c>
      <c r="AZ78" s="44" t="e">
        <f>((AZ21/3600)*EXP(AZ75*AZ21/3600) + AZ76*EXP(-AZ76*AZ75))/(((AZ21/3600)+AZ76)*EXP(((AZ21/3600)-AZ76))*AZ75)</f>
        <v>#DIV/0!</v>
      </c>
      <c r="BA78" s="14" t="e">
        <f>((BA21/3600)*EXP(BA75*BA21/3600) + BA76*EXP(-BA76*BA75))/(((BA21/3600)+BA76)*EXP(((BA21/3600)-BA76))*BA75)</f>
        <v>#DIV/0!</v>
      </c>
      <c r="BB78" s="13" t="e">
        <f>((BB21/3600)*EXP(BB75*BB21/3600) + BB76*EXP(-BB76*BB75))/(((BB21/3600)+BB76)*EXP(((BB21/3600)-BB76))*BB75)</f>
        <v>#DIV/0!</v>
      </c>
      <c r="BC78" s="44" t="e">
        <f>((BC21/3600)*EXP(BC75*BC21/3600) + BC76*EXP(-BC76*BC75))/(((BC21/3600)+BC76)*EXP(((BC21/3600)-BC76))*BC75)</f>
        <v>#DIV/0!</v>
      </c>
      <c r="BD78" s="44" t="e">
        <f>((BD21/3600)*EXP(BD75*BD21/3600) + BD76*EXP(-BD76*BD75))/(((BD21/3600)+BD76)*EXP(((BD21/3600)-BD76))*BD75)</f>
        <v>#DIV/0!</v>
      </c>
      <c r="BE78" s="14" t="e">
        <f>((BE21/3600)*EXP(BE75*BE21/3600) + BE76*EXP(-BE76*BE75))/(((BE21/3600)+BE76)*EXP(((BE21/3600)-BE76))*BE75)</f>
        <v>#DIV/0!</v>
      </c>
      <c r="BF78" s="13" t="e">
        <f>((BF21/3600)*EXP(BF75*BF21/3600) + BF76*EXP(-BF76*BF75))/(((BF21/3600)+BF76)*EXP(((BF21/3600)-BF76))*BF75)</f>
        <v>#DIV/0!</v>
      </c>
      <c r="BG78" s="44" t="e">
        <f>((BG21/3600)*EXP(BG75*BG21/3600) + BG76*EXP(-BG76*BG75))/(((BG21/3600)+BG76)*EXP(((BG21/3600)-BG76))*BG75)</f>
        <v>#DIV/0!</v>
      </c>
      <c r="BH78" s="44" t="e">
        <f>((BH21/3600)*EXP(BH75*BH21/3600) + BH76*EXP(-BH76*BH75))/(((BH21/3600)+BH76)*EXP(((BH21/3600)-BH76))*BH75)</f>
        <v>#DIV/0!</v>
      </c>
      <c r="BI78" s="14" t="e">
        <f>((BI21/3600)*EXP(BI75*BI21/3600) + BI76*EXP(-BI76*BI75))/(((BI21/3600)+BI76)*EXP(((BI21/3600)-BI76))*BI75)</f>
        <v>#DIV/0!</v>
      </c>
      <c r="BJ78" s="13" t="e">
        <f>((BJ21/3600)*EXP(BJ75*BJ21/3600) + BJ76*EXP(-BJ76*BJ75))/(((BJ21/3600)+BJ76)*EXP(((BJ21/3600)-BJ76))*BJ75)</f>
        <v>#DIV/0!</v>
      </c>
      <c r="BK78" s="44" t="e">
        <f>((BK21/3600)*EXP(BK75*BK21/3600) + BK76*EXP(-BK76*BK75))/(((BK21/3600)+BK76)*EXP(((BK21/3600)-BK76))*BK75)</f>
        <v>#DIV/0!</v>
      </c>
      <c r="BL78" s="44" t="e">
        <f>((BL21/3600)*EXP(BL75*BL21/3600) + BL76*EXP(-BL76*BL75))/(((BL21/3600)+BL76)*EXP(((BL21/3600)-BL76))*BL75)</f>
        <v>#DIV/0!</v>
      </c>
      <c r="BM78" s="14" t="e">
        <f>((BM21/3600)*EXP(BM75*BM21/3600) + BM76*EXP(-BM76*BM75))/(((BM21/3600)+BM76)*EXP(((BM21/3600)-BM76))*BM75)</f>
        <v>#DIV/0!</v>
      </c>
      <c r="BN78" s="13" t="e">
        <f>((BN21/3600)*EXP(BN75*BN21/3600) + BN76*EXP(-BN76*BN75))/(((BN21/3600)+BN76)*EXP(((BN21/3600)-BN76))*BN75)</f>
        <v>#DIV/0!</v>
      </c>
      <c r="BO78" s="44" t="e">
        <f>((BO21/3600)*EXP(BO75*BO21/3600) + BO76*EXP(-BO76*BO75))/(((BO21/3600)+BO76)*EXP(((BO21/3600)-BO76))*BO75)</f>
        <v>#DIV/0!</v>
      </c>
      <c r="BP78" s="44" t="e">
        <f>((BP21/3600)*EXP(BP75*BP21/3600) + BP76*EXP(-BP76*BP75))/(((BP21/3600)+BP76)*EXP(((BP21/3600)-BP76))*BP75)</f>
        <v>#DIV/0!</v>
      </c>
      <c r="BQ78" s="14" t="e">
        <f>((BQ21/3600)*EXP(BQ75*BQ21/3600) + BQ76*EXP(-BQ76*BQ75))/(((BQ21/3600)+BQ76)*EXP(((BQ21/3600)-BQ76))*BQ75)</f>
        <v>#DIV/0!</v>
      </c>
      <c r="BR78" s="13" t="e">
        <f>((BR21/3600)*EXP(BR75*BR21/3600) + BR76*EXP(-BR76*BR75))/(((BR21/3600)+BR76)*EXP(((BR21/3600)-BR76))*BR75)</f>
        <v>#DIV/0!</v>
      </c>
      <c r="BS78" s="44" t="e">
        <f>((BS21/3600)*EXP(BS75*BS21/3600) + BS76*EXP(-BS76*BS75))/(((BS21/3600)+BS76)*EXP(((BS21/3600)-BS76))*BS75)</f>
        <v>#DIV/0!</v>
      </c>
      <c r="BT78" s="44" t="e">
        <f>((BT21/3600)*EXP(BT75*BT21/3600) + BT76*EXP(-BT76*BT75))/(((BT21/3600)+BT76)*EXP(((BT21/3600)-BT76))*BT75)</f>
        <v>#DIV/0!</v>
      </c>
      <c r="BU78" s="14" t="e">
        <f>((BU21/3600)*EXP(BU75*BU21/3600) + BU76*EXP(-BU76*BU75))/(((BU21/3600)+BU76)*EXP(((BU21/3600)-BU76))*BU75)</f>
        <v>#DIV/0!</v>
      </c>
      <c r="BV78" s="13" t="e">
        <f>((BV21/3600)*EXP(BV75*BV21/3600) + BV76*EXP(-BV76*BV75))/(((BV21/3600)+BV76)*EXP(((BV21/3600)-BV76))*BV75)</f>
        <v>#DIV/0!</v>
      </c>
      <c r="BW78" s="44" t="e">
        <f>((BW21/3600)*EXP(BW75*BW21/3600) + BW76*EXP(-BW76*BW75))/(((BW21/3600)+BW76)*EXP(((BW21/3600)-BW76))*BW75)</f>
        <v>#DIV/0!</v>
      </c>
      <c r="BX78" s="44" t="e">
        <f>((BX21/3600)*EXP(BX75*BX21/3600) + BX76*EXP(-BX76*BX75))/(((BX21/3600)+BX76)*EXP(((BX21/3600)-BX76))*BX75)</f>
        <v>#DIV/0!</v>
      </c>
      <c r="BY78" s="14" t="e">
        <f>((BY21/3600)*EXP(BY75*BY21/3600) + BY76*EXP(-BY76*BY75))/(((BY21/3600)+BY76)*EXP(((BY21/3600)-BY76))*BY75)</f>
        <v>#DIV/0!</v>
      </c>
      <c r="BZ78" s="13" t="e">
        <f>((BZ21/3600)*EXP(BZ75*BZ21/3600) + BZ76*EXP(-BZ76*BZ75))/(((BZ21/3600)+BZ76)*EXP(((BZ21/3600)-BZ76))*BZ75)</f>
        <v>#DIV/0!</v>
      </c>
      <c r="CA78" s="44" t="e">
        <f>((CA21/3600)*EXP(CA75*CA21/3600) + CA76*EXP(-CA76*CA75))/(((CA21/3600)+CA76)*EXP(((CA21/3600)-CA76))*CA75)</f>
        <v>#DIV/0!</v>
      </c>
      <c r="CB78" s="44" t="e">
        <f>((CB21/3600)*EXP(CB75*CB21/3600) + CB76*EXP(-CB76*CB75))/(((CB21/3600)+CB76)*EXP(((CB21/3600)-CB76))*CB75)</f>
        <v>#DIV/0!</v>
      </c>
      <c r="CC78" s="14" t="e">
        <f>((CC21/3600)*EXP(CC75*CC21/3600) + CC76*EXP(-CC76*CC75))/(((CC21/3600)+CC76)*EXP(((CC21/3600)-CC76))*CC75)</f>
        <v>#DIV/0!</v>
      </c>
      <c r="CD78" s="13" t="e">
        <f>((CD21/3600)*EXP(CD75*CD21/3600) + CD76*EXP(-CD76*CD75))/(((CD21/3600)+CD76)*EXP(((CD21/3600)-CD76))*CD75)</f>
        <v>#DIV/0!</v>
      </c>
      <c r="CE78" s="44" t="e">
        <f>((CE21/3600)*EXP(CE75*CE21/3600) + CE76*EXP(-CE76*CE75))/(((CE21/3600)+CE76)*EXP(((CE21/3600)-CE76))*CE75)</f>
        <v>#DIV/0!</v>
      </c>
      <c r="CF78" s="44" t="e">
        <f>((CF21/3600)*EXP(CF75*CF21/3600) + CF76*EXP(-CF76*CF75))/(((CF21/3600)+CF76)*EXP(((CF21/3600)-CF76))*CF75)</f>
        <v>#DIV/0!</v>
      </c>
      <c r="CG78" s="14" t="e">
        <f>((CG21/3600)*EXP(CG75*CG21/3600) + CG76*EXP(-CG76*CG75))/(((CG21/3600)+CG76)*EXP(((CG21/3600)-CG76))*CG75)</f>
        <v>#DIV/0!</v>
      </c>
      <c r="CH78" s="13" t="e">
        <f>((CH21/3600)*EXP(CH75*CH21/3600) + CH76*EXP(-CH76*CH75))/(((CH21/3600)+CH76)*EXP(((CH21/3600)-CH76))*CH75)</f>
        <v>#DIV/0!</v>
      </c>
      <c r="CI78" s="44" t="e">
        <f>((CI21/3600)*EXP(CI75*CI21/3600) + CI76*EXP(-CI76*CI75))/(((CI21/3600)+CI76)*EXP(((CI21/3600)-CI76))*CI75)</f>
        <v>#DIV/0!</v>
      </c>
      <c r="CJ78" s="44" t="e">
        <f>((CJ21/3600)*EXP(CJ75*CJ21/3600) + CJ76*EXP(-CJ76*CJ75))/(((CJ21/3600)+CJ76)*EXP(((CJ21/3600)-CJ76))*CJ75)</f>
        <v>#DIV/0!</v>
      </c>
      <c r="CK78" s="14" t="e">
        <f>((CK21/3600)*EXP(CK75*CK21/3600) + CK76*EXP(-CK76*CK75))/(((CK21/3600)+CK76)*EXP(((CK21/3600)-CK76))*CK75)</f>
        <v>#DIV/0!</v>
      </c>
      <c r="CL78" s="49"/>
      <c r="CM78" s="28"/>
    </row>
    <row r="79" spans="2:91" ht="14.25" x14ac:dyDescent="0.25">
      <c r="B79" s="55"/>
      <c r="C79" s="10" t="s">
        <v>311</v>
      </c>
      <c r="D79" s="93" t="s">
        <v>503</v>
      </c>
      <c r="E79" s="125">
        <f>E75+2*(E77-1)</f>
        <v>8.4</v>
      </c>
      <c r="F79" s="13">
        <f>F75+2*(F77-1)</f>
        <v>8.6</v>
      </c>
      <c r="G79" s="44">
        <f>G75+2*(G77-1)</f>
        <v>8.6</v>
      </c>
      <c r="H79" s="44">
        <f>H75+2*(H77-1)</f>
        <v>10.199999999999999</v>
      </c>
      <c r="I79" s="14">
        <f>I75+2*(I77-1)</f>
        <v>10.199999999999999</v>
      </c>
      <c r="J79" s="13" t="e">
        <f>J75+2*(J77-1)</f>
        <v>#DIV/0!</v>
      </c>
      <c r="K79" s="44">
        <f>K75+2*(K77-1)</f>
        <v>8.6</v>
      </c>
      <c r="L79" s="44">
        <f>L75+2*(L77-1)</f>
        <v>6.2</v>
      </c>
      <c r="M79" s="14">
        <f>M75+2*(M77-1)</f>
        <v>6.2</v>
      </c>
      <c r="N79" s="13" t="e">
        <f>N75+2*(N77-1)</f>
        <v>#DIV/0!</v>
      </c>
      <c r="O79" s="44" t="e">
        <f>O75+2*(O77-1)</f>
        <v>#DIV/0!</v>
      </c>
      <c r="P79" s="44" t="e">
        <f>P75+2*(P77-1)</f>
        <v>#DIV/0!</v>
      </c>
      <c r="Q79" s="14" t="e">
        <f>Q75+2*(Q77-1)</f>
        <v>#DIV/0!</v>
      </c>
      <c r="R79" s="13" t="e">
        <f>R75+2*(R77-1)</f>
        <v>#DIV/0!</v>
      </c>
      <c r="S79" s="44" t="e">
        <f>S75+2*(S77-1)</f>
        <v>#DIV/0!</v>
      </c>
      <c r="T79" s="44" t="e">
        <f>T75+2*(T77-1)</f>
        <v>#DIV/0!</v>
      </c>
      <c r="U79" s="14" t="e">
        <f>U75+2*(U77-1)</f>
        <v>#DIV/0!</v>
      </c>
      <c r="V79" s="13" t="e">
        <f>V75+2*(V77-1)</f>
        <v>#DIV/0!</v>
      </c>
      <c r="W79" s="44" t="e">
        <f>W75+2*(W77-1)</f>
        <v>#DIV/0!</v>
      </c>
      <c r="X79" s="44" t="e">
        <f>X75+2*(X77-1)</f>
        <v>#DIV/0!</v>
      </c>
      <c r="Y79" s="14" t="e">
        <f>Y75+2*(Y77-1)</f>
        <v>#DIV/0!</v>
      </c>
      <c r="Z79" s="13" t="e">
        <f>Z75+2*(Z77-1)</f>
        <v>#DIV/0!</v>
      </c>
      <c r="AA79" s="44" t="e">
        <f>AA75+2*(AA77-1)</f>
        <v>#DIV/0!</v>
      </c>
      <c r="AB79" s="44" t="e">
        <f>AB75+2*(AB77-1)</f>
        <v>#DIV/0!</v>
      </c>
      <c r="AC79" s="14" t="e">
        <f>AC75+2*(AC77-1)</f>
        <v>#DIV/0!</v>
      </c>
      <c r="AD79" s="13" t="e">
        <f>AD75+2*(AD77-1)</f>
        <v>#DIV/0!</v>
      </c>
      <c r="AE79" s="44" t="e">
        <f>AE75+2*(AE77-1)</f>
        <v>#DIV/0!</v>
      </c>
      <c r="AF79" s="44" t="e">
        <f>AF75+2*(AF77-1)</f>
        <v>#DIV/0!</v>
      </c>
      <c r="AG79" s="14" t="e">
        <f>AG75+2*(AG77-1)</f>
        <v>#DIV/0!</v>
      </c>
      <c r="AH79" s="13" t="e">
        <f>AH75+2*(AH77-1)</f>
        <v>#DIV/0!</v>
      </c>
      <c r="AI79" s="44" t="e">
        <f>AI75+2*(AI77-1)</f>
        <v>#DIV/0!</v>
      </c>
      <c r="AJ79" s="44" t="e">
        <f>AJ75+2*(AJ77-1)</f>
        <v>#DIV/0!</v>
      </c>
      <c r="AK79" s="14" t="e">
        <f>AK75+2*(AK77-1)</f>
        <v>#DIV/0!</v>
      </c>
      <c r="AL79" s="13" t="e">
        <f>AL75+2*(AL77-1)</f>
        <v>#DIV/0!</v>
      </c>
      <c r="AM79" s="44" t="e">
        <f>AM75+2*(AM77-1)</f>
        <v>#DIV/0!</v>
      </c>
      <c r="AN79" s="44" t="e">
        <f>AN75+2*(AN77-1)</f>
        <v>#DIV/0!</v>
      </c>
      <c r="AO79" s="14" t="e">
        <f>AO75+2*(AO77-1)</f>
        <v>#DIV/0!</v>
      </c>
      <c r="AP79" s="13" t="e">
        <f>AP75+2*(AP77-1)</f>
        <v>#DIV/0!</v>
      </c>
      <c r="AQ79" s="44" t="e">
        <f>AQ75+2*(AQ77-1)</f>
        <v>#DIV/0!</v>
      </c>
      <c r="AR79" s="44" t="e">
        <f>AR75+2*(AR77-1)</f>
        <v>#DIV/0!</v>
      </c>
      <c r="AS79" s="14" t="e">
        <f>AS75+2*(AS77-1)</f>
        <v>#DIV/0!</v>
      </c>
      <c r="AT79" s="13" t="e">
        <f>AT75+2*(AT77-1)</f>
        <v>#DIV/0!</v>
      </c>
      <c r="AU79" s="44" t="e">
        <f>AU75+2*(AU77-1)</f>
        <v>#DIV/0!</v>
      </c>
      <c r="AV79" s="44" t="e">
        <f>AV75+2*(AV77-1)</f>
        <v>#DIV/0!</v>
      </c>
      <c r="AW79" s="14" t="e">
        <f>AW75+2*(AW77-1)</f>
        <v>#DIV/0!</v>
      </c>
      <c r="AX79" s="13" t="e">
        <f>AX75+2*(AX77-1)</f>
        <v>#DIV/0!</v>
      </c>
      <c r="AY79" s="44" t="e">
        <f>AY75+2*(AY77-1)</f>
        <v>#DIV/0!</v>
      </c>
      <c r="AZ79" s="44" t="e">
        <f>AZ75+2*(AZ77-1)</f>
        <v>#DIV/0!</v>
      </c>
      <c r="BA79" s="14" t="e">
        <f>BA75+2*(BA77-1)</f>
        <v>#DIV/0!</v>
      </c>
      <c r="BB79" s="13" t="e">
        <f>BB75+2*(BB77-1)</f>
        <v>#DIV/0!</v>
      </c>
      <c r="BC79" s="44" t="e">
        <f>BC75+2*(BC77-1)</f>
        <v>#DIV/0!</v>
      </c>
      <c r="BD79" s="44" t="e">
        <f>BD75+2*(BD77-1)</f>
        <v>#DIV/0!</v>
      </c>
      <c r="BE79" s="14" t="e">
        <f>BE75+2*(BE77-1)</f>
        <v>#DIV/0!</v>
      </c>
      <c r="BF79" s="13" t="e">
        <f>BF75+2*(BF77-1)</f>
        <v>#DIV/0!</v>
      </c>
      <c r="BG79" s="44" t="e">
        <f>BG75+2*(BG77-1)</f>
        <v>#DIV/0!</v>
      </c>
      <c r="BH79" s="44" t="e">
        <f>BH75+2*(BH77-1)</f>
        <v>#DIV/0!</v>
      </c>
      <c r="BI79" s="14" t="e">
        <f>BI75+2*(BI77-1)</f>
        <v>#DIV/0!</v>
      </c>
      <c r="BJ79" s="13" t="e">
        <f>BJ75+2*(BJ77-1)</f>
        <v>#DIV/0!</v>
      </c>
      <c r="BK79" s="44" t="e">
        <f>BK75+2*(BK77-1)</f>
        <v>#DIV/0!</v>
      </c>
      <c r="BL79" s="44" t="e">
        <f>BL75+2*(BL77-1)</f>
        <v>#DIV/0!</v>
      </c>
      <c r="BM79" s="14" t="e">
        <f>BM75+2*(BM77-1)</f>
        <v>#DIV/0!</v>
      </c>
      <c r="BN79" s="13" t="e">
        <f>BN75+2*(BN77-1)</f>
        <v>#DIV/0!</v>
      </c>
      <c r="BO79" s="44" t="e">
        <f>BO75+2*(BO77-1)</f>
        <v>#DIV/0!</v>
      </c>
      <c r="BP79" s="44" t="e">
        <f>BP75+2*(BP77-1)</f>
        <v>#DIV/0!</v>
      </c>
      <c r="BQ79" s="14" t="e">
        <f>BQ75+2*(BQ77-1)</f>
        <v>#DIV/0!</v>
      </c>
      <c r="BR79" s="13" t="e">
        <f>BR75+2*(BR77-1)</f>
        <v>#DIV/0!</v>
      </c>
      <c r="BS79" s="44" t="e">
        <f>BS75+2*(BS77-1)</f>
        <v>#DIV/0!</v>
      </c>
      <c r="BT79" s="44" t="e">
        <f>BT75+2*(BT77-1)</f>
        <v>#DIV/0!</v>
      </c>
      <c r="BU79" s="14" t="e">
        <f>BU75+2*(BU77-1)</f>
        <v>#DIV/0!</v>
      </c>
      <c r="BV79" s="13" t="e">
        <f>BV75+2*(BV77-1)</f>
        <v>#DIV/0!</v>
      </c>
      <c r="BW79" s="44" t="e">
        <f>BW75+2*(BW77-1)</f>
        <v>#DIV/0!</v>
      </c>
      <c r="BX79" s="44" t="e">
        <f>BX75+2*(BX77-1)</f>
        <v>#DIV/0!</v>
      </c>
      <c r="BY79" s="14" t="e">
        <f>BY75+2*(BY77-1)</f>
        <v>#DIV/0!</v>
      </c>
      <c r="BZ79" s="13" t="e">
        <f>BZ75+2*(BZ77-1)</f>
        <v>#DIV/0!</v>
      </c>
      <c r="CA79" s="44" t="e">
        <f>CA75+2*(CA77-1)</f>
        <v>#DIV/0!</v>
      </c>
      <c r="CB79" s="44" t="e">
        <f>CB75+2*(CB77-1)</f>
        <v>#DIV/0!</v>
      </c>
      <c r="CC79" s="14" t="e">
        <f>CC75+2*(CC77-1)</f>
        <v>#DIV/0!</v>
      </c>
      <c r="CD79" s="13" t="e">
        <f>CD75+2*(CD77-1)</f>
        <v>#DIV/0!</v>
      </c>
      <c r="CE79" s="44" t="e">
        <f>CE75+2*(CE77-1)</f>
        <v>#DIV/0!</v>
      </c>
      <c r="CF79" s="44" t="e">
        <f>CF75+2*(CF77-1)</f>
        <v>#DIV/0!</v>
      </c>
      <c r="CG79" s="14" t="e">
        <f>CG75+2*(CG77-1)</f>
        <v>#DIV/0!</v>
      </c>
      <c r="CH79" s="13" t="e">
        <f>CH75+2*(CH77-1)</f>
        <v>#DIV/0!</v>
      </c>
      <c r="CI79" s="44" t="e">
        <f>CI75+2*(CI77-1)</f>
        <v>#DIV/0!</v>
      </c>
      <c r="CJ79" s="44" t="e">
        <f>CJ75+2*(CJ77-1)</f>
        <v>#DIV/0!</v>
      </c>
      <c r="CK79" s="14" t="e">
        <f>CK75+2*(CK77-1)</f>
        <v>#DIV/0!</v>
      </c>
      <c r="CL79" s="49"/>
      <c r="CM79" s="28"/>
    </row>
    <row r="80" spans="2:91" ht="14.25" x14ac:dyDescent="0.25">
      <c r="B80" s="55"/>
      <c r="C80" s="10" t="s">
        <v>312</v>
      </c>
      <c r="D80" s="93" t="s">
        <v>501</v>
      </c>
      <c r="E80" s="125">
        <f>1-EXP(-E79*E76/E32)</f>
        <v>2.5592734748511092E-2</v>
      </c>
      <c r="F80" s="13">
        <f>1-EXP(-F79*F76/F32)</f>
        <v>3.8075625742408858E-2</v>
      </c>
      <c r="G80" s="44">
        <f>1-EXP(-G79*G76/G32)</f>
        <v>3.8075625742408858E-2</v>
      </c>
      <c r="H80" s="44">
        <f>1-EXP(-H79*H76/H32)</f>
        <v>5.8728019937022591E-2</v>
      </c>
      <c r="I80" s="14">
        <f>1-EXP(-I79*I76/I32)</f>
        <v>5.8728019937022591E-2</v>
      </c>
      <c r="J80" s="13" t="e">
        <f>1-EXP(-J79*J76/J32)</f>
        <v>#DIV/0!</v>
      </c>
      <c r="K80" s="44">
        <f>1-EXP(-K79*K76/K32)</f>
        <v>3.3509998451743517E-2</v>
      </c>
      <c r="L80" s="44">
        <f>1-EXP(-L79*L76/L32)</f>
        <v>2.9556927583830328E-3</v>
      </c>
      <c r="M80" s="14">
        <f>1-EXP(-M79*M76/M32)</f>
        <v>0</v>
      </c>
      <c r="N80" s="13" t="e">
        <f>1-EXP(-N79*N76/N32)</f>
        <v>#DIV/0!</v>
      </c>
      <c r="O80" s="44" t="e">
        <f>1-EXP(-O79*O76/O32)</f>
        <v>#DIV/0!</v>
      </c>
      <c r="P80" s="44" t="e">
        <f>1-EXP(-P79*P76/P32)</f>
        <v>#DIV/0!</v>
      </c>
      <c r="Q80" s="14" t="e">
        <f>1-EXP(-Q79*Q76/Q32)</f>
        <v>#DIV/0!</v>
      </c>
      <c r="R80" s="13" t="e">
        <f>1-EXP(-R79*R76/R32)</f>
        <v>#DIV/0!</v>
      </c>
      <c r="S80" s="44" t="e">
        <f>1-EXP(-S79*S76/S32)</f>
        <v>#DIV/0!</v>
      </c>
      <c r="T80" s="44" t="e">
        <f>1-EXP(-T79*T76/T32)</f>
        <v>#DIV/0!</v>
      </c>
      <c r="U80" s="14" t="e">
        <f>1-EXP(-U79*U76/U32)</f>
        <v>#DIV/0!</v>
      </c>
      <c r="V80" s="13" t="e">
        <f>1-EXP(-V79*V76/V32)</f>
        <v>#DIV/0!</v>
      </c>
      <c r="W80" s="44" t="e">
        <f>1-EXP(-W79*W76/W32)</f>
        <v>#DIV/0!</v>
      </c>
      <c r="X80" s="44" t="e">
        <f>1-EXP(-X79*X76/X32)</f>
        <v>#DIV/0!</v>
      </c>
      <c r="Y80" s="14" t="e">
        <f>1-EXP(-Y79*Y76/Y32)</f>
        <v>#DIV/0!</v>
      </c>
      <c r="Z80" s="13" t="e">
        <f>1-EXP(-Z79*Z76/Z32)</f>
        <v>#DIV/0!</v>
      </c>
      <c r="AA80" s="44" t="e">
        <f>1-EXP(-AA79*AA76/AA32)</f>
        <v>#DIV/0!</v>
      </c>
      <c r="AB80" s="44" t="e">
        <f>1-EXP(-AB79*AB76/AB32)</f>
        <v>#DIV/0!</v>
      </c>
      <c r="AC80" s="14" t="e">
        <f>1-EXP(-AC79*AC76/AC32)</f>
        <v>#DIV/0!</v>
      </c>
      <c r="AD80" s="13" t="e">
        <f>1-EXP(-AD79*AD76/AD32)</f>
        <v>#DIV/0!</v>
      </c>
      <c r="AE80" s="44" t="e">
        <f>1-EXP(-AE79*AE76/AE32)</f>
        <v>#DIV/0!</v>
      </c>
      <c r="AF80" s="44" t="e">
        <f>1-EXP(-AF79*AF76/AF32)</f>
        <v>#DIV/0!</v>
      </c>
      <c r="AG80" s="14" t="e">
        <f>1-EXP(-AG79*AG76/AG32)</f>
        <v>#DIV/0!</v>
      </c>
      <c r="AH80" s="13" t="e">
        <f>1-EXP(-AH79*AH76/AH32)</f>
        <v>#DIV/0!</v>
      </c>
      <c r="AI80" s="44" t="e">
        <f>1-EXP(-AI79*AI76/AI32)</f>
        <v>#DIV/0!</v>
      </c>
      <c r="AJ80" s="44" t="e">
        <f>1-EXP(-AJ79*AJ76/AJ32)</f>
        <v>#DIV/0!</v>
      </c>
      <c r="AK80" s="14" t="e">
        <f>1-EXP(-AK79*AK76/AK32)</f>
        <v>#DIV/0!</v>
      </c>
      <c r="AL80" s="13" t="e">
        <f>1-EXP(-AL79*AL76/AL32)</f>
        <v>#DIV/0!</v>
      </c>
      <c r="AM80" s="44" t="e">
        <f>1-EXP(-AM79*AM76/AM32)</f>
        <v>#DIV/0!</v>
      </c>
      <c r="AN80" s="44" t="e">
        <f>1-EXP(-AN79*AN76/AN32)</f>
        <v>#DIV/0!</v>
      </c>
      <c r="AO80" s="14" t="e">
        <f>1-EXP(-AO79*AO76/AO32)</f>
        <v>#DIV/0!</v>
      </c>
      <c r="AP80" s="13" t="e">
        <f>1-EXP(-AP79*AP76/AP32)</f>
        <v>#DIV/0!</v>
      </c>
      <c r="AQ80" s="44" t="e">
        <f>1-EXP(-AQ79*AQ76/AQ32)</f>
        <v>#DIV/0!</v>
      </c>
      <c r="AR80" s="44" t="e">
        <f>1-EXP(-AR79*AR76/AR32)</f>
        <v>#DIV/0!</v>
      </c>
      <c r="AS80" s="14" t="e">
        <f>1-EXP(-AS79*AS76/AS32)</f>
        <v>#DIV/0!</v>
      </c>
      <c r="AT80" s="13" t="e">
        <f>1-EXP(-AT79*AT76/AT32)</f>
        <v>#DIV/0!</v>
      </c>
      <c r="AU80" s="44" t="e">
        <f>1-EXP(-AU79*AU76/AU32)</f>
        <v>#DIV/0!</v>
      </c>
      <c r="AV80" s="44" t="e">
        <f>1-EXP(-AV79*AV76/AV32)</f>
        <v>#DIV/0!</v>
      </c>
      <c r="AW80" s="14" t="e">
        <f>1-EXP(-AW79*AW76/AW32)</f>
        <v>#DIV/0!</v>
      </c>
      <c r="AX80" s="13" t="e">
        <f>1-EXP(-AX79*AX76/AX32)</f>
        <v>#DIV/0!</v>
      </c>
      <c r="AY80" s="44" t="e">
        <f>1-EXP(-AY79*AY76/AY32)</f>
        <v>#DIV/0!</v>
      </c>
      <c r="AZ80" s="44" t="e">
        <f>1-EXP(-AZ79*AZ76/AZ32)</f>
        <v>#DIV/0!</v>
      </c>
      <c r="BA80" s="14" t="e">
        <f>1-EXP(-BA79*BA76/BA32)</f>
        <v>#DIV/0!</v>
      </c>
      <c r="BB80" s="13" t="e">
        <f>1-EXP(-BB79*BB76/BB32)</f>
        <v>#DIV/0!</v>
      </c>
      <c r="BC80" s="44" t="e">
        <f>1-EXP(-BC79*BC76/BC32)</f>
        <v>#DIV/0!</v>
      </c>
      <c r="BD80" s="44" t="e">
        <f>1-EXP(-BD79*BD76/BD32)</f>
        <v>#DIV/0!</v>
      </c>
      <c r="BE80" s="14" t="e">
        <f>1-EXP(-BE79*BE76/BE32)</f>
        <v>#DIV/0!</v>
      </c>
      <c r="BF80" s="13" t="e">
        <f>1-EXP(-BF79*BF76/BF32)</f>
        <v>#DIV/0!</v>
      </c>
      <c r="BG80" s="44" t="e">
        <f>1-EXP(-BG79*BG76/BG32)</f>
        <v>#DIV/0!</v>
      </c>
      <c r="BH80" s="44" t="e">
        <f>1-EXP(-BH79*BH76/BH32)</f>
        <v>#DIV/0!</v>
      </c>
      <c r="BI80" s="14" t="e">
        <f>1-EXP(-BI79*BI76/BI32)</f>
        <v>#DIV/0!</v>
      </c>
      <c r="BJ80" s="13" t="e">
        <f>1-EXP(-BJ79*BJ76/BJ32)</f>
        <v>#DIV/0!</v>
      </c>
      <c r="BK80" s="44" t="e">
        <f>1-EXP(-BK79*BK76/BK32)</f>
        <v>#DIV/0!</v>
      </c>
      <c r="BL80" s="44" t="e">
        <f>1-EXP(-BL79*BL76/BL32)</f>
        <v>#DIV/0!</v>
      </c>
      <c r="BM80" s="14" t="e">
        <f>1-EXP(-BM79*BM76/BM32)</f>
        <v>#DIV/0!</v>
      </c>
      <c r="BN80" s="13" t="e">
        <f>1-EXP(-BN79*BN76/BN32)</f>
        <v>#DIV/0!</v>
      </c>
      <c r="BO80" s="44" t="e">
        <f>1-EXP(-BO79*BO76/BO32)</f>
        <v>#DIV/0!</v>
      </c>
      <c r="BP80" s="44" t="e">
        <f>1-EXP(-BP79*BP76/BP32)</f>
        <v>#DIV/0!</v>
      </c>
      <c r="BQ80" s="14" t="e">
        <f>1-EXP(-BQ79*BQ76/BQ32)</f>
        <v>#DIV/0!</v>
      </c>
      <c r="BR80" s="13" t="e">
        <f>1-EXP(-BR79*BR76/BR32)</f>
        <v>#DIV/0!</v>
      </c>
      <c r="BS80" s="44" t="e">
        <f>1-EXP(-BS79*BS76/BS32)</f>
        <v>#DIV/0!</v>
      </c>
      <c r="BT80" s="44" t="e">
        <f>1-EXP(-BT79*BT76/BT32)</f>
        <v>#DIV/0!</v>
      </c>
      <c r="BU80" s="14" t="e">
        <f>1-EXP(-BU79*BU76/BU32)</f>
        <v>#DIV/0!</v>
      </c>
      <c r="BV80" s="13" t="e">
        <f>1-EXP(-BV79*BV76/BV32)</f>
        <v>#DIV/0!</v>
      </c>
      <c r="BW80" s="44" t="e">
        <f>1-EXP(-BW79*BW76/BW32)</f>
        <v>#DIV/0!</v>
      </c>
      <c r="BX80" s="44" t="e">
        <f>1-EXP(-BX79*BX76/BX32)</f>
        <v>#DIV/0!</v>
      </c>
      <c r="BY80" s="14" t="e">
        <f>1-EXP(-BY79*BY76/BY32)</f>
        <v>#DIV/0!</v>
      </c>
      <c r="BZ80" s="13" t="e">
        <f>1-EXP(-BZ79*BZ76/BZ32)</f>
        <v>#DIV/0!</v>
      </c>
      <c r="CA80" s="44" t="e">
        <f>1-EXP(-CA79*CA76/CA32)</f>
        <v>#DIV/0!</v>
      </c>
      <c r="CB80" s="44" t="e">
        <f>1-EXP(-CB79*CB76/CB32)</f>
        <v>#DIV/0!</v>
      </c>
      <c r="CC80" s="14" t="e">
        <f>1-EXP(-CC79*CC76/CC32)</f>
        <v>#DIV/0!</v>
      </c>
      <c r="CD80" s="13" t="e">
        <f>1-EXP(-CD79*CD76/CD32)</f>
        <v>#DIV/0!</v>
      </c>
      <c r="CE80" s="44" t="e">
        <f>1-EXP(-CE79*CE76/CE32)</f>
        <v>#DIV/0!</v>
      </c>
      <c r="CF80" s="44" t="e">
        <f>1-EXP(-CF79*CF76/CF32)</f>
        <v>#DIV/0!</v>
      </c>
      <c r="CG80" s="14" t="e">
        <f>1-EXP(-CG79*CG76/CG32)</f>
        <v>#DIV/0!</v>
      </c>
      <c r="CH80" s="13" t="e">
        <f>1-EXP(-CH79*CH76/CH32)</f>
        <v>#DIV/0!</v>
      </c>
      <c r="CI80" s="44" t="e">
        <f>1-EXP(-CI79*CI76/CI32)</f>
        <v>#DIV/0!</v>
      </c>
      <c r="CJ80" s="44" t="e">
        <f>1-EXP(-CJ79*CJ76/CJ32)</f>
        <v>#DIV/0!</v>
      </c>
      <c r="CK80" s="14" t="e">
        <f>1-EXP(-CK79*CK76/CK32)</f>
        <v>#DIV/0!</v>
      </c>
      <c r="CL80" s="49"/>
      <c r="CM80" s="28"/>
    </row>
    <row r="81" spans="2:91" ht="14.25" x14ac:dyDescent="0.25">
      <c r="B81" s="55"/>
      <c r="C81" s="10" t="s">
        <v>313</v>
      </c>
      <c r="D81" s="93" t="s">
        <v>528</v>
      </c>
      <c r="E81" s="125">
        <f>1 - (1-E80)^E32</f>
        <v>0.75340303605839354</v>
      </c>
      <c r="F81" s="13">
        <f>1 - (1-F80)^F32</f>
        <v>0.8862655448929091</v>
      </c>
      <c r="G81" s="44">
        <f>1 - (1-G80)^G32</f>
        <v>0.8862655448929091</v>
      </c>
      <c r="H81" s="44">
        <f>1 - (1-H80)^H32</f>
        <v>0.98719176129993325</v>
      </c>
      <c r="I81" s="14">
        <f>1 - (1-I80)^I32</f>
        <v>0.98719176129993325</v>
      </c>
      <c r="J81" s="13" t="e">
        <f>1 - (1-J80)^J32</f>
        <v>#DIV/0!</v>
      </c>
      <c r="K81" s="44">
        <f>1 - (1-K80)^K32</f>
        <v>0.85173027863910378</v>
      </c>
      <c r="L81" s="44">
        <f>1 - (1-L80)^L32</f>
        <v>9.0374426851777878E-2</v>
      </c>
      <c r="M81" s="14">
        <f>1 - (1-M80)^M32</f>
        <v>0</v>
      </c>
      <c r="N81" s="13" t="e">
        <f>1 - (1-N80)^N32</f>
        <v>#DIV/0!</v>
      </c>
      <c r="O81" s="44" t="e">
        <f>1 - (1-O80)^O32</f>
        <v>#DIV/0!</v>
      </c>
      <c r="P81" s="44" t="e">
        <f>1 - (1-P80)^P32</f>
        <v>#DIV/0!</v>
      </c>
      <c r="Q81" s="14" t="e">
        <f>1 - (1-Q80)^Q32</f>
        <v>#DIV/0!</v>
      </c>
      <c r="R81" s="13" t="e">
        <f>1 - (1-R80)^R32</f>
        <v>#DIV/0!</v>
      </c>
      <c r="S81" s="44" t="e">
        <f>1 - (1-S80)^S32</f>
        <v>#DIV/0!</v>
      </c>
      <c r="T81" s="44" t="e">
        <f>1 - (1-T80)^T32</f>
        <v>#DIV/0!</v>
      </c>
      <c r="U81" s="14" t="e">
        <f>1 - (1-U80)^U32</f>
        <v>#DIV/0!</v>
      </c>
      <c r="V81" s="13" t="e">
        <f>1 - (1-V80)^V32</f>
        <v>#DIV/0!</v>
      </c>
      <c r="W81" s="44" t="e">
        <f>1 - (1-W80)^W32</f>
        <v>#DIV/0!</v>
      </c>
      <c r="X81" s="44" t="e">
        <f>1 - (1-X80)^X32</f>
        <v>#DIV/0!</v>
      </c>
      <c r="Y81" s="14" t="e">
        <f>1 - (1-Y80)^Y32</f>
        <v>#DIV/0!</v>
      </c>
      <c r="Z81" s="13" t="e">
        <f>1 - (1-Z80)^Z32</f>
        <v>#DIV/0!</v>
      </c>
      <c r="AA81" s="44" t="e">
        <f>1 - (1-AA80)^AA32</f>
        <v>#DIV/0!</v>
      </c>
      <c r="AB81" s="44" t="e">
        <f>1 - (1-AB80)^AB32</f>
        <v>#DIV/0!</v>
      </c>
      <c r="AC81" s="14" t="e">
        <f>1 - (1-AC80)^AC32</f>
        <v>#DIV/0!</v>
      </c>
      <c r="AD81" s="13" t="e">
        <f>1 - (1-AD80)^AD32</f>
        <v>#DIV/0!</v>
      </c>
      <c r="AE81" s="44" t="e">
        <f>1 - (1-AE80)^AE32</f>
        <v>#DIV/0!</v>
      </c>
      <c r="AF81" s="44" t="e">
        <f>1 - (1-AF80)^AF32</f>
        <v>#DIV/0!</v>
      </c>
      <c r="AG81" s="14" t="e">
        <f>1 - (1-AG80)^AG32</f>
        <v>#DIV/0!</v>
      </c>
      <c r="AH81" s="13" t="e">
        <f>1 - (1-AH80)^AH32</f>
        <v>#DIV/0!</v>
      </c>
      <c r="AI81" s="44" t="e">
        <f>1 - (1-AI80)^AI32</f>
        <v>#DIV/0!</v>
      </c>
      <c r="AJ81" s="44" t="e">
        <f>1 - (1-AJ80)^AJ32</f>
        <v>#DIV/0!</v>
      </c>
      <c r="AK81" s="14" t="e">
        <f>1 - (1-AK80)^AK32</f>
        <v>#DIV/0!</v>
      </c>
      <c r="AL81" s="13" t="e">
        <f>1 - (1-AL80)^AL32</f>
        <v>#DIV/0!</v>
      </c>
      <c r="AM81" s="44" t="e">
        <f>1 - (1-AM80)^AM32</f>
        <v>#DIV/0!</v>
      </c>
      <c r="AN81" s="44" t="e">
        <f>1 - (1-AN80)^AN32</f>
        <v>#DIV/0!</v>
      </c>
      <c r="AO81" s="14" t="e">
        <f>1 - (1-AO80)^AO32</f>
        <v>#DIV/0!</v>
      </c>
      <c r="AP81" s="13" t="e">
        <f>1 - (1-AP80)^AP32</f>
        <v>#DIV/0!</v>
      </c>
      <c r="AQ81" s="44" t="e">
        <f>1 - (1-AQ80)^AQ32</f>
        <v>#DIV/0!</v>
      </c>
      <c r="AR81" s="44" t="e">
        <f>1 - (1-AR80)^AR32</f>
        <v>#DIV/0!</v>
      </c>
      <c r="AS81" s="14" t="e">
        <f>1 - (1-AS80)^AS32</f>
        <v>#DIV/0!</v>
      </c>
      <c r="AT81" s="13" t="e">
        <f>1 - (1-AT80)^AT32</f>
        <v>#DIV/0!</v>
      </c>
      <c r="AU81" s="44" t="e">
        <f>1 - (1-AU80)^AU32</f>
        <v>#DIV/0!</v>
      </c>
      <c r="AV81" s="44" t="e">
        <f>1 - (1-AV80)^AV32</f>
        <v>#DIV/0!</v>
      </c>
      <c r="AW81" s="14" t="e">
        <f>1 - (1-AW80)^AW32</f>
        <v>#DIV/0!</v>
      </c>
      <c r="AX81" s="13" t="e">
        <f>1 - (1-AX80)^AX32</f>
        <v>#DIV/0!</v>
      </c>
      <c r="AY81" s="44" t="e">
        <f>1 - (1-AY80)^AY32</f>
        <v>#DIV/0!</v>
      </c>
      <c r="AZ81" s="44" t="e">
        <f>1 - (1-AZ80)^AZ32</f>
        <v>#DIV/0!</v>
      </c>
      <c r="BA81" s="14" t="e">
        <f>1 - (1-BA80)^BA32</f>
        <v>#DIV/0!</v>
      </c>
      <c r="BB81" s="13" t="e">
        <f>1 - (1-BB80)^BB32</f>
        <v>#DIV/0!</v>
      </c>
      <c r="BC81" s="44" t="e">
        <f>1 - (1-BC80)^BC32</f>
        <v>#DIV/0!</v>
      </c>
      <c r="BD81" s="44" t="e">
        <f>1 - (1-BD80)^BD32</f>
        <v>#DIV/0!</v>
      </c>
      <c r="BE81" s="14" t="e">
        <f>1 - (1-BE80)^BE32</f>
        <v>#DIV/0!</v>
      </c>
      <c r="BF81" s="13" t="e">
        <f>1 - (1-BF80)^BF32</f>
        <v>#DIV/0!</v>
      </c>
      <c r="BG81" s="44" t="e">
        <f>1 - (1-BG80)^BG32</f>
        <v>#DIV/0!</v>
      </c>
      <c r="BH81" s="44" t="e">
        <f>1 - (1-BH80)^BH32</f>
        <v>#DIV/0!</v>
      </c>
      <c r="BI81" s="14" t="e">
        <f>1 - (1-BI80)^BI32</f>
        <v>#DIV/0!</v>
      </c>
      <c r="BJ81" s="13" t="e">
        <f>1 - (1-BJ80)^BJ32</f>
        <v>#DIV/0!</v>
      </c>
      <c r="BK81" s="44" t="e">
        <f>1 - (1-BK80)^BK32</f>
        <v>#DIV/0!</v>
      </c>
      <c r="BL81" s="44" t="e">
        <f>1 - (1-BL80)^BL32</f>
        <v>#DIV/0!</v>
      </c>
      <c r="BM81" s="14" t="e">
        <f>1 - (1-BM80)^BM32</f>
        <v>#DIV/0!</v>
      </c>
      <c r="BN81" s="13" t="e">
        <f>1 - (1-BN80)^BN32</f>
        <v>#DIV/0!</v>
      </c>
      <c r="BO81" s="44" t="e">
        <f>1 - (1-BO80)^BO32</f>
        <v>#DIV/0!</v>
      </c>
      <c r="BP81" s="44" t="e">
        <f>1 - (1-BP80)^BP32</f>
        <v>#DIV/0!</v>
      </c>
      <c r="BQ81" s="14" t="e">
        <f>1 - (1-BQ80)^BQ32</f>
        <v>#DIV/0!</v>
      </c>
      <c r="BR81" s="13" t="e">
        <f>1 - (1-BR80)^BR32</f>
        <v>#DIV/0!</v>
      </c>
      <c r="BS81" s="44" t="e">
        <f>1 - (1-BS80)^BS32</f>
        <v>#DIV/0!</v>
      </c>
      <c r="BT81" s="44" t="e">
        <f>1 - (1-BT80)^BT32</f>
        <v>#DIV/0!</v>
      </c>
      <c r="BU81" s="14" t="e">
        <f>1 - (1-BU80)^BU32</f>
        <v>#DIV/0!</v>
      </c>
      <c r="BV81" s="13" t="e">
        <f>1 - (1-BV80)^BV32</f>
        <v>#DIV/0!</v>
      </c>
      <c r="BW81" s="44" t="e">
        <f>1 - (1-BW80)^BW32</f>
        <v>#DIV/0!</v>
      </c>
      <c r="BX81" s="44" t="e">
        <f>1 - (1-BX80)^BX32</f>
        <v>#DIV/0!</v>
      </c>
      <c r="BY81" s="14" t="e">
        <f>1 - (1-BY80)^BY32</f>
        <v>#DIV/0!</v>
      </c>
      <c r="BZ81" s="13" t="e">
        <f>1 - (1-BZ80)^BZ32</f>
        <v>#DIV/0!</v>
      </c>
      <c r="CA81" s="44" t="e">
        <f>1 - (1-CA80)^CA32</f>
        <v>#DIV/0!</v>
      </c>
      <c r="CB81" s="44" t="e">
        <f>1 - (1-CB80)^CB32</f>
        <v>#DIV/0!</v>
      </c>
      <c r="CC81" s="14" t="e">
        <f>1 - (1-CC80)^CC32</f>
        <v>#DIV/0!</v>
      </c>
      <c r="CD81" s="13" t="e">
        <f>1 - (1-CD80)^CD32</f>
        <v>#DIV/0!</v>
      </c>
      <c r="CE81" s="44" t="e">
        <f>1 - (1-CE80)^CE32</f>
        <v>#DIV/0!</v>
      </c>
      <c r="CF81" s="44" t="e">
        <f>1 - (1-CF80)^CF32</f>
        <v>#DIV/0!</v>
      </c>
      <c r="CG81" s="14" t="e">
        <f>1 - (1-CG80)^CG32</f>
        <v>#DIV/0!</v>
      </c>
      <c r="CH81" s="13" t="e">
        <f>1 - (1-CH80)^CH32</f>
        <v>#DIV/0!</v>
      </c>
      <c r="CI81" s="44" t="e">
        <f>1 - (1-CI80)^CI32</f>
        <v>#DIV/0!</v>
      </c>
      <c r="CJ81" s="44" t="e">
        <f>1 - (1-CJ80)^CJ32</f>
        <v>#DIV/0!</v>
      </c>
      <c r="CK81" s="14" t="e">
        <f>1 - (1-CK80)^CK32</f>
        <v>#DIV/0!</v>
      </c>
      <c r="CL81" s="49"/>
      <c r="CM81" s="28"/>
    </row>
    <row r="82" spans="2:91" ht="14.25" x14ac:dyDescent="0.25">
      <c r="B82" s="55"/>
      <c r="C82" s="10" t="s">
        <v>314</v>
      </c>
      <c r="D82" s="93" t="s">
        <v>504</v>
      </c>
      <c r="E82" s="125">
        <f>(1/E76)*(EXP(E76*E75)-E49*E75-1)/E81</f>
        <v>13.181788930697003</v>
      </c>
      <c r="F82" s="13">
        <f>(1/F76)*(EXP(F76*F75)-F49*F75-1)/F81</f>
        <v>18.382947299361174</v>
      </c>
      <c r="G82" s="44">
        <f>(1/G76)*(EXP(G76*G75)-G49*G75-1)/G81</f>
        <v>18.382947299361174</v>
      </c>
      <c r="H82" s="44">
        <f>(1/H76)*(EXP(H76*H75)-H49*H75-1)/H81</f>
        <v>176.63632104584042</v>
      </c>
      <c r="I82" s="14">
        <f>(1/I76)*(EXP(I76*I75)-I49*I75-1)/I81</f>
        <v>176.63632104584042</v>
      </c>
      <c r="J82" s="13" t="e">
        <f>(1/J76)*(EXP(J76*J75)-J49*J75-1)/J81</f>
        <v>#DIV/0!</v>
      </c>
      <c r="K82" s="44">
        <f>(1/K76)*(EXP(K76*K75)-K49*K75-1)/K81</f>
        <v>29.69303526742031</v>
      </c>
      <c r="L82" s="44">
        <f>(1/L76)*(EXP(L76*L75)-L49*L75-1)/L81</f>
        <v>-924.66375475944983</v>
      </c>
      <c r="M82" s="14" t="e">
        <f>(1/M76)*(EXP(M76*M75)-M49*M75-1)/M81</f>
        <v>#DIV/0!</v>
      </c>
      <c r="N82" s="13" t="e">
        <f>(1/N76)*(EXP(N76*N75)-N49*N75-1)/N81</f>
        <v>#DIV/0!</v>
      </c>
      <c r="O82" s="44" t="e">
        <f>(1/O76)*(EXP(O76*O75)-O49*O75-1)/O81</f>
        <v>#DIV/0!</v>
      </c>
      <c r="P82" s="44" t="e">
        <f>(1/P76)*(EXP(P76*P75)-P49*P75-1)/P81</f>
        <v>#DIV/0!</v>
      </c>
      <c r="Q82" s="14" t="e">
        <f>(1/Q76)*(EXP(Q76*Q75)-Q49*Q75-1)/Q81</f>
        <v>#DIV/0!</v>
      </c>
      <c r="R82" s="13" t="e">
        <f>(1/R76)*(EXP(R76*R75)-R49*R75-1)/R81</f>
        <v>#DIV/0!</v>
      </c>
      <c r="S82" s="44" t="e">
        <f>(1/S76)*(EXP(S76*S75)-S49*S75-1)/S81</f>
        <v>#DIV/0!</v>
      </c>
      <c r="T82" s="44" t="e">
        <f>(1/T76)*(EXP(T76*T75)-T49*T75-1)/T81</f>
        <v>#DIV/0!</v>
      </c>
      <c r="U82" s="14" t="e">
        <f>(1/U76)*(EXP(U76*U75)-U49*U75-1)/U81</f>
        <v>#DIV/0!</v>
      </c>
      <c r="V82" s="13" t="e">
        <f>(1/V76)*(EXP(V76*V75)-V49*V75-1)/V81</f>
        <v>#DIV/0!</v>
      </c>
      <c r="W82" s="44" t="e">
        <f>(1/W76)*(EXP(W76*W75)-W49*W75-1)/W81</f>
        <v>#DIV/0!</v>
      </c>
      <c r="X82" s="44" t="e">
        <f>(1/X76)*(EXP(X76*X75)-X49*X75-1)/X81</f>
        <v>#DIV/0!</v>
      </c>
      <c r="Y82" s="14" t="e">
        <f>(1/Y76)*(EXP(Y76*Y75)-Y49*Y75-1)/Y81</f>
        <v>#DIV/0!</v>
      </c>
      <c r="Z82" s="13" t="e">
        <f>(1/Z76)*(EXP(Z76*Z75)-Z49*Z75-1)/Z81</f>
        <v>#DIV/0!</v>
      </c>
      <c r="AA82" s="44" t="e">
        <f>(1/AA76)*(EXP(AA76*AA75)-AA49*AA75-1)/AA81</f>
        <v>#DIV/0!</v>
      </c>
      <c r="AB82" s="44" t="e">
        <f>(1/AB76)*(EXP(AB76*AB75)-AB49*AB75-1)/AB81</f>
        <v>#DIV/0!</v>
      </c>
      <c r="AC82" s="14" t="e">
        <f>(1/AC76)*(EXP(AC76*AC75)-AC49*AC75-1)/AC81</f>
        <v>#DIV/0!</v>
      </c>
      <c r="AD82" s="13" t="e">
        <f>(1/AD76)*(EXP(AD76*AD75)-AD49*AD75-1)/AD81</f>
        <v>#DIV/0!</v>
      </c>
      <c r="AE82" s="44" t="e">
        <f>(1/AE76)*(EXP(AE76*AE75)-AE49*AE75-1)/AE81</f>
        <v>#DIV/0!</v>
      </c>
      <c r="AF82" s="44" t="e">
        <f>(1/AF76)*(EXP(AF76*AF75)-AF49*AF75-1)/AF81</f>
        <v>#DIV/0!</v>
      </c>
      <c r="AG82" s="14" t="e">
        <f>(1/AG76)*(EXP(AG76*AG75)-AG49*AG75-1)/AG81</f>
        <v>#DIV/0!</v>
      </c>
      <c r="AH82" s="13" t="e">
        <f>(1/AH76)*(EXP(AH76*AH75)-AH49*AH75-1)/AH81</f>
        <v>#DIV/0!</v>
      </c>
      <c r="AI82" s="44" t="e">
        <f>(1/AI76)*(EXP(AI76*AI75)-AI49*AI75-1)/AI81</f>
        <v>#DIV/0!</v>
      </c>
      <c r="AJ82" s="44" t="e">
        <f>(1/AJ76)*(EXP(AJ76*AJ75)-AJ49*AJ75-1)/AJ81</f>
        <v>#DIV/0!</v>
      </c>
      <c r="AK82" s="14" t="e">
        <f>(1/AK76)*(EXP(AK76*AK75)-AK49*AK75-1)/AK81</f>
        <v>#DIV/0!</v>
      </c>
      <c r="AL82" s="13" t="e">
        <f>(1/AL76)*(EXP(AL76*AL75)-AL49*AL75-1)/AL81</f>
        <v>#DIV/0!</v>
      </c>
      <c r="AM82" s="44" t="e">
        <f>(1/AM76)*(EXP(AM76*AM75)-AM49*AM75-1)/AM81</f>
        <v>#DIV/0!</v>
      </c>
      <c r="AN82" s="44" t="e">
        <f>(1/AN76)*(EXP(AN76*AN75)-AN49*AN75-1)/AN81</f>
        <v>#DIV/0!</v>
      </c>
      <c r="AO82" s="14" t="e">
        <f>(1/AO76)*(EXP(AO76*AO75)-AO49*AO75-1)/AO81</f>
        <v>#DIV/0!</v>
      </c>
      <c r="AP82" s="13" t="e">
        <f>(1/AP76)*(EXP(AP76*AP75)-AP49*AP75-1)/AP81</f>
        <v>#DIV/0!</v>
      </c>
      <c r="AQ82" s="44" t="e">
        <f>(1/AQ76)*(EXP(AQ76*AQ75)-AQ49*AQ75-1)/AQ81</f>
        <v>#DIV/0!</v>
      </c>
      <c r="AR82" s="44" t="e">
        <f>(1/AR76)*(EXP(AR76*AR75)-AR49*AR75-1)/AR81</f>
        <v>#DIV/0!</v>
      </c>
      <c r="AS82" s="14" t="e">
        <f>(1/AS76)*(EXP(AS76*AS75)-AS49*AS75-1)/AS81</f>
        <v>#DIV/0!</v>
      </c>
      <c r="AT82" s="13" t="e">
        <f>(1/AT76)*(EXP(AT76*AT75)-AT49*AT75-1)/AT81</f>
        <v>#DIV/0!</v>
      </c>
      <c r="AU82" s="44" t="e">
        <f>(1/AU76)*(EXP(AU76*AU75)-AU49*AU75-1)/AU81</f>
        <v>#DIV/0!</v>
      </c>
      <c r="AV82" s="44" t="e">
        <f>(1/AV76)*(EXP(AV76*AV75)-AV49*AV75-1)/AV81</f>
        <v>#DIV/0!</v>
      </c>
      <c r="AW82" s="14" t="e">
        <f>(1/AW76)*(EXP(AW76*AW75)-AW49*AW75-1)/AW81</f>
        <v>#DIV/0!</v>
      </c>
      <c r="AX82" s="13" t="e">
        <f>(1/AX76)*(EXP(AX76*AX75)-AX49*AX75-1)/AX81</f>
        <v>#DIV/0!</v>
      </c>
      <c r="AY82" s="44" t="e">
        <f>(1/AY76)*(EXP(AY76*AY75)-AY49*AY75-1)/AY81</f>
        <v>#DIV/0!</v>
      </c>
      <c r="AZ82" s="44" t="e">
        <f>(1/AZ76)*(EXP(AZ76*AZ75)-AZ49*AZ75-1)/AZ81</f>
        <v>#DIV/0!</v>
      </c>
      <c r="BA82" s="14" t="e">
        <f>(1/BA76)*(EXP(BA76*BA75)-BA49*BA75-1)/BA81</f>
        <v>#DIV/0!</v>
      </c>
      <c r="BB82" s="13" t="e">
        <f>(1/BB76)*(EXP(BB76*BB75)-BB49*BB75-1)/BB81</f>
        <v>#DIV/0!</v>
      </c>
      <c r="BC82" s="44" t="e">
        <f>(1/BC76)*(EXP(BC76*BC75)-BC49*BC75-1)/BC81</f>
        <v>#DIV/0!</v>
      </c>
      <c r="BD82" s="44" t="e">
        <f>(1/BD76)*(EXP(BD76*BD75)-BD49*BD75-1)/BD81</f>
        <v>#DIV/0!</v>
      </c>
      <c r="BE82" s="14" t="e">
        <f>(1/BE76)*(EXP(BE76*BE75)-BE49*BE75-1)/BE81</f>
        <v>#DIV/0!</v>
      </c>
      <c r="BF82" s="13" t="e">
        <f>(1/BF76)*(EXP(BF76*BF75)-BF49*BF75-1)/BF81</f>
        <v>#DIV/0!</v>
      </c>
      <c r="BG82" s="44" t="e">
        <f>(1/BG76)*(EXP(BG76*BG75)-BG49*BG75-1)/BG81</f>
        <v>#DIV/0!</v>
      </c>
      <c r="BH82" s="44" t="e">
        <f>(1/BH76)*(EXP(BH76*BH75)-BH49*BH75-1)/BH81</f>
        <v>#DIV/0!</v>
      </c>
      <c r="BI82" s="14" t="e">
        <f>(1/BI76)*(EXP(BI76*BI75)-BI49*BI75-1)/BI81</f>
        <v>#DIV/0!</v>
      </c>
      <c r="BJ82" s="13" t="e">
        <f>(1/BJ76)*(EXP(BJ76*BJ75)-BJ49*BJ75-1)/BJ81</f>
        <v>#DIV/0!</v>
      </c>
      <c r="BK82" s="44" t="e">
        <f>(1/BK76)*(EXP(BK76*BK75)-BK49*BK75-1)/BK81</f>
        <v>#DIV/0!</v>
      </c>
      <c r="BL82" s="44" t="e">
        <f>(1/BL76)*(EXP(BL76*BL75)-BL49*BL75-1)/BL81</f>
        <v>#DIV/0!</v>
      </c>
      <c r="BM82" s="14" t="e">
        <f>(1/BM76)*(EXP(BM76*BM75)-BM49*BM75-1)/BM81</f>
        <v>#DIV/0!</v>
      </c>
      <c r="BN82" s="13" t="e">
        <f>(1/BN76)*(EXP(BN76*BN75)-BN49*BN75-1)/BN81</f>
        <v>#DIV/0!</v>
      </c>
      <c r="BO82" s="44" t="e">
        <f>(1/BO76)*(EXP(BO76*BO75)-BO49*BO75-1)/BO81</f>
        <v>#DIV/0!</v>
      </c>
      <c r="BP82" s="44" t="e">
        <f>(1/BP76)*(EXP(BP76*BP75)-BP49*BP75-1)/BP81</f>
        <v>#DIV/0!</v>
      </c>
      <c r="BQ82" s="14" t="e">
        <f>(1/BQ76)*(EXP(BQ76*BQ75)-BQ49*BQ75-1)/BQ81</f>
        <v>#DIV/0!</v>
      </c>
      <c r="BR82" s="13" t="e">
        <f>(1/BR76)*(EXP(BR76*BR75)-BR49*BR75-1)/BR81</f>
        <v>#DIV/0!</v>
      </c>
      <c r="BS82" s="44" t="e">
        <f>(1/BS76)*(EXP(BS76*BS75)-BS49*BS75-1)/BS81</f>
        <v>#DIV/0!</v>
      </c>
      <c r="BT82" s="44" t="e">
        <f>(1/BT76)*(EXP(BT76*BT75)-BT49*BT75-1)/BT81</f>
        <v>#DIV/0!</v>
      </c>
      <c r="BU82" s="14" t="e">
        <f>(1/BU76)*(EXP(BU76*BU75)-BU49*BU75-1)/BU81</f>
        <v>#DIV/0!</v>
      </c>
      <c r="BV82" s="13" t="e">
        <f>(1/BV76)*(EXP(BV76*BV75)-BV49*BV75-1)/BV81</f>
        <v>#DIV/0!</v>
      </c>
      <c r="BW82" s="44" t="e">
        <f>(1/BW76)*(EXP(BW76*BW75)-BW49*BW75-1)/BW81</f>
        <v>#DIV/0!</v>
      </c>
      <c r="BX82" s="44" t="e">
        <f>(1/BX76)*(EXP(BX76*BX75)-BX49*BX75-1)/BX81</f>
        <v>#DIV/0!</v>
      </c>
      <c r="BY82" s="14" t="e">
        <f>(1/BY76)*(EXP(BY76*BY75)-BY49*BY75-1)/BY81</f>
        <v>#DIV/0!</v>
      </c>
      <c r="BZ82" s="13" t="e">
        <f>(1/BZ76)*(EXP(BZ76*BZ75)-BZ49*BZ75-1)/BZ81</f>
        <v>#DIV/0!</v>
      </c>
      <c r="CA82" s="44" t="e">
        <f>(1/CA76)*(EXP(CA76*CA75)-CA49*CA75-1)/CA81</f>
        <v>#DIV/0!</v>
      </c>
      <c r="CB82" s="44" t="e">
        <f>(1/CB76)*(EXP(CB76*CB75)-CB49*CB75-1)/CB81</f>
        <v>#DIV/0!</v>
      </c>
      <c r="CC82" s="14" t="e">
        <f>(1/CC76)*(EXP(CC76*CC75)-CC49*CC75-1)/CC81</f>
        <v>#DIV/0!</v>
      </c>
      <c r="CD82" s="13" t="e">
        <f>(1/CD76)*(EXP(CD76*CD75)-CD49*CD75-1)/CD81</f>
        <v>#DIV/0!</v>
      </c>
      <c r="CE82" s="44" t="e">
        <f>(1/CE76)*(EXP(CE76*CE75)-CE49*CE75-1)/CE81</f>
        <v>#DIV/0!</v>
      </c>
      <c r="CF82" s="44" t="e">
        <f>(1/CF76)*(EXP(CF76*CF75)-CF49*CF75-1)/CF81</f>
        <v>#DIV/0!</v>
      </c>
      <c r="CG82" s="14" t="e">
        <f>(1/CG76)*(EXP(CG76*CG75)-CG49*CG75-1)/CG81</f>
        <v>#DIV/0!</v>
      </c>
      <c r="CH82" s="13" t="e">
        <f>(1/CH76)*(EXP(CH76*CH75)-CH49*CH75-1)/CH81</f>
        <v>#DIV/0!</v>
      </c>
      <c r="CI82" s="44" t="e">
        <f>(1/CI76)*(EXP(CI76*CI75)-CI49*CI75-1)/CI81</f>
        <v>#DIV/0!</v>
      </c>
      <c r="CJ82" s="44" t="e">
        <f>(1/CJ76)*(EXP(CJ76*CJ75)-CJ49*CJ75-1)/CJ81</f>
        <v>#DIV/0!</v>
      </c>
      <c r="CK82" s="14" t="e">
        <f>(1/CK76)*(EXP(CK76*CK75)-CK49*CK75-1)/CK81</f>
        <v>#DIV/0!</v>
      </c>
      <c r="CL82" s="49"/>
      <c r="CM82" s="28"/>
    </row>
    <row r="83" spans="2:91" x14ac:dyDescent="0.25">
      <c r="B83" s="55"/>
      <c r="C83" s="10" t="s">
        <v>295</v>
      </c>
      <c r="D83" s="93" t="s">
        <v>505</v>
      </c>
      <c r="E83" s="125">
        <f>((1/E76) - (E90+(1/E76))*EXP(-E76*E90))/(1-EXP(-E76*E90))</f>
        <v>3.2505891296289562</v>
      </c>
      <c r="F83" s="13">
        <f>((1/F76) - (F90+(1/F76))*EXP(-F76*F90))/(1-EXP(-F76*F90))</f>
        <v>3.1182727108215347</v>
      </c>
      <c r="G83" s="44">
        <f>((1/G76) - (G90+(1/G76))*EXP(-G76*G90))/(1-EXP(-G76*G90))</f>
        <v>3.1182727108215347</v>
      </c>
      <c r="H83" s="44">
        <f>((1/H76) - (H90+(1/H76))*EXP(-H76*H90))/(1-EXP(-H76*H90))</f>
        <v>2.1168232084139964</v>
      </c>
      <c r="I83" s="14">
        <f>((1/I76) - (I90+(1/I76))*EXP(-I76*I90))/(1-EXP(-I76*I90))</f>
        <v>2.1168232084139964</v>
      </c>
      <c r="J83" s="13" t="e">
        <f>((1/J76) - (J90+(1/J76))*EXP(-J76*J90))/(1-EXP(-J76*J90))</f>
        <v>#DIV/0!</v>
      </c>
      <c r="K83" s="44">
        <f>((1/K76) - (K90+(1/K76))*EXP(-K76*K90))/(1-EXP(-K76*K90))</f>
        <v>2.4105092269649275</v>
      </c>
      <c r="L83" s="44">
        <f>((1/L76) - (L90+(1/L76))*EXP(-L76*L90))/(1-EXP(-L76*L90))</f>
        <v>4.2058650438827412</v>
      </c>
      <c r="M83" s="14" t="e">
        <f>((1/M76) - (M90+(1/M76))*EXP(-M76*M90))/(1-EXP(-M76*M90))</f>
        <v>#DIV/0!</v>
      </c>
      <c r="N83" s="13" t="e">
        <f>((1/N76) - (N90+(1/N76))*EXP(-N76*N90))/(1-EXP(-N76*N90))</f>
        <v>#DIV/0!</v>
      </c>
      <c r="O83" s="44" t="e">
        <f>((1/O76) - (O90+(1/O76))*EXP(-O76*O90))/(1-EXP(-O76*O90))</f>
        <v>#DIV/0!</v>
      </c>
      <c r="P83" s="44" t="e">
        <f>((1/P76) - (P90+(1/P76))*EXP(-P76*P90))/(1-EXP(-P76*P90))</f>
        <v>#DIV/0!</v>
      </c>
      <c r="Q83" s="14" t="e">
        <f>((1/Q76) - (Q90+(1/Q76))*EXP(-Q76*Q90))/(1-EXP(-Q76*Q90))</f>
        <v>#DIV/0!</v>
      </c>
      <c r="R83" s="13" t="e">
        <f>((1/R76) - (R90+(1/R76))*EXP(-R76*R90))/(1-EXP(-R76*R90))</f>
        <v>#DIV/0!</v>
      </c>
      <c r="S83" s="44" t="e">
        <f>((1/S76) - (S90+(1/S76))*EXP(-S76*S90))/(1-EXP(-S76*S90))</f>
        <v>#DIV/0!</v>
      </c>
      <c r="T83" s="44" t="e">
        <f>((1/T76) - (T90+(1/T76))*EXP(-T76*T90))/(1-EXP(-T76*T90))</f>
        <v>#DIV/0!</v>
      </c>
      <c r="U83" s="14" t="e">
        <f>((1/U76) - (U90+(1/U76))*EXP(-U76*U90))/(1-EXP(-U76*U90))</f>
        <v>#DIV/0!</v>
      </c>
      <c r="V83" s="13" t="e">
        <f>((1/V76) - (V90+(1/V76))*EXP(-V76*V90))/(1-EXP(-V76*V90))</f>
        <v>#DIV/0!</v>
      </c>
      <c r="W83" s="44" t="e">
        <f>((1/W76) - (W90+(1/W76))*EXP(-W76*W90))/(1-EXP(-W76*W90))</f>
        <v>#DIV/0!</v>
      </c>
      <c r="X83" s="44" t="e">
        <f>((1/X76) - (X90+(1/X76))*EXP(-X76*X90))/(1-EXP(-X76*X90))</f>
        <v>#DIV/0!</v>
      </c>
      <c r="Y83" s="14" t="e">
        <f>((1/Y76) - (Y90+(1/Y76))*EXP(-Y76*Y90))/(1-EXP(-Y76*Y90))</f>
        <v>#DIV/0!</v>
      </c>
      <c r="Z83" s="13" t="e">
        <f>((1/Z76) - (Z90+(1/Z76))*EXP(-Z76*Z90))/(1-EXP(-Z76*Z90))</f>
        <v>#DIV/0!</v>
      </c>
      <c r="AA83" s="44" t="e">
        <f>((1/AA76) - (AA90+(1/AA76))*EXP(-AA76*AA90))/(1-EXP(-AA76*AA90))</f>
        <v>#DIV/0!</v>
      </c>
      <c r="AB83" s="44" t="e">
        <f>((1/AB76) - (AB90+(1/AB76))*EXP(-AB76*AB90))/(1-EXP(-AB76*AB90))</f>
        <v>#DIV/0!</v>
      </c>
      <c r="AC83" s="14" t="e">
        <f>((1/AC76) - (AC90+(1/AC76))*EXP(-AC76*AC90))/(1-EXP(-AC76*AC90))</f>
        <v>#DIV/0!</v>
      </c>
      <c r="AD83" s="13" t="e">
        <f>((1/AD76) - (AD90+(1/AD76))*EXP(-AD76*AD90))/(1-EXP(-AD76*AD90))</f>
        <v>#DIV/0!</v>
      </c>
      <c r="AE83" s="44" t="e">
        <f>((1/AE76) - (AE90+(1/AE76))*EXP(-AE76*AE90))/(1-EXP(-AE76*AE90))</f>
        <v>#DIV/0!</v>
      </c>
      <c r="AF83" s="44" t="e">
        <f>((1/AF76) - (AF90+(1/AF76))*EXP(-AF76*AF90))/(1-EXP(-AF76*AF90))</f>
        <v>#DIV/0!</v>
      </c>
      <c r="AG83" s="14" t="e">
        <f>((1/AG76) - (AG90+(1/AG76))*EXP(-AG76*AG90))/(1-EXP(-AG76*AG90))</f>
        <v>#DIV/0!</v>
      </c>
      <c r="AH83" s="13" t="e">
        <f>((1/AH76) - (AH90+(1/AH76))*EXP(-AH76*AH90))/(1-EXP(-AH76*AH90))</f>
        <v>#DIV/0!</v>
      </c>
      <c r="AI83" s="44" t="e">
        <f>((1/AI76) - (AI90+(1/AI76))*EXP(-AI76*AI90))/(1-EXP(-AI76*AI90))</f>
        <v>#DIV/0!</v>
      </c>
      <c r="AJ83" s="44" t="e">
        <f>((1/AJ76) - (AJ90+(1/AJ76))*EXP(-AJ76*AJ90))/(1-EXP(-AJ76*AJ90))</f>
        <v>#DIV/0!</v>
      </c>
      <c r="AK83" s="14" t="e">
        <f>((1/AK76) - (AK90+(1/AK76))*EXP(-AK76*AK90))/(1-EXP(-AK76*AK90))</f>
        <v>#DIV/0!</v>
      </c>
      <c r="AL83" s="13" t="e">
        <f>((1/AL76) - (AL90+(1/AL76))*EXP(-AL76*AL90))/(1-EXP(-AL76*AL90))</f>
        <v>#DIV/0!</v>
      </c>
      <c r="AM83" s="44" t="e">
        <f>((1/AM76) - (AM90+(1/AM76))*EXP(-AM76*AM90))/(1-EXP(-AM76*AM90))</f>
        <v>#DIV/0!</v>
      </c>
      <c r="AN83" s="44" t="e">
        <f>((1/AN76) - (AN90+(1/AN76))*EXP(-AN76*AN90))/(1-EXP(-AN76*AN90))</f>
        <v>#DIV/0!</v>
      </c>
      <c r="AO83" s="14" t="e">
        <f>((1/AO76) - (AO90+(1/AO76))*EXP(-AO76*AO90))/(1-EXP(-AO76*AO90))</f>
        <v>#DIV/0!</v>
      </c>
      <c r="AP83" s="13" t="e">
        <f>((1/AP76) - (AP90+(1/AP76))*EXP(-AP76*AP90))/(1-EXP(-AP76*AP90))</f>
        <v>#DIV/0!</v>
      </c>
      <c r="AQ83" s="44" t="e">
        <f>((1/AQ76) - (AQ90+(1/AQ76))*EXP(-AQ76*AQ90))/(1-EXP(-AQ76*AQ90))</f>
        <v>#DIV/0!</v>
      </c>
      <c r="AR83" s="44" t="e">
        <f>((1/AR76) - (AR90+(1/AR76))*EXP(-AR76*AR90))/(1-EXP(-AR76*AR90))</f>
        <v>#DIV/0!</v>
      </c>
      <c r="AS83" s="14" t="e">
        <f>((1/AS76) - (AS90+(1/AS76))*EXP(-AS76*AS90))/(1-EXP(-AS76*AS90))</f>
        <v>#DIV/0!</v>
      </c>
      <c r="AT83" s="13" t="e">
        <f>((1/AT76) - (AT90+(1/AT76))*EXP(-AT76*AT90))/(1-EXP(-AT76*AT90))</f>
        <v>#DIV/0!</v>
      </c>
      <c r="AU83" s="44" t="e">
        <f>((1/AU76) - (AU90+(1/AU76))*EXP(-AU76*AU90))/(1-EXP(-AU76*AU90))</f>
        <v>#DIV/0!</v>
      </c>
      <c r="AV83" s="44" t="e">
        <f>((1/AV76) - (AV90+(1/AV76))*EXP(-AV76*AV90))/(1-EXP(-AV76*AV90))</f>
        <v>#DIV/0!</v>
      </c>
      <c r="AW83" s="14" t="e">
        <f>((1/AW76) - (AW90+(1/AW76))*EXP(-AW76*AW90))/(1-EXP(-AW76*AW90))</f>
        <v>#DIV/0!</v>
      </c>
      <c r="AX83" s="13" t="e">
        <f>((1/AX76) - (AX90+(1/AX76))*EXP(-AX76*AX90))/(1-EXP(-AX76*AX90))</f>
        <v>#DIV/0!</v>
      </c>
      <c r="AY83" s="44" t="e">
        <f>((1/AY76) - (AY90+(1/AY76))*EXP(-AY76*AY90))/(1-EXP(-AY76*AY90))</f>
        <v>#DIV/0!</v>
      </c>
      <c r="AZ83" s="44" t="e">
        <f>((1/AZ76) - (AZ90+(1/AZ76))*EXP(-AZ76*AZ90))/(1-EXP(-AZ76*AZ90))</f>
        <v>#DIV/0!</v>
      </c>
      <c r="BA83" s="14" t="e">
        <f>((1/BA76) - (BA90+(1/BA76))*EXP(-BA76*BA90))/(1-EXP(-BA76*BA90))</f>
        <v>#DIV/0!</v>
      </c>
      <c r="BB83" s="13" t="e">
        <f>((1/BB76) - (BB90+(1/BB76))*EXP(-BB76*BB90))/(1-EXP(-BB76*BB90))</f>
        <v>#DIV/0!</v>
      </c>
      <c r="BC83" s="44" t="e">
        <f>((1/BC76) - (BC90+(1/BC76))*EXP(-BC76*BC90))/(1-EXP(-BC76*BC90))</f>
        <v>#DIV/0!</v>
      </c>
      <c r="BD83" s="44" t="e">
        <f>((1/BD76) - (BD90+(1/BD76))*EXP(-BD76*BD90))/(1-EXP(-BD76*BD90))</f>
        <v>#DIV/0!</v>
      </c>
      <c r="BE83" s="14" t="e">
        <f>((1/BE76) - (BE90+(1/BE76))*EXP(-BE76*BE90))/(1-EXP(-BE76*BE90))</f>
        <v>#DIV/0!</v>
      </c>
      <c r="BF83" s="13" t="e">
        <f>((1/BF76) - (BF90+(1/BF76))*EXP(-BF76*BF90))/(1-EXP(-BF76*BF90))</f>
        <v>#DIV/0!</v>
      </c>
      <c r="BG83" s="44" t="e">
        <f>((1/BG76) - (BG90+(1/BG76))*EXP(-BG76*BG90))/(1-EXP(-BG76*BG90))</f>
        <v>#DIV/0!</v>
      </c>
      <c r="BH83" s="44" t="e">
        <f>((1/BH76) - (BH90+(1/BH76))*EXP(-BH76*BH90))/(1-EXP(-BH76*BH90))</f>
        <v>#DIV/0!</v>
      </c>
      <c r="BI83" s="14" t="e">
        <f>((1/BI76) - (BI90+(1/BI76))*EXP(-BI76*BI90))/(1-EXP(-BI76*BI90))</f>
        <v>#DIV/0!</v>
      </c>
      <c r="BJ83" s="13" t="e">
        <f>((1/BJ76) - (BJ90+(1/BJ76))*EXP(-BJ76*BJ90))/(1-EXP(-BJ76*BJ90))</f>
        <v>#DIV/0!</v>
      </c>
      <c r="BK83" s="44" t="e">
        <f>((1/BK76) - (BK90+(1/BK76))*EXP(-BK76*BK90))/(1-EXP(-BK76*BK90))</f>
        <v>#DIV/0!</v>
      </c>
      <c r="BL83" s="44" t="e">
        <f>((1/BL76) - (BL90+(1/BL76))*EXP(-BL76*BL90))/(1-EXP(-BL76*BL90))</f>
        <v>#DIV/0!</v>
      </c>
      <c r="BM83" s="14" t="e">
        <f>((1/BM76) - (BM90+(1/BM76))*EXP(-BM76*BM90))/(1-EXP(-BM76*BM90))</f>
        <v>#DIV/0!</v>
      </c>
      <c r="BN83" s="13" t="e">
        <f>((1/BN76) - (BN90+(1/BN76))*EXP(-BN76*BN90))/(1-EXP(-BN76*BN90))</f>
        <v>#DIV/0!</v>
      </c>
      <c r="BO83" s="44" t="e">
        <f>((1/BO76) - (BO90+(1/BO76))*EXP(-BO76*BO90))/(1-EXP(-BO76*BO90))</f>
        <v>#DIV/0!</v>
      </c>
      <c r="BP83" s="44" t="e">
        <f>((1/BP76) - (BP90+(1/BP76))*EXP(-BP76*BP90))/(1-EXP(-BP76*BP90))</f>
        <v>#DIV/0!</v>
      </c>
      <c r="BQ83" s="14" t="e">
        <f>((1/BQ76) - (BQ90+(1/BQ76))*EXP(-BQ76*BQ90))/(1-EXP(-BQ76*BQ90))</f>
        <v>#DIV/0!</v>
      </c>
      <c r="BR83" s="13" t="e">
        <f>((1/BR76) - (BR90+(1/BR76))*EXP(-BR76*BR90))/(1-EXP(-BR76*BR90))</f>
        <v>#DIV/0!</v>
      </c>
      <c r="BS83" s="44" t="e">
        <f>((1/BS76) - (BS90+(1/BS76))*EXP(-BS76*BS90))/(1-EXP(-BS76*BS90))</f>
        <v>#DIV/0!</v>
      </c>
      <c r="BT83" s="44" t="e">
        <f>((1/BT76) - (BT90+(1/BT76))*EXP(-BT76*BT90))/(1-EXP(-BT76*BT90))</f>
        <v>#DIV/0!</v>
      </c>
      <c r="BU83" s="14" t="e">
        <f>((1/BU76) - (BU90+(1/BU76))*EXP(-BU76*BU90))/(1-EXP(-BU76*BU90))</f>
        <v>#DIV/0!</v>
      </c>
      <c r="BV83" s="13" t="e">
        <f>((1/BV76) - (BV90+(1/BV76))*EXP(-BV76*BV90))/(1-EXP(-BV76*BV90))</f>
        <v>#DIV/0!</v>
      </c>
      <c r="BW83" s="44" t="e">
        <f>((1/BW76) - (BW90+(1/BW76))*EXP(-BW76*BW90))/(1-EXP(-BW76*BW90))</f>
        <v>#DIV/0!</v>
      </c>
      <c r="BX83" s="44" t="e">
        <f>((1/BX76) - (BX90+(1/BX76))*EXP(-BX76*BX90))/(1-EXP(-BX76*BX90))</f>
        <v>#DIV/0!</v>
      </c>
      <c r="BY83" s="14" t="e">
        <f>((1/BY76) - (BY90+(1/BY76))*EXP(-BY76*BY90))/(1-EXP(-BY76*BY90))</f>
        <v>#DIV/0!</v>
      </c>
      <c r="BZ83" s="13" t="e">
        <f>((1/BZ76) - (BZ90+(1/BZ76))*EXP(-BZ76*BZ90))/(1-EXP(-BZ76*BZ90))</f>
        <v>#DIV/0!</v>
      </c>
      <c r="CA83" s="44" t="e">
        <f>((1/CA76) - (CA90+(1/CA76))*EXP(-CA76*CA90))/(1-EXP(-CA76*CA90))</f>
        <v>#DIV/0!</v>
      </c>
      <c r="CB83" s="44" t="e">
        <f>((1/CB76) - (CB90+(1/CB76))*EXP(-CB76*CB90))/(1-EXP(-CB76*CB90))</f>
        <v>#DIV/0!</v>
      </c>
      <c r="CC83" s="14" t="e">
        <f>((1/CC76) - (CC90+(1/CC76))*EXP(-CC76*CC90))/(1-EXP(-CC76*CC90))</f>
        <v>#DIV/0!</v>
      </c>
      <c r="CD83" s="13" t="e">
        <f>((1/CD76) - (CD90+(1/CD76))*EXP(-CD76*CD90))/(1-EXP(-CD76*CD90))</f>
        <v>#DIV/0!</v>
      </c>
      <c r="CE83" s="44" t="e">
        <f>((1/CE76) - (CE90+(1/CE76))*EXP(-CE76*CE90))/(1-EXP(-CE76*CE90))</f>
        <v>#DIV/0!</v>
      </c>
      <c r="CF83" s="44" t="e">
        <f>((1/CF76) - (CF90+(1/CF76))*EXP(-CF76*CF90))/(1-EXP(-CF76*CF90))</f>
        <v>#DIV/0!</v>
      </c>
      <c r="CG83" s="14" t="e">
        <f>((1/CG76) - (CG90+(1/CG76))*EXP(-CG76*CG90))/(1-EXP(-CG76*CG90))</f>
        <v>#DIV/0!</v>
      </c>
      <c r="CH83" s="13" t="e">
        <f>((1/CH76) - (CH90+(1/CH76))*EXP(-CH76*CH90))/(1-EXP(-CH76*CH90))</f>
        <v>#DIV/0!</v>
      </c>
      <c r="CI83" s="44" t="e">
        <f>((1/CI76) - (CI90+(1/CI76))*EXP(-CI76*CI90))/(1-EXP(-CI76*CI90))</f>
        <v>#DIV/0!</v>
      </c>
      <c r="CJ83" s="44" t="e">
        <f>((1/CJ76) - (CJ90+(1/CJ76))*EXP(-CJ76*CJ90))/(1-EXP(-CJ76*CJ90))</f>
        <v>#DIV/0!</v>
      </c>
      <c r="CK83" s="14" t="e">
        <f>((1/CK76) - (CK90+(1/CK76))*EXP(-CK76*CK90))/(1-EXP(-CK76*CK90))</f>
        <v>#DIV/0!</v>
      </c>
      <c r="CL83" s="49"/>
      <c r="CM83" s="28"/>
    </row>
    <row r="84" spans="2:91" x14ac:dyDescent="0.25">
      <c r="B84" s="55"/>
      <c r="C84" s="10" t="s">
        <v>294</v>
      </c>
      <c r="D84" s="93" t="s">
        <v>304</v>
      </c>
      <c r="E84" s="125">
        <f>ROUND(1/EXP(-E76*E79),0)</f>
        <v>4</v>
      </c>
      <c r="F84" s="13">
        <f>ROUND(1/EXP(-F76*F79),0)</f>
        <v>9</v>
      </c>
      <c r="G84" s="44">
        <f>ROUND(1/EXP(-G76*G79),0)</f>
        <v>9</v>
      </c>
      <c r="H84" s="44">
        <f>ROUND(1/EXP(-H76*H79),0)</f>
        <v>78</v>
      </c>
      <c r="I84" s="14">
        <f>ROUND(1/EXP(-I76*I79),0)</f>
        <v>78</v>
      </c>
      <c r="J84" s="13" t="e">
        <f>ROUND(1/EXP(-J76*J79),0)</f>
        <v>#DIV/0!</v>
      </c>
      <c r="K84" s="44">
        <f>ROUND(1/EXP(-K76*K79),0)</f>
        <v>7</v>
      </c>
      <c r="L84" s="44">
        <f>ROUND(1/EXP(-L76*L79),0)</f>
        <v>1</v>
      </c>
      <c r="M84" s="14">
        <f>ROUND(1/EXP(-M76*M79),0)</f>
        <v>1</v>
      </c>
      <c r="N84" s="13" t="e">
        <f>ROUND(1/EXP(-N76*N79),0)</f>
        <v>#DIV/0!</v>
      </c>
      <c r="O84" s="44" t="e">
        <f>ROUND(1/EXP(-O76*O79),0)</f>
        <v>#DIV/0!</v>
      </c>
      <c r="P84" s="44" t="e">
        <f>ROUND(1/EXP(-P76*P79),0)</f>
        <v>#DIV/0!</v>
      </c>
      <c r="Q84" s="14" t="e">
        <f>ROUND(1/EXP(-Q76*Q79),0)</f>
        <v>#DIV/0!</v>
      </c>
      <c r="R84" s="13" t="e">
        <f>ROUND(1/EXP(-R76*R79),0)</f>
        <v>#DIV/0!</v>
      </c>
      <c r="S84" s="44" t="e">
        <f>ROUND(1/EXP(-S76*S79),0)</f>
        <v>#DIV/0!</v>
      </c>
      <c r="T84" s="44" t="e">
        <f>ROUND(1/EXP(-T76*T79),0)</f>
        <v>#DIV/0!</v>
      </c>
      <c r="U84" s="14" t="e">
        <f>ROUND(1/EXP(-U76*U79),0)</f>
        <v>#DIV/0!</v>
      </c>
      <c r="V84" s="13" t="e">
        <f>ROUND(1/EXP(-V76*V79),0)</f>
        <v>#DIV/0!</v>
      </c>
      <c r="W84" s="44" t="e">
        <f>ROUND(1/EXP(-W76*W79),0)</f>
        <v>#DIV/0!</v>
      </c>
      <c r="X84" s="44" t="e">
        <f>ROUND(1/EXP(-X76*X79),0)</f>
        <v>#DIV/0!</v>
      </c>
      <c r="Y84" s="14" t="e">
        <f>ROUND(1/EXP(-Y76*Y79),0)</f>
        <v>#DIV/0!</v>
      </c>
      <c r="Z84" s="13" t="e">
        <f>ROUND(1/EXP(-Z76*Z79),0)</f>
        <v>#DIV/0!</v>
      </c>
      <c r="AA84" s="44" t="e">
        <f>ROUND(1/EXP(-AA76*AA79),0)</f>
        <v>#DIV/0!</v>
      </c>
      <c r="AB84" s="44" t="e">
        <f>ROUND(1/EXP(-AB76*AB79),0)</f>
        <v>#DIV/0!</v>
      </c>
      <c r="AC84" s="14" t="e">
        <f>ROUND(1/EXP(-AC76*AC79),0)</f>
        <v>#DIV/0!</v>
      </c>
      <c r="AD84" s="13" t="e">
        <f>ROUND(1/EXP(-AD76*AD79),0)</f>
        <v>#DIV/0!</v>
      </c>
      <c r="AE84" s="44" t="e">
        <f>ROUND(1/EXP(-AE76*AE79),0)</f>
        <v>#DIV/0!</v>
      </c>
      <c r="AF84" s="44" t="e">
        <f>ROUND(1/EXP(-AF76*AF79),0)</f>
        <v>#DIV/0!</v>
      </c>
      <c r="AG84" s="14" t="e">
        <f>ROUND(1/EXP(-AG76*AG79),0)</f>
        <v>#DIV/0!</v>
      </c>
      <c r="AH84" s="13" t="e">
        <f>ROUND(1/EXP(-AH76*AH79),0)</f>
        <v>#DIV/0!</v>
      </c>
      <c r="AI84" s="44" t="e">
        <f>ROUND(1/EXP(-AI76*AI79),0)</f>
        <v>#DIV/0!</v>
      </c>
      <c r="AJ84" s="44" t="e">
        <f>ROUND(1/EXP(-AJ76*AJ79),0)</f>
        <v>#DIV/0!</v>
      </c>
      <c r="AK84" s="14" t="e">
        <f>ROUND(1/EXP(-AK76*AK79),0)</f>
        <v>#DIV/0!</v>
      </c>
      <c r="AL84" s="13" t="e">
        <f>ROUND(1/EXP(-AL76*AL79),0)</f>
        <v>#DIV/0!</v>
      </c>
      <c r="AM84" s="44" t="e">
        <f>ROUND(1/EXP(-AM76*AM79),0)</f>
        <v>#DIV/0!</v>
      </c>
      <c r="AN84" s="44" t="e">
        <f>ROUND(1/EXP(-AN76*AN79),0)</f>
        <v>#DIV/0!</v>
      </c>
      <c r="AO84" s="14" t="e">
        <f>ROUND(1/EXP(-AO76*AO79),0)</f>
        <v>#DIV/0!</v>
      </c>
      <c r="AP84" s="13" t="e">
        <f>ROUND(1/EXP(-AP76*AP79),0)</f>
        <v>#DIV/0!</v>
      </c>
      <c r="AQ84" s="44" t="e">
        <f>ROUND(1/EXP(-AQ76*AQ79),0)</f>
        <v>#DIV/0!</v>
      </c>
      <c r="AR84" s="44" t="e">
        <f>ROUND(1/EXP(-AR76*AR79),0)</f>
        <v>#DIV/0!</v>
      </c>
      <c r="AS84" s="14" t="e">
        <f>ROUND(1/EXP(-AS76*AS79),0)</f>
        <v>#DIV/0!</v>
      </c>
      <c r="AT84" s="13" t="e">
        <f>ROUND(1/EXP(-AT76*AT79),0)</f>
        <v>#DIV/0!</v>
      </c>
      <c r="AU84" s="44" t="e">
        <f>ROUND(1/EXP(-AU76*AU79),0)</f>
        <v>#DIV/0!</v>
      </c>
      <c r="AV84" s="44" t="e">
        <f>ROUND(1/EXP(-AV76*AV79),0)</f>
        <v>#DIV/0!</v>
      </c>
      <c r="AW84" s="14" t="e">
        <f>ROUND(1/EXP(-AW76*AW79),0)</f>
        <v>#DIV/0!</v>
      </c>
      <c r="AX84" s="13" t="e">
        <f>ROUND(1/EXP(-AX76*AX79),0)</f>
        <v>#DIV/0!</v>
      </c>
      <c r="AY84" s="44" t="e">
        <f>ROUND(1/EXP(-AY76*AY79),0)</f>
        <v>#DIV/0!</v>
      </c>
      <c r="AZ84" s="44" t="e">
        <f>ROUND(1/EXP(-AZ76*AZ79),0)</f>
        <v>#DIV/0!</v>
      </c>
      <c r="BA84" s="14" t="e">
        <f>ROUND(1/EXP(-BA76*BA79),0)</f>
        <v>#DIV/0!</v>
      </c>
      <c r="BB84" s="13" t="e">
        <f>ROUND(1/EXP(-BB76*BB79),0)</f>
        <v>#DIV/0!</v>
      </c>
      <c r="BC84" s="44" t="e">
        <f>ROUND(1/EXP(-BC76*BC79),0)</f>
        <v>#DIV/0!</v>
      </c>
      <c r="BD84" s="44" t="e">
        <f>ROUND(1/EXP(-BD76*BD79),0)</f>
        <v>#DIV/0!</v>
      </c>
      <c r="BE84" s="14" t="e">
        <f>ROUND(1/EXP(-BE76*BE79),0)</f>
        <v>#DIV/0!</v>
      </c>
      <c r="BF84" s="13" t="e">
        <f>ROUND(1/EXP(-BF76*BF79),0)</f>
        <v>#DIV/0!</v>
      </c>
      <c r="BG84" s="44" t="e">
        <f>ROUND(1/EXP(-BG76*BG79),0)</f>
        <v>#DIV/0!</v>
      </c>
      <c r="BH84" s="44" t="e">
        <f>ROUND(1/EXP(-BH76*BH79),0)</f>
        <v>#DIV/0!</v>
      </c>
      <c r="BI84" s="14" t="e">
        <f>ROUND(1/EXP(-BI76*BI79),0)</f>
        <v>#DIV/0!</v>
      </c>
      <c r="BJ84" s="13" t="e">
        <f>ROUND(1/EXP(-BJ76*BJ79),0)</f>
        <v>#DIV/0!</v>
      </c>
      <c r="BK84" s="44" t="e">
        <f>ROUND(1/EXP(-BK76*BK79),0)</f>
        <v>#DIV/0!</v>
      </c>
      <c r="BL84" s="44" t="e">
        <f>ROUND(1/EXP(-BL76*BL79),0)</f>
        <v>#DIV/0!</v>
      </c>
      <c r="BM84" s="14" t="e">
        <f>ROUND(1/EXP(-BM76*BM79),0)</f>
        <v>#DIV/0!</v>
      </c>
      <c r="BN84" s="13" t="e">
        <f>ROUND(1/EXP(-BN76*BN79),0)</f>
        <v>#DIV/0!</v>
      </c>
      <c r="BO84" s="44" t="e">
        <f>ROUND(1/EXP(-BO76*BO79),0)</f>
        <v>#DIV/0!</v>
      </c>
      <c r="BP84" s="44" t="e">
        <f>ROUND(1/EXP(-BP76*BP79),0)</f>
        <v>#DIV/0!</v>
      </c>
      <c r="BQ84" s="14" t="e">
        <f>ROUND(1/EXP(-BQ76*BQ79),0)</f>
        <v>#DIV/0!</v>
      </c>
      <c r="BR84" s="13" t="e">
        <f>ROUND(1/EXP(-BR76*BR79),0)</f>
        <v>#DIV/0!</v>
      </c>
      <c r="BS84" s="44" t="e">
        <f>ROUND(1/EXP(-BS76*BS79),0)</f>
        <v>#DIV/0!</v>
      </c>
      <c r="BT84" s="44" t="e">
        <f>ROUND(1/EXP(-BT76*BT79),0)</f>
        <v>#DIV/0!</v>
      </c>
      <c r="BU84" s="14" t="e">
        <f>ROUND(1/EXP(-BU76*BU79),0)</f>
        <v>#DIV/0!</v>
      </c>
      <c r="BV84" s="13" t="e">
        <f>ROUND(1/EXP(-BV76*BV79),0)</f>
        <v>#DIV/0!</v>
      </c>
      <c r="BW84" s="44" t="e">
        <f>ROUND(1/EXP(-BW76*BW79),0)</f>
        <v>#DIV/0!</v>
      </c>
      <c r="BX84" s="44" t="e">
        <f>ROUND(1/EXP(-BX76*BX79),0)</f>
        <v>#DIV/0!</v>
      </c>
      <c r="BY84" s="14" t="e">
        <f>ROUND(1/EXP(-BY76*BY79),0)</f>
        <v>#DIV/0!</v>
      </c>
      <c r="BZ84" s="13" t="e">
        <f>ROUND(1/EXP(-BZ76*BZ79),0)</f>
        <v>#DIV/0!</v>
      </c>
      <c r="CA84" s="44" t="e">
        <f>ROUND(1/EXP(-CA76*CA79),0)</f>
        <v>#DIV/0!</v>
      </c>
      <c r="CB84" s="44" t="e">
        <f>ROUND(1/EXP(-CB76*CB79),0)</f>
        <v>#DIV/0!</v>
      </c>
      <c r="CC84" s="14" t="e">
        <f>ROUND(1/EXP(-CC76*CC79),0)</f>
        <v>#DIV/0!</v>
      </c>
      <c r="CD84" s="13" t="e">
        <f>ROUND(1/EXP(-CD76*CD79),0)</f>
        <v>#DIV/0!</v>
      </c>
      <c r="CE84" s="44" t="e">
        <f>ROUND(1/EXP(-CE76*CE79),0)</f>
        <v>#DIV/0!</v>
      </c>
      <c r="CF84" s="44" t="e">
        <f>ROUND(1/EXP(-CF76*CF79),0)</f>
        <v>#DIV/0!</v>
      </c>
      <c r="CG84" s="14" t="e">
        <f>ROUND(1/EXP(-CG76*CG79),0)</f>
        <v>#DIV/0!</v>
      </c>
      <c r="CH84" s="13" t="e">
        <f>ROUND(1/EXP(-CH76*CH79),0)</f>
        <v>#DIV/0!</v>
      </c>
      <c r="CI84" s="44" t="e">
        <f>ROUND(1/EXP(-CI76*CI79),0)</f>
        <v>#DIV/0!</v>
      </c>
      <c r="CJ84" s="44" t="e">
        <f>ROUND(1/EXP(-CJ76*CJ79),0)</f>
        <v>#DIV/0!</v>
      </c>
      <c r="CK84" s="14" t="e">
        <f>ROUND(1/EXP(-CK76*CK79),0)</f>
        <v>#DIV/0!</v>
      </c>
      <c r="CL84" s="49"/>
      <c r="CM84" s="28"/>
    </row>
    <row r="85" spans="2:91" ht="14.25" x14ac:dyDescent="0.25">
      <c r="B85" s="55"/>
      <c r="C85" s="236" t="s">
        <v>518</v>
      </c>
      <c r="D85" s="202" t="s">
        <v>519</v>
      </c>
      <c r="E85" s="126">
        <f>ONESTAGELEFT_BIKE_DELAY(E10,E84,E83,E80,E81,E39,E82)</f>
        <v>9.9311998010680469</v>
      </c>
      <c r="F85" s="13">
        <f>ONESTAGELEFT_BIKE_DELAY(F10,F84,F83,F80,F81,F39,F82)</f>
        <v>16.292172805005961</v>
      </c>
      <c r="G85" s="44">
        <f>ONESTAGELEFT_BIKE_DELAY(G10,G84,G83,G80,G81,G39,G82)</f>
        <v>16.292172805005961</v>
      </c>
      <c r="H85" s="44">
        <f>ONESTAGELEFT_BIKE_DELAY(H10,H84,H83,H80,H81,H39,H82)</f>
        <v>174.37392088278366</v>
      </c>
      <c r="I85" s="14">
        <f>ONESTAGELEFT_BIKE_DELAY(I10,I84,I83,I80,I81,I39,I82)</f>
        <v>174.37392088278366</v>
      </c>
      <c r="J85" s="13" t="e">
        <f>ONESTAGELEFT_BIKE_DELAY(J10,J84,J83,J80,J81,J39,J82)</f>
        <v>#VALUE!</v>
      </c>
      <c r="K85" s="44">
        <f>ONESTAGELEFT_BIKE_DELAY(K10,K84,K83,K80,K81,K39,K82)</f>
        <v>25.290457201960635</v>
      </c>
      <c r="L85" s="44">
        <f>ONESTAGELEFT_BIKE_DELAY(L10,L84,L83,L80,L81,L39,L82)</f>
        <v>-83.565956866998178</v>
      </c>
      <c r="M85" s="14" t="e">
        <f>ONESTAGELEFT_BIKE_DELAY(M10,M84,M83,M80,M81,M39,M82)</f>
        <v>#VALUE!</v>
      </c>
      <c r="N85" s="13" t="e">
        <f>ONESTAGELEFT_BIKE_DELAY(N10,N84,N83,N80,N81,N39,N82)</f>
        <v>#VALUE!</v>
      </c>
      <c r="O85" s="44" t="e">
        <f>ONESTAGELEFT_BIKE_DELAY(O10,O84,O83,O80,O81,O39,O82)</f>
        <v>#VALUE!</v>
      </c>
      <c r="P85" s="44" t="e">
        <f>ONESTAGELEFT_BIKE_DELAY(P10,P84,P83,P80,P81,P39,P82)</f>
        <v>#VALUE!</v>
      </c>
      <c r="Q85" s="14" t="e">
        <f>ONESTAGELEFT_BIKE_DELAY(Q10,Q84,Q83,Q80,Q81,Q39,Q82)</f>
        <v>#VALUE!</v>
      </c>
      <c r="R85" s="13" t="e">
        <f>ONESTAGELEFT_BIKE_DELAY(R10,R84,R83,R80,R81,R39,R82)</f>
        <v>#VALUE!</v>
      </c>
      <c r="S85" s="44" t="e">
        <f>ONESTAGELEFT_BIKE_DELAY(S10,S84,S83,S80,S81,S39,S82)</f>
        <v>#VALUE!</v>
      </c>
      <c r="T85" s="44" t="e">
        <f>ONESTAGELEFT_BIKE_DELAY(T10,T84,T83,T80,T81,T39,T82)</f>
        <v>#VALUE!</v>
      </c>
      <c r="U85" s="14" t="e">
        <f>ONESTAGELEFT_BIKE_DELAY(U10,U84,U83,U80,U81,U39,U82)</f>
        <v>#VALUE!</v>
      </c>
      <c r="V85" s="13" t="e">
        <f>ONESTAGELEFT_BIKE_DELAY(V10,V84,V83,V80,V81,V39,V82)</f>
        <v>#VALUE!</v>
      </c>
      <c r="W85" s="44" t="e">
        <f>ONESTAGELEFT_BIKE_DELAY(W10,W84,W83,W80,W81,W39,W82)</f>
        <v>#VALUE!</v>
      </c>
      <c r="X85" s="44" t="e">
        <f>ONESTAGELEFT_BIKE_DELAY(X10,X84,X83,X80,X81,X39,X82)</f>
        <v>#VALUE!</v>
      </c>
      <c r="Y85" s="14" t="e">
        <f>ONESTAGELEFT_BIKE_DELAY(Y10,Y84,Y83,Y80,Y81,Y39,Y82)</f>
        <v>#VALUE!</v>
      </c>
      <c r="Z85" s="13" t="e">
        <f>ONESTAGELEFT_BIKE_DELAY(Z10,Z84,Z83,Z80,Z81,Z39,Z82)</f>
        <v>#VALUE!</v>
      </c>
      <c r="AA85" s="44" t="e">
        <f>ONESTAGELEFT_BIKE_DELAY(AA10,AA84,AA83,AA80,AA81,AA39,AA82)</f>
        <v>#VALUE!</v>
      </c>
      <c r="AB85" s="44" t="e">
        <f>ONESTAGELEFT_BIKE_DELAY(AB10,AB84,AB83,AB80,AB81,AB39,AB82)</f>
        <v>#VALUE!</v>
      </c>
      <c r="AC85" s="14" t="e">
        <f>ONESTAGELEFT_BIKE_DELAY(AC10,AC84,AC83,AC80,AC81,AC39,AC82)</f>
        <v>#VALUE!</v>
      </c>
      <c r="AD85" s="13" t="e">
        <f>ONESTAGELEFT_BIKE_DELAY(AD10,AD84,AD83,AD80,AD81,AD39,AD82)</f>
        <v>#VALUE!</v>
      </c>
      <c r="AE85" s="44" t="e">
        <f>ONESTAGELEFT_BIKE_DELAY(AE10,AE84,AE83,AE80,AE81,AE39,AE82)</f>
        <v>#VALUE!</v>
      </c>
      <c r="AF85" s="44" t="e">
        <f>ONESTAGELEFT_BIKE_DELAY(AF10,AF84,AF83,AF80,AF81,AF39,AF82)</f>
        <v>#VALUE!</v>
      </c>
      <c r="AG85" s="14" t="e">
        <f>ONESTAGELEFT_BIKE_DELAY(AG10,AG84,AG83,AG80,AG81,AG39,AG82)</f>
        <v>#VALUE!</v>
      </c>
      <c r="AH85" s="13" t="e">
        <f>ONESTAGELEFT_BIKE_DELAY(AH10,AH84,AH83,AH80,AH81,AH39,AH82)</f>
        <v>#VALUE!</v>
      </c>
      <c r="AI85" s="44" t="e">
        <f>ONESTAGELEFT_BIKE_DELAY(AI10,AI84,AI83,AI80,AI81,AI39,AI82)</f>
        <v>#VALUE!</v>
      </c>
      <c r="AJ85" s="44" t="e">
        <f>ONESTAGELEFT_BIKE_DELAY(AJ10,AJ84,AJ83,AJ80,AJ81,AJ39,AJ82)</f>
        <v>#VALUE!</v>
      </c>
      <c r="AK85" s="14" t="e">
        <f>ONESTAGELEFT_BIKE_DELAY(AK10,AK84,AK83,AK80,AK81,AK39,AK82)</f>
        <v>#VALUE!</v>
      </c>
      <c r="AL85" s="13" t="e">
        <f>ONESTAGELEFT_BIKE_DELAY(AL10,AL84,AL83,AL80,AL81,AL39,AL82)</f>
        <v>#VALUE!</v>
      </c>
      <c r="AM85" s="44" t="e">
        <f>ONESTAGELEFT_BIKE_DELAY(AM10,AM84,AM83,AM80,AM81,AM39,AM82)</f>
        <v>#VALUE!</v>
      </c>
      <c r="AN85" s="44" t="e">
        <f>ONESTAGELEFT_BIKE_DELAY(AN10,AN84,AN83,AN80,AN81,AN39,AN82)</f>
        <v>#VALUE!</v>
      </c>
      <c r="AO85" s="14" t="e">
        <f>ONESTAGELEFT_BIKE_DELAY(AO10,AO84,AO83,AO80,AO81,AO39,AO82)</f>
        <v>#VALUE!</v>
      </c>
      <c r="AP85" s="13" t="e">
        <f>ONESTAGELEFT_BIKE_DELAY(AP10,AP84,AP83,AP80,AP81,AP39,AP82)</f>
        <v>#VALUE!</v>
      </c>
      <c r="AQ85" s="44" t="e">
        <f>ONESTAGELEFT_BIKE_DELAY(AQ10,AQ84,AQ83,AQ80,AQ81,AQ39,AQ82)</f>
        <v>#VALUE!</v>
      </c>
      <c r="AR85" s="44" t="e">
        <f>ONESTAGELEFT_BIKE_DELAY(AR10,AR84,AR83,AR80,AR81,AR39,AR82)</f>
        <v>#VALUE!</v>
      </c>
      <c r="AS85" s="14" t="e">
        <f>ONESTAGELEFT_BIKE_DELAY(AS10,AS84,AS83,AS80,AS81,AS39,AS82)</f>
        <v>#VALUE!</v>
      </c>
      <c r="AT85" s="13" t="e">
        <f>ONESTAGELEFT_BIKE_DELAY(AT10,AT84,AT83,AT80,AT81,AT39,AT82)</f>
        <v>#VALUE!</v>
      </c>
      <c r="AU85" s="44" t="e">
        <f>ONESTAGELEFT_BIKE_DELAY(AU10,AU84,AU83,AU80,AU81,AU39,AU82)</f>
        <v>#VALUE!</v>
      </c>
      <c r="AV85" s="44" t="e">
        <f>ONESTAGELEFT_BIKE_DELAY(AV10,AV84,AV83,AV80,AV81,AV39,AV82)</f>
        <v>#VALUE!</v>
      </c>
      <c r="AW85" s="14" t="e">
        <f>ONESTAGELEFT_BIKE_DELAY(AW10,AW84,AW83,AW80,AW81,AW39,AW82)</f>
        <v>#VALUE!</v>
      </c>
      <c r="AX85" s="13" t="e">
        <f>ONESTAGELEFT_BIKE_DELAY(AX10,AX84,AX83,AX80,AX81,AX39,AX82)</f>
        <v>#VALUE!</v>
      </c>
      <c r="AY85" s="44" t="e">
        <f>ONESTAGELEFT_BIKE_DELAY(AY10,AY84,AY83,AY80,AY81,AY39,AY82)</f>
        <v>#VALUE!</v>
      </c>
      <c r="AZ85" s="44" t="e">
        <f>ONESTAGELEFT_BIKE_DELAY(AZ10,AZ84,AZ83,AZ80,AZ81,AZ39,AZ82)</f>
        <v>#VALUE!</v>
      </c>
      <c r="BA85" s="14" t="e">
        <f>ONESTAGELEFT_BIKE_DELAY(BA10,BA84,BA83,BA80,BA81,BA39,BA82)</f>
        <v>#VALUE!</v>
      </c>
      <c r="BB85" s="13" t="e">
        <f>ONESTAGELEFT_BIKE_DELAY(BB10,BB84,BB83,BB80,BB81,BB39,BB82)</f>
        <v>#VALUE!</v>
      </c>
      <c r="BC85" s="44" t="e">
        <f>ONESTAGELEFT_BIKE_DELAY(BC10,BC84,BC83,BC80,BC81,BC39,BC82)</f>
        <v>#VALUE!</v>
      </c>
      <c r="BD85" s="44" t="e">
        <f>ONESTAGELEFT_BIKE_DELAY(BD10,BD84,BD83,BD80,BD81,BD39,BD82)</f>
        <v>#VALUE!</v>
      </c>
      <c r="BE85" s="14" t="e">
        <f>ONESTAGELEFT_BIKE_DELAY(BE10,BE84,BE83,BE80,BE81,BE39,BE82)</f>
        <v>#VALUE!</v>
      </c>
      <c r="BF85" s="13" t="e">
        <f>ONESTAGELEFT_BIKE_DELAY(BF10,BF84,BF83,BF80,BF81,BF39,BF82)</f>
        <v>#VALUE!</v>
      </c>
      <c r="BG85" s="44" t="e">
        <f>ONESTAGELEFT_BIKE_DELAY(BG10,BG84,BG83,BG80,BG81,BG39,BG82)</f>
        <v>#VALUE!</v>
      </c>
      <c r="BH85" s="44" t="e">
        <f>ONESTAGELEFT_BIKE_DELAY(BH10,BH84,BH83,BH80,BH81,BH39,BH82)</f>
        <v>#VALUE!</v>
      </c>
      <c r="BI85" s="14" t="e">
        <f>ONESTAGELEFT_BIKE_DELAY(BI10,BI84,BI83,BI80,BI81,BI39,BI82)</f>
        <v>#VALUE!</v>
      </c>
      <c r="BJ85" s="13" t="e">
        <f>ONESTAGELEFT_BIKE_DELAY(BJ10,BJ84,BJ83,BJ80,BJ81,BJ39,BJ82)</f>
        <v>#VALUE!</v>
      </c>
      <c r="BK85" s="44" t="e">
        <f>ONESTAGELEFT_BIKE_DELAY(BK10,BK84,BK83,BK80,BK81,BK39,BK82)</f>
        <v>#VALUE!</v>
      </c>
      <c r="BL85" s="44" t="e">
        <f>ONESTAGELEFT_BIKE_DELAY(BL10,BL84,BL83,BL80,BL81,BL39,BL82)</f>
        <v>#VALUE!</v>
      </c>
      <c r="BM85" s="14" t="e">
        <f>ONESTAGELEFT_BIKE_DELAY(BM10,BM84,BM83,BM80,BM81,BM39,BM82)</f>
        <v>#VALUE!</v>
      </c>
      <c r="BN85" s="13" t="e">
        <f>ONESTAGELEFT_BIKE_DELAY(BN10,BN84,BN83,BN80,BN81,BN39,BN82)</f>
        <v>#VALUE!</v>
      </c>
      <c r="BO85" s="44" t="e">
        <f>ONESTAGELEFT_BIKE_DELAY(BO10,BO84,BO83,BO80,BO81,BO39,BO82)</f>
        <v>#VALUE!</v>
      </c>
      <c r="BP85" s="44" t="e">
        <f>ONESTAGELEFT_BIKE_DELAY(BP10,BP84,BP83,BP80,BP81,BP39,BP82)</f>
        <v>#VALUE!</v>
      </c>
      <c r="BQ85" s="14" t="e">
        <f>ONESTAGELEFT_BIKE_DELAY(BQ10,BQ84,BQ83,BQ80,BQ81,BQ39,BQ82)</f>
        <v>#VALUE!</v>
      </c>
      <c r="BR85" s="13" t="e">
        <f>ONESTAGELEFT_BIKE_DELAY(BR10,BR84,BR83,BR80,BR81,BR39,BR82)</f>
        <v>#VALUE!</v>
      </c>
      <c r="BS85" s="44" t="e">
        <f>ONESTAGELEFT_BIKE_DELAY(BS10,BS84,BS83,BS80,BS81,BS39,BS82)</f>
        <v>#VALUE!</v>
      </c>
      <c r="BT85" s="44" t="e">
        <f>ONESTAGELEFT_BIKE_DELAY(BT10,BT84,BT83,BT80,BT81,BT39,BT82)</f>
        <v>#VALUE!</v>
      </c>
      <c r="BU85" s="14" t="e">
        <f>ONESTAGELEFT_BIKE_DELAY(BU10,BU84,BU83,BU80,BU81,BU39,BU82)</f>
        <v>#VALUE!</v>
      </c>
      <c r="BV85" s="13" t="e">
        <f>ONESTAGELEFT_BIKE_DELAY(BV10,BV84,BV83,BV80,BV81,BV39,BV82)</f>
        <v>#VALUE!</v>
      </c>
      <c r="BW85" s="44" t="e">
        <f>ONESTAGELEFT_BIKE_DELAY(BW10,BW84,BW83,BW80,BW81,BW39,BW82)</f>
        <v>#VALUE!</v>
      </c>
      <c r="BX85" s="44" t="e">
        <f>ONESTAGELEFT_BIKE_DELAY(BX10,BX84,BX83,BX80,BX81,BX39,BX82)</f>
        <v>#VALUE!</v>
      </c>
      <c r="BY85" s="14" t="e">
        <f>ONESTAGELEFT_BIKE_DELAY(BY10,BY84,BY83,BY80,BY81,BY39,BY82)</f>
        <v>#VALUE!</v>
      </c>
      <c r="BZ85" s="13" t="e">
        <f>ONESTAGELEFT_BIKE_DELAY(BZ10,BZ84,BZ83,BZ80,BZ81,BZ39,BZ82)</f>
        <v>#VALUE!</v>
      </c>
      <c r="CA85" s="44" t="e">
        <f>ONESTAGELEFT_BIKE_DELAY(CA10,CA84,CA83,CA80,CA81,CA39,CA82)</f>
        <v>#VALUE!</v>
      </c>
      <c r="CB85" s="44" t="e">
        <f>ONESTAGELEFT_BIKE_DELAY(CB10,CB84,CB83,CB80,CB81,CB39,CB82)</f>
        <v>#VALUE!</v>
      </c>
      <c r="CC85" s="14" t="e">
        <f>ONESTAGELEFT_BIKE_DELAY(CC10,CC84,CC83,CC80,CC81,CC39,CC82)</f>
        <v>#VALUE!</v>
      </c>
      <c r="CD85" s="13" t="e">
        <f>ONESTAGELEFT_BIKE_DELAY(CD10,CD84,CD83,CD80,CD81,CD39,CD82)</f>
        <v>#VALUE!</v>
      </c>
      <c r="CE85" s="44" t="e">
        <f>ONESTAGELEFT_BIKE_DELAY(CE10,CE84,CE83,CE80,CE81,CE39,CE82)</f>
        <v>#VALUE!</v>
      </c>
      <c r="CF85" s="44" t="e">
        <f>ONESTAGELEFT_BIKE_DELAY(CF10,CF84,CF83,CF80,CF81,CF39,CF82)</f>
        <v>#VALUE!</v>
      </c>
      <c r="CG85" s="14" t="e">
        <f>ONESTAGELEFT_BIKE_DELAY(CG10,CG84,CG83,CG80,CG81,CG39,CG82)</f>
        <v>#VALUE!</v>
      </c>
      <c r="CH85" s="13" t="e">
        <f>ONESTAGELEFT_BIKE_DELAY(CH10,CH84,CH83,CH80,CH81,CH39,CH82)</f>
        <v>#VALUE!</v>
      </c>
      <c r="CI85" s="44" t="e">
        <f>ONESTAGELEFT_BIKE_DELAY(CI10,CI84,CI83,CI80,CI81,CI39,CI82)</f>
        <v>#VALUE!</v>
      </c>
      <c r="CJ85" s="44" t="e">
        <f>ONESTAGELEFT_BIKE_DELAY(CJ10,CJ84,CJ83,CJ80,CJ81,CJ39,CJ82)</f>
        <v>#VALUE!</v>
      </c>
      <c r="CK85" s="14" t="e">
        <f>ONESTAGELEFT_BIKE_DELAY(CK10,CK84,CK83,CK80,CK81,CK39,CK82)</f>
        <v>#VALUE!</v>
      </c>
      <c r="CL85" s="49"/>
      <c r="CM85" s="28"/>
    </row>
    <row r="86" spans="2:91" x14ac:dyDescent="0.25">
      <c r="B86" s="55"/>
      <c r="C86" s="181" t="s">
        <v>533</v>
      </c>
      <c r="D86" s="182"/>
      <c r="E86" s="125"/>
      <c r="F86" s="13"/>
      <c r="G86" s="44"/>
      <c r="H86" s="44"/>
      <c r="I86" s="14"/>
      <c r="J86" s="13"/>
      <c r="K86" s="44"/>
      <c r="L86" s="44"/>
      <c r="M86" s="14"/>
      <c r="N86" s="13"/>
      <c r="O86" s="44"/>
      <c r="P86" s="44"/>
      <c r="Q86" s="14"/>
      <c r="R86" s="13"/>
      <c r="S86" s="44"/>
      <c r="T86" s="44"/>
      <c r="U86" s="14"/>
      <c r="V86" s="13"/>
      <c r="W86" s="44"/>
      <c r="X86" s="44"/>
      <c r="Y86" s="14"/>
      <c r="Z86" s="13"/>
      <c r="AA86" s="44"/>
      <c r="AB86" s="44"/>
      <c r="AC86" s="14"/>
      <c r="AD86" s="13"/>
      <c r="AE86" s="44"/>
      <c r="AF86" s="44"/>
      <c r="AG86" s="14"/>
      <c r="AH86" s="13"/>
      <c r="AI86" s="44"/>
      <c r="AJ86" s="44"/>
      <c r="AK86" s="14"/>
      <c r="AL86" s="13"/>
      <c r="AM86" s="44"/>
      <c r="AN86" s="44"/>
      <c r="AO86" s="14"/>
      <c r="AP86" s="13"/>
      <c r="AQ86" s="44"/>
      <c r="AR86" s="44"/>
      <c r="AS86" s="14"/>
      <c r="AT86" s="13"/>
      <c r="AU86" s="44"/>
      <c r="AV86" s="44"/>
      <c r="AW86" s="14"/>
      <c r="AX86" s="13"/>
      <c r="AY86" s="44"/>
      <c r="AZ86" s="44"/>
      <c r="BA86" s="14"/>
      <c r="BB86" s="13"/>
      <c r="BC86" s="44"/>
      <c r="BD86" s="44"/>
      <c r="BE86" s="14"/>
      <c r="BF86" s="13"/>
      <c r="BG86" s="44"/>
      <c r="BH86" s="44"/>
      <c r="BI86" s="14"/>
      <c r="BJ86" s="13"/>
      <c r="BK86" s="44"/>
      <c r="BL86" s="44"/>
      <c r="BM86" s="14"/>
      <c r="BN86" s="13"/>
      <c r="BO86" s="44"/>
      <c r="BP86" s="44"/>
      <c r="BQ86" s="14"/>
      <c r="BR86" s="13"/>
      <c r="BS86" s="44"/>
      <c r="BT86" s="44"/>
      <c r="BU86" s="14"/>
      <c r="BV86" s="13"/>
      <c r="BW86" s="44"/>
      <c r="BX86" s="44"/>
      <c r="BY86" s="14"/>
      <c r="BZ86" s="13"/>
      <c r="CA86" s="44"/>
      <c r="CB86" s="44"/>
      <c r="CC86" s="14"/>
      <c r="CD86" s="13"/>
      <c r="CE86" s="44"/>
      <c r="CF86" s="44"/>
      <c r="CG86" s="14"/>
      <c r="CH86" s="13"/>
      <c r="CI86" s="44"/>
      <c r="CJ86" s="44"/>
      <c r="CK86" s="14"/>
      <c r="CL86" s="49"/>
      <c r="CM86" s="28"/>
    </row>
    <row r="87" spans="2:91" ht="14.25" x14ac:dyDescent="0.25">
      <c r="B87" s="55"/>
      <c r="C87" s="10" t="s">
        <v>306</v>
      </c>
      <c r="D87" s="93" t="s">
        <v>525</v>
      </c>
      <c r="E87" s="125">
        <f>E31/E40 +E41</f>
        <v>8.4</v>
      </c>
      <c r="F87" s="13">
        <f>F31/F40 +F41</f>
        <v>10.199999999999999</v>
      </c>
      <c r="G87" s="44">
        <f>G31/G40 +G41</f>
        <v>10.199999999999999</v>
      </c>
      <c r="H87" s="44">
        <f>H31/H40 +H41</f>
        <v>8.6</v>
      </c>
      <c r="I87" s="14">
        <f>I31/I40 +I41</f>
        <v>8.6</v>
      </c>
      <c r="J87" s="13" t="e">
        <f>J31/J40 +J41</f>
        <v>#DIV/0!</v>
      </c>
      <c r="K87" s="44">
        <f>K31/K40 +K41</f>
        <v>6.2</v>
      </c>
      <c r="L87" s="44">
        <f>L31/L40 +L41</f>
        <v>8.6</v>
      </c>
      <c r="M87" s="14">
        <f>M31/M40 +M41</f>
        <v>8.6</v>
      </c>
      <c r="N87" s="13" t="e">
        <f>N31/N40 +N41</f>
        <v>#DIV/0!</v>
      </c>
      <c r="O87" s="44" t="e">
        <f>O31/O40 +O41</f>
        <v>#DIV/0!</v>
      </c>
      <c r="P87" s="44" t="e">
        <f>P31/P40 +P41</f>
        <v>#DIV/0!</v>
      </c>
      <c r="Q87" s="14" t="e">
        <f>Q31/Q40 +Q41</f>
        <v>#DIV/0!</v>
      </c>
      <c r="R87" s="13" t="e">
        <f>R31/R40 +R41</f>
        <v>#DIV/0!</v>
      </c>
      <c r="S87" s="44" t="e">
        <f>S31/S40 +S41</f>
        <v>#DIV/0!</v>
      </c>
      <c r="T87" s="44" t="e">
        <f>T31/T40 +T41</f>
        <v>#DIV/0!</v>
      </c>
      <c r="U87" s="14" t="e">
        <f>U31/U40 +U41</f>
        <v>#DIV/0!</v>
      </c>
      <c r="V87" s="13" t="e">
        <f>V31/V40 +V41</f>
        <v>#DIV/0!</v>
      </c>
      <c r="W87" s="44" t="e">
        <f>W31/W40 +W41</f>
        <v>#DIV/0!</v>
      </c>
      <c r="X87" s="44" t="e">
        <f>X31/X40 +X41</f>
        <v>#DIV/0!</v>
      </c>
      <c r="Y87" s="14" t="e">
        <f>Y31/Y40 +Y41</f>
        <v>#DIV/0!</v>
      </c>
      <c r="Z87" s="13" t="e">
        <f>Z31/Z40 +Z41</f>
        <v>#DIV/0!</v>
      </c>
      <c r="AA87" s="44" t="e">
        <f>AA31/AA40 +AA41</f>
        <v>#DIV/0!</v>
      </c>
      <c r="AB87" s="44" t="e">
        <f>AB31/AB40 +AB41</f>
        <v>#DIV/0!</v>
      </c>
      <c r="AC87" s="14" t="e">
        <f>AC31/AC40 +AC41</f>
        <v>#DIV/0!</v>
      </c>
      <c r="AD87" s="13" t="e">
        <f>AD31/AD40 +AD41</f>
        <v>#DIV/0!</v>
      </c>
      <c r="AE87" s="44" t="e">
        <f>AE31/AE40 +AE41</f>
        <v>#DIV/0!</v>
      </c>
      <c r="AF87" s="44" t="e">
        <f>AF31/AF40 +AF41</f>
        <v>#DIV/0!</v>
      </c>
      <c r="AG87" s="14" t="e">
        <f>AG31/AG40 +AG41</f>
        <v>#DIV/0!</v>
      </c>
      <c r="AH87" s="13" t="e">
        <f>AH31/AH40 +AH41</f>
        <v>#DIV/0!</v>
      </c>
      <c r="AI87" s="44" t="e">
        <f>AI31/AI40 +AI41</f>
        <v>#DIV/0!</v>
      </c>
      <c r="AJ87" s="44" t="e">
        <f>AJ31/AJ40 +AJ41</f>
        <v>#DIV/0!</v>
      </c>
      <c r="AK87" s="14" t="e">
        <f>AK31/AK40 +AK41</f>
        <v>#DIV/0!</v>
      </c>
      <c r="AL87" s="13" t="e">
        <f>AL31/AL40 +AL41</f>
        <v>#DIV/0!</v>
      </c>
      <c r="AM87" s="44" t="e">
        <f>AM31/AM40 +AM41</f>
        <v>#DIV/0!</v>
      </c>
      <c r="AN87" s="44" t="e">
        <f>AN31/AN40 +AN41</f>
        <v>#DIV/0!</v>
      </c>
      <c r="AO87" s="14" t="e">
        <f>AO31/AO40 +AO41</f>
        <v>#DIV/0!</v>
      </c>
      <c r="AP87" s="13" t="e">
        <f>AP31/AP40 +AP41</f>
        <v>#DIV/0!</v>
      </c>
      <c r="AQ87" s="44" t="e">
        <f>AQ31/AQ40 +AQ41</f>
        <v>#DIV/0!</v>
      </c>
      <c r="AR87" s="44" t="e">
        <f>AR31/AR40 +AR41</f>
        <v>#DIV/0!</v>
      </c>
      <c r="AS87" s="14" t="e">
        <f>AS31/AS40 +AS41</f>
        <v>#DIV/0!</v>
      </c>
      <c r="AT87" s="13" t="e">
        <f>AT31/AT40 +AT41</f>
        <v>#DIV/0!</v>
      </c>
      <c r="AU87" s="44" t="e">
        <f>AU31/AU40 +AU41</f>
        <v>#DIV/0!</v>
      </c>
      <c r="AV87" s="44" t="e">
        <f>AV31/AV40 +AV41</f>
        <v>#DIV/0!</v>
      </c>
      <c r="AW87" s="14" t="e">
        <f>AW31/AW40 +AW41</f>
        <v>#DIV/0!</v>
      </c>
      <c r="AX87" s="13" t="e">
        <f>AX31/AX40 +AX41</f>
        <v>#DIV/0!</v>
      </c>
      <c r="AY87" s="44" t="e">
        <f>AY31/AY40 +AY41</f>
        <v>#DIV/0!</v>
      </c>
      <c r="AZ87" s="44" t="e">
        <f>AZ31/AZ40 +AZ41</f>
        <v>#DIV/0!</v>
      </c>
      <c r="BA87" s="14" t="e">
        <f>BA31/BA40 +BA41</f>
        <v>#DIV/0!</v>
      </c>
      <c r="BB87" s="13" t="e">
        <f>BB31/BB40 +BB41</f>
        <v>#DIV/0!</v>
      </c>
      <c r="BC87" s="44" t="e">
        <f>BC31/BC40 +BC41</f>
        <v>#DIV/0!</v>
      </c>
      <c r="BD87" s="44" t="e">
        <f>BD31/BD40 +BD41</f>
        <v>#DIV/0!</v>
      </c>
      <c r="BE87" s="14" t="e">
        <f>BE31/BE40 +BE41</f>
        <v>#DIV/0!</v>
      </c>
      <c r="BF87" s="13" t="e">
        <f>BF31/BF40 +BF41</f>
        <v>#DIV/0!</v>
      </c>
      <c r="BG87" s="44" t="e">
        <f>BG31/BG40 +BG41</f>
        <v>#DIV/0!</v>
      </c>
      <c r="BH87" s="44" t="e">
        <f>BH31/BH40 +BH41</f>
        <v>#DIV/0!</v>
      </c>
      <c r="BI87" s="14" t="e">
        <f>BI31/BI40 +BI41</f>
        <v>#DIV/0!</v>
      </c>
      <c r="BJ87" s="13" t="e">
        <f>BJ31/BJ40 +BJ41</f>
        <v>#DIV/0!</v>
      </c>
      <c r="BK87" s="44" t="e">
        <f>BK31/BK40 +BK41</f>
        <v>#DIV/0!</v>
      </c>
      <c r="BL87" s="44" t="e">
        <f>BL31/BL40 +BL41</f>
        <v>#DIV/0!</v>
      </c>
      <c r="BM87" s="14" t="e">
        <f>BM31/BM40 +BM41</f>
        <v>#DIV/0!</v>
      </c>
      <c r="BN87" s="13" t="e">
        <f>BN31/BN40 +BN41</f>
        <v>#DIV/0!</v>
      </c>
      <c r="BO87" s="44" t="e">
        <f>BO31/BO40 +BO41</f>
        <v>#DIV/0!</v>
      </c>
      <c r="BP87" s="44" t="e">
        <f>BP31/BP40 +BP41</f>
        <v>#DIV/0!</v>
      </c>
      <c r="BQ87" s="14" t="e">
        <f>BQ31/BQ40 +BQ41</f>
        <v>#DIV/0!</v>
      </c>
      <c r="BR87" s="13" t="e">
        <f>BR31/BR40 +BR41</f>
        <v>#DIV/0!</v>
      </c>
      <c r="BS87" s="44" t="e">
        <f>BS31/BS40 +BS41</f>
        <v>#DIV/0!</v>
      </c>
      <c r="BT87" s="44" t="e">
        <f>BT31/BT40 +BT41</f>
        <v>#DIV/0!</v>
      </c>
      <c r="BU87" s="14" t="e">
        <f>BU31/BU40 +BU41</f>
        <v>#DIV/0!</v>
      </c>
      <c r="BV87" s="13" t="e">
        <f>BV31/BV40 +BV41</f>
        <v>#DIV/0!</v>
      </c>
      <c r="BW87" s="44" t="e">
        <f>BW31/BW40 +BW41</f>
        <v>#DIV/0!</v>
      </c>
      <c r="BX87" s="44" t="e">
        <f>BX31/BX40 +BX41</f>
        <v>#DIV/0!</v>
      </c>
      <c r="BY87" s="14" t="e">
        <f>BY31/BY40 +BY41</f>
        <v>#DIV/0!</v>
      </c>
      <c r="BZ87" s="13" t="e">
        <f>BZ31/BZ40 +BZ41</f>
        <v>#DIV/0!</v>
      </c>
      <c r="CA87" s="44" t="e">
        <f>CA31/CA40 +CA41</f>
        <v>#DIV/0!</v>
      </c>
      <c r="CB87" s="44" t="e">
        <f>CB31/CB40 +CB41</f>
        <v>#DIV/0!</v>
      </c>
      <c r="CC87" s="14" t="e">
        <f>CC31/CC40 +CC41</f>
        <v>#DIV/0!</v>
      </c>
      <c r="CD87" s="13" t="e">
        <f>CD31/CD40 +CD41</f>
        <v>#DIV/0!</v>
      </c>
      <c r="CE87" s="44" t="e">
        <f>CE31/CE40 +CE41</f>
        <v>#DIV/0!</v>
      </c>
      <c r="CF87" s="44" t="e">
        <f>CF31/CF40 +CF41</f>
        <v>#DIV/0!</v>
      </c>
      <c r="CG87" s="14" t="e">
        <f>CG31/CG40 +CG41</f>
        <v>#DIV/0!</v>
      </c>
      <c r="CH87" s="13" t="e">
        <f>CH31/CH40 +CH41</f>
        <v>#DIV/0!</v>
      </c>
      <c r="CI87" s="44" t="e">
        <f>CI31/CI40 +CI41</f>
        <v>#DIV/0!</v>
      </c>
      <c r="CJ87" s="44" t="e">
        <f>CJ31/CJ40 +CJ41</f>
        <v>#DIV/0!</v>
      </c>
      <c r="CK87" s="14" t="e">
        <f>CK31/CK40 +CK41</f>
        <v>#DIV/0!</v>
      </c>
      <c r="CL87" s="49"/>
      <c r="CM87" s="28"/>
    </row>
    <row r="88" spans="2:91" ht="14.25" x14ac:dyDescent="0.25">
      <c r="B88" s="55"/>
      <c r="C88" s="10" t="s">
        <v>309</v>
      </c>
      <c r="D88" s="93" t="s">
        <v>499</v>
      </c>
      <c r="E88" s="125">
        <f>MAX(IF(E33=0,0,4*E89/E33),1)</f>
        <v>1</v>
      </c>
      <c r="F88" s="13">
        <f>MAX(IF(F33=0,0,2.5*F89/F33),1)</f>
        <v>1</v>
      </c>
      <c r="G88" s="44">
        <f>MAX(IF(G33=0,0,2.5*G89/G33),1)</f>
        <v>1</v>
      </c>
      <c r="H88" s="44">
        <f>MAX(IF(H33=0,0,2.5*H89/H33),1)</f>
        <v>1</v>
      </c>
      <c r="I88" s="14">
        <f>MAX(IF(I33=0,0,2.5*I89/I33),1)</f>
        <v>1</v>
      </c>
      <c r="J88" s="13">
        <f>MAX(IF(J33=0,0,2.5*J89/J33),1)</f>
        <v>1</v>
      </c>
      <c r="K88" s="44">
        <f>MAX(IF(K33=0,0,2.5*K89/K33),1)</f>
        <v>1</v>
      </c>
      <c r="L88" s="44">
        <f>MAX(IF(L33=0,0,2.5*L89/L33),1)</f>
        <v>1</v>
      </c>
      <c r="M88" s="14">
        <f>MAX(IF(M33=0,0,2.5*M89/M33),1)</f>
        <v>1</v>
      </c>
      <c r="N88" s="13">
        <f>MAX(IF(N33=0,0,2.5*N89/N33),1)</f>
        <v>1</v>
      </c>
      <c r="O88" s="44">
        <f>MAX(IF(O33=0,0,2.5*O89/O33),1)</f>
        <v>1</v>
      </c>
      <c r="P88" s="44">
        <f>MAX(IF(P33=0,0,2.5*P89/P33),1)</f>
        <v>1</v>
      </c>
      <c r="Q88" s="14">
        <f>MAX(IF(Q33=0,0,2.5*Q89/Q33),1)</f>
        <v>1</v>
      </c>
      <c r="R88" s="13">
        <f>MAX(IF(R33=0,0,2.5*R89/R33),1)</f>
        <v>1</v>
      </c>
      <c r="S88" s="44">
        <f>MAX(IF(S33=0,0,2.5*S89/S33),1)</f>
        <v>1</v>
      </c>
      <c r="T88" s="44">
        <f>MAX(IF(T33=0,0,2.5*T89/T33),1)</f>
        <v>1</v>
      </c>
      <c r="U88" s="14">
        <f>MAX(IF(U33=0,0,2.5*U89/U33),1)</f>
        <v>1</v>
      </c>
      <c r="V88" s="13">
        <f>MAX(IF(V33=0,0,2.5*V89/V33),1)</f>
        <v>1</v>
      </c>
      <c r="W88" s="44">
        <f>MAX(IF(W33=0,0,2.5*W89/W33),1)</f>
        <v>1</v>
      </c>
      <c r="X88" s="44">
        <f>MAX(IF(X33=0,0,2.5*X89/X33),1)</f>
        <v>1</v>
      </c>
      <c r="Y88" s="14">
        <f>MAX(IF(Y33=0,0,2.5*Y89/Y33),1)</f>
        <v>1</v>
      </c>
      <c r="Z88" s="13">
        <f>MAX(IF(Z33=0,0,2.5*Z89/Z33),1)</f>
        <v>1</v>
      </c>
      <c r="AA88" s="44">
        <f>MAX(IF(AA33=0,0,2.5*AA89/AA33),1)</f>
        <v>1</v>
      </c>
      <c r="AB88" s="44">
        <f>MAX(IF(AB33=0,0,2.5*AB89/AB33),1)</f>
        <v>1</v>
      </c>
      <c r="AC88" s="14">
        <f>MAX(IF(AC33=0,0,2.5*AC89/AC33),1)</f>
        <v>1</v>
      </c>
      <c r="AD88" s="13">
        <f>MAX(IF(AD33=0,0,2.5*AD89/AD33),1)</f>
        <v>1</v>
      </c>
      <c r="AE88" s="44">
        <f>MAX(IF(AE33=0,0,2.5*AE89/AE33),1)</f>
        <v>1</v>
      </c>
      <c r="AF88" s="44">
        <f>MAX(IF(AF33=0,0,2.5*AF89/AF33),1)</f>
        <v>1</v>
      </c>
      <c r="AG88" s="14">
        <f>MAX(IF(AG33=0,0,2.5*AG89/AG33),1)</f>
        <v>1</v>
      </c>
      <c r="AH88" s="13">
        <f>MAX(IF(AH33=0,0,2.5*AH89/AH33),1)</f>
        <v>1</v>
      </c>
      <c r="AI88" s="44">
        <f>MAX(IF(AI33=0,0,2.5*AI89/AI33),1)</f>
        <v>1</v>
      </c>
      <c r="AJ88" s="44">
        <f>MAX(IF(AJ33=0,0,2.5*AJ89/AJ33),1)</f>
        <v>1</v>
      </c>
      <c r="AK88" s="14">
        <f>MAX(IF(AK33=0,0,2.5*AK89/AK33),1)</f>
        <v>1</v>
      </c>
      <c r="AL88" s="13">
        <f>MAX(IF(AL33=0,0,2.5*AL89/AL33),1)</f>
        <v>1</v>
      </c>
      <c r="AM88" s="44">
        <f>MAX(IF(AM33=0,0,2.5*AM89/AM33),1)</f>
        <v>1</v>
      </c>
      <c r="AN88" s="44">
        <f>MAX(IF(AN33=0,0,2.5*AN89/AN33),1)</f>
        <v>1</v>
      </c>
      <c r="AO88" s="14">
        <f>MAX(IF(AO33=0,0,2.5*AO89/AO33),1)</f>
        <v>1</v>
      </c>
      <c r="AP88" s="13">
        <f>MAX(IF(AP33=0,0,2.5*AP89/AP33),1)</f>
        <v>1</v>
      </c>
      <c r="AQ88" s="44">
        <f>MAX(IF(AQ33=0,0,2.5*AQ89/AQ33),1)</f>
        <v>1</v>
      </c>
      <c r="AR88" s="44">
        <f>MAX(IF(AR33=0,0,2.5*AR89/AR33),1)</f>
        <v>1</v>
      </c>
      <c r="AS88" s="14">
        <f>MAX(IF(AS33=0,0,2.5*AS89/AS33),1)</f>
        <v>1</v>
      </c>
      <c r="AT88" s="13">
        <f>MAX(IF(AT33=0,0,2.5*AT89/AT33),1)</f>
        <v>1</v>
      </c>
      <c r="AU88" s="44">
        <f>MAX(IF(AU33=0,0,2.5*AU89/AU33),1)</f>
        <v>1</v>
      </c>
      <c r="AV88" s="44">
        <f>MAX(IF(AV33=0,0,2.5*AV89/AV33),1)</f>
        <v>1</v>
      </c>
      <c r="AW88" s="14">
        <f>MAX(IF(AW33=0,0,2.5*AW89/AW33),1)</f>
        <v>1</v>
      </c>
      <c r="AX88" s="13">
        <f>MAX(IF(AX33=0,0,2.5*AX89/AX33),1)</f>
        <v>1</v>
      </c>
      <c r="AY88" s="44">
        <f>MAX(IF(AY33=0,0,2.5*AY89/AY33),1)</f>
        <v>1</v>
      </c>
      <c r="AZ88" s="44">
        <f>MAX(IF(AZ33=0,0,2.5*AZ89/AZ33),1)</f>
        <v>1</v>
      </c>
      <c r="BA88" s="14">
        <f>MAX(IF(BA33=0,0,2.5*BA89/BA33),1)</f>
        <v>1</v>
      </c>
      <c r="BB88" s="13">
        <f>MAX(IF(BB33=0,0,2.5*BB89/BB33),1)</f>
        <v>1</v>
      </c>
      <c r="BC88" s="44">
        <f>MAX(IF(BC33=0,0,2.5*BC89/BC33),1)</f>
        <v>1</v>
      </c>
      <c r="BD88" s="44">
        <f>MAX(IF(BD33=0,0,2.5*BD89/BD33),1)</f>
        <v>1</v>
      </c>
      <c r="BE88" s="14">
        <f>MAX(IF(BE33=0,0,2.5*BE89/BE33),1)</f>
        <v>1</v>
      </c>
      <c r="BF88" s="13">
        <f>MAX(IF(BF33=0,0,2.5*BF89/BF33),1)</f>
        <v>1</v>
      </c>
      <c r="BG88" s="44">
        <f>MAX(IF(BG33=0,0,2.5*BG89/BG33),1)</f>
        <v>1</v>
      </c>
      <c r="BH88" s="44">
        <f>MAX(IF(BH33=0,0,2.5*BH89/BH33),1)</f>
        <v>1</v>
      </c>
      <c r="BI88" s="14">
        <f>MAX(IF(BI33=0,0,2.5*BI89/BI33),1)</f>
        <v>1</v>
      </c>
      <c r="BJ88" s="13">
        <f>MAX(IF(BJ33=0,0,2.5*BJ89/BJ33),1)</f>
        <v>1</v>
      </c>
      <c r="BK88" s="44">
        <f>MAX(IF(BK33=0,0,2.5*BK89/BK33),1)</f>
        <v>1</v>
      </c>
      <c r="BL88" s="44">
        <f>MAX(IF(BL33=0,0,2.5*BL89/BL33),1)</f>
        <v>1</v>
      </c>
      <c r="BM88" s="14">
        <f>MAX(IF(BM33=0,0,2.5*BM89/BM33),1)</f>
        <v>1</v>
      </c>
      <c r="BN88" s="13">
        <f>MAX(IF(BN33=0,0,2.5*BN89/BN33),1)</f>
        <v>1</v>
      </c>
      <c r="BO88" s="44">
        <f>MAX(IF(BO33=0,0,2.5*BO89/BO33),1)</f>
        <v>1</v>
      </c>
      <c r="BP88" s="44">
        <f>MAX(IF(BP33=0,0,2.5*BP89/BP33),1)</f>
        <v>1</v>
      </c>
      <c r="BQ88" s="14">
        <f>MAX(IF(BQ33=0,0,2.5*BQ89/BQ33),1)</f>
        <v>1</v>
      </c>
      <c r="BR88" s="13">
        <f>MAX(IF(BR33=0,0,2.5*BR89/BR33),1)</f>
        <v>1</v>
      </c>
      <c r="BS88" s="44">
        <f>MAX(IF(BS33=0,0,2.5*BS89/BS33),1)</f>
        <v>1</v>
      </c>
      <c r="BT88" s="44">
        <f>MAX(IF(BT33=0,0,2.5*BT89/BT33),1)</f>
        <v>1</v>
      </c>
      <c r="BU88" s="14">
        <f>MAX(IF(BU33=0,0,2.5*BU89/BU33),1)</f>
        <v>1</v>
      </c>
      <c r="BV88" s="13">
        <f>MAX(IF(BV33=0,0,2.5*BV89/BV33),1)</f>
        <v>1</v>
      </c>
      <c r="BW88" s="44">
        <f>MAX(IF(BW33=0,0,2.5*BW89/BW33),1)</f>
        <v>1</v>
      </c>
      <c r="BX88" s="44">
        <f>MAX(IF(BX33=0,0,2.5*BX89/BX33),1)</f>
        <v>1</v>
      </c>
      <c r="BY88" s="14">
        <f>MAX(IF(BY33=0,0,2.5*BY89/BY33),1)</f>
        <v>1</v>
      </c>
      <c r="BZ88" s="13">
        <f>MAX(IF(BZ33=0,0,2.5*BZ89/BZ33),1)</f>
        <v>1</v>
      </c>
      <c r="CA88" s="44">
        <f>MAX(IF(CA33=0,0,2.5*CA89/CA33),1)</f>
        <v>1</v>
      </c>
      <c r="CB88" s="44">
        <f>MAX(IF(CB33=0,0,2.5*CB89/CB33),1)</f>
        <v>1</v>
      </c>
      <c r="CC88" s="14">
        <f>MAX(IF(CC33=0,0,2.5*CC89/CC33),1)</f>
        <v>1</v>
      </c>
      <c r="CD88" s="13">
        <f>MAX(IF(CD33=0,0,2.5*CD89/CD33),1)</f>
        <v>1</v>
      </c>
      <c r="CE88" s="44">
        <f>MAX(IF(CE33=0,0,2.5*CE89/CE33),1)</f>
        <v>1</v>
      </c>
      <c r="CF88" s="44">
        <f>MAX(IF(CF33=0,0,2.5*CF89/CF33),1)</f>
        <v>1</v>
      </c>
      <c r="CG88" s="14">
        <f>MAX(IF(CG33=0,0,2.5*CG89/CG33),1)</f>
        <v>1</v>
      </c>
      <c r="CH88" s="13">
        <f>MAX(IF(CH33=0,0,2.5*CH89/CH33),1)</f>
        <v>1</v>
      </c>
      <c r="CI88" s="44">
        <f>MAX(IF(CI33=0,0,2.5*CI89/CI33),1)</f>
        <v>1</v>
      </c>
      <c r="CJ88" s="44">
        <f>MAX(IF(CJ33=0,0,2.5*CJ89/CJ33),1)</f>
        <v>1</v>
      </c>
      <c r="CK88" s="14">
        <f>MAX(IF(CK33=0,0,2.5*CK89/CK33),1)</f>
        <v>1</v>
      </c>
      <c r="CL88" s="49"/>
      <c r="CM88" s="28"/>
    </row>
    <row r="89" spans="2:91" ht="14.25" x14ac:dyDescent="0.25">
      <c r="B89" s="55"/>
      <c r="C89" s="10" t="s">
        <v>310</v>
      </c>
      <c r="D89" s="93" t="s">
        <v>500</v>
      </c>
      <c r="E89" s="125">
        <f>((E21/3600)*EXP(E87*E21/3600) + E49*EXP(-E49*E87))/(((E21/3600)+E49)*EXP(((E21/3600)-E49))*E87)</f>
        <v>3.8985468704999048E-2</v>
      </c>
      <c r="F89" s="13">
        <f>((F21/3600)*EXP(F87*F21/3600) + F49*EXP(-F49*F87))/(((F21/3600)+F49)*EXP(((F21/3600)-F49))*F87)</f>
        <v>4.443618419739964E-3</v>
      </c>
      <c r="G89" s="44">
        <f>((G21/3600)*EXP(G87*G21/3600) + G49*EXP(-G49*G87))/(((G21/3600)+G49)*EXP(((G21/3600)-G49))*G87)</f>
        <v>4.443618419739964E-3</v>
      </c>
      <c r="H89" s="44">
        <f>((H21/3600)*EXP(H87*H21/3600) + H49*EXP(-H49*H87))/(((H21/3600)+H49)*EXP(((H21/3600)-H49))*H87)</f>
        <v>2.0678574117255807E-2</v>
      </c>
      <c r="I89" s="14">
        <f>((I21/3600)*EXP(I87*I21/3600) + I49*EXP(-I49*I87))/(((I21/3600)+I49)*EXP(((I21/3600)-I49))*I87)</f>
        <v>2.0678574117255807E-2</v>
      </c>
      <c r="J89" s="13" t="e">
        <f>((J21/3600)*EXP(J87*J21/3600) + J49*EXP(-J49*J87))/(((J21/3600)+J49)*EXP(((J21/3600)-J49))*J87)</f>
        <v>#DIV/0!</v>
      </c>
      <c r="K89" s="44">
        <f>((K21/3600)*EXP(K87*K21/3600) + K49*EXP(-K49*K87))/(((K21/3600)+K49)*EXP(((K21/3600)-K49))*K87)</f>
        <v>0.1547708980856595</v>
      </c>
      <c r="L89" s="44">
        <f>((L21/3600)*EXP(L87*L21/3600) + L49*EXP(-L49*L87))/(((L21/3600)+L49)*EXP(((L21/3600)-L49))*L87)</f>
        <v>2.5370776978518667E-2</v>
      </c>
      <c r="M89" s="14">
        <f>((M21/3600)*EXP(M87*M21/3600) + M49*EXP(-M49*M87))/(((M21/3600)+M49)*EXP(((M21/3600)-M49))*M87)</f>
        <v>2.5370776978518667E-2</v>
      </c>
      <c r="N89" s="13" t="e">
        <f>((N21/3600)*EXP(N87*N21/3600) + N49*EXP(-N49*N87))/(((N21/3600)+N49)*EXP(((N21/3600)-N49))*N87)</f>
        <v>#DIV/0!</v>
      </c>
      <c r="O89" s="44" t="e">
        <f>((O21/3600)*EXP(O87*O21/3600) + O49*EXP(-O49*O87))/(((O21/3600)+O49)*EXP(((O21/3600)-O49))*O87)</f>
        <v>#DIV/0!</v>
      </c>
      <c r="P89" s="44" t="e">
        <f>((P21/3600)*EXP(P87*P21/3600) + P49*EXP(-P49*P87))/(((P21/3600)+P49)*EXP(((P21/3600)-P49))*P87)</f>
        <v>#DIV/0!</v>
      </c>
      <c r="Q89" s="14" t="e">
        <f>((Q21/3600)*EXP(Q87*Q21/3600) + Q49*EXP(-Q49*Q87))/(((Q21/3600)+Q49)*EXP(((Q21/3600)-Q49))*Q87)</f>
        <v>#DIV/0!</v>
      </c>
      <c r="R89" s="13" t="e">
        <f>((R21/3600)*EXP(R87*R21/3600) + R49*EXP(-R49*R87))/(((R21/3600)+R49)*EXP(((R21/3600)-R49))*R87)</f>
        <v>#DIV/0!</v>
      </c>
      <c r="S89" s="44" t="e">
        <f>((S21/3600)*EXP(S87*S21/3600) + S49*EXP(-S49*S87))/(((S21/3600)+S49)*EXP(((S21/3600)-S49))*S87)</f>
        <v>#DIV/0!</v>
      </c>
      <c r="T89" s="44" t="e">
        <f>((T21/3600)*EXP(T87*T21/3600) + T49*EXP(-T49*T87))/(((T21/3600)+T49)*EXP(((T21/3600)-T49))*T87)</f>
        <v>#DIV/0!</v>
      </c>
      <c r="U89" s="14" t="e">
        <f>((U21/3600)*EXP(U87*U21/3600) + U49*EXP(-U49*U87))/(((U21/3600)+U49)*EXP(((U21/3600)-U49))*U87)</f>
        <v>#DIV/0!</v>
      </c>
      <c r="V89" s="13" t="e">
        <f>((V21/3600)*EXP(V87*V21/3600) + V49*EXP(-V49*V87))/(((V21/3600)+V49)*EXP(((V21/3600)-V49))*V87)</f>
        <v>#DIV/0!</v>
      </c>
      <c r="W89" s="44" t="e">
        <f>((W21/3600)*EXP(W87*W21/3600) + W49*EXP(-W49*W87))/(((W21/3600)+W49)*EXP(((W21/3600)-W49))*W87)</f>
        <v>#DIV/0!</v>
      </c>
      <c r="X89" s="44" t="e">
        <f>((X21/3600)*EXP(X87*X21/3600) + X49*EXP(-X49*X87))/(((X21/3600)+X49)*EXP(((X21/3600)-X49))*X87)</f>
        <v>#DIV/0!</v>
      </c>
      <c r="Y89" s="14" t="e">
        <f>((Y21/3600)*EXP(Y87*Y21/3600) + Y49*EXP(-Y49*Y87))/(((Y21/3600)+Y49)*EXP(((Y21/3600)-Y49))*Y87)</f>
        <v>#DIV/0!</v>
      </c>
      <c r="Z89" s="13" t="e">
        <f>((Z21/3600)*EXP(Z87*Z21/3600) + Z49*EXP(-Z49*Z87))/(((Z21/3600)+Z49)*EXP(((Z21/3600)-Z49))*Z87)</f>
        <v>#DIV/0!</v>
      </c>
      <c r="AA89" s="44" t="e">
        <f>((AA21/3600)*EXP(AA87*AA21/3600) + AA49*EXP(-AA49*AA87))/(((AA21/3600)+AA49)*EXP(((AA21/3600)-AA49))*AA87)</f>
        <v>#DIV/0!</v>
      </c>
      <c r="AB89" s="44" t="e">
        <f>((AB21/3600)*EXP(AB87*AB21/3600) + AB49*EXP(-AB49*AB87))/(((AB21/3600)+AB49)*EXP(((AB21/3600)-AB49))*AB87)</f>
        <v>#DIV/0!</v>
      </c>
      <c r="AC89" s="14" t="e">
        <f>((AC21/3600)*EXP(AC87*AC21/3600) + AC49*EXP(-AC49*AC87))/(((AC21/3600)+AC49)*EXP(((AC21/3600)-AC49))*AC87)</f>
        <v>#DIV/0!</v>
      </c>
      <c r="AD89" s="13" t="e">
        <f>((AD21/3600)*EXP(AD87*AD21/3600) + AD49*EXP(-AD49*AD87))/(((AD21/3600)+AD49)*EXP(((AD21/3600)-AD49))*AD87)</f>
        <v>#DIV/0!</v>
      </c>
      <c r="AE89" s="44" t="e">
        <f>((AE21/3600)*EXP(AE87*AE21/3600) + AE49*EXP(-AE49*AE87))/(((AE21/3600)+AE49)*EXP(((AE21/3600)-AE49))*AE87)</f>
        <v>#DIV/0!</v>
      </c>
      <c r="AF89" s="44" t="e">
        <f>((AF21/3600)*EXP(AF87*AF21/3600) + AF49*EXP(-AF49*AF87))/(((AF21/3600)+AF49)*EXP(((AF21/3600)-AF49))*AF87)</f>
        <v>#DIV/0!</v>
      </c>
      <c r="AG89" s="14" t="e">
        <f>((AG21/3600)*EXP(AG87*AG21/3600) + AG49*EXP(-AG49*AG87))/(((AG21/3600)+AG49)*EXP(((AG21/3600)-AG49))*AG87)</f>
        <v>#DIV/0!</v>
      </c>
      <c r="AH89" s="13" t="e">
        <f>((AH21/3600)*EXP(AH87*AH21/3600) + AH49*EXP(-AH49*AH87))/(((AH21/3600)+AH49)*EXP(((AH21/3600)-AH49))*AH87)</f>
        <v>#DIV/0!</v>
      </c>
      <c r="AI89" s="44" t="e">
        <f>((AI21/3600)*EXP(AI87*AI21/3600) + AI49*EXP(-AI49*AI87))/(((AI21/3600)+AI49)*EXP(((AI21/3600)-AI49))*AI87)</f>
        <v>#DIV/0!</v>
      </c>
      <c r="AJ89" s="44" t="e">
        <f>((AJ21/3600)*EXP(AJ87*AJ21/3600) + AJ49*EXP(-AJ49*AJ87))/(((AJ21/3600)+AJ49)*EXP(((AJ21/3600)-AJ49))*AJ87)</f>
        <v>#DIV/0!</v>
      </c>
      <c r="AK89" s="14" t="e">
        <f>((AK21/3600)*EXP(AK87*AK21/3600) + AK49*EXP(-AK49*AK87))/(((AK21/3600)+AK49)*EXP(((AK21/3600)-AK49))*AK87)</f>
        <v>#DIV/0!</v>
      </c>
      <c r="AL89" s="13" t="e">
        <f>((AL21/3600)*EXP(AL87*AL21/3600) + AL49*EXP(-AL49*AL87))/(((AL21/3600)+AL49)*EXP(((AL21/3600)-AL49))*AL87)</f>
        <v>#DIV/0!</v>
      </c>
      <c r="AM89" s="44" t="e">
        <f>((AM21/3600)*EXP(AM87*AM21/3600) + AM49*EXP(-AM49*AM87))/(((AM21/3600)+AM49)*EXP(((AM21/3600)-AM49))*AM87)</f>
        <v>#DIV/0!</v>
      </c>
      <c r="AN89" s="44" t="e">
        <f>((AN21/3600)*EXP(AN87*AN21/3600) + AN49*EXP(-AN49*AN87))/(((AN21/3600)+AN49)*EXP(((AN21/3600)-AN49))*AN87)</f>
        <v>#DIV/0!</v>
      </c>
      <c r="AO89" s="14" t="e">
        <f>((AO21/3600)*EXP(AO87*AO21/3600) + AO49*EXP(-AO49*AO87))/(((AO21/3600)+AO49)*EXP(((AO21/3600)-AO49))*AO87)</f>
        <v>#DIV/0!</v>
      </c>
      <c r="AP89" s="13" t="e">
        <f>((AP21/3600)*EXP(AP87*AP21/3600) + AP49*EXP(-AP49*AP87))/(((AP21/3600)+AP49)*EXP(((AP21/3600)-AP49))*AP87)</f>
        <v>#DIV/0!</v>
      </c>
      <c r="AQ89" s="44" t="e">
        <f>((AQ21/3600)*EXP(AQ87*AQ21/3600) + AQ49*EXP(-AQ49*AQ87))/(((AQ21/3600)+AQ49)*EXP(((AQ21/3600)-AQ49))*AQ87)</f>
        <v>#DIV/0!</v>
      </c>
      <c r="AR89" s="44" t="e">
        <f>((AR21/3600)*EXP(AR87*AR21/3600) + AR49*EXP(-AR49*AR87))/(((AR21/3600)+AR49)*EXP(((AR21/3600)-AR49))*AR87)</f>
        <v>#DIV/0!</v>
      </c>
      <c r="AS89" s="14" t="e">
        <f>((AS21/3600)*EXP(AS87*AS21/3600) + AS49*EXP(-AS49*AS87))/(((AS21/3600)+AS49)*EXP(((AS21/3600)-AS49))*AS87)</f>
        <v>#DIV/0!</v>
      </c>
      <c r="AT89" s="13" t="e">
        <f>((AT21/3600)*EXP(AT87*AT21/3600) + AT49*EXP(-AT49*AT87))/(((AT21/3600)+AT49)*EXP(((AT21/3600)-AT49))*AT87)</f>
        <v>#DIV/0!</v>
      </c>
      <c r="AU89" s="44" t="e">
        <f>((AU21/3600)*EXP(AU87*AU21/3600) + AU49*EXP(-AU49*AU87))/(((AU21/3600)+AU49)*EXP(((AU21/3600)-AU49))*AU87)</f>
        <v>#DIV/0!</v>
      </c>
      <c r="AV89" s="44" t="e">
        <f>((AV21/3600)*EXP(AV87*AV21/3600) + AV49*EXP(-AV49*AV87))/(((AV21/3600)+AV49)*EXP(((AV21/3600)-AV49))*AV87)</f>
        <v>#DIV/0!</v>
      </c>
      <c r="AW89" s="14" t="e">
        <f>((AW21/3600)*EXP(AW87*AW21/3600) + AW49*EXP(-AW49*AW87))/(((AW21/3600)+AW49)*EXP(((AW21/3600)-AW49))*AW87)</f>
        <v>#DIV/0!</v>
      </c>
      <c r="AX89" s="13" t="e">
        <f>((AX21/3600)*EXP(AX87*AX21/3600) + AX49*EXP(-AX49*AX87))/(((AX21/3600)+AX49)*EXP(((AX21/3600)-AX49))*AX87)</f>
        <v>#DIV/0!</v>
      </c>
      <c r="AY89" s="44" t="e">
        <f>((AY21/3600)*EXP(AY87*AY21/3600) + AY49*EXP(-AY49*AY87))/(((AY21/3600)+AY49)*EXP(((AY21/3600)-AY49))*AY87)</f>
        <v>#DIV/0!</v>
      </c>
      <c r="AZ89" s="44" t="e">
        <f>((AZ21/3600)*EXP(AZ87*AZ21/3600) + AZ49*EXP(-AZ49*AZ87))/(((AZ21/3600)+AZ49)*EXP(((AZ21/3600)-AZ49))*AZ87)</f>
        <v>#DIV/0!</v>
      </c>
      <c r="BA89" s="14" t="e">
        <f>((BA21/3600)*EXP(BA87*BA21/3600) + BA49*EXP(-BA49*BA87))/(((BA21/3600)+BA49)*EXP(((BA21/3600)-BA49))*BA87)</f>
        <v>#DIV/0!</v>
      </c>
      <c r="BB89" s="13" t="e">
        <f>((BB21/3600)*EXP(BB87*BB21/3600) + BB49*EXP(-BB49*BB87))/(((BB21/3600)+BB49)*EXP(((BB21/3600)-BB49))*BB87)</f>
        <v>#DIV/0!</v>
      </c>
      <c r="BC89" s="44" t="e">
        <f>((BC21/3600)*EXP(BC87*BC21/3600) + BC49*EXP(-BC49*BC87))/(((BC21/3600)+BC49)*EXP(((BC21/3600)-BC49))*BC87)</f>
        <v>#DIV/0!</v>
      </c>
      <c r="BD89" s="44" t="e">
        <f>((BD21/3600)*EXP(BD87*BD21/3600) + BD49*EXP(-BD49*BD87))/(((BD21/3600)+BD49)*EXP(((BD21/3600)-BD49))*BD87)</f>
        <v>#DIV/0!</v>
      </c>
      <c r="BE89" s="14" t="e">
        <f>((BE21/3600)*EXP(BE87*BE21/3600) + BE49*EXP(-BE49*BE87))/(((BE21/3600)+BE49)*EXP(((BE21/3600)-BE49))*BE87)</f>
        <v>#DIV/0!</v>
      </c>
      <c r="BF89" s="13" t="e">
        <f>((BF21/3600)*EXP(BF87*BF21/3600) + BF49*EXP(-BF49*BF87))/(((BF21/3600)+BF49)*EXP(((BF21/3600)-BF49))*BF87)</f>
        <v>#DIV/0!</v>
      </c>
      <c r="BG89" s="44" t="e">
        <f>((BG21/3600)*EXP(BG87*BG21/3600) + BG49*EXP(-BG49*BG87))/(((BG21/3600)+BG49)*EXP(((BG21/3600)-BG49))*BG87)</f>
        <v>#DIV/0!</v>
      </c>
      <c r="BH89" s="44" t="e">
        <f>((BH21/3600)*EXP(BH87*BH21/3600) + BH49*EXP(-BH49*BH87))/(((BH21/3600)+BH49)*EXP(((BH21/3600)-BH49))*BH87)</f>
        <v>#DIV/0!</v>
      </c>
      <c r="BI89" s="14" t="e">
        <f>((BI21/3600)*EXP(BI87*BI21/3600) + BI49*EXP(-BI49*BI87))/(((BI21/3600)+BI49)*EXP(((BI21/3600)-BI49))*BI87)</f>
        <v>#DIV/0!</v>
      </c>
      <c r="BJ89" s="13" t="e">
        <f>((BJ21/3600)*EXP(BJ87*BJ21/3600) + BJ49*EXP(-BJ49*BJ87))/(((BJ21/3600)+BJ49)*EXP(((BJ21/3600)-BJ49))*BJ87)</f>
        <v>#DIV/0!</v>
      </c>
      <c r="BK89" s="44" t="e">
        <f>((BK21/3600)*EXP(BK87*BK21/3600) + BK49*EXP(-BK49*BK87))/(((BK21/3600)+BK49)*EXP(((BK21/3600)-BK49))*BK87)</f>
        <v>#DIV/0!</v>
      </c>
      <c r="BL89" s="44" t="e">
        <f>((BL21/3600)*EXP(BL87*BL21/3600) + BL49*EXP(-BL49*BL87))/(((BL21/3600)+BL49)*EXP(((BL21/3600)-BL49))*BL87)</f>
        <v>#DIV/0!</v>
      </c>
      <c r="BM89" s="14" t="e">
        <f>((BM21/3600)*EXP(BM87*BM21/3600) + BM49*EXP(-BM49*BM87))/(((BM21/3600)+BM49)*EXP(((BM21/3600)-BM49))*BM87)</f>
        <v>#DIV/0!</v>
      </c>
      <c r="BN89" s="13" t="e">
        <f>((BN21/3600)*EXP(BN87*BN21/3600) + BN49*EXP(-BN49*BN87))/(((BN21/3600)+BN49)*EXP(((BN21/3600)-BN49))*BN87)</f>
        <v>#DIV/0!</v>
      </c>
      <c r="BO89" s="44" t="e">
        <f>((BO21/3600)*EXP(BO87*BO21/3600) + BO49*EXP(-BO49*BO87))/(((BO21/3600)+BO49)*EXP(((BO21/3600)-BO49))*BO87)</f>
        <v>#DIV/0!</v>
      </c>
      <c r="BP89" s="44" t="e">
        <f>((BP21/3600)*EXP(BP87*BP21/3600) + BP49*EXP(-BP49*BP87))/(((BP21/3600)+BP49)*EXP(((BP21/3600)-BP49))*BP87)</f>
        <v>#DIV/0!</v>
      </c>
      <c r="BQ89" s="14" t="e">
        <f>((BQ21/3600)*EXP(BQ87*BQ21/3600) + BQ49*EXP(-BQ49*BQ87))/(((BQ21/3600)+BQ49)*EXP(((BQ21/3600)-BQ49))*BQ87)</f>
        <v>#DIV/0!</v>
      </c>
      <c r="BR89" s="13" t="e">
        <f>((BR21/3600)*EXP(BR87*BR21/3600) + BR49*EXP(-BR49*BR87))/(((BR21/3600)+BR49)*EXP(((BR21/3600)-BR49))*BR87)</f>
        <v>#DIV/0!</v>
      </c>
      <c r="BS89" s="44" t="e">
        <f>((BS21/3600)*EXP(BS87*BS21/3600) + BS49*EXP(-BS49*BS87))/(((BS21/3600)+BS49)*EXP(((BS21/3600)-BS49))*BS87)</f>
        <v>#DIV/0!</v>
      </c>
      <c r="BT89" s="44" t="e">
        <f>((BT21/3600)*EXP(BT87*BT21/3600) + BT49*EXP(-BT49*BT87))/(((BT21/3600)+BT49)*EXP(((BT21/3600)-BT49))*BT87)</f>
        <v>#DIV/0!</v>
      </c>
      <c r="BU89" s="14" t="e">
        <f>((BU21/3600)*EXP(BU87*BU21/3600) + BU49*EXP(-BU49*BU87))/(((BU21/3600)+BU49)*EXP(((BU21/3600)-BU49))*BU87)</f>
        <v>#DIV/0!</v>
      </c>
      <c r="BV89" s="13" t="e">
        <f>((BV21/3600)*EXP(BV87*BV21/3600) + BV49*EXP(-BV49*BV87))/(((BV21/3600)+BV49)*EXP(((BV21/3600)-BV49))*BV87)</f>
        <v>#DIV/0!</v>
      </c>
      <c r="BW89" s="44" t="e">
        <f>((BW21/3600)*EXP(BW87*BW21/3600) + BW49*EXP(-BW49*BW87))/(((BW21/3600)+BW49)*EXP(((BW21/3600)-BW49))*BW87)</f>
        <v>#DIV/0!</v>
      </c>
      <c r="BX89" s="44" t="e">
        <f>((BX21/3600)*EXP(BX87*BX21/3600) + BX49*EXP(-BX49*BX87))/(((BX21/3600)+BX49)*EXP(((BX21/3600)-BX49))*BX87)</f>
        <v>#DIV/0!</v>
      </c>
      <c r="BY89" s="14" t="e">
        <f>((BY21/3600)*EXP(BY87*BY21/3600) + BY49*EXP(-BY49*BY87))/(((BY21/3600)+BY49)*EXP(((BY21/3600)-BY49))*BY87)</f>
        <v>#DIV/0!</v>
      </c>
      <c r="BZ89" s="13" t="e">
        <f>((BZ21/3600)*EXP(BZ87*BZ21/3600) + BZ49*EXP(-BZ49*BZ87))/(((BZ21/3600)+BZ49)*EXP(((BZ21/3600)-BZ49))*BZ87)</f>
        <v>#DIV/0!</v>
      </c>
      <c r="CA89" s="44" t="e">
        <f>((CA21/3600)*EXP(CA87*CA21/3600) + CA49*EXP(-CA49*CA87))/(((CA21/3600)+CA49)*EXP(((CA21/3600)-CA49))*CA87)</f>
        <v>#DIV/0!</v>
      </c>
      <c r="CB89" s="44" t="e">
        <f>((CB21/3600)*EXP(CB87*CB21/3600) + CB49*EXP(-CB49*CB87))/(((CB21/3600)+CB49)*EXP(((CB21/3600)-CB49))*CB87)</f>
        <v>#DIV/0!</v>
      </c>
      <c r="CC89" s="14" t="e">
        <f>((CC21/3600)*EXP(CC87*CC21/3600) + CC49*EXP(-CC49*CC87))/(((CC21/3600)+CC49)*EXP(((CC21/3600)-CC49))*CC87)</f>
        <v>#DIV/0!</v>
      </c>
      <c r="CD89" s="13" t="e">
        <f>((CD21/3600)*EXP(CD87*CD21/3600) + CD49*EXP(-CD49*CD87))/(((CD21/3600)+CD49)*EXP(((CD21/3600)-CD49))*CD87)</f>
        <v>#DIV/0!</v>
      </c>
      <c r="CE89" s="44" t="e">
        <f>((CE21/3600)*EXP(CE87*CE21/3600) + CE49*EXP(-CE49*CE87))/(((CE21/3600)+CE49)*EXP(((CE21/3600)-CE49))*CE87)</f>
        <v>#DIV/0!</v>
      </c>
      <c r="CF89" s="44" t="e">
        <f>((CF21/3600)*EXP(CF87*CF21/3600) + CF49*EXP(-CF49*CF87))/(((CF21/3600)+CF49)*EXP(((CF21/3600)-CF49))*CF87)</f>
        <v>#DIV/0!</v>
      </c>
      <c r="CG89" s="14" t="e">
        <f>((CG21/3600)*EXP(CG87*CG21/3600) + CG49*EXP(-CG49*CG87))/(((CG21/3600)+CG49)*EXP(((CG21/3600)-CG49))*CG87)</f>
        <v>#DIV/0!</v>
      </c>
      <c r="CH89" s="13" t="e">
        <f>((CH21/3600)*EXP(CH87*CH21/3600) + CH49*EXP(-CH49*CH87))/(((CH21/3600)+CH49)*EXP(((CH21/3600)-CH49))*CH87)</f>
        <v>#DIV/0!</v>
      </c>
      <c r="CI89" s="44" t="e">
        <f>((CI21/3600)*EXP(CI87*CI21/3600) + CI49*EXP(-CI49*CI87))/(((CI21/3600)+CI49)*EXP(((CI21/3600)-CI49))*CI87)</f>
        <v>#DIV/0!</v>
      </c>
      <c r="CJ89" s="44" t="e">
        <f>((CJ21/3600)*EXP(CJ87*CJ21/3600) + CJ49*EXP(-CJ49*CJ87))/(((CJ21/3600)+CJ49)*EXP(((CJ21/3600)-CJ49))*CJ87)</f>
        <v>#DIV/0!</v>
      </c>
      <c r="CK89" s="14" t="e">
        <f>((CK21/3600)*EXP(CK87*CK21/3600) + CK49*EXP(-CK49*CK87))/(((CK21/3600)+CK49)*EXP(((CK21/3600)-CK49))*CK87)</f>
        <v>#DIV/0!</v>
      </c>
      <c r="CL89" s="49"/>
      <c r="CM89" s="28"/>
    </row>
    <row r="90" spans="2:91" ht="14.25" x14ac:dyDescent="0.25">
      <c r="B90" s="55"/>
      <c r="C90" s="10" t="s">
        <v>311</v>
      </c>
      <c r="D90" s="93" t="s">
        <v>503</v>
      </c>
      <c r="E90" s="125">
        <f>E87+2*(E88-1)</f>
        <v>8.4</v>
      </c>
      <c r="F90" s="13">
        <f>F87+2*(F88-1)</f>
        <v>10.199999999999999</v>
      </c>
      <c r="G90" s="44">
        <f>G87+2*(G88-1)</f>
        <v>10.199999999999999</v>
      </c>
      <c r="H90" s="44">
        <f>H87+2*(H88-1)</f>
        <v>8.6</v>
      </c>
      <c r="I90" s="14">
        <f>I87+2*(I88-1)</f>
        <v>8.6</v>
      </c>
      <c r="J90" s="13" t="e">
        <f>J87+2*(J88-1)</f>
        <v>#DIV/0!</v>
      </c>
      <c r="K90" s="44">
        <f>K87+2*(K88-1)</f>
        <v>6.2</v>
      </c>
      <c r="L90" s="44">
        <f>L87+2*(L88-1)</f>
        <v>8.6</v>
      </c>
      <c r="M90" s="14">
        <f>M87+2*(M88-1)</f>
        <v>8.6</v>
      </c>
      <c r="N90" s="13" t="e">
        <f>N87+2*(N88-1)</f>
        <v>#DIV/0!</v>
      </c>
      <c r="O90" s="44" t="e">
        <f>O87+2*(O88-1)</f>
        <v>#DIV/0!</v>
      </c>
      <c r="P90" s="44" t="e">
        <f>P87+2*(P88-1)</f>
        <v>#DIV/0!</v>
      </c>
      <c r="Q90" s="14" t="e">
        <f>Q87+2*(Q88-1)</f>
        <v>#DIV/0!</v>
      </c>
      <c r="R90" s="13" t="e">
        <f>R87+2*(R88-1)</f>
        <v>#DIV/0!</v>
      </c>
      <c r="S90" s="44" t="e">
        <f>S87+2*(S88-1)</f>
        <v>#DIV/0!</v>
      </c>
      <c r="T90" s="44" t="e">
        <f>T87+2*(T88-1)</f>
        <v>#DIV/0!</v>
      </c>
      <c r="U90" s="14" t="e">
        <f>U87+2*(U88-1)</f>
        <v>#DIV/0!</v>
      </c>
      <c r="V90" s="13" t="e">
        <f>V87+2*(V88-1)</f>
        <v>#DIV/0!</v>
      </c>
      <c r="W90" s="44" t="e">
        <f>W87+2*(W88-1)</f>
        <v>#DIV/0!</v>
      </c>
      <c r="X90" s="44" t="e">
        <f>X87+2*(X88-1)</f>
        <v>#DIV/0!</v>
      </c>
      <c r="Y90" s="14" t="e">
        <f>Y87+2*(Y88-1)</f>
        <v>#DIV/0!</v>
      </c>
      <c r="Z90" s="13" t="e">
        <f>Z87+2*(Z88-1)</f>
        <v>#DIV/0!</v>
      </c>
      <c r="AA90" s="44" t="e">
        <f>AA87+2*(AA88-1)</f>
        <v>#DIV/0!</v>
      </c>
      <c r="AB90" s="44" t="e">
        <f>AB87+2*(AB88-1)</f>
        <v>#DIV/0!</v>
      </c>
      <c r="AC90" s="14" t="e">
        <f>AC87+2*(AC88-1)</f>
        <v>#DIV/0!</v>
      </c>
      <c r="AD90" s="13" t="e">
        <f>AD87+2*(AD88-1)</f>
        <v>#DIV/0!</v>
      </c>
      <c r="AE90" s="44" t="e">
        <f>AE87+2*(AE88-1)</f>
        <v>#DIV/0!</v>
      </c>
      <c r="AF90" s="44" t="e">
        <f>AF87+2*(AF88-1)</f>
        <v>#DIV/0!</v>
      </c>
      <c r="AG90" s="14" t="e">
        <f>AG87+2*(AG88-1)</f>
        <v>#DIV/0!</v>
      </c>
      <c r="AH90" s="13" t="e">
        <f>AH87+2*(AH88-1)</f>
        <v>#DIV/0!</v>
      </c>
      <c r="AI90" s="44" t="e">
        <f>AI87+2*(AI88-1)</f>
        <v>#DIV/0!</v>
      </c>
      <c r="AJ90" s="44" t="e">
        <f>AJ87+2*(AJ88-1)</f>
        <v>#DIV/0!</v>
      </c>
      <c r="AK90" s="14" t="e">
        <f>AK87+2*(AK88-1)</f>
        <v>#DIV/0!</v>
      </c>
      <c r="AL90" s="13" t="e">
        <f>AL87+2*(AL88-1)</f>
        <v>#DIV/0!</v>
      </c>
      <c r="AM90" s="44" t="e">
        <f>AM87+2*(AM88-1)</f>
        <v>#DIV/0!</v>
      </c>
      <c r="AN90" s="44" t="e">
        <f>AN87+2*(AN88-1)</f>
        <v>#DIV/0!</v>
      </c>
      <c r="AO90" s="14" t="e">
        <f>AO87+2*(AO88-1)</f>
        <v>#DIV/0!</v>
      </c>
      <c r="AP90" s="13" t="e">
        <f>AP87+2*(AP88-1)</f>
        <v>#DIV/0!</v>
      </c>
      <c r="AQ90" s="44" t="e">
        <f>AQ87+2*(AQ88-1)</f>
        <v>#DIV/0!</v>
      </c>
      <c r="AR90" s="44" t="e">
        <f>AR87+2*(AR88-1)</f>
        <v>#DIV/0!</v>
      </c>
      <c r="AS90" s="14" t="e">
        <f>AS87+2*(AS88-1)</f>
        <v>#DIV/0!</v>
      </c>
      <c r="AT90" s="13" t="e">
        <f>AT87+2*(AT88-1)</f>
        <v>#DIV/0!</v>
      </c>
      <c r="AU90" s="44" t="e">
        <f>AU87+2*(AU88-1)</f>
        <v>#DIV/0!</v>
      </c>
      <c r="AV90" s="44" t="e">
        <f>AV87+2*(AV88-1)</f>
        <v>#DIV/0!</v>
      </c>
      <c r="AW90" s="14" t="e">
        <f>AW87+2*(AW88-1)</f>
        <v>#DIV/0!</v>
      </c>
      <c r="AX90" s="13" t="e">
        <f>AX87+2*(AX88-1)</f>
        <v>#DIV/0!</v>
      </c>
      <c r="AY90" s="44" t="e">
        <f>AY87+2*(AY88-1)</f>
        <v>#DIV/0!</v>
      </c>
      <c r="AZ90" s="44" t="e">
        <f>AZ87+2*(AZ88-1)</f>
        <v>#DIV/0!</v>
      </c>
      <c r="BA90" s="14" t="e">
        <f>BA87+2*(BA88-1)</f>
        <v>#DIV/0!</v>
      </c>
      <c r="BB90" s="13" t="e">
        <f>BB87+2*(BB88-1)</f>
        <v>#DIV/0!</v>
      </c>
      <c r="BC90" s="44" t="e">
        <f>BC87+2*(BC88-1)</f>
        <v>#DIV/0!</v>
      </c>
      <c r="BD90" s="44" t="e">
        <f>BD87+2*(BD88-1)</f>
        <v>#DIV/0!</v>
      </c>
      <c r="BE90" s="14" t="e">
        <f>BE87+2*(BE88-1)</f>
        <v>#DIV/0!</v>
      </c>
      <c r="BF90" s="13" t="e">
        <f>BF87+2*(BF88-1)</f>
        <v>#DIV/0!</v>
      </c>
      <c r="BG90" s="44" t="e">
        <f>BG87+2*(BG88-1)</f>
        <v>#DIV/0!</v>
      </c>
      <c r="BH90" s="44" t="e">
        <f>BH87+2*(BH88-1)</f>
        <v>#DIV/0!</v>
      </c>
      <c r="BI90" s="14" t="e">
        <f>BI87+2*(BI88-1)</f>
        <v>#DIV/0!</v>
      </c>
      <c r="BJ90" s="13" t="e">
        <f>BJ87+2*(BJ88-1)</f>
        <v>#DIV/0!</v>
      </c>
      <c r="BK90" s="44" t="e">
        <f>BK87+2*(BK88-1)</f>
        <v>#DIV/0!</v>
      </c>
      <c r="BL90" s="44" t="e">
        <f>BL87+2*(BL88-1)</f>
        <v>#DIV/0!</v>
      </c>
      <c r="BM90" s="14" t="e">
        <f>BM87+2*(BM88-1)</f>
        <v>#DIV/0!</v>
      </c>
      <c r="BN90" s="13" t="e">
        <f>BN87+2*(BN88-1)</f>
        <v>#DIV/0!</v>
      </c>
      <c r="BO90" s="44" t="e">
        <f>BO87+2*(BO88-1)</f>
        <v>#DIV/0!</v>
      </c>
      <c r="BP90" s="44" t="e">
        <f>BP87+2*(BP88-1)</f>
        <v>#DIV/0!</v>
      </c>
      <c r="BQ90" s="14" t="e">
        <f>BQ87+2*(BQ88-1)</f>
        <v>#DIV/0!</v>
      </c>
      <c r="BR90" s="13" t="e">
        <f>BR87+2*(BR88-1)</f>
        <v>#DIV/0!</v>
      </c>
      <c r="BS90" s="44" t="e">
        <f>BS87+2*(BS88-1)</f>
        <v>#DIV/0!</v>
      </c>
      <c r="BT90" s="44" t="e">
        <f>BT87+2*(BT88-1)</f>
        <v>#DIV/0!</v>
      </c>
      <c r="BU90" s="14" t="e">
        <f>BU87+2*(BU88-1)</f>
        <v>#DIV/0!</v>
      </c>
      <c r="BV90" s="13" t="e">
        <f>BV87+2*(BV88-1)</f>
        <v>#DIV/0!</v>
      </c>
      <c r="BW90" s="44" t="e">
        <f>BW87+2*(BW88-1)</f>
        <v>#DIV/0!</v>
      </c>
      <c r="BX90" s="44" t="e">
        <f>BX87+2*(BX88-1)</f>
        <v>#DIV/0!</v>
      </c>
      <c r="BY90" s="14" t="e">
        <f>BY87+2*(BY88-1)</f>
        <v>#DIV/0!</v>
      </c>
      <c r="BZ90" s="13" t="e">
        <f>BZ87+2*(BZ88-1)</f>
        <v>#DIV/0!</v>
      </c>
      <c r="CA90" s="44" t="e">
        <f>CA87+2*(CA88-1)</f>
        <v>#DIV/0!</v>
      </c>
      <c r="CB90" s="44" t="e">
        <f>CB87+2*(CB88-1)</f>
        <v>#DIV/0!</v>
      </c>
      <c r="CC90" s="14" t="e">
        <f>CC87+2*(CC88-1)</f>
        <v>#DIV/0!</v>
      </c>
      <c r="CD90" s="13" t="e">
        <f>CD87+2*(CD88-1)</f>
        <v>#DIV/0!</v>
      </c>
      <c r="CE90" s="44" t="e">
        <f>CE87+2*(CE88-1)</f>
        <v>#DIV/0!</v>
      </c>
      <c r="CF90" s="44" t="e">
        <f>CF87+2*(CF88-1)</f>
        <v>#DIV/0!</v>
      </c>
      <c r="CG90" s="14" t="e">
        <f>CG87+2*(CG88-1)</f>
        <v>#DIV/0!</v>
      </c>
      <c r="CH90" s="13" t="e">
        <f>CH87+2*(CH88-1)</f>
        <v>#DIV/0!</v>
      </c>
      <c r="CI90" s="44" t="e">
        <f>CI87+2*(CI88-1)</f>
        <v>#DIV/0!</v>
      </c>
      <c r="CJ90" s="44" t="e">
        <f>CJ87+2*(CJ88-1)</f>
        <v>#DIV/0!</v>
      </c>
      <c r="CK90" s="14" t="e">
        <f>CK87+2*(CK88-1)</f>
        <v>#DIV/0!</v>
      </c>
      <c r="CL90" s="49"/>
      <c r="CM90" s="28"/>
    </row>
    <row r="91" spans="2:91" ht="14.25" x14ac:dyDescent="0.25">
      <c r="B91" s="55"/>
      <c r="C91" s="10" t="s">
        <v>312</v>
      </c>
      <c r="D91" s="93" t="s">
        <v>501</v>
      </c>
      <c r="E91" s="125">
        <f>1-EXP(-E90*E49)</f>
        <v>0.75340303605839354</v>
      </c>
      <c r="F91" s="13">
        <f>1-EXP(-F90*F49)</f>
        <v>0.98719176129993325</v>
      </c>
      <c r="G91" s="44">
        <f>1-EXP(-G90*G49)</f>
        <v>0.98719176129993325</v>
      </c>
      <c r="H91" s="44">
        <f>1-EXP(-H90*H49)</f>
        <v>0.88626554489290921</v>
      </c>
      <c r="I91" s="14">
        <f>1-EXP(-I90*I49)</f>
        <v>0.88626554489290921</v>
      </c>
      <c r="J91" s="13" t="e">
        <f>1-EXP(-J90*J49)</f>
        <v>#DIV/0!</v>
      </c>
      <c r="K91" s="44">
        <f>1-EXP(-K90*K49)</f>
        <v>9.0374426851779655E-2</v>
      </c>
      <c r="L91" s="44">
        <f>1-EXP(-L90*L49)</f>
        <v>0.851730278639104</v>
      </c>
      <c r="M91" s="14">
        <f>1-EXP(-M90*M49)</f>
        <v>0.851730278639104</v>
      </c>
      <c r="N91" s="13" t="e">
        <f>1-EXP(-N90*N49)</f>
        <v>#DIV/0!</v>
      </c>
      <c r="O91" s="44" t="e">
        <f>1-EXP(-O90*O49)</f>
        <v>#DIV/0!</v>
      </c>
      <c r="P91" s="44" t="e">
        <f>1-EXP(-P90*P49)</f>
        <v>#DIV/0!</v>
      </c>
      <c r="Q91" s="14" t="e">
        <f>1-EXP(-Q90*Q49)</f>
        <v>#DIV/0!</v>
      </c>
      <c r="R91" s="13" t="e">
        <f>1-EXP(-R90*R49)</f>
        <v>#DIV/0!</v>
      </c>
      <c r="S91" s="44" t="e">
        <f>1-EXP(-S90*S49)</f>
        <v>#DIV/0!</v>
      </c>
      <c r="T91" s="44" t="e">
        <f>1-EXP(-T90*T49)</f>
        <v>#DIV/0!</v>
      </c>
      <c r="U91" s="14" t="e">
        <f>1-EXP(-U90*U49)</f>
        <v>#DIV/0!</v>
      </c>
      <c r="V91" s="13" t="e">
        <f>1-EXP(-V90*V49)</f>
        <v>#DIV/0!</v>
      </c>
      <c r="W91" s="44" t="e">
        <f>1-EXP(-W90*W49)</f>
        <v>#DIV/0!</v>
      </c>
      <c r="X91" s="44" t="e">
        <f>1-EXP(-X90*X49)</f>
        <v>#DIV/0!</v>
      </c>
      <c r="Y91" s="14" t="e">
        <f>1-EXP(-Y90*Y49)</f>
        <v>#DIV/0!</v>
      </c>
      <c r="Z91" s="13" t="e">
        <f>1-EXP(-Z90*Z49)</f>
        <v>#DIV/0!</v>
      </c>
      <c r="AA91" s="44" t="e">
        <f>1-EXP(-AA90*AA49)</f>
        <v>#DIV/0!</v>
      </c>
      <c r="AB91" s="44" t="e">
        <f>1-EXP(-AB90*AB49)</f>
        <v>#DIV/0!</v>
      </c>
      <c r="AC91" s="14" t="e">
        <f>1-EXP(-AC90*AC49)</f>
        <v>#DIV/0!</v>
      </c>
      <c r="AD91" s="13" t="e">
        <f>1-EXP(-AD90*AD49)</f>
        <v>#DIV/0!</v>
      </c>
      <c r="AE91" s="44" t="e">
        <f>1-EXP(-AE90*AE49)</f>
        <v>#DIV/0!</v>
      </c>
      <c r="AF91" s="44" t="e">
        <f>1-EXP(-AF90*AF49)</f>
        <v>#DIV/0!</v>
      </c>
      <c r="AG91" s="14" t="e">
        <f>1-EXP(-AG90*AG49)</f>
        <v>#DIV/0!</v>
      </c>
      <c r="AH91" s="13" t="e">
        <f>1-EXP(-AH90*AH49)</f>
        <v>#DIV/0!</v>
      </c>
      <c r="AI91" s="44" t="e">
        <f>1-EXP(-AI90*AI49)</f>
        <v>#DIV/0!</v>
      </c>
      <c r="AJ91" s="44" t="e">
        <f>1-EXP(-AJ90*AJ49)</f>
        <v>#DIV/0!</v>
      </c>
      <c r="AK91" s="14" t="e">
        <f>1-EXP(-AK90*AK49)</f>
        <v>#DIV/0!</v>
      </c>
      <c r="AL91" s="13" t="e">
        <f>1-EXP(-AL90*AL49)</f>
        <v>#DIV/0!</v>
      </c>
      <c r="AM91" s="44" t="e">
        <f>1-EXP(-AM90*AM49)</f>
        <v>#DIV/0!</v>
      </c>
      <c r="AN91" s="44" t="e">
        <f>1-EXP(-AN90*AN49)</f>
        <v>#DIV/0!</v>
      </c>
      <c r="AO91" s="14" t="e">
        <f>1-EXP(-AO90*AO49)</f>
        <v>#DIV/0!</v>
      </c>
      <c r="AP91" s="13" t="e">
        <f>1-EXP(-AP90*AP49)</f>
        <v>#DIV/0!</v>
      </c>
      <c r="AQ91" s="44" t="e">
        <f>1-EXP(-AQ90*AQ49)</f>
        <v>#DIV/0!</v>
      </c>
      <c r="AR91" s="44" t="e">
        <f>1-EXP(-AR90*AR49)</f>
        <v>#DIV/0!</v>
      </c>
      <c r="AS91" s="14" t="e">
        <f>1-EXP(-AS90*AS49)</f>
        <v>#DIV/0!</v>
      </c>
      <c r="AT91" s="13" t="e">
        <f>1-EXP(-AT90*AT49)</f>
        <v>#DIV/0!</v>
      </c>
      <c r="AU91" s="44" t="e">
        <f>1-EXP(-AU90*AU49)</f>
        <v>#DIV/0!</v>
      </c>
      <c r="AV91" s="44" t="e">
        <f>1-EXP(-AV90*AV49)</f>
        <v>#DIV/0!</v>
      </c>
      <c r="AW91" s="14" t="e">
        <f>1-EXP(-AW90*AW49)</f>
        <v>#DIV/0!</v>
      </c>
      <c r="AX91" s="13" t="e">
        <f>1-EXP(-AX90*AX49)</f>
        <v>#DIV/0!</v>
      </c>
      <c r="AY91" s="44" t="e">
        <f>1-EXP(-AY90*AY49)</f>
        <v>#DIV/0!</v>
      </c>
      <c r="AZ91" s="44" t="e">
        <f>1-EXP(-AZ90*AZ49)</f>
        <v>#DIV/0!</v>
      </c>
      <c r="BA91" s="14" t="e">
        <f>1-EXP(-BA90*BA49)</f>
        <v>#DIV/0!</v>
      </c>
      <c r="BB91" s="13" t="e">
        <f>1-EXP(-BB90*BB49)</f>
        <v>#DIV/0!</v>
      </c>
      <c r="BC91" s="44" t="e">
        <f>1-EXP(-BC90*BC49)</f>
        <v>#DIV/0!</v>
      </c>
      <c r="BD91" s="44" t="e">
        <f>1-EXP(-BD90*BD49)</f>
        <v>#DIV/0!</v>
      </c>
      <c r="BE91" s="14" t="e">
        <f>1-EXP(-BE90*BE49)</f>
        <v>#DIV/0!</v>
      </c>
      <c r="BF91" s="13" t="e">
        <f>1-EXP(-BF90*BF49)</f>
        <v>#DIV/0!</v>
      </c>
      <c r="BG91" s="44" t="e">
        <f>1-EXP(-BG90*BG49)</f>
        <v>#DIV/0!</v>
      </c>
      <c r="BH91" s="44" t="e">
        <f>1-EXP(-BH90*BH49)</f>
        <v>#DIV/0!</v>
      </c>
      <c r="BI91" s="14" t="e">
        <f>1-EXP(-BI90*BI49)</f>
        <v>#DIV/0!</v>
      </c>
      <c r="BJ91" s="13" t="e">
        <f>1-EXP(-BJ90*BJ49)</f>
        <v>#DIV/0!</v>
      </c>
      <c r="BK91" s="44" t="e">
        <f>1-EXP(-BK90*BK49)</f>
        <v>#DIV/0!</v>
      </c>
      <c r="BL91" s="44" t="e">
        <f>1-EXP(-BL90*BL49)</f>
        <v>#DIV/0!</v>
      </c>
      <c r="BM91" s="14" t="e">
        <f>1-EXP(-BM90*BM49)</f>
        <v>#DIV/0!</v>
      </c>
      <c r="BN91" s="13" t="e">
        <f>1-EXP(-BN90*BN49)</f>
        <v>#DIV/0!</v>
      </c>
      <c r="BO91" s="44" t="e">
        <f>1-EXP(-BO90*BO49)</f>
        <v>#DIV/0!</v>
      </c>
      <c r="BP91" s="44" t="e">
        <f>1-EXP(-BP90*BP49)</f>
        <v>#DIV/0!</v>
      </c>
      <c r="BQ91" s="14" t="e">
        <f>1-EXP(-BQ90*BQ49)</f>
        <v>#DIV/0!</v>
      </c>
      <c r="BR91" s="13" t="e">
        <f>1-EXP(-BR90*BR49)</f>
        <v>#DIV/0!</v>
      </c>
      <c r="BS91" s="44" t="e">
        <f>1-EXP(-BS90*BS49)</f>
        <v>#DIV/0!</v>
      </c>
      <c r="BT91" s="44" t="e">
        <f>1-EXP(-BT90*BT49)</f>
        <v>#DIV/0!</v>
      </c>
      <c r="BU91" s="14" t="e">
        <f>1-EXP(-BU90*BU49)</f>
        <v>#DIV/0!</v>
      </c>
      <c r="BV91" s="13" t="e">
        <f>1-EXP(-BV90*BV49)</f>
        <v>#DIV/0!</v>
      </c>
      <c r="BW91" s="44" t="e">
        <f>1-EXP(-BW90*BW49)</f>
        <v>#DIV/0!</v>
      </c>
      <c r="BX91" s="44" t="e">
        <f>1-EXP(-BX90*BX49)</f>
        <v>#DIV/0!</v>
      </c>
      <c r="BY91" s="14" t="e">
        <f>1-EXP(-BY90*BY49)</f>
        <v>#DIV/0!</v>
      </c>
      <c r="BZ91" s="13" t="e">
        <f>1-EXP(-BZ90*BZ49)</f>
        <v>#DIV/0!</v>
      </c>
      <c r="CA91" s="44" t="e">
        <f>1-EXP(-CA90*CA49)</f>
        <v>#DIV/0!</v>
      </c>
      <c r="CB91" s="44" t="e">
        <f>1-EXP(-CB90*CB49)</f>
        <v>#DIV/0!</v>
      </c>
      <c r="CC91" s="14" t="e">
        <f>1-EXP(-CC90*CC49)</f>
        <v>#DIV/0!</v>
      </c>
      <c r="CD91" s="13" t="e">
        <f>1-EXP(-CD90*CD49)</f>
        <v>#DIV/0!</v>
      </c>
      <c r="CE91" s="44" t="e">
        <f>1-EXP(-CE90*CE49)</f>
        <v>#DIV/0!</v>
      </c>
      <c r="CF91" s="44" t="e">
        <f>1-EXP(-CF90*CF49)</f>
        <v>#DIV/0!</v>
      </c>
      <c r="CG91" s="14" t="e">
        <f>1-EXP(-CG90*CG49)</f>
        <v>#DIV/0!</v>
      </c>
      <c r="CH91" s="13" t="e">
        <f>1-EXP(-CH90*CH49)</f>
        <v>#DIV/0!</v>
      </c>
      <c r="CI91" s="44" t="e">
        <f>1-EXP(-CI90*CI49)</f>
        <v>#DIV/0!</v>
      </c>
      <c r="CJ91" s="44" t="e">
        <f>1-EXP(-CJ90*CJ49)</f>
        <v>#DIV/0!</v>
      </c>
      <c r="CK91" s="14" t="e">
        <f>1-EXP(-CK90*CK49)</f>
        <v>#DIV/0!</v>
      </c>
      <c r="CL91" s="49"/>
      <c r="CM91" s="28"/>
    </row>
    <row r="92" spans="2:91" ht="14.25" x14ac:dyDescent="0.25">
      <c r="B92" s="55"/>
      <c r="C92" s="10" t="s">
        <v>313</v>
      </c>
      <c r="D92" s="93" t="s">
        <v>502</v>
      </c>
      <c r="E92" s="125">
        <f>1-(1-E91)^E31</f>
        <v>1</v>
      </c>
      <c r="F92" s="13">
        <f>1-(1-F91)^F31</f>
        <v>1</v>
      </c>
      <c r="G92" s="44">
        <f>1-(1-G91)^G31</f>
        <v>1</v>
      </c>
      <c r="H92" s="44">
        <f>1-(1-H91)^H31</f>
        <v>1</v>
      </c>
      <c r="I92" s="14">
        <f>1-(1-I91)^I31</f>
        <v>1</v>
      </c>
      <c r="J92" s="13" t="e">
        <f>1-(1-J91)^J31</f>
        <v>#DIV/0!</v>
      </c>
      <c r="K92" s="44">
        <f>1-(1-K91)^K31</f>
        <v>0.95173801610286957</v>
      </c>
      <c r="L92" s="44">
        <f>1-(1-L91)^L31</f>
        <v>1</v>
      </c>
      <c r="M92" s="14">
        <f>1-(1-M91)^M31</f>
        <v>1</v>
      </c>
      <c r="N92" s="13" t="e">
        <f>1-(1-N91)^N31</f>
        <v>#DIV/0!</v>
      </c>
      <c r="O92" s="44" t="e">
        <f>1-(1-O91)^O31</f>
        <v>#DIV/0!</v>
      </c>
      <c r="P92" s="44" t="e">
        <f>1-(1-P91)^P31</f>
        <v>#DIV/0!</v>
      </c>
      <c r="Q92" s="14" t="e">
        <f>1-(1-Q91)^Q31</f>
        <v>#DIV/0!</v>
      </c>
      <c r="R92" s="13" t="e">
        <f>1-(1-R91)^R31</f>
        <v>#DIV/0!</v>
      </c>
      <c r="S92" s="44" t="e">
        <f>1-(1-S91)^S31</f>
        <v>#DIV/0!</v>
      </c>
      <c r="T92" s="44" t="e">
        <f>1-(1-T91)^T31</f>
        <v>#DIV/0!</v>
      </c>
      <c r="U92" s="14" t="e">
        <f>1-(1-U91)^U31</f>
        <v>#DIV/0!</v>
      </c>
      <c r="V92" s="13" t="e">
        <f>1-(1-V91)^V31</f>
        <v>#DIV/0!</v>
      </c>
      <c r="W92" s="44" t="e">
        <f>1-(1-W91)^W31</f>
        <v>#DIV/0!</v>
      </c>
      <c r="X92" s="44" t="e">
        <f>1-(1-X91)^X31</f>
        <v>#DIV/0!</v>
      </c>
      <c r="Y92" s="14" t="e">
        <f>1-(1-Y91)^Y31</f>
        <v>#DIV/0!</v>
      </c>
      <c r="Z92" s="13" t="e">
        <f>1-(1-Z91)^Z31</f>
        <v>#DIV/0!</v>
      </c>
      <c r="AA92" s="44" t="e">
        <f>1-(1-AA91)^AA31</f>
        <v>#DIV/0!</v>
      </c>
      <c r="AB92" s="44" t="e">
        <f>1-(1-AB91)^AB31</f>
        <v>#DIV/0!</v>
      </c>
      <c r="AC92" s="14" t="e">
        <f>1-(1-AC91)^AC31</f>
        <v>#DIV/0!</v>
      </c>
      <c r="AD92" s="13" t="e">
        <f>1-(1-AD91)^AD31</f>
        <v>#DIV/0!</v>
      </c>
      <c r="AE92" s="44" t="e">
        <f>1-(1-AE91)^AE31</f>
        <v>#DIV/0!</v>
      </c>
      <c r="AF92" s="44" t="e">
        <f>1-(1-AF91)^AF31</f>
        <v>#DIV/0!</v>
      </c>
      <c r="AG92" s="14" t="e">
        <f>1-(1-AG91)^AG31</f>
        <v>#DIV/0!</v>
      </c>
      <c r="AH92" s="13" t="e">
        <f>1-(1-AH91)^AH31</f>
        <v>#DIV/0!</v>
      </c>
      <c r="AI92" s="44" t="e">
        <f>1-(1-AI91)^AI31</f>
        <v>#DIV/0!</v>
      </c>
      <c r="AJ92" s="44" t="e">
        <f>1-(1-AJ91)^AJ31</f>
        <v>#DIV/0!</v>
      </c>
      <c r="AK92" s="14" t="e">
        <f>1-(1-AK91)^AK31</f>
        <v>#DIV/0!</v>
      </c>
      <c r="AL92" s="13" t="e">
        <f>1-(1-AL91)^AL31</f>
        <v>#DIV/0!</v>
      </c>
      <c r="AM92" s="44" t="e">
        <f>1-(1-AM91)^AM31</f>
        <v>#DIV/0!</v>
      </c>
      <c r="AN92" s="44" t="e">
        <f>1-(1-AN91)^AN31</f>
        <v>#DIV/0!</v>
      </c>
      <c r="AO92" s="14" t="e">
        <f>1-(1-AO91)^AO31</f>
        <v>#DIV/0!</v>
      </c>
      <c r="AP92" s="13" t="e">
        <f>1-(1-AP91)^AP31</f>
        <v>#DIV/0!</v>
      </c>
      <c r="AQ92" s="44" t="e">
        <f>1-(1-AQ91)^AQ31</f>
        <v>#DIV/0!</v>
      </c>
      <c r="AR92" s="44" t="e">
        <f>1-(1-AR91)^AR31</f>
        <v>#DIV/0!</v>
      </c>
      <c r="AS92" s="14" t="e">
        <f>1-(1-AS91)^AS31</f>
        <v>#DIV/0!</v>
      </c>
      <c r="AT92" s="13" t="e">
        <f>1-(1-AT91)^AT31</f>
        <v>#DIV/0!</v>
      </c>
      <c r="AU92" s="44" t="e">
        <f>1-(1-AU91)^AU31</f>
        <v>#DIV/0!</v>
      </c>
      <c r="AV92" s="44" t="e">
        <f>1-(1-AV91)^AV31</f>
        <v>#DIV/0!</v>
      </c>
      <c r="AW92" s="14" t="e">
        <f>1-(1-AW91)^AW31</f>
        <v>#DIV/0!</v>
      </c>
      <c r="AX92" s="13" t="e">
        <f>1-(1-AX91)^AX31</f>
        <v>#DIV/0!</v>
      </c>
      <c r="AY92" s="44" t="e">
        <f>1-(1-AY91)^AY31</f>
        <v>#DIV/0!</v>
      </c>
      <c r="AZ92" s="44" t="e">
        <f>1-(1-AZ91)^AZ31</f>
        <v>#DIV/0!</v>
      </c>
      <c r="BA92" s="14" t="e">
        <f>1-(1-BA91)^BA31</f>
        <v>#DIV/0!</v>
      </c>
      <c r="BB92" s="13" t="e">
        <f>1-(1-BB91)^BB31</f>
        <v>#DIV/0!</v>
      </c>
      <c r="BC92" s="44" t="e">
        <f>1-(1-BC91)^BC31</f>
        <v>#DIV/0!</v>
      </c>
      <c r="BD92" s="44" t="e">
        <f>1-(1-BD91)^BD31</f>
        <v>#DIV/0!</v>
      </c>
      <c r="BE92" s="14" t="e">
        <f>1-(1-BE91)^BE31</f>
        <v>#DIV/0!</v>
      </c>
      <c r="BF92" s="13" t="e">
        <f>1-(1-BF91)^BF31</f>
        <v>#DIV/0!</v>
      </c>
      <c r="BG92" s="44" t="e">
        <f>1-(1-BG91)^BG31</f>
        <v>#DIV/0!</v>
      </c>
      <c r="BH92" s="44" t="e">
        <f>1-(1-BH91)^BH31</f>
        <v>#DIV/0!</v>
      </c>
      <c r="BI92" s="14" t="e">
        <f>1-(1-BI91)^BI31</f>
        <v>#DIV/0!</v>
      </c>
      <c r="BJ92" s="13" t="e">
        <f>1-(1-BJ91)^BJ31</f>
        <v>#DIV/0!</v>
      </c>
      <c r="BK92" s="44" t="e">
        <f>1-(1-BK91)^BK31</f>
        <v>#DIV/0!</v>
      </c>
      <c r="BL92" s="44" t="e">
        <f>1-(1-BL91)^BL31</f>
        <v>#DIV/0!</v>
      </c>
      <c r="BM92" s="14" t="e">
        <f>1-(1-BM91)^BM31</f>
        <v>#DIV/0!</v>
      </c>
      <c r="BN92" s="13" t="e">
        <f>1-(1-BN91)^BN31</f>
        <v>#DIV/0!</v>
      </c>
      <c r="BO92" s="44" t="e">
        <f>1-(1-BO91)^BO31</f>
        <v>#DIV/0!</v>
      </c>
      <c r="BP92" s="44" t="e">
        <f>1-(1-BP91)^BP31</f>
        <v>#DIV/0!</v>
      </c>
      <c r="BQ92" s="14" t="e">
        <f>1-(1-BQ91)^BQ31</f>
        <v>#DIV/0!</v>
      </c>
      <c r="BR92" s="13" t="e">
        <f>1-(1-BR91)^BR31</f>
        <v>#DIV/0!</v>
      </c>
      <c r="BS92" s="44" t="e">
        <f>1-(1-BS91)^BS31</f>
        <v>#DIV/0!</v>
      </c>
      <c r="BT92" s="44" t="e">
        <f>1-(1-BT91)^BT31</f>
        <v>#DIV/0!</v>
      </c>
      <c r="BU92" s="14" t="e">
        <f>1-(1-BU91)^BU31</f>
        <v>#DIV/0!</v>
      </c>
      <c r="BV92" s="13" t="e">
        <f>1-(1-BV91)^BV31</f>
        <v>#DIV/0!</v>
      </c>
      <c r="BW92" s="44" t="e">
        <f>1-(1-BW91)^BW31</f>
        <v>#DIV/0!</v>
      </c>
      <c r="BX92" s="44" t="e">
        <f>1-(1-BX91)^BX31</f>
        <v>#DIV/0!</v>
      </c>
      <c r="BY92" s="14" t="e">
        <f>1-(1-BY91)^BY31</f>
        <v>#DIV/0!</v>
      </c>
      <c r="BZ92" s="13" t="e">
        <f>1-(1-BZ91)^BZ31</f>
        <v>#DIV/0!</v>
      </c>
      <c r="CA92" s="44" t="e">
        <f>1-(1-CA91)^CA31</f>
        <v>#DIV/0!</v>
      </c>
      <c r="CB92" s="44" t="e">
        <f>1-(1-CB91)^CB31</f>
        <v>#DIV/0!</v>
      </c>
      <c r="CC92" s="14" t="e">
        <f>1-(1-CC91)^CC31</f>
        <v>#DIV/0!</v>
      </c>
      <c r="CD92" s="13" t="e">
        <f>1-(1-CD91)^CD31</f>
        <v>#DIV/0!</v>
      </c>
      <c r="CE92" s="44" t="e">
        <f>1-(1-CE91)^CE31</f>
        <v>#DIV/0!</v>
      </c>
      <c r="CF92" s="44" t="e">
        <f>1-(1-CF91)^CF31</f>
        <v>#DIV/0!</v>
      </c>
      <c r="CG92" s="14" t="e">
        <f>1-(1-CG91)^CG31</f>
        <v>#DIV/0!</v>
      </c>
      <c r="CH92" s="13" t="e">
        <f>1-(1-CH91)^CH31</f>
        <v>#DIV/0!</v>
      </c>
      <c r="CI92" s="44" t="e">
        <f>1-(1-CI91)^CI31</f>
        <v>#DIV/0!</v>
      </c>
      <c r="CJ92" s="44" t="e">
        <f>1-(1-CJ91)^CJ31</f>
        <v>#DIV/0!</v>
      </c>
      <c r="CK92" s="14" t="e">
        <f>1-(1-CK91)^CK31</f>
        <v>#DIV/0!</v>
      </c>
      <c r="CL92" s="49"/>
      <c r="CM92" s="28"/>
    </row>
    <row r="93" spans="2:91" ht="14.25" x14ac:dyDescent="0.25">
      <c r="B93" s="55"/>
      <c r="C93" s="10" t="s">
        <v>314</v>
      </c>
      <c r="D93" s="93" t="s">
        <v>504</v>
      </c>
      <c r="E93" s="125">
        <f>(1/E49)*(EXP(E49*E90)-E49*E90-1)/E92</f>
        <v>9.9311998010680469</v>
      </c>
      <c r="F93" s="13">
        <f>(1/F49)*(EXP(F49*F90)-F49*F90-1)/F92</f>
        <v>170.2090314159436</v>
      </c>
      <c r="G93" s="44">
        <f>(1/G49)*(EXP(G49*G90)-G49*G90-1)/G92</f>
        <v>170.2090314159436</v>
      </c>
      <c r="H93" s="44">
        <f>(1/H49)*(EXP(H49*H90)-H49*H90-1)/H92</f>
        <v>22.227117859951019</v>
      </c>
      <c r="I93" s="14">
        <f>(1/I49)*(EXP(I49*I90)-I49*I90-1)/I92</f>
        <v>22.227117859951019</v>
      </c>
      <c r="J93" s="13" t="e">
        <f>(1/J49)*(EXP(J49*J90)-J49*J90-1)/J92</f>
        <v>#DIV/0!</v>
      </c>
      <c r="K93" s="44">
        <f>(1/K49)*(EXP(K49*K90)-K49*K90-1)/K92</f>
        <v>0.31850576205204179</v>
      </c>
      <c r="L93" s="44">
        <f>(1/L49)*(EXP(L49*L90)-L49*L90-1)/L92</f>
        <v>17.282447189444994</v>
      </c>
      <c r="M93" s="14">
        <f>(1/M49)*(EXP(M49*M90)-M49*M90-1)/M92</f>
        <v>17.282447189444994</v>
      </c>
      <c r="N93" s="13" t="e">
        <f>(1/N49)*(EXP(N49*N90)-N49*N90-1)/N92</f>
        <v>#DIV/0!</v>
      </c>
      <c r="O93" s="44" t="e">
        <f>(1/O49)*(EXP(O49*O90)-O49*O90-1)/O92</f>
        <v>#DIV/0!</v>
      </c>
      <c r="P93" s="44" t="e">
        <f>(1/P49)*(EXP(P49*P90)-P49*P90-1)/P92</f>
        <v>#DIV/0!</v>
      </c>
      <c r="Q93" s="14" t="e">
        <f>(1/Q49)*(EXP(Q49*Q90)-Q49*Q90-1)/Q92</f>
        <v>#DIV/0!</v>
      </c>
      <c r="R93" s="13" t="e">
        <f>(1/R49)*(EXP(R49*R90)-R49*R90-1)/R92</f>
        <v>#DIV/0!</v>
      </c>
      <c r="S93" s="44" t="e">
        <f>(1/S49)*(EXP(S49*S90)-S49*S90-1)/S92</f>
        <v>#DIV/0!</v>
      </c>
      <c r="T93" s="44" t="e">
        <f>(1/T49)*(EXP(T49*T90)-T49*T90-1)/T92</f>
        <v>#DIV/0!</v>
      </c>
      <c r="U93" s="14" t="e">
        <f>(1/U49)*(EXP(U49*U90)-U49*U90-1)/U92</f>
        <v>#DIV/0!</v>
      </c>
      <c r="V93" s="13" t="e">
        <f>(1/V49)*(EXP(V49*V90)-V49*V90-1)/V92</f>
        <v>#DIV/0!</v>
      </c>
      <c r="W93" s="44" t="e">
        <f>(1/W49)*(EXP(W49*W90)-W49*W90-1)/W92</f>
        <v>#DIV/0!</v>
      </c>
      <c r="X93" s="44" t="e">
        <f>(1/X49)*(EXP(X49*X90)-X49*X90-1)/X92</f>
        <v>#DIV/0!</v>
      </c>
      <c r="Y93" s="14" t="e">
        <f>(1/Y49)*(EXP(Y49*Y90)-Y49*Y90-1)/Y92</f>
        <v>#DIV/0!</v>
      </c>
      <c r="Z93" s="13" t="e">
        <f>(1/Z49)*(EXP(Z49*Z90)-Z49*Z90-1)/Z92</f>
        <v>#DIV/0!</v>
      </c>
      <c r="AA93" s="44" t="e">
        <f>(1/AA49)*(EXP(AA49*AA90)-AA49*AA90-1)/AA92</f>
        <v>#DIV/0!</v>
      </c>
      <c r="AB93" s="44" t="e">
        <f>(1/AB49)*(EXP(AB49*AB90)-AB49*AB90-1)/AB92</f>
        <v>#DIV/0!</v>
      </c>
      <c r="AC93" s="14" t="e">
        <f>(1/AC49)*(EXP(AC49*AC90)-AC49*AC90-1)/AC92</f>
        <v>#DIV/0!</v>
      </c>
      <c r="AD93" s="13" t="e">
        <f>(1/AD49)*(EXP(AD49*AD90)-AD49*AD90-1)/AD92</f>
        <v>#DIV/0!</v>
      </c>
      <c r="AE93" s="44" t="e">
        <f>(1/AE49)*(EXP(AE49*AE90)-AE49*AE90-1)/AE92</f>
        <v>#DIV/0!</v>
      </c>
      <c r="AF93" s="44" t="e">
        <f>(1/AF49)*(EXP(AF49*AF90)-AF49*AF90-1)/AF92</f>
        <v>#DIV/0!</v>
      </c>
      <c r="AG93" s="14" t="e">
        <f>(1/AG49)*(EXP(AG49*AG90)-AG49*AG90-1)/AG92</f>
        <v>#DIV/0!</v>
      </c>
      <c r="AH93" s="13" t="e">
        <f>(1/AH49)*(EXP(AH49*AH90)-AH49*AH90-1)/AH92</f>
        <v>#DIV/0!</v>
      </c>
      <c r="AI93" s="44" t="e">
        <f>(1/AI49)*(EXP(AI49*AI90)-AI49*AI90-1)/AI92</f>
        <v>#DIV/0!</v>
      </c>
      <c r="AJ93" s="44" t="e">
        <f>(1/AJ49)*(EXP(AJ49*AJ90)-AJ49*AJ90-1)/AJ92</f>
        <v>#DIV/0!</v>
      </c>
      <c r="AK93" s="14" t="e">
        <f>(1/AK49)*(EXP(AK49*AK90)-AK49*AK90-1)/AK92</f>
        <v>#DIV/0!</v>
      </c>
      <c r="AL93" s="13" t="e">
        <f>(1/AL49)*(EXP(AL49*AL90)-AL49*AL90-1)/AL92</f>
        <v>#DIV/0!</v>
      </c>
      <c r="AM93" s="44" t="e">
        <f>(1/AM49)*(EXP(AM49*AM90)-AM49*AM90-1)/AM92</f>
        <v>#DIV/0!</v>
      </c>
      <c r="AN93" s="44" t="e">
        <f>(1/AN49)*(EXP(AN49*AN90)-AN49*AN90-1)/AN92</f>
        <v>#DIV/0!</v>
      </c>
      <c r="AO93" s="14" t="e">
        <f>(1/AO49)*(EXP(AO49*AO90)-AO49*AO90-1)/AO92</f>
        <v>#DIV/0!</v>
      </c>
      <c r="AP93" s="13" t="e">
        <f>(1/AP49)*(EXP(AP49*AP90)-AP49*AP90-1)/AP92</f>
        <v>#DIV/0!</v>
      </c>
      <c r="AQ93" s="44" t="e">
        <f>(1/AQ49)*(EXP(AQ49*AQ90)-AQ49*AQ90-1)/AQ92</f>
        <v>#DIV/0!</v>
      </c>
      <c r="AR93" s="44" t="e">
        <f>(1/AR49)*(EXP(AR49*AR90)-AR49*AR90-1)/AR92</f>
        <v>#DIV/0!</v>
      </c>
      <c r="AS93" s="14" t="e">
        <f>(1/AS49)*(EXP(AS49*AS90)-AS49*AS90-1)/AS92</f>
        <v>#DIV/0!</v>
      </c>
      <c r="AT93" s="13" t="e">
        <f>(1/AT49)*(EXP(AT49*AT90)-AT49*AT90-1)/AT92</f>
        <v>#DIV/0!</v>
      </c>
      <c r="AU93" s="44" t="e">
        <f>(1/AU49)*(EXP(AU49*AU90)-AU49*AU90-1)/AU92</f>
        <v>#DIV/0!</v>
      </c>
      <c r="AV93" s="44" t="e">
        <f>(1/AV49)*(EXP(AV49*AV90)-AV49*AV90-1)/AV92</f>
        <v>#DIV/0!</v>
      </c>
      <c r="AW93" s="14" t="e">
        <f>(1/AW49)*(EXP(AW49*AW90)-AW49*AW90-1)/AW92</f>
        <v>#DIV/0!</v>
      </c>
      <c r="AX93" s="13" t="e">
        <f>(1/AX49)*(EXP(AX49*AX90)-AX49*AX90-1)/AX92</f>
        <v>#DIV/0!</v>
      </c>
      <c r="AY93" s="44" t="e">
        <f>(1/AY49)*(EXP(AY49*AY90)-AY49*AY90-1)/AY92</f>
        <v>#DIV/0!</v>
      </c>
      <c r="AZ93" s="44" t="e">
        <f>(1/AZ49)*(EXP(AZ49*AZ90)-AZ49*AZ90-1)/AZ92</f>
        <v>#DIV/0!</v>
      </c>
      <c r="BA93" s="14" t="e">
        <f>(1/BA49)*(EXP(BA49*BA90)-BA49*BA90-1)/BA92</f>
        <v>#DIV/0!</v>
      </c>
      <c r="BB93" s="13" t="e">
        <f>(1/BB49)*(EXP(BB49*BB90)-BB49*BB90-1)/BB92</f>
        <v>#DIV/0!</v>
      </c>
      <c r="BC93" s="44" t="e">
        <f>(1/BC49)*(EXP(BC49*BC90)-BC49*BC90-1)/BC92</f>
        <v>#DIV/0!</v>
      </c>
      <c r="BD93" s="44" t="e">
        <f>(1/BD49)*(EXP(BD49*BD90)-BD49*BD90-1)/BD92</f>
        <v>#DIV/0!</v>
      </c>
      <c r="BE93" s="14" t="e">
        <f>(1/BE49)*(EXP(BE49*BE90)-BE49*BE90-1)/BE92</f>
        <v>#DIV/0!</v>
      </c>
      <c r="BF93" s="13" t="e">
        <f>(1/BF49)*(EXP(BF49*BF90)-BF49*BF90-1)/BF92</f>
        <v>#DIV/0!</v>
      </c>
      <c r="BG93" s="44" t="e">
        <f>(1/BG49)*(EXP(BG49*BG90)-BG49*BG90-1)/BG92</f>
        <v>#DIV/0!</v>
      </c>
      <c r="BH93" s="44" t="e">
        <f>(1/BH49)*(EXP(BH49*BH90)-BH49*BH90-1)/BH92</f>
        <v>#DIV/0!</v>
      </c>
      <c r="BI93" s="14" t="e">
        <f>(1/BI49)*(EXP(BI49*BI90)-BI49*BI90-1)/BI92</f>
        <v>#DIV/0!</v>
      </c>
      <c r="BJ93" s="13" t="e">
        <f>(1/BJ49)*(EXP(BJ49*BJ90)-BJ49*BJ90-1)/BJ92</f>
        <v>#DIV/0!</v>
      </c>
      <c r="BK93" s="44" t="e">
        <f>(1/BK49)*(EXP(BK49*BK90)-BK49*BK90-1)/BK92</f>
        <v>#DIV/0!</v>
      </c>
      <c r="BL93" s="44" t="e">
        <f>(1/BL49)*(EXP(BL49*BL90)-BL49*BL90-1)/BL92</f>
        <v>#DIV/0!</v>
      </c>
      <c r="BM93" s="14" t="e">
        <f>(1/BM49)*(EXP(BM49*BM90)-BM49*BM90-1)/BM92</f>
        <v>#DIV/0!</v>
      </c>
      <c r="BN93" s="13" t="e">
        <f>(1/BN49)*(EXP(BN49*BN90)-BN49*BN90-1)/BN92</f>
        <v>#DIV/0!</v>
      </c>
      <c r="BO93" s="44" t="e">
        <f>(1/BO49)*(EXP(BO49*BO90)-BO49*BO90-1)/BO92</f>
        <v>#DIV/0!</v>
      </c>
      <c r="BP93" s="44" t="e">
        <f>(1/BP49)*(EXP(BP49*BP90)-BP49*BP90-1)/BP92</f>
        <v>#DIV/0!</v>
      </c>
      <c r="BQ93" s="14" t="e">
        <f>(1/BQ49)*(EXP(BQ49*BQ90)-BQ49*BQ90-1)/BQ92</f>
        <v>#DIV/0!</v>
      </c>
      <c r="BR93" s="13" t="e">
        <f>(1/BR49)*(EXP(BR49*BR90)-BR49*BR90-1)/BR92</f>
        <v>#DIV/0!</v>
      </c>
      <c r="BS93" s="44" t="e">
        <f>(1/BS49)*(EXP(BS49*BS90)-BS49*BS90-1)/BS92</f>
        <v>#DIV/0!</v>
      </c>
      <c r="BT93" s="44" t="e">
        <f>(1/BT49)*(EXP(BT49*BT90)-BT49*BT90-1)/BT92</f>
        <v>#DIV/0!</v>
      </c>
      <c r="BU93" s="14" t="e">
        <f>(1/BU49)*(EXP(BU49*BU90)-BU49*BU90-1)/BU92</f>
        <v>#DIV/0!</v>
      </c>
      <c r="BV93" s="13" t="e">
        <f>(1/BV49)*(EXP(BV49*BV90)-BV49*BV90-1)/BV92</f>
        <v>#DIV/0!</v>
      </c>
      <c r="BW93" s="44" t="e">
        <f>(1/BW49)*(EXP(BW49*BW90)-BW49*BW90-1)/BW92</f>
        <v>#DIV/0!</v>
      </c>
      <c r="BX93" s="44" t="e">
        <f>(1/BX49)*(EXP(BX49*BX90)-BX49*BX90-1)/BX92</f>
        <v>#DIV/0!</v>
      </c>
      <c r="BY93" s="14" t="e">
        <f>(1/BY49)*(EXP(BY49*BY90)-BY49*BY90-1)/BY92</f>
        <v>#DIV/0!</v>
      </c>
      <c r="BZ93" s="13" t="e">
        <f>(1/BZ49)*(EXP(BZ49*BZ90)-BZ49*BZ90-1)/BZ92</f>
        <v>#DIV/0!</v>
      </c>
      <c r="CA93" s="44" t="e">
        <f>(1/CA49)*(EXP(CA49*CA90)-CA49*CA90-1)/CA92</f>
        <v>#DIV/0!</v>
      </c>
      <c r="CB93" s="44" t="e">
        <f>(1/CB49)*(EXP(CB49*CB90)-CB49*CB90-1)/CB92</f>
        <v>#DIV/0!</v>
      </c>
      <c r="CC93" s="14" t="e">
        <f>(1/CC49)*(EXP(CC49*CC90)-CC49*CC90-1)/CC92</f>
        <v>#DIV/0!</v>
      </c>
      <c r="CD93" s="13" t="e">
        <f>(1/CD49)*(EXP(CD49*CD90)-CD49*CD90-1)/CD92</f>
        <v>#DIV/0!</v>
      </c>
      <c r="CE93" s="44" t="e">
        <f>(1/CE49)*(EXP(CE49*CE90)-CE49*CE90-1)/CE92</f>
        <v>#DIV/0!</v>
      </c>
      <c r="CF93" s="44" t="e">
        <f>(1/CF49)*(EXP(CF49*CF90)-CF49*CF90-1)/CF92</f>
        <v>#DIV/0!</v>
      </c>
      <c r="CG93" s="14" t="e">
        <f>(1/CG49)*(EXP(CG49*CG90)-CG49*CG90-1)/CG92</f>
        <v>#DIV/0!</v>
      </c>
      <c r="CH93" s="13" t="e">
        <f>(1/CH49)*(EXP(CH49*CH90)-CH49*CH90-1)/CH92</f>
        <v>#DIV/0!</v>
      </c>
      <c r="CI93" s="44" t="e">
        <f>(1/CI49)*(EXP(CI49*CI90)-CI49*CI90-1)/CI92</f>
        <v>#DIV/0!</v>
      </c>
      <c r="CJ93" s="44" t="e">
        <f>(1/CJ49)*(EXP(CJ49*CJ90)-CJ49*CJ90-1)/CJ92</f>
        <v>#DIV/0!</v>
      </c>
      <c r="CK93" s="14" t="e">
        <f>(1/CK49)*(EXP(CK49*CK90)-CK49*CK90-1)/CK92</f>
        <v>#DIV/0!</v>
      </c>
      <c r="CL93" s="49"/>
      <c r="CM93" s="28"/>
    </row>
    <row r="94" spans="2:91" x14ac:dyDescent="0.25">
      <c r="B94" s="55"/>
      <c r="C94" s="10" t="s">
        <v>295</v>
      </c>
      <c r="D94" s="93" t="s">
        <v>505</v>
      </c>
      <c r="E94" s="125">
        <f>((1/E49) - (E90+(1/E49))*EXP(-E49*E90))/(1-EXP(-E49*E90))</f>
        <v>3.2505891296289562</v>
      </c>
      <c r="F94" s="13">
        <f>((1/F49) - (F90+(1/F49))*EXP(-F49*F90))/(1-EXP(-F49*F90))</f>
        <v>2.2083631455876866</v>
      </c>
      <c r="G94" s="44">
        <f>((1/G49) - (G90+(1/G49))*EXP(-G49*G90))/(1-EXP(-G49*G90))</f>
        <v>2.2083631455876866</v>
      </c>
      <c r="H94" s="44">
        <f>((1/H49) - (H90+(1/H49))*EXP(-H49*H90))/(1-EXP(-H49*H90))</f>
        <v>2.8524059780616677</v>
      </c>
      <c r="I94" s="14">
        <f>((1/I49) - (I90+(1/I49))*EXP(-I49*I90))/(1-EXP(-I49*I90))</f>
        <v>2.8524059780616677</v>
      </c>
      <c r="J94" s="13" t="e">
        <f>((1/J49) - (J90+(1/J49))*EXP(-J49*J90))/(1-EXP(-J49*J90))</f>
        <v>#DIV/0!</v>
      </c>
      <c r="K94" s="44">
        <f>((1/K49) - (K90+(1/K49))*EXP(-K49*K90))/(1-EXP(-K49*K90))</f>
        <v>3.0510675019999689</v>
      </c>
      <c r="L94" s="44">
        <f>((1/L49) - (L90+(1/L49))*EXP(-L49*L90))/(1-EXP(-L49*L90))</f>
        <v>3.008538845545937</v>
      </c>
      <c r="M94" s="14">
        <f>((1/M49) - (M90+(1/M49))*EXP(-M49*M90))/(1-EXP(-M49*M90))</f>
        <v>3.008538845545937</v>
      </c>
      <c r="N94" s="13" t="e">
        <f>((1/N49) - (N90+(1/N49))*EXP(-N49*N90))/(1-EXP(-N49*N90))</f>
        <v>#DIV/0!</v>
      </c>
      <c r="O94" s="44" t="e">
        <f>((1/O49) - (O90+(1/O49))*EXP(-O49*O90))/(1-EXP(-O49*O90))</f>
        <v>#DIV/0!</v>
      </c>
      <c r="P94" s="44" t="e">
        <f>((1/P49) - (P90+(1/P49))*EXP(-P49*P90))/(1-EXP(-P49*P90))</f>
        <v>#DIV/0!</v>
      </c>
      <c r="Q94" s="14" t="e">
        <f>((1/Q49) - (Q90+(1/Q49))*EXP(-Q49*Q90))/(1-EXP(-Q49*Q90))</f>
        <v>#DIV/0!</v>
      </c>
      <c r="R94" s="13" t="e">
        <f>((1/R49) - (R90+(1/R49))*EXP(-R49*R90))/(1-EXP(-R49*R90))</f>
        <v>#DIV/0!</v>
      </c>
      <c r="S94" s="44" t="e">
        <f>((1/S49) - (S90+(1/S49))*EXP(-S49*S90))/(1-EXP(-S49*S90))</f>
        <v>#DIV/0!</v>
      </c>
      <c r="T94" s="44" t="e">
        <f>((1/T49) - (T90+(1/T49))*EXP(-T49*T90))/(1-EXP(-T49*T90))</f>
        <v>#DIV/0!</v>
      </c>
      <c r="U94" s="14" t="e">
        <f>((1/U49) - (U90+(1/U49))*EXP(-U49*U90))/(1-EXP(-U49*U90))</f>
        <v>#DIV/0!</v>
      </c>
      <c r="V94" s="13" t="e">
        <f>((1/V49) - (V90+(1/V49))*EXP(-V49*V90))/(1-EXP(-V49*V90))</f>
        <v>#DIV/0!</v>
      </c>
      <c r="W94" s="44" t="e">
        <f>((1/W49) - (W90+(1/W49))*EXP(-W49*W90))/(1-EXP(-W49*W90))</f>
        <v>#DIV/0!</v>
      </c>
      <c r="X94" s="44" t="e">
        <f>((1/X49) - (X90+(1/X49))*EXP(-X49*X90))/(1-EXP(-X49*X90))</f>
        <v>#DIV/0!</v>
      </c>
      <c r="Y94" s="14" t="e">
        <f>((1/Y49) - (Y90+(1/Y49))*EXP(-Y49*Y90))/(1-EXP(-Y49*Y90))</f>
        <v>#DIV/0!</v>
      </c>
      <c r="Z94" s="13" t="e">
        <f>((1/Z49) - (Z90+(1/Z49))*EXP(-Z49*Z90))/(1-EXP(-Z49*Z90))</f>
        <v>#DIV/0!</v>
      </c>
      <c r="AA94" s="44" t="e">
        <f>((1/AA49) - (AA90+(1/AA49))*EXP(-AA49*AA90))/(1-EXP(-AA49*AA90))</f>
        <v>#DIV/0!</v>
      </c>
      <c r="AB94" s="44" t="e">
        <f>((1/AB49) - (AB90+(1/AB49))*EXP(-AB49*AB90))/(1-EXP(-AB49*AB90))</f>
        <v>#DIV/0!</v>
      </c>
      <c r="AC94" s="14" t="e">
        <f>((1/AC49) - (AC90+(1/AC49))*EXP(-AC49*AC90))/(1-EXP(-AC49*AC90))</f>
        <v>#DIV/0!</v>
      </c>
      <c r="AD94" s="13" t="e">
        <f>((1/AD49) - (AD90+(1/AD49))*EXP(-AD49*AD90))/(1-EXP(-AD49*AD90))</f>
        <v>#DIV/0!</v>
      </c>
      <c r="AE94" s="44" t="e">
        <f>((1/AE49) - (AE90+(1/AE49))*EXP(-AE49*AE90))/(1-EXP(-AE49*AE90))</f>
        <v>#DIV/0!</v>
      </c>
      <c r="AF94" s="44" t="e">
        <f>((1/AF49) - (AF90+(1/AF49))*EXP(-AF49*AF90))/(1-EXP(-AF49*AF90))</f>
        <v>#DIV/0!</v>
      </c>
      <c r="AG94" s="14" t="e">
        <f>((1/AG49) - (AG90+(1/AG49))*EXP(-AG49*AG90))/(1-EXP(-AG49*AG90))</f>
        <v>#DIV/0!</v>
      </c>
      <c r="AH94" s="13" t="e">
        <f>((1/AH49) - (AH90+(1/AH49))*EXP(-AH49*AH90))/(1-EXP(-AH49*AH90))</f>
        <v>#DIV/0!</v>
      </c>
      <c r="AI94" s="44" t="e">
        <f>((1/AI49) - (AI90+(1/AI49))*EXP(-AI49*AI90))/(1-EXP(-AI49*AI90))</f>
        <v>#DIV/0!</v>
      </c>
      <c r="AJ94" s="44" t="e">
        <f>((1/AJ49) - (AJ90+(1/AJ49))*EXP(-AJ49*AJ90))/(1-EXP(-AJ49*AJ90))</f>
        <v>#DIV/0!</v>
      </c>
      <c r="AK94" s="14" t="e">
        <f>((1/AK49) - (AK90+(1/AK49))*EXP(-AK49*AK90))/(1-EXP(-AK49*AK90))</f>
        <v>#DIV/0!</v>
      </c>
      <c r="AL94" s="13" t="e">
        <f>((1/AL49) - (AL90+(1/AL49))*EXP(-AL49*AL90))/(1-EXP(-AL49*AL90))</f>
        <v>#DIV/0!</v>
      </c>
      <c r="AM94" s="44" t="e">
        <f>((1/AM49) - (AM90+(1/AM49))*EXP(-AM49*AM90))/(1-EXP(-AM49*AM90))</f>
        <v>#DIV/0!</v>
      </c>
      <c r="AN94" s="44" t="e">
        <f>((1/AN49) - (AN90+(1/AN49))*EXP(-AN49*AN90))/(1-EXP(-AN49*AN90))</f>
        <v>#DIV/0!</v>
      </c>
      <c r="AO94" s="14" t="e">
        <f>((1/AO49) - (AO90+(1/AO49))*EXP(-AO49*AO90))/(1-EXP(-AO49*AO90))</f>
        <v>#DIV/0!</v>
      </c>
      <c r="AP94" s="13" t="e">
        <f>((1/AP49) - (AP90+(1/AP49))*EXP(-AP49*AP90))/(1-EXP(-AP49*AP90))</f>
        <v>#DIV/0!</v>
      </c>
      <c r="AQ94" s="44" t="e">
        <f>((1/AQ49) - (AQ90+(1/AQ49))*EXP(-AQ49*AQ90))/(1-EXP(-AQ49*AQ90))</f>
        <v>#DIV/0!</v>
      </c>
      <c r="AR94" s="44" t="e">
        <f>((1/AR49) - (AR90+(1/AR49))*EXP(-AR49*AR90))/(1-EXP(-AR49*AR90))</f>
        <v>#DIV/0!</v>
      </c>
      <c r="AS94" s="14" t="e">
        <f>((1/AS49) - (AS90+(1/AS49))*EXP(-AS49*AS90))/(1-EXP(-AS49*AS90))</f>
        <v>#DIV/0!</v>
      </c>
      <c r="AT94" s="13" t="e">
        <f>((1/AT49) - (AT90+(1/AT49))*EXP(-AT49*AT90))/(1-EXP(-AT49*AT90))</f>
        <v>#DIV/0!</v>
      </c>
      <c r="AU94" s="44" t="e">
        <f>((1/AU49) - (AU90+(1/AU49))*EXP(-AU49*AU90))/(1-EXP(-AU49*AU90))</f>
        <v>#DIV/0!</v>
      </c>
      <c r="AV94" s="44" t="e">
        <f>((1/AV49) - (AV90+(1/AV49))*EXP(-AV49*AV90))/(1-EXP(-AV49*AV90))</f>
        <v>#DIV/0!</v>
      </c>
      <c r="AW94" s="14" t="e">
        <f>((1/AW49) - (AW90+(1/AW49))*EXP(-AW49*AW90))/(1-EXP(-AW49*AW90))</f>
        <v>#DIV/0!</v>
      </c>
      <c r="AX94" s="13" t="e">
        <f>((1/AX49) - (AX90+(1/AX49))*EXP(-AX49*AX90))/(1-EXP(-AX49*AX90))</f>
        <v>#DIV/0!</v>
      </c>
      <c r="AY94" s="44" t="e">
        <f>((1/AY49) - (AY90+(1/AY49))*EXP(-AY49*AY90))/(1-EXP(-AY49*AY90))</f>
        <v>#DIV/0!</v>
      </c>
      <c r="AZ94" s="44" t="e">
        <f>((1/AZ49) - (AZ90+(1/AZ49))*EXP(-AZ49*AZ90))/(1-EXP(-AZ49*AZ90))</f>
        <v>#DIV/0!</v>
      </c>
      <c r="BA94" s="14" t="e">
        <f>((1/BA49) - (BA90+(1/BA49))*EXP(-BA49*BA90))/(1-EXP(-BA49*BA90))</f>
        <v>#DIV/0!</v>
      </c>
      <c r="BB94" s="13" t="e">
        <f>((1/BB49) - (BB90+(1/BB49))*EXP(-BB49*BB90))/(1-EXP(-BB49*BB90))</f>
        <v>#DIV/0!</v>
      </c>
      <c r="BC94" s="44" t="e">
        <f>((1/BC49) - (BC90+(1/BC49))*EXP(-BC49*BC90))/(1-EXP(-BC49*BC90))</f>
        <v>#DIV/0!</v>
      </c>
      <c r="BD94" s="44" t="e">
        <f>((1/BD49) - (BD90+(1/BD49))*EXP(-BD49*BD90))/(1-EXP(-BD49*BD90))</f>
        <v>#DIV/0!</v>
      </c>
      <c r="BE94" s="14" t="e">
        <f>((1/BE49) - (BE90+(1/BE49))*EXP(-BE49*BE90))/(1-EXP(-BE49*BE90))</f>
        <v>#DIV/0!</v>
      </c>
      <c r="BF94" s="13" t="e">
        <f>((1/BF49) - (BF90+(1/BF49))*EXP(-BF49*BF90))/(1-EXP(-BF49*BF90))</f>
        <v>#DIV/0!</v>
      </c>
      <c r="BG94" s="44" t="e">
        <f>((1/BG49) - (BG90+(1/BG49))*EXP(-BG49*BG90))/(1-EXP(-BG49*BG90))</f>
        <v>#DIV/0!</v>
      </c>
      <c r="BH94" s="44" t="e">
        <f>((1/BH49) - (BH90+(1/BH49))*EXP(-BH49*BH90))/(1-EXP(-BH49*BH90))</f>
        <v>#DIV/0!</v>
      </c>
      <c r="BI94" s="14" t="e">
        <f>((1/BI49) - (BI90+(1/BI49))*EXP(-BI49*BI90))/(1-EXP(-BI49*BI90))</f>
        <v>#DIV/0!</v>
      </c>
      <c r="BJ94" s="13" t="e">
        <f>((1/BJ49) - (BJ90+(1/BJ49))*EXP(-BJ49*BJ90))/(1-EXP(-BJ49*BJ90))</f>
        <v>#DIV/0!</v>
      </c>
      <c r="BK94" s="44" t="e">
        <f>((1/BK49) - (BK90+(1/BK49))*EXP(-BK49*BK90))/(1-EXP(-BK49*BK90))</f>
        <v>#DIV/0!</v>
      </c>
      <c r="BL94" s="44" t="e">
        <f>((1/BL49) - (BL90+(1/BL49))*EXP(-BL49*BL90))/(1-EXP(-BL49*BL90))</f>
        <v>#DIV/0!</v>
      </c>
      <c r="BM94" s="14" t="e">
        <f>((1/BM49) - (BM90+(1/BM49))*EXP(-BM49*BM90))/(1-EXP(-BM49*BM90))</f>
        <v>#DIV/0!</v>
      </c>
      <c r="BN94" s="13" t="e">
        <f>((1/BN49) - (BN90+(1/BN49))*EXP(-BN49*BN90))/(1-EXP(-BN49*BN90))</f>
        <v>#DIV/0!</v>
      </c>
      <c r="BO94" s="44" t="e">
        <f>((1/BO49) - (BO90+(1/BO49))*EXP(-BO49*BO90))/(1-EXP(-BO49*BO90))</f>
        <v>#DIV/0!</v>
      </c>
      <c r="BP94" s="44" t="e">
        <f>((1/BP49) - (BP90+(1/BP49))*EXP(-BP49*BP90))/(1-EXP(-BP49*BP90))</f>
        <v>#DIV/0!</v>
      </c>
      <c r="BQ94" s="14" t="e">
        <f>((1/BQ49) - (BQ90+(1/BQ49))*EXP(-BQ49*BQ90))/(1-EXP(-BQ49*BQ90))</f>
        <v>#DIV/0!</v>
      </c>
      <c r="BR94" s="13" t="e">
        <f>((1/BR49) - (BR90+(1/BR49))*EXP(-BR49*BR90))/(1-EXP(-BR49*BR90))</f>
        <v>#DIV/0!</v>
      </c>
      <c r="BS94" s="44" t="e">
        <f>((1/BS49) - (BS90+(1/BS49))*EXP(-BS49*BS90))/(1-EXP(-BS49*BS90))</f>
        <v>#DIV/0!</v>
      </c>
      <c r="BT94" s="44" t="e">
        <f>((1/BT49) - (BT90+(1/BT49))*EXP(-BT49*BT90))/(1-EXP(-BT49*BT90))</f>
        <v>#DIV/0!</v>
      </c>
      <c r="BU94" s="14" t="e">
        <f>((1/BU49) - (BU90+(1/BU49))*EXP(-BU49*BU90))/(1-EXP(-BU49*BU90))</f>
        <v>#DIV/0!</v>
      </c>
      <c r="BV94" s="13" t="e">
        <f>((1/BV49) - (BV90+(1/BV49))*EXP(-BV49*BV90))/(1-EXP(-BV49*BV90))</f>
        <v>#DIV/0!</v>
      </c>
      <c r="BW94" s="44" t="e">
        <f>((1/BW49) - (BW90+(1/BW49))*EXP(-BW49*BW90))/(1-EXP(-BW49*BW90))</f>
        <v>#DIV/0!</v>
      </c>
      <c r="BX94" s="44" t="e">
        <f>((1/BX49) - (BX90+(1/BX49))*EXP(-BX49*BX90))/(1-EXP(-BX49*BX90))</f>
        <v>#DIV/0!</v>
      </c>
      <c r="BY94" s="14" t="e">
        <f>((1/BY49) - (BY90+(1/BY49))*EXP(-BY49*BY90))/(1-EXP(-BY49*BY90))</f>
        <v>#DIV/0!</v>
      </c>
      <c r="BZ94" s="13" t="e">
        <f>((1/BZ49) - (BZ90+(1/BZ49))*EXP(-BZ49*BZ90))/(1-EXP(-BZ49*BZ90))</f>
        <v>#DIV/0!</v>
      </c>
      <c r="CA94" s="44" t="e">
        <f>((1/CA49) - (CA90+(1/CA49))*EXP(-CA49*CA90))/(1-EXP(-CA49*CA90))</f>
        <v>#DIV/0!</v>
      </c>
      <c r="CB94" s="44" t="e">
        <f>((1/CB49) - (CB90+(1/CB49))*EXP(-CB49*CB90))/(1-EXP(-CB49*CB90))</f>
        <v>#DIV/0!</v>
      </c>
      <c r="CC94" s="14" t="e">
        <f>((1/CC49) - (CC90+(1/CC49))*EXP(-CC49*CC90))/(1-EXP(-CC49*CC90))</f>
        <v>#DIV/0!</v>
      </c>
      <c r="CD94" s="13" t="e">
        <f>((1/CD49) - (CD90+(1/CD49))*EXP(-CD49*CD90))/(1-EXP(-CD49*CD90))</f>
        <v>#DIV/0!</v>
      </c>
      <c r="CE94" s="44" t="e">
        <f>((1/CE49) - (CE90+(1/CE49))*EXP(-CE49*CE90))/(1-EXP(-CE49*CE90))</f>
        <v>#DIV/0!</v>
      </c>
      <c r="CF94" s="44" t="e">
        <f>((1/CF49) - (CF90+(1/CF49))*EXP(-CF49*CF90))/(1-EXP(-CF49*CF90))</f>
        <v>#DIV/0!</v>
      </c>
      <c r="CG94" s="14" t="e">
        <f>((1/CG49) - (CG90+(1/CG49))*EXP(-CG49*CG90))/(1-EXP(-CG49*CG90))</f>
        <v>#DIV/0!</v>
      </c>
      <c r="CH94" s="13" t="e">
        <f>((1/CH49) - (CH90+(1/CH49))*EXP(-CH49*CH90))/(1-EXP(-CH49*CH90))</f>
        <v>#DIV/0!</v>
      </c>
      <c r="CI94" s="44" t="e">
        <f>((1/CI49) - (CI90+(1/CI49))*EXP(-CI49*CI90))/(1-EXP(-CI49*CI90))</f>
        <v>#DIV/0!</v>
      </c>
      <c r="CJ94" s="44" t="e">
        <f>((1/CJ49) - (CJ90+(1/CJ49))*EXP(-CJ49*CJ90))/(1-EXP(-CJ49*CJ90))</f>
        <v>#DIV/0!</v>
      </c>
      <c r="CK94" s="14" t="e">
        <f>((1/CK49) - (CK90+(1/CK49))*EXP(-CK49*CK90))/(1-EXP(-CK49*CK90))</f>
        <v>#DIV/0!</v>
      </c>
      <c r="CL94" s="49"/>
      <c r="CM94" s="28"/>
    </row>
    <row r="95" spans="2:91" x14ac:dyDescent="0.25">
      <c r="B95" s="55"/>
      <c r="C95" s="10" t="s">
        <v>294</v>
      </c>
      <c r="D95" s="93" t="s">
        <v>304</v>
      </c>
      <c r="E95" s="127">
        <f>ROUND(1/EXP(-E49*E90),0)</f>
        <v>4</v>
      </c>
      <c r="F95" s="13">
        <f>ROUND(1/EXP(-F49*F90),0)</f>
        <v>78</v>
      </c>
      <c r="G95" s="44">
        <f>ROUND(1/EXP(-G49*G90),0)</f>
        <v>78</v>
      </c>
      <c r="H95" s="44">
        <f>ROUND(1/EXP(-H49*H90),0)</f>
        <v>9</v>
      </c>
      <c r="I95" s="14">
        <f>ROUND(1/EXP(-I49*I90),0)</f>
        <v>9</v>
      </c>
      <c r="J95" s="13" t="e">
        <f>ROUND(1/EXP(-J49*J90),0)</f>
        <v>#DIV/0!</v>
      </c>
      <c r="K95" s="44">
        <f>ROUND(1/EXP(-K49*K90),0)</f>
        <v>1</v>
      </c>
      <c r="L95" s="44">
        <f>ROUND(1/EXP(-L49*L90),0)</f>
        <v>7</v>
      </c>
      <c r="M95" s="14">
        <f>ROUND(1/EXP(-M49*M90),0)</f>
        <v>7</v>
      </c>
      <c r="N95" s="13" t="e">
        <f>ROUND(1/EXP(-N49*N90),0)</f>
        <v>#DIV/0!</v>
      </c>
      <c r="O95" s="44" t="e">
        <f>ROUND(1/EXP(-O49*O90),0)</f>
        <v>#DIV/0!</v>
      </c>
      <c r="P95" s="44" t="e">
        <f>ROUND(1/EXP(-P49*P90),0)</f>
        <v>#DIV/0!</v>
      </c>
      <c r="Q95" s="14" t="e">
        <f>ROUND(1/EXP(-Q49*Q90),0)</f>
        <v>#DIV/0!</v>
      </c>
      <c r="R95" s="13" t="e">
        <f>ROUND(1/EXP(-R49*R90),0)</f>
        <v>#DIV/0!</v>
      </c>
      <c r="S95" s="44" t="e">
        <f>ROUND(1/EXP(-S49*S90),0)</f>
        <v>#DIV/0!</v>
      </c>
      <c r="T95" s="44" t="e">
        <f>ROUND(1/EXP(-T49*T90),0)</f>
        <v>#DIV/0!</v>
      </c>
      <c r="U95" s="14" t="e">
        <f>ROUND(1/EXP(-U49*U90),0)</f>
        <v>#DIV/0!</v>
      </c>
      <c r="V95" s="13" t="e">
        <f>ROUND(1/EXP(-V49*V90),0)</f>
        <v>#DIV/0!</v>
      </c>
      <c r="W95" s="44" t="e">
        <f>ROUND(1/EXP(-W49*W90),0)</f>
        <v>#DIV/0!</v>
      </c>
      <c r="X95" s="44" t="e">
        <f>ROUND(1/EXP(-X49*X90),0)</f>
        <v>#DIV/0!</v>
      </c>
      <c r="Y95" s="14" t="e">
        <f>ROUND(1/EXP(-Y49*Y90),0)</f>
        <v>#DIV/0!</v>
      </c>
      <c r="Z95" s="13" t="e">
        <f>ROUND(1/EXP(-Z49*Z90),0)</f>
        <v>#DIV/0!</v>
      </c>
      <c r="AA95" s="44" t="e">
        <f>ROUND(1/EXP(-AA49*AA90),0)</f>
        <v>#DIV/0!</v>
      </c>
      <c r="AB95" s="44" t="e">
        <f>ROUND(1/EXP(-AB49*AB90),0)</f>
        <v>#DIV/0!</v>
      </c>
      <c r="AC95" s="14" t="e">
        <f>ROUND(1/EXP(-AC49*AC90),0)</f>
        <v>#DIV/0!</v>
      </c>
      <c r="AD95" s="13" t="e">
        <f>ROUND(1/EXP(-AD49*AD90),0)</f>
        <v>#DIV/0!</v>
      </c>
      <c r="AE95" s="44" t="e">
        <f>ROUND(1/EXP(-AE49*AE90),0)</f>
        <v>#DIV/0!</v>
      </c>
      <c r="AF95" s="44" t="e">
        <f>ROUND(1/EXP(-AF49*AF90),0)</f>
        <v>#DIV/0!</v>
      </c>
      <c r="AG95" s="14" t="e">
        <f>ROUND(1/EXP(-AG49*AG90),0)</f>
        <v>#DIV/0!</v>
      </c>
      <c r="AH95" s="13" t="e">
        <f>ROUND(1/EXP(-AH49*AH90),0)</f>
        <v>#DIV/0!</v>
      </c>
      <c r="AI95" s="44" t="e">
        <f>ROUND(1/EXP(-AI49*AI90),0)</f>
        <v>#DIV/0!</v>
      </c>
      <c r="AJ95" s="44" t="e">
        <f>ROUND(1/EXP(-AJ49*AJ90),0)</f>
        <v>#DIV/0!</v>
      </c>
      <c r="AK95" s="14" t="e">
        <f>ROUND(1/EXP(-AK49*AK90),0)</f>
        <v>#DIV/0!</v>
      </c>
      <c r="AL95" s="13" t="e">
        <f>ROUND(1/EXP(-AL49*AL90),0)</f>
        <v>#DIV/0!</v>
      </c>
      <c r="AM95" s="44" t="e">
        <f>ROUND(1/EXP(-AM49*AM90),0)</f>
        <v>#DIV/0!</v>
      </c>
      <c r="AN95" s="44" t="e">
        <f>ROUND(1/EXP(-AN49*AN90),0)</f>
        <v>#DIV/0!</v>
      </c>
      <c r="AO95" s="14" t="e">
        <f>ROUND(1/EXP(-AO49*AO90),0)</f>
        <v>#DIV/0!</v>
      </c>
      <c r="AP95" s="13" t="e">
        <f>ROUND(1/EXP(-AP49*AP90),0)</f>
        <v>#DIV/0!</v>
      </c>
      <c r="AQ95" s="44" t="e">
        <f>ROUND(1/EXP(-AQ49*AQ90),0)</f>
        <v>#DIV/0!</v>
      </c>
      <c r="AR95" s="44" t="e">
        <f>ROUND(1/EXP(-AR49*AR90),0)</f>
        <v>#DIV/0!</v>
      </c>
      <c r="AS95" s="14" t="e">
        <f>ROUND(1/EXP(-AS49*AS90),0)</f>
        <v>#DIV/0!</v>
      </c>
      <c r="AT95" s="13" t="e">
        <f>ROUND(1/EXP(-AT49*AT90),0)</f>
        <v>#DIV/0!</v>
      </c>
      <c r="AU95" s="44" t="e">
        <f>ROUND(1/EXP(-AU49*AU90),0)</f>
        <v>#DIV/0!</v>
      </c>
      <c r="AV95" s="44" t="e">
        <f>ROUND(1/EXP(-AV49*AV90),0)</f>
        <v>#DIV/0!</v>
      </c>
      <c r="AW95" s="14" t="e">
        <f>ROUND(1/EXP(-AW49*AW90),0)</f>
        <v>#DIV/0!</v>
      </c>
      <c r="AX95" s="13" t="e">
        <f>ROUND(1/EXP(-AX49*AX90),0)</f>
        <v>#DIV/0!</v>
      </c>
      <c r="AY95" s="44" t="e">
        <f>ROUND(1/EXP(-AY49*AY90),0)</f>
        <v>#DIV/0!</v>
      </c>
      <c r="AZ95" s="44" t="e">
        <f>ROUND(1/EXP(-AZ49*AZ90),0)</f>
        <v>#DIV/0!</v>
      </c>
      <c r="BA95" s="14" t="e">
        <f>ROUND(1/EXP(-BA49*BA90),0)</f>
        <v>#DIV/0!</v>
      </c>
      <c r="BB95" s="13" t="e">
        <f>ROUND(1/EXP(-BB49*BB90),0)</f>
        <v>#DIV/0!</v>
      </c>
      <c r="BC95" s="44" t="e">
        <f>ROUND(1/EXP(-BC49*BC90),0)</f>
        <v>#DIV/0!</v>
      </c>
      <c r="BD95" s="44" t="e">
        <f>ROUND(1/EXP(-BD49*BD90),0)</f>
        <v>#DIV/0!</v>
      </c>
      <c r="BE95" s="14" t="e">
        <f>ROUND(1/EXP(-BE49*BE90),0)</f>
        <v>#DIV/0!</v>
      </c>
      <c r="BF95" s="13" t="e">
        <f>ROUND(1/EXP(-BF49*BF90),0)</f>
        <v>#DIV/0!</v>
      </c>
      <c r="BG95" s="44" t="e">
        <f>ROUND(1/EXP(-BG49*BG90),0)</f>
        <v>#DIV/0!</v>
      </c>
      <c r="BH95" s="44" t="e">
        <f>ROUND(1/EXP(-BH49*BH90),0)</f>
        <v>#DIV/0!</v>
      </c>
      <c r="BI95" s="14" t="e">
        <f>ROUND(1/EXP(-BI49*BI90),0)</f>
        <v>#DIV/0!</v>
      </c>
      <c r="BJ95" s="13" t="e">
        <f>ROUND(1/EXP(-BJ49*BJ90),0)</f>
        <v>#DIV/0!</v>
      </c>
      <c r="BK95" s="44" t="e">
        <f>ROUND(1/EXP(-BK49*BK90),0)</f>
        <v>#DIV/0!</v>
      </c>
      <c r="BL95" s="44" t="e">
        <f>ROUND(1/EXP(-BL49*BL90),0)</f>
        <v>#DIV/0!</v>
      </c>
      <c r="BM95" s="14" t="e">
        <f>ROUND(1/EXP(-BM49*BM90),0)</f>
        <v>#DIV/0!</v>
      </c>
      <c r="BN95" s="13" t="e">
        <f>ROUND(1/EXP(-BN49*BN90),0)</f>
        <v>#DIV/0!</v>
      </c>
      <c r="BO95" s="44" t="e">
        <f>ROUND(1/EXP(-BO49*BO90),0)</f>
        <v>#DIV/0!</v>
      </c>
      <c r="BP95" s="44" t="e">
        <f>ROUND(1/EXP(-BP49*BP90),0)</f>
        <v>#DIV/0!</v>
      </c>
      <c r="BQ95" s="14" t="e">
        <f>ROUND(1/EXP(-BQ49*BQ90),0)</f>
        <v>#DIV/0!</v>
      </c>
      <c r="BR95" s="13" t="e">
        <f>ROUND(1/EXP(-BR49*BR90),0)</f>
        <v>#DIV/0!</v>
      </c>
      <c r="BS95" s="44" t="e">
        <f>ROUND(1/EXP(-BS49*BS90),0)</f>
        <v>#DIV/0!</v>
      </c>
      <c r="BT95" s="44" t="e">
        <f>ROUND(1/EXP(-BT49*BT90),0)</f>
        <v>#DIV/0!</v>
      </c>
      <c r="BU95" s="14" t="e">
        <f>ROUND(1/EXP(-BU49*BU90),0)</f>
        <v>#DIV/0!</v>
      </c>
      <c r="BV95" s="13" t="e">
        <f>ROUND(1/EXP(-BV49*BV90),0)</f>
        <v>#DIV/0!</v>
      </c>
      <c r="BW95" s="44" t="e">
        <f>ROUND(1/EXP(-BW49*BW90),0)</f>
        <v>#DIV/0!</v>
      </c>
      <c r="BX95" s="44" t="e">
        <f>ROUND(1/EXP(-BX49*BX90),0)</f>
        <v>#DIV/0!</v>
      </c>
      <c r="BY95" s="14" t="e">
        <f>ROUND(1/EXP(-BY49*BY90),0)</f>
        <v>#DIV/0!</v>
      </c>
      <c r="BZ95" s="13" t="e">
        <f>ROUND(1/EXP(-BZ49*BZ90),0)</f>
        <v>#DIV/0!</v>
      </c>
      <c r="CA95" s="44" t="e">
        <f>ROUND(1/EXP(-CA49*CA90),0)</f>
        <v>#DIV/0!</v>
      </c>
      <c r="CB95" s="44" t="e">
        <f>ROUND(1/EXP(-CB49*CB90),0)</f>
        <v>#DIV/0!</v>
      </c>
      <c r="CC95" s="14" t="e">
        <f>ROUND(1/EXP(-CC49*CC90),0)</f>
        <v>#DIV/0!</v>
      </c>
      <c r="CD95" s="13" t="e">
        <f>ROUND(1/EXP(-CD49*CD90),0)</f>
        <v>#DIV/0!</v>
      </c>
      <c r="CE95" s="44" t="e">
        <f>ROUND(1/EXP(-CE49*CE90),0)</f>
        <v>#DIV/0!</v>
      </c>
      <c r="CF95" s="44" t="e">
        <f>ROUND(1/EXP(-CF49*CF90),0)</f>
        <v>#DIV/0!</v>
      </c>
      <c r="CG95" s="14" t="e">
        <f>ROUND(1/EXP(-CG49*CG90),0)</f>
        <v>#DIV/0!</v>
      </c>
      <c r="CH95" s="13" t="e">
        <f>ROUND(1/EXP(-CH49*CH90),0)</f>
        <v>#DIV/0!</v>
      </c>
      <c r="CI95" s="44" t="e">
        <f>ROUND(1/EXP(-CI49*CI90),0)</f>
        <v>#DIV/0!</v>
      </c>
      <c r="CJ95" s="44" t="e">
        <f>ROUND(1/EXP(-CJ49*CJ90),0)</f>
        <v>#DIV/0!</v>
      </c>
      <c r="CK95" s="14" t="e">
        <f>ROUND(1/EXP(-CK49*CK90),0)</f>
        <v>#DIV/0!</v>
      </c>
      <c r="CL95" s="49"/>
      <c r="CM95" s="28"/>
    </row>
    <row r="96" spans="2:91" ht="14.25" x14ac:dyDescent="0.25">
      <c r="B96" s="55"/>
      <c r="C96" s="10" t="s">
        <v>315</v>
      </c>
      <c r="D96" s="93" t="s">
        <v>506</v>
      </c>
      <c r="E96" s="125">
        <f>ONESTAGELEFT_BIKE_DELAY(E9,E95,E94,E91,E92,E38,E93)</f>
        <v>9.9311998010680469</v>
      </c>
      <c r="F96" s="13">
        <f>ONESTAGELEFT_BIKE_DELAY(F9,F95,F94,F91,F92,F38,F93)</f>
        <v>170.2090314159436</v>
      </c>
      <c r="G96" s="44">
        <f>ONESTAGELEFT_BIKE_DELAY(G9,G95,G94,G91,G92,G38,G93)</f>
        <v>170.2090314159436</v>
      </c>
      <c r="H96" s="44">
        <f>ONESTAGELEFT_BIKE_DELAY(H9,H95,H94,H91,H92,H38,H93)</f>
        <v>22.227117859951019</v>
      </c>
      <c r="I96" s="14">
        <f>ONESTAGELEFT_BIKE_DELAY(I9,I95,I94,I91,I92,I38,I93)</f>
        <v>22.227117859951019</v>
      </c>
      <c r="J96" s="13" t="e">
        <f>ONESTAGELEFT_BIKE_DELAY(J9,J95,J94,J91,J92,J38,J93)</f>
        <v>#VALUE!</v>
      </c>
      <c r="K96" s="44">
        <f>ONESTAGELEFT_BIKE_DELAY(K9,K95,K94,K91,K92,K38,K93)</f>
        <v>0.51144452168868049</v>
      </c>
      <c r="L96" s="44">
        <f>ONESTAGELEFT_BIKE_DELAY(L9,L95,L94,L91,L92,L38,L93)</f>
        <v>17.282447189444994</v>
      </c>
      <c r="M96" s="14">
        <f>ONESTAGELEFT_BIKE_DELAY(M9,M95,M94,M91,M92,M38,M93)</f>
        <v>17.282447189444994</v>
      </c>
      <c r="N96" s="13" t="e">
        <f>ONESTAGELEFT_BIKE_DELAY(N9,N95,N94,N91,N92,N38,N93)</f>
        <v>#VALUE!</v>
      </c>
      <c r="O96" s="44" t="e">
        <f>ONESTAGELEFT_BIKE_DELAY(O9,O95,O94,O91,O92,O38,O93)</f>
        <v>#VALUE!</v>
      </c>
      <c r="P96" s="44" t="e">
        <f>ONESTAGELEFT_BIKE_DELAY(P9,P95,P94,P91,P92,P38,P93)</f>
        <v>#VALUE!</v>
      </c>
      <c r="Q96" s="14" t="e">
        <f>ONESTAGELEFT_BIKE_DELAY(Q9,Q95,Q94,Q91,Q92,Q38,Q93)</f>
        <v>#VALUE!</v>
      </c>
      <c r="R96" s="13" t="e">
        <f>ONESTAGELEFT_BIKE_DELAY(R9,R95,R94,R91,R92,R38,R93)</f>
        <v>#VALUE!</v>
      </c>
      <c r="S96" s="44" t="e">
        <f>ONESTAGELEFT_BIKE_DELAY(S9,S95,S94,S91,S92,S38,S93)</f>
        <v>#VALUE!</v>
      </c>
      <c r="T96" s="44" t="e">
        <f>ONESTAGELEFT_BIKE_DELAY(T9,T95,T94,T91,T92,T38,T93)</f>
        <v>#VALUE!</v>
      </c>
      <c r="U96" s="14" t="e">
        <f>ONESTAGELEFT_BIKE_DELAY(U9,U95,U94,U91,U92,U38,U93)</f>
        <v>#VALUE!</v>
      </c>
      <c r="V96" s="13" t="e">
        <f>ONESTAGELEFT_BIKE_DELAY(V9,V95,V94,V91,V92,V38,V93)</f>
        <v>#VALUE!</v>
      </c>
      <c r="W96" s="44" t="e">
        <f>ONESTAGELEFT_BIKE_DELAY(W9,W95,W94,W91,W92,W38,W93)</f>
        <v>#VALUE!</v>
      </c>
      <c r="X96" s="44" t="e">
        <f>ONESTAGELEFT_BIKE_DELAY(X9,X95,X94,X91,X92,X38,X93)</f>
        <v>#VALUE!</v>
      </c>
      <c r="Y96" s="14" t="e">
        <f>ONESTAGELEFT_BIKE_DELAY(Y9,Y95,Y94,Y91,Y92,Y38,Y93)</f>
        <v>#VALUE!</v>
      </c>
      <c r="Z96" s="13" t="e">
        <f>ONESTAGELEFT_BIKE_DELAY(Z9,Z95,Z94,Z91,Z92,Z38,Z93)</f>
        <v>#VALUE!</v>
      </c>
      <c r="AA96" s="44" t="e">
        <f>ONESTAGELEFT_BIKE_DELAY(AA9,AA95,AA94,AA91,AA92,AA38,AA93)</f>
        <v>#VALUE!</v>
      </c>
      <c r="AB96" s="44" t="e">
        <f>ONESTAGELEFT_BIKE_DELAY(AB9,AB95,AB94,AB91,AB92,AB38,AB93)</f>
        <v>#VALUE!</v>
      </c>
      <c r="AC96" s="14" t="e">
        <f>ONESTAGELEFT_BIKE_DELAY(AC9,AC95,AC94,AC91,AC92,AC38,AC93)</f>
        <v>#VALUE!</v>
      </c>
      <c r="AD96" s="13" t="e">
        <f>ONESTAGELEFT_BIKE_DELAY(AD9,AD95,AD94,AD91,AD92,AD38,AD93)</f>
        <v>#VALUE!</v>
      </c>
      <c r="AE96" s="44" t="e">
        <f>ONESTAGELEFT_BIKE_DELAY(AE9,AE95,AE94,AE91,AE92,AE38,AE93)</f>
        <v>#VALUE!</v>
      </c>
      <c r="AF96" s="44" t="e">
        <f>ONESTAGELEFT_BIKE_DELAY(AF9,AF95,AF94,AF91,AF92,AF38,AF93)</f>
        <v>#VALUE!</v>
      </c>
      <c r="AG96" s="14" t="e">
        <f>ONESTAGELEFT_BIKE_DELAY(AG9,AG95,AG94,AG91,AG92,AG38,AG93)</f>
        <v>#VALUE!</v>
      </c>
      <c r="AH96" s="13" t="e">
        <f>ONESTAGELEFT_BIKE_DELAY(AH9,AH95,AH94,AH91,AH92,AH38,AH93)</f>
        <v>#VALUE!</v>
      </c>
      <c r="AI96" s="44" t="e">
        <f>ONESTAGELEFT_BIKE_DELAY(AI9,AI95,AI94,AI91,AI92,AI38,AI93)</f>
        <v>#VALUE!</v>
      </c>
      <c r="AJ96" s="44" t="e">
        <f>ONESTAGELEFT_BIKE_DELAY(AJ9,AJ95,AJ94,AJ91,AJ92,AJ38,AJ93)</f>
        <v>#VALUE!</v>
      </c>
      <c r="AK96" s="14" t="e">
        <f>ONESTAGELEFT_BIKE_DELAY(AK9,AK95,AK94,AK91,AK92,AK38,AK93)</f>
        <v>#VALUE!</v>
      </c>
      <c r="AL96" s="13" t="e">
        <f>ONESTAGELEFT_BIKE_DELAY(AL9,AL95,AL94,AL91,AL92,AL38,AL93)</f>
        <v>#VALUE!</v>
      </c>
      <c r="AM96" s="44" t="e">
        <f>ONESTAGELEFT_BIKE_DELAY(AM9,AM95,AM94,AM91,AM92,AM38,AM93)</f>
        <v>#VALUE!</v>
      </c>
      <c r="AN96" s="44" t="e">
        <f>ONESTAGELEFT_BIKE_DELAY(AN9,AN95,AN94,AN91,AN92,AN38,AN93)</f>
        <v>#VALUE!</v>
      </c>
      <c r="AO96" s="14" t="e">
        <f>ONESTAGELEFT_BIKE_DELAY(AO9,AO95,AO94,AO91,AO92,AO38,AO93)</f>
        <v>#VALUE!</v>
      </c>
      <c r="AP96" s="13" t="e">
        <f>ONESTAGELEFT_BIKE_DELAY(AP9,AP95,AP94,AP91,AP92,AP38,AP93)</f>
        <v>#VALUE!</v>
      </c>
      <c r="AQ96" s="44" t="e">
        <f>ONESTAGELEFT_BIKE_DELAY(AQ9,AQ95,AQ94,AQ91,AQ92,AQ38,AQ93)</f>
        <v>#VALUE!</v>
      </c>
      <c r="AR96" s="44" t="e">
        <f>ONESTAGELEFT_BIKE_DELAY(AR9,AR95,AR94,AR91,AR92,AR38,AR93)</f>
        <v>#VALUE!</v>
      </c>
      <c r="AS96" s="14" t="e">
        <f>ONESTAGELEFT_BIKE_DELAY(AS9,AS95,AS94,AS91,AS92,AS38,AS93)</f>
        <v>#VALUE!</v>
      </c>
      <c r="AT96" s="13" t="e">
        <f>ONESTAGELEFT_BIKE_DELAY(AT9,AT95,AT94,AT91,AT92,AT38,AT93)</f>
        <v>#VALUE!</v>
      </c>
      <c r="AU96" s="44" t="e">
        <f>ONESTAGELEFT_BIKE_DELAY(AU9,AU95,AU94,AU91,AU92,AU38,AU93)</f>
        <v>#VALUE!</v>
      </c>
      <c r="AV96" s="44" t="e">
        <f>ONESTAGELEFT_BIKE_DELAY(AV9,AV95,AV94,AV91,AV92,AV38,AV93)</f>
        <v>#VALUE!</v>
      </c>
      <c r="AW96" s="14" t="e">
        <f>ONESTAGELEFT_BIKE_DELAY(AW9,AW95,AW94,AW91,AW92,AW38,AW93)</f>
        <v>#VALUE!</v>
      </c>
      <c r="AX96" s="13" t="e">
        <f>ONESTAGELEFT_BIKE_DELAY(AX9,AX95,AX94,AX91,AX92,AX38,AX93)</f>
        <v>#VALUE!</v>
      </c>
      <c r="AY96" s="44" t="e">
        <f>ONESTAGELEFT_BIKE_DELAY(AY9,AY95,AY94,AY91,AY92,AY38,AY93)</f>
        <v>#VALUE!</v>
      </c>
      <c r="AZ96" s="44" t="e">
        <f>ONESTAGELEFT_BIKE_DELAY(AZ9,AZ95,AZ94,AZ91,AZ92,AZ38,AZ93)</f>
        <v>#VALUE!</v>
      </c>
      <c r="BA96" s="14" t="e">
        <f>ONESTAGELEFT_BIKE_DELAY(BA9,BA95,BA94,BA91,BA92,BA38,BA93)</f>
        <v>#VALUE!</v>
      </c>
      <c r="BB96" s="13" t="e">
        <f>ONESTAGELEFT_BIKE_DELAY(BB9,BB95,BB94,BB91,BB92,BB38,BB93)</f>
        <v>#VALUE!</v>
      </c>
      <c r="BC96" s="44" t="e">
        <f>ONESTAGELEFT_BIKE_DELAY(BC9,BC95,BC94,BC91,BC92,BC38,BC93)</f>
        <v>#VALUE!</v>
      </c>
      <c r="BD96" s="44" t="e">
        <f>ONESTAGELEFT_BIKE_DELAY(BD9,BD95,BD94,BD91,BD92,BD38,BD93)</f>
        <v>#VALUE!</v>
      </c>
      <c r="BE96" s="14" t="e">
        <f>ONESTAGELEFT_BIKE_DELAY(BE9,BE95,BE94,BE91,BE92,BE38,BE93)</f>
        <v>#VALUE!</v>
      </c>
      <c r="BF96" s="13" t="e">
        <f>ONESTAGELEFT_BIKE_DELAY(BF9,BF95,BF94,BF91,BF92,BF38,BF93)</f>
        <v>#VALUE!</v>
      </c>
      <c r="BG96" s="44" t="e">
        <f>ONESTAGELEFT_BIKE_DELAY(BG9,BG95,BG94,BG91,BG92,BG38,BG93)</f>
        <v>#VALUE!</v>
      </c>
      <c r="BH96" s="44" t="e">
        <f>ONESTAGELEFT_BIKE_DELAY(BH9,BH95,BH94,BH91,BH92,BH38,BH93)</f>
        <v>#VALUE!</v>
      </c>
      <c r="BI96" s="14" t="e">
        <f>ONESTAGELEFT_BIKE_DELAY(BI9,BI95,BI94,BI91,BI92,BI38,BI93)</f>
        <v>#VALUE!</v>
      </c>
      <c r="BJ96" s="13" t="e">
        <f>ONESTAGELEFT_BIKE_DELAY(BJ9,BJ95,BJ94,BJ91,BJ92,BJ38,BJ93)</f>
        <v>#VALUE!</v>
      </c>
      <c r="BK96" s="44" t="e">
        <f>ONESTAGELEFT_BIKE_DELAY(BK9,BK95,BK94,BK91,BK92,BK38,BK93)</f>
        <v>#VALUE!</v>
      </c>
      <c r="BL96" s="44" t="e">
        <f>ONESTAGELEFT_BIKE_DELAY(BL9,BL95,BL94,BL91,BL92,BL38,BL93)</f>
        <v>#VALUE!</v>
      </c>
      <c r="BM96" s="14" t="e">
        <f>ONESTAGELEFT_BIKE_DELAY(BM9,BM95,BM94,BM91,BM92,BM38,BM93)</f>
        <v>#VALUE!</v>
      </c>
      <c r="BN96" s="13" t="e">
        <f>ONESTAGELEFT_BIKE_DELAY(BN9,BN95,BN94,BN91,BN92,BN38,BN93)</f>
        <v>#VALUE!</v>
      </c>
      <c r="BO96" s="44" t="e">
        <f>ONESTAGELEFT_BIKE_DELAY(BO9,BO95,BO94,BO91,BO92,BO38,BO93)</f>
        <v>#VALUE!</v>
      </c>
      <c r="BP96" s="44" t="e">
        <f>ONESTAGELEFT_BIKE_DELAY(BP9,BP95,BP94,BP91,BP92,BP38,BP93)</f>
        <v>#VALUE!</v>
      </c>
      <c r="BQ96" s="14" t="e">
        <f>ONESTAGELEFT_BIKE_DELAY(BQ9,BQ95,BQ94,BQ91,BQ92,BQ38,BQ93)</f>
        <v>#VALUE!</v>
      </c>
      <c r="BR96" s="13" t="e">
        <f>ONESTAGELEFT_BIKE_DELAY(BR9,BR95,BR94,BR91,BR92,BR38,BR93)</f>
        <v>#VALUE!</v>
      </c>
      <c r="BS96" s="44" t="e">
        <f>ONESTAGELEFT_BIKE_DELAY(BS9,BS95,BS94,BS91,BS92,BS38,BS93)</f>
        <v>#VALUE!</v>
      </c>
      <c r="BT96" s="44" t="e">
        <f>ONESTAGELEFT_BIKE_DELAY(BT9,BT95,BT94,BT91,BT92,BT38,BT93)</f>
        <v>#VALUE!</v>
      </c>
      <c r="BU96" s="14" t="e">
        <f>ONESTAGELEFT_BIKE_DELAY(BU9,BU95,BU94,BU91,BU92,BU38,BU93)</f>
        <v>#VALUE!</v>
      </c>
      <c r="BV96" s="13" t="e">
        <f>ONESTAGELEFT_BIKE_DELAY(BV9,BV95,BV94,BV91,BV92,BV38,BV93)</f>
        <v>#VALUE!</v>
      </c>
      <c r="BW96" s="44" t="e">
        <f>ONESTAGELEFT_BIKE_DELAY(BW9,BW95,BW94,BW91,BW92,BW38,BW93)</f>
        <v>#VALUE!</v>
      </c>
      <c r="BX96" s="44" t="e">
        <f>ONESTAGELEFT_BIKE_DELAY(BX9,BX95,BX94,BX91,BX92,BX38,BX93)</f>
        <v>#VALUE!</v>
      </c>
      <c r="BY96" s="14" t="e">
        <f>ONESTAGELEFT_BIKE_DELAY(BY9,BY95,BY94,BY91,BY92,BY38,BY93)</f>
        <v>#VALUE!</v>
      </c>
      <c r="BZ96" s="13" t="e">
        <f>ONESTAGELEFT_BIKE_DELAY(BZ9,BZ95,BZ94,BZ91,BZ92,BZ38,BZ93)</f>
        <v>#VALUE!</v>
      </c>
      <c r="CA96" s="44" t="e">
        <f>ONESTAGELEFT_BIKE_DELAY(CA9,CA95,CA94,CA91,CA92,CA38,CA93)</f>
        <v>#VALUE!</v>
      </c>
      <c r="CB96" s="44" t="e">
        <f>ONESTAGELEFT_BIKE_DELAY(CB9,CB95,CB94,CB91,CB92,CB38,CB93)</f>
        <v>#VALUE!</v>
      </c>
      <c r="CC96" s="14" t="e">
        <f>ONESTAGELEFT_BIKE_DELAY(CC9,CC95,CC94,CC91,CC92,CC38,CC93)</f>
        <v>#VALUE!</v>
      </c>
      <c r="CD96" s="13" t="e">
        <f>ONESTAGELEFT_BIKE_DELAY(CD9,CD95,CD94,CD91,CD92,CD38,CD93)</f>
        <v>#VALUE!</v>
      </c>
      <c r="CE96" s="44" t="e">
        <f>ONESTAGELEFT_BIKE_DELAY(CE9,CE95,CE94,CE91,CE92,CE38,CE93)</f>
        <v>#VALUE!</v>
      </c>
      <c r="CF96" s="44" t="e">
        <f>ONESTAGELEFT_BIKE_DELAY(CF9,CF95,CF94,CF91,CF92,CF38,CF93)</f>
        <v>#VALUE!</v>
      </c>
      <c r="CG96" s="14" t="e">
        <f>ONESTAGELEFT_BIKE_DELAY(CG9,CG95,CG94,CG91,CG92,CG38,CG93)</f>
        <v>#VALUE!</v>
      </c>
      <c r="CH96" s="13" t="e">
        <f>ONESTAGELEFT_BIKE_DELAY(CH9,CH95,CH94,CH91,CH92,CH38,CH93)</f>
        <v>#VALUE!</v>
      </c>
      <c r="CI96" s="44" t="e">
        <f>ONESTAGELEFT_BIKE_DELAY(CI9,CI95,CI94,CI91,CI92,CI38,CI93)</f>
        <v>#VALUE!</v>
      </c>
      <c r="CJ96" s="44" t="e">
        <f>ONESTAGELEFT_BIKE_DELAY(CJ9,CJ95,CJ94,CJ91,CJ92,CJ38,CJ93)</f>
        <v>#VALUE!</v>
      </c>
      <c r="CK96" s="14" t="e">
        <f>ONESTAGELEFT_BIKE_DELAY(CK9,CK95,CK94,CK91,CK92,CK38,CK93)</f>
        <v>#VALUE!</v>
      </c>
      <c r="CL96" s="49"/>
      <c r="CM96" s="28"/>
    </row>
    <row r="97" spans="1:91" ht="14.25" x14ac:dyDescent="0.25">
      <c r="B97" s="55"/>
      <c r="C97" s="10" t="s">
        <v>316</v>
      </c>
      <c r="D97" s="93" t="s">
        <v>507</v>
      </c>
      <c r="E97" s="126">
        <f>(E26)/2 + E27 + E41</f>
        <v>23</v>
      </c>
      <c r="F97" s="13">
        <f>(F26)/2 + F27 + F41</f>
        <v>32.150000000000006</v>
      </c>
      <c r="G97" s="44">
        <f>(G26)/2 + G27 + G41</f>
        <v>32.150000000000006</v>
      </c>
      <c r="H97" s="44">
        <f>(H26)/2 + H27 + H41</f>
        <v>24.450000000000003</v>
      </c>
      <c r="I97" s="14">
        <f>(I26)/2 + I27 + I41</f>
        <v>24.450000000000003</v>
      </c>
      <c r="J97" s="13">
        <f>(J26)/2 + J27 + J41</f>
        <v>0</v>
      </c>
      <c r="K97" s="44">
        <f>(K26)/2 + K27 + K41</f>
        <v>3</v>
      </c>
      <c r="L97" s="44">
        <f>(L26)/2 + L27 + L41</f>
        <v>3</v>
      </c>
      <c r="M97" s="14">
        <f>(M26)/2 + M27 + M41</f>
        <v>3</v>
      </c>
      <c r="N97" s="13">
        <f>(N26)/2 + N27 + N41</f>
        <v>0</v>
      </c>
      <c r="O97" s="44">
        <f>(O26)/2 + O27 + O41</f>
        <v>0</v>
      </c>
      <c r="P97" s="44">
        <f>(P26)/2 + P27 + P41</f>
        <v>0</v>
      </c>
      <c r="Q97" s="14">
        <f>(Q26)/2 + Q27 + Q41</f>
        <v>0</v>
      </c>
      <c r="R97" s="13">
        <f>(R26)/2 + R27 + R41</f>
        <v>0</v>
      </c>
      <c r="S97" s="44">
        <f>(S26)/2 + S27 + S41</f>
        <v>0</v>
      </c>
      <c r="T97" s="44">
        <f>(T26)/2 + T27 + T41</f>
        <v>0</v>
      </c>
      <c r="U97" s="14">
        <f>(U26)/2 + U27 + U41</f>
        <v>0</v>
      </c>
      <c r="V97" s="13">
        <f>(V26)/2 + V27 + V41</f>
        <v>0</v>
      </c>
      <c r="W97" s="44">
        <f>(W26)/2 + W27 + W41</f>
        <v>0</v>
      </c>
      <c r="X97" s="44">
        <f>(X26)/2 + X27 + X41</f>
        <v>0</v>
      </c>
      <c r="Y97" s="14">
        <f>(Y26)/2 + Y27 + Y41</f>
        <v>0</v>
      </c>
      <c r="Z97" s="13">
        <f>(Z26)/2 + Z27 + Z41</f>
        <v>0</v>
      </c>
      <c r="AA97" s="44">
        <f>(AA26)/2 + AA27 + AA41</f>
        <v>0</v>
      </c>
      <c r="AB97" s="44">
        <f>(AB26)/2 + AB27 + AB41</f>
        <v>0</v>
      </c>
      <c r="AC97" s="14">
        <f>(AC26)/2 + AC27 + AC41</f>
        <v>0</v>
      </c>
      <c r="AD97" s="13">
        <f>(AD26)/2 + AD27 + AD41</f>
        <v>0</v>
      </c>
      <c r="AE97" s="44">
        <f>(AE26)/2 + AE27 + AE41</f>
        <v>0</v>
      </c>
      <c r="AF97" s="44">
        <f>(AF26)/2 + AF27 + AF41</f>
        <v>0</v>
      </c>
      <c r="AG97" s="14">
        <f>(AG26)/2 + AG27 + AG41</f>
        <v>0</v>
      </c>
      <c r="AH97" s="13">
        <f>(AH26)/2 + AH27 + AH41</f>
        <v>0</v>
      </c>
      <c r="AI97" s="44">
        <f>(AI26)/2 + AI27 + AI41</f>
        <v>0</v>
      </c>
      <c r="AJ97" s="44">
        <f>(AJ26)/2 + AJ27 + AJ41</f>
        <v>0</v>
      </c>
      <c r="AK97" s="14">
        <f>(AK26)/2 + AK27 + AK41</f>
        <v>0</v>
      </c>
      <c r="AL97" s="13">
        <f>(AL26)/2 + AL27 + AL41</f>
        <v>0</v>
      </c>
      <c r="AM97" s="44">
        <f>(AM26)/2 + AM27 + AM41</f>
        <v>0</v>
      </c>
      <c r="AN97" s="44">
        <f>(AN26)/2 + AN27 + AN41</f>
        <v>0</v>
      </c>
      <c r="AO97" s="14">
        <f>(AO26)/2 + AO27 + AO41</f>
        <v>0</v>
      </c>
      <c r="AP97" s="13">
        <f>(AP26)/2 + AP27 + AP41</f>
        <v>0</v>
      </c>
      <c r="AQ97" s="44">
        <f>(AQ26)/2 + AQ27 + AQ41</f>
        <v>0</v>
      </c>
      <c r="AR97" s="44">
        <f>(AR26)/2 + AR27 + AR41</f>
        <v>0</v>
      </c>
      <c r="AS97" s="14">
        <f>(AS26)/2 + AS27 + AS41</f>
        <v>0</v>
      </c>
      <c r="AT97" s="13">
        <f>(AT26)/2 + AT27 + AT41</f>
        <v>0</v>
      </c>
      <c r="AU97" s="44">
        <f>(AU26)/2 + AU27 + AU41</f>
        <v>0</v>
      </c>
      <c r="AV97" s="44">
        <f>(AV26)/2 + AV27 + AV41</f>
        <v>0</v>
      </c>
      <c r="AW97" s="14">
        <f>(AW26)/2 + AW27 + AW41</f>
        <v>0</v>
      </c>
      <c r="AX97" s="13">
        <f>(AX26)/2 + AX27 + AX41</f>
        <v>0</v>
      </c>
      <c r="AY97" s="44">
        <f>(AY26)/2 + AY27 + AY41</f>
        <v>0</v>
      </c>
      <c r="AZ97" s="44">
        <f>(AZ26)/2 + AZ27 + AZ41</f>
        <v>0</v>
      </c>
      <c r="BA97" s="14">
        <f>(BA26)/2 + BA27 + BA41</f>
        <v>0</v>
      </c>
      <c r="BB97" s="13">
        <f>(BB26)/2 + BB27 + BB41</f>
        <v>0</v>
      </c>
      <c r="BC97" s="44">
        <f>(BC26)/2 + BC27 + BC41</f>
        <v>0</v>
      </c>
      <c r="BD97" s="44">
        <f>(BD26)/2 + BD27 + BD41</f>
        <v>0</v>
      </c>
      <c r="BE97" s="14">
        <f>(BE26)/2 + BE27 + BE41</f>
        <v>0</v>
      </c>
      <c r="BF97" s="13">
        <f>(BF26)/2 + BF27 + BF41</f>
        <v>0</v>
      </c>
      <c r="BG97" s="44">
        <f>(BG26)/2 + BG27 + BG41</f>
        <v>0</v>
      </c>
      <c r="BH97" s="44">
        <f>(BH26)/2 + BH27 + BH41</f>
        <v>0</v>
      </c>
      <c r="BI97" s="14">
        <f>(BI26)/2 + BI27 + BI41</f>
        <v>0</v>
      </c>
      <c r="BJ97" s="13">
        <f>(BJ26)/2 + BJ27 + BJ41</f>
        <v>0</v>
      </c>
      <c r="BK97" s="44">
        <f>(BK26)/2 + BK27 + BK41</f>
        <v>0</v>
      </c>
      <c r="BL97" s="44">
        <f>(BL26)/2 + BL27 + BL41</f>
        <v>0</v>
      </c>
      <c r="BM97" s="14">
        <f>(BM26)/2 + BM27 + BM41</f>
        <v>0</v>
      </c>
      <c r="BN97" s="13">
        <f>(BN26)/2 + BN27 + BN41</f>
        <v>0</v>
      </c>
      <c r="BO97" s="44">
        <f>(BO26)/2 + BO27 + BO41</f>
        <v>0</v>
      </c>
      <c r="BP97" s="44">
        <f>(BP26)/2 + BP27 + BP41</f>
        <v>0</v>
      </c>
      <c r="BQ97" s="14">
        <f>(BQ26)/2 + BQ27 + BQ41</f>
        <v>0</v>
      </c>
      <c r="BR97" s="13">
        <f>(BR26)/2 + BR27 + BR41</f>
        <v>0</v>
      </c>
      <c r="BS97" s="44">
        <f>(BS26)/2 + BS27 + BS41</f>
        <v>0</v>
      </c>
      <c r="BT97" s="44">
        <f>(BT26)/2 + BT27 + BT41</f>
        <v>0</v>
      </c>
      <c r="BU97" s="14">
        <f>(BU26)/2 + BU27 + BU41</f>
        <v>0</v>
      </c>
      <c r="BV97" s="13">
        <f>(BV26)/2 + BV27 + BV41</f>
        <v>0</v>
      </c>
      <c r="BW97" s="44">
        <f>(BW26)/2 + BW27 + BW41</f>
        <v>0</v>
      </c>
      <c r="BX97" s="44">
        <f>(BX26)/2 + BX27 + BX41</f>
        <v>0</v>
      </c>
      <c r="BY97" s="14">
        <f>(BY26)/2 + BY27 + BY41</f>
        <v>0</v>
      </c>
      <c r="BZ97" s="13">
        <f>(BZ26)/2 + BZ27 + BZ41</f>
        <v>0</v>
      </c>
      <c r="CA97" s="44">
        <f>(CA26)/2 + CA27 + CA41</f>
        <v>0</v>
      </c>
      <c r="CB97" s="44">
        <f>(CB26)/2 + CB27 + CB41</f>
        <v>0</v>
      </c>
      <c r="CC97" s="14">
        <f>(CC26)/2 + CC27 + CC41</f>
        <v>0</v>
      </c>
      <c r="CD97" s="13">
        <f>(CD26)/2 + CD27 + CD41</f>
        <v>0</v>
      </c>
      <c r="CE97" s="44">
        <f>(CE26)/2 + CE27 + CE41</f>
        <v>0</v>
      </c>
      <c r="CF97" s="44">
        <f>(CF26)/2 + CF27 + CF41</f>
        <v>0</v>
      </c>
      <c r="CG97" s="14">
        <f>(CG26)/2 + CG27 + CG41</f>
        <v>0</v>
      </c>
      <c r="CH97" s="13">
        <f>(CH26)/2 + CH27 + CH41</f>
        <v>0</v>
      </c>
      <c r="CI97" s="44">
        <f>(CI26)/2 + CI27 + CI41</f>
        <v>0</v>
      </c>
      <c r="CJ97" s="44">
        <f>(CJ26)/2 + CJ27 + CJ41</f>
        <v>0</v>
      </c>
      <c r="CK97" s="14">
        <f>(CK26)/2 + CK27 + CK41</f>
        <v>0</v>
      </c>
      <c r="CL97" s="49"/>
      <c r="CM97" s="28"/>
    </row>
    <row r="98" spans="1:91" ht="14.25" x14ac:dyDescent="0.25">
      <c r="B98" s="55"/>
      <c r="C98" s="10" t="s">
        <v>332</v>
      </c>
      <c r="D98" s="93" t="s">
        <v>508</v>
      </c>
      <c r="E98" s="126">
        <f>((E28-E26)/2)+E26+E27+2*E41</f>
        <v>76</v>
      </c>
      <c r="F98" s="13">
        <f>((F28-F26)/2)+F26+F27+2*F41</f>
        <v>82.649999999999991</v>
      </c>
      <c r="G98" s="44">
        <f>((G28-G26)/2)+G26+G27+2*G41</f>
        <v>82.649999999999991</v>
      </c>
      <c r="H98" s="44">
        <f>((H28-H26)/2)+H26+H27+2*H41</f>
        <v>74.95</v>
      </c>
      <c r="I98" s="14">
        <f>((I28-I26)/2)+I26+I27+2*I41</f>
        <v>74.95</v>
      </c>
      <c r="J98" s="13">
        <f>((J28-J26)/2)+J26+J27+2*J41</f>
        <v>0</v>
      </c>
      <c r="K98" s="44">
        <f>((K28-K26)/2)+K26+K27+2*K41</f>
        <v>6</v>
      </c>
      <c r="L98" s="44">
        <f>((L28-L26)/2)+L26+L27+2*L41</f>
        <v>6</v>
      </c>
      <c r="M98" s="14">
        <f>((M28-M26)/2)+M26+M27+2*M41</f>
        <v>6</v>
      </c>
      <c r="N98" s="13">
        <f>((N28-N26)/2)+N26+N27+2*N41</f>
        <v>0</v>
      </c>
      <c r="O98" s="44">
        <f>((O28-O26)/2)+O26+O27+2*O41</f>
        <v>0</v>
      </c>
      <c r="P98" s="44">
        <f>((P28-P26)/2)+P26+P27+2*P41</f>
        <v>0</v>
      </c>
      <c r="Q98" s="14">
        <f>((Q28-Q26)/2)+Q26+Q27+2*Q41</f>
        <v>0</v>
      </c>
      <c r="R98" s="13">
        <f>((R28-R26)/2)+R26+R27+2*R41</f>
        <v>0</v>
      </c>
      <c r="S98" s="44">
        <f>((S28-S26)/2)+S26+S27+2*S41</f>
        <v>0</v>
      </c>
      <c r="T98" s="44">
        <f>((T28-T26)/2)+T26+T27+2*T41</f>
        <v>0</v>
      </c>
      <c r="U98" s="14">
        <f>((U28-U26)/2)+U26+U27+2*U41</f>
        <v>0</v>
      </c>
      <c r="V98" s="13">
        <f>((V28-V26)/2)+V26+V27+2*V41</f>
        <v>0</v>
      </c>
      <c r="W98" s="44">
        <f>((W28-W26)/2)+W26+W27+2*W41</f>
        <v>0</v>
      </c>
      <c r="X98" s="44">
        <f>((X28-X26)/2)+X26+X27+2*X41</f>
        <v>0</v>
      </c>
      <c r="Y98" s="14">
        <f>((Y28-Y26)/2)+Y26+Y27+2*Y41</f>
        <v>0</v>
      </c>
      <c r="Z98" s="13">
        <f>((Z28-Z26)/2)+Z26+Z27+2*Z41</f>
        <v>0</v>
      </c>
      <c r="AA98" s="44">
        <f>((AA28-AA26)/2)+AA26+AA27+2*AA41</f>
        <v>0</v>
      </c>
      <c r="AB98" s="44">
        <f>((AB28-AB26)/2)+AB26+AB27+2*AB41</f>
        <v>0</v>
      </c>
      <c r="AC98" s="14">
        <f>((AC28-AC26)/2)+AC26+AC27+2*AC41</f>
        <v>0</v>
      </c>
      <c r="AD98" s="13">
        <f>((AD28-AD26)/2)+AD26+AD27+2*AD41</f>
        <v>0</v>
      </c>
      <c r="AE98" s="44">
        <f>((AE28-AE26)/2)+AE26+AE27+2*AE41</f>
        <v>0</v>
      </c>
      <c r="AF98" s="44">
        <f>((AF28-AF26)/2)+AF26+AF27+2*AF41</f>
        <v>0</v>
      </c>
      <c r="AG98" s="14">
        <f>((AG28-AG26)/2)+AG26+AG27+2*AG41</f>
        <v>0</v>
      </c>
      <c r="AH98" s="13">
        <f>((AH28-AH26)/2)+AH26+AH27+2*AH41</f>
        <v>0</v>
      </c>
      <c r="AI98" s="44">
        <f>((AI28-AI26)/2)+AI26+AI27+2*AI41</f>
        <v>0</v>
      </c>
      <c r="AJ98" s="44">
        <f>((AJ28-AJ26)/2)+AJ26+AJ27+2*AJ41</f>
        <v>0</v>
      </c>
      <c r="AK98" s="14">
        <f>((AK28-AK26)/2)+AK26+AK27+2*AK41</f>
        <v>0</v>
      </c>
      <c r="AL98" s="13">
        <f>((AL28-AL26)/2)+AL26+AL27+2*AL41</f>
        <v>0</v>
      </c>
      <c r="AM98" s="44">
        <f>((AM28-AM26)/2)+AM26+AM27+2*AM41</f>
        <v>0</v>
      </c>
      <c r="AN98" s="44">
        <f>((AN28-AN26)/2)+AN26+AN27+2*AN41</f>
        <v>0</v>
      </c>
      <c r="AO98" s="14">
        <f>((AO28-AO26)/2)+AO26+AO27+2*AO41</f>
        <v>0</v>
      </c>
      <c r="AP98" s="13">
        <f>((AP28-AP26)/2)+AP26+AP27+2*AP41</f>
        <v>0</v>
      </c>
      <c r="AQ98" s="44">
        <f>((AQ28-AQ26)/2)+AQ26+AQ27+2*AQ41</f>
        <v>0</v>
      </c>
      <c r="AR98" s="44">
        <f>((AR28-AR26)/2)+AR26+AR27+2*AR41</f>
        <v>0</v>
      </c>
      <c r="AS98" s="14">
        <f>((AS28-AS26)/2)+AS26+AS27+2*AS41</f>
        <v>0</v>
      </c>
      <c r="AT98" s="13">
        <f>((AT28-AT26)/2)+AT26+AT27+2*AT41</f>
        <v>0</v>
      </c>
      <c r="AU98" s="44">
        <f>((AU28-AU26)/2)+AU26+AU27+2*AU41</f>
        <v>0</v>
      </c>
      <c r="AV98" s="44">
        <f>((AV28-AV26)/2)+AV26+AV27+2*AV41</f>
        <v>0</v>
      </c>
      <c r="AW98" s="14">
        <f>((AW28-AW26)/2)+AW26+AW27+2*AW41</f>
        <v>0</v>
      </c>
      <c r="AX98" s="13">
        <f>((AX28-AX26)/2)+AX26+AX27+2*AX41</f>
        <v>0</v>
      </c>
      <c r="AY98" s="44">
        <f>((AY28-AY26)/2)+AY26+AY27+2*AY41</f>
        <v>0</v>
      </c>
      <c r="AZ98" s="44">
        <f>((AZ28-AZ26)/2)+AZ26+AZ27+2*AZ41</f>
        <v>0</v>
      </c>
      <c r="BA98" s="14">
        <f>((BA28-BA26)/2)+BA26+BA27+2*BA41</f>
        <v>0</v>
      </c>
      <c r="BB98" s="13">
        <f>((BB28-BB26)/2)+BB26+BB27+2*BB41</f>
        <v>0</v>
      </c>
      <c r="BC98" s="44">
        <f>((BC28-BC26)/2)+BC26+BC27+2*BC41</f>
        <v>0</v>
      </c>
      <c r="BD98" s="44">
        <f>((BD28-BD26)/2)+BD26+BD27+2*BD41</f>
        <v>0</v>
      </c>
      <c r="BE98" s="14">
        <f>((BE28-BE26)/2)+BE26+BE27+2*BE41</f>
        <v>0</v>
      </c>
      <c r="BF98" s="13">
        <f>((BF28-BF26)/2)+BF26+BF27+2*BF41</f>
        <v>0</v>
      </c>
      <c r="BG98" s="44">
        <f>((BG28-BG26)/2)+BG26+BG27+2*BG41</f>
        <v>0</v>
      </c>
      <c r="BH98" s="44">
        <f>((BH28-BH26)/2)+BH26+BH27+2*BH41</f>
        <v>0</v>
      </c>
      <c r="BI98" s="14">
        <f>((BI28-BI26)/2)+BI26+BI27+2*BI41</f>
        <v>0</v>
      </c>
      <c r="BJ98" s="13">
        <f>((BJ28-BJ26)/2)+BJ26+BJ27+2*BJ41</f>
        <v>0</v>
      </c>
      <c r="BK98" s="44">
        <f>((BK28-BK26)/2)+BK26+BK27+2*BK41</f>
        <v>0</v>
      </c>
      <c r="BL98" s="44">
        <f>((BL28-BL26)/2)+BL26+BL27+2*BL41</f>
        <v>0</v>
      </c>
      <c r="BM98" s="14">
        <f>((BM28-BM26)/2)+BM26+BM27+2*BM41</f>
        <v>0</v>
      </c>
      <c r="BN98" s="13">
        <f>((BN28-BN26)/2)+BN26+BN27+2*BN41</f>
        <v>0</v>
      </c>
      <c r="BO98" s="44">
        <f>((BO28-BO26)/2)+BO26+BO27+2*BO41</f>
        <v>0</v>
      </c>
      <c r="BP98" s="44">
        <f>((BP28-BP26)/2)+BP26+BP27+2*BP41</f>
        <v>0</v>
      </c>
      <c r="BQ98" s="14">
        <f>((BQ28-BQ26)/2)+BQ26+BQ27+2*BQ41</f>
        <v>0</v>
      </c>
      <c r="BR98" s="13">
        <f>((BR28-BR26)/2)+BR26+BR27+2*BR41</f>
        <v>0</v>
      </c>
      <c r="BS98" s="44">
        <f>((BS28-BS26)/2)+BS26+BS27+2*BS41</f>
        <v>0</v>
      </c>
      <c r="BT98" s="44">
        <f>((BT28-BT26)/2)+BT26+BT27+2*BT41</f>
        <v>0</v>
      </c>
      <c r="BU98" s="14">
        <f>((BU28-BU26)/2)+BU26+BU27+2*BU41</f>
        <v>0</v>
      </c>
      <c r="BV98" s="13">
        <f>((BV28-BV26)/2)+BV26+BV27+2*BV41</f>
        <v>0</v>
      </c>
      <c r="BW98" s="44">
        <f>((BW28-BW26)/2)+BW26+BW27+2*BW41</f>
        <v>0</v>
      </c>
      <c r="BX98" s="44">
        <f>((BX28-BX26)/2)+BX26+BX27+2*BX41</f>
        <v>0</v>
      </c>
      <c r="BY98" s="14">
        <f>((BY28-BY26)/2)+BY26+BY27+2*BY41</f>
        <v>0</v>
      </c>
      <c r="BZ98" s="13">
        <f>((BZ28-BZ26)/2)+BZ26+BZ27+2*BZ41</f>
        <v>0</v>
      </c>
      <c r="CA98" s="44">
        <f>((CA28-CA26)/2)+CA26+CA27+2*CA41</f>
        <v>0</v>
      </c>
      <c r="CB98" s="44">
        <f>((CB28-CB26)/2)+CB26+CB27+2*CB41</f>
        <v>0</v>
      </c>
      <c r="CC98" s="14">
        <f>((CC28-CC26)/2)+CC26+CC27+2*CC41</f>
        <v>0</v>
      </c>
      <c r="CD98" s="13">
        <f>((CD28-CD26)/2)+CD26+CD27+2*CD41</f>
        <v>0</v>
      </c>
      <c r="CE98" s="44">
        <f>((CE28-CE26)/2)+CE26+CE27+2*CE41</f>
        <v>0</v>
      </c>
      <c r="CF98" s="44">
        <f>((CF28-CF26)/2)+CF26+CF27+2*CF41</f>
        <v>0</v>
      </c>
      <c r="CG98" s="14">
        <f>((CG28-CG26)/2)+CG26+CG27+2*CG41</f>
        <v>0</v>
      </c>
      <c r="CH98" s="13">
        <f>((CH28-CH26)/2)+CH26+CH27+2*CH41</f>
        <v>0</v>
      </c>
      <c r="CI98" s="44">
        <f>((CI28-CI26)/2)+CI26+CI27+2*CI41</f>
        <v>0</v>
      </c>
      <c r="CJ98" s="44">
        <f>((CJ28-CJ26)/2)+CJ26+CJ27+2*CJ41</f>
        <v>0</v>
      </c>
      <c r="CK98" s="14">
        <f>((CK28-CK26)/2)+CK26+CK27+2*CK41</f>
        <v>0</v>
      </c>
      <c r="CL98" s="49"/>
      <c r="CM98" s="28"/>
    </row>
    <row r="99" spans="1:91" ht="14.25" x14ac:dyDescent="0.25">
      <c r="B99" s="55"/>
      <c r="C99" s="10" t="s">
        <v>317</v>
      </c>
      <c r="D99" s="93" t="s">
        <v>509</v>
      </c>
      <c r="E99" s="126">
        <f>(E26/E28)*E97+((E28-E26)/E28)*E98</f>
        <v>60.099999999999994</v>
      </c>
      <c r="F99" s="13">
        <f>(F26/F28)*F97+((F28-F26)/F28)*F98</f>
        <v>57.293684210526308</v>
      </c>
      <c r="G99" s="44">
        <f>(G26/G28)*G97+((G28-G26)/G28)*G98</f>
        <v>57.293684210526308</v>
      </c>
      <c r="H99" s="44">
        <f>(H26/H28)*H97+((H28-H26)/H28)*H98</f>
        <v>58.417894736842101</v>
      </c>
      <c r="I99" s="14">
        <f>(I26/I28)*I97+((I28-I26)/I28)*I98</f>
        <v>58.417894736842101</v>
      </c>
      <c r="J99" s="13" t="e">
        <f>(J26/J28)*J97+((J28-J26)/J28)*J98</f>
        <v>#DIV/0!</v>
      </c>
      <c r="K99" s="44" t="e">
        <f>(K26/K28)*K97+((K28-K26)/K28)*K98</f>
        <v>#DIV/0!</v>
      </c>
      <c r="L99" s="44" t="e">
        <f>(L26/L28)*L97+((L28-L26)/L28)*L98</f>
        <v>#DIV/0!</v>
      </c>
      <c r="M99" s="14" t="e">
        <f>(M26/M28)*M97+((M28-M26)/M28)*M98</f>
        <v>#DIV/0!</v>
      </c>
      <c r="N99" s="13" t="e">
        <f>(N26/N28)*N97+((N28-N26)/N28)*N98</f>
        <v>#DIV/0!</v>
      </c>
      <c r="O99" s="44" t="e">
        <f>(O26/O28)*O97+((O28-O26)/O28)*O98</f>
        <v>#DIV/0!</v>
      </c>
      <c r="P99" s="44" t="e">
        <f>(P26/P28)*P97+((P28-P26)/P28)*P98</f>
        <v>#DIV/0!</v>
      </c>
      <c r="Q99" s="14" t="e">
        <f>(Q26/Q28)*Q97+((Q28-Q26)/Q28)*Q98</f>
        <v>#DIV/0!</v>
      </c>
      <c r="R99" s="13" t="e">
        <f>(R26/R28)*R97+((R28-R26)/R28)*R98</f>
        <v>#DIV/0!</v>
      </c>
      <c r="S99" s="44" t="e">
        <f>(S26/S28)*S97+((S28-S26)/S28)*S98</f>
        <v>#DIV/0!</v>
      </c>
      <c r="T99" s="44" t="e">
        <f>(T26/T28)*T97+((T28-T26)/T28)*T98</f>
        <v>#DIV/0!</v>
      </c>
      <c r="U99" s="14" t="e">
        <f>(U26/U28)*U97+((U28-U26)/U28)*U98</f>
        <v>#DIV/0!</v>
      </c>
      <c r="V99" s="13" t="e">
        <f>(V26/V28)*V97+((V28-V26)/V28)*V98</f>
        <v>#DIV/0!</v>
      </c>
      <c r="W99" s="44" t="e">
        <f>(W26/W28)*W97+((W28-W26)/W28)*W98</f>
        <v>#DIV/0!</v>
      </c>
      <c r="X99" s="44" t="e">
        <f>(X26/X28)*X97+((X28-X26)/X28)*X98</f>
        <v>#DIV/0!</v>
      </c>
      <c r="Y99" s="14" t="e">
        <f>(Y26/Y28)*Y97+((Y28-Y26)/Y28)*Y98</f>
        <v>#DIV/0!</v>
      </c>
      <c r="Z99" s="13" t="e">
        <f>(Z26/Z28)*Z97+((Z28-Z26)/Z28)*Z98</f>
        <v>#DIV/0!</v>
      </c>
      <c r="AA99" s="44" t="e">
        <f>(AA26/AA28)*AA97+((AA28-AA26)/AA28)*AA98</f>
        <v>#DIV/0!</v>
      </c>
      <c r="AB99" s="44" t="e">
        <f>(AB26/AB28)*AB97+((AB28-AB26)/AB28)*AB98</f>
        <v>#DIV/0!</v>
      </c>
      <c r="AC99" s="14" t="e">
        <f>(AC26/AC28)*AC97+((AC28-AC26)/AC28)*AC98</f>
        <v>#DIV/0!</v>
      </c>
      <c r="AD99" s="13" t="e">
        <f>(AD26/AD28)*AD97+((AD28-AD26)/AD28)*AD98</f>
        <v>#DIV/0!</v>
      </c>
      <c r="AE99" s="44" t="e">
        <f>(AE26/AE28)*AE97+((AE28-AE26)/AE28)*AE98</f>
        <v>#DIV/0!</v>
      </c>
      <c r="AF99" s="44" t="e">
        <f>(AF26/AF28)*AF97+((AF28-AF26)/AF28)*AF98</f>
        <v>#DIV/0!</v>
      </c>
      <c r="AG99" s="14" t="e">
        <f>(AG26/AG28)*AG97+((AG28-AG26)/AG28)*AG98</f>
        <v>#DIV/0!</v>
      </c>
      <c r="AH99" s="13" t="e">
        <f>(AH26/AH28)*AH97+((AH28-AH26)/AH28)*AH98</f>
        <v>#DIV/0!</v>
      </c>
      <c r="AI99" s="44" t="e">
        <f>(AI26/AI28)*AI97+((AI28-AI26)/AI28)*AI98</f>
        <v>#DIV/0!</v>
      </c>
      <c r="AJ99" s="44" t="e">
        <f>(AJ26/AJ28)*AJ97+((AJ28-AJ26)/AJ28)*AJ98</f>
        <v>#DIV/0!</v>
      </c>
      <c r="AK99" s="14" t="e">
        <f>(AK26/AK28)*AK97+((AK28-AK26)/AK28)*AK98</f>
        <v>#DIV/0!</v>
      </c>
      <c r="AL99" s="13" t="e">
        <f>(AL26/AL28)*AL97+((AL28-AL26)/AL28)*AL98</f>
        <v>#DIV/0!</v>
      </c>
      <c r="AM99" s="44" t="e">
        <f>(AM26/AM28)*AM97+((AM28-AM26)/AM28)*AM98</f>
        <v>#DIV/0!</v>
      </c>
      <c r="AN99" s="44" t="e">
        <f>(AN26/AN28)*AN97+((AN28-AN26)/AN28)*AN98</f>
        <v>#DIV/0!</v>
      </c>
      <c r="AO99" s="14" t="e">
        <f>(AO26/AO28)*AO97+((AO28-AO26)/AO28)*AO98</f>
        <v>#DIV/0!</v>
      </c>
      <c r="AP99" s="13" t="e">
        <f>(AP26/AP28)*AP97+((AP28-AP26)/AP28)*AP98</f>
        <v>#DIV/0!</v>
      </c>
      <c r="AQ99" s="44" t="e">
        <f>(AQ26/AQ28)*AQ97+((AQ28-AQ26)/AQ28)*AQ98</f>
        <v>#DIV/0!</v>
      </c>
      <c r="AR99" s="44" t="e">
        <f>(AR26/AR28)*AR97+((AR28-AR26)/AR28)*AR98</f>
        <v>#DIV/0!</v>
      </c>
      <c r="AS99" s="14" t="e">
        <f>(AS26/AS28)*AS97+((AS28-AS26)/AS28)*AS98</f>
        <v>#DIV/0!</v>
      </c>
      <c r="AT99" s="13" t="e">
        <f>(AT26/AT28)*AT97+((AT28-AT26)/AT28)*AT98</f>
        <v>#DIV/0!</v>
      </c>
      <c r="AU99" s="44" t="e">
        <f>(AU26/AU28)*AU97+((AU28-AU26)/AU28)*AU98</f>
        <v>#DIV/0!</v>
      </c>
      <c r="AV99" s="44" t="e">
        <f>(AV26/AV28)*AV97+((AV28-AV26)/AV28)*AV98</f>
        <v>#DIV/0!</v>
      </c>
      <c r="AW99" s="14" t="e">
        <f>(AW26/AW28)*AW97+((AW28-AW26)/AW28)*AW98</f>
        <v>#DIV/0!</v>
      </c>
      <c r="AX99" s="13" t="e">
        <f>(AX26/AX28)*AX97+((AX28-AX26)/AX28)*AX98</f>
        <v>#DIV/0!</v>
      </c>
      <c r="AY99" s="44" t="e">
        <f>(AY26/AY28)*AY97+((AY28-AY26)/AY28)*AY98</f>
        <v>#DIV/0!</v>
      </c>
      <c r="AZ99" s="44" t="e">
        <f>(AZ26/AZ28)*AZ97+((AZ28-AZ26)/AZ28)*AZ98</f>
        <v>#DIV/0!</v>
      </c>
      <c r="BA99" s="14" t="e">
        <f>(BA26/BA28)*BA97+((BA28-BA26)/BA28)*BA98</f>
        <v>#DIV/0!</v>
      </c>
      <c r="BB99" s="13" t="e">
        <f>(BB26/BB28)*BB97+((BB28-BB26)/BB28)*BB98</f>
        <v>#DIV/0!</v>
      </c>
      <c r="BC99" s="44" t="e">
        <f>(BC26/BC28)*BC97+((BC28-BC26)/BC28)*BC98</f>
        <v>#DIV/0!</v>
      </c>
      <c r="BD99" s="44" t="e">
        <f>(BD26/BD28)*BD97+((BD28-BD26)/BD28)*BD98</f>
        <v>#DIV/0!</v>
      </c>
      <c r="BE99" s="14" t="e">
        <f>(BE26/BE28)*BE97+((BE28-BE26)/BE28)*BE98</f>
        <v>#DIV/0!</v>
      </c>
      <c r="BF99" s="13" t="e">
        <f>(BF26/BF28)*BF97+((BF28-BF26)/BF28)*BF98</f>
        <v>#DIV/0!</v>
      </c>
      <c r="BG99" s="44" t="e">
        <f>(BG26/BG28)*BG97+((BG28-BG26)/BG28)*BG98</f>
        <v>#DIV/0!</v>
      </c>
      <c r="BH99" s="44" t="e">
        <f>(BH26/BH28)*BH97+((BH28-BH26)/BH28)*BH98</f>
        <v>#DIV/0!</v>
      </c>
      <c r="BI99" s="14" t="e">
        <f>(BI26/BI28)*BI97+((BI28-BI26)/BI28)*BI98</f>
        <v>#DIV/0!</v>
      </c>
      <c r="BJ99" s="13" t="e">
        <f>(BJ26/BJ28)*BJ97+((BJ28-BJ26)/BJ28)*BJ98</f>
        <v>#DIV/0!</v>
      </c>
      <c r="BK99" s="44" t="e">
        <f>(BK26/BK28)*BK97+((BK28-BK26)/BK28)*BK98</f>
        <v>#DIV/0!</v>
      </c>
      <c r="BL99" s="44" t="e">
        <f>(BL26/BL28)*BL97+((BL28-BL26)/BL28)*BL98</f>
        <v>#DIV/0!</v>
      </c>
      <c r="BM99" s="14" t="e">
        <f>(BM26/BM28)*BM97+((BM28-BM26)/BM28)*BM98</f>
        <v>#DIV/0!</v>
      </c>
      <c r="BN99" s="13" t="e">
        <f>(BN26/BN28)*BN97+((BN28-BN26)/BN28)*BN98</f>
        <v>#DIV/0!</v>
      </c>
      <c r="BO99" s="44" t="e">
        <f>(BO26/BO28)*BO97+((BO28-BO26)/BO28)*BO98</f>
        <v>#DIV/0!</v>
      </c>
      <c r="BP99" s="44" t="e">
        <f>(BP26/BP28)*BP97+((BP28-BP26)/BP28)*BP98</f>
        <v>#DIV/0!</v>
      </c>
      <c r="BQ99" s="14" t="e">
        <f>(BQ26/BQ28)*BQ97+((BQ28-BQ26)/BQ28)*BQ98</f>
        <v>#DIV/0!</v>
      </c>
      <c r="BR99" s="13" t="e">
        <f>(BR26/BR28)*BR97+((BR28-BR26)/BR28)*BR98</f>
        <v>#DIV/0!</v>
      </c>
      <c r="BS99" s="44" t="e">
        <f>(BS26/BS28)*BS97+((BS28-BS26)/BS28)*BS98</f>
        <v>#DIV/0!</v>
      </c>
      <c r="BT99" s="44" t="e">
        <f>(BT26/BT28)*BT97+((BT28-BT26)/BT28)*BT98</f>
        <v>#DIV/0!</v>
      </c>
      <c r="BU99" s="14" t="e">
        <f>(BU26/BU28)*BU97+((BU28-BU26)/BU28)*BU98</f>
        <v>#DIV/0!</v>
      </c>
      <c r="BV99" s="13" t="e">
        <f>(BV26/BV28)*BV97+((BV28-BV26)/BV28)*BV98</f>
        <v>#DIV/0!</v>
      </c>
      <c r="BW99" s="44" t="e">
        <f>(BW26/BW28)*BW97+((BW28-BW26)/BW28)*BW98</f>
        <v>#DIV/0!</v>
      </c>
      <c r="BX99" s="44" t="e">
        <f>(BX26/BX28)*BX97+((BX28-BX26)/BX28)*BX98</f>
        <v>#DIV/0!</v>
      </c>
      <c r="BY99" s="14" t="e">
        <f>(BY26/BY28)*BY97+((BY28-BY26)/BY28)*BY98</f>
        <v>#DIV/0!</v>
      </c>
      <c r="BZ99" s="13" t="e">
        <f>(BZ26/BZ28)*BZ97+((BZ28-BZ26)/BZ28)*BZ98</f>
        <v>#DIV/0!</v>
      </c>
      <c r="CA99" s="44" t="e">
        <f>(CA26/CA28)*CA97+((CA28-CA26)/CA28)*CA98</f>
        <v>#DIV/0!</v>
      </c>
      <c r="CB99" s="44" t="e">
        <f>(CB26/CB28)*CB97+((CB28-CB26)/CB28)*CB98</f>
        <v>#DIV/0!</v>
      </c>
      <c r="CC99" s="14" t="e">
        <f>(CC26/CC28)*CC97+((CC28-CC26)/CC28)*CC98</f>
        <v>#DIV/0!</v>
      </c>
      <c r="CD99" s="13" t="e">
        <f>(CD26/CD28)*CD97+((CD28-CD26)/CD28)*CD98</f>
        <v>#DIV/0!</v>
      </c>
      <c r="CE99" s="44" t="e">
        <f>(CE26/CE28)*CE97+((CE28-CE26)/CE28)*CE98</f>
        <v>#DIV/0!</v>
      </c>
      <c r="CF99" s="44" t="e">
        <f>(CF26/CF28)*CF97+((CF28-CF26)/CF28)*CF98</f>
        <v>#DIV/0!</v>
      </c>
      <c r="CG99" s="14" t="e">
        <f>(CG26/CG28)*CG97+((CG28-CG26)/CG28)*CG98</f>
        <v>#DIV/0!</v>
      </c>
      <c r="CH99" s="13" t="e">
        <f>(CH26/CH28)*CH97+((CH28-CH26)/CH28)*CH98</f>
        <v>#DIV/0!</v>
      </c>
      <c r="CI99" s="44" t="e">
        <f>(CI26/CI28)*CI97+((CI28-CI26)/CI28)*CI98</f>
        <v>#DIV/0!</v>
      </c>
      <c r="CJ99" s="44" t="e">
        <f>(CJ26/CJ28)*CJ97+((CJ28-CJ26)/CJ28)*CJ98</f>
        <v>#DIV/0!</v>
      </c>
      <c r="CK99" s="14" t="e">
        <f>(CK26/CK28)*CK97+((CK28-CK26)/CK28)*CK98</f>
        <v>#DIV/0!</v>
      </c>
      <c r="CL99" s="49"/>
      <c r="CM99" s="28"/>
    </row>
    <row r="100" spans="1:91" ht="14.25" x14ac:dyDescent="0.25">
      <c r="B100" s="55"/>
      <c r="C100" s="10" t="s">
        <v>308</v>
      </c>
      <c r="D100" s="93" t="s">
        <v>520</v>
      </c>
      <c r="E100" s="126">
        <f>E73+(E22/E21)*((1-E24)*80 + E24*E99)</f>
        <v>38.782537713673364</v>
      </c>
      <c r="F100" s="13">
        <f>F73+(F22/F21)*((1-F24)*80 + F24*F99)</f>
        <v>25.713981080992141</v>
      </c>
      <c r="G100" s="44">
        <f>G73+(G22/G21)*((1-G24)*80 + G24*G99)</f>
        <v>25.725542662362823</v>
      </c>
      <c r="H100" s="44">
        <f>H73+(H22/H21)*((1-H24)*80 + H24*H99)</f>
        <v>35.778936621596387</v>
      </c>
      <c r="I100" s="14">
        <f>I73+(I22/I21)*((1-I24)*80 + I24*I99)</f>
        <v>35.715623919719825</v>
      </c>
      <c r="J100" s="13" t="e">
        <f>J73+(J22/J21)*((1-J24)*80 + J24*J99)</f>
        <v>#DIV/0!</v>
      </c>
      <c r="K100" s="44" t="e">
        <f>K73+(K22/K21)*((1-K24)*80 + K24*K99)</f>
        <v>#DIV/0!</v>
      </c>
      <c r="L100" s="44" t="e">
        <f>L73+(L22/L21)*((1-L24)*80 + L24*L99)</f>
        <v>#DIV/0!</v>
      </c>
      <c r="M100" s="14" t="e">
        <f>M73+(M22/M21)*((1-M24)*80 + M24*M99)</f>
        <v>#DIV/0!</v>
      </c>
      <c r="N100" s="13" t="e">
        <f>N73+(N22/N21)*((1-N24)*80 + N24*N99)</f>
        <v>#DIV/0!</v>
      </c>
      <c r="O100" s="44" t="e">
        <f>O73+(O22/O21)*((1-O24)*80 + O24*O99)</f>
        <v>#DIV/0!</v>
      </c>
      <c r="P100" s="44" t="e">
        <f>P73+(P22/P21)*((1-P24)*80 + P24*P99)</f>
        <v>#DIV/0!</v>
      </c>
      <c r="Q100" s="14" t="e">
        <f>Q73+(Q22/Q21)*((1-Q24)*80 + Q24*Q99)</f>
        <v>#DIV/0!</v>
      </c>
      <c r="R100" s="13" t="e">
        <f>R73+(R22/R21)*((1-R24)*80 + R24*R99)</f>
        <v>#DIV/0!</v>
      </c>
      <c r="S100" s="44" t="e">
        <f>S73+(S22/S21)*((1-S24)*80 + S24*S99)</f>
        <v>#DIV/0!</v>
      </c>
      <c r="T100" s="44" t="e">
        <f>T73+(T22/T21)*((1-T24)*80 + T24*T99)</f>
        <v>#DIV/0!</v>
      </c>
      <c r="U100" s="14" t="e">
        <f>U73+(U22/U21)*((1-U24)*80 + U24*U99)</f>
        <v>#DIV/0!</v>
      </c>
      <c r="V100" s="13" t="e">
        <f>V73+(V22/V21)*((1-V24)*80 + V24*V99)</f>
        <v>#DIV/0!</v>
      </c>
      <c r="W100" s="44" t="e">
        <f>W73+(W22/W21)*((1-W24)*80 + W24*W99)</f>
        <v>#DIV/0!</v>
      </c>
      <c r="X100" s="44" t="e">
        <f>X73+(X22/X21)*((1-X24)*80 + X24*X99)</f>
        <v>#DIV/0!</v>
      </c>
      <c r="Y100" s="14" t="e">
        <f>Y73+(Y22/Y21)*((1-Y24)*80 + Y24*Y99)</f>
        <v>#DIV/0!</v>
      </c>
      <c r="Z100" s="13" t="e">
        <f>Z73+(Z22/Z21)*((1-Z24)*80 + Z24*Z99)</f>
        <v>#DIV/0!</v>
      </c>
      <c r="AA100" s="44" t="e">
        <f>AA73+(AA22/AA21)*((1-AA24)*80 + AA24*AA99)</f>
        <v>#DIV/0!</v>
      </c>
      <c r="AB100" s="44" t="e">
        <f>AB73+(AB22/AB21)*((1-AB24)*80 + AB24*AB99)</f>
        <v>#DIV/0!</v>
      </c>
      <c r="AC100" s="14" t="e">
        <f>AC73+(AC22/AC21)*((1-AC24)*80 + AC24*AC99)</f>
        <v>#DIV/0!</v>
      </c>
      <c r="AD100" s="13" t="e">
        <f>AD73+(AD22/AD21)*((1-AD24)*80 + AD24*AD99)</f>
        <v>#DIV/0!</v>
      </c>
      <c r="AE100" s="44" t="e">
        <f>AE73+(AE22/AE21)*((1-AE24)*80 + AE24*AE99)</f>
        <v>#DIV/0!</v>
      </c>
      <c r="AF100" s="44" t="e">
        <f>AF73+(AF22/AF21)*((1-AF24)*80 + AF24*AF99)</f>
        <v>#DIV/0!</v>
      </c>
      <c r="AG100" s="14" t="e">
        <f>AG73+(AG22/AG21)*((1-AG24)*80 + AG24*AG99)</f>
        <v>#DIV/0!</v>
      </c>
      <c r="AH100" s="13" t="e">
        <f>AH73+(AH22/AH21)*((1-AH24)*80 + AH24*AH99)</f>
        <v>#DIV/0!</v>
      </c>
      <c r="AI100" s="44" t="e">
        <f>AI73+(AI22/AI21)*((1-AI24)*80 + AI24*AI99)</f>
        <v>#DIV/0!</v>
      </c>
      <c r="AJ100" s="44" t="e">
        <f>AJ73+(AJ22/AJ21)*((1-AJ24)*80 + AJ24*AJ99)</f>
        <v>#DIV/0!</v>
      </c>
      <c r="AK100" s="14" t="e">
        <f>AK73+(AK22/AK21)*((1-AK24)*80 + AK24*AK99)</f>
        <v>#DIV/0!</v>
      </c>
      <c r="AL100" s="13" t="e">
        <f>AL73+(AL22/AL21)*((1-AL24)*80 + AL24*AL99)</f>
        <v>#DIV/0!</v>
      </c>
      <c r="AM100" s="44" t="e">
        <f>AM73+(AM22/AM21)*((1-AM24)*80 + AM24*AM99)</f>
        <v>#DIV/0!</v>
      </c>
      <c r="AN100" s="44" t="e">
        <f>AN73+(AN22/AN21)*((1-AN24)*80 + AN24*AN99)</f>
        <v>#DIV/0!</v>
      </c>
      <c r="AO100" s="14" t="e">
        <f>AO73+(AO22/AO21)*((1-AO24)*80 + AO24*AO99)</f>
        <v>#DIV/0!</v>
      </c>
      <c r="AP100" s="13" t="e">
        <f>AP73+(AP22/AP21)*((1-AP24)*80 + AP24*AP99)</f>
        <v>#DIV/0!</v>
      </c>
      <c r="AQ100" s="44" t="e">
        <f>AQ73+(AQ22/AQ21)*((1-AQ24)*80 + AQ24*AQ99)</f>
        <v>#DIV/0!</v>
      </c>
      <c r="AR100" s="44" t="e">
        <f>AR73+(AR22/AR21)*((1-AR24)*80 + AR24*AR99)</f>
        <v>#DIV/0!</v>
      </c>
      <c r="AS100" s="14" t="e">
        <f>AS73+(AS22/AS21)*((1-AS24)*80 + AS24*AS99)</f>
        <v>#DIV/0!</v>
      </c>
      <c r="AT100" s="13" t="e">
        <f>AT73+(AT22/AT21)*((1-AT24)*80 + AT24*AT99)</f>
        <v>#DIV/0!</v>
      </c>
      <c r="AU100" s="44" t="e">
        <f>AU73+(AU22/AU21)*((1-AU24)*80 + AU24*AU99)</f>
        <v>#DIV/0!</v>
      </c>
      <c r="AV100" s="44" t="e">
        <f>AV73+(AV22/AV21)*((1-AV24)*80 + AV24*AV99)</f>
        <v>#DIV/0!</v>
      </c>
      <c r="AW100" s="14" t="e">
        <f>AW73+(AW22/AW21)*((1-AW24)*80 + AW24*AW99)</f>
        <v>#DIV/0!</v>
      </c>
      <c r="AX100" s="13" t="e">
        <f>AX73+(AX22/AX21)*((1-AX24)*80 + AX24*AX99)</f>
        <v>#DIV/0!</v>
      </c>
      <c r="AY100" s="44" t="e">
        <f>AY73+(AY22/AY21)*((1-AY24)*80 + AY24*AY99)</f>
        <v>#DIV/0!</v>
      </c>
      <c r="AZ100" s="44" t="e">
        <f>AZ73+(AZ22/AZ21)*((1-AZ24)*80 + AZ24*AZ99)</f>
        <v>#DIV/0!</v>
      </c>
      <c r="BA100" s="14" t="e">
        <f>BA73+(BA22/BA21)*((1-BA24)*80 + BA24*BA99)</f>
        <v>#DIV/0!</v>
      </c>
      <c r="BB100" s="13" t="e">
        <f>BB73+(BB22/BB21)*((1-BB24)*80 + BB24*BB99)</f>
        <v>#DIV/0!</v>
      </c>
      <c r="BC100" s="44" t="e">
        <f>BC73+(BC22/BC21)*((1-BC24)*80 + BC24*BC99)</f>
        <v>#DIV/0!</v>
      </c>
      <c r="BD100" s="44" t="e">
        <f>BD73+(BD22/BD21)*((1-BD24)*80 + BD24*BD99)</f>
        <v>#DIV/0!</v>
      </c>
      <c r="BE100" s="14" t="e">
        <f>BE73+(BE22/BE21)*((1-BE24)*80 + BE24*BE99)</f>
        <v>#DIV/0!</v>
      </c>
      <c r="BF100" s="13" t="e">
        <f>BF73+(BF22/BF21)*((1-BF24)*80 + BF24*BF99)</f>
        <v>#DIV/0!</v>
      </c>
      <c r="BG100" s="44" t="e">
        <f>BG73+(BG22/BG21)*((1-BG24)*80 + BG24*BG99)</f>
        <v>#DIV/0!</v>
      </c>
      <c r="BH100" s="44" t="e">
        <f>BH73+(BH22/BH21)*((1-BH24)*80 + BH24*BH99)</f>
        <v>#DIV/0!</v>
      </c>
      <c r="BI100" s="14" t="e">
        <f>BI73+(BI22/BI21)*((1-BI24)*80 + BI24*BI99)</f>
        <v>#DIV/0!</v>
      </c>
      <c r="BJ100" s="13" t="e">
        <f>BJ73+(BJ22/BJ21)*((1-BJ24)*80 + BJ24*BJ99)</f>
        <v>#DIV/0!</v>
      </c>
      <c r="BK100" s="44" t="e">
        <f>BK73+(BK22/BK21)*((1-BK24)*80 + BK24*BK99)</f>
        <v>#DIV/0!</v>
      </c>
      <c r="BL100" s="44" t="e">
        <f>BL73+(BL22/BL21)*((1-BL24)*80 + BL24*BL99)</f>
        <v>#DIV/0!</v>
      </c>
      <c r="BM100" s="14" t="e">
        <f>BM73+(BM22/BM21)*((1-BM24)*80 + BM24*BM99)</f>
        <v>#DIV/0!</v>
      </c>
      <c r="BN100" s="13" t="e">
        <f>BN73+(BN22/BN21)*((1-BN24)*80 + BN24*BN99)</f>
        <v>#DIV/0!</v>
      </c>
      <c r="BO100" s="44" t="e">
        <f>BO73+(BO22/BO21)*((1-BO24)*80 + BO24*BO99)</f>
        <v>#DIV/0!</v>
      </c>
      <c r="BP100" s="44" t="e">
        <f>BP73+(BP22/BP21)*((1-BP24)*80 + BP24*BP99)</f>
        <v>#DIV/0!</v>
      </c>
      <c r="BQ100" s="14" t="e">
        <f>BQ73+(BQ22/BQ21)*((1-BQ24)*80 + BQ24*BQ99)</f>
        <v>#DIV/0!</v>
      </c>
      <c r="BR100" s="13" t="e">
        <f>BR73+(BR22/BR21)*((1-BR24)*80 + BR24*BR99)</f>
        <v>#DIV/0!</v>
      </c>
      <c r="BS100" s="44" t="e">
        <f>BS73+(BS22/BS21)*((1-BS24)*80 + BS24*BS99)</f>
        <v>#DIV/0!</v>
      </c>
      <c r="BT100" s="44" t="e">
        <f>BT73+(BT22/BT21)*((1-BT24)*80 + BT24*BT99)</f>
        <v>#DIV/0!</v>
      </c>
      <c r="BU100" s="14" t="e">
        <f>BU73+(BU22/BU21)*((1-BU24)*80 + BU24*BU99)</f>
        <v>#DIV/0!</v>
      </c>
      <c r="BV100" s="13" t="e">
        <f>BV73+(BV22/BV21)*((1-BV24)*80 + BV24*BV99)</f>
        <v>#DIV/0!</v>
      </c>
      <c r="BW100" s="44" t="e">
        <f>BW73+(BW22/BW21)*((1-BW24)*80 + BW24*BW99)</f>
        <v>#DIV/0!</v>
      </c>
      <c r="BX100" s="44" t="e">
        <f>BX73+(BX22/BX21)*((1-BX24)*80 + BX24*BX99)</f>
        <v>#DIV/0!</v>
      </c>
      <c r="BY100" s="14" t="e">
        <f>BY73+(BY22/BY21)*((1-BY24)*80 + BY24*BY99)</f>
        <v>#DIV/0!</v>
      </c>
      <c r="BZ100" s="13" t="e">
        <f>BZ73+(BZ22/BZ21)*((1-BZ24)*80 + BZ24*BZ99)</f>
        <v>#DIV/0!</v>
      </c>
      <c r="CA100" s="44" t="e">
        <f>CA73+(CA22/CA21)*((1-CA24)*80 + CA24*CA99)</f>
        <v>#DIV/0!</v>
      </c>
      <c r="CB100" s="44" t="e">
        <f>CB73+(CB22/CB21)*((1-CB24)*80 + CB24*CB99)</f>
        <v>#DIV/0!</v>
      </c>
      <c r="CC100" s="14" t="e">
        <f>CC73+(CC22/CC21)*((1-CC24)*80 + CC24*CC99)</f>
        <v>#DIV/0!</v>
      </c>
      <c r="CD100" s="13" t="e">
        <f>CD73+(CD22/CD21)*((1-CD24)*80 + CD24*CD99)</f>
        <v>#DIV/0!</v>
      </c>
      <c r="CE100" s="44" t="e">
        <f>CE73+(CE22/CE21)*((1-CE24)*80 + CE24*CE99)</f>
        <v>#DIV/0!</v>
      </c>
      <c r="CF100" s="44" t="e">
        <f>CF73+(CF22/CF21)*((1-CF24)*80 + CF24*CF99)</f>
        <v>#DIV/0!</v>
      </c>
      <c r="CG100" s="14" t="e">
        <f>CG73+(CG22/CG21)*((1-CG24)*80 + CG24*CG99)</f>
        <v>#DIV/0!</v>
      </c>
      <c r="CH100" s="13" t="e">
        <f>CH73+(CH22/CH21)*((1-CH24)*80 + CH24*CH99)</f>
        <v>#DIV/0!</v>
      </c>
      <c r="CI100" s="44" t="e">
        <f>CI73+(CI22/CI21)*((1-CI24)*80 + CI24*CI99)</f>
        <v>#DIV/0!</v>
      </c>
      <c r="CJ100" s="44" t="e">
        <f>CJ73+(CJ22/CJ21)*((1-CJ24)*80 + CJ24*CJ99)</f>
        <v>#DIV/0!</v>
      </c>
      <c r="CK100" s="14" t="e">
        <f>CK73+(CK22/CK21)*((1-CK24)*80 + CK24*CK99)</f>
        <v>#DIV/0!</v>
      </c>
      <c r="CL100" s="49"/>
      <c r="CM100" s="28"/>
    </row>
    <row r="101" spans="1:91" x14ac:dyDescent="0.25">
      <c r="B101" s="55"/>
      <c r="C101" s="236"/>
      <c r="D101" s="266"/>
      <c r="E101" s="126"/>
      <c r="F101" s="13"/>
      <c r="G101" s="44"/>
      <c r="H101" s="44"/>
      <c r="I101" s="14"/>
      <c r="J101" s="13"/>
      <c r="K101" s="44"/>
      <c r="L101" s="44"/>
      <c r="M101" s="14"/>
      <c r="N101" s="13"/>
      <c r="O101" s="44"/>
      <c r="P101" s="44"/>
      <c r="Q101" s="14"/>
      <c r="R101" s="13"/>
      <c r="S101" s="44"/>
      <c r="T101" s="44"/>
      <c r="U101" s="14"/>
      <c r="V101" s="13"/>
      <c r="W101" s="44"/>
      <c r="X101" s="44"/>
      <c r="Y101" s="14"/>
      <c r="Z101" s="13"/>
      <c r="AA101" s="44"/>
      <c r="AB101" s="44"/>
      <c r="AC101" s="14"/>
      <c r="AD101" s="13"/>
      <c r="AE101" s="44"/>
      <c r="AF101" s="44"/>
      <c r="AG101" s="14"/>
      <c r="AH101" s="13"/>
      <c r="AI101" s="44"/>
      <c r="AJ101" s="44"/>
      <c r="AK101" s="14"/>
      <c r="AL101" s="13"/>
      <c r="AM101" s="44"/>
      <c r="AN101" s="44"/>
      <c r="AO101" s="14"/>
      <c r="AP101" s="13"/>
      <c r="AQ101" s="44"/>
      <c r="AR101" s="44"/>
      <c r="AS101" s="14"/>
      <c r="AT101" s="13"/>
      <c r="AU101" s="44"/>
      <c r="AV101" s="44"/>
      <c r="AW101" s="14"/>
      <c r="AX101" s="13"/>
      <c r="AY101" s="44"/>
      <c r="AZ101" s="44"/>
      <c r="BA101" s="14"/>
      <c r="BB101" s="13"/>
      <c r="BC101" s="44"/>
      <c r="BD101" s="44"/>
      <c r="BE101" s="14"/>
      <c r="BF101" s="13"/>
      <c r="BG101" s="44"/>
      <c r="BH101" s="44"/>
      <c r="BI101" s="14"/>
      <c r="BJ101" s="13"/>
      <c r="BK101" s="44"/>
      <c r="BL101" s="44"/>
      <c r="BM101" s="14"/>
      <c r="BN101" s="13"/>
      <c r="BO101" s="44"/>
      <c r="BP101" s="44"/>
      <c r="BQ101" s="14"/>
      <c r="BR101" s="13"/>
      <c r="BS101" s="44"/>
      <c r="BT101" s="44"/>
      <c r="BU101" s="14"/>
      <c r="BV101" s="13"/>
      <c r="BW101" s="44"/>
      <c r="BX101" s="44"/>
      <c r="BY101" s="14"/>
      <c r="BZ101" s="13"/>
      <c r="CA101" s="44"/>
      <c r="CB101" s="44"/>
      <c r="CC101" s="14"/>
      <c r="CD101" s="13"/>
      <c r="CE101" s="44"/>
      <c r="CF101" s="44"/>
      <c r="CG101" s="14"/>
      <c r="CH101" s="13"/>
      <c r="CI101" s="44"/>
      <c r="CJ101" s="44"/>
      <c r="CK101" s="14"/>
      <c r="CL101" s="49"/>
      <c r="CM101" s="28"/>
    </row>
    <row r="102" spans="1:91" ht="14.25" x14ac:dyDescent="0.25">
      <c r="B102" s="55"/>
      <c r="C102" s="10" t="s">
        <v>535</v>
      </c>
      <c r="D102" s="93" t="s">
        <v>536</v>
      </c>
      <c r="E102" s="126">
        <f>E74</f>
        <v>0</v>
      </c>
      <c r="F102" s="13">
        <f>IF(F42="Signalized",F100,IF(F42="Stop - Two way",F85,IF(F42="Stop - All way",0,IF(F42="Free",0,"Control N/A!"))))</f>
        <v>25.713981080992141</v>
      </c>
      <c r="G102" s="44">
        <f>IF(G42="Signalized",G100,IF(G42="Stop - Two way",G85,IF(G42="Stop - All way",0,IF(G42="Free",0,"Control N/A!"))))</f>
        <v>25.725542662362823</v>
      </c>
      <c r="H102" s="44">
        <f>IF(H42="Signalized",H100,IF(H42="Stop - Two way",H85,IF(H42="Stop - All way",0,IF(H42="Free",0,"Control N/A!"))))</f>
        <v>35.778936621596387</v>
      </c>
      <c r="I102" s="14">
        <f>IF(I42="Signalized",I100,IF(I42="Stop - Two way",I85,IF(I42="Stop - All way",0,IF(I42="Free",0,"Control N/A!"))))</f>
        <v>35.715623919719825</v>
      </c>
      <c r="J102" s="13" t="str">
        <f>IF(J42="Signalized",J100,IF(J42="Stop - Two way",J85,IF(J42="Stop - All way",0,IF(J42="Free",0,"Control N/A!"))))</f>
        <v>Control N/A!</v>
      </c>
      <c r="K102" s="44">
        <f>IF(K42="Signalized",K100,IF(K42="Stop - Two way",K85,IF(K42="Stop - All way",0,IF(K42="Free",0,"Control N/A!"))))</f>
        <v>25.290457201960635</v>
      </c>
      <c r="L102" s="44">
        <f>IF(L42="Signalized",L100,IF(L42="Stop - Two way",L85,IF(L42="Stop - All way",0,IF(L42="Free",0,"Control N/A!"))))</f>
        <v>0</v>
      </c>
      <c r="M102" s="14">
        <f>IF(M42="Signalized",M100,IF(M42="Stop - Two way",M85,IF(M42="Stop - All way",0,IF(M42="Free",0,"Control N/A!"))))</f>
        <v>0</v>
      </c>
      <c r="N102" s="13" t="str">
        <f>IF(N42="Signalized",N100,IF(N42="Stop - Two way",N85,IF(N42="Stop - All way",0,IF(N42="Free",0,"Control N/A!"))))</f>
        <v>Control N/A!</v>
      </c>
      <c r="O102" s="44" t="str">
        <f>IF(O42="Signalized",O100,IF(O42="Stop - Two way",O85,IF(O42="Stop - All way",0,IF(O42="Free",0,"Control N/A!"))))</f>
        <v>Control N/A!</v>
      </c>
      <c r="P102" s="44" t="str">
        <f>IF(P42="Signalized",P100,IF(P42="Stop - Two way",P85,IF(P42="Stop - All way",0,IF(P42="Free",0,"Control N/A!"))))</f>
        <v>Control N/A!</v>
      </c>
      <c r="Q102" s="14" t="str">
        <f>IF(Q42="Signalized",Q100,IF(Q42="Stop - Two way",Q85,IF(Q42="Stop - All way",0,IF(Q42="Free",0,"Control N/A!"))))</f>
        <v>Control N/A!</v>
      </c>
      <c r="R102" s="13" t="str">
        <f>IF(R42="Signalized",R100,IF(R42="Stop - Two way",R85,IF(R42="Stop - All way",0,IF(R42="Free",0,"Control N/A!"))))</f>
        <v>Control N/A!</v>
      </c>
      <c r="S102" s="44" t="str">
        <f>IF(S42="Signalized",S100,IF(S42="Stop - Two way",S85,IF(S42="Stop - All way",0,IF(S42="Free",0,"Control N/A!"))))</f>
        <v>Control N/A!</v>
      </c>
      <c r="T102" s="44" t="str">
        <f>IF(T42="Signalized",T100,IF(T42="Stop - Two way",T85,IF(T42="Stop - All way",0,IF(T42="Free",0,"Control N/A!"))))</f>
        <v>Control N/A!</v>
      </c>
      <c r="U102" s="14" t="str">
        <f>IF(U42="Signalized",U100,IF(U42="Stop - Two way",U85,IF(U42="Stop - All way",0,IF(U42="Free",0,"Control N/A!"))))</f>
        <v>Control N/A!</v>
      </c>
      <c r="V102" s="13" t="str">
        <f>IF(V42="Signalized",V100,IF(V42="Stop - Two way",V85,IF(V42="Stop - All way",0,IF(V42="Free",0,"Control N/A!"))))</f>
        <v>Control N/A!</v>
      </c>
      <c r="W102" s="44" t="str">
        <f>IF(W42="Signalized",W100,IF(W42="Stop - Two way",W85,IF(W42="Stop - All way",0,IF(W42="Free",0,"Control N/A!"))))</f>
        <v>Control N/A!</v>
      </c>
      <c r="X102" s="44" t="str">
        <f>IF(X42="Signalized",X100,IF(X42="Stop - Two way",X85,IF(X42="Stop - All way",0,IF(X42="Free",0,"Control N/A!"))))</f>
        <v>Control N/A!</v>
      </c>
      <c r="Y102" s="14" t="str">
        <f>IF(Y42="Signalized",Y100,IF(Y42="Stop - Two way",Y85,IF(Y42="Stop - All way",0,IF(Y42="Free",0,"Control N/A!"))))</f>
        <v>Control N/A!</v>
      </c>
      <c r="Z102" s="13" t="str">
        <f>IF(Z42="Signalized",Z100,IF(Z42="Stop - Two way",Z85,IF(Z42="Stop - All way",0,IF(Z42="Free",0,"Control N/A!"))))</f>
        <v>Control N/A!</v>
      </c>
      <c r="AA102" s="44" t="str">
        <f>IF(AA42="Signalized",AA100,IF(AA42="Stop - Two way",AA85,IF(AA42="Stop - All way",0,IF(AA42="Free",0,"Control N/A!"))))</f>
        <v>Control N/A!</v>
      </c>
      <c r="AB102" s="44" t="str">
        <f>IF(AB42="Signalized",AB100,IF(AB42="Stop - Two way",AB85,IF(AB42="Stop - All way",0,IF(AB42="Free",0,"Control N/A!"))))</f>
        <v>Control N/A!</v>
      </c>
      <c r="AC102" s="14" t="str">
        <f>IF(AC42="Signalized",AC100,IF(AC42="Stop - Two way",AC85,IF(AC42="Stop - All way",0,IF(AC42="Free",0,"Control N/A!"))))</f>
        <v>Control N/A!</v>
      </c>
      <c r="AD102" s="13" t="str">
        <f>IF(AD42="Signalized",AD100,IF(AD42="Stop - Two way",AD85,IF(AD42="Stop - All way",0,IF(AD42="Free",0,"Control N/A!"))))</f>
        <v>Control N/A!</v>
      </c>
      <c r="AE102" s="44" t="str">
        <f>IF(AE42="Signalized",AE100,IF(AE42="Stop - Two way",AE85,IF(AE42="Stop - All way",0,IF(AE42="Free",0,"Control N/A!"))))</f>
        <v>Control N/A!</v>
      </c>
      <c r="AF102" s="44" t="str">
        <f>IF(AF42="Signalized",AF100,IF(AF42="Stop - Two way",AF85,IF(AF42="Stop - All way",0,IF(AF42="Free",0,"Control N/A!"))))</f>
        <v>Control N/A!</v>
      </c>
      <c r="AG102" s="14" t="str">
        <f>IF(AG42="Signalized",AG100,IF(AG42="Stop - Two way",AG85,IF(AG42="Stop - All way",0,IF(AG42="Free",0,"Control N/A!"))))</f>
        <v>Control N/A!</v>
      </c>
      <c r="AH102" s="13" t="str">
        <f>IF(AH42="Signalized",AH100,IF(AH42="Stop - Two way",AH85,IF(AH42="Stop - All way",0,IF(AH42="Free",0,"Control N/A!"))))</f>
        <v>Control N/A!</v>
      </c>
      <c r="AI102" s="44" t="str">
        <f>IF(AI42="Signalized",AI100,IF(AI42="Stop - Two way",AI85,IF(AI42="Stop - All way",0,IF(AI42="Free",0,"Control N/A!"))))</f>
        <v>Control N/A!</v>
      </c>
      <c r="AJ102" s="44" t="str">
        <f>IF(AJ42="Signalized",AJ100,IF(AJ42="Stop - Two way",AJ85,IF(AJ42="Stop - All way",0,IF(AJ42="Free",0,"Control N/A!"))))</f>
        <v>Control N/A!</v>
      </c>
      <c r="AK102" s="14" t="str">
        <f>IF(AK42="Signalized",AK100,IF(AK42="Stop - Two way",AK85,IF(AK42="Stop - All way",0,IF(AK42="Free",0,"Control N/A!"))))</f>
        <v>Control N/A!</v>
      </c>
      <c r="AL102" s="13" t="str">
        <f>IF(AL42="Signalized",AL100,IF(AL42="Stop - Two way",AL85,IF(AL42="Stop - All way",0,IF(AL42="Free",0,"Control N/A!"))))</f>
        <v>Control N/A!</v>
      </c>
      <c r="AM102" s="44" t="str">
        <f>IF(AM42="Signalized",AM100,IF(AM42="Stop - Two way",AM85,IF(AM42="Stop - All way",0,IF(AM42="Free",0,"Control N/A!"))))</f>
        <v>Control N/A!</v>
      </c>
      <c r="AN102" s="44" t="str">
        <f>IF(AN42="Signalized",AN100,IF(AN42="Stop - Two way",AN85,IF(AN42="Stop - All way",0,IF(AN42="Free",0,"Control N/A!"))))</f>
        <v>Control N/A!</v>
      </c>
      <c r="AO102" s="14" t="str">
        <f>IF(AO42="Signalized",AO100,IF(AO42="Stop - Two way",AO85,IF(AO42="Stop - All way",0,IF(AO42="Free",0,"Control N/A!"))))</f>
        <v>Control N/A!</v>
      </c>
      <c r="AP102" s="13" t="str">
        <f>IF(AP42="Signalized",AP100,IF(AP42="Stop - Two way",AP85,IF(AP42="Stop - All way",0,IF(AP42="Free",0,"Control N/A!"))))</f>
        <v>Control N/A!</v>
      </c>
      <c r="AQ102" s="44" t="str">
        <f>IF(AQ42="Signalized",AQ100,IF(AQ42="Stop - Two way",AQ85,IF(AQ42="Stop - All way",0,IF(AQ42="Free",0,"Control N/A!"))))</f>
        <v>Control N/A!</v>
      </c>
      <c r="AR102" s="44" t="str">
        <f>IF(AR42="Signalized",AR100,IF(AR42="Stop - Two way",AR85,IF(AR42="Stop - All way",0,IF(AR42="Free",0,"Control N/A!"))))</f>
        <v>Control N/A!</v>
      </c>
      <c r="AS102" s="14" t="str">
        <f>IF(AS42="Signalized",AS100,IF(AS42="Stop - Two way",AS85,IF(AS42="Stop - All way",0,IF(AS42="Free",0,"Control N/A!"))))</f>
        <v>Control N/A!</v>
      </c>
      <c r="AT102" s="13" t="str">
        <f>IF(AT42="Signalized",AT100,IF(AT42="Stop - Two way",AT85,IF(AT42="Stop - All way",0,IF(AT42="Free",0,"Control N/A!"))))</f>
        <v>Control N/A!</v>
      </c>
      <c r="AU102" s="44" t="str">
        <f>IF(AU42="Signalized",AU100,IF(AU42="Stop - Two way",AU85,IF(AU42="Stop - All way",0,IF(AU42="Free",0,"Control N/A!"))))</f>
        <v>Control N/A!</v>
      </c>
      <c r="AV102" s="44" t="str">
        <f>IF(AV42="Signalized",AV100,IF(AV42="Stop - Two way",AV85,IF(AV42="Stop - All way",0,IF(AV42="Free",0,"Control N/A!"))))</f>
        <v>Control N/A!</v>
      </c>
      <c r="AW102" s="14" t="str">
        <f>IF(AW42="Signalized",AW100,IF(AW42="Stop - Two way",AW85,IF(AW42="Stop - All way",0,IF(AW42="Free",0,"Control N/A!"))))</f>
        <v>Control N/A!</v>
      </c>
      <c r="AX102" s="13" t="str">
        <f>IF(AX42="Signalized",AX100,IF(AX42="Stop - Two way",AX85,IF(AX42="Stop - All way",0,IF(AX42="Free",0,"Control N/A!"))))</f>
        <v>Control N/A!</v>
      </c>
      <c r="AY102" s="44" t="str">
        <f>IF(AY42="Signalized",AY100,IF(AY42="Stop - Two way",AY85,IF(AY42="Stop - All way",0,IF(AY42="Free",0,"Control N/A!"))))</f>
        <v>Control N/A!</v>
      </c>
      <c r="AZ102" s="44" t="str">
        <f>IF(AZ42="Signalized",AZ100,IF(AZ42="Stop - Two way",AZ85,IF(AZ42="Stop - All way",0,IF(AZ42="Free",0,"Control N/A!"))))</f>
        <v>Control N/A!</v>
      </c>
      <c r="BA102" s="14" t="str">
        <f>IF(BA42="Signalized",BA100,IF(BA42="Stop - Two way",BA85,IF(BA42="Stop - All way",0,IF(BA42="Free",0,"Control N/A!"))))</f>
        <v>Control N/A!</v>
      </c>
      <c r="BB102" s="13" t="str">
        <f>IF(BB42="Signalized",BB100,IF(BB42="Stop - Two way",BB85,IF(BB42="Stop - All way",0,IF(BB42="Free",0,"Control N/A!"))))</f>
        <v>Control N/A!</v>
      </c>
      <c r="BC102" s="44" t="str">
        <f>IF(BC42="Signalized",BC100,IF(BC42="Stop - Two way",BC85,IF(BC42="Stop - All way",0,IF(BC42="Free",0,"Control N/A!"))))</f>
        <v>Control N/A!</v>
      </c>
      <c r="BD102" s="44" t="str">
        <f>IF(BD42="Signalized",BD100,IF(BD42="Stop - Two way",BD85,IF(BD42="Stop - All way",0,IF(BD42="Free",0,"Control N/A!"))))</f>
        <v>Control N/A!</v>
      </c>
      <c r="BE102" s="14" t="str">
        <f>IF(BE42="Signalized",BE100,IF(BE42="Stop - Two way",BE85,IF(BE42="Stop - All way",0,IF(BE42="Free",0,"Control N/A!"))))</f>
        <v>Control N/A!</v>
      </c>
      <c r="BF102" s="13" t="str">
        <f>IF(BF42="Signalized",BF100,IF(BF42="Stop - Two way",BF85,IF(BF42="Stop - All way",0,IF(BF42="Free",0,"Control N/A!"))))</f>
        <v>Control N/A!</v>
      </c>
      <c r="BG102" s="44" t="str">
        <f>IF(BG42="Signalized",BG100,IF(BG42="Stop - Two way",BG85,IF(BG42="Stop - All way",0,IF(BG42="Free",0,"Control N/A!"))))</f>
        <v>Control N/A!</v>
      </c>
      <c r="BH102" s="44" t="str">
        <f>IF(BH42="Signalized",BH100,IF(BH42="Stop - Two way",BH85,IF(BH42="Stop - All way",0,IF(BH42="Free",0,"Control N/A!"))))</f>
        <v>Control N/A!</v>
      </c>
      <c r="BI102" s="14" t="str">
        <f>IF(BI42="Signalized",BI100,IF(BI42="Stop - Two way",BI85,IF(BI42="Stop - All way",0,IF(BI42="Free",0,"Control N/A!"))))</f>
        <v>Control N/A!</v>
      </c>
      <c r="BJ102" s="13" t="str">
        <f>IF(BJ42="Signalized",BJ100,IF(BJ42="Stop - Two way",BJ85,IF(BJ42="Stop - All way",0,IF(BJ42="Free",0,"Control N/A!"))))</f>
        <v>Control N/A!</v>
      </c>
      <c r="BK102" s="44" t="str">
        <f>IF(BK42="Signalized",BK100,IF(BK42="Stop - Two way",BK85,IF(BK42="Stop - All way",0,IF(BK42="Free",0,"Control N/A!"))))</f>
        <v>Control N/A!</v>
      </c>
      <c r="BL102" s="44" t="str">
        <f>IF(BL42="Signalized",BL100,IF(BL42="Stop - Two way",BL85,IF(BL42="Stop - All way",0,IF(BL42="Free",0,"Control N/A!"))))</f>
        <v>Control N/A!</v>
      </c>
      <c r="BM102" s="14" t="str">
        <f>IF(BM42="Signalized",BM100,IF(BM42="Stop - Two way",BM85,IF(BM42="Stop - All way",0,IF(BM42="Free",0,"Control N/A!"))))</f>
        <v>Control N/A!</v>
      </c>
      <c r="BN102" s="13" t="str">
        <f>IF(BN42="Signalized",BN100,IF(BN42="Stop - Two way",BN85,IF(BN42="Stop - All way",0,IF(BN42="Free",0,"Control N/A!"))))</f>
        <v>Control N/A!</v>
      </c>
      <c r="BO102" s="44" t="str">
        <f>IF(BO42="Signalized",BO100,IF(BO42="Stop - Two way",BO85,IF(BO42="Stop - All way",0,IF(BO42="Free",0,"Control N/A!"))))</f>
        <v>Control N/A!</v>
      </c>
      <c r="BP102" s="44" t="str">
        <f>IF(BP42="Signalized",BP100,IF(BP42="Stop - Two way",BP85,IF(BP42="Stop - All way",0,IF(BP42="Free",0,"Control N/A!"))))</f>
        <v>Control N/A!</v>
      </c>
      <c r="BQ102" s="14" t="str">
        <f>IF(BQ42="Signalized",BQ100,IF(BQ42="Stop - Two way",BQ85,IF(BQ42="Stop - All way",0,IF(BQ42="Free",0,"Control N/A!"))))</f>
        <v>Control N/A!</v>
      </c>
      <c r="BR102" s="13" t="str">
        <f>IF(BR42="Signalized",BR100,IF(BR42="Stop - Two way",BR85,IF(BR42="Stop - All way",0,IF(BR42="Free",0,"Control N/A!"))))</f>
        <v>Control N/A!</v>
      </c>
      <c r="BS102" s="44" t="str">
        <f>IF(BS42="Signalized",BS100,IF(BS42="Stop - Two way",BS85,IF(BS42="Stop - All way",0,IF(BS42="Free",0,"Control N/A!"))))</f>
        <v>Control N/A!</v>
      </c>
      <c r="BT102" s="44" t="str">
        <f>IF(BT42="Signalized",BT100,IF(BT42="Stop - Two way",BT85,IF(BT42="Stop - All way",0,IF(BT42="Free",0,"Control N/A!"))))</f>
        <v>Control N/A!</v>
      </c>
      <c r="BU102" s="14" t="str">
        <f>IF(BU42="Signalized",BU100,IF(BU42="Stop - Two way",BU85,IF(BU42="Stop - All way",0,IF(BU42="Free",0,"Control N/A!"))))</f>
        <v>Control N/A!</v>
      </c>
      <c r="BV102" s="13" t="str">
        <f>IF(BV42="Signalized",BV100,IF(BV42="Stop - Two way",BV85,IF(BV42="Stop - All way",0,IF(BV42="Free",0,"Control N/A!"))))</f>
        <v>Control N/A!</v>
      </c>
      <c r="BW102" s="44" t="str">
        <f>IF(BW42="Signalized",BW100,IF(BW42="Stop - Two way",BW85,IF(BW42="Stop - All way",0,IF(BW42="Free",0,"Control N/A!"))))</f>
        <v>Control N/A!</v>
      </c>
      <c r="BX102" s="44" t="str">
        <f>IF(BX42="Signalized",BX100,IF(BX42="Stop - Two way",BX85,IF(BX42="Stop - All way",0,IF(BX42="Free",0,"Control N/A!"))))</f>
        <v>Control N/A!</v>
      </c>
      <c r="BY102" s="14" t="str">
        <f>IF(BY42="Signalized",BY100,IF(BY42="Stop - Two way",BY85,IF(BY42="Stop - All way",0,IF(BY42="Free",0,"Control N/A!"))))</f>
        <v>Control N/A!</v>
      </c>
      <c r="BZ102" s="13" t="str">
        <f>IF(BZ42="Signalized",BZ100,IF(BZ42="Stop - Two way",BZ85,IF(BZ42="Stop - All way",0,IF(BZ42="Free",0,"Control N/A!"))))</f>
        <v>Control N/A!</v>
      </c>
      <c r="CA102" s="44" t="str">
        <f>IF(CA42="Signalized",CA100,IF(CA42="Stop - Two way",CA85,IF(CA42="Stop - All way",0,IF(CA42="Free",0,"Control N/A!"))))</f>
        <v>Control N/A!</v>
      </c>
      <c r="CB102" s="44" t="str">
        <f>IF(CB42="Signalized",CB100,IF(CB42="Stop - Two way",CB85,IF(CB42="Stop - All way",0,IF(CB42="Free",0,"Control N/A!"))))</f>
        <v>Control N/A!</v>
      </c>
      <c r="CC102" s="14" t="str">
        <f>IF(CC42="Signalized",CC100,IF(CC42="Stop - Two way",CC85,IF(CC42="Stop - All way",0,IF(CC42="Free",0,"Control N/A!"))))</f>
        <v>Control N/A!</v>
      </c>
      <c r="CD102" s="13" t="str">
        <f>IF(CD42="Signalized",CD100,IF(CD42="Stop - Two way",CD85,IF(CD42="Stop - All way",0,IF(CD42="Free",0,"Control N/A!"))))</f>
        <v>Control N/A!</v>
      </c>
      <c r="CE102" s="44" t="str">
        <f>IF(CE42="Signalized",CE100,IF(CE42="Stop - Two way",CE85,IF(CE42="Stop - All way",0,IF(CE42="Free",0,"Control N/A!"))))</f>
        <v>Control N/A!</v>
      </c>
      <c r="CF102" s="44" t="str">
        <f>IF(CF42="Signalized",CF100,IF(CF42="Stop - Two way",CF85,IF(CF42="Stop - All way",0,IF(CF42="Free",0,"Control N/A!"))))</f>
        <v>Control N/A!</v>
      </c>
      <c r="CG102" s="14" t="str">
        <f>IF(CG42="Signalized",CG100,IF(CG42="Stop - Two way",CG85,IF(CG42="Stop - All way",0,IF(CG42="Free",0,"Control N/A!"))))</f>
        <v>Control N/A!</v>
      </c>
      <c r="CH102" s="13" t="str">
        <f>IF(CH42="Signalized",CH100,IF(CH42="Stop - Two way",CH85,IF(CH42="Stop - All way",0,IF(CH42="Free",0,"Control N/A!"))))</f>
        <v>Control N/A!</v>
      </c>
      <c r="CI102" s="44" t="str">
        <f>IF(CI42="Signalized",CI100,IF(CI42="Stop - Two way",CI85,IF(CI42="Stop - All way",0,IF(CI42="Free",0,"Control N/A!"))))</f>
        <v>Control N/A!</v>
      </c>
      <c r="CJ102" s="44" t="str">
        <f>IF(CJ42="Signalized",CJ100,IF(CJ42="Stop - Two way",CJ85,IF(CJ42="Stop - All way",0,IF(CJ42="Free",0,"Control N/A!"))))</f>
        <v>Control N/A!</v>
      </c>
      <c r="CK102" s="14" t="str">
        <f>IF(CK42="Signalized",CK100,IF(CK42="Stop - Two way",CK85,IF(CK42="Stop - All way",0,IF(CK42="Free",0,"Control N/A!"))))</f>
        <v>Control N/A!</v>
      </c>
      <c r="CL102" s="49"/>
      <c r="CM102" s="28"/>
    </row>
    <row r="103" spans="1:91" ht="14.25" x14ac:dyDescent="0.25">
      <c r="B103" s="55"/>
      <c r="C103" s="10" t="s">
        <v>109</v>
      </c>
      <c r="D103" s="93" t="s">
        <v>110</v>
      </c>
      <c r="E103" s="126">
        <f>IF(AND(E43="Yes",(E37-1.5)&gt;0),E37-1.5,E37)</f>
        <v>0</v>
      </c>
      <c r="F103" s="13">
        <f>IF(AND(F43="Yes",(F37-1.5)&gt;0),F37-1.5,F37)</f>
        <v>0</v>
      </c>
      <c r="G103" s="44">
        <f>IF(AND(G43="Yes",(G37-1.5)&gt;0),G37-1.5,G37)</f>
        <v>0</v>
      </c>
      <c r="H103" s="44">
        <f>IF(AND(H43="Yes",(H37-1.5)&gt;0),H37-1.5,H37)</f>
        <v>0</v>
      </c>
      <c r="I103" s="14">
        <f>IF(AND(I43="Yes",(I37-1.5)&gt;0),I37-1.5,I37)</f>
        <v>0</v>
      </c>
      <c r="J103" s="13">
        <f>IF(AND(J43="Yes",(J37-1.5)&gt;0),J37-1.5,J37)</f>
        <v>0</v>
      </c>
      <c r="K103" s="44">
        <f>IF(AND(K43="Yes",(K37-1.5)&gt;0),K37-1.5,K37)</f>
        <v>0</v>
      </c>
      <c r="L103" s="44">
        <f>IF(AND(L43="Yes",(L37-1.5)&gt;0),L37-1.5,L37)</f>
        <v>0</v>
      </c>
      <c r="M103" s="14">
        <f>IF(AND(M43="Yes",(M37-1.5)&gt;0),M37-1.5,M37)</f>
        <v>0</v>
      </c>
      <c r="N103" s="13">
        <f>IF(AND(N43="Yes",(N37-1.5)&gt;0),N37-1.5,N37)</f>
        <v>0</v>
      </c>
      <c r="O103" s="44">
        <f>IF(AND(O43="Yes",(O37-1.5)&gt;0),O37-1.5,O37)</f>
        <v>0</v>
      </c>
      <c r="P103" s="44">
        <f>IF(AND(P43="Yes",(P37-1.5)&gt;0),P37-1.5,P37)</f>
        <v>0</v>
      </c>
      <c r="Q103" s="14">
        <f>IF(AND(Q43="Yes",(Q37-1.5)&gt;0),Q37-1.5,Q37)</f>
        <v>0</v>
      </c>
      <c r="R103" s="13">
        <f>IF(AND(R43="Yes",(R37-1.5)&gt;0),R37-1.5,R37)</f>
        <v>0</v>
      </c>
      <c r="S103" s="44">
        <f>IF(AND(S43="Yes",(S37-1.5)&gt;0),S37-1.5,S37)</f>
        <v>0</v>
      </c>
      <c r="T103" s="44">
        <f>IF(AND(T43="Yes",(T37-1.5)&gt;0),T37-1.5,T37)</f>
        <v>0</v>
      </c>
      <c r="U103" s="14">
        <f>IF(AND(U43="Yes",(U37-1.5)&gt;0),U37-1.5,U37)</f>
        <v>0</v>
      </c>
      <c r="V103" s="13">
        <f>IF(AND(V43="Yes",(V37-1.5)&gt;0),V37-1.5,V37)</f>
        <v>0</v>
      </c>
      <c r="W103" s="44">
        <f>IF(AND(W43="Yes",(W37-1.5)&gt;0),W37-1.5,W37)</f>
        <v>0</v>
      </c>
      <c r="X103" s="44">
        <f>IF(AND(X43="Yes",(X37-1.5)&gt;0),X37-1.5,X37)</f>
        <v>0</v>
      </c>
      <c r="Y103" s="14">
        <f>IF(AND(Y43="Yes",(Y37-1.5)&gt;0),Y37-1.5,Y37)</f>
        <v>0</v>
      </c>
      <c r="Z103" s="13">
        <f>IF(AND(Z43="Yes",(Z37-1.5)&gt;0),Z37-1.5,Z37)</f>
        <v>0</v>
      </c>
      <c r="AA103" s="44">
        <f>IF(AND(AA43="Yes",(AA37-1.5)&gt;0),AA37-1.5,AA37)</f>
        <v>0</v>
      </c>
      <c r="AB103" s="44">
        <f>IF(AND(AB43="Yes",(AB37-1.5)&gt;0),AB37-1.5,AB37)</f>
        <v>0</v>
      </c>
      <c r="AC103" s="14">
        <f>IF(AND(AC43="Yes",(AC37-1.5)&gt;0),AC37-1.5,AC37)</f>
        <v>0</v>
      </c>
      <c r="AD103" s="13">
        <f>IF(AND(AD43="Yes",(AD37-1.5)&gt;0),AD37-1.5,AD37)</f>
        <v>0</v>
      </c>
      <c r="AE103" s="44">
        <f>IF(AND(AE43="Yes",(AE37-1.5)&gt;0),AE37-1.5,AE37)</f>
        <v>0</v>
      </c>
      <c r="AF103" s="44">
        <f>IF(AND(AF43="Yes",(AF37-1.5)&gt;0),AF37-1.5,AF37)</f>
        <v>0</v>
      </c>
      <c r="AG103" s="14">
        <f>IF(AND(AG43="Yes",(AG37-1.5)&gt;0),AG37-1.5,AG37)</f>
        <v>0</v>
      </c>
      <c r="AH103" s="13">
        <f>IF(AND(AH43="Yes",(AH37-1.5)&gt;0),AH37-1.5,AH37)</f>
        <v>0</v>
      </c>
      <c r="AI103" s="44">
        <f>IF(AND(AI43="Yes",(AI37-1.5)&gt;0),AI37-1.5,AI37)</f>
        <v>0</v>
      </c>
      <c r="AJ103" s="44">
        <f>IF(AND(AJ43="Yes",(AJ37-1.5)&gt;0),AJ37-1.5,AJ37)</f>
        <v>0</v>
      </c>
      <c r="AK103" s="14">
        <f>IF(AND(AK43="Yes",(AK37-1.5)&gt;0),AK37-1.5,AK37)</f>
        <v>0</v>
      </c>
      <c r="AL103" s="13">
        <f>IF(AND(AL43="Yes",(AL37-1.5)&gt;0),AL37-1.5,AL37)</f>
        <v>0</v>
      </c>
      <c r="AM103" s="44">
        <f>IF(AND(AM43="Yes",(AM37-1.5)&gt;0),AM37-1.5,AM37)</f>
        <v>0</v>
      </c>
      <c r="AN103" s="44">
        <f>IF(AND(AN43="Yes",(AN37-1.5)&gt;0),AN37-1.5,AN37)</f>
        <v>0</v>
      </c>
      <c r="AO103" s="14">
        <f>IF(AND(AO43="Yes",(AO37-1.5)&gt;0),AO37-1.5,AO37)</f>
        <v>0</v>
      </c>
      <c r="AP103" s="13">
        <f>IF(AND(AP43="Yes",(AP37-1.5)&gt;0),AP37-1.5,AP37)</f>
        <v>0</v>
      </c>
      <c r="AQ103" s="44">
        <f>IF(AND(AQ43="Yes",(AQ37-1.5)&gt;0),AQ37-1.5,AQ37)</f>
        <v>0</v>
      </c>
      <c r="AR103" s="44">
        <f>IF(AND(AR43="Yes",(AR37-1.5)&gt;0),AR37-1.5,AR37)</f>
        <v>0</v>
      </c>
      <c r="AS103" s="14">
        <f>IF(AND(AS43="Yes",(AS37-1.5)&gt;0),AS37-1.5,AS37)</f>
        <v>0</v>
      </c>
      <c r="AT103" s="13">
        <f>IF(AND(AT43="Yes",(AT37-1.5)&gt;0),AT37-1.5,AT37)</f>
        <v>0</v>
      </c>
      <c r="AU103" s="44">
        <f>IF(AND(AU43="Yes",(AU37-1.5)&gt;0),AU37-1.5,AU37)</f>
        <v>0</v>
      </c>
      <c r="AV103" s="44">
        <f>IF(AND(AV43="Yes",(AV37-1.5)&gt;0),AV37-1.5,AV37)</f>
        <v>0</v>
      </c>
      <c r="AW103" s="14">
        <f>IF(AND(AW43="Yes",(AW37-1.5)&gt;0),AW37-1.5,AW37)</f>
        <v>0</v>
      </c>
      <c r="AX103" s="13">
        <f>IF(AND(AX43="Yes",(AX37-1.5)&gt;0),AX37-1.5,AX37)</f>
        <v>0</v>
      </c>
      <c r="AY103" s="44">
        <f>IF(AND(AY43="Yes",(AY37-1.5)&gt;0),AY37-1.5,AY37)</f>
        <v>0</v>
      </c>
      <c r="AZ103" s="44">
        <f>IF(AND(AZ43="Yes",(AZ37-1.5)&gt;0),AZ37-1.5,AZ37)</f>
        <v>0</v>
      </c>
      <c r="BA103" s="14">
        <f>IF(AND(BA43="Yes",(BA37-1.5)&gt;0),BA37-1.5,BA37)</f>
        <v>0</v>
      </c>
      <c r="BB103" s="13">
        <f>IF(AND(BB43="Yes",(BB37-1.5)&gt;0),BB37-1.5,BB37)</f>
        <v>0</v>
      </c>
      <c r="BC103" s="44">
        <f>IF(AND(BC43="Yes",(BC37-1.5)&gt;0),BC37-1.5,BC37)</f>
        <v>0</v>
      </c>
      <c r="BD103" s="44">
        <f>IF(AND(BD43="Yes",(BD37-1.5)&gt;0),BD37-1.5,BD37)</f>
        <v>0</v>
      </c>
      <c r="BE103" s="14">
        <f>IF(AND(BE43="Yes",(BE37-1.5)&gt;0),BE37-1.5,BE37)</f>
        <v>0</v>
      </c>
      <c r="BF103" s="13">
        <f>IF(AND(BF43="Yes",(BF37-1.5)&gt;0),BF37-1.5,BF37)</f>
        <v>0</v>
      </c>
      <c r="BG103" s="44">
        <f>IF(AND(BG43="Yes",(BG37-1.5)&gt;0),BG37-1.5,BG37)</f>
        <v>0</v>
      </c>
      <c r="BH103" s="44">
        <f>IF(AND(BH43="Yes",(BH37-1.5)&gt;0),BH37-1.5,BH37)</f>
        <v>0</v>
      </c>
      <c r="BI103" s="14">
        <f>IF(AND(BI43="Yes",(BI37-1.5)&gt;0),BI37-1.5,BI37)</f>
        <v>0</v>
      </c>
      <c r="BJ103" s="13">
        <f>IF(AND(BJ43="Yes",(BJ37-1.5)&gt;0),BJ37-1.5,BJ37)</f>
        <v>0</v>
      </c>
      <c r="BK103" s="44">
        <f>IF(AND(BK43="Yes",(BK37-1.5)&gt;0),BK37-1.5,BK37)</f>
        <v>0</v>
      </c>
      <c r="BL103" s="44">
        <f>IF(AND(BL43="Yes",(BL37-1.5)&gt;0),BL37-1.5,BL37)</f>
        <v>0</v>
      </c>
      <c r="BM103" s="14">
        <f>IF(AND(BM43="Yes",(BM37-1.5)&gt;0),BM37-1.5,BM37)</f>
        <v>0</v>
      </c>
      <c r="BN103" s="13">
        <f>IF(AND(BN43="Yes",(BN37-1.5)&gt;0),BN37-1.5,BN37)</f>
        <v>0</v>
      </c>
      <c r="BO103" s="44">
        <f>IF(AND(BO43="Yes",(BO37-1.5)&gt;0),BO37-1.5,BO37)</f>
        <v>0</v>
      </c>
      <c r="BP103" s="44">
        <f>IF(AND(BP43="Yes",(BP37-1.5)&gt;0),BP37-1.5,BP37)</f>
        <v>0</v>
      </c>
      <c r="BQ103" s="14">
        <f>IF(AND(BQ43="Yes",(BQ37-1.5)&gt;0),BQ37-1.5,BQ37)</f>
        <v>0</v>
      </c>
      <c r="BR103" s="13">
        <f>IF(AND(BR43="Yes",(BR37-1.5)&gt;0),BR37-1.5,BR37)</f>
        <v>0</v>
      </c>
      <c r="BS103" s="44">
        <f>IF(AND(BS43="Yes",(BS37-1.5)&gt;0),BS37-1.5,BS37)</f>
        <v>0</v>
      </c>
      <c r="BT103" s="44">
        <f>IF(AND(BT43="Yes",(BT37-1.5)&gt;0),BT37-1.5,BT37)</f>
        <v>0</v>
      </c>
      <c r="BU103" s="14">
        <f>IF(AND(BU43="Yes",(BU37-1.5)&gt;0),BU37-1.5,BU37)</f>
        <v>0</v>
      </c>
      <c r="BV103" s="13">
        <f>IF(AND(BV43="Yes",(BV37-1.5)&gt;0),BV37-1.5,BV37)</f>
        <v>0</v>
      </c>
      <c r="BW103" s="44">
        <f>IF(AND(BW43="Yes",(BW37-1.5)&gt;0),BW37-1.5,BW37)</f>
        <v>0</v>
      </c>
      <c r="BX103" s="44">
        <f>IF(AND(BX43="Yes",(BX37-1.5)&gt;0),BX37-1.5,BX37)</f>
        <v>0</v>
      </c>
      <c r="BY103" s="14">
        <f>IF(AND(BY43="Yes",(BY37-1.5)&gt;0),BY37-1.5,BY37)</f>
        <v>0</v>
      </c>
      <c r="BZ103" s="13">
        <f>IF(AND(BZ43="Yes",(BZ37-1.5)&gt;0),BZ37-1.5,BZ37)</f>
        <v>0</v>
      </c>
      <c r="CA103" s="44">
        <f>IF(AND(CA43="Yes",(CA37-1.5)&gt;0),CA37-1.5,CA37)</f>
        <v>0</v>
      </c>
      <c r="CB103" s="44">
        <f>IF(AND(CB43="Yes",(CB37-1.5)&gt;0),CB37-1.5,CB37)</f>
        <v>0</v>
      </c>
      <c r="CC103" s="14">
        <f>IF(AND(CC43="Yes",(CC37-1.5)&gt;0),CC37-1.5,CC37)</f>
        <v>0</v>
      </c>
      <c r="CD103" s="13">
        <f>IF(AND(CD43="Yes",(CD37-1.5)&gt;0),CD37-1.5,CD37)</f>
        <v>0</v>
      </c>
      <c r="CE103" s="44">
        <f>IF(AND(CE43="Yes",(CE37-1.5)&gt;0),CE37-1.5,CE37)</f>
        <v>0</v>
      </c>
      <c r="CF103" s="44">
        <f>IF(AND(CF43="Yes",(CF37-1.5)&gt;0),CF37-1.5,CF37)</f>
        <v>0</v>
      </c>
      <c r="CG103" s="14">
        <f>IF(AND(CG43="Yes",(CG37-1.5)&gt;0),CG37-1.5,CG37)</f>
        <v>0</v>
      </c>
      <c r="CH103" s="13">
        <f>IF(AND(CH43="Yes",(CH37-1.5)&gt;0),CH37-1.5,CH37)</f>
        <v>0</v>
      </c>
      <c r="CI103" s="44">
        <f>IF(AND(CI43="Yes",(CI37-1.5)&gt;0),CI37-1.5,CI37)</f>
        <v>0</v>
      </c>
      <c r="CJ103" s="44">
        <f>IF(AND(CJ43="Yes",(CJ37-1.5)&gt;0),CJ37-1.5,CJ37)</f>
        <v>0</v>
      </c>
      <c r="CK103" s="14">
        <f>IF(AND(CK43="Yes",(CK37-1.5)&gt;0),CK37-1.5,CK37)</f>
        <v>0</v>
      </c>
      <c r="CL103" s="49"/>
      <c r="CM103" s="28"/>
    </row>
    <row r="104" spans="1:91" ht="14.25" x14ac:dyDescent="0.25">
      <c r="B104" s="55"/>
      <c r="C104" s="10" t="s">
        <v>175</v>
      </c>
      <c r="D104" s="93" t="s">
        <v>176</v>
      </c>
      <c r="E104" s="127">
        <f>IF(E35&gt;0,0,1)</f>
        <v>0</v>
      </c>
      <c r="F104" s="42">
        <f>IF(F35&gt;0,0,1)</f>
        <v>0</v>
      </c>
      <c r="G104" s="45">
        <f t="shared" ref="G104:I104" si="187">IF(G35&gt;0,0,1)</f>
        <v>0</v>
      </c>
      <c r="H104" s="45">
        <f t="shared" si="187"/>
        <v>0</v>
      </c>
      <c r="I104" s="94">
        <f t="shared" si="187"/>
        <v>0</v>
      </c>
      <c r="J104" s="173">
        <f>IF(J35&gt;0,0,1)</f>
        <v>1</v>
      </c>
      <c r="K104" s="174">
        <f t="shared" ref="K104:M104" si="188">IF(K35&gt;0,0,1)</f>
        <v>0</v>
      </c>
      <c r="L104" s="174">
        <f t="shared" si="188"/>
        <v>0</v>
      </c>
      <c r="M104" s="175">
        <f t="shared" si="188"/>
        <v>0</v>
      </c>
      <c r="N104" s="173">
        <f>IF(N35&gt;0,0,1)</f>
        <v>1</v>
      </c>
      <c r="O104" s="174">
        <f t="shared" ref="O104:Q104" si="189">IF(O35&gt;0,0,1)</f>
        <v>1</v>
      </c>
      <c r="P104" s="174">
        <f t="shared" si="189"/>
        <v>1</v>
      </c>
      <c r="Q104" s="175">
        <f t="shared" si="189"/>
        <v>1</v>
      </c>
      <c r="R104" s="173">
        <f>IF(R35&gt;0,0,1)</f>
        <v>1</v>
      </c>
      <c r="S104" s="174">
        <f t="shared" ref="S104:U104" si="190">IF(S35&gt;0,0,1)</f>
        <v>1</v>
      </c>
      <c r="T104" s="174">
        <f t="shared" si="190"/>
        <v>1</v>
      </c>
      <c r="U104" s="175">
        <f t="shared" si="190"/>
        <v>1</v>
      </c>
      <c r="V104" s="173">
        <f>IF(V35&gt;0,0,1)</f>
        <v>1</v>
      </c>
      <c r="W104" s="174">
        <f t="shared" ref="W104:Y104" si="191">IF(W35&gt;0,0,1)</f>
        <v>1</v>
      </c>
      <c r="X104" s="174">
        <f t="shared" si="191"/>
        <v>1</v>
      </c>
      <c r="Y104" s="175">
        <f t="shared" si="191"/>
        <v>1</v>
      </c>
      <c r="Z104" s="173">
        <f>IF(Z35&gt;0,0,1)</f>
        <v>1</v>
      </c>
      <c r="AA104" s="174">
        <f t="shared" ref="AA104:AC104" si="192">IF(AA35&gt;0,0,1)</f>
        <v>1</v>
      </c>
      <c r="AB104" s="174">
        <f t="shared" si="192"/>
        <v>1</v>
      </c>
      <c r="AC104" s="175">
        <f t="shared" si="192"/>
        <v>1</v>
      </c>
      <c r="AD104" s="173">
        <f>IF(AD35&gt;0,0,1)</f>
        <v>1</v>
      </c>
      <c r="AE104" s="174">
        <f t="shared" ref="AE104:AG104" si="193">IF(AE35&gt;0,0,1)</f>
        <v>1</v>
      </c>
      <c r="AF104" s="174">
        <f t="shared" si="193"/>
        <v>1</v>
      </c>
      <c r="AG104" s="175">
        <f t="shared" si="193"/>
        <v>1</v>
      </c>
      <c r="AH104" s="173">
        <f>IF(AH35&gt;0,0,1)</f>
        <v>1</v>
      </c>
      <c r="AI104" s="174">
        <f t="shared" ref="AI104:AK104" si="194">IF(AI35&gt;0,0,1)</f>
        <v>1</v>
      </c>
      <c r="AJ104" s="174">
        <f t="shared" si="194"/>
        <v>1</v>
      </c>
      <c r="AK104" s="175">
        <f t="shared" si="194"/>
        <v>1</v>
      </c>
      <c r="AL104" s="173">
        <f>IF(AL35&gt;0,0,1)</f>
        <v>1</v>
      </c>
      <c r="AM104" s="174">
        <f t="shared" ref="AM104:AO104" si="195">IF(AM35&gt;0,0,1)</f>
        <v>1</v>
      </c>
      <c r="AN104" s="174">
        <f t="shared" si="195"/>
        <v>1</v>
      </c>
      <c r="AO104" s="175">
        <f t="shared" si="195"/>
        <v>1</v>
      </c>
      <c r="AP104" s="173">
        <f>IF(AP35&gt;0,0,1)</f>
        <v>1</v>
      </c>
      <c r="AQ104" s="174">
        <f t="shared" ref="AQ104:AS104" si="196">IF(AQ35&gt;0,0,1)</f>
        <v>1</v>
      </c>
      <c r="AR104" s="174">
        <f t="shared" si="196"/>
        <v>1</v>
      </c>
      <c r="AS104" s="175">
        <f t="shared" si="196"/>
        <v>1</v>
      </c>
      <c r="AT104" s="173">
        <f>IF(AT35&gt;0,0,1)</f>
        <v>1</v>
      </c>
      <c r="AU104" s="174">
        <f t="shared" ref="AU104:AW104" si="197">IF(AU35&gt;0,0,1)</f>
        <v>1</v>
      </c>
      <c r="AV104" s="174">
        <f t="shared" si="197"/>
        <v>1</v>
      </c>
      <c r="AW104" s="175">
        <f t="shared" si="197"/>
        <v>1</v>
      </c>
      <c r="AX104" s="173">
        <f>IF(AX35&gt;0,0,1)</f>
        <v>1</v>
      </c>
      <c r="AY104" s="174">
        <f t="shared" ref="AY104:BA104" si="198">IF(AY35&gt;0,0,1)</f>
        <v>1</v>
      </c>
      <c r="AZ104" s="174">
        <f t="shared" si="198"/>
        <v>1</v>
      </c>
      <c r="BA104" s="175">
        <f t="shared" si="198"/>
        <v>1</v>
      </c>
      <c r="BB104" s="173">
        <f>IF(BB35&gt;0,0,1)</f>
        <v>1</v>
      </c>
      <c r="BC104" s="174">
        <f t="shared" ref="BC104:BE104" si="199">IF(BC35&gt;0,0,1)</f>
        <v>1</v>
      </c>
      <c r="BD104" s="174">
        <f t="shared" si="199"/>
        <v>1</v>
      </c>
      <c r="BE104" s="175">
        <f t="shared" si="199"/>
        <v>1</v>
      </c>
      <c r="BF104" s="173">
        <f>IF(BF35&gt;0,0,1)</f>
        <v>1</v>
      </c>
      <c r="BG104" s="174">
        <f t="shared" ref="BG104:BI104" si="200">IF(BG35&gt;0,0,1)</f>
        <v>1</v>
      </c>
      <c r="BH104" s="174">
        <f t="shared" si="200"/>
        <v>1</v>
      </c>
      <c r="BI104" s="175">
        <f t="shared" si="200"/>
        <v>1</v>
      </c>
      <c r="BJ104" s="173">
        <f>IF(BJ35&gt;0,0,1)</f>
        <v>1</v>
      </c>
      <c r="BK104" s="174">
        <f t="shared" ref="BK104:BM104" si="201">IF(BK35&gt;0,0,1)</f>
        <v>1</v>
      </c>
      <c r="BL104" s="174">
        <f t="shared" si="201"/>
        <v>1</v>
      </c>
      <c r="BM104" s="175">
        <f t="shared" si="201"/>
        <v>1</v>
      </c>
      <c r="BN104" s="173">
        <f>IF(BN35&gt;0,0,1)</f>
        <v>1</v>
      </c>
      <c r="BO104" s="174">
        <f t="shared" ref="BO104:BQ104" si="202">IF(BO35&gt;0,0,1)</f>
        <v>1</v>
      </c>
      <c r="BP104" s="174">
        <f t="shared" si="202"/>
        <v>1</v>
      </c>
      <c r="BQ104" s="175">
        <f t="shared" si="202"/>
        <v>1</v>
      </c>
      <c r="BR104" s="173">
        <f>IF(BR35&gt;0,0,1)</f>
        <v>1</v>
      </c>
      <c r="BS104" s="174">
        <f t="shared" ref="BS104:BU104" si="203">IF(BS35&gt;0,0,1)</f>
        <v>1</v>
      </c>
      <c r="BT104" s="174">
        <f t="shared" si="203"/>
        <v>1</v>
      </c>
      <c r="BU104" s="175">
        <f t="shared" si="203"/>
        <v>1</v>
      </c>
      <c r="BV104" s="173">
        <f>IF(BV35&gt;0,0,1)</f>
        <v>1</v>
      </c>
      <c r="BW104" s="174">
        <f t="shared" ref="BW104:BY104" si="204">IF(BW35&gt;0,0,1)</f>
        <v>1</v>
      </c>
      <c r="BX104" s="174">
        <f t="shared" si="204"/>
        <v>1</v>
      </c>
      <c r="BY104" s="175">
        <f t="shared" si="204"/>
        <v>1</v>
      </c>
      <c r="BZ104" s="173">
        <f>IF(BZ35&gt;0,0,1)</f>
        <v>1</v>
      </c>
      <c r="CA104" s="174">
        <f t="shared" ref="CA104:CC104" si="205">IF(CA35&gt;0,0,1)</f>
        <v>1</v>
      </c>
      <c r="CB104" s="174">
        <f t="shared" si="205"/>
        <v>1</v>
      </c>
      <c r="CC104" s="175">
        <f t="shared" si="205"/>
        <v>1</v>
      </c>
      <c r="CD104" s="173">
        <f>IF(CD35&gt;0,0,1)</f>
        <v>1</v>
      </c>
      <c r="CE104" s="174">
        <f t="shared" ref="CE104:CG104" si="206">IF(CE35&gt;0,0,1)</f>
        <v>1</v>
      </c>
      <c r="CF104" s="174">
        <f t="shared" si="206"/>
        <v>1</v>
      </c>
      <c r="CG104" s="175">
        <f t="shared" si="206"/>
        <v>1</v>
      </c>
      <c r="CH104" s="173">
        <f>IF(CH35&gt;0,0,1)</f>
        <v>1</v>
      </c>
      <c r="CI104" s="174">
        <f t="shared" ref="CI104:CK104" si="207">IF(CI35&gt;0,0,1)</f>
        <v>1</v>
      </c>
      <c r="CJ104" s="174">
        <f t="shared" si="207"/>
        <v>1</v>
      </c>
      <c r="CK104" s="175">
        <f t="shared" si="207"/>
        <v>1</v>
      </c>
      <c r="CL104" s="49"/>
      <c r="CM104" s="28"/>
    </row>
    <row r="105" spans="1:91" ht="14.25" x14ac:dyDescent="0.25">
      <c r="B105" s="55"/>
      <c r="C105" s="10" t="s">
        <v>45</v>
      </c>
      <c r="D105" s="93" t="s">
        <v>107</v>
      </c>
      <c r="E105" s="124">
        <f>E34+E33+E103+E104*E36</f>
        <v>18</v>
      </c>
      <c r="F105" s="10">
        <f>F34+F33+F103+F104*F36</f>
        <v>12</v>
      </c>
      <c r="G105" s="71">
        <f>G34+G33+G103+G104*G36</f>
        <v>12</v>
      </c>
      <c r="H105" s="71">
        <f>H34+H33+H103+H104*H36</f>
        <v>12</v>
      </c>
      <c r="I105" s="75">
        <f>I34+I33+I103+I104*I36</f>
        <v>12</v>
      </c>
      <c r="J105" s="10">
        <f>J34+J33+J103+J104*J36</f>
        <v>0</v>
      </c>
      <c r="K105" s="167">
        <f>K34+K33+K103+K104*K36</f>
        <v>10</v>
      </c>
      <c r="L105" s="167">
        <f>L34+L33+L103+L104*L36</f>
        <v>12</v>
      </c>
      <c r="M105" s="171">
        <f>M34+M33+M103+M104*M36</f>
        <v>12</v>
      </c>
      <c r="N105" s="10">
        <f>N34+N33+N103+N104*N36</f>
        <v>0</v>
      </c>
      <c r="O105" s="167">
        <f>O34+O33+O103+O104*O36</f>
        <v>0</v>
      </c>
      <c r="P105" s="167">
        <f>P34+P33+P103+P104*P36</f>
        <v>0</v>
      </c>
      <c r="Q105" s="171">
        <f>Q34+Q33+Q103+Q104*Q36</f>
        <v>0</v>
      </c>
      <c r="R105" s="10">
        <f>R34+R33+R103+R104*R36</f>
        <v>0</v>
      </c>
      <c r="S105" s="167">
        <f>S34+S33+S103+S104*S36</f>
        <v>0</v>
      </c>
      <c r="T105" s="167">
        <f>T34+T33+T103+T104*T36</f>
        <v>0</v>
      </c>
      <c r="U105" s="171">
        <f>U34+U33+U103+U104*U36</f>
        <v>0</v>
      </c>
      <c r="V105" s="10">
        <f>V34+V33+V103+V104*V36</f>
        <v>0</v>
      </c>
      <c r="W105" s="167">
        <f>W34+W33+W103+W104*W36</f>
        <v>0</v>
      </c>
      <c r="X105" s="167">
        <f>X34+X33+X103+X104*X36</f>
        <v>0</v>
      </c>
      <c r="Y105" s="171">
        <f>Y34+Y33+Y103+Y104*Y36</f>
        <v>0</v>
      </c>
      <c r="Z105" s="10">
        <f>Z34+Z33+Z103+Z104*Z36</f>
        <v>0</v>
      </c>
      <c r="AA105" s="167">
        <f>AA34+AA33+AA103+AA104*AA36</f>
        <v>0</v>
      </c>
      <c r="AB105" s="167">
        <f>AB34+AB33+AB103+AB104*AB36</f>
        <v>0</v>
      </c>
      <c r="AC105" s="171">
        <f>AC34+AC33+AC103+AC104*AC36</f>
        <v>0</v>
      </c>
      <c r="AD105" s="10">
        <f>AD34+AD33+AD103+AD104*AD36</f>
        <v>0</v>
      </c>
      <c r="AE105" s="167">
        <f>AE34+AE33+AE103+AE104*AE36</f>
        <v>0</v>
      </c>
      <c r="AF105" s="167">
        <f>AF34+AF33+AF103+AF104*AF36</f>
        <v>0</v>
      </c>
      <c r="AG105" s="171">
        <f>AG34+AG33+AG103+AG104*AG36</f>
        <v>0</v>
      </c>
      <c r="AH105" s="10">
        <f>AH34+AH33+AH103+AH104*AH36</f>
        <v>0</v>
      </c>
      <c r="AI105" s="167">
        <f>AI34+AI33+AI103+AI104*AI36</f>
        <v>0</v>
      </c>
      <c r="AJ105" s="167">
        <f>AJ34+AJ33+AJ103+AJ104*AJ36</f>
        <v>0</v>
      </c>
      <c r="AK105" s="171">
        <f>AK34+AK33+AK103+AK104*AK36</f>
        <v>0</v>
      </c>
      <c r="AL105" s="10">
        <f>AL34+AL33+AL103+AL104*AL36</f>
        <v>0</v>
      </c>
      <c r="AM105" s="167">
        <f>AM34+AM33+AM103+AM104*AM36</f>
        <v>0</v>
      </c>
      <c r="AN105" s="167">
        <f>AN34+AN33+AN103+AN104*AN36</f>
        <v>0</v>
      </c>
      <c r="AO105" s="171">
        <f>AO34+AO33+AO103+AO104*AO36</f>
        <v>0</v>
      </c>
      <c r="AP105" s="10">
        <f>AP34+AP33+AP103+AP104*AP36</f>
        <v>0</v>
      </c>
      <c r="AQ105" s="167">
        <f>AQ34+AQ33+AQ103+AQ104*AQ36</f>
        <v>0</v>
      </c>
      <c r="AR105" s="167">
        <f>AR34+AR33+AR103+AR104*AR36</f>
        <v>0</v>
      </c>
      <c r="AS105" s="171">
        <f>AS34+AS33+AS103+AS104*AS36</f>
        <v>0</v>
      </c>
      <c r="AT105" s="10">
        <f>AT34+AT33+AT103+AT104*AT36</f>
        <v>0</v>
      </c>
      <c r="AU105" s="167">
        <f>AU34+AU33+AU103+AU104*AU36</f>
        <v>0</v>
      </c>
      <c r="AV105" s="167">
        <f>AV34+AV33+AV103+AV104*AV36</f>
        <v>0</v>
      </c>
      <c r="AW105" s="171">
        <f>AW34+AW33+AW103+AW104*AW36</f>
        <v>0</v>
      </c>
      <c r="AX105" s="10">
        <f>AX34+AX33+AX103+AX104*AX36</f>
        <v>0</v>
      </c>
      <c r="AY105" s="167">
        <f>AY34+AY33+AY103+AY104*AY36</f>
        <v>0</v>
      </c>
      <c r="AZ105" s="167">
        <f>AZ34+AZ33+AZ103+AZ104*AZ36</f>
        <v>0</v>
      </c>
      <c r="BA105" s="171">
        <f>BA34+BA33+BA103+BA104*BA36</f>
        <v>0</v>
      </c>
      <c r="BB105" s="10">
        <f>BB34+BB33+BB103+BB104*BB36</f>
        <v>0</v>
      </c>
      <c r="BC105" s="167">
        <f>BC34+BC33+BC103+BC104*BC36</f>
        <v>0</v>
      </c>
      <c r="BD105" s="167">
        <f>BD34+BD33+BD103+BD104*BD36</f>
        <v>0</v>
      </c>
      <c r="BE105" s="171">
        <f>BE34+BE33+BE103+BE104*BE36</f>
        <v>0</v>
      </c>
      <c r="BF105" s="10">
        <f>BF34+BF33+BF103+BF104*BF36</f>
        <v>0</v>
      </c>
      <c r="BG105" s="167">
        <f>BG34+BG33+BG103+BG104*BG36</f>
        <v>0</v>
      </c>
      <c r="BH105" s="167">
        <f>BH34+BH33+BH103+BH104*BH36</f>
        <v>0</v>
      </c>
      <c r="BI105" s="171">
        <f>BI34+BI33+BI103+BI104*BI36</f>
        <v>0</v>
      </c>
      <c r="BJ105" s="10">
        <f>BJ34+BJ33+BJ103+BJ104*BJ36</f>
        <v>0</v>
      </c>
      <c r="BK105" s="167">
        <f>BK34+BK33+BK103+BK104*BK36</f>
        <v>0</v>
      </c>
      <c r="BL105" s="167">
        <f>BL34+BL33+BL103+BL104*BL36</f>
        <v>0</v>
      </c>
      <c r="BM105" s="171">
        <f>BM34+BM33+BM103+BM104*BM36</f>
        <v>0</v>
      </c>
      <c r="BN105" s="10">
        <f>BN34+BN33+BN103+BN104*BN36</f>
        <v>0</v>
      </c>
      <c r="BO105" s="167">
        <f>BO34+BO33+BO103+BO104*BO36</f>
        <v>0</v>
      </c>
      <c r="BP105" s="167">
        <f>BP34+BP33+BP103+BP104*BP36</f>
        <v>0</v>
      </c>
      <c r="BQ105" s="171">
        <f>BQ34+BQ33+BQ103+BQ104*BQ36</f>
        <v>0</v>
      </c>
      <c r="BR105" s="10">
        <f>BR34+BR33+BR103+BR104*BR36</f>
        <v>0</v>
      </c>
      <c r="BS105" s="167">
        <f>BS34+BS33+BS103+BS104*BS36</f>
        <v>0</v>
      </c>
      <c r="BT105" s="167">
        <f>BT34+BT33+BT103+BT104*BT36</f>
        <v>0</v>
      </c>
      <c r="BU105" s="171">
        <f>BU34+BU33+BU103+BU104*BU36</f>
        <v>0</v>
      </c>
      <c r="BV105" s="10">
        <f>BV34+BV33+BV103+BV104*BV36</f>
        <v>0</v>
      </c>
      <c r="BW105" s="167">
        <f>BW34+BW33+BW103+BW104*BW36</f>
        <v>0</v>
      </c>
      <c r="BX105" s="167">
        <f>BX34+BX33+BX103+BX104*BX36</f>
        <v>0</v>
      </c>
      <c r="BY105" s="171">
        <f>BY34+BY33+BY103+BY104*BY36</f>
        <v>0</v>
      </c>
      <c r="BZ105" s="10">
        <f>BZ34+BZ33+BZ103+BZ104*BZ36</f>
        <v>0</v>
      </c>
      <c r="CA105" s="167">
        <f>CA34+CA33+CA103+CA104*CA36</f>
        <v>0</v>
      </c>
      <c r="CB105" s="167">
        <f>CB34+CB33+CB103+CB104*CB36</f>
        <v>0</v>
      </c>
      <c r="CC105" s="171">
        <f>CC34+CC33+CC103+CC104*CC36</f>
        <v>0</v>
      </c>
      <c r="CD105" s="10">
        <f>CD34+CD33+CD103+CD104*CD36</f>
        <v>0</v>
      </c>
      <c r="CE105" s="167">
        <f>CE34+CE33+CE103+CE104*CE36</f>
        <v>0</v>
      </c>
      <c r="CF105" s="167">
        <f>CF34+CF33+CF103+CF104*CF36</f>
        <v>0</v>
      </c>
      <c r="CG105" s="171">
        <f>CG34+CG33+CG103+CG104*CG36</f>
        <v>0</v>
      </c>
      <c r="CH105" s="10">
        <f>CH34+CH33+CH103+CH104*CH36</f>
        <v>0</v>
      </c>
      <c r="CI105" s="167">
        <f>CI34+CI33+CI103+CI104*CI36</f>
        <v>0</v>
      </c>
      <c r="CJ105" s="167">
        <f>CJ34+CJ33+CJ103+CJ104*CJ36</f>
        <v>0</v>
      </c>
      <c r="CK105" s="171">
        <f>CK34+CK33+CK103+CK104*CK36</f>
        <v>0</v>
      </c>
      <c r="CL105" s="49"/>
      <c r="CM105" s="28"/>
    </row>
    <row r="106" spans="1:91" ht="14.25" x14ac:dyDescent="0.25">
      <c r="B106" s="55"/>
      <c r="C106" s="10" t="s">
        <v>103</v>
      </c>
      <c r="D106" s="93" t="s">
        <v>39</v>
      </c>
      <c r="E106" s="125">
        <f>0.0153*E31-0.2144*E105</f>
        <v>-3.0329999999999999</v>
      </c>
      <c r="F106" s="72">
        <f>0.0153*F31-0.2144*F105</f>
        <v>-1.4712000000000001</v>
      </c>
      <c r="G106" s="73">
        <f>0.0153*G31-0.2144*G105</f>
        <v>-1.4712000000000001</v>
      </c>
      <c r="H106" s="73">
        <f>0.0153*H31-0.2144*H105</f>
        <v>-1.716</v>
      </c>
      <c r="I106" s="74">
        <f>0.0153*I31-0.2144*I105</f>
        <v>-1.716</v>
      </c>
      <c r="J106" s="169">
        <f>0.0153*J31-0.2144*J105</f>
        <v>0</v>
      </c>
      <c r="K106" s="172">
        <f>0.0153*K31-0.2144*K105</f>
        <v>-1.6544000000000001</v>
      </c>
      <c r="L106" s="172">
        <f>0.0153*L31-0.2144*L105</f>
        <v>-1.716</v>
      </c>
      <c r="M106" s="170">
        <f>0.0153*M31-0.2144*M105</f>
        <v>-1.716</v>
      </c>
      <c r="N106" s="169">
        <f>0.0153*N31-0.2144*N105</f>
        <v>0</v>
      </c>
      <c r="O106" s="172">
        <f>0.0153*O31-0.2144*O105</f>
        <v>0</v>
      </c>
      <c r="P106" s="172">
        <f>0.0153*P31-0.2144*P105</f>
        <v>0</v>
      </c>
      <c r="Q106" s="170">
        <f>0.0153*Q31-0.2144*Q105</f>
        <v>0</v>
      </c>
      <c r="R106" s="169">
        <f>0.0153*R31-0.2144*R105</f>
        <v>0</v>
      </c>
      <c r="S106" s="172">
        <f>0.0153*S31-0.2144*S105</f>
        <v>0</v>
      </c>
      <c r="T106" s="172">
        <f>0.0153*T31-0.2144*T105</f>
        <v>0</v>
      </c>
      <c r="U106" s="170">
        <f>0.0153*U31-0.2144*U105</f>
        <v>0</v>
      </c>
      <c r="V106" s="169">
        <f>0.0153*V31-0.2144*V105</f>
        <v>0</v>
      </c>
      <c r="W106" s="172">
        <f>0.0153*W31-0.2144*W105</f>
        <v>0</v>
      </c>
      <c r="X106" s="172">
        <f>0.0153*X31-0.2144*X105</f>
        <v>0</v>
      </c>
      <c r="Y106" s="170">
        <f>0.0153*Y31-0.2144*Y105</f>
        <v>0</v>
      </c>
      <c r="Z106" s="169">
        <f>0.0153*Z31-0.2144*Z105</f>
        <v>0</v>
      </c>
      <c r="AA106" s="172">
        <f>0.0153*AA31-0.2144*AA105</f>
        <v>0</v>
      </c>
      <c r="AB106" s="172">
        <f>0.0153*AB31-0.2144*AB105</f>
        <v>0</v>
      </c>
      <c r="AC106" s="170">
        <f>0.0153*AC31-0.2144*AC105</f>
        <v>0</v>
      </c>
      <c r="AD106" s="169">
        <f>0.0153*AD31-0.2144*AD105</f>
        <v>0</v>
      </c>
      <c r="AE106" s="172">
        <f>0.0153*AE31-0.2144*AE105</f>
        <v>0</v>
      </c>
      <c r="AF106" s="172">
        <f>0.0153*AF31-0.2144*AF105</f>
        <v>0</v>
      </c>
      <c r="AG106" s="170">
        <f>0.0153*AG31-0.2144*AG105</f>
        <v>0</v>
      </c>
      <c r="AH106" s="169">
        <f>0.0153*AH31-0.2144*AH105</f>
        <v>0</v>
      </c>
      <c r="AI106" s="172">
        <f>0.0153*AI31-0.2144*AI105</f>
        <v>0</v>
      </c>
      <c r="AJ106" s="172">
        <f>0.0153*AJ31-0.2144*AJ105</f>
        <v>0</v>
      </c>
      <c r="AK106" s="170">
        <f>0.0153*AK31-0.2144*AK105</f>
        <v>0</v>
      </c>
      <c r="AL106" s="169">
        <f>0.0153*AL31-0.2144*AL105</f>
        <v>0</v>
      </c>
      <c r="AM106" s="172">
        <f>0.0153*AM31-0.2144*AM105</f>
        <v>0</v>
      </c>
      <c r="AN106" s="172">
        <f>0.0153*AN31-0.2144*AN105</f>
        <v>0</v>
      </c>
      <c r="AO106" s="170">
        <f>0.0153*AO31-0.2144*AO105</f>
        <v>0</v>
      </c>
      <c r="AP106" s="169">
        <f>0.0153*AP31-0.2144*AP105</f>
        <v>0</v>
      </c>
      <c r="AQ106" s="172">
        <f>0.0153*AQ31-0.2144*AQ105</f>
        <v>0</v>
      </c>
      <c r="AR106" s="172">
        <f>0.0153*AR31-0.2144*AR105</f>
        <v>0</v>
      </c>
      <c r="AS106" s="170">
        <f>0.0153*AS31-0.2144*AS105</f>
        <v>0</v>
      </c>
      <c r="AT106" s="169">
        <f>0.0153*AT31-0.2144*AT105</f>
        <v>0</v>
      </c>
      <c r="AU106" s="172">
        <f>0.0153*AU31-0.2144*AU105</f>
        <v>0</v>
      </c>
      <c r="AV106" s="172">
        <f>0.0153*AV31-0.2144*AV105</f>
        <v>0</v>
      </c>
      <c r="AW106" s="170">
        <f>0.0153*AW31-0.2144*AW105</f>
        <v>0</v>
      </c>
      <c r="AX106" s="169">
        <f>0.0153*AX31-0.2144*AX105</f>
        <v>0</v>
      </c>
      <c r="AY106" s="172">
        <f>0.0153*AY31-0.2144*AY105</f>
        <v>0</v>
      </c>
      <c r="AZ106" s="172">
        <f>0.0153*AZ31-0.2144*AZ105</f>
        <v>0</v>
      </c>
      <c r="BA106" s="170">
        <f>0.0153*BA31-0.2144*BA105</f>
        <v>0</v>
      </c>
      <c r="BB106" s="169">
        <f>0.0153*BB31-0.2144*BB105</f>
        <v>0</v>
      </c>
      <c r="BC106" s="172">
        <f>0.0153*BC31-0.2144*BC105</f>
        <v>0</v>
      </c>
      <c r="BD106" s="172">
        <f>0.0153*BD31-0.2144*BD105</f>
        <v>0</v>
      </c>
      <c r="BE106" s="170">
        <f>0.0153*BE31-0.2144*BE105</f>
        <v>0</v>
      </c>
      <c r="BF106" s="169">
        <f>0.0153*BF31-0.2144*BF105</f>
        <v>0</v>
      </c>
      <c r="BG106" s="172">
        <f>0.0153*BG31-0.2144*BG105</f>
        <v>0</v>
      </c>
      <c r="BH106" s="172">
        <f>0.0153*BH31-0.2144*BH105</f>
        <v>0</v>
      </c>
      <c r="BI106" s="170">
        <f>0.0153*BI31-0.2144*BI105</f>
        <v>0</v>
      </c>
      <c r="BJ106" s="169">
        <f>0.0153*BJ31-0.2144*BJ105</f>
        <v>0</v>
      </c>
      <c r="BK106" s="172">
        <f>0.0153*BK31-0.2144*BK105</f>
        <v>0</v>
      </c>
      <c r="BL106" s="172">
        <f>0.0153*BL31-0.2144*BL105</f>
        <v>0</v>
      </c>
      <c r="BM106" s="170">
        <f>0.0153*BM31-0.2144*BM105</f>
        <v>0</v>
      </c>
      <c r="BN106" s="169">
        <f>0.0153*BN31-0.2144*BN105</f>
        <v>0</v>
      </c>
      <c r="BO106" s="172">
        <f>0.0153*BO31-0.2144*BO105</f>
        <v>0</v>
      </c>
      <c r="BP106" s="172">
        <f>0.0153*BP31-0.2144*BP105</f>
        <v>0</v>
      </c>
      <c r="BQ106" s="170">
        <f>0.0153*BQ31-0.2144*BQ105</f>
        <v>0</v>
      </c>
      <c r="BR106" s="169">
        <f>0.0153*BR31-0.2144*BR105</f>
        <v>0</v>
      </c>
      <c r="BS106" s="172">
        <f>0.0153*BS31-0.2144*BS105</f>
        <v>0</v>
      </c>
      <c r="BT106" s="172">
        <f>0.0153*BT31-0.2144*BT105</f>
        <v>0</v>
      </c>
      <c r="BU106" s="170">
        <f>0.0153*BU31-0.2144*BU105</f>
        <v>0</v>
      </c>
      <c r="BV106" s="169">
        <f>0.0153*BV31-0.2144*BV105</f>
        <v>0</v>
      </c>
      <c r="BW106" s="172">
        <f>0.0153*BW31-0.2144*BW105</f>
        <v>0</v>
      </c>
      <c r="BX106" s="172">
        <f>0.0153*BX31-0.2144*BX105</f>
        <v>0</v>
      </c>
      <c r="BY106" s="170">
        <f>0.0153*BY31-0.2144*BY105</f>
        <v>0</v>
      </c>
      <c r="BZ106" s="169">
        <f>0.0153*BZ31-0.2144*BZ105</f>
        <v>0</v>
      </c>
      <c r="CA106" s="172">
        <f>0.0153*CA31-0.2144*CA105</f>
        <v>0</v>
      </c>
      <c r="CB106" s="172">
        <f>0.0153*CB31-0.2144*CB105</f>
        <v>0</v>
      </c>
      <c r="CC106" s="170">
        <f>0.0153*CC31-0.2144*CC105</f>
        <v>0</v>
      </c>
      <c r="CD106" s="169">
        <f>0.0153*CD31-0.2144*CD105</f>
        <v>0</v>
      </c>
      <c r="CE106" s="172">
        <f>0.0153*CE31-0.2144*CE105</f>
        <v>0</v>
      </c>
      <c r="CF106" s="172">
        <f>0.0153*CF31-0.2144*CF105</f>
        <v>0</v>
      </c>
      <c r="CG106" s="170">
        <f>0.0153*CG31-0.2144*CG105</f>
        <v>0</v>
      </c>
      <c r="CH106" s="169">
        <f>0.0153*CH31-0.2144*CH105</f>
        <v>0</v>
      </c>
      <c r="CI106" s="172">
        <f>0.0153*CI31-0.2144*CI105</f>
        <v>0</v>
      </c>
      <c r="CJ106" s="172">
        <f>0.0153*CJ31-0.2144*CJ105</f>
        <v>0</v>
      </c>
      <c r="CK106" s="170">
        <f>0.0153*CK31-0.2144*CK105</f>
        <v>0</v>
      </c>
      <c r="CL106" s="49"/>
      <c r="CM106" s="28"/>
    </row>
    <row r="107" spans="1:91" ht="14.25" x14ac:dyDescent="0.25">
      <c r="B107" s="55"/>
      <c r="C107" s="10" t="s">
        <v>102</v>
      </c>
      <c r="D107" s="93" t="s">
        <v>33</v>
      </c>
      <c r="E107" s="125">
        <f>0.0066*SUM(E13:E15)/(4*E11)</f>
        <v>0.495</v>
      </c>
      <c r="F107" s="72">
        <f>0.0066*SUM(F13:F15)/(4*F11)</f>
        <v>0.53790000000000004</v>
      </c>
      <c r="G107" s="73">
        <f>0.0066*SUM(G13:G15)/(4*G11)</f>
        <v>0.73094999999999999</v>
      </c>
      <c r="H107" s="73">
        <f>0.0066*SUM(H13:H15)/(4*H11)</f>
        <v>0.46447499999999997</v>
      </c>
      <c r="I107" s="74">
        <f>0.0066*SUM(I13:I15)/(4*I11)</f>
        <v>0.286275</v>
      </c>
      <c r="J107" s="169" t="e">
        <f>0.0066*SUM(J13:J15)/(4*J11)</f>
        <v>#DIV/0!</v>
      </c>
      <c r="K107" s="172">
        <f>0.0066*SUM(K13:K15)/(4*K11)</f>
        <v>9.0749999999999997E-2</v>
      </c>
      <c r="L107" s="172">
        <f>0.0066*SUM(L13:L15)/(4*L11)</f>
        <v>0.27637499999999998</v>
      </c>
      <c r="M107" s="170">
        <f>0.0066*SUM(M13:M15)/(4*M11)</f>
        <v>0.38279999999999997</v>
      </c>
      <c r="N107" s="169" t="e">
        <f>0.0066*SUM(N13:N15)/(4*N11)</f>
        <v>#DIV/0!</v>
      </c>
      <c r="O107" s="172" t="e">
        <f>0.0066*SUM(O13:O15)/(4*O11)</f>
        <v>#DIV/0!</v>
      </c>
      <c r="P107" s="172" t="e">
        <f>0.0066*SUM(P13:P15)/(4*P11)</f>
        <v>#DIV/0!</v>
      </c>
      <c r="Q107" s="170" t="e">
        <f>0.0066*SUM(Q13:Q15)/(4*Q11)</f>
        <v>#DIV/0!</v>
      </c>
      <c r="R107" s="169" t="e">
        <f>0.0066*SUM(R13:R15)/(4*R11)</f>
        <v>#DIV/0!</v>
      </c>
      <c r="S107" s="172" t="e">
        <f>0.0066*SUM(S13:S15)/(4*S11)</f>
        <v>#DIV/0!</v>
      </c>
      <c r="T107" s="172" t="e">
        <f>0.0066*SUM(T13:T15)/(4*T11)</f>
        <v>#DIV/0!</v>
      </c>
      <c r="U107" s="170" t="e">
        <f>0.0066*SUM(U13:U15)/(4*U11)</f>
        <v>#DIV/0!</v>
      </c>
      <c r="V107" s="169" t="e">
        <f>0.0066*SUM(V13:V15)/(4*V11)</f>
        <v>#DIV/0!</v>
      </c>
      <c r="W107" s="172" t="e">
        <f>0.0066*SUM(W13:W15)/(4*W11)</f>
        <v>#DIV/0!</v>
      </c>
      <c r="X107" s="172" t="e">
        <f>0.0066*SUM(X13:X15)/(4*X11)</f>
        <v>#DIV/0!</v>
      </c>
      <c r="Y107" s="170" t="e">
        <f>0.0066*SUM(Y13:Y15)/(4*Y11)</f>
        <v>#DIV/0!</v>
      </c>
      <c r="Z107" s="169" t="e">
        <f>0.0066*SUM(Z13:Z15)/(4*Z11)</f>
        <v>#DIV/0!</v>
      </c>
      <c r="AA107" s="172" t="e">
        <f>0.0066*SUM(AA13:AA15)/(4*AA11)</f>
        <v>#DIV/0!</v>
      </c>
      <c r="AB107" s="172" t="e">
        <f>0.0066*SUM(AB13:AB15)/(4*AB11)</f>
        <v>#DIV/0!</v>
      </c>
      <c r="AC107" s="170" t="e">
        <f>0.0066*SUM(AC13:AC15)/(4*AC11)</f>
        <v>#DIV/0!</v>
      </c>
      <c r="AD107" s="169" t="e">
        <f>0.0066*SUM(AD13:AD15)/(4*AD11)</f>
        <v>#DIV/0!</v>
      </c>
      <c r="AE107" s="172" t="e">
        <f>0.0066*SUM(AE13:AE15)/(4*AE11)</f>
        <v>#DIV/0!</v>
      </c>
      <c r="AF107" s="172" t="e">
        <f>0.0066*SUM(AF13:AF15)/(4*AF11)</f>
        <v>#DIV/0!</v>
      </c>
      <c r="AG107" s="170" t="e">
        <f>0.0066*SUM(AG13:AG15)/(4*AG11)</f>
        <v>#DIV/0!</v>
      </c>
      <c r="AH107" s="169" t="e">
        <f>0.0066*SUM(AH13:AH15)/(4*AH11)</f>
        <v>#DIV/0!</v>
      </c>
      <c r="AI107" s="172" t="e">
        <f>0.0066*SUM(AI13:AI15)/(4*AI11)</f>
        <v>#DIV/0!</v>
      </c>
      <c r="AJ107" s="172" t="e">
        <f>0.0066*SUM(AJ13:AJ15)/(4*AJ11)</f>
        <v>#DIV/0!</v>
      </c>
      <c r="AK107" s="170" t="e">
        <f>0.0066*SUM(AK13:AK15)/(4*AK11)</f>
        <v>#DIV/0!</v>
      </c>
      <c r="AL107" s="169" t="e">
        <f>0.0066*SUM(AL13:AL15)/(4*AL11)</f>
        <v>#DIV/0!</v>
      </c>
      <c r="AM107" s="172" t="e">
        <f>0.0066*SUM(AM13:AM15)/(4*AM11)</f>
        <v>#DIV/0!</v>
      </c>
      <c r="AN107" s="172" t="e">
        <f>0.0066*SUM(AN13:AN15)/(4*AN11)</f>
        <v>#DIV/0!</v>
      </c>
      <c r="AO107" s="170" t="e">
        <f>0.0066*SUM(AO13:AO15)/(4*AO11)</f>
        <v>#DIV/0!</v>
      </c>
      <c r="AP107" s="169" t="e">
        <f>0.0066*SUM(AP13:AP15)/(4*AP11)</f>
        <v>#DIV/0!</v>
      </c>
      <c r="AQ107" s="172" t="e">
        <f>0.0066*SUM(AQ13:AQ15)/(4*AQ11)</f>
        <v>#DIV/0!</v>
      </c>
      <c r="AR107" s="172" t="e">
        <f>0.0066*SUM(AR13:AR15)/(4*AR11)</f>
        <v>#DIV/0!</v>
      </c>
      <c r="AS107" s="170" t="e">
        <f>0.0066*SUM(AS13:AS15)/(4*AS11)</f>
        <v>#DIV/0!</v>
      </c>
      <c r="AT107" s="169" t="e">
        <f>0.0066*SUM(AT13:AT15)/(4*AT11)</f>
        <v>#DIV/0!</v>
      </c>
      <c r="AU107" s="172" t="e">
        <f>0.0066*SUM(AU13:AU15)/(4*AU11)</f>
        <v>#DIV/0!</v>
      </c>
      <c r="AV107" s="172" t="e">
        <f>0.0066*SUM(AV13:AV15)/(4*AV11)</f>
        <v>#DIV/0!</v>
      </c>
      <c r="AW107" s="170" t="e">
        <f>0.0066*SUM(AW13:AW15)/(4*AW11)</f>
        <v>#DIV/0!</v>
      </c>
      <c r="AX107" s="169" t="e">
        <f>0.0066*SUM(AX13:AX15)/(4*AX11)</f>
        <v>#DIV/0!</v>
      </c>
      <c r="AY107" s="172" t="e">
        <f>0.0066*SUM(AY13:AY15)/(4*AY11)</f>
        <v>#DIV/0!</v>
      </c>
      <c r="AZ107" s="172" t="e">
        <f>0.0066*SUM(AZ13:AZ15)/(4*AZ11)</f>
        <v>#DIV/0!</v>
      </c>
      <c r="BA107" s="170" t="e">
        <f>0.0066*SUM(BA13:BA15)/(4*BA11)</f>
        <v>#DIV/0!</v>
      </c>
      <c r="BB107" s="169" t="e">
        <f>0.0066*SUM(BB13:BB15)/(4*BB11)</f>
        <v>#DIV/0!</v>
      </c>
      <c r="BC107" s="172" t="e">
        <f>0.0066*SUM(BC13:BC15)/(4*BC11)</f>
        <v>#DIV/0!</v>
      </c>
      <c r="BD107" s="172" t="e">
        <f>0.0066*SUM(BD13:BD15)/(4*BD11)</f>
        <v>#DIV/0!</v>
      </c>
      <c r="BE107" s="170" t="e">
        <f>0.0066*SUM(BE13:BE15)/(4*BE11)</f>
        <v>#DIV/0!</v>
      </c>
      <c r="BF107" s="169" t="e">
        <f>0.0066*SUM(BF13:BF15)/(4*BF11)</f>
        <v>#DIV/0!</v>
      </c>
      <c r="BG107" s="172" t="e">
        <f>0.0066*SUM(BG13:BG15)/(4*BG11)</f>
        <v>#DIV/0!</v>
      </c>
      <c r="BH107" s="172" t="e">
        <f>0.0066*SUM(BH13:BH15)/(4*BH11)</f>
        <v>#DIV/0!</v>
      </c>
      <c r="BI107" s="170" t="e">
        <f>0.0066*SUM(BI13:BI15)/(4*BI11)</f>
        <v>#DIV/0!</v>
      </c>
      <c r="BJ107" s="169" t="e">
        <f>0.0066*SUM(BJ13:BJ15)/(4*BJ11)</f>
        <v>#DIV/0!</v>
      </c>
      <c r="BK107" s="172" t="e">
        <f>0.0066*SUM(BK13:BK15)/(4*BK11)</f>
        <v>#DIV/0!</v>
      </c>
      <c r="BL107" s="172" t="e">
        <f>0.0066*SUM(BL13:BL15)/(4*BL11)</f>
        <v>#DIV/0!</v>
      </c>
      <c r="BM107" s="170" t="e">
        <f>0.0066*SUM(BM13:BM15)/(4*BM11)</f>
        <v>#DIV/0!</v>
      </c>
      <c r="BN107" s="169" t="e">
        <f>0.0066*SUM(BN13:BN15)/(4*BN11)</f>
        <v>#DIV/0!</v>
      </c>
      <c r="BO107" s="172" t="e">
        <f>0.0066*SUM(BO13:BO15)/(4*BO11)</f>
        <v>#DIV/0!</v>
      </c>
      <c r="BP107" s="172" t="e">
        <f>0.0066*SUM(BP13:BP15)/(4*BP11)</f>
        <v>#DIV/0!</v>
      </c>
      <c r="BQ107" s="170" t="e">
        <f>0.0066*SUM(BQ13:BQ15)/(4*BQ11)</f>
        <v>#DIV/0!</v>
      </c>
      <c r="BR107" s="169" t="e">
        <f>0.0066*SUM(BR13:BR15)/(4*BR11)</f>
        <v>#DIV/0!</v>
      </c>
      <c r="BS107" s="172" t="e">
        <f>0.0066*SUM(BS13:BS15)/(4*BS11)</f>
        <v>#DIV/0!</v>
      </c>
      <c r="BT107" s="172" t="e">
        <f>0.0066*SUM(BT13:BT15)/(4*BT11)</f>
        <v>#DIV/0!</v>
      </c>
      <c r="BU107" s="170" t="e">
        <f>0.0066*SUM(BU13:BU15)/(4*BU11)</f>
        <v>#DIV/0!</v>
      </c>
      <c r="BV107" s="169" t="e">
        <f>0.0066*SUM(BV13:BV15)/(4*BV11)</f>
        <v>#DIV/0!</v>
      </c>
      <c r="BW107" s="172" t="e">
        <f>0.0066*SUM(BW13:BW15)/(4*BW11)</f>
        <v>#DIV/0!</v>
      </c>
      <c r="BX107" s="172" t="e">
        <f>0.0066*SUM(BX13:BX15)/(4*BX11)</f>
        <v>#DIV/0!</v>
      </c>
      <c r="BY107" s="170" t="e">
        <f>0.0066*SUM(BY13:BY15)/(4*BY11)</f>
        <v>#DIV/0!</v>
      </c>
      <c r="BZ107" s="169" t="e">
        <f>0.0066*SUM(BZ13:BZ15)/(4*BZ11)</f>
        <v>#DIV/0!</v>
      </c>
      <c r="CA107" s="172" t="e">
        <f>0.0066*SUM(CA13:CA15)/(4*CA11)</f>
        <v>#DIV/0!</v>
      </c>
      <c r="CB107" s="172" t="e">
        <f>0.0066*SUM(CB13:CB15)/(4*CB11)</f>
        <v>#DIV/0!</v>
      </c>
      <c r="CC107" s="170" t="e">
        <f>0.0066*SUM(CC13:CC15)/(4*CC11)</f>
        <v>#DIV/0!</v>
      </c>
      <c r="CD107" s="169" t="e">
        <f>0.0066*SUM(CD13:CD15)/(4*CD11)</f>
        <v>#DIV/0!</v>
      </c>
      <c r="CE107" s="172" t="e">
        <f>0.0066*SUM(CE13:CE15)/(4*CE11)</f>
        <v>#DIV/0!</v>
      </c>
      <c r="CF107" s="172" t="e">
        <f>0.0066*SUM(CF13:CF15)/(4*CF11)</f>
        <v>#DIV/0!</v>
      </c>
      <c r="CG107" s="170" t="e">
        <f>0.0066*SUM(CG13:CG15)/(4*CG11)</f>
        <v>#DIV/0!</v>
      </c>
      <c r="CH107" s="169" t="e">
        <f>0.0066*SUM(CH13:CH15)/(4*CH11)</f>
        <v>#DIV/0!</v>
      </c>
      <c r="CI107" s="172" t="e">
        <f>0.0066*SUM(CI13:CI15)/(4*CI11)</f>
        <v>#DIV/0!</v>
      </c>
      <c r="CJ107" s="172" t="e">
        <f>0.0066*SUM(CJ13:CJ15)/(4*CJ11)</f>
        <v>#DIV/0!</v>
      </c>
      <c r="CK107" s="170" t="e">
        <f>0.0066*SUM(CK13:CK15)/(4*CK11)</f>
        <v>#DIV/0!</v>
      </c>
      <c r="CL107" s="49"/>
      <c r="CM107" s="28"/>
    </row>
    <row r="108" spans="1:91" ht="14.25" x14ac:dyDescent="0.25">
      <c r="B108" s="55"/>
      <c r="C108" s="10" t="s">
        <v>98</v>
      </c>
      <c r="D108" s="93" t="s">
        <v>219</v>
      </c>
      <c r="E108" s="125">
        <f>IF(E9&gt;0,4.1324+E107+E106,0)</f>
        <v>1.5943999999999998</v>
      </c>
      <c r="F108" s="72">
        <f>IF(F9&gt;0,4.1324+F107+F106,0)</f>
        <v>3.1990999999999992</v>
      </c>
      <c r="G108" s="73">
        <f>IF(G9&gt;0,4.1324+G107+G106,0)</f>
        <v>3.3921499999999996</v>
      </c>
      <c r="H108" s="73">
        <f>IF(H9&gt;0,4.1324+H107+H106,0)</f>
        <v>2.8808749999999996</v>
      </c>
      <c r="I108" s="74">
        <f>IF(I9&gt;0,4.1324+I107+I106,0)</f>
        <v>2.7026749999999993</v>
      </c>
      <c r="J108" s="169">
        <f>IF(J9&gt;0,4.1324+J107+J106,0)</f>
        <v>0</v>
      </c>
      <c r="K108" s="172">
        <f>IF(K9&gt;0,4.1324+K107+K106,0)</f>
        <v>2.5687499999999996</v>
      </c>
      <c r="L108" s="172">
        <f>IF(L9&gt;0,4.1324+L107+L106,0)</f>
        <v>2.6927749999999993</v>
      </c>
      <c r="M108" s="170">
        <f>IF(M9&gt;0,4.1324+M107+M106,0)</f>
        <v>2.799199999999999</v>
      </c>
      <c r="N108" s="169">
        <f>IF(N9&gt;0,4.1324+N107+N106,0)</f>
        <v>0</v>
      </c>
      <c r="O108" s="172">
        <f>IF(O9&gt;0,4.1324+O107+O106,0)</f>
        <v>0</v>
      </c>
      <c r="P108" s="172">
        <f>IF(P9&gt;0,4.1324+P107+P106,0)</f>
        <v>0</v>
      </c>
      <c r="Q108" s="170">
        <f>IF(Q9&gt;0,4.1324+Q107+Q106,0)</f>
        <v>0</v>
      </c>
      <c r="R108" s="169">
        <f>IF(R9&gt;0,4.1324+R107+R106,0)</f>
        <v>0</v>
      </c>
      <c r="S108" s="172">
        <f>IF(S9&gt;0,4.1324+S107+S106,0)</f>
        <v>0</v>
      </c>
      <c r="T108" s="172">
        <f>IF(T9&gt;0,4.1324+T107+T106,0)</f>
        <v>0</v>
      </c>
      <c r="U108" s="170">
        <f>IF(U9&gt;0,4.1324+U107+U106,0)</f>
        <v>0</v>
      </c>
      <c r="V108" s="169">
        <f>IF(V9&gt;0,4.1324+V107+V106,0)</f>
        <v>0</v>
      </c>
      <c r="W108" s="172">
        <f>IF(W9&gt;0,4.1324+W107+W106,0)</f>
        <v>0</v>
      </c>
      <c r="X108" s="172">
        <f>IF(X9&gt;0,4.1324+X107+X106,0)</f>
        <v>0</v>
      </c>
      <c r="Y108" s="170">
        <f>IF(Y9&gt;0,4.1324+Y107+Y106,0)</f>
        <v>0</v>
      </c>
      <c r="Z108" s="169">
        <f>IF(Z9&gt;0,4.1324+Z107+Z106,0)</f>
        <v>0</v>
      </c>
      <c r="AA108" s="172">
        <f>IF(AA9&gt;0,4.1324+AA107+AA106,0)</f>
        <v>0</v>
      </c>
      <c r="AB108" s="172">
        <f>IF(AB9&gt;0,4.1324+AB107+AB106,0)</f>
        <v>0</v>
      </c>
      <c r="AC108" s="170">
        <f>IF(AC9&gt;0,4.1324+AC107+AC106,0)</f>
        <v>0</v>
      </c>
      <c r="AD108" s="169">
        <f>IF(AD9&gt;0,4.1324+AD107+AD106,0)</f>
        <v>0</v>
      </c>
      <c r="AE108" s="172">
        <f>IF(AE9&gt;0,4.1324+AE107+AE106,0)</f>
        <v>0</v>
      </c>
      <c r="AF108" s="172">
        <f>IF(AF9&gt;0,4.1324+AF107+AF106,0)</f>
        <v>0</v>
      </c>
      <c r="AG108" s="170">
        <f>IF(AG9&gt;0,4.1324+AG107+AG106,0)</f>
        <v>0</v>
      </c>
      <c r="AH108" s="169">
        <f>IF(AH9&gt;0,4.1324+AH107+AH106,0)</f>
        <v>0</v>
      </c>
      <c r="AI108" s="172">
        <f>IF(AI9&gt;0,4.1324+AI107+AI106,0)</f>
        <v>0</v>
      </c>
      <c r="AJ108" s="172">
        <f>IF(AJ9&gt;0,4.1324+AJ107+AJ106,0)</f>
        <v>0</v>
      </c>
      <c r="AK108" s="170">
        <f>IF(AK9&gt;0,4.1324+AK107+AK106,0)</f>
        <v>0</v>
      </c>
      <c r="AL108" s="169">
        <f>IF(AL9&gt;0,4.1324+AL107+AL106,0)</f>
        <v>0</v>
      </c>
      <c r="AM108" s="172">
        <f>IF(AM9&gt;0,4.1324+AM107+AM106,0)</f>
        <v>0</v>
      </c>
      <c r="AN108" s="172">
        <f>IF(AN9&gt;0,4.1324+AN107+AN106,0)</f>
        <v>0</v>
      </c>
      <c r="AO108" s="170">
        <f>IF(AO9&gt;0,4.1324+AO107+AO106,0)</f>
        <v>0</v>
      </c>
      <c r="AP108" s="169">
        <f>IF(AP9&gt;0,4.1324+AP107+AP106,0)</f>
        <v>0</v>
      </c>
      <c r="AQ108" s="172">
        <f>IF(AQ9&gt;0,4.1324+AQ107+AQ106,0)</f>
        <v>0</v>
      </c>
      <c r="AR108" s="172">
        <f>IF(AR9&gt;0,4.1324+AR107+AR106,0)</f>
        <v>0</v>
      </c>
      <c r="AS108" s="170">
        <f>IF(AS9&gt;0,4.1324+AS107+AS106,0)</f>
        <v>0</v>
      </c>
      <c r="AT108" s="169">
        <f>IF(AT9&gt;0,4.1324+AT107+AT106,0)</f>
        <v>0</v>
      </c>
      <c r="AU108" s="172">
        <f>IF(AU9&gt;0,4.1324+AU107+AU106,0)</f>
        <v>0</v>
      </c>
      <c r="AV108" s="172">
        <f>IF(AV9&gt;0,4.1324+AV107+AV106,0)</f>
        <v>0</v>
      </c>
      <c r="AW108" s="170">
        <f>IF(AW9&gt;0,4.1324+AW107+AW106,0)</f>
        <v>0</v>
      </c>
      <c r="AX108" s="169">
        <f>IF(AX9&gt;0,4.1324+AX107+AX106,0)</f>
        <v>0</v>
      </c>
      <c r="AY108" s="172">
        <f>IF(AY9&gt;0,4.1324+AY107+AY106,0)</f>
        <v>0</v>
      </c>
      <c r="AZ108" s="172">
        <f>IF(AZ9&gt;0,4.1324+AZ107+AZ106,0)</f>
        <v>0</v>
      </c>
      <c r="BA108" s="170">
        <f>IF(BA9&gt;0,4.1324+BA107+BA106,0)</f>
        <v>0</v>
      </c>
      <c r="BB108" s="169">
        <f>IF(BB9&gt;0,4.1324+BB107+BB106,0)</f>
        <v>0</v>
      </c>
      <c r="BC108" s="172">
        <f>IF(BC9&gt;0,4.1324+BC107+BC106,0)</f>
        <v>0</v>
      </c>
      <c r="BD108" s="172">
        <f>IF(BD9&gt;0,4.1324+BD107+BD106,0)</f>
        <v>0</v>
      </c>
      <c r="BE108" s="170">
        <f>IF(BE9&gt;0,4.1324+BE107+BE106,0)</f>
        <v>0</v>
      </c>
      <c r="BF108" s="169">
        <f>IF(BF9&gt;0,4.1324+BF107+BF106,0)</f>
        <v>0</v>
      </c>
      <c r="BG108" s="172">
        <f>IF(BG9&gt;0,4.1324+BG107+BG106,0)</f>
        <v>0</v>
      </c>
      <c r="BH108" s="172">
        <f>IF(BH9&gt;0,4.1324+BH107+BH106,0)</f>
        <v>0</v>
      </c>
      <c r="BI108" s="170">
        <f>IF(BI9&gt;0,4.1324+BI107+BI106,0)</f>
        <v>0</v>
      </c>
      <c r="BJ108" s="169">
        <f>IF(BJ9&gt;0,4.1324+BJ107+BJ106,0)</f>
        <v>0</v>
      </c>
      <c r="BK108" s="172">
        <f>IF(BK9&gt;0,4.1324+BK107+BK106,0)</f>
        <v>0</v>
      </c>
      <c r="BL108" s="172">
        <f>IF(BL9&gt;0,4.1324+BL107+BL106,0)</f>
        <v>0</v>
      </c>
      <c r="BM108" s="170">
        <f>IF(BM9&gt;0,4.1324+BM107+BM106,0)</f>
        <v>0</v>
      </c>
      <c r="BN108" s="169">
        <f>IF(BN9&gt;0,4.1324+BN107+BN106,0)</f>
        <v>0</v>
      </c>
      <c r="BO108" s="172">
        <f>IF(BO9&gt;0,4.1324+BO107+BO106,0)</f>
        <v>0</v>
      </c>
      <c r="BP108" s="172">
        <f>IF(BP9&gt;0,4.1324+BP107+BP106,0)</f>
        <v>0</v>
      </c>
      <c r="BQ108" s="170">
        <f>IF(BQ9&gt;0,4.1324+BQ107+BQ106,0)</f>
        <v>0</v>
      </c>
      <c r="BR108" s="169">
        <f>IF(BR9&gt;0,4.1324+BR107+BR106,0)</f>
        <v>0</v>
      </c>
      <c r="BS108" s="172">
        <f>IF(BS9&gt;0,4.1324+BS107+BS106,0)</f>
        <v>0</v>
      </c>
      <c r="BT108" s="172">
        <f>IF(BT9&gt;0,4.1324+BT107+BT106,0)</f>
        <v>0</v>
      </c>
      <c r="BU108" s="170">
        <f>IF(BU9&gt;0,4.1324+BU107+BU106,0)</f>
        <v>0</v>
      </c>
      <c r="BV108" s="169">
        <f>IF(BV9&gt;0,4.1324+BV107+BV106,0)</f>
        <v>0</v>
      </c>
      <c r="BW108" s="172">
        <f>IF(BW9&gt;0,4.1324+BW107+BW106,0)</f>
        <v>0</v>
      </c>
      <c r="BX108" s="172">
        <f>IF(BX9&gt;0,4.1324+BX107+BX106,0)</f>
        <v>0</v>
      </c>
      <c r="BY108" s="170">
        <f>IF(BY9&gt;0,4.1324+BY107+BY106,0)</f>
        <v>0</v>
      </c>
      <c r="BZ108" s="169">
        <f>IF(BZ9&gt;0,4.1324+BZ107+BZ106,0)</f>
        <v>0</v>
      </c>
      <c r="CA108" s="172">
        <f>IF(CA9&gt;0,4.1324+CA107+CA106,0)</f>
        <v>0</v>
      </c>
      <c r="CB108" s="172">
        <f>IF(CB9&gt;0,4.1324+CB107+CB106,0)</f>
        <v>0</v>
      </c>
      <c r="CC108" s="170">
        <f>IF(CC9&gt;0,4.1324+CC107+CC106,0)</f>
        <v>0</v>
      </c>
      <c r="CD108" s="169">
        <f>IF(CD9&gt;0,4.1324+CD107+CD106,0)</f>
        <v>0</v>
      </c>
      <c r="CE108" s="172">
        <f>IF(CE9&gt;0,4.1324+CE107+CE106,0)</f>
        <v>0</v>
      </c>
      <c r="CF108" s="172">
        <f>IF(CF9&gt;0,4.1324+CF107+CF106,0)</f>
        <v>0</v>
      </c>
      <c r="CG108" s="170">
        <f>IF(CG9&gt;0,4.1324+CG107+CG106,0)</f>
        <v>0</v>
      </c>
      <c r="CH108" s="169">
        <f>IF(CH9&gt;0,4.1324+CH107+CH106,0)</f>
        <v>0</v>
      </c>
      <c r="CI108" s="172">
        <f>IF(CI9&gt;0,4.1324+CI107+CI106,0)</f>
        <v>0</v>
      </c>
      <c r="CJ108" s="172">
        <f>IF(CJ9&gt;0,4.1324+CJ107+CJ106,0)</f>
        <v>0</v>
      </c>
      <c r="CK108" s="170">
        <f>IF(CK9&gt;0,4.1324+CK107+CK106,0)</f>
        <v>0</v>
      </c>
      <c r="CL108" s="49"/>
      <c r="CM108" s="28"/>
    </row>
    <row r="109" spans="1:91" x14ac:dyDescent="0.25">
      <c r="B109" s="55"/>
      <c r="C109" s="10"/>
      <c r="D109" s="93" t="s">
        <v>51</v>
      </c>
      <c r="E109" s="124" t="str">
        <f>IF(E108&lt;=2,"A",IF(E108&lt;=2.75,"B",IF(E108&lt;=3.5,"C",IF(E108&lt;=4.25,"D",IF(E108&lt;=5,"E","F")))))</f>
        <v>A</v>
      </c>
      <c r="F109" s="10" t="str">
        <f t="shared" ref="F109" si="208">IF(F108&lt;=2,"A",IF(F108&lt;=2.75,"B",IF(F108&lt;=3.5,"C",IF(F108&lt;=4.25,"D",IF(F108&lt;=5,"E","F")))))</f>
        <v>C</v>
      </c>
      <c r="G109" s="71" t="str">
        <f t="shared" ref="G109:J109" si="209">IF(G108&lt;=2,"A",IF(G108&lt;=2.75,"B",IF(G108&lt;=3.5,"C",IF(G108&lt;=4.25,"D",IF(G108&lt;=5,"E","F")))))</f>
        <v>C</v>
      </c>
      <c r="H109" s="71" t="str">
        <f t="shared" si="209"/>
        <v>C</v>
      </c>
      <c r="I109" s="75" t="str">
        <f t="shared" si="209"/>
        <v>B</v>
      </c>
      <c r="J109" s="10" t="str">
        <f t="shared" si="209"/>
        <v>A</v>
      </c>
      <c r="K109" s="167" t="str">
        <f t="shared" ref="K109:N109" si="210">IF(K108&lt;=2,"A",IF(K108&lt;=2.75,"B",IF(K108&lt;=3.5,"C",IF(K108&lt;=4.25,"D",IF(K108&lt;=5,"E","F")))))</f>
        <v>B</v>
      </c>
      <c r="L109" s="167" t="str">
        <f t="shared" si="210"/>
        <v>B</v>
      </c>
      <c r="M109" s="171" t="str">
        <f t="shared" si="210"/>
        <v>C</v>
      </c>
      <c r="N109" s="10" t="str">
        <f t="shared" si="210"/>
        <v>A</v>
      </c>
      <c r="O109" s="167" t="str">
        <f t="shared" ref="O109:BZ109" si="211">IF(O108&lt;=2,"A",IF(O108&lt;=2.75,"B",IF(O108&lt;=3.5,"C",IF(O108&lt;=4.25,"D",IF(O108&lt;=5,"E","F")))))</f>
        <v>A</v>
      </c>
      <c r="P109" s="167" t="str">
        <f t="shared" si="211"/>
        <v>A</v>
      </c>
      <c r="Q109" s="171" t="str">
        <f t="shared" si="211"/>
        <v>A</v>
      </c>
      <c r="R109" s="10" t="str">
        <f t="shared" si="211"/>
        <v>A</v>
      </c>
      <c r="S109" s="167" t="str">
        <f t="shared" si="211"/>
        <v>A</v>
      </c>
      <c r="T109" s="167" t="str">
        <f t="shared" si="211"/>
        <v>A</v>
      </c>
      <c r="U109" s="171" t="str">
        <f t="shared" si="211"/>
        <v>A</v>
      </c>
      <c r="V109" s="10" t="str">
        <f t="shared" si="211"/>
        <v>A</v>
      </c>
      <c r="W109" s="167" t="str">
        <f t="shared" si="211"/>
        <v>A</v>
      </c>
      <c r="X109" s="167" t="str">
        <f t="shared" si="211"/>
        <v>A</v>
      </c>
      <c r="Y109" s="171" t="str">
        <f t="shared" si="211"/>
        <v>A</v>
      </c>
      <c r="Z109" s="10" t="str">
        <f t="shared" si="211"/>
        <v>A</v>
      </c>
      <c r="AA109" s="167" t="str">
        <f t="shared" si="211"/>
        <v>A</v>
      </c>
      <c r="AB109" s="167" t="str">
        <f t="shared" si="211"/>
        <v>A</v>
      </c>
      <c r="AC109" s="171" t="str">
        <f t="shared" si="211"/>
        <v>A</v>
      </c>
      <c r="AD109" s="10" t="str">
        <f t="shared" si="211"/>
        <v>A</v>
      </c>
      <c r="AE109" s="167" t="str">
        <f t="shared" si="211"/>
        <v>A</v>
      </c>
      <c r="AF109" s="167" t="str">
        <f t="shared" si="211"/>
        <v>A</v>
      </c>
      <c r="AG109" s="171" t="str">
        <f t="shared" si="211"/>
        <v>A</v>
      </c>
      <c r="AH109" s="10" t="str">
        <f t="shared" si="211"/>
        <v>A</v>
      </c>
      <c r="AI109" s="167" t="str">
        <f t="shared" si="211"/>
        <v>A</v>
      </c>
      <c r="AJ109" s="167" t="str">
        <f t="shared" si="211"/>
        <v>A</v>
      </c>
      <c r="AK109" s="171" t="str">
        <f t="shared" si="211"/>
        <v>A</v>
      </c>
      <c r="AL109" s="10" t="str">
        <f t="shared" si="211"/>
        <v>A</v>
      </c>
      <c r="AM109" s="167" t="str">
        <f t="shared" si="211"/>
        <v>A</v>
      </c>
      <c r="AN109" s="167" t="str">
        <f t="shared" si="211"/>
        <v>A</v>
      </c>
      <c r="AO109" s="171" t="str">
        <f t="shared" si="211"/>
        <v>A</v>
      </c>
      <c r="AP109" s="10" t="str">
        <f t="shared" si="211"/>
        <v>A</v>
      </c>
      <c r="AQ109" s="167" t="str">
        <f t="shared" si="211"/>
        <v>A</v>
      </c>
      <c r="AR109" s="167" t="str">
        <f t="shared" si="211"/>
        <v>A</v>
      </c>
      <c r="AS109" s="171" t="str">
        <f t="shared" si="211"/>
        <v>A</v>
      </c>
      <c r="AT109" s="10" t="str">
        <f t="shared" si="211"/>
        <v>A</v>
      </c>
      <c r="AU109" s="167" t="str">
        <f t="shared" si="211"/>
        <v>A</v>
      </c>
      <c r="AV109" s="167" t="str">
        <f t="shared" si="211"/>
        <v>A</v>
      </c>
      <c r="AW109" s="171" t="str">
        <f t="shared" si="211"/>
        <v>A</v>
      </c>
      <c r="AX109" s="10" t="str">
        <f t="shared" si="211"/>
        <v>A</v>
      </c>
      <c r="AY109" s="167" t="str">
        <f t="shared" si="211"/>
        <v>A</v>
      </c>
      <c r="AZ109" s="167" t="str">
        <f t="shared" si="211"/>
        <v>A</v>
      </c>
      <c r="BA109" s="171" t="str">
        <f t="shared" si="211"/>
        <v>A</v>
      </c>
      <c r="BB109" s="10" t="str">
        <f t="shared" si="211"/>
        <v>A</v>
      </c>
      <c r="BC109" s="167" t="str">
        <f t="shared" si="211"/>
        <v>A</v>
      </c>
      <c r="BD109" s="167" t="str">
        <f t="shared" si="211"/>
        <v>A</v>
      </c>
      <c r="BE109" s="171" t="str">
        <f t="shared" si="211"/>
        <v>A</v>
      </c>
      <c r="BF109" s="10" t="str">
        <f t="shared" si="211"/>
        <v>A</v>
      </c>
      <c r="BG109" s="167" t="str">
        <f t="shared" si="211"/>
        <v>A</v>
      </c>
      <c r="BH109" s="167" t="str">
        <f t="shared" si="211"/>
        <v>A</v>
      </c>
      <c r="BI109" s="171" t="str">
        <f t="shared" si="211"/>
        <v>A</v>
      </c>
      <c r="BJ109" s="10" t="str">
        <f t="shared" si="211"/>
        <v>A</v>
      </c>
      <c r="BK109" s="167" t="str">
        <f t="shared" si="211"/>
        <v>A</v>
      </c>
      <c r="BL109" s="167" t="str">
        <f t="shared" si="211"/>
        <v>A</v>
      </c>
      <c r="BM109" s="171" t="str">
        <f t="shared" si="211"/>
        <v>A</v>
      </c>
      <c r="BN109" s="10" t="str">
        <f t="shared" si="211"/>
        <v>A</v>
      </c>
      <c r="BO109" s="167" t="str">
        <f t="shared" si="211"/>
        <v>A</v>
      </c>
      <c r="BP109" s="167" t="str">
        <f t="shared" si="211"/>
        <v>A</v>
      </c>
      <c r="BQ109" s="171" t="str">
        <f t="shared" si="211"/>
        <v>A</v>
      </c>
      <c r="BR109" s="10" t="str">
        <f t="shared" si="211"/>
        <v>A</v>
      </c>
      <c r="BS109" s="167" t="str">
        <f t="shared" si="211"/>
        <v>A</v>
      </c>
      <c r="BT109" s="167" t="str">
        <f t="shared" si="211"/>
        <v>A</v>
      </c>
      <c r="BU109" s="171" t="str">
        <f t="shared" si="211"/>
        <v>A</v>
      </c>
      <c r="BV109" s="10" t="str">
        <f t="shared" si="211"/>
        <v>A</v>
      </c>
      <c r="BW109" s="167" t="str">
        <f t="shared" si="211"/>
        <v>A</v>
      </c>
      <c r="BX109" s="167" t="str">
        <f t="shared" si="211"/>
        <v>A</v>
      </c>
      <c r="BY109" s="171" t="str">
        <f t="shared" si="211"/>
        <v>A</v>
      </c>
      <c r="BZ109" s="10" t="str">
        <f t="shared" si="211"/>
        <v>A</v>
      </c>
      <c r="CA109" s="167" t="str">
        <f t="shared" ref="CA109:CK109" si="212">IF(CA108&lt;=2,"A",IF(CA108&lt;=2.75,"B",IF(CA108&lt;=3.5,"C",IF(CA108&lt;=4.25,"D",IF(CA108&lt;=5,"E","F")))))</f>
        <v>A</v>
      </c>
      <c r="CB109" s="167" t="str">
        <f t="shared" si="212"/>
        <v>A</v>
      </c>
      <c r="CC109" s="171" t="str">
        <f t="shared" si="212"/>
        <v>A</v>
      </c>
      <c r="CD109" s="10" t="str">
        <f t="shared" si="212"/>
        <v>A</v>
      </c>
      <c r="CE109" s="167" t="str">
        <f t="shared" si="212"/>
        <v>A</v>
      </c>
      <c r="CF109" s="167" t="str">
        <f t="shared" si="212"/>
        <v>A</v>
      </c>
      <c r="CG109" s="171" t="str">
        <f t="shared" si="212"/>
        <v>A</v>
      </c>
      <c r="CH109" s="10" t="str">
        <f t="shared" si="212"/>
        <v>A</v>
      </c>
      <c r="CI109" s="167" t="str">
        <f t="shared" si="212"/>
        <v>A</v>
      </c>
      <c r="CJ109" s="167" t="str">
        <f t="shared" si="212"/>
        <v>A</v>
      </c>
      <c r="CK109" s="171" t="str">
        <f t="shared" si="212"/>
        <v>A</v>
      </c>
      <c r="CL109" s="49"/>
      <c r="CM109" s="28"/>
    </row>
    <row r="110" spans="1:91" x14ac:dyDescent="0.25">
      <c r="B110" s="55"/>
      <c r="C110" s="10"/>
      <c r="D110" s="93" t="s">
        <v>178</v>
      </c>
      <c r="E110" s="131"/>
      <c r="F110" s="194">
        <f>F13*IF(F44="Yes",1,0)+G13*IF(G44="Yes",1,0)+H13*IF(H44="Yes",1,0)+I13*IF(I44="Yes",1,0)</f>
        <v>286</v>
      </c>
      <c r="G110" s="195"/>
      <c r="H110" s="195"/>
      <c r="I110" s="196"/>
      <c r="J110" s="194">
        <f>J13*IF(J44="Yes",1,0)+K13*IF(K44="Yes",1,0)+L13*IF(L44="Yes",1,0)+M13*IF(M44="Yes",1,0)</f>
        <v>20</v>
      </c>
      <c r="K110" s="195"/>
      <c r="L110" s="195"/>
      <c r="M110" s="196"/>
      <c r="N110" s="194">
        <f>N13*IF(N44="Yes",1,0)+O13*IF(O44="Yes",1,0)+P13*IF(P44="Yes",1,0)+Q13*IF(Q44="Yes",1,0)</f>
        <v>0</v>
      </c>
      <c r="O110" s="195"/>
      <c r="P110" s="195"/>
      <c r="Q110" s="196"/>
      <c r="R110" s="194">
        <f>R13*IF(R44="Yes",1,0)+S13*IF(S44="Yes",1,0)+T13*IF(T44="Yes",1,0)+U13*IF(U44="Yes",1,0)</f>
        <v>0</v>
      </c>
      <c r="S110" s="195"/>
      <c r="T110" s="195"/>
      <c r="U110" s="196"/>
      <c r="V110" s="194">
        <f>V13*IF(V44="Yes",1,0)+W13*IF(W44="Yes",1,0)+X13*IF(X44="Yes",1,0)+Y13*IF(Y44="Yes",1,0)</f>
        <v>0</v>
      </c>
      <c r="W110" s="195"/>
      <c r="X110" s="195"/>
      <c r="Y110" s="196"/>
      <c r="Z110" s="194">
        <f>Z13*IF(Z44="Yes",1,0)+AA13*IF(AA44="Yes",1,0)+AB13*IF(AB44="Yes",1,0)+AC13*IF(AC44="Yes",1,0)</f>
        <v>0</v>
      </c>
      <c r="AA110" s="195"/>
      <c r="AB110" s="195"/>
      <c r="AC110" s="196"/>
      <c r="AD110" s="194">
        <f>AD13*IF(AD44="Yes",1,0)+AE13*IF(AE44="Yes",1,0)+AF13*IF(AF44="Yes",1,0)+AG13*IF(AG44="Yes",1,0)</f>
        <v>0</v>
      </c>
      <c r="AE110" s="195"/>
      <c r="AF110" s="195"/>
      <c r="AG110" s="196"/>
      <c r="AH110" s="194">
        <f>AH13*IF(AH44="Yes",1,0)+AI13*IF(AI44="Yes",1,0)+AJ13*IF(AJ44="Yes",1,0)+AK13*IF(AK44="Yes",1,0)</f>
        <v>0</v>
      </c>
      <c r="AI110" s="195"/>
      <c r="AJ110" s="195"/>
      <c r="AK110" s="196"/>
      <c r="AL110" s="194">
        <f>AL13*IF(AL44="Yes",1,0)+AM13*IF(AM44="Yes",1,0)+AN13*IF(AN44="Yes",1,0)+AO13*IF(AO44="Yes",1,0)</f>
        <v>0</v>
      </c>
      <c r="AM110" s="195"/>
      <c r="AN110" s="195"/>
      <c r="AO110" s="196"/>
      <c r="AP110" s="194">
        <f>AP13*IF(AP44="Yes",1,0)+AQ13*IF(AQ44="Yes",1,0)+AR13*IF(AR44="Yes",1,0)+AS13*IF(AS44="Yes",1,0)</f>
        <v>0</v>
      </c>
      <c r="AQ110" s="195"/>
      <c r="AR110" s="195"/>
      <c r="AS110" s="196"/>
      <c r="AT110" s="194">
        <f>AT13*IF(AT44="Yes",1,0)+AU13*IF(AU44="Yes",1,0)+AV13*IF(AV44="Yes",1,0)+AW13*IF(AW44="Yes",1,0)</f>
        <v>0</v>
      </c>
      <c r="AU110" s="195"/>
      <c r="AV110" s="195"/>
      <c r="AW110" s="196"/>
      <c r="AX110" s="194">
        <f>AX13*IF(AX44="Yes",1,0)+AY13*IF(AY44="Yes",1,0)+AZ13*IF(AZ44="Yes",1,0)+BA13*IF(BA44="Yes",1,0)</f>
        <v>0</v>
      </c>
      <c r="AY110" s="195"/>
      <c r="AZ110" s="195"/>
      <c r="BA110" s="196"/>
      <c r="BB110" s="194">
        <f>BB13*IF(BB44="Yes",1,0)+BC13*IF(BC44="Yes",1,0)+BD13*IF(BD44="Yes",1,0)+BE13*IF(BE44="Yes",1,0)</f>
        <v>0</v>
      </c>
      <c r="BC110" s="195"/>
      <c r="BD110" s="195"/>
      <c r="BE110" s="196"/>
      <c r="BF110" s="194">
        <f>BF13*IF(BF44="Yes",1,0)+BG13*IF(BG44="Yes",1,0)+BH13*IF(BH44="Yes",1,0)+BI13*IF(BI44="Yes",1,0)</f>
        <v>0</v>
      </c>
      <c r="BG110" s="195"/>
      <c r="BH110" s="195"/>
      <c r="BI110" s="196"/>
      <c r="BJ110" s="194">
        <f>BJ13*IF(BJ44="Yes",1,0)+BK13*IF(BK44="Yes",1,0)+BL13*IF(BL44="Yes",1,0)+BM13*IF(BM44="Yes",1,0)</f>
        <v>0</v>
      </c>
      <c r="BK110" s="195"/>
      <c r="BL110" s="195"/>
      <c r="BM110" s="196"/>
      <c r="BN110" s="194">
        <f>BN13*IF(BN44="Yes",1,0)+BO13*IF(BO44="Yes",1,0)+BP13*IF(BP44="Yes",1,0)+BQ13*IF(BQ44="Yes",1,0)</f>
        <v>0</v>
      </c>
      <c r="BO110" s="195"/>
      <c r="BP110" s="195"/>
      <c r="BQ110" s="196"/>
      <c r="BR110" s="194">
        <f>BR13*IF(BR44="Yes",1,0)+BS13*IF(BS44="Yes",1,0)+BT13*IF(BT44="Yes",1,0)+BU13*IF(BU44="Yes",1,0)</f>
        <v>0</v>
      </c>
      <c r="BS110" s="195"/>
      <c r="BT110" s="195"/>
      <c r="BU110" s="196"/>
      <c r="BV110" s="194">
        <f>BV13*IF(BV44="Yes",1,0)+BW13*IF(BW44="Yes",1,0)+BX13*IF(BX44="Yes",1,0)+BY13*IF(BY44="Yes",1,0)</f>
        <v>0</v>
      </c>
      <c r="BW110" s="195"/>
      <c r="BX110" s="195"/>
      <c r="BY110" s="196"/>
      <c r="BZ110" s="194">
        <f>BZ13*IF(BZ44="Yes",1,0)+CA13*IF(CA44="Yes",1,0)+CB13*IF(CB44="Yes",1,0)+CC13*IF(CC44="Yes",1,0)</f>
        <v>0</v>
      </c>
      <c r="CA110" s="195"/>
      <c r="CB110" s="195"/>
      <c r="CC110" s="196"/>
      <c r="CD110" s="194">
        <f>CD13*IF(CD44="Yes",1,0)+CE13*IF(CE44="Yes",1,0)+CF13*IF(CF44="Yes",1,0)+CG13*IF(CG44="Yes",1,0)</f>
        <v>0</v>
      </c>
      <c r="CE110" s="195"/>
      <c r="CF110" s="195"/>
      <c r="CG110" s="196"/>
      <c r="CH110" s="194">
        <f>CH13*IF(CH44="Yes",1,0)+CI13*IF(CI44="Yes",1,0)+CJ13*IF(CJ44="Yes",1,0)+CK13*IF(CK44="Yes",1,0)</f>
        <v>0</v>
      </c>
      <c r="CI110" s="195"/>
      <c r="CJ110" s="195"/>
      <c r="CK110" s="196"/>
      <c r="CL110" s="49"/>
      <c r="CM110" s="28"/>
    </row>
    <row r="111" spans="1:91" ht="14.25" thickBot="1" x14ac:dyDescent="0.3">
      <c r="B111" s="55"/>
      <c r="C111" s="37"/>
      <c r="D111" s="60"/>
      <c r="E111" s="117"/>
      <c r="F111" s="37"/>
      <c r="G111" s="37"/>
      <c r="H111" s="37"/>
      <c r="I111" s="37"/>
      <c r="J111" s="37"/>
      <c r="K111" s="37"/>
      <c r="L111" s="37"/>
      <c r="M111" s="37"/>
      <c r="N111" s="37"/>
      <c r="O111" s="37"/>
      <c r="P111" s="37"/>
      <c r="Q111" s="37"/>
      <c r="R111" s="37"/>
      <c r="S111" s="37"/>
      <c r="T111" s="37"/>
      <c r="U111" s="37"/>
      <c r="V111" s="37"/>
      <c r="W111" s="37"/>
      <c r="X111" s="37"/>
      <c r="Y111" s="37"/>
      <c r="Z111" s="37"/>
      <c r="AA111" s="37"/>
      <c r="AB111" s="37"/>
      <c r="AC111" s="37"/>
      <c r="AD111" s="37"/>
      <c r="AE111" s="37"/>
      <c r="AF111" s="37"/>
      <c r="AG111" s="37"/>
      <c r="AH111" s="37"/>
      <c r="AI111" s="37"/>
      <c r="AJ111" s="37"/>
      <c r="AK111" s="37"/>
      <c r="AL111" s="37"/>
      <c r="AM111" s="37"/>
      <c r="AN111" s="37"/>
      <c r="AO111" s="37"/>
      <c r="AP111" s="37"/>
      <c r="AQ111" s="37"/>
      <c r="AR111" s="37"/>
      <c r="AS111" s="37"/>
      <c r="AT111" s="37"/>
      <c r="AU111" s="37"/>
      <c r="AV111" s="37"/>
      <c r="AW111" s="37"/>
      <c r="AX111" s="37"/>
      <c r="AY111" s="37"/>
      <c r="AZ111" s="37"/>
      <c r="BA111" s="37"/>
      <c r="BB111" s="37"/>
      <c r="BC111" s="37"/>
      <c r="BD111" s="37"/>
      <c r="BE111" s="37"/>
      <c r="BF111" s="37"/>
      <c r="BG111" s="37"/>
      <c r="BH111" s="37"/>
      <c r="BI111" s="37"/>
      <c r="BJ111" s="37"/>
      <c r="BK111" s="37"/>
      <c r="BL111" s="37"/>
      <c r="BM111" s="37"/>
      <c r="BN111" s="37"/>
      <c r="BO111" s="37"/>
      <c r="BP111" s="37"/>
      <c r="BQ111" s="37"/>
      <c r="BR111" s="37"/>
      <c r="BS111" s="37"/>
      <c r="BT111" s="37"/>
      <c r="BU111" s="37"/>
      <c r="BV111" s="37"/>
      <c r="BW111" s="37"/>
      <c r="BX111" s="37"/>
      <c r="BY111" s="37"/>
      <c r="BZ111" s="37"/>
      <c r="CA111" s="37"/>
      <c r="CB111" s="37"/>
      <c r="CC111" s="37"/>
      <c r="CD111" s="37"/>
      <c r="CE111" s="37"/>
      <c r="CF111" s="37"/>
      <c r="CG111" s="37"/>
      <c r="CH111" s="37"/>
      <c r="CI111" s="37"/>
      <c r="CJ111" s="37"/>
      <c r="CK111" s="37"/>
      <c r="CL111" s="37"/>
      <c r="CM111" s="28"/>
    </row>
    <row r="112" spans="1:91" x14ac:dyDescent="0.25">
      <c r="A112" s="21"/>
      <c r="B112" s="57"/>
      <c r="C112" s="178" t="s">
        <v>49</v>
      </c>
      <c r="D112" s="180"/>
      <c r="E112" s="88"/>
      <c r="F112" s="178" t="str">
        <f>F3</f>
        <v>Intersection 1</v>
      </c>
      <c r="G112" s="179"/>
      <c r="H112" s="179"/>
      <c r="I112" s="180"/>
      <c r="J112" s="178" t="str">
        <f>J3</f>
        <v>Intersection 2</v>
      </c>
      <c r="K112" s="179"/>
      <c r="L112" s="179"/>
      <c r="M112" s="180"/>
      <c r="N112" s="178" t="str">
        <f>N3</f>
        <v>Intersection 3</v>
      </c>
      <c r="O112" s="179"/>
      <c r="P112" s="179"/>
      <c r="Q112" s="180"/>
      <c r="R112" s="178" t="str">
        <f>R3</f>
        <v>Intersection 4</v>
      </c>
      <c r="S112" s="179"/>
      <c r="T112" s="179"/>
      <c r="U112" s="180"/>
      <c r="V112" s="178" t="str">
        <f>V3</f>
        <v>Intersection 5</v>
      </c>
      <c r="W112" s="179"/>
      <c r="X112" s="179"/>
      <c r="Y112" s="180"/>
      <c r="Z112" s="178" t="str">
        <f>Z3</f>
        <v>Intersection 6</v>
      </c>
      <c r="AA112" s="179"/>
      <c r="AB112" s="179"/>
      <c r="AC112" s="180"/>
      <c r="AD112" s="178" t="str">
        <f>AD3</f>
        <v>Intersection 7</v>
      </c>
      <c r="AE112" s="179"/>
      <c r="AF112" s="179"/>
      <c r="AG112" s="180"/>
      <c r="AH112" s="178" t="str">
        <f>AH3</f>
        <v>Intersection 8</v>
      </c>
      <c r="AI112" s="179"/>
      <c r="AJ112" s="179"/>
      <c r="AK112" s="180"/>
      <c r="AL112" s="178" t="str">
        <f>AL3</f>
        <v>Intersection 9</v>
      </c>
      <c r="AM112" s="179"/>
      <c r="AN112" s="179"/>
      <c r="AO112" s="180"/>
      <c r="AP112" s="178" t="str">
        <f>AP3</f>
        <v>Intersection 10</v>
      </c>
      <c r="AQ112" s="179"/>
      <c r="AR112" s="179"/>
      <c r="AS112" s="180"/>
      <c r="AT112" s="178" t="str">
        <f>AT3</f>
        <v>Intersection 11</v>
      </c>
      <c r="AU112" s="179"/>
      <c r="AV112" s="179"/>
      <c r="AW112" s="180"/>
      <c r="AX112" s="178" t="str">
        <f>AX3</f>
        <v>Intersection 12</v>
      </c>
      <c r="AY112" s="179"/>
      <c r="AZ112" s="179"/>
      <c r="BA112" s="180"/>
      <c r="BB112" s="178" t="str">
        <f>BB3</f>
        <v>Intersection 13</v>
      </c>
      <c r="BC112" s="179"/>
      <c r="BD112" s="179"/>
      <c r="BE112" s="180"/>
      <c r="BF112" s="178" t="str">
        <f>BF3</f>
        <v>Intersection 14</v>
      </c>
      <c r="BG112" s="179"/>
      <c r="BH112" s="179"/>
      <c r="BI112" s="180"/>
      <c r="BJ112" s="178" t="str">
        <f>BJ3</f>
        <v>Intersection 15</v>
      </c>
      <c r="BK112" s="179"/>
      <c r="BL112" s="179"/>
      <c r="BM112" s="180"/>
      <c r="BN112" s="178" t="str">
        <f>BN3</f>
        <v>Intersection 16</v>
      </c>
      <c r="BO112" s="179"/>
      <c r="BP112" s="179"/>
      <c r="BQ112" s="180"/>
      <c r="BR112" s="178" t="str">
        <f>BR3</f>
        <v>Intersection 17</v>
      </c>
      <c r="BS112" s="179"/>
      <c r="BT112" s="179"/>
      <c r="BU112" s="180"/>
      <c r="BV112" s="178" t="str">
        <f>BV3</f>
        <v>Intersection 18</v>
      </c>
      <c r="BW112" s="179"/>
      <c r="BX112" s="179"/>
      <c r="BY112" s="180"/>
      <c r="BZ112" s="178" t="str">
        <f>BZ3</f>
        <v>Intersection 19</v>
      </c>
      <c r="CA112" s="179"/>
      <c r="CB112" s="179"/>
      <c r="CC112" s="180"/>
      <c r="CD112" s="178" t="str">
        <f>CD3</f>
        <v>Intersection 20</v>
      </c>
      <c r="CE112" s="179"/>
      <c r="CF112" s="179"/>
      <c r="CG112" s="180"/>
      <c r="CH112" s="178" t="str">
        <f>CH3</f>
        <v>Intersection 21</v>
      </c>
      <c r="CI112" s="179"/>
      <c r="CJ112" s="179"/>
      <c r="CK112" s="180"/>
      <c r="CL112" s="47" t="str">
        <f>CL3</f>
        <v>Total</v>
      </c>
      <c r="CM112" s="28"/>
    </row>
    <row r="113" spans="2:91" x14ac:dyDescent="0.25">
      <c r="B113" s="55"/>
      <c r="C113" s="4"/>
      <c r="D113" s="8" t="s">
        <v>50</v>
      </c>
      <c r="E113" s="115"/>
      <c r="F113" s="4"/>
      <c r="G113" s="19"/>
      <c r="H113" s="19"/>
      <c r="I113" s="5"/>
      <c r="J113" s="4"/>
      <c r="K113" s="19"/>
      <c r="L113" s="19"/>
      <c r="M113" s="5"/>
      <c r="N113" s="4"/>
      <c r="O113" s="19"/>
      <c r="P113" s="19"/>
      <c r="Q113" s="5"/>
      <c r="R113" s="4"/>
      <c r="S113" s="19"/>
      <c r="T113" s="19"/>
      <c r="U113" s="5"/>
      <c r="V113" s="4"/>
      <c r="W113" s="19"/>
      <c r="X113" s="19"/>
      <c r="Y113" s="5"/>
      <c r="Z113" s="4"/>
      <c r="AA113" s="19"/>
      <c r="AB113" s="19"/>
      <c r="AC113" s="5"/>
      <c r="AD113" s="4"/>
      <c r="AE113" s="19"/>
      <c r="AF113" s="19"/>
      <c r="AG113" s="5"/>
      <c r="AH113" s="4"/>
      <c r="AI113" s="19"/>
      <c r="AJ113" s="19"/>
      <c r="AK113" s="5"/>
      <c r="AL113" s="4"/>
      <c r="AM113" s="19"/>
      <c r="AN113" s="19"/>
      <c r="AO113" s="5"/>
      <c r="AP113" s="4"/>
      <c r="AQ113" s="19"/>
      <c r="AR113" s="19"/>
      <c r="AS113" s="5"/>
      <c r="AT113" s="4"/>
      <c r="AU113" s="19"/>
      <c r="AV113" s="19"/>
      <c r="AW113" s="5"/>
      <c r="AX113" s="4"/>
      <c r="AY113" s="19"/>
      <c r="AZ113" s="19"/>
      <c r="BA113" s="5"/>
      <c r="BB113" s="4"/>
      <c r="BC113" s="19"/>
      <c r="BD113" s="19"/>
      <c r="BE113" s="5"/>
      <c r="BF113" s="4"/>
      <c r="BG113" s="19"/>
      <c r="BH113" s="19"/>
      <c r="BI113" s="5"/>
      <c r="BJ113" s="4"/>
      <c r="BK113" s="19"/>
      <c r="BL113" s="19"/>
      <c r="BM113" s="5"/>
      <c r="BN113" s="4"/>
      <c r="BO113" s="19"/>
      <c r="BP113" s="19"/>
      <c r="BQ113" s="5"/>
      <c r="BR113" s="4"/>
      <c r="BS113" s="19"/>
      <c r="BT113" s="19"/>
      <c r="BU113" s="5"/>
      <c r="BV113" s="4"/>
      <c r="BW113" s="19"/>
      <c r="BX113" s="19"/>
      <c r="BY113" s="5"/>
      <c r="BZ113" s="4"/>
      <c r="CA113" s="19"/>
      <c r="CB113" s="19"/>
      <c r="CC113" s="5"/>
      <c r="CD113" s="4"/>
      <c r="CE113" s="19"/>
      <c r="CF113" s="19"/>
      <c r="CG113" s="5"/>
      <c r="CH113" s="4"/>
      <c r="CI113" s="19"/>
      <c r="CJ113" s="19"/>
      <c r="CK113" s="5"/>
      <c r="CL113" s="46"/>
      <c r="CM113" s="28"/>
    </row>
    <row r="114" spans="2:91" ht="14.25" x14ac:dyDescent="0.25">
      <c r="B114" s="55"/>
      <c r="C114" s="10" t="s">
        <v>222</v>
      </c>
      <c r="D114" s="11" t="s">
        <v>218</v>
      </c>
      <c r="E114" s="115"/>
      <c r="F114" s="184">
        <f>IF(SUM(F9:I9)=0,"",MAX(F66*IF(F44="Yes",1,0), G66*IF(G44="Yes",1,0), H66*IF(H44="Yes",1,0), I66*IF(I44="Yes",1,0)))</f>
        <v>2.8117855183883798</v>
      </c>
      <c r="G114" s="192"/>
      <c r="H114" s="192"/>
      <c r="I114" s="185"/>
      <c r="J114" s="184">
        <f>IF(SUM(J9:M9)=0,"",MAX(J66*IF(J44="Yes",1,0), K66*IF(K44="Yes",1,0), L66*IF(L44="Yes",1,0), M66*IF(M44="Yes",1,0)))</f>
        <v>2.485332638793416</v>
      </c>
      <c r="K114" s="192"/>
      <c r="L114" s="192"/>
      <c r="M114" s="185"/>
      <c r="N114" s="184" t="str">
        <f>IF(SUM(N9:Q9)=0,"",MAX(N66*IF(N44="Yes",1,0), O66*IF(O44="Yes",1,0), P66*IF(P44="Yes",1,0), Q66*IF(Q44="Yes",1,0)))</f>
        <v/>
      </c>
      <c r="O114" s="192"/>
      <c r="P114" s="192"/>
      <c r="Q114" s="185"/>
      <c r="R114" s="184" t="str">
        <f>IF(SUM(R9:U9)=0,"",MAX(R66*IF(R44="Yes",1,0), S66*IF(S44="Yes",1,0), T66*IF(T44="Yes",1,0), U66*IF(U44="Yes",1,0)))</f>
        <v/>
      </c>
      <c r="S114" s="192"/>
      <c r="T114" s="192"/>
      <c r="U114" s="185"/>
      <c r="V114" s="184" t="str">
        <f>IF(SUM(V9:Y9)=0,"",MAX(V66*IF(V44="Yes",1,0), W66*IF(W44="Yes",1,0), X66*IF(X44="Yes",1,0), Y66*IF(Y44="Yes",1,0)))</f>
        <v/>
      </c>
      <c r="W114" s="192"/>
      <c r="X114" s="192"/>
      <c r="Y114" s="185"/>
      <c r="Z114" s="184" t="str">
        <f>IF(SUM(Z9:AC9)=0,"",MAX(Z66*IF(Z44="Yes",1,0), AA66*IF(AA44="Yes",1,0), AB66*IF(AB44="Yes",1,0), AC66*IF(AC44="Yes",1,0)))</f>
        <v/>
      </c>
      <c r="AA114" s="192"/>
      <c r="AB114" s="192"/>
      <c r="AC114" s="185"/>
      <c r="AD114" s="184" t="str">
        <f>IF(SUM(AD9:AG9)=0,"",MAX(AD66*IF(AD44="Yes",1,0), AE66*IF(AE44="Yes",1,0), AF66*IF(AF44="Yes",1,0), AG66*IF(AG44="Yes",1,0)))</f>
        <v/>
      </c>
      <c r="AE114" s="192"/>
      <c r="AF114" s="192"/>
      <c r="AG114" s="185"/>
      <c r="AH114" s="184" t="str">
        <f>IF(SUM(AH9:AK9)=0,"",MAX(AH66*IF(AH44="Yes",1,0), AI66*IF(AI44="Yes",1,0), AJ66*IF(AJ44="Yes",1,0), AK66*IF(AK44="Yes",1,0)))</f>
        <v/>
      </c>
      <c r="AI114" s="192"/>
      <c r="AJ114" s="192"/>
      <c r="AK114" s="185"/>
      <c r="AL114" s="184" t="str">
        <f>IF(SUM(AL9:AO9)=0,"",MAX(AL66*IF(AL44="Yes",1,0), AM66*IF(AM44="Yes",1,0), AN66*IF(AN44="Yes",1,0), AO66*IF(AO44="Yes",1,0)))</f>
        <v/>
      </c>
      <c r="AM114" s="192"/>
      <c r="AN114" s="192"/>
      <c r="AO114" s="185"/>
      <c r="AP114" s="184" t="str">
        <f>IF(SUM(AP9:AS9)=0,"",MAX(AP66*IF(AP44="Yes",1,0), AQ66*IF(AQ44="Yes",1,0), AR66*IF(AR44="Yes",1,0), AS66*IF(AS44="Yes",1,0)))</f>
        <v/>
      </c>
      <c r="AQ114" s="192"/>
      <c r="AR114" s="192"/>
      <c r="AS114" s="185"/>
      <c r="AT114" s="184" t="str">
        <f>IF(SUM(AT9:AW9)=0,"",MAX(AT66*IF(AT44="Yes",1,0), AU66*IF(AU44="Yes",1,0), AV66*IF(AV44="Yes",1,0), AW66*IF(AW44="Yes",1,0)))</f>
        <v/>
      </c>
      <c r="AU114" s="192"/>
      <c r="AV114" s="192"/>
      <c r="AW114" s="185"/>
      <c r="AX114" s="184" t="str">
        <f>IF(SUM(AX9:BA9)=0,"",MAX(AX66*IF(AX44="Yes",1,0), AY66*IF(AY44="Yes",1,0), AZ66*IF(AZ44="Yes",1,0), BA66*IF(BA44="Yes",1,0)))</f>
        <v/>
      </c>
      <c r="AY114" s="192"/>
      <c r="AZ114" s="192"/>
      <c r="BA114" s="185"/>
      <c r="BB114" s="184" t="str">
        <f>IF(SUM(BB9:BE9)=0,"",MAX(BB66*IF(BB44="Yes",1,0), BC66*IF(BC44="Yes",1,0), BD66*IF(BD44="Yes",1,0), BE66*IF(BE44="Yes",1,0)))</f>
        <v/>
      </c>
      <c r="BC114" s="192"/>
      <c r="BD114" s="192"/>
      <c r="BE114" s="185"/>
      <c r="BF114" s="184" t="str">
        <f>IF(SUM(BF9:BI9)=0,"",MAX(BF66*IF(BF44="Yes",1,0), BG66*IF(BG44="Yes",1,0), BH66*IF(BH44="Yes",1,0), BI66*IF(BI44="Yes",1,0)))</f>
        <v/>
      </c>
      <c r="BG114" s="192"/>
      <c r="BH114" s="192"/>
      <c r="BI114" s="185"/>
      <c r="BJ114" s="184" t="str">
        <f>IF(SUM(BJ9:BM9)=0,"",MAX(BJ66*IF(BJ44="Yes",1,0), BK66*IF(BK44="Yes",1,0), BL66*IF(BL44="Yes",1,0), BM66*IF(BM44="Yes",1,0)))</f>
        <v/>
      </c>
      <c r="BK114" s="192"/>
      <c r="BL114" s="192"/>
      <c r="BM114" s="185"/>
      <c r="BN114" s="184" t="str">
        <f>IF(SUM(BN9:BQ9)=0,"",MAX(BN66*IF(BN44="Yes",1,0), BO66*IF(BO44="Yes",1,0), BP66*IF(BP44="Yes",1,0), BQ66*IF(BQ44="Yes",1,0)))</f>
        <v/>
      </c>
      <c r="BO114" s="192"/>
      <c r="BP114" s="192"/>
      <c r="BQ114" s="185"/>
      <c r="BR114" s="184" t="str">
        <f>IF(SUM(BR9:BU9)=0,"",MAX(BR66*IF(BR44="Yes",1,0), BS66*IF(BS44="Yes",1,0), BT66*IF(BT44="Yes",1,0), BU66*IF(BU44="Yes",1,0)))</f>
        <v/>
      </c>
      <c r="BS114" s="192"/>
      <c r="BT114" s="192"/>
      <c r="BU114" s="185"/>
      <c r="BV114" s="184" t="str">
        <f>IF(SUM(BV9:BY9)=0,"",MAX(BV66*IF(BV44="Yes",1,0), BW66*IF(BW44="Yes",1,0), BX66*IF(BX44="Yes",1,0), BY66*IF(BY44="Yes",1,0)))</f>
        <v/>
      </c>
      <c r="BW114" s="192"/>
      <c r="BX114" s="192"/>
      <c r="BY114" s="185"/>
      <c r="BZ114" s="184" t="str">
        <f>IF(SUM(BZ9:CC9)=0,"",MAX(BZ66*IF(BZ44="Yes",1,0), CA66*IF(CA44="Yes",1,0), CB66*IF(CB44="Yes",1,0), CC66*IF(CC44="Yes",1,0)))</f>
        <v/>
      </c>
      <c r="CA114" s="192"/>
      <c r="CB114" s="192"/>
      <c r="CC114" s="185"/>
      <c r="CD114" s="184" t="str">
        <f>IF(SUM(CD9:CG9)=0,"",MAX(CD66*IF(CD44="Yes",1,0), CE66*IF(CE44="Yes",1,0), CF66*IF(CF44="Yes",1,0), CG66*IF(CG44="Yes",1,0)))</f>
        <v/>
      </c>
      <c r="CE114" s="192"/>
      <c r="CF114" s="192"/>
      <c r="CG114" s="185"/>
      <c r="CH114" s="184" t="str">
        <f>IF(SUM(CH9:CK9)=0,"",MAX(CH66*IF(CH44="Yes",1,0), CI66*IF(CI44="Yes",1,0), CJ66*IF(CJ44="Yes",1,0), CK66*IF(CK44="Yes",1,0)))</f>
        <v/>
      </c>
      <c r="CI114" s="192"/>
      <c r="CJ114" s="192"/>
      <c r="CK114" s="185"/>
      <c r="CL114" s="67">
        <f>SUMPRODUCT(F114:CK114,F68:CK68)/SUM(F68:CK68)</f>
        <v>2.7997835742856236</v>
      </c>
      <c r="CM114" s="28"/>
    </row>
    <row r="115" spans="2:91" x14ac:dyDescent="0.25">
      <c r="B115" s="55"/>
      <c r="C115" s="10"/>
      <c r="D115" s="11" t="s">
        <v>41</v>
      </c>
      <c r="E115" s="115"/>
      <c r="F115" s="181" t="str">
        <f>IF(F114="","",IF(F114&lt;=2,"A",IF(F114&lt;=2.75,"B",IF(F114&lt;=3.5,"C",IF(F114&lt;=4.25,"D",IF(F114&lt;=5,"E","F"))))))</f>
        <v>C</v>
      </c>
      <c r="G115" s="193"/>
      <c r="H115" s="193"/>
      <c r="I115" s="182"/>
      <c r="J115" s="181" t="str">
        <f t="shared" ref="J115" si="213">IF(J114="","",IF(J114&lt;=2,"A",IF(J114&lt;=2.75,"B",IF(J114&lt;=3.5,"C",IF(J114&lt;=4.25,"D",IF(J114&lt;=5,"E","F"))))))</f>
        <v>B</v>
      </c>
      <c r="K115" s="193"/>
      <c r="L115" s="193"/>
      <c r="M115" s="182"/>
      <c r="N115" s="181" t="str">
        <f t="shared" ref="N115" si="214">IF(N114="","",IF(N114&lt;=2,"A",IF(N114&lt;=2.75,"B",IF(N114&lt;=3.5,"C",IF(N114&lt;=4.25,"D",IF(N114&lt;=5,"E","F"))))))</f>
        <v/>
      </c>
      <c r="O115" s="193"/>
      <c r="P115" s="193"/>
      <c r="Q115" s="182"/>
      <c r="R115" s="181" t="str">
        <f t="shared" ref="R115" si="215">IF(R114="","",IF(R114&lt;=2,"A",IF(R114&lt;=2.75,"B",IF(R114&lt;=3.5,"C",IF(R114&lt;=4.25,"D",IF(R114&lt;=5,"E","F"))))))</f>
        <v/>
      </c>
      <c r="S115" s="193"/>
      <c r="T115" s="193"/>
      <c r="U115" s="182"/>
      <c r="V115" s="181" t="str">
        <f t="shared" ref="V115" si="216">IF(V114="","",IF(V114&lt;=2,"A",IF(V114&lt;=2.75,"B",IF(V114&lt;=3.5,"C",IF(V114&lt;=4.25,"D",IF(V114&lt;=5,"E","F"))))))</f>
        <v/>
      </c>
      <c r="W115" s="193"/>
      <c r="X115" s="193"/>
      <c r="Y115" s="182"/>
      <c r="Z115" s="181" t="str">
        <f t="shared" ref="Z115" si="217">IF(Z114="","",IF(Z114&lt;=2,"A",IF(Z114&lt;=2.75,"B",IF(Z114&lt;=3.5,"C",IF(Z114&lt;=4.25,"D",IF(Z114&lt;=5,"E","F"))))))</f>
        <v/>
      </c>
      <c r="AA115" s="193"/>
      <c r="AB115" s="193"/>
      <c r="AC115" s="182"/>
      <c r="AD115" s="181" t="str">
        <f t="shared" ref="AD115" si="218">IF(AD114="","",IF(AD114&lt;=2,"A",IF(AD114&lt;=2.75,"B",IF(AD114&lt;=3.5,"C",IF(AD114&lt;=4.25,"D",IF(AD114&lt;=5,"E","F"))))))</f>
        <v/>
      </c>
      <c r="AE115" s="193"/>
      <c r="AF115" s="193"/>
      <c r="AG115" s="182"/>
      <c r="AH115" s="181" t="str">
        <f t="shared" ref="AH115" si="219">IF(AH114="","",IF(AH114&lt;=2,"A",IF(AH114&lt;=2.75,"B",IF(AH114&lt;=3.5,"C",IF(AH114&lt;=4.25,"D",IF(AH114&lt;=5,"E","F"))))))</f>
        <v/>
      </c>
      <c r="AI115" s="193"/>
      <c r="AJ115" s="193"/>
      <c r="AK115" s="182"/>
      <c r="AL115" s="181" t="str">
        <f t="shared" ref="AL115" si="220">IF(AL114="","",IF(AL114&lt;=2,"A",IF(AL114&lt;=2.75,"B",IF(AL114&lt;=3.5,"C",IF(AL114&lt;=4.25,"D",IF(AL114&lt;=5,"E","F"))))))</f>
        <v/>
      </c>
      <c r="AM115" s="193"/>
      <c r="AN115" s="193"/>
      <c r="AO115" s="182"/>
      <c r="AP115" s="181" t="str">
        <f t="shared" ref="AP115" si="221">IF(AP114="","",IF(AP114&lt;=2,"A",IF(AP114&lt;=2.75,"B",IF(AP114&lt;=3.5,"C",IF(AP114&lt;=4.25,"D",IF(AP114&lt;=5,"E","F"))))))</f>
        <v/>
      </c>
      <c r="AQ115" s="193"/>
      <c r="AR115" s="193"/>
      <c r="AS115" s="182"/>
      <c r="AT115" s="181" t="str">
        <f t="shared" ref="AT115" si="222">IF(AT114="","",IF(AT114&lt;=2,"A",IF(AT114&lt;=2.75,"B",IF(AT114&lt;=3.5,"C",IF(AT114&lt;=4.25,"D",IF(AT114&lt;=5,"E","F"))))))</f>
        <v/>
      </c>
      <c r="AU115" s="193"/>
      <c r="AV115" s="193"/>
      <c r="AW115" s="182"/>
      <c r="AX115" s="181" t="str">
        <f t="shared" ref="AX115" si="223">IF(AX114="","",IF(AX114&lt;=2,"A",IF(AX114&lt;=2.75,"B",IF(AX114&lt;=3.5,"C",IF(AX114&lt;=4.25,"D",IF(AX114&lt;=5,"E","F"))))))</f>
        <v/>
      </c>
      <c r="AY115" s="193"/>
      <c r="AZ115" s="193"/>
      <c r="BA115" s="182"/>
      <c r="BB115" s="181" t="str">
        <f t="shared" ref="BB115" si="224">IF(BB114="","",IF(BB114&lt;=2,"A",IF(BB114&lt;=2.75,"B",IF(BB114&lt;=3.5,"C",IF(BB114&lt;=4.25,"D",IF(BB114&lt;=5,"E","F"))))))</f>
        <v/>
      </c>
      <c r="BC115" s="193"/>
      <c r="BD115" s="193"/>
      <c r="BE115" s="182"/>
      <c r="BF115" s="181" t="str">
        <f t="shared" ref="BF115" si="225">IF(BF114="","",IF(BF114&lt;=2,"A",IF(BF114&lt;=2.75,"B",IF(BF114&lt;=3.5,"C",IF(BF114&lt;=4.25,"D",IF(BF114&lt;=5,"E","F"))))))</f>
        <v/>
      </c>
      <c r="BG115" s="193"/>
      <c r="BH115" s="193"/>
      <c r="BI115" s="182"/>
      <c r="BJ115" s="181" t="str">
        <f t="shared" ref="BJ115" si="226">IF(BJ114="","",IF(BJ114&lt;=2,"A",IF(BJ114&lt;=2.75,"B",IF(BJ114&lt;=3.5,"C",IF(BJ114&lt;=4.25,"D",IF(BJ114&lt;=5,"E","F"))))))</f>
        <v/>
      </c>
      <c r="BK115" s="193"/>
      <c r="BL115" s="193"/>
      <c r="BM115" s="182"/>
      <c r="BN115" s="181" t="str">
        <f t="shared" ref="BN115" si="227">IF(BN114="","",IF(BN114&lt;=2,"A",IF(BN114&lt;=2.75,"B",IF(BN114&lt;=3.5,"C",IF(BN114&lt;=4.25,"D",IF(BN114&lt;=5,"E","F"))))))</f>
        <v/>
      </c>
      <c r="BO115" s="193"/>
      <c r="BP115" s="193"/>
      <c r="BQ115" s="182"/>
      <c r="BR115" s="181" t="str">
        <f t="shared" ref="BR115" si="228">IF(BR114="","",IF(BR114&lt;=2,"A",IF(BR114&lt;=2.75,"B",IF(BR114&lt;=3.5,"C",IF(BR114&lt;=4.25,"D",IF(BR114&lt;=5,"E","F"))))))</f>
        <v/>
      </c>
      <c r="BS115" s="193"/>
      <c r="BT115" s="193"/>
      <c r="BU115" s="182"/>
      <c r="BV115" s="181" t="str">
        <f t="shared" ref="BV115" si="229">IF(BV114="","",IF(BV114&lt;=2,"A",IF(BV114&lt;=2.75,"B",IF(BV114&lt;=3.5,"C",IF(BV114&lt;=4.25,"D",IF(BV114&lt;=5,"E","F"))))))</f>
        <v/>
      </c>
      <c r="BW115" s="193"/>
      <c r="BX115" s="193"/>
      <c r="BY115" s="182"/>
      <c r="BZ115" s="181" t="str">
        <f t="shared" ref="BZ115" si="230">IF(BZ114="","",IF(BZ114&lt;=2,"A",IF(BZ114&lt;=2.75,"B",IF(BZ114&lt;=3.5,"C",IF(BZ114&lt;=4.25,"D",IF(BZ114&lt;=5,"E","F"))))))</f>
        <v/>
      </c>
      <c r="CA115" s="193"/>
      <c r="CB115" s="193"/>
      <c r="CC115" s="182"/>
      <c r="CD115" s="181" t="str">
        <f t="shared" ref="CD115" si="231">IF(CD114="","",IF(CD114&lt;=2,"A",IF(CD114&lt;=2.75,"B",IF(CD114&lt;=3.5,"C",IF(CD114&lt;=4.25,"D",IF(CD114&lt;=5,"E","F"))))))</f>
        <v/>
      </c>
      <c r="CE115" s="193"/>
      <c r="CF115" s="193"/>
      <c r="CG115" s="182"/>
      <c r="CH115" s="181" t="str">
        <f t="shared" ref="CH115" si="232">IF(CH114="","",IF(CH114&lt;=2,"A",IF(CH114&lt;=2.75,"B",IF(CH114&lt;=3.5,"C",IF(CH114&lt;=4.25,"D",IF(CH114&lt;=5,"E","F"))))))</f>
        <v/>
      </c>
      <c r="CI115" s="193"/>
      <c r="CJ115" s="193"/>
      <c r="CK115" s="182"/>
      <c r="CL115" s="68" t="str">
        <f>IF(CL114&lt;=2,"A",IF(CL114&lt;=2.75,"B",IF(CL114&lt;=3.5,"C",IF(CL114&lt;=4.25,"D",IF(CL114&lt;=5,"E","F")))))</f>
        <v>C</v>
      </c>
      <c r="CM115" s="28"/>
    </row>
    <row r="116" spans="2:91" x14ac:dyDescent="0.25">
      <c r="B116" s="55"/>
      <c r="C116" s="4"/>
      <c r="D116" s="8" t="s">
        <v>20</v>
      </c>
      <c r="E116" s="115"/>
      <c r="F116" s="4"/>
      <c r="G116" s="19"/>
      <c r="H116" s="19"/>
      <c r="I116" s="5"/>
      <c r="J116" s="4"/>
      <c r="K116" s="19"/>
      <c r="L116" s="19"/>
      <c r="M116" s="5"/>
      <c r="N116" s="4"/>
      <c r="O116" s="19"/>
      <c r="P116" s="19"/>
      <c r="Q116" s="5"/>
      <c r="R116" s="4"/>
      <c r="S116" s="19"/>
      <c r="T116" s="19"/>
      <c r="U116" s="5"/>
      <c r="V116" s="4"/>
      <c r="W116" s="19"/>
      <c r="X116" s="19"/>
      <c r="Y116" s="5"/>
      <c r="Z116" s="4"/>
      <c r="AA116" s="19"/>
      <c r="AB116" s="19"/>
      <c r="AC116" s="5"/>
      <c r="AD116" s="4"/>
      <c r="AE116" s="19"/>
      <c r="AF116" s="19"/>
      <c r="AG116" s="5"/>
      <c r="AH116" s="4"/>
      <c r="AI116" s="19"/>
      <c r="AJ116" s="19"/>
      <c r="AK116" s="5"/>
      <c r="AL116" s="4"/>
      <c r="AM116" s="19"/>
      <c r="AN116" s="19"/>
      <c r="AO116" s="5"/>
      <c r="AP116" s="4"/>
      <c r="AQ116" s="19"/>
      <c r="AR116" s="19"/>
      <c r="AS116" s="5"/>
      <c r="AT116" s="4"/>
      <c r="AU116" s="19"/>
      <c r="AV116" s="19"/>
      <c r="AW116" s="5"/>
      <c r="AX116" s="4"/>
      <c r="AY116" s="19"/>
      <c r="AZ116" s="19"/>
      <c r="BA116" s="5"/>
      <c r="BB116" s="4"/>
      <c r="BC116" s="19"/>
      <c r="BD116" s="19"/>
      <c r="BE116" s="5"/>
      <c r="BF116" s="4"/>
      <c r="BG116" s="19"/>
      <c r="BH116" s="19"/>
      <c r="BI116" s="5"/>
      <c r="BJ116" s="4"/>
      <c r="BK116" s="19"/>
      <c r="BL116" s="19"/>
      <c r="BM116" s="5"/>
      <c r="BN116" s="4"/>
      <c r="BO116" s="19"/>
      <c r="BP116" s="19"/>
      <c r="BQ116" s="5"/>
      <c r="BR116" s="4"/>
      <c r="BS116" s="19"/>
      <c r="BT116" s="19"/>
      <c r="BU116" s="5"/>
      <c r="BV116" s="4"/>
      <c r="BW116" s="19"/>
      <c r="BX116" s="19"/>
      <c r="BY116" s="5"/>
      <c r="BZ116" s="4"/>
      <c r="CA116" s="19"/>
      <c r="CB116" s="19"/>
      <c r="CC116" s="5"/>
      <c r="CD116" s="4"/>
      <c r="CE116" s="19"/>
      <c r="CF116" s="19"/>
      <c r="CG116" s="5"/>
      <c r="CH116" s="4"/>
      <c r="CI116" s="19"/>
      <c r="CJ116" s="19"/>
      <c r="CK116" s="5"/>
      <c r="CL116" s="46"/>
      <c r="CM116" s="28"/>
    </row>
    <row r="117" spans="2:91" ht="14.25" x14ac:dyDescent="0.25">
      <c r="B117" s="55"/>
      <c r="C117" s="10" t="s">
        <v>223</v>
      </c>
      <c r="D117" s="11" t="s">
        <v>219</v>
      </c>
      <c r="E117" s="115"/>
      <c r="F117" s="184">
        <f>IF(SUM(F9:I9)=0,"",MAX(F108*IF(F44="Yes",1,0),G108*IF(G44="Yes",1,0),H108*IF(H44="Yes",1,0),I108*IF(I44="Yes",1,0)))</f>
        <v>3.3921499999999996</v>
      </c>
      <c r="G117" s="192"/>
      <c r="H117" s="192"/>
      <c r="I117" s="185"/>
      <c r="J117" s="184">
        <f>IF(SUM(J9:M9)=0,"",MAX(J108*IF(J44="Yes",1,0),K108*IF(K44="Yes",1,0),L108*IF(L44="Yes",1,0),M108*IF(M44="Yes",1,0)))</f>
        <v>2.799199999999999</v>
      </c>
      <c r="K117" s="192"/>
      <c r="L117" s="192"/>
      <c r="M117" s="185"/>
      <c r="N117" s="184" t="str">
        <f>IF(SUM(N9:Q9)=0,"",MAX(N108*IF(N44="Yes",1,0),O108*IF(O44="Yes",1,0),P108*IF(P44="Yes",1,0),Q108*IF(Q44="Yes",1,0)))</f>
        <v/>
      </c>
      <c r="O117" s="192"/>
      <c r="P117" s="192"/>
      <c r="Q117" s="185"/>
      <c r="R117" s="184" t="str">
        <f>IF(SUM(R9:U9)=0,"",MAX(R108*IF(R44="Yes",1,0),S108*IF(S44="Yes",1,0),T108*IF(T44="Yes",1,0),U108*IF(U44="Yes",1,0)))</f>
        <v/>
      </c>
      <c r="S117" s="192"/>
      <c r="T117" s="192"/>
      <c r="U117" s="185"/>
      <c r="V117" s="184" t="str">
        <f>IF(SUM(V9:Y9)=0,"",MAX(V108*IF(V44="Yes",1,0),W108*IF(W44="Yes",1,0),X108*IF(X44="Yes",1,0),Y108*IF(Y44="Yes",1,0)))</f>
        <v/>
      </c>
      <c r="W117" s="192"/>
      <c r="X117" s="192"/>
      <c r="Y117" s="185"/>
      <c r="Z117" s="184" t="str">
        <f>IF(SUM(Z9:AC9)=0,"",MAX(Z108*IF(Z44="Yes",1,0),AA108*IF(AA44="Yes",1,0),AB108*IF(AB44="Yes",1,0),AC108*IF(AC44="Yes",1,0)))</f>
        <v/>
      </c>
      <c r="AA117" s="192"/>
      <c r="AB117" s="192"/>
      <c r="AC117" s="185"/>
      <c r="AD117" s="184" t="str">
        <f>IF(SUM(AD9:AG9)=0,"",MAX(AD108*IF(AD44="Yes",1,0),AE108*IF(AE44="Yes",1,0),AF108*IF(AF44="Yes",1,0),AG108*IF(AG44="Yes",1,0)))</f>
        <v/>
      </c>
      <c r="AE117" s="192"/>
      <c r="AF117" s="192"/>
      <c r="AG117" s="185"/>
      <c r="AH117" s="184" t="str">
        <f>IF(SUM(AH9:AK9)=0,"",MAX(AH108*IF(AH44="Yes",1,0),AI108*IF(AI44="Yes",1,0),AJ108*IF(AJ44="Yes",1,0),AK108*IF(AK44="Yes",1,0)))</f>
        <v/>
      </c>
      <c r="AI117" s="192"/>
      <c r="AJ117" s="192"/>
      <c r="AK117" s="185"/>
      <c r="AL117" s="184" t="str">
        <f>IF(SUM(AL9:AO9)=0,"",MAX(AL108*IF(AL44="Yes",1,0),AM108*IF(AM44="Yes",1,0),AN108*IF(AN44="Yes",1,0),AO108*IF(AO44="Yes",1,0)))</f>
        <v/>
      </c>
      <c r="AM117" s="192"/>
      <c r="AN117" s="192"/>
      <c r="AO117" s="185"/>
      <c r="AP117" s="184" t="str">
        <f>IF(SUM(AP9:AS9)=0,"",MAX(AP108*IF(AP44="Yes",1,0),AQ108*IF(AQ44="Yes",1,0),AR108*IF(AR44="Yes",1,0),AS108*IF(AS44="Yes",1,0)))</f>
        <v/>
      </c>
      <c r="AQ117" s="192"/>
      <c r="AR117" s="192"/>
      <c r="AS117" s="185"/>
      <c r="AT117" s="184" t="str">
        <f>IF(SUM(AT9:AW9)=0,"",MAX(AT108*IF(AT44="Yes",1,0),AU108*IF(AU44="Yes",1,0),AV108*IF(AV44="Yes",1,0),AW108*IF(AW44="Yes",1,0)))</f>
        <v/>
      </c>
      <c r="AU117" s="192"/>
      <c r="AV117" s="192"/>
      <c r="AW117" s="185"/>
      <c r="AX117" s="184" t="str">
        <f>IF(SUM(AX9:BA9)=0,"",MAX(AX108*IF(AX44="Yes",1,0),AY108*IF(AY44="Yes",1,0),AZ108*IF(AZ44="Yes",1,0),BA108*IF(BA44="Yes",1,0)))</f>
        <v/>
      </c>
      <c r="AY117" s="192"/>
      <c r="AZ117" s="192"/>
      <c r="BA117" s="185"/>
      <c r="BB117" s="184" t="str">
        <f>IF(SUM(BB9:BE9)=0,"",MAX(BB108*IF(BB44="Yes",1,0),BC108*IF(BC44="Yes",1,0),BD108*IF(BD44="Yes",1,0),BE108*IF(BE44="Yes",1,0)))</f>
        <v/>
      </c>
      <c r="BC117" s="192"/>
      <c r="BD117" s="192"/>
      <c r="BE117" s="185"/>
      <c r="BF117" s="184" t="str">
        <f>IF(SUM(BF9:BI9)=0,"",MAX(BF108*IF(BF44="Yes",1,0),BG108*IF(BG44="Yes",1,0),BH108*IF(BH44="Yes",1,0),BI108*IF(BI44="Yes",1,0)))</f>
        <v/>
      </c>
      <c r="BG117" s="192"/>
      <c r="BH117" s="192"/>
      <c r="BI117" s="185"/>
      <c r="BJ117" s="184" t="str">
        <f>IF(SUM(BJ9:BM9)=0,"",MAX(BJ108*IF(BJ44="Yes",1,0),BK108*IF(BK44="Yes",1,0),BL108*IF(BL44="Yes",1,0),BM108*IF(BM44="Yes",1,0)))</f>
        <v/>
      </c>
      <c r="BK117" s="192"/>
      <c r="BL117" s="192"/>
      <c r="BM117" s="185"/>
      <c r="BN117" s="184" t="str">
        <f>IF(SUM(BN9:BQ9)=0,"",MAX(BN108*IF(BN44="Yes",1,0),BO108*IF(BO44="Yes",1,0),BP108*IF(BP44="Yes",1,0),BQ108*IF(BQ44="Yes",1,0)))</f>
        <v/>
      </c>
      <c r="BO117" s="192"/>
      <c r="BP117" s="192"/>
      <c r="BQ117" s="185"/>
      <c r="BR117" s="184" t="str">
        <f>IF(SUM(BR9:BU9)=0,"",MAX(BR108*IF(BR44="Yes",1,0),BS108*IF(BS44="Yes",1,0),BT108*IF(BT44="Yes",1,0),BU108*IF(BU44="Yes",1,0)))</f>
        <v/>
      </c>
      <c r="BS117" s="192"/>
      <c r="BT117" s="192"/>
      <c r="BU117" s="185"/>
      <c r="BV117" s="184" t="str">
        <f>IF(SUM(BV9:BY9)=0,"",MAX(BV108*IF(BV44="Yes",1,0),BW108*IF(BW44="Yes",1,0),BX108*IF(BX44="Yes",1,0),BY108*IF(BY44="Yes",1,0)))</f>
        <v/>
      </c>
      <c r="BW117" s="192"/>
      <c r="BX117" s="192"/>
      <c r="BY117" s="185"/>
      <c r="BZ117" s="184" t="str">
        <f>IF(SUM(BZ9:CC9)=0,"",MAX(BZ108*IF(BZ44="Yes",1,0),CA108*IF(CA44="Yes",1,0),CB108*IF(CB44="Yes",1,0),CC108*IF(CC44="Yes",1,0)))</f>
        <v/>
      </c>
      <c r="CA117" s="192"/>
      <c r="CB117" s="192"/>
      <c r="CC117" s="185"/>
      <c r="CD117" s="184" t="str">
        <f>IF(SUM(CD9:CG9)=0,"",MAX(CD108*IF(CD44="Yes",1,0),CE108*IF(CE44="Yes",1,0),CF108*IF(CF44="Yes",1,0),CG108*IF(CG44="Yes",1,0)))</f>
        <v/>
      </c>
      <c r="CE117" s="192"/>
      <c r="CF117" s="192"/>
      <c r="CG117" s="185"/>
      <c r="CH117" s="184" t="str">
        <f>IF(SUM(CH9:CK9)=0,"",MAX(CH108*IF(CH44="Yes",1,0),CI108*IF(CI44="Yes",1,0),CJ108*IF(CJ44="Yes",1,0),CK108*IF(CK44="Yes",1,0)))</f>
        <v/>
      </c>
      <c r="CI117" s="192"/>
      <c r="CJ117" s="192"/>
      <c r="CK117" s="185"/>
      <c r="CL117" s="67">
        <f>SUMPRODUCT(F117:CK117,F110:CK110)/SUM(F110:CK110)</f>
        <v>3.3533950980392153</v>
      </c>
      <c r="CM117" s="28"/>
    </row>
    <row r="118" spans="2:91" ht="14.25" thickBot="1" x14ac:dyDescent="0.3">
      <c r="B118" s="55"/>
      <c r="C118" s="10"/>
      <c r="D118" s="11" t="s">
        <v>51</v>
      </c>
      <c r="E118" s="115"/>
      <c r="F118" s="181" t="str">
        <f>IF(F117="","",IF(F117&lt;=2,"A",IF(F117&lt;=2.75,"B",IF(F117&lt;=3.5,"C",IF(F117&lt;=4.25,"D",IF(F117&lt;=5,"E","F"))))))</f>
        <v>C</v>
      </c>
      <c r="G118" s="193"/>
      <c r="H118" s="193"/>
      <c r="I118" s="182"/>
      <c r="J118" s="181" t="str">
        <f t="shared" ref="J118" si="233">IF(J117="","",IF(J117&lt;=2,"A",IF(J117&lt;=2.75,"B",IF(J117&lt;=3.5,"C",IF(J117&lt;=4.25,"D",IF(J117&lt;=5,"E","F"))))))</f>
        <v>C</v>
      </c>
      <c r="K118" s="193"/>
      <c r="L118" s="193"/>
      <c r="M118" s="182"/>
      <c r="N118" s="181" t="str">
        <f t="shared" ref="N118" si="234">IF(N117="","",IF(N117&lt;=2,"A",IF(N117&lt;=2.75,"B",IF(N117&lt;=3.5,"C",IF(N117&lt;=4.25,"D",IF(N117&lt;=5,"E","F"))))))</f>
        <v/>
      </c>
      <c r="O118" s="193"/>
      <c r="P118" s="193"/>
      <c r="Q118" s="182"/>
      <c r="R118" s="181" t="str">
        <f t="shared" ref="R118" si="235">IF(R117="","",IF(R117&lt;=2,"A",IF(R117&lt;=2.75,"B",IF(R117&lt;=3.5,"C",IF(R117&lt;=4.25,"D",IF(R117&lt;=5,"E","F"))))))</f>
        <v/>
      </c>
      <c r="S118" s="193"/>
      <c r="T118" s="193"/>
      <c r="U118" s="182"/>
      <c r="V118" s="181" t="str">
        <f t="shared" ref="V118" si="236">IF(V117="","",IF(V117&lt;=2,"A",IF(V117&lt;=2.75,"B",IF(V117&lt;=3.5,"C",IF(V117&lt;=4.25,"D",IF(V117&lt;=5,"E","F"))))))</f>
        <v/>
      </c>
      <c r="W118" s="193"/>
      <c r="X118" s="193"/>
      <c r="Y118" s="182"/>
      <c r="Z118" s="181" t="str">
        <f t="shared" ref="Z118" si="237">IF(Z117="","",IF(Z117&lt;=2,"A",IF(Z117&lt;=2.75,"B",IF(Z117&lt;=3.5,"C",IF(Z117&lt;=4.25,"D",IF(Z117&lt;=5,"E","F"))))))</f>
        <v/>
      </c>
      <c r="AA118" s="193"/>
      <c r="AB118" s="193"/>
      <c r="AC118" s="182"/>
      <c r="AD118" s="181" t="str">
        <f t="shared" ref="AD118" si="238">IF(AD117="","",IF(AD117&lt;=2,"A",IF(AD117&lt;=2.75,"B",IF(AD117&lt;=3.5,"C",IF(AD117&lt;=4.25,"D",IF(AD117&lt;=5,"E","F"))))))</f>
        <v/>
      </c>
      <c r="AE118" s="193"/>
      <c r="AF118" s="193"/>
      <c r="AG118" s="182"/>
      <c r="AH118" s="181" t="str">
        <f t="shared" ref="AH118" si="239">IF(AH117="","",IF(AH117&lt;=2,"A",IF(AH117&lt;=2.75,"B",IF(AH117&lt;=3.5,"C",IF(AH117&lt;=4.25,"D",IF(AH117&lt;=5,"E","F"))))))</f>
        <v/>
      </c>
      <c r="AI118" s="193"/>
      <c r="AJ118" s="193"/>
      <c r="AK118" s="182"/>
      <c r="AL118" s="181" t="str">
        <f t="shared" ref="AL118" si="240">IF(AL117="","",IF(AL117&lt;=2,"A",IF(AL117&lt;=2.75,"B",IF(AL117&lt;=3.5,"C",IF(AL117&lt;=4.25,"D",IF(AL117&lt;=5,"E","F"))))))</f>
        <v/>
      </c>
      <c r="AM118" s="193"/>
      <c r="AN118" s="193"/>
      <c r="AO118" s="182"/>
      <c r="AP118" s="181" t="str">
        <f t="shared" ref="AP118" si="241">IF(AP117="","",IF(AP117&lt;=2,"A",IF(AP117&lt;=2.75,"B",IF(AP117&lt;=3.5,"C",IF(AP117&lt;=4.25,"D",IF(AP117&lt;=5,"E","F"))))))</f>
        <v/>
      </c>
      <c r="AQ118" s="193"/>
      <c r="AR118" s="193"/>
      <c r="AS118" s="182"/>
      <c r="AT118" s="181" t="str">
        <f t="shared" ref="AT118" si="242">IF(AT117="","",IF(AT117&lt;=2,"A",IF(AT117&lt;=2.75,"B",IF(AT117&lt;=3.5,"C",IF(AT117&lt;=4.25,"D",IF(AT117&lt;=5,"E","F"))))))</f>
        <v/>
      </c>
      <c r="AU118" s="193"/>
      <c r="AV118" s="193"/>
      <c r="AW118" s="182"/>
      <c r="AX118" s="181" t="str">
        <f t="shared" ref="AX118" si="243">IF(AX117="","",IF(AX117&lt;=2,"A",IF(AX117&lt;=2.75,"B",IF(AX117&lt;=3.5,"C",IF(AX117&lt;=4.25,"D",IF(AX117&lt;=5,"E","F"))))))</f>
        <v/>
      </c>
      <c r="AY118" s="193"/>
      <c r="AZ118" s="193"/>
      <c r="BA118" s="182"/>
      <c r="BB118" s="181" t="str">
        <f t="shared" ref="BB118" si="244">IF(BB117="","",IF(BB117&lt;=2,"A",IF(BB117&lt;=2.75,"B",IF(BB117&lt;=3.5,"C",IF(BB117&lt;=4.25,"D",IF(BB117&lt;=5,"E","F"))))))</f>
        <v/>
      </c>
      <c r="BC118" s="193"/>
      <c r="BD118" s="193"/>
      <c r="BE118" s="182"/>
      <c r="BF118" s="181" t="str">
        <f t="shared" ref="BF118" si="245">IF(BF117="","",IF(BF117&lt;=2,"A",IF(BF117&lt;=2.75,"B",IF(BF117&lt;=3.5,"C",IF(BF117&lt;=4.25,"D",IF(BF117&lt;=5,"E","F"))))))</f>
        <v/>
      </c>
      <c r="BG118" s="193"/>
      <c r="BH118" s="193"/>
      <c r="BI118" s="182"/>
      <c r="BJ118" s="181" t="str">
        <f t="shared" ref="BJ118" si="246">IF(BJ117="","",IF(BJ117&lt;=2,"A",IF(BJ117&lt;=2.75,"B",IF(BJ117&lt;=3.5,"C",IF(BJ117&lt;=4.25,"D",IF(BJ117&lt;=5,"E","F"))))))</f>
        <v/>
      </c>
      <c r="BK118" s="193"/>
      <c r="BL118" s="193"/>
      <c r="BM118" s="182"/>
      <c r="BN118" s="181" t="str">
        <f t="shared" ref="BN118" si="247">IF(BN117="","",IF(BN117&lt;=2,"A",IF(BN117&lt;=2.75,"B",IF(BN117&lt;=3.5,"C",IF(BN117&lt;=4.25,"D",IF(BN117&lt;=5,"E","F"))))))</f>
        <v/>
      </c>
      <c r="BO118" s="193"/>
      <c r="BP118" s="193"/>
      <c r="BQ118" s="182"/>
      <c r="BR118" s="181" t="str">
        <f t="shared" ref="BR118" si="248">IF(BR117="","",IF(BR117&lt;=2,"A",IF(BR117&lt;=2.75,"B",IF(BR117&lt;=3.5,"C",IF(BR117&lt;=4.25,"D",IF(BR117&lt;=5,"E","F"))))))</f>
        <v/>
      </c>
      <c r="BS118" s="193"/>
      <c r="BT118" s="193"/>
      <c r="BU118" s="182"/>
      <c r="BV118" s="181" t="str">
        <f t="shared" ref="BV118" si="249">IF(BV117="","",IF(BV117&lt;=2,"A",IF(BV117&lt;=2.75,"B",IF(BV117&lt;=3.5,"C",IF(BV117&lt;=4.25,"D",IF(BV117&lt;=5,"E","F"))))))</f>
        <v/>
      </c>
      <c r="BW118" s="193"/>
      <c r="BX118" s="193"/>
      <c r="BY118" s="182"/>
      <c r="BZ118" s="181" t="str">
        <f t="shared" ref="BZ118" si="250">IF(BZ117="","",IF(BZ117&lt;=2,"A",IF(BZ117&lt;=2.75,"B",IF(BZ117&lt;=3.5,"C",IF(BZ117&lt;=4.25,"D",IF(BZ117&lt;=5,"E","F"))))))</f>
        <v/>
      </c>
      <c r="CA118" s="193"/>
      <c r="CB118" s="193"/>
      <c r="CC118" s="182"/>
      <c r="CD118" s="181" t="str">
        <f t="shared" ref="CD118" si="251">IF(CD117="","",IF(CD117&lt;=2,"A",IF(CD117&lt;=2.75,"B",IF(CD117&lt;=3.5,"C",IF(CD117&lt;=4.25,"D",IF(CD117&lt;=5,"E","F"))))))</f>
        <v/>
      </c>
      <c r="CE118" s="193"/>
      <c r="CF118" s="193"/>
      <c r="CG118" s="182"/>
      <c r="CH118" s="181" t="str">
        <f t="shared" ref="CH118" si="252">IF(CH117="","",IF(CH117&lt;=2,"A",IF(CH117&lt;=2.75,"B",IF(CH117&lt;=3.5,"C",IF(CH117&lt;=4.25,"D",IF(CH117&lt;=5,"E","F"))))))</f>
        <v/>
      </c>
      <c r="CI118" s="193"/>
      <c r="CJ118" s="193"/>
      <c r="CK118" s="182"/>
      <c r="CL118" s="69" t="str">
        <f>IF(CL117&lt;=2,"A",IF(CL117&lt;=2.75,"B",IF(CL117&lt;=3.5,"C",IF(CL117&lt;=4.25,"D",IF(CL117&lt;=5,"E","F")))))</f>
        <v>C</v>
      </c>
      <c r="CM118" s="28"/>
    </row>
    <row r="119" spans="2:91" ht="14.25" thickBot="1" x14ac:dyDescent="0.3">
      <c r="B119" s="63"/>
      <c r="C119" s="30"/>
      <c r="D119" s="64"/>
      <c r="E119" s="135"/>
      <c r="F119" s="30"/>
      <c r="G119" s="30"/>
      <c r="H119" s="30"/>
      <c r="I119" s="30"/>
      <c r="J119" s="30"/>
      <c r="K119" s="30"/>
      <c r="L119" s="30"/>
      <c r="M119" s="30"/>
      <c r="N119" s="30"/>
      <c r="O119" s="30"/>
      <c r="P119" s="30"/>
      <c r="Q119" s="30"/>
      <c r="R119" s="30"/>
      <c r="S119" s="30"/>
      <c r="T119" s="30"/>
      <c r="U119" s="30"/>
      <c r="V119" s="30"/>
      <c r="W119" s="30"/>
      <c r="X119" s="30"/>
      <c r="Y119" s="30"/>
      <c r="Z119" s="30"/>
      <c r="AA119" s="30"/>
      <c r="AB119" s="30"/>
      <c r="AC119" s="30"/>
      <c r="AD119" s="30"/>
      <c r="AE119" s="30"/>
      <c r="AF119" s="30"/>
      <c r="AG119" s="30"/>
      <c r="AH119" s="30"/>
      <c r="AI119" s="30"/>
      <c r="AJ119" s="30"/>
      <c r="AK119" s="30"/>
      <c r="AL119" s="30"/>
      <c r="AM119" s="30"/>
      <c r="AN119" s="30"/>
      <c r="AO119" s="30"/>
      <c r="AP119" s="30"/>
      <c r="AQ119" s="30"/>
      <c r="AR119" s="30"/>
      <c r="AS119" s="30"/>
      <c r="AT119" s="30"/>
      <c r="AU119" s="30"/>
      <c r="AV119" s="30"/>
      <c r="AW119" s="30"/>
      <c r="AX119" s="30"/>
      <c r="AY119" s="30"/>
      <c r="AZ119" s="30"/>
      <c r="BA119" s="30"/>
      <c r="BB119" s="30"/>
      <c r="BC119" s="30"/>
      <c r="BD119" s="30"/>
      <c r="BE119" s="30"/>
      <c r="BF119" s="30"/>
      <c r="BG119" s="30"/>
      <c r="BH119" s="30"/>
      <c r="BI119" s="30"/>
      <c r="BJ119" s="30"/>
      <c r="BK119" s="30"/>
      <c r="BL119" s="30"/>
      <c r="BM119" s="30"/>
      <c r="BN119" s="30"/>
      <c r="BO119" s="30"/>
      <c r="BP119" s="30"/>
      <c r="BQ119" s="30"/>
      <c r="BR119" s="30"/>
      <c r="BS119" s="30"/>
      <c r="BT119" s="30"/>
      <c r="BU119" s="30"/>
      <c r="BV119" s="30"/>
      <c r="BW119" s="30"/>
      <c r="BX119" s="30"/>
      <c r="BY119" s="30"/>
      <c r="BZ119" s="30"/>
      <c r="CA119" s="30"/>
      <c r="CB119" s="30"/>
      <c r="CC119" s="30"/>
      <c r="CD119" s="30"/>
      <c r="CE119" s="30"/>
      <c r="CF119" s="30"/>
      <c r="CG119" s="30"/>
      <c r="CH119" s="30"/>
      <c r="CI119" s="30"/>
      <c r="CJ119" s="30"/>
      <c r="CK119" s="30"/>
      <c r="CL119" s="30"/>
      <c r="CM119" s="31"/>
    </row>
    <row r="121" spans="2:91" ht="25.5" x14ac:dyDescent="0.25">
      <c r="C121" s="21" t="s">
        <v>207</v>
      </c>
      <c r="D121" s="142" t="s">
        <v>237</v>
      </c>
    </row>
    <row r="122" spans="2:91" ht="15.75" x14ac:dyDescent="0.25">
      <c r="C122" s="21" t="s">
        <v>208</v>
      </c>
      <c r="D122" s="20" t="s">
        <v>212</v>
      </c>
    </row>
    <row r="123" spans="2:91" ht="15.75" x14ac:dyDescent="0.25">
      <c r="C123" s="21" t="s">
        <v>209</v>
      </c>
      <c r="D123" s="20" t="s">
        <v>213</v>
      </c>
    </row>
  </sheetData>
  <mergeCells count="218">
    <mergeCell ref="CH118:CK118"/>
    <mergeCell ref="CL3:CL5"/>
    <mergeCell ref="CD114:CG114"/>
    <mergeCell ref="CD115:CG115"/>
    <mergeCell ref="CD117:CG117"/>
    <mergeCell ref="CD118:CG118"/>
    <mergeCell ref="CH3:CK3"/>
    <mergeCell ref="CH7:CK7"/>
    <mergeCell ref="CH46:CK46"/>
    <mergeCell ref="CH68:CK68"/>
    <mergeCell ref="CH110:CK110"/>
    <mergeCell ref="CH112:CK112"/>
    <mergeCell ref="CD3:CG3"/>
    <mergeCell ref="CD7:CG7"/>
    <mergeCell ref="CD46:CG46"/>
    <mergeCell ref="CD68:CG68"/>
    <mergeCell ref="CD110:CG110"/>
    <mergeCell ref="CD112:CG112"/>
    <mergeCell ref="CH114:CK114"/>
    <mergeCell ref="CH115:CK115"/>
    <mergeCell ref="CH117:CK117"/>
    <mergeCell ref="BV118:BY118"/>
    <mergeCell ref="BZ3:CC3"/>
    <mergeCell ref="BZ7:CC7"/>
    <mergeCell ref="BZ46:CC46"/>
    <mergeCell ref="BZ68:CC68"/>
    <mergeCell ref="BZ110:CC110"/>
    <mergeCell ref="BZ112:CC112"/>
    <mergeCell ref="BZ114:CC114"/>
    <mergeCell ref="BZ115:CC115"/>
    <mergeCell ref="BZ117:CC117"/>
    <mergeCell ref="BZ118:CC118"/>
    <mergeCell ref="BV3:BY3"/>
    <mergeCell ref="BV7:BY7"/>
    <mergeCell ref="BV46:BY46"/>
    <mergeCell ref="BV68:BY68"/>
    <mergeCell ref="BV110:BY110"/>
    <mergeCell ref="BV112:BY112"/>
    <mergeCell ref="BV114:BY114"/>
    <mergeCell ref="BV115:BY115"/>
    <mergeCell ref="BV117:BY117"/>
    <mergeCell ref="BN118:BQ118"/>
    <mergeCell ref="BR3:BU3"/>
    <mergeCell ref="BR7:BU7"/>
    <mergeCell ref="BR46:BU46"/>
    <mergeCell ref="BR68:BU68"/>
    <mergeCell ref="BR110:BU110"/>
    <mergeCell ref="BR112:BU112"/>
    <mergeCell ref="BR114:BU114"/>
    <mergeCell ref="BR115:BU115"/>
    <mergeCell ref="BR117:BU117"/>
    <mergeCell ref="BR118:BU118"/>
    <mergeCell ref="BN3:BQ3"/>
    <mergeCell ref="BN7:BQ7"/>
    <mergeCell ref="BN46:BQ46"/>
    <mergeCell ref="BN68:BQ68"/>
    <mergeCell ref="BN110:BQ110"/>
    <mergeCell ref="BN112:BQ112"/>
    <mergeCell ref="BN114:BQ114"/>
    <mergeCell ref="BN115:BQ115"/>
    <mergeCell ref="BN117:BQ117"/>
    <mergeCell ref="BF118:BI118"/>
    <mergeCell ref="BJ3:BM3"/>
    <mergeCell ref="BJ7:BM7"/>
    <mergeCell ref="BJ46:BM46"/>
    <mergeCell ref="BJ68:BM68"/>
    <mergeCell ref="BJ110:BM110"/>
    <mergeCell ref="BJ112:BM112"/>
    <mergeCell ref="BJ114:BM114"/>
    <mergeCell ref="BJ115:BM115"/>
    <mergeCell ref="BJ117:BM117"/>
    <mergeCell ref="BJ118:BM118"/>
    <mergeCell ref="BF3:BI3"/>
    <mergeCell ref="BF7:BI7"/>
    <mergeCell ref="BF46:BI46"/>
    <mergeCell ref="BF68:BI68"/>
    <mergeCell ref="BF110:BI110"/>
    <mergeCell ref="BF112:BI112"/>
    <mergeCell ref="BF114:BI114"/>
    <mergeCell ref="BF115:BI115"/>
    <mergeCell ref="BF117:BI117"/>
    <mergeCell ref="AX118:BA118"/>
    <mergeCell ref="BB3:BE3"/>
    <mergeCell ref="BB7:BE7"/>
    <mergeCell ref="BB46:BE46"/>
    <mergeCell ref="BB68:BE68"/>
    <mergeCell ref="BB110:BE110"/>
    <mergeCell ref="BB112:BE112"/>
    <mergeCell ref="BB114:BE114"/>
    <mergeCell ref="BB115:BE115"/>
    <mergeCell ref="BB117:BE117"/>
    <mergeCell ref="BB118:BE118"/>
    <mergeCell ref="AX3:BA3"/>
    <mergeCell ref="AX7:BA7"/>
    <mergeCell ref="AX46:BA46"/>
    <mergeCell ref="AX68:BA68"/>
    <mergeCell ref="AX110:BA110"/>
    <mergeCell ref="AX112:BA112"/>
    <mergeCell ref="AX114:BA114"/>
    <mergeCell ref="AX115:BA115"/>
    <mergeCell ref="AX117:BA117"/>
    <mergeCell ref="AP118:AS118"/>
    <mergeCell ref="AT3:AW3"/>
    <mergeCell ref="AT7:AW7"/>
    <mergeCell ref="AT46:AW46"/>
    <mergeCell ref="AT68:AW68"/>
    <mergeCell ref="AT110:AW110"/>
    <mergeCell ref="AT112:AW112"/>
    <mergeCell ref="AT114:AW114"/>
    <mergeCell ref="AT115:AW115"/>
    <mergeCell ref="AT117:AW117"/>
    <mergeCell ref="AT118:AW118"/>
    <mergeCell ref="AP3:AS3"/>
    <mergeCell ref="AP7:AS7"/>
    <mergeCell ref="AP46:AS46"/>
    <mergeCell ref="AP68:AS68"/>
    <mergeCell ref="AP110:AS110"/>
    <mergeCell ref="AP112:AS112"/>
    <mergeCell ref="AP114:AS114"/>
    <mergeCell ref="AP115:AS115"/>
    <mergeCell ref="AP117:AS117"/>
    <mergeCell ref="AH118:AK118"/>
    <mergeCell ref="AL3:AO3"/>
    <mergeCell ref="AL7:AO7"/>
    <mergeCell ref="AL46:AO46"/>
    <mergeCell ref="AL68:AO68"/>
    <mergeCell ref="AL110:AO110"/>
    <mergeCell ref="AL112:AO112"/>
    <mergeCell ref="AL114:AO114"/>
    <mergeCell ref="AL115:AO115"/>
    <mergeCell ref="AL117:AO117"/>
    <mergeCell ref="AL118:AO118"/>
    <mergeCell ref="AH3:AK3"/>
    <mergeCell ref="AH7:AK7"/>
    <mergeCell ref="AH46:AK46"/>
    <mergeCell ref="AH68:AK68"/>
    <mergeCell ref="AH110:AK110"/>
    <mergeCell ref="AH112:AK112"/>
    <mergeCell ref="AH114:AK114"/>
    <mergeCell ref="AH115:AK115"/>
    <mergeCell ref="AH117:AK117"/>
    <mergeCell ref="R114:U114"/>
    <mergeCell ref="R115:U115"/>
    <mergeCell ref="R117:U117"/>
    <mergeCell ref="Z118:AC118"/>
    <mergeCell ref="AD3:AG3"/>
    <mergeCell ref="AD7:AG7"/>
    <mergeCell ref="AD46:AG46"/>
    <mergeCell ref="AD68:AG68"/>
    <mergeCell ref="AD110:AG110"/>
    <mergeCell ref="AD112:AG112"/>
    <mergeCell ref="AD114:AG114"/>
    <mergeCell ref="AD115:AG115"/>
    <mergeCell ref="AD117:AG117"/>
    <mergeCell ref="AD118:AG118"/>
    <mergeCell ref="Z3:AC3"/>
    <mergeCell ref="Z7:AC7"/>
    <mergeCell ref="Z46:AC46"/>
    <mergeCell ref="Z68:AC68"/>
    <mergeCell ref="Z110:AC110"/>
    <mergeCell ref="Z112:AC112"/>
    <mergeCell ref="Z114:AC114"/>
    <mergeCell ref="Z115:AC115"/>
    <mergeCell ref="Z117:AC117"/>
    <mergeCell ref="N118:Q118"/>
    <mergeCell ref="J3:M3"/>
    <mergeCell ref="J7:M7"/>
    <mergeCell ref="J46:M46"/>
    <mergeCell ref="J68:M68"/>
    <mergeCell ref="J110:M110"/>
    <mergeCell ref="J112:M112"/>
    <mergeCell ref="R118:U118"/>
    <mergeCell ref="V3:Y3"/>
    <mergeCell ref="V7:Y7"/>
    <mergeCell ref="V46:Y46"/>
    <mergeCell ref="V68:Y68"/>
    <mergeCell ref="V110:Y110"/>
    <mergeCell ref="V112:Y112"/>
    <mergeCell ref="V114:Y114"/>
    <mergeCell ref="V115:Y115"/>
    <mergeCell ref="V117:Y117"/>
    <mergeCell ref="V118:Y118"/>
    <mergeCell ref="R3:U3"/>
    <mergeCell ref="R7:U7"/>
    <mergeCell ref="R46:U46"/>
    <mergeCell ref="R68:U68"/>
    <mergeCell ref="R110:U110"/>
    <mergeCell ref="R112:U112"/>
    <mergeCell ref="N3:Q3"/>
    <mergeCell ref="N7:Q7"/>
    <mergeCell ref="N46:Q46"/>
    <mergeCell ref="N68:Q68"/>
    <mergeCell ref="N110:Q110"/>
    <mergeCell ref="N112:Q112"/>
    <mergeCell ref="N114:Q114"/>
    <mergeCell ref="N115:Q115"/>
    <mergeCell ref="N117:Q117"/>
    <mergeCell ref="C112:D112"/>
    <mergeCell ref="F112:I112"/>
    <mergeCell ref="J114:M114"/>
    <mergeCell ref="F114:I114"/>
    <mergeCell ref="F115:I115"/>
    <mergeCell ref="F117:I117"/>
    <mergeCell ref="F118:I118"/>
    <mergeCell ref="C3:D4"/>
    <mergeCell ref="F3:I3"/>
    <mergeCell ref="C7:D7"/>
    <mergeCell ref="F7:I7"/>
    <mergeCell ref="C46:D46"/>
    <mergeCell ref="F46:I46"/>
    <mergeCell ref="F68:I68"/>
    <mergeCell ref="F110:I110"/>
    <mergeCell ref="J115:M115"/>
    <mergeCell ref="J117:M117"/>
    <mergeCell ref="J118:M118"/>
    <mergeCell ref="E3:E4"/>
    <mergeCell ref="C74:D74"/>
    <mergeCell ref="C86:D86"/>
  </mergeCells>
  <dataValidations disablePrompts="1" count="4">
    <dataValidation type="list" allowBlank="1" showInputMessage="1" showErrorMessage="1" sqref="E43:CK44" xr:uid="{00000000-0002-0000-0200-000000000000}">
      <formula1>"Yes,No"</formula1>
    </dataValidation>
    <dataValidation type="decimal" operator="greaterThanOrEqual" allowBlank="1" showInputMessage="1" showErrorMessage="1" sqref="E11:CK11" xr:uid="{00000000-0002-0000-0200-000001000000}">
      <formula1>0</formula1>
    </dataValidation>
    <dataValidation type="list" allowBlank="1" showInputMessage="1" showErrorMessage="1" sqref="E42" xr:uid="{AB79CDA3-FCBB-483B-8A3D-CE3BB4F5D7D4}">
      <formula1>"Signalized, Stop, Free"</formula1>
    </dataValidation>
    <dataValidation type="list" allowBlank="1" showInputMessage="1" showErrorMessage="1" sqref="F42:CK42" xr:uid="{DF467AF6-7F52-494C-BA33-66BC9B6EBBB5}">
      <formula1>"Signalized, Stop - Two way, Stop - All way, Free"</formula1>
    </dataValidation>
  </dataValidations>
  <pageMargins left="0.125" right="0.125" top="0.5" bottom="0.5" header="0" footer="0"/>
  <pageSetup scale="41" fitToWidth="0" orientation="portrait" horizontalDpi="4294967295" verticalDpi="4294967295" r:id="rId1"/>
  <colBreaks count="2" manualBreakCount="2">
    <brk id="9" max="1048575" man="1"/>
    <brk id="17" max="1048575" man="1"/>
  </colBreaks>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6"/>
  <dimension ref="B2:E51"/>
  <sheetViews>
    <sheetView zoomScaleNormal="100" workbookViewId="0">
      <selection activeCell="E24" sqref="E24"/>
    </sheetView>
  </sheetViews>
  <sheetFormatPr defaultColWidth="10.875" defaultRowHeight="15.75" x14ac:dyDescent="0.25"/>
  <cols>
    <col min="1" max="1" width="3.375" style="150" customWidth="1"/>
    <col min="2" max="2" width="4.125" style="150" bestFit="1" customWidth="1"/>
    <col min="3" max="3" width="50" style="150" bestFit="1" customWidth="1"/>
    <col min="4" max="4" width="5.875" style="150" bestFit="1" customWidth="1"/>
    <col min="5" max="5" width="59.125" style="150" bestFit="1" customWidth="1"/>
    <col min="6" max="16384" width="10.875" style="150"/>
  </cols>
  <sheetData>
    <row r="2" spans="2:5" s="149" customFormat="1" x14ac:dyDescent="0.25">
      <c r="B2" s="198" t="s">
        <v>248</v>
      </c>
      <c r="C2" s="199"/>
      <c r="D2" s="198" t="s">
        <v>249</v>
      </c>
      <c r="E2" s="199"/>
    </row>
    <row r="3" spans="2:5" x14ac:dyDescent="0.25">
      <c r="B3" s="4"/>
      <c r="C3" s="8" t="s">
        <v>115</v>
      </c>
      <c r="D3" s="4"/>
      <c r="E3" s="8" t="s">
        <v>115</v>
      </c>
    </row>
    <row r="4" spans="2:5" x14ac:dyDescent="0.25">
      <c r="B4" s="151"/>
      <c r="C4" s="152" t="s">
        <v>88</v>
      </c>
      <c r="D4" s="153" t="s">
        <v>146</v>
      </c>
      <c r="E4" s="152" t="s">
        <v>147</v>
      </c>
    </row>
    <row r="5" spans="2:5" x14ac:dyDescent="0.25">
      <c r="B5" s="153" t="s">
        <v>122</v>
      </c>
      <c r="C5" s="152" t="s">
        <v>17</v>
      </c>
      <c r="D5" s="153" t="s">
        <v>117</v>
      </c>
      <c r="E5" s="152" t="s">
        <v>174</v>
      </c>
    </row>
    <row r="6" spans="2:5" x14ac:dyDescent="0.25">
      <c r="B6" s="153" t="s">
        <v>108</v>
      </c>
      <c r="C6" s="152" t="s">
        <v>90</v>
      </c>
      <c r="D6" s="153" t="s">
        <v>148</v>
      </c>
      <c r="E6" s="152" t="s">
        <v>149</v>
      </c>
    </row>
    <row r="7" spans="2:5" x14ac:dyDescent="0.25">
      <c r="B7" s="153" t="s">
        <v>31</v>
      </c>
      <c r="C7" s="152" t="s">
        <v>18</v>
      </c>
      <c r="D7" s="153" t="s">
        <v>153</v>
      </c>
      <c r="E7" s="152" t="s">
        <v>250</v>
      </c>
    </row>
    <row r="8" spans="2:5" x14ac:dyDescent="0.25">
      <c r="B8" s="153" t="s">
        <v>117</v>
      </c>
      <c r="C8" s="152" t="s">
        <v>118</v>
      </c>
      <c r="D8" s="153" t="s">
        <v>152</v>
      </c>
      <c r="E8" s="152" t="s">
        <v>157</v>
      </c>
    </row>
    <row r="9" spans="2:5" x14ac:dyDescent="0.25">
      <c r="B9" s="153" t="s">
        <v>25</v>
      </c>
      <c r="C9" s="152" t="s">
        <v>251</v>
      </c>
      <c r="D9" s="153" t="s">
        <v>170</v>
      </c>
      <c r="E9" s="152" t="s">
        <v>158</v>
      </c>
    </row>
    <row r="10" spans="2:5" x14ac:dyDescent="0.25">
      <c r="B10" s="153" t="s">
        <v>26</v>
      </c>
      <c r="C10" s="152" t="s">
        <v>11</v>
      </c>
      <c r="D10" s="153" t="s">
        <v>252</v>
      </c>
      <c r="E10" s="152" t="s">
        <v>154</v>
      </c>
    </row>
    <row r="11" spans="2:5" x14ac:dyDescent="0.25">
      <c r="B11" s="153" t="s">
        <v>28</v>
      </c>
      <c r="C11" s="152" t="s">
        <v>15</v>
      </c>
      <c r="D11" s="153" t="s">
        <v>155</v>
      </c>
      <c r="E11" s="152" t="s">
        <v>156</v>
      </c>
    </row>
    <row r="12" spans="2:5" x14ac:dyDescent="0.25">
      <c r="B12" s="153" t="s">
        <v>29</v>
      </c>
      <c r="C12" s="152" t="s">
        <v>22</v>
      </c>
      <c r="D12" s="153" t="s">
        <v>159</v>
      </c>
      <c r="E12" s="152" t="s">
        <v>160</v>
      </c>
    </row>
    <row r="13" spans="2:5" x14ac:dyDescent="0.25">
      <c r="B13" s="153" t="s">
        <v>30</v>
      </c>
      <c r="C13" s="152" t="s">
        <v>16</v>
      </c>
      <c r="D13" s="153" t="s">
        <v>161</v>
      </c>
      <c r="E13" s="152" t="s">
        <v>162</v>
      </c>
    </row>
    <row r="14" spans="2:5" x14ac:dyDescent="0.25">
      <c r="B14" s="153" t="s">
        <v>27</v>
      </c>
      <c r="C14" s="152" t="s">
        <v>14</v>
      </c>
      <c r="D14" s="153" t="s">
        <v>163</v>
      </c>
      <c r="E14" s="152" t="s">
        <v>165</v>
      </c>
    </row>
    <row r="15" spans="2:5" x14ac:dyDescent="0.25">
      <c r="B15" s="153" t="s">
        <v>121</v>
      </c>
      <c r="C15" s="152" t="s">
        <v>23</v>
      </c>
      <c r="D15" s="153" t="s">
        <v>171</v>
      </c>
      <c r="E15" s="152" t="s">
        <v>172</v>
      </c>
    </row>
    <row r="16" spans="2:5" x14ac:dyDescent="0.25">
      <c r="B16" s="153" t="s">
        <v>116</v>
      </c>
      <c r="C16" s="152" t="s">
        <v>91</v>
      </c>
      <c r="D16" s="153" t="s">
        <v>28</v>
      </c>
      <c r="E16" s="152" t="s">
        <v>15</v>
      </c>
    </row>
    <row r="17" spans="2:5" x14ac:dyDescent="0.25">
      <c r="B17" s="153"/>
      <c r="C17" s="152" t="s">
        <v>253</v>
      </c>
      <c r="D17" s="153" t="s">
        <v>30</v>
      </c>
      <c r="E17" s="152" t="s">
        <v>16</v>
      </c>
    </row>
    <row r="18" spans="2:5" x14ac:dyDescent="0.25">
      <c r="B18" s="153"/>
      <c r="C18" s="152" t="s">
        <v>12</v>
      </c>
      <c r="D18" s="153" t="s">
        <v>27</v>
      </c>
      <c r="E18" s="152" t="s">
        <v>14</v>
      </c>
    </row>
    <row r="19" spans="2:5" x14ac:dyDescent="0.25">
      <c r="B19" s="153"/>
      <c r="C19" s="152" t="s">
        <v>13</v>
      </c>
      <c r="D19" s="153" t="s">
        <v>121</v>
      </c>
      <c r="E19" s="152" t="s">
        <v>23</v>
      </c>
    </row>
    <row r="20" spans="2:5" x14ac:dyDescent="0.25">
      <c r="B20" s="153"/>
      <c r="C20" s="152" t="s">
        <v>173</v>
      </c>
      <c r="D20" s="153" t="s">
        <v>29</v>
      </c>
      <c r="E20" s="152" t="s">
        <v>22</v>
      </c>
    </row>
    <row r="21" spans="2:5" x14ac:dyDescent="0.25">
      <c r="B21" s="4"/>
      <c r="C21" s="8" t="s">
        <v>21</v>
      </c>
      <c r="D21" s="154"/>
      <c r="E21" s="155" t="s">
        <v>173</v>
      </c>
    </row>
    <row r="22" spans="2:5" x14ac:dyDescent="0.25">
      <c r="B22" s="153"/>
      <c r="C22" s="152" t="s">
        <v>1</v>
      </c>
    </row>
    <row r="23" spans="2:5" x14ac:dyDescent="0.25">
      <c r="B23" s="153"/>
      <c r="C23" s="152" t="s">
        <v>2</v>
      </c>
    </row>
    <row r="24" spans="2:5" x14ac:dyDescent="0.25">
      <c r="B24" s="153" t="s">
        <v>75</v>
      </c>
      <c r="C24" s="152" t="s">
        <v>3</v>
      </c>
    </row>
    <row r="25" spans="2:5" x14ac:dyDescent="0.25">
      <c r="B25" s="153" t="s">
        <v>76</v>
      </c>
      <c r="C25" s="152" t="s">
        <v>4</v>
      </c>
    </row>
    <row r="26" spans="2:5" x14ac:dyDescent="0.25">
      <c r="B26" s="153" t="s">
        <v>5</v>
      </c>
      <c r="C26" s="152" t="s">
        <v>6</v>
      </c>
    </row>
    <row r="27" spans="2:5" x14ac:dyDescent="0.25">
      <c r="B27" s="153" t="s">
        <v>77</v>
      </c>
      <c r="C27" s="152" t="s">
        <v>7</v>
      </c>
    </row>
    <row r="28" spans="2:5" x14ac:dyDescent="0.25">
      <c r="B28" s="153"/>
      <c r="C28" s="152" t="s">
        <v>8</v>
      </c>
    </row>
    <row r="29" spans="2:5" x14ac:dyDescent="0.25">
      <c r="B29" s="153" t="s">
        <v>78</v>
      </c>
      <c r="C29" s="152" t="s">
        <v>9</v>
      </c>
    </row>
    <row r="30" spans="2:5" x14ac:dyDescent="0.25">
      <c r="B30" s="154" t="s">
        <v>79</v>
      </c>
      <c r="C30" s="155" t="s">
        <v>10</v>
      </c>
    </row>
    <row r="37" spans="2:3" x14ac:dyDescent="0.25">
      <c r="C37" s="156"/>
    </row>
    <row r="40" spans="2:3" x14ac:dyDescent="0.25">
      <c r="B40" s="156"/>
    </row>
    <row r="43" spans="2:3" x14ac:dyDescent="0.25">
      <c r="B43" s="156"/>
    </row>
    <row r="51" spans="2:2" x14ac:dyDescent="0.25">
      <c r="B51" s="156"/>
    </row>
  </sheetData>
  <mergeCells count="2">
    <mergeCell ref="B2:C2"/>
    <mergeCell ref="D2:E2"/>
  </mergeCell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7"/>
  <dimension ref="B2:D7"/>
  <sheetViews>
    <sheetView zoomScaleNormal="100" workbookViewId="0">
      <selection activeCell="C2" sqref="C2"/>
    </sheetView>
  </sheetViews>
  <sheetFormatPr defaultColWidth="10.875" defaultRowHeight="15.75" x14ac:dyDescent="0.25"/>
  <cols>
    <col min="1" max="1" width="2.5" style="158" customWidth="1"/>
    <col min="2" max="2" width="18.125" style="158" customWidth="1"/>
    <col min="3" max="3" width="37.5" style="158" customWidth="1"/>
    <col min="4" max="4" width="29" style="158" customWidth="1"/>
    <col min="5" max="16384" width="10.875" style="158"/>
  </cols>
  <sheetData>
    <row r="2" spans="2:4" ht="25.5" x14ac:dyDescent="0.25">
      <c r="B2" s="157" t="s">
        <v>254</v>
      </c>
      <c r="C2" s="157" t="s">
        <v>255</v>
      </c>
      <c r="D2" s="157" t="s">
        <v>256</v>
      </c>
    </row>
    <row r="3" spans="2:4" ht="25.5" x14ac:dyDescent="0.25">
      <c r="B3" s="159" t="s">
        <v>257</v>
      </c>
      <c r="C3" s="160" t="s">
        <v>258</v>
      </c>
      <c r="D3" s="161" t="s">
        <v>259</v>
      </c>
    </row>
    <row r="4" spans="2:4" ht="38.25" x14ac:dyDescent="0.25">
      <c r="B4" s="159" t="s">
        <v>260</v>
      </c>
      <c r="C4" s="160" t="s">
        <v>261</v>
      </c>
      <c r="D4" s="161" t="s">
        <v>259</v>
      </c>
    </row>
    <row r="5" spans="2:4" ht="38.25" x14ac:dyDescent="0.25">
      <c r="B5" s="159" t="s">
        <v>262</v>
      </c>
      <c r="C5" s="160" t="s">
        <v>263</v>
      </c>
      <c r="D5" s="160" t="s">
        <v>264</v>
      </c>
    </row>
    <row r="6" spans="2:4" ht="51" x14ac:dyDescent="0.25">
      <c r="B6" s="159" t="s">
        <v>265</v>
      </c>
      <c r="C6" s="160" t="s">
        <v>266</v>
      </c>
      <c r="D6" s="160" t="s">
        <v>267</v>
      </c>
    </row>
    <row r="7" spans="2:4" ht="38.1" customHeight="1" x14ac:dyDescent="0.25">
      <c r="B7" s="159" t="s">
        <v>268</v>
      </c>
      <c r="C7" s="160" t="s">
        <v>269</v>
      </c>
      <c r="D7" s="160" t="s">
        <v>270</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1A5E12-3CC0-4582-BBB4-F772CE0E6146}">
  <sheetPr codeName="Sheet8"/>
  <dimension ref="A2:S109"/>
  <sheetViews>
    <sheetView zoomScaleNormal="100" workbookViewId="0">
      <selection activeCell="L10" sqref="L10"/>
    </sheetView>
  </sheetViews>
  <sheetFormatPr defaultRowHeight="15.75" x14ac:dyDescent="0.25"/>
  <cols>
    <col min="1" max="5" width="9" style="208"/>
    <col min="7" max="10" width="9" style="208"/>
  </cols>
  <sheetData>
    <row r="2" spans="1:19" x14ac:dyDescent="0.25">
      <c r="B2"/>
      <c r="C2"/>
      <c r="D2"/>
      <c r="E2"/>
      <c r="G2"/>
      <c r="H2"/>
      <c r="I2"/>
      <c r="J2"/>
    </row>
    <row r="3" spans="1:19" x14ac:dyDescent="0.25">
      <c r="A3"/>
      <c r="B3"/>
      <c r="C3"/>
      <c r="D3"/>
      <c r="E3"/>
      <c r="G3"/>
      <c r="H3"/>
      <c r="I3"/>
      <c r="J3"/>
    </row>
    <row r="4" spans="1:19" x14ac:dyDescent="0.25">
      <c r="K4" t="s">
        <v>567</v>
      </c>
      <c r="L4" s="276" t="s">
        <v>558</v>
      </c>
    </row>
    <row r="5" spans="1:19" x14ac:dyDescent="0.25">
      <c r="K5" t="s">
        <v>568</v>
      </c>
      <c r="L5" s="276" t="s">
        <v>566</v>
      </c>
      <c r="Q5" s="276"/>
    </row>
    <row r="9" spans="1:19" x14ac:dyDescent="0.25">
      <c r="A9" s="208" t="s">
        <v>561</v>
      </c>
      <c r="C9" s="208" t="s">
        <v>562</v>
      </c>
      <c r="F9" t="s">
        <v>565</v>
      </c>
      <c r="G9" s="208" t="s">
        <v>563</v>
      </c>
      <c r="H9" s="208" t="s">
        <v>564</v>
      </c>
      <c r="I9" s="208" t="s">
        <v>563</v>
      </c>
      <c r="J9" s="208" t="s">
        <v>564</v>
      </c>
    </row>
    <row r="10" spans="1:19" x14ac:dyDescent="0.25">
      <c r="A10" s="208">
        <v>0</v>
      </c>
      <c r="B10" s="208" t="s">
        <v>239</v>
      </c>
      <c r="C10" s="208">
        <f>COUNTIF($G$10:$G$108,A10)+COUNTIF($H$10:$H$108,A10)</f>
        <v>0</v>
      </c>
      <c r="F10">
        <v>1</v>
      </c>
      <c r="G10" s="208">
        <v>1</v>
      </c>
      <c r="H10" s="208">
        <v>4</v>
      </c>
      <c r="I10" s="208" t="str">
        <f>INDEX($B$11:$B$109,G10,1)</f>
        <v>F</v>
      </c>
      <c r="J10" s="208" t="str">
        <f>INDEX($B$11:$B$109,H10,1)</f>
        <v>I</v>
      </c>
      <c r="L10" t="str">
        <f>_xlfn.CONCAT("=INDEX(Intersections!",I10,"64:",J10,"64,1,MATCH(LEFT(",B10,"9,1)",",Intersections!",I10,"5:",J10,"5,0))")</f>
        <v>=INDEX(Intersections!F64:I64,1,MATCH(LEFT(E9,1),Intersections!F5:I5,0))</v>
      </c>
      <c r="S10" t="s">
        <v>566</v>
      </c>
    </row>
    <row r="11" spans="1:19" x14ac:dyDescent="0.25">
      <c r="A11" s="208">
        <v>1</v>
      </c>
      <c r="B11" s="208" t="s">
        <v>349</v>
      </c>
      <c r="C11" s="208">
        <f>COUNTIF($G$10:$G$108,A11)+COUNTIF($H$10:$H$108,A11)</f>
        <v>2</v>
      </c>
      <c r="F11">
        <v>1</v>
      </c>
      <c r="G11" s="208">
        <v>1</v>
      </c>
      <c r="H11" s="208">
        <v>4</v>
      </c>
      <c r="I11" s="208" t="str">
        <f>INDEX($B$11:$B$109,G11,1)</f>
        <v>F</v>
      </c>
      <c r="J11" s="208" t="str">
        <f>INDEX($B$11:$B$109,H11,1)</f>
        <v>I</v>
      </c>
      <c r="L11" t="str">
        <f t="shared" ref="L11:L51" si="0">_xlfn.CONCAT("=INDEX(Intersections!",I11,"64:",J11,"64,1,MATCH(LEFT(",B11,"9,1)",",Intersections!",I11,"5:",J11,"5,0))")</f>
        <v>=INDEX(Intersections!F64:I64,1,MATCH(LEFT(F9,1),Intersections!F5:I5,0))</v>
      </c>
      <c r="S11" t="s">
        <v>569</v>
      </c>
    </row>
    <row r="12" spans="1:19" x14ac:dyDescent="0.25">
      <c r="A12" s="208">
        <v>2</v>
      </c>
      <c r="B12" s="208" t="s">
        <v>346</v>
      </c>
      <c r="C12" s="208">
        <f>COUNTIF($G$10:$G$108,A12)+COUNTIF($H$10:$H$108,A12)</f>
        <v>0</v>
      </c>
      <c r="F12">
        <f>F11+1</f>
        <v>2</v>
      </c>
      <c r="G12" s="208">
        <f>G10+4</f>
        <v>5</v>
      </c>
      <c r="H12" s="208">
        <f>H10+4</f>
        <v>8</v>
      </c>
      <c r="I12" s="208" t="str">
        <f>INDEX($B$11:$B$109,G12,1)</f>
        <v>J</v>
      </c>
      <c r="J12" s="208" t="str">
        <f>INDEX($B$11:$B$109,H12,1)</f>
        <v>M</v>
      </c>
      <c r="L12" t="str">
        <f t="shared" si="0"/>
        <v>=INDEX(Intersections!J64:M64,1,MATCH(LEFT(G9,1),Intersections!J5:M5,0))</v>
      </c>
      <c r="S12" t="s">
        <v>570</v>
      </c>
    </row>
    <row r="13" spans="1:19" x14ac:dyDescent="0.25">
      <c r="A13" s="208">
        <v>3</v>
      </c>
      <c r="B13" s="208" t="s">
        <v>350</v>
      </c>
      <c r="C13" s="208">
        <f>COUNTIF($G$10:$G$108,A13)+COUNTIF($H$10:$H$108,A13)</f>
        <v>0</v>
      </c>
      <c r="F13">
        <f>F11+1</f>
        <v>2</v>
      </c>
      <c r="G13" s="208">
        <f>G11+4</f>
        <v>5</v>
      </c>
      <c r="H13" s="208">
        <f>H11+4</f>
        <v>8</v>
      </c>
      <c r="I13" s="208" t="str">
        <f>INDEX($B$11:$B$109,G13,1)</f>
        <v>J</v>
      </c>
      <c r="J13" s="208" t="str">
        <f>INDEX($B$11:$B$109,H13,1)</f>
        <v>M</v>
      </c>
      <c r="L13" t="str">
        <f t="shared" si="0"/>
        <v>=INDEX(Intersections!J64:M64,1,MATCH(LEFT(H9,1),Intersections!J5:M5,0))</v>
      </c>
      <c r="S13" t="s">
        <v>571</v>
      </c>
    </row>
    <row r="14" spans="1:19" x14ac:dyDescent="0.25">
      <c r="A14" s="208">
        <v>4</v>
      </c>
      <c r="B14" s="208" t="s">
        <v>347</v>
      </c>
      <c r="C14" s="208">
        <f>COUNTIF($G$10:$G$108,A14)+COUNTIF($H$10:$H$108,A14)</f>
        <v>2</v>
      </c>
      <c r="F14">
        <f>F13+1</f>
        <v>3</v>
      </c>
      <c r="G14" s="208">
        <f>G12+4</f>
        <v>9</v>
      </c>
      <c r="H14" s="208">
        <f>H12+4</f>
        <v>12</v>
      </c>
      <c r="I14" s="208" t="str">
        <f>INDEX($B$11:$B$109,G14,1)</f>
        <v>N</v>
      </c>
      <c r="J14" s="208" t="str">
        <f>INDEX($B$11:$B$109,H14,1)</f>
        <v>Q</v>
      </c>
      <c r="L14" t="str">
        <f t="shared" si="0"/>
        <v>=INDEX(Intersections!N64:Q64,1,MATCH(LEFT(I9,1),Intersections!N5:Q5,0))</v>
      </c>
      <c r="S14" t="s">
        <v>572</v>
      </c>
    </row>
    <row r="15" spans="1:19" x14ac:dyDescent="0.25">
      <c r="A15" s="208">
        <v>5</v>
      </c>
      <c r="B15" s="208" t="s">
        <v>351</v>
      </c>
      <c r="C15" s="208">
        <f>COUNTIF($G$10:$G$108,A15)+COUNTIF($H$10:$H$108,A15)</f>
        <v>2</v>
      </c>
      <c r="F15">
        <f>F13+1</f>
        <v>3</v>
      </c>
      <c r="G15" s="208">
        <f>G13+4</f>
        <v>9</v>
      </c>
      <c r="H15" s="208">
        <f>H13+4</f>
        <v>12</v>
      </c>
      <c r="I15" s="208" t="str">
        <f>INDEX($B$11:$B$109,G15,1)</f>
        <v>N</v>
      </c>
      <c r="J15" s="208" t="str">
        <f>INDEX($B$11:$B$109,H15,1)</f>
        <v>Q</v>
      </c>
      <c r="L15" t="str">
        <f t="shared" si="0"/>
        <v>=INDEX(Intersections!N64:Q64,1,MATCH(LEFT(J9,1),Intersections!N5:Q5,0))</v>
      </c>
      <c r="S15" t="s">
        <v>573</v>
      </c>
    </row>
    <row r="16" spans="1:19" x14ac:dyDescent="0.25">
      <c r="A16" s="208">
        <v>6</v>
      </c>
      <c r="B16" s="208" t="s">
        <v>348</v>
      </c>
      <c r="C16" s="208">
        <f>COUNTIF($G$10:$G$108,A16)+COUNTIF($H$10:$H$108,A16)</f>
        <v>0</v>
      </c>
      <c r="F16">
        <f t="shared" ref="F16:F23" si="1">F15+1</f>
        <v>4</v>
      </c>
      <c r="G16" s="208">
        <f>G14+4</f>
        <v>13</v>
      </c>
      <c r="H16" s="208">
        <f>H14+4</f>
        <v>16</v>
      </c>
      <c r="I16" s="208" t="str">
        <f>INDEX($B$11:$B$109,G16,1)</f>
        <v>R</v>
      </c>
      <c r="J16" s="208" t="str">
        <f>INDEX($B$11:$B$109,H16,1)</f>
        <v>U</v>
      </c>
      <c r="L16" t="str">
        <f t="shared" si="0"/>
        <v>=INDEX(Intersections!R64:U64,1,MATCH(LEFT(K9,1),Intersections!R5:U5,0))</v>
      </c>
      <c r="S16" t="s">
        <v>574</v>
      </c>
    </row>
    <row r="17" spans="1:19" x14ac:dyDescent="0.25">
      <c r="A17" s="208">
        <v>7</v>
      </c>
      <c r="B17" s="208" t="s">
        <v>352</v>
      </c>
      <c r="C17" s="208">
        <f>COUNTIF($G$10:$G$108,A17)+COUNTIF($H$10:$H$108,A17)</f>
        <v>0</v>
      </c>
      <c r="F17">
        <f t="shared" ref="F17" si="2">F15+1</f>
        <v>4</v>
      </c>
      <c r="G17" s="208">
        <f>G15+4</f>
        <v>13</v>
      </c>
      <c r="H17" s="208">
        <f>H15+4</f>
        <v>16</v>
      </c>
      <c r="I17" s="208" t="str">
        <f>INDEX($B$11:$B$109,G17,1)</f>
        <v>R</v>
      </c>
      <c r="J17" s="208" t="str">
        <f>INDEX($B$11:$B$109,H17,1)</f>
        <v>U</v>
      </c>
      <c r="L17" t="str">
        <f t="shared" si="0"/>
        <v>=INDEX(Intersections!R64:U64,1,MATCH(LEFT(L9,1),Intersections!R5:U5,0))</v>
      </c>
      <c r="S17" t="s">
        <v>575</v>
      </c>
    </row>
    <row r="18" spans="1:19" x14ac:dyDescent="0.25">
      <c r="A18" s="208">
        <v>8</v>
      </c>
      <c r="B18" s="208" t="s">
        <v>353</v>
      </c>
      <c r="C18" s="208">
        <f>COUNTIF($G$10:$G$108,A18)+COUNTIF($H$10:$H$108,A18)</f>
        <v>2</v>
      </c>
      <c r="F18">
        <f t="shared" ref="F18:F23" si="3">F17+1</f>
        <v>5</v>
      </c>
      <c r="G18" s="208">
        <f>G16+4</f>
        <v>17</v>
      </c>
      <c r="H18" s="208">
        <f>H16+4</f>
        <v>20</v>
      </c>
      <c r="I18" s="208" t="str">
        <f>INDEX($B$11:$B$109,G18,1)</f>
        <v>V</v>
      </c>
      <c r="J18" s="208" t="str">
        <f>INDEX($B$11:$B$109,H18,1)</f>
        <v>Y</v>
      </c>
      <c r="L18" t="str">
        <f t="shared" si="0"/>
        <v>=INDEX(Intersections!V64:Y64,1,MATCH(LEFT(M9,1),Intersections!V5:Y5,0))</v>
      </c>
      <c r="S18" t="s">
        <v>576</v>
      </c>
    </row>
    <row r="19" spans="1:19" x14ac:dyDescent="0.25">
      <c r="A19" s="208">
        <v>9</v>
      </c>
      <c r="B19" s="208" t="s">
        <v>238</v>
      </c>
      <c r="C19" s="208">
        <f>COUNTIF($G$10:$G$108,A19)+COUNTIF($H$10:$H$108,A19)</f>
        <v>2</v>
      </c>
      <c r="F19">
        <f t="shared" ref="F19" si="4">F17+1</f>
        <v>5</v>
      </c>
      <c r="G19" s="208">
        <f>G17+4</f>
        <v>17</v>
      </c>
      <c r="H19" s="208">
        <f>H17+4</f>
        <v>20</v>
      </c>
      <c r="I19" s="208" t="str">
        <f>INDEX($B$11:$B$109,G19,1)</f>
        <v>V</v>
      </c>
      <c r="J19" s="208" t="str">
        <f>INDEX($B$11:$B$109,H19,1)</f>
        <v>Y</v>
      </c>
      <c r="L19" t="str">
        <f t="shared" si="0"/>
        <v>=INDEX(Intersections!V64:Y64,1,MATCH(LEFT(N9,1),Intersections!V5:Y5,0))</v>
      </c>
      <c r="S19" t="s">
        <v>577</v>
      </c>
    </row>
    <row r="20" spans="1:19" x14ac:dyDescent="0.25">
      <c r="A20" s="208">
        <v>10</v>
      </c>
      <c r="B20" s="208" t="s">
        <v>354</v>
      </c>
      <c r="C20" s="208">
        <f>COUNTIF($G$10:$G$108,A20)+COUNTIF($H$10:$H$108,A20)</f>
        <v>0</v>
      </c>
      <c r="F20">
        <f t="shared" ref="F20:F23" si="5">F19+1</f>
        <v>6</v>
      </c>
      <c r="G20" s="208">
        <f>G18+4</f>
        <v>21</v>
      </c>
      <c r="H20" s="208">
        <f>H18+4</f>
        <v>24</v>
      </c>
      <c r="I20" s="208" t="str">
        <f>INDEX($B$11:$B$109,G20,1)</f>
        <v>Z</v>
      </c>
      <c r="J20" s="208" t="str">
        <f>INDEX($B$11:$B$109,H20,1)</f>
        <v>AC</v>
      </c>
      <c r="L20" t="str">
        <f t="shared" si="0"/>
        <v>=INDEX(Intersections!Z64:AC64,1,MATCH(LEFT(O9,1),Intersections!Z5:AC5,0))</v>
      </c>
      <c r="S20" t="s">
        <v>578</v>
      </c>
    </row>
    <row r="21" spans="1:19" x14ac:dyDescent="0.25">
      <c r="A21" s="208">
        <v>11</v>
      </c>
      <c r="B21" s="208" t="s">
        <v>355</v>
      </c>
      <c r="C21" s="208">
        <f>COUNTIF($G$10:$G$108,A21)+COUNTIF($H$10:$H$108,A21)</f>
        <v>0</v>
      </c>
      <c r="F21">
        <f t="shared" ref="F21" si="6">F19+1</f>
        <v>6</v>
      </c>
      <c r="G21" s="208">
        <f>G19+4</f>
        <v>21</v>
      </c>
      <c r="H21" s="208">
        <f>H19+4</f>
        <v>24</v>
      </c>
      <c r="I21" s="208" t="str">
        <f>INDEX($B$11:$B$109,G21,1)</f>
        <v>Z</v>
      </c>
      <c r="J21" s="208" t="str">
        <f>INDEX($B$11:$B$109,H21,1)</f>
        <v>AC</v>
      </c>
      <c r="L21" t="str">
        <f t="shared" si="0"/>
        <v>=INDEX(Intersections!Z64:AC64,1,MATCH(LEFT(P9,1),Intersections!Z5:AC5,0))</v>
      </c>
      <c r="S21" t="s">
        <v>579</v>
      </c>
    </row>
    <row r="22" spans="1:19" x14ac:dyDescent="0.25">
      <c r="A22" s="208">
        <v>12</v>
      </c>
      <c r="B22" s="208" t="s">
        <v>356</v>
      </c>
      <c r="C22" s="208">
        <f>COUNTIF($G$10:$G$108,A22)+COUNTIF($H$10:$H$108,A22)</f>
        <v>2</v>
      </c>
      <c r="F22">
        <f t="shared" ref="F22:F23" si="7">F21+1</f>
        <v>7</v>
      </c>
      <c r="G22" s="208">
        <f>G20+4</f>
        <v>25</v>
      </c>
      <c r="H22" s="208">
        <f>H20+4</f>
        <v>28</v>
      </c>
      <c r="I22" s="208" t="str">
        <f>INDEX($B$11:$B$109,G22,1)</f>
        <v>AD</v>
      </c>
      <c r="J22" s="208" t="str">
        <f>INDEX($B$11:$B$109,H22,1)</f>
        <v>AG</v>
      </c>
      <c r="L22" t="str">
        <f t="shared" si="0"/>
        <v>=INDEX(Intersections!AD64:AG64,1,MATCH(LEFT(Q9,1),Intersections!AD5:AG5,0))</v>
      </c>
      <c r="S22" t="s">
        <v>580</v>
      </c>
    </row>
    <row r="23" spans="1:19" x14ac:dyDescent="0.25">
      <c r="A23" s="208">
        <v>13</v>
      </c>
      <c r="B23" s="208" t="s">
        <v>335</v>
      </c>
      <c r="C23" s="208">
        <f>COUNTIF($G$10:$G$108,A23)+COUNTIF($H$10:$H$108,A23)</f>
        <v>2</v>
      </c>
      <c r="F23">
        <f t="shared" ref="F23" si="8">F21+1</f>
        <v>7</v>
      </c>
      <c r="G23" s="208">
        <f>G21+4</f>
        <v>25</v>
      </c>
      <c r="H23" s="208">
        <f>H21+4</f>
        <v>28</v>
      </c>
      <c r="I23" s="208" t="str">
        <f>INDEX($B$11:$B$109,G23,1)</f>
        <v>AD</v>
      </c>
      <c r="J23" s="208" t="str">
        <f>INDEX($B$11:$B$109,H23,1)</f>
        <v>AG</v>
      </c>
      <c r="L23" t="str">
        <f t="shared" si="0"/>
        <v>=INDEX(Intersections!AD64:AG64,1,MATCH(LEFT(R9,1),Intersections!AD5:AG5,0))</v>
      </c>
      <c r="S23" t="s">
        <v>581</v>
      </c>
    </row>
    <row r="24" spans="1:19" x14ac:dyDescent="0.25">
      <c r="A24" s="208">
        <v>14</v>
      </c>
      <c r="B24" s="208" t="s">
        <v>5</v>
      </c>
      <c r="C24" s="208">
        <f>COUNTIF($G$10:$G$108,A24)+COUNTIF($H$10:$H$108,A24)</f>
        <v>0</v>
      </c>
      <c r="F24">
        <f t="shared" ref="F24:F51" si="9">F23+1</f>
        <v>8</v>
      </c>
      <c r="G24" s="208">
        <f>G22+4</f>
        <v>29</v>
      </c>
      <c r="H24" s="208">
        <f>H22+4</f>
        <v>32</v>
      </c>
      <c r="I24" s="208" t="str">
        <f>INDEX($B$11:$B$109,G24,1)</f>
        <v>AH</v>
      </c>
      <c r="J24" s="208" t="str">
        <f>INDEX($B$11:$B$109,H24,1)</f>
        <v>AK</v>
      </c>
      <c r="L24" t="str">
        <f t="shared" si="0"/>
        <v>=INDEX(Intersections!AH64:AK64,1,MATCH(LEFT(S9,1),Intersections!AH5:AK5,0))</v>
      </c>
      <c r="S24" t="s">
        <v>582</v>
      </c>
    </row>
    <row r="25" spans="1:19" x14ac:dyDescent="0.25">
      <c r="A25" s="208">
        <v>15</v>
      </c>
      <c r="B25" s="208" t="s">
        <v>357</v>
      </c>
      <c r="C25" s="208">
        <f>COUNTIF($G$10:$G$108,A25)+COUNTIF($H$10:$H$108,A25)</f>
        <v>0</v>
      </c>
      <c r="F25">
        <f t="shared" ref="F25" si="10">F23+1</f>
        <v>8</v>
      </c>
      <c r="G25" s="208">
        <f>G23+4</f>
        <v>29</v>
      </c>
      <c r="H25" s="208">
        <f>H23+4</f>
        <v>32</v>
      </c>
      <c r="I25" s="208" t="str">
        <f>INDEX($B$11:$B$109,G25,1)</f>
        <v>AH</v>
      </c>
      <c r="J25" s="208" t="str">
        <f>INDEX($B$11:$B$109,H25,1)</f>
        <v>AK</v>
      </c>
      <c r="L25" t="str">
        <f t="shared" si="0"/>
        <v>=INDEX(Intersections!AH64:AK64,1,MATCH(LEFT(T9,1),Intersections!AH5:AK5,0))</v>
      </c>
      <c r="S25" t="s">
        <v>583</v>
      </c>
    </row>
    <row r="26" spans="1:19" x14ac:dyDescent="0.25">
      <c r="A26" s="208">
        <v>16</v>
      </c>
      <c r="B26" s="208" t="s">
        <v>358</v>
      </c>
      <c r="C26" s="208">
        <f>COUNTIF($G$10:$G$108,A26)+COUNTIF($H$10:$H$108,A26)</f>
        <v>2</v>
      </c>
      <c r="F26">
        <f t="shared" ref="F26:F51" si="11">F25+1</f>
        <v>9</v>
      </c>
      <c r="G26" s="208">
        <f>G24+4</f>
        <v>33</v>
      </c>
      <c r="H26" s="208">
        <f>H24+4</f>
        <v>36</v>
      </c>
      <c r="I26" s="208" t="str">
        <f>INDEX($B$11:$B$109,G26,1)</f>
        <v>AL</v>
      </c>
      <c r="J26" s="208" t="str">
        <f>INDEX($B$11:$B$109,H26,1)</f>
        <v>AO</v>
      </c>
      <c r="L26" t="str">
        <f t="shared" si="0"/>
        <v>=INDEX(Intersections!AL64:AO64,1,MATCH(LEFT(U9,1),Intersections!AL5:AO5,0))</v>
      </c>
      <c r="S26" t="s">
        <v>584</v>
      </c>
    </row>
    <row r="27" spans="1:19" x14ac:dyDescent="0.25">
      <c r="A27" s="208">
        <v>17</v>
      </c>
      <c r="B27" s="208" t="s">
        <v>359</v>
      </c>
      <c r="C27" s="208">
        <f>COUNTIF($G$10:$G$108,A27)+COUNTIF($H$10:$H$108,A27)</f>
        <v>2</v>
      </c>
      <c r="F27">
        <f t="shared" ref="F27" si="12">F25+1</f>
        <v>9</v>
      </c>
      <c r="G27" s="208">
        <f>G25+4</f>
        <v>33</v>
      </c>
      <c r="H27" s="208">
        <f>H25+4</f>
        <v>36</v>
      </c>
      <c r="I27" s="208" t="str">
        <f>INDEX($B$11:$B$109,G27,1)</f>
        <v>AL</v>
      </c>
      <c r="J27" s="208" t="str">
        <f>INDEX($B$11:$B$109,H27,1)</f>
        <v>AO</v>
      </c>
      <c r="L27" t="str">
        <f t="shared" si="0"/>
        <v>=INDEX(Intersections!AL64:AO64,1,MATCH(LEFT(V9,1),Intersections!AL5:AO5,0))</v>
      </c>
      <c r="S27" t="s">
        <v>585</v>
      </c>
    </row>
    <row r="28" spans="1:19" x14ac:dyDescent="0.25">
      <c r="A28" s="208">
        <v>18</v>
      </c>
      <c r="B28" s="208" t="s">
        <v>240</v>
      </c>
      <c r="C28" s="208">
        <f>COUNTIF($G$10:$G$108,A28)+COUNTIF($H$10:$H$108,A28)</f>
        <v>0</v>
      </c>
      <c r="F28">
        <f t="shared" ref="F28:F51" si="13">F27+1</f>
        <v>10</v>
      </c>
      <c r="G28" s="208">
        <f>G26+4</f>
        <v>37</v>
      </c>
      <c r="H28" s="208">
        <f>H26+4</f>
        <v>40</v>
      </c>
      <c r="I28" s="208" t="str">
        <f>INDEX($B$11:$B$109,G28,1)</f>
        <v>AP</v>
      </c>
      <c r="J28" s="208" t="str">
        <f>INDEX($B$11:$B$109,H28,1)</f>
        <v>AS</v>
      </c>
      <c r="L28" t="str">
        <f t="shared" si="0"/>
        <v>=INDEX(Intersections!AP64:AS64,1,MATCH(LEFT(W9,1),Intersections!AP5:AS5,0))</v>
      </c>
      <c r="S28" t="s">
        <v>586</v>
      </c>
    </row>
    <row r="29" spans="1:19" x14ac:dyDescent="0.25">
      <c r="A29" s="208">
        <v>19</v>
      </c>
      <c r="B29" s="208" t="s">
        <v>360</v>
      </c>
      <c r="C29" s="208">
        <f>COUNTIF($G$10:$G$108,A29)+COUNTIF($H$10:$H$108,A29)</f>
        <v>0</v>
      </c>
      <c r="F29">
        <f t="shared" ref="F29:F41" si="14">F27+1</f>
        <v>10</v>
      </c>
      <c r="G29" s="208">
        <f>G27+4</f>
        <v>37</v>
      </c>
      <c r="H29" s="208">
        <f>H27+4</f>
        <v>40</v>
      </c>
      <c r="I29" s="208" t="str">
        <f>INDEX($B$11:$B$109,G29,1)</f>
        <v>AP</v>
      </c>
      <c r="J29" s="208" t="str">
        <f>INDEX($B$11:$B$109,H29,1)</f>
        <v>AS</v>
      </c>
      <c r="L29" t="str">
        <f t="shared" si="0"/>
        <v>=INDEX(Intersections!AP64:AS64,1,MATCH(LEFT(X9,1),Intersections!AP5:AS5,0))</v>
      </c>
      <c r="S29" t="s">
        <v>587</v>
      </c>
    </row>
    <row r="30" spans="1:19" x14ac:dyDescent="0.25">
      <c r="A30" s="208">
        <v>20</v>
      </c>
      <c r="B30" s="208" t="s">
        <v>333</v>
      </c>
      <c r="C30" s="208">
        <f>COUNTIF($G$10:$G$108,A30)+COUNTIF($H$10:$H$108,A30)</f>
        <v>2</v>
      </c>
      <c r="F30">
        <f t="shared" ref="F30:F51" si="15">F29+1</f>
        <v>11</v>
      </c>
      <c r="G30" s="208">
        <f>G28+4</f>
        <v>41</v>
      </c>
      <c r="H30" s="208">
        <f>H28+4</f>
        <v>44</v>
      </c>
      <c r="I30" s="208" t="str">
        <f>INDEX($B$11:$B$109,G30,1)</f>
        <v>AT</v>
      </c>
      <c r="J30" s="208" t="str">
        <f>INDEX($B$11:$B$109,H30,1)</f>
        <v>AW</v>
      </c>
      <c r="L30" t="str">
        <f t="shared" si="0"/>
        <v>=INDEX(Intersections!AT64:AW64,1,MATCH(LEFT(Y9,1),Intersections!AT5:AW5,0))</v>
      </c>
      <c r="S30" t="s">
        <v>588</v>
      </c>
    </row>
    <row r="31" spans="1:19" x14ac:dyDescent="0.25">
      <c r="A31" s="208">
        <v>21</v>
      </c>
      <c r="B31" s="208" t="s">
        <v>361</v>
      </c>
      <c r="C31" s="208">
        <f>COUNTIF($G$10:$G$108,A31)+COUNTIF($H$10:$H$108,A31)</f>
        <v>2</v>
      </c>
      <c r="F31">
        <f t="shared" ref="F31:F43" si="16">F29+1</f>
        <v>11</v>
      </c>
      <c r="G31" s="208">
        <f>G29+4</f>
        <v>41</v>
      </c>
      <c r="H31" s="208">
        <f>H29+4</f>
        <v>44</v>
      </c>
      <c r="I31" s="208" t="str">
        <f>INDEX($B$11:$B$109,G31,1)</f>
        <v>AT</v>
      </c>
      <c r="J31" s="208" t="str">
        <f>INDEX($B$11:$B$109,H31,1)</f>
        <v>AW</v>
      </c>
      <c r="L31" t="str">
        <f t="shared" si="0"/>
        <v>=INDEX(Intersections!AT64:AW64,1,MATCH(LEFT(Z9,1),Intersections!AT5:AW5,0))</v>
      </c>
      <c r="S31" t="s">
        <v>589</v>
      </c>
    </row>
    <row r="32" spans="1:19" x14ac:dyDescent="0.25">
      <c r="A32" s="208">
        <v>22</v>
      </c>
      <c r="B32" s="208" t="s">
        <v>363</v>
      </c>
      <c r="C32" s="208">
        <f>COUNTIF($G$10:$G$108,A32)+COUNTIF($H$10:$H$108,A32)</f>
        <v>0</v>
      </c>
      <c r="F32">
        <f t="shared" ref="F32:F51" si="17">F31+1</f>
        <v>12</v>
      </c>
      <c r="G32" s="208">
        <f>G30+4</f>
        <v>45</v>
      </c>
      <c r="H32" s="208">
        <f>H30+4</f>
        <v>48</v>
      </c>
      <c r="I32" s="208" t="str">
        <f>INDEX($B$11:$B$109,G32,1)</f>
        <v>AX</v>
      </c>
      <c r="J32" s="208" t="str">
        <f>INDEX($B$11:$B$109,H32,1)</f>
        <v>BA</v>
      </c>
      <c r="L32" t="str">
        <f t="shared" si="0"/>
        <v>=INDEX(Intersections!AX64:BA64,1,MATCH(LEFT(AA9,1),Intersections!AX5:BA5,0))</v>
      </c>
      <c r="S32" t="s">
        <v>590</v>
      </c>
    </row>
    <row r="33" spans="1:19" x14ac:dyDescent="0.25">
      <c r="A33" s="208">
        <v>23</v>
      </c>
      <c r="B33" s="208" t="s">
        <v>362</v>
      </c>
      <c r="C33" s="208">
        <f>COUNTIF($G$10:$G$108,A33)+COUNTIF($H$10:$H$108,A33)</f>
        <v>0</v>
      </c>
      <c r="F33">
        <f t="shared" ref="F33:F45" si="18">F31+1</f>
        <v>12</v>
      </c>
      <c r="G33" s="208">
        <f>G31+4</f>
        <v>45</v>
      </c>
      <c r="H33" s="208">
        <f>H31+4</f>
        <v>48</v>
      </c>
      <c r="I33" s="208" t="str">
        <f>INDEX($B$11:$B$109,G33,1)</f>
        <v>AX</v>
      </c>
      <c r="J33" s="208" t="str">
        <f>INDEX($B$11:$B$109,H33,1)</f>
        <v>BA</v>
      </c>
      <c r="L33" t="str">
        <f t="shared" si="0"/>
        <v>=INDEX(Intersections!AX64:BA64,1,MATCH(LEFT(AB9,1),Intersections!AX5:BA5,0))</v>
      </c>
      <c r="S33" t="s">
        <v>591</v>
      </c>
    </row>
    <row r="34" spans="1:19" x14ac:dyDescent="0.25">
      <c r="A34" s="208">
        <v>24</v>
      </c>
      <c r="B34" s="208" t="s">
        <v>366</v>
      </c>
      <c r="C34" s="208">
        <f>COUNTIF($G$10:$G$108,A34)+COUNTIF($H$10:$H$108,A34)</f>
        <v>2</v>
      </c>
      <c r="F34">
        <f t="shared" ref="F34:F51" si="19">F33+1</f>
        <v>13</v>
      </c>
      <c r="G34" s="208">
        <f>G32+4</f>
        <v>49</v>
      </c>
      <c r="H34" s="208">
        <f>H32+4</f>
        <v>52</v>
      </c>
      <c r="I34" s="208" t="str">
        <f>INDEX($B$11:$B$109,G34,1)</f>
        <v>BB</v>
      </c>
      <c r="J34" s="208" t="str">
        <f>INDEX($B$11:$B$109,H34,1)</f>
        <v>BE</v>
      </c>
      <c r="L34" t="str">
        <f t="shared" si="0"/>
        <v>=INDEX(Intersections!BB64:BE64,1,MATCH(LEFT(AC9,1),Intersections!BB5:BE5,0))</v>
      </c>
      <c r="S34" t="s">
        <v>592</v>
      </c>
    </row>
    <row r="35" spans="1:19" x14ac:dyDescent="0.25">
      <c r="A35" s="208">
        <v>25</v>
      </c>
      <c r="B35" s="208" t="s">
        <v>367</v>
      </c>
      <c r="C35" s="208">
        <f>COUNTIF($G$10:$G$108,A35)+COUNTIF($H$10:$H$108,A35)</f>
        <v>2</v>
      </c>
      <c r="F35">
        <f t="shared" ref="F35:F47" si="20">F33+1</f>
        <v>13</v>
      </c>
      <c r="G35" s="208">
        <f>G33+4</f>
        <v>49</v>
      </c>
      <c r="H35" s="208">
        <f>H33+4</f>
        <v>52</v>
      </c>
      <c r="I35" s="208" t="str">
        <f>INDEX($B$11:$B$109,G35,1)</f>
        <v>BB</v>
      </c>
      <c r="J35" s="208" t="str">
        <f>INDEX($B$11:$B$109,H35,1)</f>
        <v>BE</v>
      </c>
      <c r="L35" t="str">
        <f t="shared" si="0"/>
        <v>=INDEX(Intersections!BB64:BE64,1,MATCH(LEFT(AD9,1),Intersections!BB5:BE5,0))</v>
      </c>
      <c r="S35" t="s">
        <v>593</v>
      </c>
    </row>
    <row r="36" spans="1:19" x14ac:dyDescent="0.25">
      <c r="A36" s="208">
        <v>26</v>
      </c>
      <c r="B36" s="208" t="s">
        <v>368</v>
      </c>
      <c r="C36" s="208">
        <f>COUNTIF($G$10:$G$108,A36)+COUNTIF($H$10:$H$108,A36)</f>
        <v>0</v>
      </c>
      <c r="F36">
        <f t="shared" ref="F36:F51" si="21">F35+1</f>
        <v>14</v>
      </c>
      <c r="G36" s="208">
        <f>G34+4</f>
        <v>53</v>
      </c>
      <c r="H36" s="208">
        <f>H34+4</f>
        <v>56</v>
      </c>
      <c r="I36" s="208" t="str">
        <f>INDEX($B$11:$B$109,G36,1)</f>
        <v>BF</v>
      </c>
      <c r="J36" s="208" t="str">
        <f>INDEX($B$11:$B$109,H36,1)</f>
        <v>BI</v>
      </c>
      <c r="L36" t="str">
        <f t="shared" si="0"/>
        <v>=INDEX(Intersections!BF64:BI64,1,MATCH(LEFT(AE9,1),Intersections!BF5:BI5,0))</v>
      </c>
      <c r="S36" t="s">
        <v>594</v>
      </c>
    </row>
    <row r="37" spans="1:19" x14ac:dyDescent="0.25">
      <c r="A37" s="208">
        <v>27</v>
      </c>
      <c r="B37" s="208" t="s">
        <v>369</v>
      </c>
      <c r="C37" s="208">
        <f>COUNTIF($G$10:$G$108,A37)+COUNTIF($H$10:$H$108,A37)</f>
        <v>0</v>
      </c>
      <c r="F37">
        <f t="shared" ref="F37" si="22">F35+1</f>
        <v>14</v>
      </c>
      <c r="G37" s="208">
        <f>G35+4</f>
        <v>53</v>
      </c>
      <c r="H37" s="208">
        <f>H35+4</f>
        <v>56</v>
      </c>
      <c r="I37" s="208" t="str">
        <f>INDEX($B$11:$B$109,G37,1)</f>
        <v>BF</v>
      </c>
      <c r="J37" s="208" t="str">
        <f>INDEX($B$11:$B$109,H37,1)</f>
        <v>BI</v>
      </c>
      <c r="L37" t="str">
        <f t="shared" si="0"/>
        <v>=INDEX(Intersections!BF64:BI64,1,MATCH(LEFT(AF9,1),Intersections!BF5:BI5,0))</v>
      </c>
      <c r="S37" t="s">
        <v>595</v>
      </c>
    </row>
    <row r="38" spans="1:19" x14ac:dyDescent="0.25">
      <c r="A38" s="208">
        <v>28</v>
      </c>
      <c r="B38" s="208" t="s">
        <v>370</v>
      </c>
      <c r="C38" s="208">
        <f>COUNTIF($G$10:$G$108,A38)+COUNTIF($H$10:$H$108,A38)</f>
        <v>2</v>
      </c>
      <c r="F38">
        <f t="shared" ref="F38:F51" si="23">F37+1</f>
        <v>15</v>
      </c>
      <c r="G38" s="208">
        <f>G36+4</f>
        <v>57</v>
      </c>
      <c r="H38" s="208">
        <f>H36+4</f>
        <v>60</v>
      </c>
      <c r="I38" s="208" t="str">
        <f>INDEX($B$11:$B$109,G38,1)</f>
        <v>BJ</v>
      </c>
      <c r="J38" s="208" t="str">
        <f>INDEX($B$11:$B$109,H38,1)</f>
        <v>BM</v>
      </c>
      <c r="L38" t="str">
        <f t="shared" si="0"/>
        <v>=INDEX(Intersections!BJ64:BM64,1,MATCH(LEFT(AG9,1),Intersections!BJ5:BM5,0))</v>
      </c>
      <c r="S38" t="s">
        <v>596</v>
      </c>
    </row>
    <row r="39" spans="1:19" x14ac:dyDescent="0.25">
      <c r="A39" s="208">
        <v>29</v>
      </c>
      <c r="B39" s="208" t="s">
        <v>371</v>
      </c>
      <c r="C39" s="208">
        <f>COUNTIF($G$10:$G$108,A39)+COUNTIF($H$10:$H$108,A39)</f>
        <v>2</v>
      </c>
      <c r="F39">
        <f t="shared" ref="F39" si="24">F37+1</f>
        <v>15</v>
      </c>
      <c r="G39" s="208">
        <f t="shared" ref="G39:H51" si="25">G37+4</f>
        <v>57</v>
      </c>
      <c r="H39" s="208">
        <f>H37+4</f>
        <v>60</v>
      </c>
      <c r="I39" s="208" t="str">
        <f>INDEX($B$11:$B$109,G39,1)</f>
        <v>BJ</v>
      </c>
      <c r="J39" s="208" t="str">
        <f>INDEX($B$11:$B$109,H39,1)</f>
        <v>BM</v>
      </c>
      <c r="L39" t="str">
        <f t="shared" si="0"/>
        <v>=INDEX(Intersections!BJ64:BM64,1,MATCH(LEFT(AH9,1),Intersections!BJ5:BM5,0))</v>
      </c>
      <c r="S39" t="s">
        <v>597</v>
      </c>
    </row>
    <row r="40" spans="1:19" x14ac:dyDescent="0.25">
      <c r="A40" s="208">
        <v>30</v>
      </c>
      <c r="B40" s="208" t="s">
        <v>372</v>
      </c>
      <c r="C40" s="208">
        <f>COUNTIF($G$10:$G$108,A40)+COUNTIF($H$10:$H$108,A40)</f>
        <v>0</v>
      </c>
      <c r="F40">
        <f t="shared" si="13"/>
        <v>16</v>
      </c>
      <c r="G40" s="208">
        <f t="shared" si="25"/>
        <v>61</v>
      </c>
      <c r="H40" s="208">
        <f t="shared" si="25"/>
        <v>64</v>
      </c>
      <c r="I40" s="208" t="str">
        <f t="shared" ref="I40:I51" si="26">INDEX($B$11:$B$109,G40,1)</f>
        <v>BN</v>
      </c>
      <c r="J40" s="208" t="str">
        <f t="shared" ref="J40:J51" si="27">INDEX($B$11:$B$109,H40,1)</f>
        <v>BQ</v>
      </c>
      <c r="L40" t="str">
        <f t="shared" si="0"/>
        <v>=INDEX(Intersections!BN64:BQ64,1,MATCH(LEFT(AI9,1),Intersections!BN5:BQ5,0))</v>
      </c>
      <c r="S40" t="s">
        <v>598</v>
      </c>
    </row>
    <row r="41" spans="1:19" x14ac:dyDescent="0.25">
      <c r="A41" s="208">
        <v>31</v>
      </c>
      <c r="B41" s="208" t="s">
        <v>373</v>
      </c>
      <c r="C41" s="208">
        <f>COUNTIF($G$10:$G$108,A41)+COUNTIF($H$10:$H$108,A41)</f>
        <v>0</v>
      </c>
      <c r="F41">
        <f t="shared" si="14"/>
        <v>16</v>
      </c>
      <c r="G41" s="208">
        <f t="shared" si="25"/>
        <v>61</v>
      </c>
      <c r="H41" s="208">
        <f t="shared" si="25"/>
        <v>64</v>
      </c>
      <c r="I41" s="208" t="str">
        <f t="shared" si="26"/>
        <v>BN</v>
      </c>
      <c r="J41" s="208" t="str">
        <f t="shared" si="27"/>
        <v>BQ</v>
      </c>
      <c r="L41" t="str">
        <f t="shared" si="0"/>
        <v>=INDEX(Intersections!BN64:BQ64,1,MATCH(LEFT(AJ9,1),Intersections!BN5:BQ5,0))</v>
      </c>
      <c r="S41" t="s">
        <v>599</v>
      </c>
    </row>
    <row r="42" spans="1:19" x14ac:dyDescent="0.25">
      <c r="A42" s="208">
        <v>32</v>
      </c>
      <c r="B42" s="208" t="s">
        <v>374</v>
      </c>
      <c r="C42" s="208">
        <f>COUNTIF($G$10:$G$108,A42)+COUNTIF($H$10:$H$108,A42)</f>
        <v>2</v>
      </c>
      <c r="F42">
        <f t="shared" si="15"/>
        <v>17</v>
      </c>
      <c r="G42" s="208">
        <f t="shared" si="25"/>
        <v>65</v>
      </c>
      <c r="H42" s="208">
        <f t="shared" si="25"/>
        <v>68</v>
      </c>
      <c r="I42" s="208" t="str">
        <f t="shared" si="26"/>
        <v>BR</v>
      </c>
      <c r="J42" s="208" t="str">
        <f t="shared" si="27"/>
        <v>BU</v>
      </c>
      <c r="L42" t="str">
        <f t="shared" si="0"/>
        <v>=INDEX(Intersections!BR64:BU64,1,MATCH(LEFT(AK9,1),Intersections!BR5:BU5,0))</v>
      </c>
      <c r="S42" t="s">
        <v>600</v>
      </c>
    </row>
    <row r="43" spans="1:19" x14ac:dyDescent="0.25">
      <c r="A43" s="208">
        <v>33</v>
      </c>
      <c r="B43" s="208" t="s">
        <v>375</v>
      </c>
      <c r="C43" s="208">
        <f>COUNTIF($G$10:$G$108,A43)+COUNTIF($H$10:$H$108,A43)</f>
        <v>2</v>
      </c>
      <c r="F43">
        <f t="shared" si="16"/>
        <v>17</v>
      </c>
      <c r="G43" s="208">
        <f t="shared" si="25"/>
        <v>65</v>
      </c>
      <c r="H43" s="208">
        <f t="shared" si="25"/>
        <v>68</v>
      </c>
      <c r="I43" s="208" t="str">
        <f t="shared" si="26"/>
        <v>BR</v>
      </c>
      <c r="J43" s="208" t="str">
        <f t="shared" si="27"/>
        <v>BU</v>
      </c>
      <c r="L43" t="str">
        <f t="shared" si="0"/>
        <v>=INDEX(Intersections!BR64:BU64,1,MATCH(LEFT(AL9,1),Intersections!BR5:BU5,0))</v>
      </c>
      <c r="S43" t="s">
        <v>601</v>
      </c>
    </row>
    <row r="44" spans="1:19" x14ac:dyDescent="0.25">
      <c r="A44" s="208">
        <v>34</v>
      </c>
      <c r="B44" s="208" t="s">
        <v>376</v>
      </c>
      <c r="C44" s="208">
        <f>COUNTIF($G$10:$G$108,A44)+COUNTIF($H$10:$H$108,A44)</f>
        <v>0</v>
      </c>
      <c r="F44">
        <f t="shared" si="17"/>
        <v>18</v>
      </c>
      <c r="G44" s="208">
        <f t="shared" si="25"/>
        <v>69</v>
      </c>
      <c r="H44" s="208">
        <f t="shared" si="25"/>
        <v>72</v>
      </c>
      <c r="I44" s="208" t="str">
        <f t="shared" si="26"/>
        <v>BV</v>
      </c>
      <c r="J44" s="208" t="str">
        <f t="shared" si="27"/>
        <v>BY</v>
      </c>
      <c r="L44" t="str">
        <f t="shared" si="0"/>
        <v>=INDEX(Intersections!BV64:BY64,1,MATCH(LEFT(AM9,1),Intersections!BV5:BY5,0))</v>
      </c>
      <c r="S44" t="s">
        <v>602</v>
      </c>
    </row>
    <row r="45" spans="1:19" x14ac:dyDescent="0.25">
      <c r="A45" s="208">
        <v>35</v>
      </c>
      <c r="B45" s="208" t="s">
        <v>377</v>
      </c>
      <c r="C45" s="208">
        <f>COUNTIF($G$10:$G$108,A45)+COUNTIF($H$10:$H$108,A45)</f>
        <v>0</v>
      </c>
      <c r="F45">
        <f t="shared" si="18"/>
        <v>18</v>
      </c>
      <c r="G45" s="208">
        <f t="shared" si="25"/>
        <v>69</v>
      </c>
      <c r="H45" s="208">
        <f t="shared" si="25"/>
        <v>72</v>
      </c>
      <c r="I45" s="208" t="str">
        <f t="shared" si="26"/>
        <v>BV</v>
      </c>
      <c r="J45" s="208" t="str">
        <f t="shared" si="27"/>
        <v>BY</v>
      </c>
      <c r="L45" t="str">
        <f t="shared" si="0"/>
        <v>=INDEX(Intersections!BV64:BY64,1,MATCH(LEFT(AN9,1),Intersections!BV5:BY5,0))</v>
      </c>
      <c r="S45" t="s">
        <v>603</v>
      </c>
    </row>
    <row r="46" spans="1:19" x14ac:dyDescent="0.25">
      <c r="A46" s="208">
        <v>36</v>
      </c>
      <c r="B46" s="208" t="s">
        <v>378</v>
      </c>
      <c r="C46" s="208">
        <f>COUNTIF($G$10:$G$108,A46)+COUNTIF($H$10:$H$108,A46)</f>
        <v>2</v>
      </c>
      <c r="F46">
        <f t="shared" si="19"/>
        <v>19</v>
      </c>
      <c r="G46" s="208">
        <f t="shared" si="25"/>
        <v>73</v>
      </c>
      <c r="H46" s="208">
        <f t="shared" si="25"/>
        <v>76</v>
      </c>
      <c r="I46" s="208" t="str">
        <f t="shared" si="26"/>
        <v>BZ</v>
      </c>
      <c r="J46" s="208" t="str">
        <f t="shared" si="27"/>
        <v>CC</v>
      </c>
      <c r="L46" t="str">
        <f t="shared" si="0"/>
        <v>=INDEX(Intersections!BZ64:CC64,1,MATCH(LEFT(AO9,1),Intersections!BZ5:CC5,0))</v>
      </c>
      <c r="S46" t="s">
        <v>604</v>
      </c>
    </row>
    <row r="47" spans="1:19" x14ac:dyDescent="0.25">
      <c r="A47" s="208">
        <v>37</v>
      </c>
      <c r="B47" s="208" t="s">
        <v>379</v>
      </c>
      <c r="C47" s="208">
        <f>COUNTIF($G$10:$G$108,A47)+COUNTIF($H$10:$H$108,A47)</f>
        <v>2</v>
      </c>
      <c r="F47">
        <f t="shared" si="20"/>
        <v>19</v>
      </c>
      <c r="G47" s="208">
        <f t="shared" si="25"/>
        <v>73</v>
      </c>
      <c r="H47" s="208">
        <f t="shared" si="25"/>
        <v>76</v>
      </c>
      <c r="I47" s="208" t="str">
        <f t="shared" si="26"/>
        <v>BZ</v>
      </c>
      <c r="J47" s="208" t="str">
        <f t="shared" si="27"/>
        <v>CC</v>
      </c>
      <c r="L47" t="str">
        <f t="shared" si="0"/>
        <v>=INDEX(Intersections!BZ64:CC64,1,MATCH(LEFT(AP9,1),Intersections!BZ5:CC5,0))</v>
      </c>
      <c r="S47" t="s">
        <v>605</v>
      </c>
    </row>
    <row r="48" spans="1:19" x14ac:dyDescent="0.25">
      <c r="A48" s="208">
        <v>38</v>
      </c>
      <c r="B48" s="208" t="s">
        <v>380</v>
      </c>
      <c r="C48" s="208">
        <f>COUNTIF($G$10:$G$108,A48)+COUNTIF($H$10:$H$108,A48)</f>
        <v>0</v>
      </c>
      <c r="F48">
        <f t="shared" ref="F48:F51" si="28">F47+1</f>
        <v>20</v>
      </c>
      <c r="G48" s="208">
        <f t="shared" si="25"/>
        <v>77</v>
      </c>
      <c r="H48" s="208">
        <f t="shared" si="25"/>
        <v>80</v>
      </c>
      <c r="I48" s="208" t="str">
        <f t="shared" si="26"/>
        <v>CD</v>
      </c>
      <c r="J48" s="208" t="str">
        <f t="shared" si="27"/>
        <v>CG</v>
      </c>
      <c r="L48" t="str">
        <f t="shared" si="0"/>
        <v>=INDEX(Intersections!CD64:CG64,1,MATCH(LEFT(AQ9,1),Intersections!CD5:CG5,0))</v>
      </c>
      <c r="S48" t="s">
        <v>606</v>
      </c>
    </row>
    <row r="49" spans="1:19" x14ac:dyDescent="0.25">
      <c r="A49" s="208">
        <v>39</v>
      </c>
      <c r="B49" s="208" t="s">
        <v>334</v>
      </c>
      <c r="C49" s="208">
        <f>COUNTIF($G$10:$G$108,A49)+COUNTIF($H$10:$H$108,A49)</f>
        <v>0</v>
      </c>
      <c r="F49">
        <f t="shared" ref="F49" si="29">F47+1</f>
        <v>20</v>
      </c>
      <c r="G49" s="208">
        <f t="shared" si="25"/>
        <v>77</v>
      </c>
      <c r="H49" s="208">
        <f t="shared" si="25"/>
        <v>80</v>
      </c>
      <c r="I49" s="208" t="str">
        <f t="shared" si="26"/>
        <v>CD</v>
      </c>
      <c r="J49" s="208" t="str">
        <f t="shared" si="27"/>
        <v>CG</v>
      </c>
      <c r="L49" t="str">
        <f t="shared" si="0"/>
        <v>=INDEX(Intersections!CD64:CG64,1,MATCH(LEFT(AR9,1),Intersections!CD5:CG5,0))</v>
      </c>
      <c r="S49" t="s">
        <v>607</v>
      </c>
    </row>
    <row r="50" spans="1:19" x14ac:dyDescent="0.25">
      <c r="A50" s="208">
        <v>40</v>
      </c>
      <c r="B50" s="208" t="s">
        <v>381</v>
      </c>
      <c r="C50" s="208">
        <f>COUNTIF($G$10:$G$108,A50)+COUNTIF($H$10:$H$108,A50)</f>
        <v>2</v>
      </c>
      <c r="F50">
        <f t="shared" ref="F50:F51" si="30">F49+1</f>
        <v>21</v>
      </c>
      <c r="G50" s="208">
        <f t="shared" si="25"/>
        <v>81</v>
      </c>
      <c r="H50" s="208">
        <f t="shared" si="25"/>
        <v>84</v>
      </c>
      <c r="I50" s="208" t="str">
        <f t="shared" si="26"/>
        <v>CH</v>
      </c>
      <c r="J50" s="208" t="str">
        <f t="shared" si="27"/>
        <v>CK</v>
      </c>
      <c r="L50" t="str">
        <f t="shared" si="0"/>
        <v>=INDEX(Intersections!CH64:CK64,1,MATCH(LEFT(AS9,1),Intersections!CH5:CK5,0))</v>
      </c>
      <c r="S50" t="s">
        <v>608</v>
      </c>
    </row>
    <row r="51" spans="1:19" x14ac:dyDescent="0.25">
      <c r="A51" s="208">
        <v>41</v>
      </c>
      <c r="B51" s="208" t="s">
        <v>382</v>
      </c>
      <c r="C51" s="208">
        <f>COUNTIF($G$10:$G$108,A51)+COUNTIF($H$10:$H$108,A51)</f>
        <v>2</v>
      </c>
      <c r="F51">
        <f t="shared" ref="F51" si="31">F49+1</f>
        <v>21</v>
      </c>
      <c r="G51" s="208">
        <f t="shared" si="25"/>
        <v>81</v>
      </c>
      <c r="H51" s="208">
        <f t="shared" si="25"/>
        <v>84</v>
      </c>
      <c r="I51" s="208" t="str">
        <f t="shared" si="26"/>
        <v>CH</v>
      </c>
      <c r="J51" s="208" t="str">
        <f t="shared" si="27"/>
        <v>CK</v>
      </c>
      <c r="L51" t="str">
        <f t="shared" si="0"/>
        <v>=INDEX(Intersections!CH64:CK64,1,MATCH(LEFT(AT9,1),Intersections!CH5:CK5,0))</v>
      </c>
      <c r="S51" t="s">
        <v>609</v>
      </c>
    </row>
    <row r="52" spans="1:19" x14ac:dyDescent="0.25">
      <c r="A52" s="208">
        <v>42</v>
      </c>
      <c r="B52" s="208" t="s">
        <v>383</v>
      </c>
      <c r="C52" s="208">
        <f>COUNTIF($G$10:$G$108,A52)+COUNTIF($H$10:$H$108,A52)</f>
        <v>0</v>
      </c>
    </row>
    <row r="53" spans="1:19" x14ac:dyDescent="0.25">
      <c r="A53" s="208">
        <v>43</v>
      </c>
      <c r="B53" s="208" t="s">
        <v>384</v>
      </c>
      <c r="C53" s="208">
        <f>COUNTIF($G$10:$G$108,A53)+COUNTIF($H$10:$H$108,A53)</f>
        <v>0</v>
      </c>
    </row>
    <row r="54" spans="1:19" x14ac:dyDescent="0.25">
      <c r="A54" s="208">
        <v>44</v>
      </c>
      <c r="B54" s="208" t="s">
        <v>385</v>
      </c>
      <c r="C54" s="208">
        <f>COUNTIF($G$10:$G$108,A54)+COUNTIF($H$10:$H$108,A54)</f>
        <v>2</v>
      </c>
    </row>
    <row r="55" spans="1:19" x14ac:dyDescent="0.25">
      <c r="A55" s="208">
        <v>45</v>
      </c>
      <c r="B55" s="208" t="s">
        <v>386</v>
      </c>
      <c r="C55" s="208">
        <f>COUNTIF($G$10:$G$108,A55)+COUNTIF($H$10:$H$108,A55)</f>
        <v>2</v>
      </c>
    </row>
    <row r="56" spans="1:19" x14ac:dyDescent="0.25">
      <c r="A56" s="208">
        <v>46</v>
      </c>
      <c r="B56" s="208" t="s">
        <v>387</v>
      </c>
      <c r="C56" s="208">
        <f>COUNTIF($G$10:$G$108,A56)+COUNTIF($H$10:$H$108,A56)</f>
        <v>0</v>
      </c>
    </row>
    <row r="57" spans="1:19" x14ac:dyDescent="0.25">
      <c r="A57" s="208">
        <v>47</v>
      </c>
      <c r="B57" s="208" t="s">
        <v>388</v>
      </c>
      <c r="C57" s="208">
        <f>COUNTIF($G$10:$G$108,A57)+COUNTIF($H$10:$H$108,A57)</f>
        <v>0</v>
      </c>
    </row>
    <row r="58" spans="1:19" x14ac:dyDescent="0.25">
      <c r="A58" s="208">
        <v>48</v>
      </c>
      <c r="B58" s="208" t="s">
        <v>389</v>
      </c>
      <c r="C58" s="208">
        <f>COUNTIF($G$10:$G$108,A58)+COUNTIF($H$10:$H$108,A58)</f>
        <v>2</v>
      </c>
    </row>
    <row r="59" spans="1:19" x14ac:dyDescent="0.25">
      <c r="A59" s="208">
        <v>49</v>
      </c>
      <c r="B59" s="208" t="s">
        <v>364</v>
      </c>
      <c r="C59" s="208">
        <f>COUNTIF($G$10:$G$108,A59)+COUNTIF($H$10:$H$108,A59)</f>
        <v>2</v>
      </c>
    </row>
    <row r="60" spans="1:19" x14ac:dyDescent="0.25">
      <c r="A60" s="208">
        <v>50</v>
      </c>
      <c r="B60" s="208" t="s">
        <v>392</v>
      </c>
      <c r="C60" s="208">
        <f>COUNTIF($G$10:$G$108,A60)+COUNTIF($H$10:$H$108,A60)</f>
        <v>0</v>
      </c>
    </row>
    <row r="61" spans="1:19" x14ac:dyDescent="0.25">
      <c r="A61" s="208">
        <v>51</v>
      </c>
      <c r="B61" s="208" t="s">
        <v>393</v>
      </c>
      <c r="C61" s="208">
        <f>COUNTIF($G$10:$G$108,A61)+COUNTIF($H$10:$H$108,A61)</f>
        <v>0</v>
      </c>
    </row>
    <row r="62" spans="1:19" x14ac:dyDescent="0.25">
      <c r="A62" s="208">
        <v>52</v>
      </c>
      <c r="B62" s="208" t="s">
        <v>395</v>
      </c>
      <c r="C62" s="208">
        <f>COUNTIF($G$10:$G$108,A62)+COUNTIF($H$10:$H$108,A62)</f>
        <v>2</v>
      </c>
    </row>
    <row r="63" spans="1:19" x14ac:dyDescent="0.25">
      <c r="A63" s="208">
        <v>53</v>
      </c>
      <c r="B63" s="208" t="s">
        <v>397</v>
      </c>
      <c r="C63" s="208">
        <f>COUNTIF($G$10:$G$108,A63)+COUNTIF($H$10:$H$108,A63)</f>
        <v>2</v>
      </c>
    </row>
    <row r="64" spans="1:19" x14ac:dyDescent="0.25">
      <c r="A64" s="208">
        <v>54</v>
      </c>
      <c r="B64" s="208" t="s">
        <v>399</v>
      </c>
      <c r="C64" s="208">
        <f>COUNTIF($G$10:$G$108,A64)+COUNTIF($H$10:$H$108,A64)</f>
        <v>0</v>
      </c>
    </row>
    <row r="65" spans="1:3" x14ac:dyDescent="0.25">
      <c r="A65" s="208">
        <v>55</v>
      </c>
      <c r="B65" s="208" t="s">
        <v>401</v>
      </c>
      <c r="C65" s="208">
        <f>COUNTIF($G$10:$G$108,A65)+COUNTIF($H$10:$H$108,A65)</f>
        <v>0</v>
      </c>
    </row>
    <row r="66" spans="1:3" x14ac:dyDescent="0.25">
      <c r="A66" s="208">
        <v>56</v>
      </c>
      <c r="B66" s="208" t="s">
        <v>403</v>
      </c>
      <c r="C66" s="208">
        <f>COUNTIF($G$10:$G$108,A66)+COUNTIF($H$10:$H$108,A66)</f>
        <v>2</v>
      </c>
    </row>
    <row r="67" spans="1:3" x14ac:dyDescent="0.25">
      <c r="A67" s="208">
        <v>57</v>
      </c>
      <c r="B67" s="208" t="s">
        <v>405</v>
      </c>
      <c r="C67" s="208">
        <f>COUNTIF($G$10:$G$108,A67)+COUNTIF($H$10:$H$108,A67)</f>
        <v>2</v>
      </c>
    </row>
    <row r="68" spans="1:3" x14ac:dyDescent="0.25">
      <c r="A68" s="208">
        <v>58</v>
      </c>
      <c r="B68" s="208" t="s">
        <v>407</v>
      </c>
      <c r="C68" s="208">
        <f>COUNTIF($G$10:$G$108,A68)+COUNTIF($H$10:$H$108,A68)</f>
        <v>0</v>
      </c>
    </row>
    <row r="69" spans="1:3" x14ac:dyDescent="0.25">
      <c r="A69" s="208">
        <v>59</v>
      </c>
      <c r="B69" s="208" t="s">
        <v>409</v>
      </c>
      <c r="C69" s="208">
        <f>COUNTIF($G$10:$G$108,A69)+COUNTIF($H$10:$H$108,A69)</f>
        <v>0</v>
      </c>
    </row>
    <row r="70" spans="1:3" x14ac:dyDescent="0.25">
      <c r="A70" s="208">
        <v>60</v>
      </c>
      <c r="B70" s="208" t="s">
        <v>411</v>
      </c>
      <c r="C70" s="208">
        <f>COUNTIF($G$10:$G$108,A70)+COUNTIF($H$10:$H$108,A70)</f>
        <v>2</v>
      </c>
    </row>
    <row r="71" spans="1:3" x14ac:dyDescent="0.25">
      <c r="A71" s="208">
        <v>61</v>
      </c>
      <c r="B71" s="208" t="s">
        <v>413</v>
      </c>
      <c r="C71" s="208">
        <f>COUNTIF($G$10:$G$108,A71)+COUNTIF($H$10:$H$108,A71)</f>
        <v>2</v>
      </c>
    </row>
    <row r="72" spans="1:3" x14ac:dyDescent="0.25">
      <c r="A72" s="208">
        <v>62</v>
      </c>
      <c r="B72" s="208" t="s">
        <v>415</v>
      </c>
      <c r="C72" s="208">
        <f>COUNTIF($G$10:$G$108,A72)+COUNTIF($H$10:$H$108,A72)</f>
        <v>0</v>
      </c>
    </row>
    <row r="73" spans="1:3" x14ac:dyDescent="0.25">
      <c r="A73" s="208">
        <v>63</v>
      </c>
      <c r="B73" s="208" t="s">
        <v>417</v>
      </c>
      <c r="C73" s="208">
        <f>COUNTIF($G$10:$G$108,A73)+COUNTIF($H$10:$H$108,A73)</f>
        <v>0</v>
      </c>
    </row>
    <row r="74" spans="1:3" x14ac:dyDescent="0.25">
      <c r="A74" s="208">
        <v>64</v>
      </c>
      <c r="B74" s="208" t="s">
        <v>419</v>
      </c>
      <c r="C74" s="208">
        <f>COUNTIF($G$10:$G$108,A74)+COUNTIF($H$10:$H$108,A74)</f>
        <v>2</v>
      </c>
    </row>
    <row r="75" spans="1:3" x14ac:dyDescent="0.25">
      <c r="A75" s="208">
        <v>65</v>
      </c>
      <c r="B75" s="208" t="s">
        <v>421</v>
      </c>
      <c r="C75" s="208">
        <f>COUNTIF($G$10:$G$108,A75)+COUNTIF($H$10:$H$108,A75)</f>
        <v>2</v>
      </c>
    </row>
    <row r="76" spans="1:3" x14ac:dyDescent="0.25">
      <c r="A76" s="208">
        <v>66</v>
      </c>
      <c r="B76" s="208" t="s">
        <v>423</v>
      </c>
      <c r="C76" s="208">
        <f>COUNTIF($G$10:$G$108,A76)+COUNTIF($H$10:$H$108,A76)</f>
        <v>0</v>
      </c>
    </row>
    <row r="77" spans="1:3" x14ac:dyDescent="0.25">
      <c r="A77" s="208">
        <v>67</v>
      </c>
      <c r="B77" s="208" t="s">
        <v>425</v>
      </c>
      <c r="C77" s="208">
        <f>COUNTIF($G$10:$G$108,A77)+COUNTIF($H$10:$H$108,A77)</f>
        <v>0</v>
      </c>
    </row>
    <row r="78" spans="1:3" x14ac:dyDescent="0.25">
      <c r="A78" s="208">
        <v>68</v>
      </c>
      <c r="B78" s="208" t="s">
        <v>427</v>
      </c>
      <c r="C78" s="208">
        <f>COUNTIF($G$10:$G$108,A78)+COUNTIF($H$10:$H$108,A78)</f>
        <v>2</v>
      </c>
    </row>
    <row r="79" spans="1:3" x14ac:dyDescent="0.25">
      <c r="A79" s="208">
        <v>69</v>
      </c>
      <c r="B79" s="208" t="s">
        <v>429</v>
      </c>
      <c r="C79" s="208">
        <f>COUNTIF($G$10:$G$108,A79)+COUNTIF($H$10:$H$108,A79)</f>
        <v>2</v>
      </c>
    </row>
    <row r="80" spans="1:3" x14ac:dyDescent="0.25">
      <c r="A80" s="208">
        <v>70</v>
      </c>
      <c r="B80" s="208" t="s">
        <v>559</v>
      </c>
      <c r="C80" s="208">
        <f>COUNTIF($G$10:$G$108,A80)+COUNTIF($H$10:$H$108,A80)</f>
        <v>0</v>
      </c>
    </row>
    <row r="81" spans="1:3" x14ac:dyDescent="0.25">
      <c r="A81" s="208">
        <v>71</v>
      </c>
      <c r="B81" s="208" t="s">
        <v>431</v>
      </c>
      <c r="C81" s="208">
        <f>COUNTIF($G$10:$G$108,A81)+COUNTIF($H$10:$H$108,A81)</f>
        <v>0</v>
      </c>
    </row>
    <row r="82" spans="1:3" x14ac:dyDescent="0.25">
      <c r="A82" s="208">
        <v>72</v>
      </c>
      <c r="B82" s="208" t="s">
        <v>433</v>
      </c>
      <c r="C82" s="208">
        <f>COUNTIF($G$10:$G$108,A82)+COUNTIF($H$10:$H$108,A82)</f>
        <v>2</v>
      </c>
    </row>
    <row r="83" spans="1:3" x14ac:dyDescent="0.25">
      <c r="A83" s="208">
        <v>73</v>
      </c>
      <c r="B83" s="208" t="s">
        <v>435</v>
      </c>
      <c r="C83" s="208">
        <f>COUNTIF($G$10:$G$108,A83)+COUNTIF($H$10:$H$108,A83)</f>
        <v>2</v>
      </c>
    </row>
    <row r="84" spans="1:3" x14ac:dyDescent="0.25">
      <c r="A84" s="208">
        <v>74</v>
      </c>
      <c r="B84" s="208" t="s">
        <v>390</v>
      </c>
      <c r="C84" s="208">
        <f>COUNTIF($G$10:$G$108,A84)+COUNTIF($H$10:$H$108,A84)</f>
        <v>0</v>
      </c>
    </row>
    <row r="85" spans="1:3" x14ac:dyDescent="0.25">
      <c r="A85" s="208">
        <v>75</v>
      </c>
      <c r="B85" s="208" t="s">
        <v>391</v>
      </c>
      <c r="C85" s="208">
        <f>COUNTIF($G$10:$G$108,A85)+COUNTIF($H$10:$H$108,A85)</f>
        <v>0</v>
      </c>
    </row>
    <row r="86" spans="1:3" x14ac:dyDescent="0.25">
      <c r="A86" s="208">
        <v>76</v>
      </c>
      <c r="B86" s="208" t="s">
        <v>365</v>
      </c>
      <c r="C86" s="208">
        <f>COUNTIF($G$10:$G$108,A86)+COUNTIF($H$10:$H$108,A86)</f>
        <v>2</v>
      </c>
    </row>
    <row r="87" spans="1:3" x14ac:dyDescent="0.25">
      <c r="A87" s="208">
        <v>77</v>
      </c>
      <c r="B87" s="208" t="s">
        <v>394</v>
      </c>
      <c r="C87" s="208">
        <f>COUNTIF($G$10:$G$108,A87)+COUNTIF($H$10:$H$108,A87)</f>
        <v>2</v>
      </c>
    </row>
    <row r="88" spans="1:3" x14ac:dyDescent="0.25">
      <c r="A88" s="208">
        <v>78</v>
      </c>
      <c r="B88" s="208" t="s">
        <v>396</v>
      </c>
      <c r="C88" s="208">
        <f>COUNTIF($G$10:$G$108,A88)+COUNTIF($H$10:$H$108,A88)</f>
        <v>0</v>
      </c>
    </row>
    <row r="89" spans="1:3" x14ac:dyDescent="0.25">
      <c r="A89" s="208">
        <v>79</v>
      </c>
      <c r="B89" s="208" t="s">
        <v>398</v>
      </c>
      <c r="C89" s="208">
        <f>COUNTIF($G$10:$G$108,A89)+COUNTIF($H$10:$H$108,A89)</f>
        <v>0</v>
      </c>
    </row>
    <row r="90" spans="1:3" x14ac:dyDescent="0.25">
      <c r="A90" s="208">
        <v>80</v>
      </c>
      <c r="B90" s="208" t="s">
        <v>400</v>
      </c>
      <c r="C90" s="208">
        <f>COUNTIF($G$10:$G$108,A90)+COUNTIF($H$10:$H$108,A90)</f>
        <v>2</v>
      </c>
    </row>
    <row r="91" spans="1:3" x14ac:dyDescent="0.25">
      <c r="A91" s="208">
        <v>81</v>
      </c>
      <c r="B91" s="208" t="s">
        <v>402</v>
      </c>
      <c r="C91" s="208">
        <f>COUNTIF($G$10:$G$108,A91)+COUNTIF($H$10:$H$108,A91)</f>
        <v>2</v>
      </c>
    </row>
    <row r="92" spans="1:3" x14ac:dyDescent="0.25">
      <c r="A92" s="208">
        <v>82</v>
      </c>
      <c r="B92" s="208" t="s">
        <v>404</v>
      </c>
      <c r="C92" s="208">
        <f>COUNTIF($G$10:$G$108,A92)+COUNTIF($H$10:$H$108,A92)</f>
        <v>0</v>
      </c>
    </row>
    <row r="93" spans="1:3" x14ac:dyDescent="0.25">
      <c r="A93" s="208">
        <v>83</v>
      </c>
      <c r="B93" s="208" t="s">
        <v>406</v>
      </c>
      <c r="C93" s="208">
        <f>COUNTIF($G$10:$G$108,A93)+COUNTIF($H$10:$H$108,A93)</f>
        <v>0</v>
      </c>
    </row>
    <row r="94" spans="1:3" x14ac:dyDescent="0.25">
      <c r="A94" s="208">
        <v>84</v>
      </c>
      <c r="B94" s="208" t="s">
        <v>408</v>
      </c>
      <c r="C94" s="208">
        <f>COUNTIF($G$10:$G$108,A94)+COUNTIF($H$10:$H$108,A94)</f>
        <v>2</v>
      </c>
    </row>
    <row r="95" spans="1:3" x14ac:dyDescent="0.25">
      <c r="A95" s="208">
        <v>85</v>
      </c>
      <c r="B95" s="208" t="s">
        <v>410</v>
      </c>
      <c r="C95" s="208">
        <f>COUNTIF($G$10:$G$108,A95)+COUNTIF($H$10:$H$108,A95)</f>
        <v>0</v>
      </c>
    </row>
    <row r="96" spans="1:3" x14ac:dyDescent="0.25">
      <c r="A96" s="208">
        <v>86</v>
      </c>
      <c r="B96" s="208" t="s">
        <v>412</v>
      </c>
      <c r="C96" s="208">
        <f>COUNTIF($G$10:$G$108,A96)+COUNTIF($H$10:$H$108,A96)</f>
        <v>0</v>
      </c>
    </row>
    <row r="97" spans="1:3" x14ac:dyDescent="0.25">
      <c r="A97" s="208">
        <v>87</v>
      </c>
      <c r="B97" s="208" t="s">
        <v>414</v>
      </c>
      <c r="C97" s="208">
        <f>COUNTIF($G$10:$G$108,A97)+COUNTIF($H$10:$H$108,A97)</f>
        <v>0</v>
      </c>
    </row>
    <row r="98" spans="1:3" x14ac:dyDescent="0.25">
      <c r="A98" s="208">
        <v>88</v>
      </c>
      <c r="B98" s="208" t="s">
        <v>416</v>
      </c>
      <c r="C98" s="208">
        <f>COUNTIF($G$10:$G$108,A98)+COUNTIF($H$10:$H$108,A98)</f>
        <v>0</v>
      </c>
    </row>
    <row r="99" spans="1:3" x14ac:dyDescent="0.25">
      <c r="A99" s="208">
        <v>89</v>
      </c>
      <c r="B99" s="208" t="s">
        <v>418</v>
      </c>
      <c r="C99" s="208">
        <f>COUNTIF($G$10:$G$108,A99)+COUNTIF($H$10:$H$108,A99)</f>
        <v>0</v>
      </c>
    </row>
    <row r="100" spans="1:3" x14ac:dyDescent="0.25">
      <c r="A100" s="208">
        <v>90</v>
      </c>
      <c r="B100" s="208" t="s">
        <v>420</v>
      </c>
      <c r="C100" s="208">
        <f>COUNTIF($G$10:$G$108,A100)+COUNTIF($H$10:$H$108,A100)</f>
        <v>0</v>
      </c>
    </row>
    <row r="101" spans="1:3" x14ac:dyDescent="0.25">
      <c r="A101" s="208">
        <v>91</v>
      </c>
      <c r="B101" s="208" t="s">
        <v>422</v>
      </c>
      <c r="C101" s="208">
        <f>COUNTIF($G$10:$G$108,A101)+COUNTIF($H$10:$H$108,A101)</f>
        <v>0</v>
      </c>
    </row>
    <row r="102" spans="1:3" x14ac:dyDescent="0.25">
      <c r="A102" s="208">
        <v>92</v>
      </c>
      <c r="B102" s="208" t="s">
        <v>424</v>
      </c>
      <c r="C102" s="208">
        <f>COUNTIF($G$10:$G$108,A102)+COUNTIF($H$10:$H$108,A102)</f>
        <v>0</v>
      </c>
    </row>
    <row r="103" spans="1:3" x14ac:dyDescent="0.25">
      <c r="A103" s="208">
        <v>93</v>
      </c>
      <c r="B103" s="208" t="s">
        <v>426</v>
      </c>
      <c r="C103" s="208">
        <f>COUNTIF($G$10:$G$108,A103)+COUNTIF($H$10:$H$108,A103)</f>
        <v>0</v>
      </c>
    </row>
    <row r="104" spans="1:3" x14ac:dyDescent="0.25">
      <c r="A104" s="208">
        <v>94</v>
      </c>
      <c r="B104" s="208" t="s">
        <v>428</v>
      </c>
      <c r="C104" s="208">
        <f>COUNTIF($G$10:$G$108,A104)+COUNTIF($H$10:$H$108,A104)</f>
        <v>0</v>
      </c>
    </row>
    <row r="105" spans="1:3" x14ac:dyDescent="0.25">
      <c r="A105" s="208">
        <v>95</v>
      </c>
      <c r="B105" s="208" t="s">
        <v>430</v>
      </c>
      <c r="C105" s="208">
        <f>COUNTIF($G$10:$G$108,A105)+COUNTIF($H$10:$H$108,A105)</f>
        <v>0</v>
      </c>
    </row>
    <row r="106" spans="1:3" x14ac:dyDescent="0.25">
      <c r="A106" s="208">
        <v>96</v>
      </c>
      <c r="B106" s="208" t="s">
        <v>560</v>
      </c>
      <c r="C106" s="208">
        <f>COUNTIF($G$10:$G$108,A106)+COUNTIF($H$10:$H$108,A106)</f>
        <v>0</v>
      </c>
    </row>
    <row r="107" spans="1:3" x14ac:dyDescent="0.25">
      <c r="A107" s="208">
        <v>97</v>
      </c>
      <c r="B107" s="208" t="s">
        <v>432</v>
      </c>
      <c r="C107" s="208">
        <f>COUNTIF($G$10:$G$108,A107)+COUNTIF($H$10:$H$108,A107)</f>
        <v>0</v>
      </c>
    </row>
    <row r="108" spans="1:3" x14ac:dyDescent="0.25">
      <c r="A108" s="208">
        <v>98</v>
      </c>
      <c r="B108" s="208" t="s">
        <v>434</v>
      </c>
      <c r="C108" s="208">
        <f>COUNTIF($G$10:$G$108,A108)+COUNTIF($H$10:$H$108,A108)</f>
        <v>0</v>
      </c>
    </row>
    <row r="109" spans="1:3" x14ac:dyDescent="0.25">
      <c r="A109" s="208">
        <v>99</v>
      </c>
      <c r="B109" s="208" t="s">
        <v>436</v>
      </c>
      <c r="C109" s="208">
        <f>COUNTIF($G$10:$G$108,A109)+COUNTIF($H$10:$H$108,A109)</f>
        <v>0</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D158D1-34EC-40FF-856E-4DE4D9691C4E}">
  <sheetPr codeName="Sheet9"/>
  <dimension ref="A3:BU104"/>
  <sheetViews>
    <sheetView topLeftCell="AO1" workbookViewId="0">
      <selection activeCell="BH3" sqref="BH3:BK3"/>
    </sheetView>
  </sheetViews>
  <sheetFormatPr defaultRowHeight="15.75" x14ac:dyDescent="0.25"/>
  <sheetData>
    <row r="3" spans="1:73" s="280" customFormat="1" ht="47.25" customHeight="1" x14ac:dyDescent="0.25">
      <c r="D3" s="281"/>
      <c r="E3" s="281"/>
      <c r="X3" s="282" t="s">
        <v>630</v>
      </c>
      <c r="Y3" s="282"/>
      <c r="Z3" s="279" t="s">
        <v>631</v>
      </c>
      <c r="AA3" s="279"/>
      <c r="AB3" s="279" t="s">
        <v>632</v>
      </c>
      <c r="AC3" s="279"/>
      <c r="AD3" s="279" t="s">
        <v>633</v>
      </c>
      <c r="AE3" s="279"/>
      <c r="AF3" s="279" t="s">
        <v>634</v>
      </c>
      <c r="AG3" s="279"/>
      <c r="AH3" s="279" t="s">
        <v>635</v>
      </c>
      <c r="AI3" s="279"/>
      <c r="AJ3" s="279" t="s">
        <v>636</v>
      </c>
      <c r="AK3" s="279"/>
      <c r="AL3" s="279" t="s">
        <v>637</v>
      </c>
      <c r="AM3" s="279"/>
      <c r="AN3" s="279" t="s">
        <v>638</v>
      </c>
      <c r="AO3" s="279"/>
      <c r="AP3" s="279" t="s">
        <v>639</v>
      </c>
      <c r="AQ3" s="279"/>
      <c r="AR3" s="279" t="s">
        <v>640</v>
      </c>
      <c r="AS3" s="279"/>
      <c r="AT3" s="279" t="s">
        <v>641</v>
      </c>
      <c r="AU3" s="279"/>
      <c r="AV3" s="279" t="s">
        <v>642</v>
      </c>
      <c r="AW3" s="279"/>
      <c r="AX3" s="279" t="s">
        <v>643</v>
      </c>
      <c r="AY3" s="279"/>
      <c r="AZ3" s="279" t="s">
        <v>644</v>
      </c>
      <c r="BA3" s="279"/>
      <c r="BB3" s="279" t="s">
        <v>645</v>
      </c>
      <c r="BC3" s="279"/>
      <c r="BD3" s="279" t="s">
        <v>646</v>
      </c>
      <c r="BE3" s="279"/>
      <c r="BF3" s="279" t="s">
        <v>647</v>
      </c>
      <c r="BG3" s="279"/>
      <c r="BH3" s="279" t="s">
        <v>648</v>
      </c>
      <c r="BI3" s="279"/>
      <c r="BJ3" s="279" t="s">
        <v>649</v>
      </c>
      <c r="BK3" s="279"/>
      <c r="BL3" s="279" t="s">
        <v>650</v>
      </c>
      <c r="BM3" s="279"/>
      <c r="BN3" s="279" t="s">
        <v>651</v>
      </c>
      <c r="BO3" s="279"/>
      <c r="BP3" s="279" t="s">
        <v>652</v>
      </c>
      <c r="BQ3" s="279"/>
      <c r="BR3" s="279" t="s">
        <v>653</v>
      </c>
      <c r="BS3" s="279"/>
      <c r="BT3" s="279" t="s">
        <v>654</v>
      </c>
      <c r="BU3" s="279"/>
    </row>
    <row r="4" spans="1:73" x14ac:dyDescent="0.25">
      <c r="D4" s="208"/>
      <c r="E4" s="208"/>
    </row>
    <row r="5" spans="1:73" x14ac:dyDescent="0.25">
      <c r="D5" s="208"/>
      <c r="E5" s="208"/>
    </row>
    <row r="6" spans="1:73" x14ac:dyDescent="0.25">
      <c r="A6" s="208" t="s">
        <v>561</v>
      </c>
      <c r="B6" s="208"/>
      <c r="C6" s="208" t="s">
        <v>562</v>
      </c>
      <c r="D6" s="208"/>
      <c r="E6" s="208"/>
      <c r="F6" t="s">
        <v>565</v>
      </c>
      <c r="G6" s="208"/>
    </row>
    <row r="7" spans="1:73" x14ac:dyDescent="0.25">
      <c r="A7" s="208">
        <v>1</v>
      </c>
      <c r="B7" s="208" t="s">
        <v>349</v>
      </c>
      <c r="C7" s="208">
        <f>COUNTIF($F$7:$F$104,A7)</f>
        <v>1</v>
      </c>
      <c r="D7" s="208"/>
      <c r="E7" s="208"/>
      <c r="F7">
        <v>1</v>
      </c>
      <c r="G7" s="208" t="str">
        <f>INDEX($B$7:$B$105,F7,1)</f>
        <v>F</v>
      </c>
      <c r="H7" t="str">
        <f>_xlfn.CONCAT("=Intersections!",G7,68)</f>
        <v>=Intersections!F68</v>
      </c>
      <c r="L7" s="165" t="s">
        <v>630</v>
      </c>
      <c r="Q7">
        <v>0</v>
      </c>
    </row>
    <row r="8" spans="1:73" x14ac:dyDescent="0.25">
      <c r="A8" s="208">
        <v>2</v>
      </c>
      <c r="B8" s="208" t="s">
        <v>346</v>
      </c>
      <c r="C8" s="208">
        <f>COUNTIF($F$7:$F$104,A8)</f>
        <v>0</v>
      </c>
      <c r="D8" s="208"/>
      <c r="E8" s="208"/>
      <c r="F8">
        <f>F7+4</f>
        <v>5</v>
      </c>
      <c r="G8" s="208" t="str">
        <f>INDEX($B$7:$B$105,F8,1)</f>
        <v>J</v>
      </c>
      <c r="H8" t="str">
        <f t="shared" ref="H8:H31" si="0">_xlfn.CONCAT("=Intersections!",G8,68)</f>
        <v>=Intersections!J68</v>
      </c>
      <c r="L8" t="s">
        <v>631</v>
      </c>
      <c r="Q8">
        <f>Q7+2</f>
        <v>2</v>
      </c>
      <c r="R8" t="str">
        <f t="shared" ref="R8:R27" si="1">INDEX($B$7:$B$105,Q8,1)</f>
        <v>G</v>
      </c>
      <c r="S8" t="str">
        <f>_xlfn.CONCAT("=Segments!",R8,46)</f>
        <v>=Segments!G46</v>
      </c>
      <c r="U8" s="165" t="s">
        <v>610</v>
      </c>
    </row>
    <row r="9" spans="1:73" x14ac:dyDescent="0.25">
      <c r="A9" s="208">
        <v>3</v>
      </c>
      <c r="B9" s="208" t="s">
        <v>350</v>
      </c>
      <c r="C9" s="208">
        <f>COUNTIF($F$7:$F$104,A9)</f>
        <v>0</v>
      </c>
      <c r="D9" s="208"/>
      <c r="E9" s="208"/>
      <c r="F9">
        <f>F8+4</f>
        <v>9</v>
      </c>
      <c r="G9" s="208" t="str">
        <f>INDEX($B$7:$B$105,F9,1)</f>
        <v>N</v>
      </c>
      <c r="H9" t="str">
        <f t="shared" si="0"/>
        <v>=Intersections!N68</v>
      </c>
      <c r="L9" t="s">
        <v>632</v>
      </c>
      <c r="Q9">
        <f t="shared" ref="Q9:Q27" si="2">Q8+2</f>
        <v>4</v>
      </c>
      <c r="R9" t="str">
        <f t="shared" si="1"/>
        <v>I</v>
      </c>
      <c r="S9" t="str">
        <f t="shared" ref="S9:S27" si="3">_xlfn.CONCAT("=Segments!",R9,46)</f>
        <v>=Segments!I46</v>
      </c>
      <c r="U9" t="s">
        <v>611</v>
      </c>
    </row>
    <row r="10" spans="1:73" x14ac:dyDescent="0.25">
      <c r="A10" s="208">
        <v>4</v>
      </c>
      <c r="B10" s="208" t="s">
        <v>347</v>
      </c>
      <c r="C10" s="208">
        <f>COUNTIF($F$7:$F$104,A10)</f>
        <v>0</v>
      </c>
      <c r="D10" s="208"/>
      <c r="E10" s="208"/>
      <c r="F10">
        <f>F9+4</f>
        <v>13</v>
      </c>
      <c r="G10" s="208" t="str">
        <f>INDEX($B$7:$B$105,F10,1)</f>
        <v>R</v>
      </c>
      <c r="H10" t="str">
        <f t="shared" si="0"/>
        <v>=Intersections!R68</v>
      </c>
      <c r="L10" t="s">
        <v>633</v>
      </c>
      <c r="Q10">
        <f t="shared" si="2"/>
        <v>6</v>
      </c>
      <c r="R10" t="str">
        <f t="shared" si="1"/>
        <v>K</v>
      </c>
      <c r="S10" t="str">
        <f t="shared" si="3"/>
        <v>=Segments!K46</v>
      </c>
      <c r="U10" t="s">
        <v>612</v>
      </c>
    </row>
    <row r="11" spans="1:73" x14ac:dyDescent="0.25">
      <c r="A11" s="208">
        <v>5</v>
      </c>
      <c r="B11" s="208" t="s">
        <v>351</v>
      </c>
      <c r="C11" s="208">
        <f>COUNTIF($F$7:$F$104,A11)</f>
        <v>1</v>
      </c>
      <c r="D11" s="208"/>
      <c r="E11" s="208"/>
      <c r="F11">
        <f>F10+4</f>
        <v>17</v>
      </c>
      <c r="G11" s="208" t="str">
        <f>INDEX($B$7:$B$105,F11,1)</f>
        <v>V</v>
      </c>
      <c r="H11" t="str">
        <f t="shared" si="0"/>
        <v>=Intersections!V68</v>
      </c>
      <c r="L11" t="s">
        <v>634</v>
      </c>
      <c r="Q11">
        <f t="shared" si="2"/>
        <v>8</v>
      </c>
      <c r="R11" t="str">
        <f t="shared" si="1"/>
        <v>M</v>
      </c>
      <c r="S11" t="str">
        <f t="shared" si="3"/>
        <v>=Segments!M46</v>
      </c>
      <c r="U11" t="s">
        <v>613</v>
      </c>
    </row>
    <row r="12" spans="1:73" x14ac:dyDescent="0.25">
      <c r="A12" s="208">
        <v>6</v>
      </c>
      <c r="B12" s="208" t="s">
        <v>348</v>
      </c>
      <c r="C12" s="208">
        <f>COUNTIF($F$7:$F$104,A12)</f>
        <v>0</v>
      </c>
      <c r="D12" s="208"/>
      <c r="E12" s="208"/>
      <c r="F12">
        <f>F11+4</f>
        <v>21</v>
      </c>
      <c r="G12" s="208" t="str">
        <f>INDEX($B$7:$B$105,F12,1)</f>
        <v>Z</v>
      </c>
      <c r="H12" t="str">
        <f t="shared" si="0"/>
        <v>=Intersections!Z68</v>
      </c>
      <c r="L12" t="s">
        <v>635</v>
      </c>
      <c r="Q12">
        <f t="shared" si="2"/>
        <v>10</v>
      </c>
      <c r="R12" t="str">
        <f t="shared" si="1"/>
        <v>O</v>
      </c>
      <c r="S12" t="str">
        <f t="shared" si="3"/>
        <v>=Segments!O46</v>
      </c>
      <c r="U12" t="s">
        <v>614</v>
      </c>
    </row>
    <row r="13" spans="1:73" x14ac:dyDescent="0.25">
      <c r="A13" s="208">
        <v>7</v>
      </c>
      <c r="B13" s="208" t="s">
        <v>352</v>
      </c>
      <c r="C13" s="208">
        <f>COUNTIF($F$7:$F$104,A13)</f>
        <v>0</v>
      </c>
      <c r="D13" s="208"/>
      <c r="E13" s="208"/>
      <c r="F13">
        <f>F12+4</f>
        <v>25</v>
      </c>
      <c r="G13" s="208" t="str">
        <f>INDEX($B$7:$B$105,F13,1)</f>
        <v>AD</v>
      </c>
      <c r="H13" t="str">
        <f t="shared" si="0"/>
        <v>=Intersections!AD68</v>
      </c>
      <c r="L13" t="s">
        <v>636</v>
      </c>
      <c r="Q13">
        <f t="shared" si="2"/>
        <v>12</v>
      </c>
      <c r="R13" t="str">
        <f t="shared" si="1"/>
        <v>Q</v>
      </c>
      <c r="S13" t="str">
        <f t="shared" si="3"/>
        <v>=Segments!Q46</v>
      </c>
      <c r="U13" t="s">
        <v>615</v>
      </c>
    </row>
    <row r="14" spans="1:73" x14ac:dyDescent="0.25">
      <c r="A14" s="208">
        <v>8</v>
      </c>
      <c r="B14" s="208" t="s">
        <v>353</v>
      </c>
      <c r="C14" s="208">
        <f>COUNTIF($F$7:$F$104,A14)</f>
        <v>0</v>
      </c>
      <c r="D14" s="208"/>
      <c r="E14" s="208"/>
      <c r="F14">
        <f t="shared" ref="F14:F31" si="4">F13+4</f>
        <v>29</v>
      </c>
      <c r="G14" s="208" t="str">
        <f>INDEX($B$7:$B$105,F14,1)</f>
        <v>AH</v>
      </c>
      <c r="H14" t="str">
        <f t="shared" si="0"/>
        <v>=Intersections!AH68</v>
      </c>
      <c r="L14" t="s">
        <v>637</v>
      </c>
      <c r="Q14">
        <f t="shared" si="2"/>
        <v>14</v>
      </c>
      <c r="R14" t="str">
        <f t="shared" si="1"/>
        <v>S</v>
      </c>
      <c r="S14" t="str">
        <f t="shared" si="3"/>
        <v>=Segments!S46</v>
      </c>
      <c r="U14" t="s">
        <v>616</v>
      </c>
    </row>
    <row r="15" spans="1:73" x14ac:dyDescent="0.25">
      <c r="A15" s="208">
        <v>9</v>
      </c>
      <c r="B15" s="208" t="s">
        <v>238</v>
      </c>
      <c r="C15" s="208">
        <f>COUNTIF($F$7:$F$104,A15)</f>
        <v>1</v>
      </c>
      <c r="D15" s="208"/>
      <c r="E15" s="208"/>
      <c r="F15">
        <f t="shared" si="4"/>
        <v>33</v>
      </c>
      <c r="G15" s="208" t="str">
        <f>INDEX($B$7:$B$105,F15,1)</f>
        <v>AL</v>
      </c>
      <c r="H15" t="str">
        <f t="shared" si="0"/>
        <v>=Intersections!AL68</v>
      </c>
      <c r="L15" t="s">
        <v>638</v>
      </c>
      <c r="Q15">
        <f t="shared" si="2"/>
        <v>16</v>
      </c>
      <c r="R15" t="str">
        <f t="shared" si="1"/>
        <v>U</v>
      </c>
      <c r="S15" t="str">
        <f t="shared" si="3"/>
        <v>=Segments!U46</v>
      </c>
      <c r="U15" t="s">
        <v>617</v>
      </c>
    </row>
    <row r="16" spans="1:73" x14ac:dyDescent="0.25">
      <c r="A16" s="208">
        <v>10</v>
      </c>
      <c r="B16" s="208" t="s">
        <v>354</v>
      </c>
      <c r="C16" s="208">
        <f>COUNTIF($F$7:$F$104,A16)</f>
        <v>0</v>
      </c>
      <c r="D16" s="208"/>
      <c r="E16" s="208"/>
      <c r="F16">
        <f t="shared" si="4"/>
        <v>37</v>
      </c>
      <c r="G16" s="208" t="str">
        <f>INDEX($B$7:$B$105,F16,1)</f>
        <v>AP</v>
      </c>
      <c r="H16" t="str">
        <f t="shared" si="0"/>
        <v>=Intersections!AP68</v>
      </c>
      <c r="L16" t="s">
        <v>639</v>
      </c>
      <c r="Q16">
        <f t="shared" si="2"/>
        <v>18</v>
      </c>
      <c r="R16" t="str">
        <f t="shared" si="1"/>
        <v>W</v>
      </c>
      <c r="S16" t="str">
        <f t="shared" si="3"/>
        <v>=Segments!W46</v>
      </c>
      <c r="U16" t="s">
        <v>618</v>
      </c>
    </row>
    <row r="17" spans="1:21" x14ac:dyDescent="0.25">
      <c r="A17" s="208">
        <v>11</v>
      </c>
      <c r="B17" s="208" t="s">
        <v>355</v>
      </c>
      <c r="C17" s="208">
        <f>COUNTIF($F$7:$F$104,A17)</f>
        <v>0</v>
      </c>
      <c r="D17" s="208"/>
      <c r="E17" s="208"/>
      <c r="F17">
        <f t="shared" si="4"/>
        <v>41</v>
      </c>
      <c r="G17" s="208" t="str">
        <f>INDEX($B$7:$B$105,F17,1)</f>
        <v>AT</v>
      </c>
      <c r="H17" t="str">
        <f t="shared" si="0"/>
        <v>=Intersections!AT68</v>
      </c>
      <c r="L17" t="s">
        <v>640</v>
      </c>
      <c r="Q17">
        <f t="shared" si="2"/>
        <v>20</v>
      </c>
      <c r="R17" t="str">
        <f t="shared" si="1"/>
        <v>Y</v>
      </c>
      <c r="S17" t="str">
        <f t="shared" si="3"/>
        <v>=Segments!Y46</v>
      </c>
      <c r="U17" t="s">
        <v>619</v>
      </c>
    </row>
    <row r="18" spans="1:21" x14ac:dyDescent="0.25">
      <c r="A18" s="208">
        <v>12</v>
      </c>
      <c r="B18" s="208" t="s">
        <v>356</v>
      </c>
      <c r="C18" s="208">
        <f>COUNTIF($F$7:$F$104,A18)</f>
        <v>0</v>
      </c>
      <c r="D18" s="208"/>
      <c r="E18" s="208"/>
      <c r="F18">
        <f t="shared" si="4"/>
        <v>45</v>
      </c>
      <c r="G18" s="208" t="str">
        <f>INDEX($B$7:$B$105,F18,1)</f>
        <v>AX</v>
      </c>
      <c r="H18" t="str">
        <f t="shared" si="0"/>
        <v>=Intersections!AX68</v>
      </c>
      <c r="L18" t="s">
        <v>641</v>
      </c>
      <c r="Q18">
        <f t="shared" si="2"/>
        <v>22</v>
      </c>
      <c r="R18" t="str">
        <f t="shared" si="1"/>
        <v>AA</v>
      </c>
      <c r="S18" t="str">
        <f t="shared" si="3"/>
        <v>=Segments!AA46</v>
      </c>
      <c r="U18" t="s">
        <v>620</v>
      </c>
    </row>
    <row r="19" spans="1:21" x14ac:dyDescent="0.25">
      <c r="A19" s="208">
        <v>13</v>
      </c>
      <c r="B19" s="208" t="s">
        <v>335</v>
      </c>
      <c r="C19" s="208">
        <f>COUNTIF($F$7:$F$104,A19)</f>
        <v>1</v>
      </c>
      <c r="D19" s="208"/>
      <c r="E19" s="208"/>
      <c r="F19">
        <f t="shared" si="4"/>
        <v>49</v>
      </c>
      <c r="G19" s="208" t="str">
        <f>INDEX($B$7:$B$105,F19,1)</f>
        <v>BB</v>
      </c>
      <c r="H19" t="str">
        <f t="shared" si="0"/>
        <v>=Intersections!BB68</v>
      </c>
      <c r="L19" t="s">
        <v>642</v>
      </c>
      <c r="Q19">
        <f t="shared" si="2"/>
        <v>24</v>
      </c>
      <c r="R19" t="str">
        <f t="shared" si="1"/>
        <v>AC</v>
      </c>
      <c r="S19" t="str">
        <f t="shared" si="3"/>
        <v>=Segments!AC46</v>
      </c>
      <c r="U19" t="s">
        <v>621</v>
      </c>
    </row>
    <row r="20" spans="1:21" x14ac:dyDescent="0.25">
      <c r="A20" s="208">
        <v>14</v>
      </c>
      <c r="B20" s="208" t="s">
        <v>5</v>
      </c>
      <c r="C20" s="208">
        <f>COUNTIF($F$7:$F$104,A20)</f>
        <v>0</v>
      </c>
      <c r="D20" s="208"/>
      <c r="E20" s="208"/>
      <c r="F20">
        <f t="shared" si="4"/>
        <v>53</v>
      </c>
      <c r="G20" s="208" t="str">
        <f>INDEX($B$7:$B$105,F20,1)</f>
        <v>BF</v>
      </c>
      <c r="H20" t="str">
        <f t="shared" si="0"/>
        <v>=Intersections!BF68</v>
      </c>
      <c r="L20" t="s">
        <v>643</v>
      </c>
      <c r="Q20">
        <f t="shared" si="2"/>
        <v>26</v>
      </c>
      <c r="R20" t="str">
        <f t="shared" si="1"/>
        <v>AE</v>
      </c>
      <c r="S20" t="str">
        <f t="shared" si="3"/>
        <v>=Segments!AE46</v>
      </c>
      <c r="U20" t="s">
        <v>622</v>
      </c>
    </row>
    <row r="21" spans="1:21" x14ac:dyDescent="0.25">
      <c r="A21" s="208">
        <v>15</v>
      </c>
      <c r="B21" s="208" t="s">
        <v>357</v>
      </c>
      <c r="C21" s="208">
        <f>COUNTIF($F$7:$F$104,A21)</f>
        <v>0</v>
      </c>
      <c r="D21" s="208"/>
      <c r="E21" s="208"/>
      <c r="F21">
        <f t="shared" si="4"/>
        <v>57</v>
      </c>
      <c r="G21" s="208" t="str">
        <f>INDEX($B$7:$B$105,F21,1)</f>
        <v>BJ</v>
      </c>
      <c r="H21" t="str">
        <f t="shared" si="0"/>
        <v>=Intersections!BJ68</v>
      </c>
      <c r="L21" t="s">
        <v>644</v>
      </c>
      <c r="Q21">
        <f t="shared" si="2"/>
        <v>28</v>
      </c>
      <c r="R21" t="str">
        <f t="shared" si="1"/>
        <v>AG</v>
      </c>
      <c r="S21" t="str">
        <f t="shared" si="3"/>
        <v>=Segments!AG46</v>
      </c>
      <c r="U21" t="s">
        <v>623</v>
      </c>
    </row>
    <row r="22" spans="1:21" x14ac:dyDescent="0.25">
      <c r="A22" s="208">
        <v>16</v>
      </c>
      <c r="B22" s="208" t="s">
        <v>358</v>
      </c>
      <c r="C22" s="208">
        <f>COUNTIF($F$7:$F$104,A22)</f>
        <v>0</v>
      </c>
      <c r="D22" s="208"/>
      <c r="E22" s="208"/>
      <c r="F22">
        <f t="shared" si="4"/>
        <v>61</v>
      </c>
      <c r="G22" s="208" t="str">
        <f>INDEX($B$7:$B$105,F22,1)</f>
        <v>BN</v>
      </c>
      <c r="H22" t="str">
        <f t="shared" si="0"/>
        <v>=Intersections!BN68</v>
      </c>
      <c r="L22" t="s">
        <v>645</v>
      </c>
      <c r="Q22">
        <f t="shared" si="2"/>
        <v>30</v>
      </c>
      <c r="R22" t="str">
        <f t="shared" si="1"/>
        <v>AI</v>
      </c>
      <c r="S22" t="str">
        <f t="shared" si="3"/>
        <v>=Segments!AI46</v>
      </c>
      <c r="U22" t="s">
        <v>624</v>
      </c>
    </row>
    <row r="23" spans="1:21" x14ac:dyDescent="0.25">
      <c r="A23" s="208">
        <v>17</v>
      </c>
      <c r="B23" s="208" t="s">
        <v>359</v>
      </c>
      <c r="C23" s="208">
        <f>COUNTIF($F$7:$F$104,A23)</f>
        <v>1</v>
      </c>
      <c r="D23" s="208"/>
      <c r="E23" s="208"/>
      <c r="F23">
        <f t="shared" si="4"/>
        <v>65</v>
      </c>
      <c r="G23" s="208" t="str">
        <f>INDEX($B$7:$B$105,F23,1)</f>
        <v>BR</v>
      </c>
      <c r="H23" t="str">
        <f t="shared" si="0"/>
        <v>=Intersections!BR68</v>
      </c>
      <c r="L23" t="s">
        <v>646</v>
      </c>
      <c r="Q23">
        <f t="shared" si="2"/>
        <v>32</v>
      </c>
      <c r="R23" t="str">
        <f t="shared" si="1"/>
        <v>AK</v>
      </c>
      <c r="S23" t="str">
        <f t="shared" si="3"/>
        <v>=Segments!AK46</v>
      </c>
      <c r="U23" t="s">
        <v>625</v>
      </c>
    </row>
    <row r="24" spans="1:21" x14ac:dyDescent="0.25">
      <c r="A24" s="208">
        <v>18</v>
      </c>
      <c r="B24" s="208" t="s">
        <v>240</v>
      </c>
      <c r="C24" s="208">
        <f>COUNTIF($F$7:$F$104,A24)</f>
        <v>0</v>
      </c>
      <c r="D24" s="208"/>
      <c r="E24" s="208"/>
      <c r="F24">
        <f t="shared" si="4"/>
        <v>69</v>
      </c>
      <c r="G24" s="208" t="str">
        <f>INDEX($B$7:$B$105,F24,1)</f>
        <v>BV</v>
      </c>
      <c r="H24" t="str">
        <f t="shared" si="0"/>
        <v>=Intersections!BV68</v>
      </c>
      <c r="L24" t="s">
        <v>647</v>
      </c>
      <c r="Q24">
        <f t="shared" si="2"/>
        <v>34</v>
      </c>
      <c r="R24" t="str">
        <f t="shared" si="1"/>
        <v>AM</v>
      </c>
      <c r="S24" t="str">
        <f t="shared" si="3"/>
        <v>=Segments!AM46</v>
      </c>
      <c r="U24" t="s">
        <v>626</v>
      </c>
    </row>
    <row r="25" spans="1:21" x14ac:dyDescent="0.25">
      <c r="A25" s="208">
        <v>19</v>
      </c>
      <c r="B25" s="208" t="s">
        <v>360</v>
      </c>
      <c r="C25" s="208">
        <f>COUNTIF($F$7:$F$104,A25)</f>
        <v>0</v>
      </c>
      <c r="D25" s="208"/>
      <c r="E25" s="208"/>
      <c r="F25">
        <f t="shared" si="4"/>
        <v>73</v>
      </c>
      <c r="G25" s="208" t="str">
        <f>INDEX($B$7:$B$105,F25,1)</f>
        <v>BZ</v>
      </c>
      <c r="H25" t="str">
        <f t="shared" si="0"/>
        <v>=Intersections!BZ68</v>
      </c>
      <c r="L25" t="s">
        <v>648</v>
      </c>
      <c r="Q25">
        <f t="shared" si="2"/>
        <v>36</v>
      </c>
      <c r="R25" t="str">
        <f t="shared" si="1"/>
        <v>AO</v>
      </c>
      <c r="S25" t="str">
        <f t="shared" si="3"/>
        <v>=Segments!AO46</v>
      </c>
      <c r="U25" t="s">
        <v>627</v>
      </c>
    </row>
    <row r="26" spans="1:21" x14ac:dyDescent="0.25">
      <c r="A26" s="208">
        <v>20</v>
      </c>
      <c r="B26" s="208" t="s">
        <v>333</v>
      </c>
      <c r="C26" s="208">
        <f>COUNTIF($F$7:$F$104,A26)</f>
        <v>0</v>
      </c>
      <c r="D26" s="208"/>
      <c r="E26" s="208"/>
      <c r="F26">
        <f t="shared" si="4"/>
        <v>77</v>
      </c>
      <c r="G26" s="208" t="str">
        <f>INDEX($B$7:$B$105,F26,1)</f>
        <v>CD</v>
      </c>
      <c r="H26" t="str">
        <f t="shared" si="0"/>
        <v>=Intersections!CD68</v>
      </c>
      <c r="L26" t="s">
        <v>649</v>
      </c>
      <c r="Q26">
        <f t="shared" si="2"/>
        <v>38</v>
      </c>
      <c r="R26" t="str">
        <f t="shared" si="1"/>
        <v>AQ</v>
      </c>
      <c r="S26" t="str">
        <f t="shared" si="3"/>
        <v>=Segments!AQ46</v>
      </c>
      <c r="U26" t="s">
        <v>628</v>
      </c>
    </row>
    <row r="27" spans="1:21" x14ac:dyDescent="0.25">
      <c r="A27" s="208">
        <v>21</v>
      </c>
      <c r="B27" s="208" t="s">
        <v>361</v>
      </c>
      <c r="C27" s="208">
        <f>COUNTIF($F$7:$F$104,A27)</f>
        <v>1</v>
      </c>
      <c r="D27" s="208"/>
      <c r="E27" s="208"/>
      <c r="F27">
        <f t="shared" si="4"/>
        <v>81</v>
      </c>
      <c r="G27" s="208" t="str">
        <f>INDEX($B$7:$B$105,F27,1)</f>
        <v>CH</v>
      </c>
      <c r="H27" t="str">
        <f t="shared" si="0"/>
        <v>=Intersections!CH68</v>
      </c>
      <c r="L27" t="s">
        <v>650</v>
      </c>
      <c r="Q27">
        <f t="shared" si="2"/>
        <v>40</v>
      </c>
      <c r="R27" t="str">
        <f t="shared" si="1"/>
        <v>AS</v>
      </c>
      <c r="S27" t="str">
        <f t="shared" si="3"/>
        <v>=Segments!AS46</v>
      </c>
      <c r="U27" t="s">
        <v>629</v>
      </c>
    </row>
    <row r="28" spans="1:21" x14ac:dyDescent="0.25">
      <c r="A28" s="208">
        <v>22</v>
      </c>
      <c r="B28" s="208" t="s">
        <v>363</v>
      </c>
      <c r="C28" s="208">
        <f>COUNTIF($F$7:$F$104,A28)</f>
        <v>0</v>
      </c>
      <c r="D28" s="208"/>
      <c r="E28" s="208"/>
      <c r="F28">
        <f t="shared" si="4"/>
        <v>85</v>
      </c>
      <c r="G28" s="208" t="str">
        <f>INDEX($B$7:$B$105,F28,1)</f>
        <v>CL</v>
      </c>
      <c r="H28" t="str">
        <f t="shared" si="0"/>
        <v>=Intersections!CL68</v>
      </c>
      <c r="L28" t="s">
        <v>651</v>
      </c>
    </row>
    <row r="29" spans="1:21" x14ac:dyDescent="0.25">
      <c r="A29" s="208">
        <v>23</v>
      </c>
      <c r="B29" s="208" t="s">
        <v>362</v>
      </c>
      <c r="C29" s="208">
        <f>COUNTIF($F$7:$F$104,A29)</f>
        <v>0</v>
      </c>
      <c r="D29" s="208"/>
      <c r="E29" s="208"/>
      <c r="F29">
        <f t="shared" si="4"/>
        <v>89</v>
      </c>
      <c r="G29" s="208" t="str">
        <f>INDEX($B$7:$B$105,F29,1)</f>
        <v>CP</v>
      </c>
      <c r="H29" t="str">
        <f t="shared" si="0"/>
        <v>=Intersections!CP68</v>
      </c>
      <c r="L29" t="s">
        <v>652</v>
      </c>
    </row>
    <row r="30" spans="1:21" x14ac:dyDescent="0.25">
      <c r="A30" s="208">
        <v>24</v>
      </c>
      <c r="B30" s="208" t="s">
        <v>366</v>
      </c>
      <c r="C30" s="208">
        <f>COUNTIF($F$7:$F$104,A30)</f>
        <v>0</v>
      </c>
      <c r="D30" s="208"/>
      <c r="E30" s="208"/>
      <c r="F30">
        <f t="shared" si="4"/>
        <v>93</v>
      </c>
      <c r="G30" s="208" t="str">
        <f>INDEX($B$7:$B$105,F30,1)</f>
        <v>CT</v>
      </c>
      <c r="H30" t="str">
        <f t="shared" si="0"/>
        <v>=Intersections!CT68</v>
      </c>
      <c r="L30" t="s">
        <v>653</v>
      </c>
    </row>
    <row r="31" spans="1:21" x14ac:dyDescent="0.25">
      <c r="A31" s="208">
        <v>25</v>
      </c>
      <c r="B31" s="208" t="s">
        <v>367</v>
      </c>
      <c r="C31" s="208">
        <f>COUNTIF($F$7:$F$104,A31)</f>
        <v>1</v>
      </c>
      <c r="D31" s="208"/>
      <c r="E31" s="208"/>
      <c r="F31">
        <f t="shared" si="4"/>
        <v>97</v>
      </c>
      <c r="G31" s="208" t="str">
        <f>INDEX($B$7:$B$105,F31,1)</f>
        <v>CX</v>
      </c>
      <c r="H31" t="str">
        <f t="shared" si="0"/>
        <v>=Intersections!CX68</v>
      </c>
      <c r="L31" t="s">
        <v>654</v>
      </c>
    </row>
    <row r="32" spans="1:21" x14ac:dyDescent="0.25">
      <c r="A32" s="208">
        <v>26</v>
      </c>
      <c r="B32" s="208" t="s">
        <v>368</v>
      </c>
      <c r="C32" s="208">
        <f>COUNTIF($F$7:$F$104,A32)</f>
        <v>0</v>
      </c>
      <c r="D32" s="208"/>
      <c r="E32" s="208"/>
      <c r="G32" s="208"/>
    </row>
    <row r="33" spans="1:7" x14ac:dyDescent="0.25">
      <c r="A33" s="208">
        <v>27</v>
      </c>
      <c r="B33" s="208" t="s">
        <v>369</v>
      </c>
      <c r="C33" s="208">
        <f>COUNTIF($F$7:$F$104,A33)</f>
        <v>0</v>
      </c>
      <c r="D33" s="208"/>
      <c r="E33" s="208"/>
      <c r="G33" s="208"/>
    </row>
    <row r="34" spans="1:7" x14ac:dyDescent="0.25">
      <c r="A34" s="208">
        <v>28</v>
      </c>
      <c r="B34" s="208" t="s">
        <v>370</v>
      </c>
      <c r="C34" s="208">
        <f>COUNTIF($F$7:$F$104,A34)</f>
        <v>0</v>
      </c>
      <c r="D34" s="208"/>
      <c r="E34" s="208"/>
      <c r="G34" s="208"/>
    </row>
    <row r="35" spans="1:7" x14ac:dyDescent="0.25">
      <c r="A35" s="208">
        <v>29</v>
      </c>
      <c r="B35" s="208" t="s">
        <v>371</v>
      </c>
      <c r="C35" s="208">
        <f>COUNTIF($F$7:$F$104,A35)</f>
        <v>1</v>
      </c>
      <c r="D35" s="208"/>
      <c r="E35" s="208"/>
      <c r="G35" s="208"/>
    </row>
    <row r="36" spans="1:7" x14ac:dyDescent="0.25">
      <c r="A36" s="208">
        <v>30</v>
      </c>
      <c r="B36" s="208" t="s">
        <v>372</v>
      </c>
      <c r="C36" s="208">
        <f>COUNTIF($F$7:$F$104,A36)</f>
        <v>0</v>
      </c>
      <c r="D36" s="208"/>
      <c r="E36" s="208"/>
      <c r="G36" s="208"/>
    </row>
    <row r="37" spans="1:7" x14ac:dyDescent="0.25">
      <c r="A37" s="208">
        <v>31</v>
      </c>
      <c r="B37" s="208" t="s">
        <v>373</v>
      </c>
      <c r="C37" s="208">
        <f>COUNTIF($F$7:$F$104,A37)</f>
        <v>0</v>
      </c>
      <c r="D37" s="208"/>
      <c r="E37" s="208"/>
      <c r="G37" s="208"/>
    </row>
    <row r="38" spans="1:7" x14ac:dyDescent="0.25">
      <c r="A38" s="208">
        <v>32</v>
      </c>
      <c r="B38" s="208" t="s">
        <v>374</v>
      </c>
      <c r="C38" s="208">
        <f>COUNTIF($F$7:$F$104,A38)</f>
        <v>0</v>
      </c>
      <c r="D38" s="208"/>
      <c r="E38" s="208"/>
      <c r="G38" s="208"/>
    </row>
    <row r="39" spans="1:7" x14ac:dyDescent="0.25">
      <c r="A39" s="208">
        <v>33</v>
      </c>
      <c r="B39" s="208" t="s">
        <v>375</v>
      </c>
      <c r="C39" s="208">
        <f>COUNTIF($F$7:$F$104,A39)</f>
        <v>1</v>
      </c>
      <c r="D39" s="208"/>
      <c r="E39" s="208"/>
      <c r="G39" s="208"/>
    </row>
    <row r="40" spans="1:7" x14ac:dyDescent="0.25">
      <c r="A40" s="208">
        <v>34</v>
      </c>
      <c r="B40" s="208" t="s">
        <v>376</v>
      </c>
      <c r="C40" s="208">
        <f>COUNTIF($F$7:$F$104,A40)</f>
        <v>0</v>
      </c>
      <c r="D40" s="208"/>
      <c r="E40" s="208"/>
      <c r="G40" s="208"/>
    </row>
    <row r="41" spans="1:7" x14ac:dyDescent="0.25">
      <c r="A41" s="208">
        <v>35</v>
      </c>
      <c r="B41" s="208" t="s">
        <v>377</v>
      </c>
      <c r="C41" s="208">
        <f>COUNTIF($F$7:$F$104,A41)</f>
        <v>0</v>
      </c>
      <c r="D41" s="208"/>
      <c r="E41" s="208"/>
      <c r="G41" s="208"/>
    </row>
    <row r="42" spans="1:7" x14ac:dyDescent="0.25">
      <c r="A42" s="208">
        <v>36</v>
      </c>
      <c r="B42" s="208" t="s">
        <v>378</v>
      </c>
      <c r="C42" s="208">
        <f>COUNTIF($F$7:$F$104,A42)</f>
        <v>0</v>
      </c>
      <c r="D42" s="208"/>
      <c r="E42" s="208"/>
      <c r="G42" s="208"/>
    </row>
    <row r="43" spans="1:7" x14ac:dyDescent="0.25">
      <c r="A43" s="208">
        <v>37</v>
      </c>
      <c r="B43" s="208" t="s">
        <v>379</v>
      </c>
      <c r="C43" s="208">
        <f>COUNTIF($F$7:$F$104,A43)</f>
        <v>1</v>
      </c>
      <c r="D43" s="208"/>
      <c r="E43" s="208"/>
      <c r="G43" s="208"/>
    </row>
    <row r="44" spans="1:7" x14ac:dyDescent="0.25">
      <c r="A44" s="208">
        <v>38</v>
      </c>
      <c r="B44" s="208" t="s">
        <v>380</v>
      </c>
      <c r="C44" s="208">
        <f>COUNTIF($F$7:$F$104,A44)</f>
        <v>0</v>
      </c>
      <c r="D44" s="208"/>
      <c r="E44" s="208"/>
      <c r="G44" s="208"/>
    </row>
    <row r="45" spans="1:7" x14ac:dyDescent="0.25">
      <c r="A45" s="208">
        <v>39</v>
      </c>
      <c r="B45" s="208" t="s">
        <v>334</v>
      </c>
      <c r="C45" s="208">
        <f>COUNTIF($F$7:$F$104,A45)</f>
        <v>0</v>
      </c>
      <c r="D45" s="208"/>
      <c r="E45" s="208"/>
      <c r="G45" s="208"/>
    </row>
    <row r="46" spans="1:7" x14ac:dyDescent="0.25">
      <c r="A46" s="208">
        <v>40</v>
      </c>
      <c r="B46" s="208" t="s">
        <v>381</v>
      </c>
      <c r="C46" s="208">
        <f>COUNTIF($F$7:$F$104,A46)</f>
        <v>0</v>
      </c>
      <c r="D46" s="208"/>
      <c r="E46" s="208"/>
      <c r="G46" s="208"/>
    </row>
    <row r="47" spans="1:7" x14ac:dyDescent="0.25">
      <c r="A47" s="208">
        <v>41</v>
      </c>
      <c r="B47" s="208" t="s">
        <v>382</v>
      </c>
      <c r="C47" s="208">
        <f>COUNTIF($F$7:$F$104,A47)</f>
        <v>1</v>
      </c>
      <c r="D47" s="208"/>
      <c r="E47" s="208"/>
      <c r="G47" s="208"/>
    </row>
    <row r="48" spans="1:7" x14ac:dyDescent="0.25">
      <c r="A48" s="208">
        <v>42</v>
      </c>
      <c r="B48" s="208" t="s">
        <v>383</v>
      </c>
      <c r="C48" s="208">
        <f>COUNTIF($F$7:$F$104,A48)</f>
        <v>0</v>
      </c>
      <c r="D48" s="208"/>
      <c r="E48" s="208"/>
      <c r="G48" s="208"/>
    </row>
    <row r="49" spans="1:7" x14ac:dyDescent="0.25">
      <c r="A49" s="208">
        <v>43</v>
      </c>
      <c r="B49" s="208" t="s">
        <v>384</v>
      </c>
      <c r="C49" s="208">
        <f>COUNTIF($F$7:$F$104,A49)</f>
        <v>0</v>
      </c>
      <c r="D49" s="208"/>
      <c r="E49" s="208"/>
      <c r="G49" s="208"/>
    </row>
    <row r="50" spans="1:7" x14ac:dyDescent="0.25">
      <c r="A50" s="208">
        <v>44</v>
      </c>
      <c r="B50" s="208" t="s">
        <v>385</v>
      </c>
      <c r="C50" s="208">
        <f>COUNTIF($F$7:$F$104,A50)</f>
        <v>0</v>
      </c>
      <c r="D50" s="208"/>
      <c r="E50" s="208"/>
      <c r="G50" s="208"/>
    </row>
    <row r="51" spans="1:7" x14ac:dyDescent="0.25">
      <c r="A51" s="208">
        <v>45</v>
      </c>
      <c r="B51" s="208" t="s">
        <v>386</v>
      </c>
      <c r="C51" s="208">
        <f>COUNTIF($F$7:$F$104,A51)</f>
        <v>1</v>
      </c>
      <c r="D51" s="208"/>
      <c r="E51" s="208"/>
      <c r="G51" s="208"/>
    </row>
    <row r="52" spans="1:7" x14ac:dyDescent="0.25">
      <c r="A52" s="208">
        <v>46</v>
      </c>
      <c r="B52" s="208" t="s">
        <v>387</v>
      </c>
      <c r="C52" s="208">
        <f>COUNTIF($F$7:$F$104,A52)</f>
        <v>0</v>
      </c>
      <c r="D52" s="208"/>
      <c r="E52" s="208"/>
      <c r="G52" s="208"/>
    </row>
    <row r="53" spans="1:7" x14ac:dyDescent="0.25">
      <c r="A53" s="208">
        <v>47</v>
      </c>
      <c r="B53" s="208" t="s">
        <v>388</v>
      </c>
      <c r="C53" s="208">
        <f>COUNTIF($F$7:$F$104,A53)</f>
        <v>0</v>
      </c>
      <c r="D53" s="208"/>
      <c r="E53" s="208"/>
      <c r="G53" s="208"/>
    </row>
    <row r="54" spans="1:7" x14ac:dyDescent="0.25">
      <c r="A54" s="208">
        <v>48</v>
      </c>
      <c r="B54" s="208" t="s">
        <v>389</v>
      </c>
      <c r="C54" s="208">
        <f>COUNTIF($F$7:$F$104,A54)</f>
        <v>0</v>
      </c>
      <c r="D54" s="208"/>
      <c r="E54" s="208"/>
      <c r="G54" s="208"/>
    </row>
    <row r="55" spans="1:7" x14ac:dyDescent="0.25">
      <c r="A55" s="208">
        <v>49</v>
      </c>
      <c r="B55" s="208" t="s">
        <v>364</v>
      </c>
      <c r="C55" s="208">
        <f>COUNTIF($F$7:$F$104,A55)</f>
        <v>1</v>
      </c>
      <c r="D55" s="208"/>
      <c r="E55" s="208"/>
      <c r="G55" s="208"/>
    </row>
    <row r="56" spans="1:7" x14ac:dyDescent="0.25">
      <c r="A56" s="208">
        <v>50</v>
      </c>
      <c r="B56" s="208" t="s">
        <v>392</v>
      </c>
      <c r="C56" s="208">
        <f>COUNTIF($F$7:$F$104,A56)</f>
        <v>0</v>
      </c>
      <c r="D56" s="208"/>
      <c r="E56" s="208"/>
      <c r="G56" s="208"/>
    </row>
    <row r="57" spans="1:7" x14ac:dyDescent="0.25">
      <c r="A57" s="208">
        <v>51</v>
      </c>
      <c r="B57" s="208" t="s">
        <v>393</v>
      </c>
      <c r="C57" s="208">
        <f>COUNTIF($F$7:$F$104,A57)</f>
        <v>0</v>
      </c>
      <c r="D57" s="208"/>
      <c r="E57" s="208"/>
      <c r="G57" s="208"/>
    </row>
    <row r="58" spans="1:7" x14ac:dyDescent="0.25">
      <c r="A58" s="208">
        <v>52</v>
      </c>
      <c r="B58" s="208" t="s">
        <v>395</v>
      </c>
      <c r="C58" s="208">
        <f>COUNTIF($F$7:$F$104,A58)</f>
        <v>0</v>
      </c>
      <c r="D58" s="208"/>
      <c r="E58" s="208"/>
      <c r="G58" s="208"/>
    </row>
    <row r="59" spans="1:7" x14ac:dyDescent="0.25">
      <c r="A59" s="208">
        <v>53</v>
      </c>
      <c r="B59" s="208" t="s">
        <v>397</v>
      </c>
      <c r="C59" s="208">
        <f>COUNTIF($F$7:$F$104,A59)</f>
        <v>1</v>
      </c>
      <c r="D59" s="208"/>
      <c r="E59" s="208"/>
      <c r="G59" s="208"/>
    </row>
    <row r="60" spans="1:7" x14ac:dyDescent="0.25">
      <c r="A60" s="208">
        <v>54</v>
      </c>
      <c r="B60" s="208" t="s">
        <v>399</v>
      </c>
      <c r="C60" s="208">
        <f>COUNTIF($F$7:$F$104,A60)</f>
        <v>0</v>
      </c>
      <c r="D60" s="208"/>
      <c r="E60" s="208"/>
      <c r="G60" s="208"/>
    </row>
    <row r="61" spans="1:7" x14ac:dyDescent="0.25">
      <c r="A61" s="208">
        <v>55</v>
      </c>
      <c r="B61" s="208" t="s">
        <v>401</v>
      </c>
      <c r="C61" s="208">
        <f>COUNTIF($F$7:$F$104,A61)</f>
        <v>0</v>
      </c>
      <c r="D61" s="208"/>
      <c r="E61" s="208"/>
      <c r="G61" s="208"/>
    </row>
    <row r="62" spans="1:7" x14ac:dyDescent="0.25">
      <c r="A62" s="208">
        <v>56</v>
      </c>
      <c r="B62" s="208" t="s">
        <v>403</v>
      </c>
      <c r="C62" s="208">
        <f>COUNTIF($F$7:$F$104,A62)</f>
        <v>0</v>
      </c>
      <c r="D62" s="208"/>
      <c r="E62" s="208"/>
      <c r="G62" s="208"/>
    </row>
    <row r="63" spans="1:7" x14ac:dyDescent="0.25">
      <c r="A63" s="208">
        <v>57</v>
      </c>
      <c r="B63" s="208" t="s">
        <v>405</v>
      </c>
      <c r="C63" s="208">
        <f>COUNTIF($F$7:$F$104,A63)</f>
        <v>1</v>
      </c>
      <c r="D63" s="208"/>
      <c r="E63" s="208"/>
      <c r="G63" s="208"/>
    </row>
    <row r="64" spans="1:7" x14ac:dyDescent="0.25">
      <c r="A64" s="208">
        <v>58</v>
      </c>
      <c r="B64" s="208" t="s">
        <v>407</v>
      </c>
      <c r="C64" s="208">
        <f>COUNTIF($F$7:$F$104,A64)</f>
        <v>0</v>
      </c>
      <c r="D64" s="208"/>
      <c r="E64" s="208"/>
      <c r="G64" s="208"/>
    </row>
    <row r="65" spans="1:7" x14ac:dyDescent="0.25">
      <c r="A65" s="208">
        <v>59</v>
      </c>
      <c r="B65" s="208" t="s">
        <v>409</v>
      </c>
      <c r="C65" s="208">
        <f>COUNTIF($F$7:$F$104,A65)</f>
        <v>0</v>
      </c>
      <c r="D65" s="208"/>
      <c r="E65" s="208"/>
      <c r="G65" s="208"/>
    </row>
    <row r="66" spans="1:7" x14ac:dyDescent="0.25">
      <c r="A66" s="208">
        <v>60</v>
      </c>
      <c r="B66" s="208" t="s">
        <v>411</v>
      </c>
      <c r="C66" s="208">
        <f>COUNTIF($F$7:$F$104,A66)</f>
        <v>0</v>
      </c>
      <c r="D66" s="208"/>
      <c r="E66" s="208"/>
      <c r="G66" s="208"/>
    </row>
    <row r="67" spans="1:7" x14ac:dyDescent="0.25">
      <c r="A67" s="208">
        <v>61</v>
      </c>
      <c r="B67" s="208" t="s">
        <v>413</v>
      </c>
      <c r="C67" s="208">
        <f>COUNTIF($F$7:$F$104,A67)</f>
        <v>1</v>
      </c>
      <c r="D67" s="208"/>
      <c r="E67" s="208"/>
      <c r="G67" s="208"/>
    </row>
    <row r="68" spans="1:7" x14ac:dyDescent="0.25">
      <c r="A68" s="208">
        <v>62</v>
      </c>
      <c r="B68" s="208" t="s">
        <v>415</v>
      </c>
      <c r="C68" s="208">
        <f>COUNTIF($F$7:$F$104,A68)</f>
        <v>0</v>
      </c>
      <c r="D68" s="208"/>
      <c r="E68" s="208"/>
      <c r="G68" s="208"/>
    </row>
    <row r="69" spans="1:7" x14ac:dyDescent="0.25">
      <c r="A69" s="208">
        <v>63</v>
      </c>
      <c r="B69" s="208" t="s">
        <v>417</v>
      </c>
      <c r="C69" s="208">
        <f>COUNTIF($F$7:$F$104,A69)</f>
        <v>0</v>
      </c>
      <c r="D69" s="208"/>
      <c r="E69" s="208"/>
      <c r="G69" s="208"/>
    </row>
    <row r="70" spans="1:7" x14ac:dyDescent="0.25">
      <c r="A70" s="208">
        <v>64</v>
      </c>
      <c r="B70" s="208" t="s">
        <v>419</v>
      </c>
      <c r="C70" s="208">
        <f>COUNTIF($F$7:$F$104,A70)</f>
        <v>0</v>
      </c>
      <c r="D70" s="208"/>
      <c r="E70" s="208"/>
      <c r="G70" s="208"/>
    </row>
    <row r="71" spans="1:7" x14ac:dyDescent="0.25">
      <c r="A71" s="208">
        <v>65</v>
      </c>
      <c r="B71" s="208" t="s">
        <v>421</v>
      </c>
      <c r="C71" s="208">
        <f>COUNTIF($F$7:$F$104,A71)</f>
        <v>1</v>
      </c>
      <c r="D71" s="208"/>
      <c r="E71" s="208"/>
      <c r="G71" s="208"/>
    </row>
    <row r="72" spans="1:7" x14ac:dyDescent="0.25">
      <c r="A72" s="208">
        <v>66</v>
      </c>
      <c r="B72" s="208" t="s">
        <v>423</v>
      </c>
      <c r="C72" s="208">
        <f>COUNTIF($F$7:$F$104,A72)</f>
        <v>0</v>
      </c>
      <c r="D72" s="208"/>
      <c r="E72" s="208"/>
      <c r="G72" s="208"/>
    </row>
    <row r="73" spans="1:7" x14ac:dyDescent="0.25">
      <c r="A73" s="208">
        <v>67</v>
      </c>
      <c r="B73" s="208" t="s">
        <v>425</v>
      </c>
      <c r="C73" s="208">
        <f>COUNTIF($F$7:$F$104,A73)</f>
        <v>0</v>
      </c>
      <c r="D73" s="208"/>
      <c r="E73" s="208"/>
      <c r="G73" s="208"/>
    </row>
    <row r="74" spans="1:7" x14ac:dyDescent="0.25">
      <c r="A74" s="208">
        <v>68</v>
      </c>
      <c r="B74" s="208" t="s">
        <v>427</v>
      </c>
      <c r="C74" s="208">
        <f>COUNTIF($F$7:$F$104,A74)</f>
        <v>0</v>
      </c>
      <c r="D74" s="208"/>
      <c r="E74" s="208"/>
      <c r="G74" s="208"/>
    </row>
    <row r="75" spans="1:7" x14ac:dyDescent="0.25">
      <c r="A75" s="208">
        <v>69</v>
      </c>
      <c r="B75" s="208" t="s">
        <v>429</v>
      </c>
      <c r="C75" s="208">
        <f>COUNTIF($F$7:$F$104,A75)</f>
        <v>1</v>
      </c>
      <c r="D75" s="208"/>
      <c r="E75" s="208"/>
      <c r="G75" s="208"/>
    </row>
    <row r="76" spans="1:7" x14ac:dyDescent="0.25">
      <c r="A76" s="208">
        <v>70</v>
      </c>
      <c r="B76" s="208" t="s">
        <v>559</v>
      </c>
      <c r="C76" s="208">
        <f>COUNTIF($F$7:$F$104,A76)</f>
        <v>0</v>
      </c>
      <c r="D76" s="208"/>
      <c r="E76" s="208"/>
      <c r="G76" s="208"/>
    </row>
    <row r="77" spans="1:7" x14ac:dyDescent="0.25">
      <c r="A77" s="208">
        <v>71</v>
      </c>
      <c r="B77" s="208" t="s">
        <v>431</v>
      </c>
      <c r="C77" s="208">
        <f>COUNTIF($F$7:$F$104,A77)</f>
        <v>0</v>
      </c>
      <c r="D77" s="208"/>
      <c r="E77" s="208"/>
      <c r="G77" s="208"/>
    </row>
    <row r="78" spans="1:7" x14ac:dyDescent="0.25">
      <c r="A78" s="208">
        <v>72</v>
      </c>
      <c r="B78" s="208" t="s">
        <v>433</v>
      </c>
      <c r="C78" s="208">
        <f>COUNTIF($F$7:$F$104,A78)</f>
        <v>0</v>
      </c>
      <c r="D78" s="208"/>
      <c r="E78" s="208"/>
      <c r="G78" s="208"/>
    </row>
    <row r="79" spans="1:7" x14ac:dyDescent="0.25">
      <c r="A79" s="208">
        <v>73</v>
      </c>
      <c r="B79" s="208" t="s">
        <v>435</v>
      </c>
      <c r="C79" s="208">
        <f>COUNTIF($F$7:$F$104,A79)</f>
        <v>1</v>
      </c>
      <c r="D79" s="208"/>
      <c r="E79" s="208"/>
      <c r="G79" s="208"/>
    </row>
    <row r="80" spans="1:7" x14ac:dyDescent="0.25">
      <c r="A80" s="208">
        <v>74</v>
      </c>
      <c r="B80" s="208" t="s">
        <v>390</v>
      </c>
      <c r="C80" s="208">
        <f>COUNTIF($F$7:$F$104,A80)</f>
        <v>0</v>
      </c>
      <c r="D80" s="208"/>
      <c r="E80" s="208"/>
      <c r="G80" s="208"/>
    </row>
    <row r="81" spans="1:7" x14ac:dyDescent="0.25">
      <c r="A81" s="208">
        <v>75</v>
      </c>
      <c r="B81" s="208" t="s">
        <v>391</v>
      </c>
      <c r="C81" s="208">
        <f>COUNTIF($F$7:$F$104,A81)</f>
        <v>0</v>
      </c>
      <c r="D81" s="208"/>
      <c r="E81" s="208"/>
      <c r="G81" s="208"/>
    </row>
    <row r="82" spans="1:7" x14ac:dyDescent="0.25">
      <c r="A82" s="208">
        <v>76</v>
      </c>
      <c r="B82" s="208" t="s">
        <v>365</v>
      </c>
      <c r="C82" s="208">
        <f>COUNTIF($F$7:$F$104,A82)</f>
        <v>0</v>
      </c>
      <c r="D82" s="208"/>
      <c r="E82" s="208"/>
      <c r="G82" s="208"/>
    </row>
    <row r="83" spans="1:7" x14ac:dyDescent="0.25">
      <c r="A83" s="208">
        <v>77</v>
      </c>
      <c r="B83" s="208" t="s">
        <v>394</v>
      </c>
      <c r="C83" s="208">
        <f>COUNTIF($F$7:$F$104,A83)</f>
        <v>1</v>
      </c>
      <c r="D83" s="208"/>
      <c r="E83" s="208"/>
      <c r="G83" s="208"/>
    </row>
    <row r="84" spans="1:7" x14ac:dyDescent="0.25">
      <c r="A84" s="208">
        <v>78</v>
      </c>
      <c r="B84" s="208" t="s">
        <v>396</v>
      </c>
      <c r="C84" s="208">
        <f>COUNTIF($F$7:$F$104,A84)</f>
        <v>0</v>
      </c>
      <c r="D84" s="208"/>
      <c r="E84" s="208"/>
      <c r="G84" s="208"/>
    </row>
    <row r="85" spans="1:7" x14ac:dyDescent="0.25">
      <c r="A85" s="208">
        <v>79</v>
      </c>
      <c r="B85" s="208" t="s">
        <v>398</v>
      </c>
      <c r="C85" s="208">
        <f>COUNTIF($F$7:$F$104,A85)</f>
        <v>0</v>
      </c>
      <c r="D85" s="208"/>
      <c r="E85" s="208"/>
      <c r="G85" s="208"/>
    </row>
    <row r="86" spans="1:7" x14ac:dyDescent="0.25">
      <c r="A86" s="208">
        <v>80</v>
      </c>
      <c r="B86" s="208" t="s">
        <v>400</v>
      </c>
      <c r="C86" s="208">
        <f>COUNTIF($F$7:$F$104,A86)</f>
        <v>0</v>
      </c>
      <c r="D86" s="208"/>
      <c r="E86" s="208"/>
      <c r="G86" s="208"/>
    </row>
    <row r="87" spans="1:7" x14ac:dyDescent="0.25">
      <c r="A87" s="208">
        <v>81</v>
      </c>
      <c r="B87" s="208" t="s">
        <v>402</v>
      </c>
      <c r="C87" s="208">
        <f>COUNTIF($F$7:$F$104,A87)</f>
        <v>1</v>
      </c>
      <c r="D87" s="208"/>
      <c r="E87" s="208"/>
      <c r="G87" s="208"/>
    </row>
    <row r="88" spans="1:7" x14ac:dyDescent="0.25">
      <c r="A88" s="208">
        <v>82</v>
      </c>
      <c r="B88" s="208" t="s">
        <v>404</v>
      </c>
      <c r="C88" s="208">
        <f>COUNTIF($F$7:$F$104,A88)</f>
        <v>0</v>
      </c>
      <c r="D88" s="208"/>
      <c r="E88" s="208"/>
      <c r="G88" s="208"/>
    </row>
    <row r="89" spans="1:7" x14ac:dyDescent="0.25">
      <c r="A89" s="208">
        <v>83</v>
      </c>
      <c r="B89" s="208" t="s">
        <v>406</v>
      </c>
      <c r="C89" s="208">
        <f>COUNTIF($F$7:$F$104,A89)</f>
        <v>0</v>
      </c>
      <c r="D89" s="208"/>
      <c r="E89" s="208"/>
      <c r="G89" s="208"/>
    </row>
    <row r="90" spans="1:7" x14ac:dyDescent="0.25">
      <c r="A90" s="208">
        <v>84</v>
      </c>
      <c r="B90" s="208" t="s">
        <v>408</v>
      </c>
      <c r="C90" s="208">
        <f>COUNTIF($F$7:$F$104,A90)</f>
        <v>0</v>
      </c>
      <c r="D90" s="208"/>
      <c r="E90" s="208"/>
      <c r="G90" s="208"/>
    </row>
    <row r="91" spans="1:7" x14ac:dyDescent="0.25">
      <c r="A91" s="208">
        <v>85</v>
      </c>
      <c r="B91" s="208" t="s">
        <v>410</v>
      </c>
      <c r="C91" s="208">
        <f>COUNTIF($F$7:$F$104,A91)</f>
        <v>1</v>
      </c>
      <c r="D91" s="208"/>
      <c r="E91" s="208"/>
      <c r="G91" s="208"/>
    </row>
    <row r="92" spans="1:7" x14ac:dyDescent="0.25">
      <c r="A92" s="208">
        <v>86</v>
      </c>
      <c r="B92" s="208" t="s">
        <v>412</v>
      </c>
      <c r="C92" s="208">
        <f>COUNTIF($F$7:$F$104,A92)</f>
        <v>0</v>
      </c>
      <c r="D92" s="208"/>
      <c r="E92" s="208"/>
      <c r="G92" s="208"/>
    </row>
    <row r="93" spans="1:7" x14ac:dyDescent="0.25">
      <c r="A93" s="208">
        <v>87</v>
      </c>
      <c r="B93" s="208" t="s">
        <v>414</v>
      </c>
      <c r="C93" s="208">
        <f>COUNTIF($F$7:$F$104,A93)</f>
        <v>0</v>
      </c>
      <c r="D93" s="208"/>
      <c r="E93" s="208"/>
      <c r="G93" s="208"/>
    </row>
    <row r="94" spans="1:7" x14ac:dyDescent="0.25">
      <c r="A94" s="208">
        <v>88</v>
      </c>
      <c r="B94" s="208" t="s">
        <v>416</v>
      </c>
      <c r="C94" s="208">
        <f>COUNTIF($F$7:$F$104,A94)</f>
        <v>0</v>
      </c>
      <c r="D94" s="208"/>
      <c r="E94" s="208"/>
      <c r="G94" s="208"/>
    </row>
    <row r="95" spans="1:7" x14ac:dyDescent="0.25">
      <c r="A95" s="208">
        <v>89</v>
      </c>
      <c r="B95" s="208" t="s">
        <v>418</v>
      </c>
      <c r="C95" s="208">
        <f>COUNTIF($F$7:$F$104,A95)</f>
        <v>1</v>
      </c>
      <c r="D95" s="208"/>
      <c r="E95" s="208"/>
      <c r="G95" s="208"/>
    </row>
    <row r="96" spans="1:7" x14ac:dyDescent="0.25">
      <c r="A96" s="208">
        <v>90</v>
      </c>
      <c r="B96" s="208" t="s">
        <v>420</v>
      </c>
      <c r="C96" s="208">
        <f>COUNTIF($F$7:$F$104,A96)</f>
        <v>0</v>
      </c>
      <c r="D96" s="208"/>
      <c r="E96" s="208"/>
      <c r="G96" s="208"/>
    </row>
    <row r="97" spans="1:7" x14ac:dyDescent="0.25">
      <c r="A97" s="208">
        <v>91</v>
      </c>
      <c r="B97" s="208" t="s">
        <v>422</v>
      </c>
      <c r="C97" s="208">
        <f>COUNTIF($F$7:$F$104,A97)</f>
        <v>0</v>
      </c>
      <c r="D97" s="208"/>
      <c r="E97" s="208"/>
      <c r="G97" s="208"/>
    </row>
    <row r="98" spans="1:7" x14ac:dyDescent="0.25">
      <c r="A98" s="208">
        <v>92</v>
      </c>
      <c r="B98" s="208" t="s">
        <v>424</v>
      </c>
      <c r="C98" s="208">
        <f>COUNTIF($F$7:$F$104,A98)</f>
        <v>0</v>
      </c>
      <c r="D98" s="208"/>
      <c r="E98" s="208"/>
      <c r="G98" s="208"/>
    </row>
    <row r="99" spans="1:7" x14ac:dyDescent="0.25">
      <c r="A99" s="208">
        <v>93</v>
      </c>
      <c r="B99" s="208" t="s">
        <v>426</v>
      </c>
      <c r="C99" s="208">
        <f>COUNTIF($F$7:$F$104,A99)</f>
        <v>1</v>
      </c>
      <c r="D99" s="208"/>
      <c r="E99" s="208"/>
      <c r="G99" s="208"/>
    </row>
    <row r="100" spans="1:7" x14ac:dyDescent="0.25">
      <c r="A100" s="208">
        <v>94</v>
      </c>
      <c r="B100" s="208" t="s">
        <v>428</v>
      </c>
      <c r="C100" s="208">
        <f>COUNTIF($F$7:$F$104,A100)</f>
        <v>0</v>
      </c>
      <c r="D100" s="208"/>
      <c r="E100" s="208"/>
      <c r="G100" s="208"/>
    </row>
    <row r="101" spans="1:7" x14ac:dyDescent="0.25">
      <c r="A101" s="208">
        <v>95</v>
      </c>
      <c r="B101" s="208" t="s">
        <v>430</v>
      </c>
      <c r="C101" s="208">
        <f>COUNTIF($F$7:$F$104,A101)</f>
        <v>0</v>
      </c>
      <c r="D101" s="208"/>
      <c r="E101" s="208"/>
      <c r="G101" s="208"/>
    </row>
    <row r="102" spans="1:7" x14ac:dyDescent="0.25">
      <c r="A102" s="208">
        <v>96</v>
      </c>
      <c r="B102" s="208" t="s">
        <v>560</v>
      </c>
      <c r="C102" s="208">
        <f>COUNTIF($F$7:$F$104,A102)</f>
        <v>0</v>
      </c>
      <c r="D102" s="208"/>
      <c r="E102" s="208"/>
      <c r="G102" s="208"/>
    </row>
    <row r="103" spans="1:7" x14ac:dyDescent="0.25">
      <c r="A103" s="208">
        <v>97</v>
      </c>
      <c r="B103" s="208" t="s">
        <v>432</v>
      </c>
      <c r="C103" s="208">
        <f>COUNTIF($F$7:$F$104,A103)</f>
        <v>1</v>
      </c>
      <c r="D103" s="208"/>
      <c r="E103" s="208"/>
      <c r="G103" s="208"/>
    </row>
    <row r="104" spans="1:7" x14ac:dyDescent="0.25">
      <c r="A104" s="208">
        <v>98</v>
      </c>
      <c r="B104" s="208" t="s">
        <v>434</v>
      </c>
      <c r="C104" s="208">
        <f>COUNTIF($F$7:$F$104,A104)</f>
        <v>0</v>
      </c>
      <c r="D104" s="208"/>
      <c r="E104" s="208"/>
      <c r="G104" s="208"/>
    </row>
  </sheetData>
  <mergeCells count="25">
    <mergeCell ref="BP3:BQ3"/>
    <mergeCell ref="BR3:BS3"/>
    <mergeCell ref="BT3:BU3"/>
    <mergeCell ref="BJ3:BK3"/>
    <mergeCell ref="BL3:BM3"/>
    <mergeCell ref="BN3:BO3"/>
    <mergeCell ref="AX3:AY3"/>
    <mergeCell ref="AZ3:BA3"/>
    <mergeCell ref="BB3:BC3"/>
    <mergeCell ref="BD3:BE3"/>
    <mergeCell ref="BF3:BG3"/>
    <mergeCell ref="BH3:BI3"/>
    <mergeCell ref="AL3:AM3"/>
    <mergeCell ref="AN3:AO3"/>
    <mergeCell ref="AP3:AQ3"/>
    <mergeCell ref="AR3:AS3"/>
    <mergeCell ref="AT3:AU3"/>
    <mergeCell ref="AV3:AW3"/>
    <mergeCell ref="Z3:AA3"/>
    <mergeCell ref="AB3:AC3"/>
    <mergeCell ref="AD3:AE3"/>
    <mergeCell ref="AF3:AG3"/>
    <mergeCell ref="AH3:AI3"/>
    <mergeCell ref="AJ3:AK3"/>
    <mergeCell ref="X3:Y3"/>
  </mergeCell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8</vt:i4>
      </vt:variant>
    </vt:vector>
  </HeadingPairs>
  <TitlesOfParts>
    <vt:vector size="8" baseType="lpstr">
      <vt:lpstr>Report</vt:lpstr>
      <vt:lpstr>Segments</vt:lpstr>
      <vt:lpstr>Links</vt:lpstr>
      <vt:lpstr>Intersections</vt:lpstr>
      <vt:lpstr>Variables</vt:lpstr>
      <vt:lpstr>Pavement Condition Rating</vt:lpstr>
      <vt:lpstr>Sheet4</vt:lpstr>
      <vt:lpstr>Sheet5</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Microsoft Office User</dc:creator>
  <cp:lastModifiedBy>Nick</cp:lastModifiedBy>
  <cp:lastPrinted>2020-02-12T21:46:59Z</cp:lastPrinted>
  <dcterms:created xsi:type="dcterms:W3CDTF">2017-08-08T18:05:20Z</dcterms:created>
  <dcterms:modified xsi:type="dcterms:W3CDTF">2020-03-03T23:43:20Z</dcterms:modified>
</cp:coreProperties>
</file>