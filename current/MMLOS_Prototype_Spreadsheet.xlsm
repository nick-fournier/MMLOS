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B:\Google Drive\Academics\Projects\2020\Complete Streets Bike LOS\Prototype\current\"/>
    </mc:Choice>
  </mc:AlternateContent>
  <xr:revisionPtr revIDLastSave="0" documentId="13_ncr:1_{9F719EB1-FB56-4E1A-A333-3D9BAEB28BA2}" xr6:coauthVersionLast="44" xr6:coauthVersionMax="44" xr10:uidLastSave="{00000000-0000-0000-0000-000000000000}"/>
  <bookViews>
    <workbookView xWindow="-120" yWindow="-120" windowWidth="29040" windowHeight="15840" tabRatio="791" activeTab="3" xr2:uid="{00000000-000D-0000-FFFF-FFFF00000000}"/>
  </bookViews>
  <sheets>
    <sheet name="Detailed Report" sheetId="7" r:id="rId1"/>
    <sheet name="Report" sheetId="1" r:id="rId2"/>
    <sheet name="Links" sheetId="2" r:id="rId3"/>
    <sheet name="Intersections" sheetId="3" r:id="rId4"/>
    <sheet name="Sheet1" sheetId="8" r:id="rId5"/>
    <sheet name="Variables" sheetId="4" r:id="rId6"/>
    <sheet name="Pavement Condition Rating" sheetId="5" r:id="rId7"/>
  </sheets>
  <functionGroups builtInGroupCount="19">
    <functionGroup name=""/>
  </functionGroups>
  <calcPr calcId="191029" concurrentCalc="0"/>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G15" i="3" l="1"/>
  <c r="K15" i="3"/>
  <c r="G50" i="3"/>
  <c r="M38" i="3"/>
  <c r="M40" i="3"/>
  <c r="M39" i="3"/>
  <c r="M41" i="3"/>
  <c r="M42" i="3"/>
  <c r="M43" i="3"/>
  <c r="M44" i="3"/>
  <c r="M45" i="3"/>
  <c r="M52" i="3"/>
  <c r="L38" i="3"/>
  <c r="L40" i="3"/>
  <c r="L39" i="3"/>
  <c r="L41" i="3"/>
  <c r="L42" i="3"/>
  <c r="L43" i="3"/>
  <c r="L44" i="3"/>
  <c r="L45" i="3"/>
  <c r="L52" i="3"/>
  <c r="K52" i="3"/>
  <c r="J52" i="3"/>
  <c r="M15" i="3"/>
  <c r="L15" i="3"/>
  <c r="M48" i="3"/>
  <c r="M49" i="3"/>
  <c r="L48" i="3"/>
  <c r="L49" i="3"/>
  <c r="K48" i="3"/>
  <c r="K49" i="3"/>
  <c r="J48" i="3"/>
  <c r="J49" i="3"/>
  <c r="M47" i="3"/>
  <c r="L47" i="3"/>
  <c r="K47" i="3"/>
  <c r="J47" i="3"/>
  <c r="M37" i="3"/>
  <c r="M46" i="3"/>
  <c r="L37" i="3"/>
  <c r="L46" i="3"/>
  <c r="K37" i="3"/>
  <c r="K46" i="3"/>
  <c r="J37" i="3"/>
  <c r="J46" i="3"/>
  <c r="M36" i="3"/>
  <c r="L36" i="3"/>
  <c r="K45" i="3"/>
  <c r="J45" i="3"/>
  <c r="K44" i="3"/>
  <c r="J44" i="3"/>
  <c r="K36" i="3"/>
  <c r="K38" i="3"/>
  <c r="K40" i="3"/>
  <c r="K39" i="3"/>
  <c r="K41" i="3"/>
  <c r="K42" i="3"/>
  <c r="K43" i="3"/>
  <c r="J36" i="3"/>
  <c r="J38" i="3"/>
  <c r="J40" i="3"/>
  <c r="J39" i="3"/>
  <c r="J41" i="3"/>
  <c r="J42" i="3"/>
  <c r="J43" i="3"/>
  <c r="I45" i="3"/>
  <c r="I44" i="3"/>
  <c r="H45" i="3"/>
  <c r="H44" i="3"/>
  <c r="G45" i="3"/>
  <c r="G44" i="3"/>
  <c r="F45" i="3"/>
  <c r="F44" i="3"/>
  <c r="E45" i="3"/>
  <c r="E44" i="3"/>
  <c r="E37" i="3"/>
  <c r="E36" i="3"/>
  <c r="E38" i="3"/>
  <c r="E40" i="3"/>
  <c r="E39" i="3"/>
  <c r="E41" i="3"/>
  <c r="E42" i="3"/>
  <c r="E43" i="3"/>
  <c r="F15" i="3"/>
  <c r="F37" i="3"/>
  <c r="F36" i="3"/>
  <c r="F38" i="3"/>
  <c r="F40" i="3"/>
  <c r="F39" i="3"/>
  <c r="F41" i="3"/>
  <c r="F42" i="3"/>
  <c r="F43" i="3"/>
  <c r="F51" i="3"/>
  <c r="F52" i="3"/>
  <c r="F53" i="3"/>
  <c r="F47" i="3"/>
  <c r="F48" i="3"/>
  <c r="F49" i="3"/>
  <c r="F50" i="3"/>
  <c r="F54" i="3"/>
  <c r="F46" i="3"/>
  <c r="I51" i="3"/>
  <c r="I52" i="3"/>
  <c r="H51" i="3"/>
  <c r="H52" i="3"/>
  <c r="G51" i="3"/>
  <c r="G52" i="3"/>
  <c r="J51" i="3"/>
  <c r="J53" i="3"/>
  <c r="E52" i="3"/>
  <c r="E53" i="3"/>
  <c r="E46" i="3"/>
  <c r="E47" i="3"/>
  <c r="E48" i="3"/>
  <c r="E49" i="3"/>
  <c r="E50" i="3"/>
  <c r="E54" i="3"/>
  <c r="E55" i="3"/>
  <c r="E51" i="3"/>
  <c r="I15" i="3"/>
  <c r="I37" i="3"/>
  <c r="H15" i="3"/>
  <c r="H37" i="3"/>
  <c r="G37" i="3"/>
  <c r="G53" i="3"/>
  <c r="I36" i="3"/>
  <c r="I38" i="3"/>
  <c r="I40" i="3"/>
  <c r="I39" i="3"/>
  <c r="I41" i="3"/>
  <c r="I42" i="3"/>
  <c r="I43" i="3"/>
  <c r="I46" i="3"/>
  <c r="Q15" i="8"/>
  <c r="Q16" i="8"/>
  <c r="F5" i="8"/>
  <c r="F4" i="8"/>
  <c r="J4" i="8"/>
  <c r="F7" i="8"/>
  <c r="F6" i="8"/>
  <c r="J6" i="8"/>
  <c r="J5" i="8"/>
  <c r="K4" i="8"/>
  <c r="M5" i="8"/>
  <c r="M6" i="8"/>
  <c r="O5" i="8"/>
  <c r="N7" i="8"/>
  <c r="N6" i="8"/>
  <c r="N5" i="8"/>
  <c r="N4" i="8"/>
  <c r="L6" i="8"/>
  <c r="L5" i="8"/>
  <c r="L4" i="8"/>
  <c r="K8" i="8"/>
  <c r="K7" i="8"/>
  <c r="K6" i="8"/>
  <c r="K5" i="8"/>
  <c r="J7" i="8"/>
  <c r="K10" i="8"/>
  <c r="K9"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K151" i="8"/>
  <c r="K152" i="8"/>
  <c r="K153" i="8"/>
  <c r="K154" i="8"/>
  <c r="K155" i="8"/>
  <c r="K156" i="8"/>
  <c r="K157" i="8"/>
  <c r="K158" i="8"/>
  <c r="K159" i="8"/>
  <c r="K160" i="8"/>
  <c r="K161" i="8"/>
  <c r="K162" i="8"/>
  <c r="K163" i="8"/>
  <c r="K164" i="8"/>
  <c r="K165" i="8"/>
  <c r="K166" i="8"/>
  <c r="K167" i="8"/>
  <c r="K168" i="8"/>
  <c r="K169" i="8"/>
  <c r="K170" i="8"/>
  <c r="K171" i="8"/>
  <c r="K172" i="8"/>
  <c r="K173" i="8"/>
  <c r="K174" i="8"/>
  <c r="K175" i="8"/>
  <c r="K176" i="8"/>
  <c r="K177" i="8"/>
  <c r="K178" i="8"/>
  <c r="K179" i="8"/>
  <c r="K180" i="8"/>
  <c r="K181" i="8"/>
  <c r="K182" i="8"/>
  <c r="K183" i="8"/>
  <c r="K184" i="8"/>
  <c r="K185" i="8"/>
  <c r="K186" i="8"/>
  <c r="K187" i="8"/>
  <c r="K188" i="8"/>
  <c r="K189" i="8"/>
  <c r="K190" i="8"/>
  <c r="K191" i="8"/>
  <c r="K192" i="8"/>
  <c r="K193" i="8"/>
  <c r="K194" i="8"/>
  <c r="K195" i="8"/>
  <c r="K196" i="8"/>
  <c r="K197" i="8"/>
  <c r="K198" i="8"/>
  <c r="K199" i="8"/>
  <c r="K200" i="8"/>
  <c r="K201" i="8"/>
  <c r="K202" i="8"/>
  <c r="K203" i="8"/>
  <c r="K204" i="8"/>
  <c r="K205" i="8"/>
  <c r="K206" i="8"/>
  <c r="K207" i="8"/>
  <c r="K208" i="8"/>
  <c r="K209" i="8"/>
  <c r="K210" i="8"/>
  <c r="K211" i="8"/>
  <c r="K212" i="8"/>
  <c r="K213" i="8"/>
  <c r="K214" i="8"/>
  <c r="K215" i="8"/>
  <c r="K216" i="8"/>
  <c r="K217" i="8"/>
  <c r="K218" i="8"/>
  <c r="K219" i="8"/>
  <c r="K220" i="8"/>
  <c r="K221" i="8"/>
  <c r="K222" i="8"/>
  <c r="K223" i="8"/>
  <c r="K224" i="8"/>
  <c r="K225" i="8"/>
  <c r="K226" i="8"/>
  <c r="K227" i="8"/>
  <c r="K228" i="8"/>
  <c r="K229" i="8"/>
  <c r="K230" i="8"/>
  <c r="K231" i="8"/>
  <c r="K232" i="8"/>
  <c r="K233" i="8"/>
  <c r="K234" i="8"/>
  <c r="K235" i="8"/>
  <c r="K236" i="8"/>
  <c r="K237" i="8"/>
  <c r="K238" i="8"/>
  <c r="K239" i="8"/>
  <c r="K240" i="8"/>
  <c r="K241" i="8"/>
  <c r="K242" i="8"/>
  <c r="K243" i="8"/>
  <c r="K244" i="8"/>
  <c r="K245" i="8"/>
  <c r="K246" i="8"/>
  <c r="K247" i="8"/>
  <c r="K248" i="8"/>
  <c r="K249" i="8"/>
  <c r="K250" i="8"/>
  <c r="K251" i="8"/>
  <c r="K252" i="8"/>
  <c r="K253" i="8"/>
  <c r="K254" i="8"/>
  <c r="K255" i="8"/>
  <c r="K256" i="8"/>
  <c r="K257" i="8"/>
  <c r="K258" i="8"/>
  <c r="K259" i="8"/>
  <c r="K260" i="8"/>
  <c r="K261" i="8"/>
  <c r="K262" i="8"/>
  <c r="K263" i="8"/>
  <c r="K264" i="8"/>
  <c r="K265" i="8"/>
  <c r="K266" i="8"/>
  <c r="K267" i="8"/>
  <c r="K268" i="8"/>
  <c r="K269" i="8"/>
  <c r="K270" i="8"/>
  <c r="K271" i="8"/>
  <c r="K272" i="8"/>
  <c r="K273" i="8"/>
  <c r="K274" i="8"/>
  <c r="K275" i="8"/>
  <c r="K276" i="8"/>
  <c r="K277" i="8"/>
  <c r="K278" i="8"/>
  <c r="K279" i="8"/>
  <c r="K280" i="8"/>
  <c r="K281" i="8"/>
  <c r="K282" i="8"/>
  <c r="K283" i="8"/>
  <c r="K284" i="8"/>
  <c r="K285" i="8"/>
  <c r="K286" i="8"/>
  <c r="K287" i="8"/>
  <c r="K288" i="8"/>
  <c r="K289" i="8"/>
  <c r="K290" i="8"/>
  <c r="K291" i="8"/>
  <c r="K292" i="8"/>
  <c r="K293" i="8"/>
  <c r="K294" i="8"/>
  <c r="K295" i="8"/>
  <c r="K296" i="8"/>
  <c r="K297" i="8"/>
  <c r="K298" i="8"/>
  <c r="K299" i="8"/>
  <c r="K300" i="8"/>
  <c r="K301" i="8"/>
  <c r="K302" i="8"/>
  <c r="K303" i="8"/>
  <c r="K304" i="8"/>
  <c r="K305" i="8"/>
  <c r="K306" i="8"/>
  <c r="K307" i="8"/>
  <c r="K308" i="8"/>
  <c r="K309" i="8"/>
  <c r="K310" i="8"/>
  <c r="K311" i="8"/>
  <c r="K312" i="8"/>
  <c r="K313" i="8"/>
  <c r="K314" i="8"/>
  <c r="K315" i="8"/>
  <c r="K316" i="8"/>
  <c r="K317" i="8"/>
  <c r="K318" i="8"/>
  <c r="K319" i="8"/>
  <c r="K320" i="8"/>
  <c r="K321" i="8"/>
  <c r="K322" i="8"/>
  <c r="K323" i="8"/>
  <c r="K324" i="8"/>
  <c r="K325" i="8"/>
  <c r="K326" i="8"/>
  <c r="K327" i="8"/>
  <c r="K328" i="8"/>
  <c r="B7" i="8"/>
  <c r="B10" i="8"/>
  <c r="G36" i="3"/>
  <c r="G38" i="3"/>
  <c r="G40" i="3"/>
  <c r="G39" i="3"/>
  <c r="G41" i="3"/>
  <c r="G42" i="3"/>
  <c r="G43" i="3"/>
  <c r="G46" i="3"/>
  <c r="H46" i="3"/>
  <c r="B8" i="8"/>
  <c r="B5" i="8"/>
  <c r="H38" i="3"/>
  <c r="H36" i="3"/>
  <c r="H40" i="3"/>
  <c r="H39" i="3"/>
  <c r="H41" i="3"/>
  <c r="H42" i="3"/>
  <c r="H43" i="3"/>
  <c r="B13" i="8"/>
  <c r="B9" i="8"/>
  <c r="B12" i="8"/>
  <c r="F8" i="8"/>
  <c r="J8" i="8"/>
  <c r="F9" i="8"/>
  <c r="J9" i="8"/>
  <c r="F10" i="8"/>
  <c r="J10" i="8"/>
  <c r="F11" i="8"/>
  <c r="J11" i="8"/>
  <c r="F12" i="8"/>
  <c r="J12" i="8"/>
  <c r="F13" i="8"/>
  <c r="J13" i="8"/>
  <c r="F14" i="8"/>
  <c r="J14" i="8"/>
  <c r="F15" i="8"/>
  <c r="J15" i="8"/>
  <c r="F16" i="8"/>
  <c r="J16" i="8"/>
  <c r="F17" i="8"/>
  <c r="J17" i="8"/>
  <c r="F18" i="8"/>
  <c r="J18" i="8"/>
  <c r="F19" i="8"/>
  <c r="J19" i="8"/>
  <c r="F20" i="8"/>
  <c r="J20" i="8"/>
  <c r="F21" i="8"/>
  <c r="J21" i="8"/>
  <c r="F22" i="8"/>
  <c r="J22" i="8"/>
  <c r="F23" i="8"/>
  <c r="J23" i="8"/>
  <c r="F24" i="8"/>
  <c r="J24" i="8"/>
  <c r="F25" i="8"/>
  <c r="J25" i="8"/>
  <c r="F26" i="8"/>
  <c r="J26" i="8"/>
  <c r="F27" i="8"/>
  <c r="J27" i="8"/>
  <c r="F28" i="8"/>
  <c r="J28" i="8"/>
  <c r="F29" i="8"/>
  <c r="J29" i="8"/>
  <c r="F30" i="8"/>
  <c r="J30" i="8"/>
  <c r="F31" i="8"/>
  <c r="J31" i="8"/>
  <c r="F32" i="8"/>
  <c r="J32" i="8"/>
  <c r="F33" i="8"/>
  <c r="J33" i="8"/>
  <c r="F34" i="8"/>
  <c r="J34" i="8"/>
  <c r="F35" i="8"/>
  <c r="J35" i="8"/>
  <c r="F36" i="8"/>
  <c r="J36" i="8"/>
  <c r="F37" i="8"/>
  <c r="J37" i="8"/>
  <c r="F38" i="8"/>
  <c r="J38" i="8"/>
  <c r="F39" i="8"/>
  <c r="J39" i="8"/>
  <c r="F40" i="8"/>
  <c r="J40" i="8"/>
  <c r="F41" i="8"/>
  <c r="J41" i="8"/>
  <c r="F42" i="8"/>
  <c r="J42" i="8"/>
  <c r="F43" i="8"/>
  <c r="J43" i="8"/>
  <c r="F44" i="8"/>
  <c r="J44" i="8"/>
  <c r="F45" i="8"/>
  <c r="J45" i="8"/>
  <c r="F46" i="8"/>
  <c r="J46" i="8"/>
  <c r="F47" i="8"/>
  <c r="J47" i="8"/>
  <c r="F48" i="8"/>
  <c r="J48" i="8"/>
  <c r="F49" i="8"/>
  <c r="J49" i="8"/>
  <c r="F50" i="8"/>
  <c r="J50" i="8"/>
  <c r="F51" i="8"/>
  <c r="J51" i="8"/>
  <c r="F52" i="8"/>
  <c r="J52" i="8"/>
  <c r="F53" i="8"/>
  <c r="J53" i="8"/>
  <c r="F54" i="8"/>
  <c r="J54" i="8"/>
  <c r="F55" i="8"/>
  <c r="J55" i="8"/>
  <c r="F56" i="8"/>
  <c r="J56" i="8"/>
  <c r="F57" i="8"/>
  <c r="J57" i="8"/>
  <c r="F58" i="8"/>
  <c r="J58" i="8"/>
  <c r="F59" i="8"/>
  <c r="J59" i="8"/>
  <c r="F60" i="8"/>
  <c r="J60" i="8"/>
  <c r="F61" i="8"/>
  <c r="J61" i="8"/>
  <c r="F62" i="8"/>
  <c r="J62" i="8"/>
  <c r="F63" i="8"/>
  <c r="J63" i="8"/>
  <c r="F64" i="8"/>
  <c r="J64" i="8"/>
  <c r="F65" i="8"/>
  <c r="J65" i="8"/>
  <c r="F66" i="8"/>
  <c r="J66" i="8"/>
  <c r="F67" i="8"/>
  <c r="J67" i="8"/>
  <c r="F68" i="8"/>
  <c r="J68" i="8"/>
  <c r="F69" i="8"/>
  <c r="J69" i="8"/>
  <c r="F70" i="8"/>
  <c r="J70" i="8"/>
  <c r="F71" i="8"/>
  <c r="J71" i="8"/>
  <c r="F72" i="8"/>
  <c r="J72" i="8"/>
  <c r="F73" i="8"/>
  <c r="J73" i="8"/>
  <c r="F74" i="8"/>
  <c r="J74" i="8"/>
  <c r="F75" i="8"/>
  <c r="J75" i="8"/>
  <c r="F76" i="8"/>
  <c r="J76" i="8"/>
  <c r="F77" i="8"/>
  <c r="J77" i="8"/>
  <c r="F78" i="8"/>
  <c r="J78" i="8"/>
  <c r="F79" i="8"/>
  <c r="J79" i="8"/>
  <c r="F80" i="8"/>
  <c r="J80" i="8"/>
  <c r="F81" i="8"/>
  <c r="J81" i="8"/>
  <c r="F82" i="8"/>
  <c r="J82" i="8"/>
  <c r="F83" i="8"/>
  <c r="J83" i="8"/>
  <c r="F84" i="8"/>
  <c r="J84" i="8"/>
  <c r="F85" i="8"/>
  <c r="J85" i="8"/>
  <c r="F86" i="8"/>
  <c r="J86" i="8"/>
  <c r="F87" i="8"/>
  <c r="J87" i="8"/>
  <c r="F88" i="8"/>
  <c r="J88" i="8"/>
  <c r="F89" i="8"/>
  <c r="J89" i="8"/>
  <c r="F90" i="8"/>
  <c r="J90" i="8"/>
  <c r="F91" i="8"/>
  <c r="J91" i="8"/>
  <c r="F92" i="8"/>
  <c r="J92" i="8"/>
  <c r="F93" i="8"/>
  <c r="J93" i="8"/>
  <c r="F94" i="8"/>
  <c r="J94" i="8"/>
  <c r="F95" i="8"/>
  <c r="J95" i="8"/>
  <c r="F96" i="8"/>
  <c r="J96" i="8"/>
  <c r="F97" i="8"/>
  <c r="J97" i="8"/>
  <c r="F98" i="8"/>
  <c r="J98" i="8"/>
  <c r="F99" i="8"/>
  <c r="J99" i="8"/>
  <c r="F100" i="8"/>
  <c r="J100" i="8"/>
  <c r="F101" i="8"/>
  <c r="J101" i="8"/>
  <c r="F102" i="8"/>
  <c r="J102" i="8"/>
  <c r="F103" i="8"/>
  <c r="J103" i="8"/>
  <c r="F104" i="8"/>
  <c r="J104" i="8"/>
  <c r="F105" i="8"/>
  <c r="J105" i="8"/>
  <c r="F106" i="8"/>
  <c r="J106" i="8"/>
  <c r="F107" i="8"/>
  <c r="J107" i="8"/>
  <c r="F108" i="8"/>
  <c r="J108" i="8"/>
  <c r="F109" i="8"/>
  <c r="J109" i="8"/>
  <c r="F110" i="8"/>
  <c r="J110" i="8"/>
  <c r="F111" i="8"/>
  <c r="J111" i="8"/>
  <c r="F112" i="8"/>
  <c r="J112" i="8"/>
  <c r="F113" i="8"/>
  <c r="J113" i="8"/>
  <c r="F114" i="8"/>
  <c r="J114" i="8"/>
  <c r="F115" i="8"/>
  <c r="J115" i="8"/>
  <c r="F116" i="8"/>
  <c r="J116" i="8"/>
  <c r="F117" i="8"/>
  <c r="J117" i="8"/>
  <c r="F118" i="8"/>
  <c r="J118" i="8"/>
  <c r="F119" i="8"/>
  <c r="J119" i="8"/>
  <c r="F120" i="8"/>
  <c r="J120" i="8"/>
  <c r="F121" i="8"/>
  <c r="J121" i="8"/>
  <c r="F122" i="8"/>
  <c r="J122" i="8"/>
  <c r="F123" i="8"/>
  <c r="J123" i="8"/>
  <c r="F124" i="8"/>
  <c r="J124" i="8"/>
  <c r="F125" i="8"/>
  <c r="J125" i="8"/>
  <c r="F126" i="8"/>
  <c r="J126" i="8"/>
  <c r="F127" i="8"/>
  <c r="J127" i="8"/>
  <c r="F128" i="8"/>
  <c r="J128" i="8"/>
  <c r="F129" i="8"/>
  <c r="J129" i="8"/>
  <c r="F130" i="8"/>
  <c r="J130" i="8"/>
  <c r="F131" i="8"/>
  <c r="J131" i="8"/>
  <c r="F132" i="8"/>
  <c r="J132" i="8"/>
  <c r="F133" i="8"/>
  <c r="J133" i="8"/>
  <c r="F134" i="8"/>
  <c r="J134" i="8"/>
  <c r="F135" i="8"/>
  <c r="J135" i="8"/>
  <c r="F136" i="8"/>
  <c r="J136" i="8"/>
  <c r="F137" i="8"/>
  <c r="J137" i="8"/>
  <c r="F138" i="8"/>
  <c r="J138" i="8"/>
  <c r="F139" i="8"/>
  <c r="J139" i="8"/>
  <c r="F140" i="8"/>
  <c r="J140" i="8"/>
  <c r="F141" i="8"/>
  <c r="J141" i="8"/>
  <c r="F142" i="8"/>
  <c r="J142" i="8"/>
  <c r="F143" i="8"/>
  <c r="J143" i="8"/>
  <c r="F144" i="8"/>
  <c r="J144" i="8"/>
  <c r="F145" i="8"/>
  <c r="J145" i="8"/>
  <c r="F146" i="8"/>
  <c r="J146" i="8"/>
  <c r="F147" i="8"/>
  <c r="J147" i="8"/>
  <c r="F148" i="8"/>
  <c r="J148" i="8"/>
  <c r="F149" i="8"/>
  <c r="J149" i="8"/>
  <c r="F150" i="8"/>
  <c r="J150" i="8"/>
  <c r="F151" i="8"/>
  <c r="J151" i="8"/>
  <c r="F152" i="8"/>
  <c r="J152" i="8"/>
  <c r="F153" i="8"/>
  <c r="J153" i="8"/>
  <c r="F154" i="8"/>
  <c r="J154" i="8"/>
  <c r="F155" i="8"/>
  <c r="J155" i="8"/>
  <c r="F156" i="8"/>
  <c r="J156" i="8"/>
  <c r="F157" i="8"/>
  <c r="J157" i="8"/>
  <c r="F158" i="8"/>
  <c r="J158" i="8"/>
  <c r="F159" i="8"/>
  <c r="J159" i="8"/>
  <c r="F160" i="8"/>
  <c r="J160" i="8"/>
  <c r="F161" i="8"/>
  <c r="J161" i="8"/>
  <c r="F162" i="8"/>
  <c r="J162" i="8"/>
  <c r="F163" i="8"/>
  <c r="J163" i="8"/>
  <c r="F164" i="8"/>
  <c r="J164" i="8"/>
  <c r="F165" i="8"/>
  <c r="J165" i="8"/>
  <c r="F166" i="8"/>
  <c r="J166" i="8"/>
  <c r="F167" i="8"/>
  <c r="J167" i="8"/>
  <c r="F168" i="8"/>
  <c r="J168" i="8"/>
  <c r="F169" i="8"/>
  <c r="J169" i="8"/>
  <c r="F170" i="8"/>
  <c r="J170" i="8"/>
  <c r="F171" i="8"/>
  <c r="J171" i="8"/>
  <c r="F172" i="8"/>
  <c r="J172" i="8"/>
  <c r="F173" i="8"/>
  <c r="J173" i="8"/>
  <c r="F174" i="8"/>
  <c r="J174" i="8"/>
  <c r="F175" i="8"/>
  <c r="J175" i="8"/>
  <c r="F176" i="8"/>
  <c r="J176" i="8"/>
  <c r="F177" i="8"/>
  <c r="J177" i="8"/>
  <c r="F178" i="8"/>
  <c r="J178" i="8"/>
  <c r="F179" i="8"/>
  <c r="J179" i="8"/>
  <c r="F180" i="8"/>
  <c r="J180" i="8"/>
  <c r="F181" i="8"/>
  <c r="J181" i="8"/>
  <c r="F182" i="8"/>
  <c r="J182" i="8"/>
  <c r="F183" i="8"/>
  <c r="J183" i="8"/>
  <c r="F184" i="8"/>
  <c r="J184" i="8"/>
  <c r="F185" i="8"/>
  <c r="J185" i="8"/>
  <c r="F186" i="8"/>
  <c r="J186" i="8"/>
  <c r="F187" i="8"/>
  <c r="J187" i="8"/>
  <c r="F188" i="8"/>
  <c r="J188" i="8"/>
  <c r="F189" i="8"/>
  <c r="J189" i="8"/>
  <c r="F190" i="8"/>
  <c r="J190" i="8"/>
  <c r="F191" i="8"/>
  <c r="J191" i="8"/>
  <c r="F192" i="8"/>
  <c r="J192" i="8"/>
  <c r="F193" i="8"/>
  <c r="J193" i="8"/>
  <c r="F194" i="8"/>
  <c r="J194" i="8"/>
  <c r="F195" i="8"/>
  <c r="J195" i="8"/>
  <c r="F196" i="8"/>
  <c r="J196" i="8"/>
  <c r="F197" i="8"/>
  <c r="J197" i="8"/>
  <c r="F198" i="8"/>
  <c r="J198" i="8"/>
  <c r="F199" i="8"/>
  <c r="J199" i="8"/>
  <c r="F200" i="8"/>
  <c r="J200" i="8"/>
  <c r="F201" i="8"/>
  <c r="J201" i="8"/>
  <c r="F202" i="8"/>
  <c r="J202" i="8"/>
  <c r="F203" i="8"/>
  <c r="J203" i="8"/>
  <c r="F204" i="8"/>
  <c r="J204" i="8"/>
  <c r="F205" i="8"/>
  <c r="J205" i="8"/>
  <c r="F206" i="8"/>
  <c r="J206" i="8"/>
  <c r="F207" i="8"/>
  <c r="J207" i="8"/>
  <c r="F208" i="8"/>
  <c r="J208" i="8"/>
  <c r="F209" i="8"/>
  <c r="J209" i="8"/>
  <c r="F210" i="8"/>
  <c r="J210" i="8"/>
  <c r="F211" i="8"/>
  <c r="J211" i="8"/>
  <c r="F212" i="8"/>
  <c r="J212" i="8"/>
  <c r="F213" i="8"/>
  <c r="J213" i="8"/>
  <c r="F214" i="8"/>
  <c r="J214" i="8"/>
  <c r="F215" i="8"/>
  <c r="J215" i="8"/>
  <c r="F216" i="8"/>
  <c r="J216" i="8"/>
  <c r="F217" i="8"/>
  <c r="J217" i="8"/>
  <c r="F218" i="8"/>
  <c r="J218" i="8"/>
  <c r="F219" i="8"/>
  <c r="J219" i="8"/>
  <c r="F220" i="8"/>
  <c r="J220" i="8"/>
  <c r="F221" i="8"/>
  <c r="J221" i="8"/>
  <c r="F222" i="8"/>
  <c r="J222" i="8"/>
  <c r="F223" i="8"/>
  <c r="J223" i="8"/>
  <c r="F224" i="8"/>
  <c r="J224" i="8"/>
  <c r="F225" i="8"/>
  <c r="J225" i="8"/>
  <c r="F226" i="8"/>
  <c r="J226" i="8"/>
  <c r="F227" i="8"/>
  <c r="J227" i="8"/>
  <c r="F228" i="8"/>
  <c r="J228" i="8"/>
  <c r="F229" i="8"/>
  <c r="J229" i="8"/>
  <c r="F230" i="8"/>
  <c r="J230" i="8"/>
  <c r="F231" i="8"/>
  <c r="J231" i="8"/>
  <c r="F232" i="8"/>
  <c r="J232" i="8"/>
  <c r="F233" i="8"/>
  <c r="J233" i="8"/>
  <c r="F234" i="8"/>
  <c r="J234" i="8"/>
  <c r="F235" i="8"/>
  <c r="J235" i="8"/>
  <c r="F236" i="8"/>
  <c r="J236" i="8"/>
  <c r="F237" i="8"/>
  <c r="J237" i="8"/>
  <c r="F238" i="8"/>
  <c r="J238" i="8"/>
  <c r="F239" i="8"/>
  <c r="J239" i="8"/>
  <c r="F240" i="8"/>
  <c r="J240" i="8"/>
  <c r="F241" i="8"/>
  <c r="J241" i="8"/>
  <c r="F242" i="8"/>
  <c r="J242" i="8"/>
  <c r="F243" i="8"/>
  <c r="J243" i="8"/>
  <c r="F244" i="8"/>
  <c r="J244" i="8"/>
  <c r="F245" i="8"/>
  <c r="J245" i="8"/>
  <c r="F246" i="8"/>
  <c r="J246" i="8"/>
  <c r="F247" i="8"/>
  <c r="J247" i="8"/>
  <c r="F248" i="8"/>
  <c r="J248" i="8"/>
  <c r="F249" i="8"/>
  <c r="J249" i="8"/>
  <c r="F250" i="8"/>
  <c r="J250" i="8"/>
  <c r="F251" i="8"/>
  <c r="J251" i="8"/>
  <c r="F252" i="8"/>
  <c r="J252" i="8"/>
  <c r="F253" i="8"/>
  <c r="J253" i="8"/>
  <c r="F254" i="8"/>
  <c r="J254" i="8"/>
  <c r="F255" i="8"/>
  <c r="J255" i="8"/>
  <c r="F256" i="8"/>
  <c r="J256" i="8"/>
  <c r="F257" i="8"/>
  <c r="J257" i="8"/>
  <c r="F258" i="8"/>
  <c r="J258" i="8"/>
  <c r="F259" i="8"/>
  <c r="J259" i="8"/>
  <c r="F260" i="8"/>
  <c r="J260" i="8"/>
  <c r="F261" i="8"/>
  <c r="J261" i="8"/>
  <c r="F262" i="8"/>
  <c r="J262" i="8"/>
  <c r="F263" i="8"/>
  <c r="J263" i="8"/>
  <c r="F264" i="8"/>
  <c r="J264" i="8"/>
  <c r="F265" i="8"/>
  <c r="J265" i="8"/>
  <c r="F266" i="8"/>
  <c r="J266" i="8"/>
  <c r="F267" i="8"/>
  <c r="J267" i="8"/>
  <c r="F268" i="8"/>
  <c r="J268" i="8"/>
  <c r="F269" i="8"/>
  <c r="J269" i="8"/>
  <c r="F270" i="8"/>
  <c r="J270" i="8"/>
  <c r="F271" i="8"/>
  <c r="J271" i="8"/>
  <c r="F272" i="8"/>
  <c r="J272" i="8"/>
  <c r="F273" i="8"/>
  <c r="J273" i="8"/>
  <c r="F274" i="8"/>
  <c r="J274" i="8"/>
  <c r="F275" i="8"/>
  <c r="J275" i="8"/>
  <c r="F276" i="8"/>
  <c r="J276" i="8"/>
  <c r="F277" i="8"/>
  <c r="J277" i="8"/>
  <c r="F278" i="8"/>
  <c r="J278" i="8"/>
  <c r="F279" i="8"/>
  <c r="J279" i="8"/>
  <c r="F280" i="8"/>
  <c r="J280" i="8"/>
  <c r="F281" i="8"/>
  <c r="J281" i="8"/>
  <c r="F282" i="8"/>
  <c r="J282" i="8"/>
  <c r="F283" i="8"/>
  <c r="J283" i="8"/>
  <c r="F284" i="8"/>
  <c r="J284" i="8"/>
  <c r="F285" i="8"/>
  <c r="J285" i="8"/>
  <c r="F286" i="8"/>
  <c r="J286" i="8"/>
  <c r="F287" i="8"/>
  <c r="J287" i="8"/>
  <c r="F288" i="8"/>
  <c r="J288" i="8"/>
  <c r="F289" i="8"/>
  <c r="J289" i="8"/>
  <c r="F290" i="8"/>
  <c r="J290" i="8"/>
  <c r="F291" i="8"/>
  <c r="J291" i="8"/>
  <c r="F292" i="8"/>
  <c r="J292" i="8"/>
  <c r="F293" i="8"/>
  <c r="J293" i="8"/>
  <c r="F294" i="8"/>
  <c r="J294" i="8"/>
  <c r="F295" i="8"/>
  <c r="J295" i="8"/>
  <c r="F296" i="8"/>
  <c r="J296" i="8"/>
  <c r="F297" i="8"/>
  <c r="J297" i="8"/>
  <c r="F298" i="8"/>
  <c r="J298" i="8"/>
  <c r="F299" i="8"/>
  <c r="J299" i="8"/>
  <c r="F300" i="8"/>
  <c r="J300" i="8"/>
  <c r="F301" i="8"/>
  <c r="J301" i="8"/>
  <c r="F302" i="8"/>
  <c r="J302" i="8"/>
  <c r="F303" i="8"/>
  <c r="J303" i="8"/>
  <c r="F304" i="8"/>
  <c r="J304" i="8"/>
  <c r="F305" i="8"/>
  <c r="J305" i="8"/>
  <c r="F306" i="8"/>
  <c r="J306" i="8"/>
  <c r="F307" i="8"/>
  <c r="J307" i="8"/>
  <c r="F308" i="8"/>
  <c r="J308" i="8"/>
  <c r="F309" i="8"/>
  <c r="J309" i="8"/>
  <c r="F310" i="8"/>
  <c r="J310" i="8"/>
  <c r="F311" i="8"/>
  <c r="J311" i="8"/>
  <c r="F312" i="8"/>
  <c r="J312" i="8"/>
  <c r="F313" i="8"/>
  <c r="J313" i="8"/>
  <c r="F314" i="8"/>
  <c r="J314" i="8"/>
  <c r="F315" i="8"/>
  <c r="J315" i="8"/>
  <c r="F316" i="8"/>
  <c r="J316" i="8"/>
  <c r="F317" i="8"/>
  <c r="J317" i="8"/>
  <c r="F318" i="8"/>
  <c r="J318" i="8"/>
  <c r="F319" i="8"/>
  <c r="J319" i="8"/>
  <c r="F320" i="8"/>
  <c r="J320" i="8"/>
  <c r="F321" i="8"/>
  <c r="J321" i="8"/>
  <c r="F322" i="8"/>
  <c r="J322" i="8"/>
  <c r="F323" i="8"/>
  <c r="J323" i="8"/>
  <c r="F324" i="8"/>
  <c r="J324" i="8"/>
  <c r="F325" i="8"/>
  <c r="J325" i="8"/>
  <c r="F326" i="8"/>
  <c r="J326" i="8"/>
  <c r="F327" i="8"/>
  <c r="J327" i="8"/>
  <c r="F328" i="8"/>
  <c r="L7" i="8"/>
  <c r="L8" i="8"/>
  <c r="L9"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J328" i="8"/>
  <c r="M328"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M4" i="8"/>
  <c r="O4"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N8" i="8"/>
  <c r="N9" i="8"/>
  <c r="N10" i="8"/>
  <c r="N11" i="8"/>
  <c r="N12" i="8"/>
  <c r="N13" i="8"/>
  <c r="N14" i="8"/>
  <c r="N15" i="8"/>
  <c r="N16" i="8"/>
  <c r="N17" i="8"/>
  <c r="N18" i="8"/>
  <c r="N19" i="8"/>
  <c r="N20" i="8"/>
  <c r="N21" i="8"/>
  <c r="N22" i="8"/>
  <c r="N23" i="8"/>
  <c r="N24" i="8"/>
  <c r="N25" i="8"/>
  <c r="N26" i="8"/>
  <c r="N27" i="8"/>
  <c r="N28"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N184" i="8"/>
  <c r="N185" i="8"/>
  <c r="N186" i="8"/>
  <c r="N187" i="8"/>
  <c r="N188"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N216" i="8"/>
  <c r="N217" i="8"/>
  <c r="N218" i="8"/>
  <c r="N219" i="8"/>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N259" i="8"/>
  <c r="N260" i="8"/>
  <c r="N261" i="8"/>
  <c r="N262" i="8"/>
  <c r="N263" i="8"/>
  <c r="N264" i="8"/>
  <c r="N265" i="8"/>
  <c r="N266" i="8"/>
  <c r="N267" i="8"/>
  <c r="N268" i="8"/>
  <c r="N269" i="8"/>
  <c r="N270" i="8"/>
  <c r="N271" i="8"/>
  <c r="N272"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N312" i="8"/>
  <c r="N313" i="8"/>
  <c r="N314" i="8"/>
  <c r="N315" i="8"/>
  <c r="N316" i="8"/>
  <c r="N317" i="8"/>
  <c r="N318" i="8"/>
  <c r="N319" i="8"/>
  <c r="N320" i="8"/>
  <c r="N321" i="8"/>
  <c r="N322" i="8"/>
  <c r="N323" i="8"/>
  <c r="N324" i="8"/>
  <c r="N325" i="8"/>
  <c r="N326" i="8"/>
  <c r="N327" i="8"/>
  <c r="N328" i="8"/>
  <c r="E6" i="8"/>
  <c r="E5" i="8"/>
  <c r="E4"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Q5" i="8"/>
  <c r="S5" i="8"/>
  <c r="R5" i="8"/>
  <c r="G47" i="3"/>
  <c r="G48" i="3"/>
  <c r="G49" i="3"/>
  <c r="G54" i="3"/>
  <c r="K51" i="3"/>
  <c r="J54" i="3"/>
  <c r="K50" i="3"/>
  <c r="K53" i="3"/>
  <c r="K54" i="3"/>
  <c r="L50" i="3"/>
  <c r="L51" i="3"/>
  <c r="L53" i="3"/>
  <c r="L54" i="3"/>
  <c r="M50" i="3"/>
  <c r="M51" i="3"/>
  <c r="M53" i="3"/>
  <c r="M54" i="3"/>
  <c r="J69" i="3"/>
  <c r="H47" i="3"/>
  <c r="H48" i="3"/>
  <c r="H49" i="3"/>
  <c r="H50" i="3"/>
  <c r="H53" i="3"/>
  <c r="H54" i="3"/>
  <c r="I47" i="3"/>
  <c r="I48" i="3"/>
  <c r="I49" i="3"/>
  <c r="I50" i="3"/>
  <c r="I53" i="3"/>
  <c r="I54" i="3"/>
  <c r="F69" i="3"/>
  <c r="F56" i="3"/>
  <c r="J56" i="3"/>
  <c r="N56" i="3"/>
  <c r="N54" i="3"/>
  <c r="O54" i="3"/>
  <c r="P54" i="3"/>
  <c r="Q54" i="3"/>
  <c r="N69" i="3"/>
  <c r="R54" i="3"/>
  <c r="S54" i="3"/>
  <c r="T54" i="3"/>
  <c r="U54" i="3"/>
  <c r="R69" i="3"/>
  <c r="V54" i="3"/>
  <c r="W54" i="3"/>
  <c r="X54" i="3"/>
  <c r="Y54" i="3"/>
  <c r="V69" i="3"/>
  <c r="Z54" i="3"/>
  <c r="AA54" i="3"/>
  <c r="AB54" i="3"/>
  <c r="AC54" i="3"/>
  <c r="Z69" i="3"/>
  <c r="AD54" i="3"/>
  <c r="AE54" i="3"/>
  <c r="AF54" i="3"/>
  <c r="AG54" i="3"/>
  <c r="AD69" i="3"/>
  <c r="AH54" i="3"/>
  <c r="AI54" i="3"/>
  <c r="AJ54" i="3"/>
  <c r="AK54" i="3"/>
  <c r="AH69" i="3"/>
  <c r="AL54" i="3"/>
  <c r="AM54" i="3"/>
  <c r="AN54" i="3"/>
  <c r="AO54" i="3"/>
  <c r="AL69" i="3"/>
  <c r="AP54" i="3"/>
  <c r="AQ54" i="3"/>
  <c r="AR54" i="3"/>
  <c r="AS54" i="3"/>
  <c r="AP69" i="3"/>
  <c r="AT54" i="3"/>
  <c r="AU54" i="3"/>
  <c r="AV54" i="3"/>
  <c r="AW54" i="3"/>
  <c r="AT69" i="3"/>
  <c r="AX54" i="3"/>
  <c r="AY54" i="3"/>
  <c r="AZ54" i="3"/>
  <c r="BA54" i="3"/>
  <c r="AX69" i="3"/>
  <c r="BB54" i="3"/>
  <c r="BC54" i="3"/>
  <c r="BD54" i="3"/>
  <c r="BE54" i="3"/>
  <c r="BB69" i="3"/>
  <c r="BF54" i="3"/>
  <c r="BG54" i="3"/>
  <c r="BH54" i="3"/>
  <c r="BI54" i="3"/>
  <c r="BF69" i="3"/>
  <c r="BJ54" i="3"/>
  <c r="BK54" i="3"/>
  <c r="BL54" i="3"/>
  <c r="BM54" i="3"/>
  <c r="BJ69" i="3"/>
  <c r="BN54" i="3"/>
  <c r="BO54" i="3"/>
  <c r="BP54" i="3"/>
  <c r="BQ54" i="3"/>
  <c r="BN69" i="3"/>
  <c r="BR54" i="3"/>
  <c r="BS54" i="3"/>
  <c r="BT54" i="3"/>
  <c r="BU54" i="3"/>
  <c r="BR69" i="3"/>
  <c r="BV54" i="3"/>
  <c r="BW54" i="3"/>
  <c r="BX54" i="3"/>
  <c r="BY54" i="3"/>
  <c r="BV69" i="3"/>
  <c r="BZ54" i="3"/>
  <c r="CA54" i="3"/>
  <c r="CB54" i="3"/>
  <c r="CC54" i="3"/>
  <c r="BZ69" i="3"/>
  <c r="CD54" i="3"/>
  <c r="CE54" i="3"/>
  <c r="CF54" i="3"/>
  <c r="CG54" i="3"/>
  <c r="CD69" i="3"/>
  <c r="CH54" i="3"/>
  <c r="CI54" i="3"/>
  <c r="CJ54" i="3"/>
  <c r="CK54" i="3"/>
  <c r="CH69" i="3"/>
  <c r="R56" i="3"/>
  <c r="V56" i="3"/>
  <c r="Z56" i="3"/>
  <c r="AD56" i="3"/>
  <c r="AH56" i="3"/>
  <c r="AL56" i="3"/>
  <c r="AP56" i="3"/>
  <c r="AT56" i="3"/>
  <c r="AX56" i="3"/>
  <c r="BB56" i="3"/>
  <c r="BF56" i="3"/>
  <c r="BJ56" i="3"/>
  <c r="BN56" i="3"/>
  <c r="BR56" i="3"/>
  <c r="BV56" i="3"/>
  <c r="BZ56" i="3"/>
  <c r="CD56" i="3"/>
  <c r="CH56" i="3"/>
  <c r="CL69" i="3"/>
  <c r="F8" i="1"/>
  <c r="F50" i="2"/>
  <c r="F51" i="2"/>
  <c r="F52" i="2"/>
  <c r="E52" i="2"/>
  <c r="E51" i="2"/>
  <c r="F48" i="2"/>
  <c r="F49" i="2"/>
  <c r="F47" i="2"/>
  <c r="F44" i="2"/>
  <c r="F45" i="2"/>
  <c r="F42" i="2"/>
  <c r="E50" i="2"/>
  <c r="E61" i="2"/>
  <c r="F61" i="2"/>
  <c r="F62" i="2"/>
  <c r="F63" i="2"/>
  <c r="F64" i="2"/>
  <c r="H62" i="3"/>
  <c r="H58" i="3"/>
  <c r="H59" i="3"/>
  <c r="H60" i="3"/>
  <c r="H61" i="3"/>
  <c r="H63" i="3"/>
  <c r="H64" i="3"/>
  <c r="I58" i="3"/>
  <c r="I59" i="3"/>
  <c r="I60" i="3"/>
  <c r="I61" i="3"/>
  <c r="I62" i="3"/>
  <c r="I63" i="3"/>
  <c r="G62" i="3"/>
  <c r="G58" i="3"/>
  <c r="G59" i="3"/>
  <c r="G60" i="3"/>
  <c r="G61" i="3"/>
  <c r="G63" i="3"/>
  <c r="F62" i="3"/>
  <c r="F58" i="3"/>
  <c r="F59" i="3"/>
  <c r="F60" i="3"/>
  <c r="F61" i="3"/>
  <c r="F63" i="3"/>
  <c r="F72" i="3"/>
  <c r="J18" i="7"/>
  <c r="F65" i="2"/>
  <c r="F58" i="2"/>
  <c r="F57" i="2"/>
  <c r="F59" i="2"/>
  <c r="F66" i="2"/>
  <c r="G61" i="2"/>
  <c r="G62" i="2"/>
  <c r="G63" i="2"/>
  <c r="G64" i="2"/>
  <c r="G65" i="2"/>
  <c r="G55" i="2"/>
  <c r="G56" i="2"/>
  <c r="G58" i="2"/>
  <c r="G57" i="2"/>
  <c r="G59" i="2"/>
  <c r="G66" i="2"/>
  <c r="F86" i="2"/>
  <c r="F87" i="2"/>
  <c r="H6" i="7"/>
  <c r="H9" i="7"/>
  <c r="H12" i="7"/>
  <c r="H15" i="7"/>
  <c r="H18" i="7"/>
  <c r="H21" i="7"/>
  <c r="H24" i="7"/>
  <c r="H27" i="7"/>
  <c r="H30" i="7"/>
  <c r="H33" i="7"/>
  <c r="H36" i="7"/>
  <c r="H39" i="7"/>
  <c r="H42" i="7"/>
  <c r="H45" i="7"/>
  <c r="H48" i="7"/>
  <c r="H51" i="7"/>
  <c r="H54" i="7"/>
  <c r="H57" i="7"/>
  <c r="H60" i="7"/>
  <c r="H63" i="7"/>
  <c r="AT86" i="2"/>
  <c r="AT87" i="2"/>
  <c r="H70" i="7"/>
  <c r="G48" i="2"/>
  <c r="G49" i="2"/>
  <c r="G44" i="2"/>
  <c r="G45" i="2"/>
  <c r="G50" i="2"/>
  <c r="G42" i="2"/>
  <c r="G51" i="2"/>
  <c r="F83" i="2"/>
  <c r="E6" i="7"/>
  <c r="E9" i="7"/>
  <c r="E12" i="7"/>
  <c r="E15" i="7"/>
  <c r="E18" i="7"/>
  <c r="E21" i="7"/>
  <c r="E24" i="7"/>
  <c r="E27" i="7"/>
  <c r="E30" i="7"/>
  <c r="E33" i="7"/>
  <c r="E36" i="7"/>
  <c r="E39" i="7"/>
  <c r="E42" i="7"/>
  <c r="E45" i="7"/>
  <c r="E48" i="7"/>
  <c r="E51" i="7"/>
  <c r="E54" i="7"/>
  <c r="E57" i="7"/>
  <c r="E60" i="7"/>
  <c r="E63" i="7"/>
  <c r="AT83" i="2"/>
  <c r="E70" i="7"/>
  <c r="F84" i="2"/>
  <c r="F6" i="7"/>
  <c r="F9" i="7"/>
  <c r="F12" i="7"/>
  <c r="F15" i="7"/>
  <c r="F18" i="7"/>
  <c r="F21" i="7"/>
  <c r="F24" i="7"/>
  <c r="F27" i="7"/>
  <c r="F30" i="7"/>
  <c r="F33" i="7"/>
  <c r="F36" i="7"/>
  <c r="F39" i="7"/>
  <c r="F42" i="7"/>
  <c r="F45" i="7"/>
  <c r="F48" i="7"/>
  <c r="F51" i="7"/>
  <c r="F54" i="7"/>
  <c r="F57" i="7"/>
  <c r="F60" i="7"/>
  <c r="F63" i="7"/>
  <c r="AT84" i="2"/>
  <c r="F70" i="7"/>
  <c r="G6" i="7"/>
  <c r="G9" i="7"/>
  <c r="G12" i="7"/>
  <c r="G15" i="7"/>
  <c r="G18" i="7"/>
  <c r="G21" i="7"/>
  <c r="G24" i="7"/>
  <c r="G27" i="7"/>
  <c r="G30" i="7"/>
  <c r="G33" i="7"/>
  <c r="G36" i="7"/>
  <c r="G39" i="7"/>
  <c r="G42" i="7"/>
  <c r="G45" i="7"/>
  <c r="G48" i="7"/>
  <c r="G51" i="7"/>
  <c r="G54" i="7"/>
  <c r="G57" i="7"/>
  <c r="G60" i="7"/>
  <c r="G63" i="7"/>
  <c r="G70" i="7"/>
  <c r="F78" i="2"/>
  <c r="G78" i="2"/>
  <c r="F89" i="2"/>
  <c r="I6" i="7"/>
  <c r="I9" i="7"/>
  <c r="I12" i="7"/>
  <c r="I15" i="7"/>
  <c r="I18" i="7"/>
  <c r="I21" i="7"/>
  <c r="I24" i="7"/>
  <c r="I27" i="7"/>
  <c r="I30" i="7"/>
  <c r="I33" i="7"/>
  <c r="I36" i="7"/>
  <c r="I39" i="7"/>
  <c r="I42" i="7"/>
  <c r="I45" i="7"/>
  <c r="I48" i="7"/>
  <c r="I51" i="7"/>
  <c r="I54" i="7"/>
  <c r="I57" i="7"/>
  <c r="I60" i="7"/>
  <c r="I63" i="7"/>
  <c r="AT89" i="2"/>
  <c r="I70" i="7"/>
  <c r="F90" i="2"/>
  <c r="J6" i="7"/>
  <c r="J9" i="7"/>
  <c r="J12" i="7"/>
  <c r="J15" i="7"/>
  <c r="J21" i="7"/>
  <c r="J24" i="7"/>
  <c r="J27" i="7"/>
  <c r="J30" i="7"/>
  <c r="J33" i="7"/>
  <c r="J36" i="7"/>
  <c r="J39" i="7"/>
  <c r="J42" i="7"/>
  <c r="J45" i="7"/>
  <c r="J48" i="7"/>
  <c r="J51" i="7"/>
  <c r="J54" i="7"/>
  <c r="J57" i="7"/>
  <c r="J60" i="7"/>
  <c r="J63" i="7"/>
  <c r="AT90" i="2"/>
  <c r="J70" i="7"/>
  <c r="J50" i="3"/>
  <c r="E8" i="1"/>
  <c r="G8" i="1"/>
  <c r="E5" i="7"/>
  <c r="F70" i="3"/>
  <c r="F5" i="7"/>
  <c r="E8" i="7"/>
  <c r="CL67" i="3"/>
  <c r="B69" i="7"/>
  <c r="E11" i="7"/>
  <c r="E14" i="7"/>
  <c r="E17" i="7"/>
  <c r="E20" i="7"/>
  <c r="E23" i="7"/>
  <c r="E26" i="7"/>
  <c r="E29" i="7"/>
  <c r="E32" i="7"/>
  <c r="E35" i="7"/>
  <c r="E38" i="7"/>
  <c r="E41" i="7"/>
  <c r="E44" i="7"/>
  <c r="E47" i="7"/>
  <c r="E50" i="7"/>
  <c r="E53" i="7"/>
  <c r="E56" i="7"/>
  <c r="E59" i="7"/>
  <c r="E62" i="7"/>
  <c r="E65" i="7"/>
  <c r="E69" i="7"/>
  <c r="J70" i="3"/>
  <c r="F8" i="7"/>
  <c r="N70" i="3"/>
  <c r="F11" i="7"/>
  <c r="R70" i="3"/>
  <c r="F14" i="7"/>
  <c r="V70" i="3"/>
  <c r="F17" i="7"/>
  <c r="Z70" i="3"/>
  <c r="F20" i="7"/>
  <c r="AD70" i="3"/>
  <c r="F23" i="7"/>
  <c r="AH70" i="3"/>
  <c r="F26" i="7"/>
  <c r="AL70" i="3"/>
  <c r="F29" i="7"/>
  <c r="AP70" i="3"/>
  <c r="F32" i="7"/>
  <c r="AT70" i="3"/>
  <c r="F35" i="7"/>
  <c r="AX70" i="3"/>
  <c r="F38" i="7"/>
  <c r="BB70" i="3"/>
  <c r="F41" i="7"/>
  <c r="BF70" i="3"/>
  <c r="F44" i="7"/>
  <c r="BJ70" i="3"/>
  <c r="F47" i="7"/>
  <c r="BN70" i="3"/>
  <c r="F50" i="7"/>
  <c r="BR70" i="3"/>
  <c r="F53" i="7"/>
  <c r="BV70" i="3"/>
  <c r="F56" i="7"/>
  <c r="BZ70" i="3"/>
  <c r="F59" i="7"/>
  <c r="CD70" i="3"/>
  <c r="F62" i="7"/>
  <c r="CH70" i="3"/>
  <c r="F65" i="7"/>
  <c r="CL70" i="3"/>
  <c r="F69" i="7"/>
  <c r="G5" i="7"/>
  <c r="J62" i="3"/>
  <c r="J58" i="3"/>
  <c r="J59" i="3"/>
  <c r="J60" i="3"/>
  <c r="J61" i="3"/>
  <c r="J63" i="3"/>
  <c r="K62" i="3"/>
  <c r="K58" i="3"/>
  <c r="K59" i="3"/>
  <c r="K60" i="3"/>
  <c r="K61" i="3"/>
  <c r="K63" i="3"/>
  <c r="L62" i="3"/>
  <c r="L58" i="3"/>
  <c r="L59" i="3"/>
  <c r="L60" i="3"/>
  <c r="L61" i="3"/>
  <c r="L63" i="3"/>
  <c r="M62" i="3"/>
  <c r="M58" i="3"/>
  <c r="M59" i="3"/>
  <c r="M60" i="3"/>
  <c r="M61" i="3"/>
  <c r="M63" i="3"/>
  <c r="J72" i="3"/>
  <c r="G8" i="7"/>
  <c r="N63" i="3"/>
  <c r="O63" i="3"/>
  <c r="P63" i="3"/>
  <c r="Q63" i="3"/>
  <c r="N72" i="3"/>
  <c r="G11" i="7"/>
  <c r="R63" i="3"/>
  <c r="S63" i="3"/>
  <c r="T63" i="3"/>
  <c r="U63" i="3"/>
  <c r="R72" i="3"/>
  <c r="G14" i="7"/>
  <c r="V63" i="3"/>
  <c r="W63" i="3"/>
  <c r="X63" i="3"/>
  <c r="Y63" i="3"/>
  <c r="V72" i="3"/>
  <c r="G17" i="7"/>
  <c r="Z63" i="3"/>
  <c r="AA63" i="3"/>
  <c r="AB63" i="3"/>
  <c r="AC63" i="3"/>
  <c r="Z72" i="3"/>
  <c r="G20" i="7"/>
  <c r="AD63" i="3"/>
  <c r="AE63" i="3"/>
  <c r="AF63" i="3"/>
  <c r="AG63" i="3"/>
  <c r="AD72" i="3"/>
  <c r="G23" i="7"/>
  <c r="AH63" i="3"/>
  <c r="AI63" i="3"/>
  <c r="AJ63" i="3"/>
  <c r="AK63" i="3"/>
  <c r="AH72" i="3"/>
  <c r="G26" i="7"/>
  <c r="AL63" i="3"/>
  <c r="AM63" i="3"/>
  <c r="AN63" i="3"/>
  <c r="AO63" i="3"/>
  <c r="AL72" i="3"/>
  <c r="G29" i="7"/>
  <c r="AP63" i="3"/>
  <c r="AQ63" i="3"/>
  <c r="AR63" i="3"/>
  <c r="AS63" i="3"/>
  <c r="AP72" i="3"/>
  <c r="G32" i="7"/>
  <c r="AT63" i="3"/>
  <c r="AU63" i="3"/>
  <c r="AV63" i="3"/>
  <c r="AW63" i="3"/>
  <c r="AT72" i="3"/>
  <c r="G35" i="7"/>
  <c r="AX63" i="3"/>
  <c r="AY63" i="3"/>
  <c r="AZ63" i="3"/>
  <c r="BA63" i="3"/>
  <c r="AX72" i="3"/>
  <c r="G38" i="7"/>
  <c r="BB63" i="3"/>
  <c r="BC63" i="3"/>
  <c r="BD63" i="3"/>
  <c r="BE63" i="3"/>
  <c r="BB72" i="3"/>
  <c r="G41" i="7"/>
  <c r="BF63" i="3"/>
  <c r="BG63" i="3"/>
  <c r="BH63" i="3"/>
  <c r="BI63" i="3"/>
  <c r="BF72" i="3"/>
  <c r="G44" i="7"/>
  <c r="BJ63" i="3"/>
  <c r="BK63" i="3"/>
  <c r="BL63" i="3"/>
  <c r="BM63" i="3"/>
  <c r="BJ72" i="3"/>
  <c r="G47" i="7"/>
  <c r="BN63" i="3"/>
  <c r="BO63" i="3"/>
  <c r="BP63" i="3"/>
  <c r="BQ63" i="3"/>
  <c r="BN72" i="3"/>
  <c r="G50" i="7"/>
  <c r="BR63" i="3"/>
  <c r="BS63" i="3"/>
  <c r="BT63" i="3"/>
  <c r="BU63" i="3"/>
  <c r="BR72" i="3"/>
  <c r="G53" i="7"/>
  <c r="BV63" i="3"/>
  <c r="BW63" i="3"/>
  <c r="BX63" i="3"/>
  <c r="BY63" i="3"/>
  <c r="BV72" i="3"/>
  <c r="G56" i="7"/>
  <c r="BZ63" i="3"/>
  <c r="CA63" i="3"/>
  <c r="CB63" i="3"/>
  <c r="CC63" i="3"/>
  <c r="BZ72" i="3"/>
  <c r="G59" i="7"/>
  <c r="CD63" i="3"/>
  <c r="CE63" i="3"/>
  <c r="CF63" i="3"/>
  <c r="CG63" i="3"/>
  <c r="CD72" i="3"/>
  <c r="G62" i="7"/>
  <c r="CH63" i="3"/>
  <c r="CI63" i="3"/>
  <c r="CJ63" i="3"/>
  <c r="CK63" i="3"/>
  <c r="CH72" i="3"/>
  <c r="G65" i="7"/>
  <c r="F65" i="3"/>
  <c r="J65" i="3"/>
  <c r="N65" i="3"/>
  <c r="R65" i="3"/>
  <c r="V65" i="3"/>
  <c r="Z65" i="3"/>
  <c r="AD65" i="3"/>
  <c r="AH65" i="3"/>
  <c r="AL65" i="3"/>
  <c r="AP65" i="3"/>
  <c r="AT65" i="3"/>
  <c r="AX65" i="3"/>
  <c r="BB65" i="3"/>
  <c r="BF65" i="3"/>
  <c r="BJ65" i="3"/>
  <c r="BN65" i="3"/>
  <c r="BR65" i="3"/>
  <c r="BV65" i="3"/>
  <c r="BZ65" i="3"/>
  <c r="CD65" i="3"/>
  <c r="CH65" i="3"/>
  <c r="CL72" i="3"/>
  <c r="G69" i="7"/>
  <c r="F73" i="3"/>
  <c r="H5" i="7"/>
  <c r="J73" i="3"/>
  <c r="H8" i="7"/>
  <c r="N73" i="3"/>
  <c r="H11" i="7"/>
  <c r="R73" i="3"/>
  <c r="H14" i="7"/>
  <c r="V73" i="3"/>
  <c r="H17" i="7"/>
  <c r="Z73" i="3"/>
  <c r="H20" i="7"/>
  <c r="AD73" i="3"/>
  <c r="H23" i="7"/>
  <c r="AH73" i="3"/>
  <c r="H26" i="7"/>
  <c r="AL73" i="3"/>
  <c r="H29" i="7"/>
  <c r="AP73" i="3"/>
  <c r="H32" i="7"/>
  <c r="AT73" i="3"/>
  <c r="H35" i="7"/>
  <c r="AX73" i="3"/>
  <c r="H38" i="7"/>
  <c r="BB73" i="3"/>
  <c r="H41" i="7"/>
  <c r="BF73" i="3"/>
  <c r="H44" i="7"/>
  <c r="BJ73" i="3"/>
  <c r="H47" i="7"/>
  <c r="BN73" i="3"/>
  <c r="H50" i="7"/>
  <c r="BR73" i="3"/>
  <c r="H53" i="7"/>
  <c r="BV73" i="3"/>
  <c r="H56" i="7"/>
  <c r="BZ73" i="3"/>
  <c r="H59" i="7"/>
  <c r="CD73" i="3"/>
  <c r="H62" i="7"/>
  <c r="CH73" i="3"/>
  <c r="H65" i="7"/>
  <c r="CL73" i="3"/>
  <c r="H69" i="7"/>
  <c r="AS46" i="2"/>
  <c r="AR46" i="2"/>
  <c r="AQ46" i="2"/>
  <c r="AP46" i="2"/>
  <c r="AO46" i="2"/>
  <c r="AN46" i="2"/>
  <c r="AM46" i="2"/>
  <c r="AL46" i="2"/>
  <c r="AK46" i="2"/>
  <c r="AJ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G47" i="2"/>
  <c r="E47" i="2"/>
  <c r="E60" i="2"/>
  <c r="E48" i="2"/>
  <c r="E49" i="2"/>
  <c r="E44" i="2"/>
  <c r="E45" i="2"/>
  <c r="AS60" i="2"/>
  <c r="AS48" i="2"/>
  <c r="AS49" i="2"/>
  <c r="AS47" i="2"/>
  <c r="AS44" i="2"/>
  <c r="AS45" i="2"/>
  <c r="AS50" i="2"/>
  <c r="AR60" i="2"/>
  <c r="AR48" i="2"/>
  <c r="AR49" i="2"/>
  <c r="AR47" i="2"/>
  <c r="AR44" i="2"/>
  <c r="AR45" i="2"/>
  <c r="AR50" i="2"/>
  <c r="AQ60" i="2"/>
  <c r="AQ48" i="2"/>
  <c r="AQ49" i="2"/>
  <c r="AQ47" i="2"/>
  <c r="AQ44" i="2"/>
  <c r="AQ45" i="2"/>
  <c r="AQ50" i="2"/>
  <c r="AP60" i="2"/>
  <c r="AP48" i="2"/>
  <c r="AP49" i="2"/>
  <c r="AP47" i="2"/>
  <c r="AP44" i="2"/>
  <c r="AP45" i="2"/>
  <c r="AP50" i="2"/>
  <c r="AO60" i="2"/>
  <c r="AO48" i="2"/>
  <c r="AO49" i="2"/>
  <c r="AO47" i="2"/>
  <c r="AO44" i="2"/>
  <c r="AO45" i="2"/>
  <c r="AO50" i="2"/>
  <c r="AN60" i="2"/>
  <c r="AN48" i="2"/>
  <c r="AN49" i="2"/>
  <c r="AN47" i="2"/>
  <c r="AN44" i="2"/>
  <c r="AN45" i="2"/>
  <c r="AN50" i="2"/>
  <c r="AM60" i="2"/>
  <c r="AM48" i="2"/>
  <c r="AM49" i="2"/>
  <c r="AM47" i="2"/>
  <c r="AM44" i="2"/>
  <c r="AM45" i="2"/>
  <c r="AM50" i="2"/>
  <c r="AL60" i="2"/>
  <c r="AL48" i="2"/>
  <c r="AL49" i="2"/>
  <c r="AL47" i="2"/>
  <c r="AL44" i="2"/>
  <c r="AL45" i="2"/>
  <c r="AL50" i="2"/>
  <c r="AK60" i="2"/>
  <c r="AK48" i="2"/>
  <c r="AK49" i="2"/>
  <c r="AK47" i="2"/>
  <c r="AK44" i="2"/>
  <c r="AK45" i="2"/>
  <c r="AK50" i="2"/>
  <c r="AJ60" i="2"/>
  <c r="AJ48" i="2"/>
  <c r="AJ49" i="2"/>
  <c r="AJ47" i="2"/>
  <c r="AJ44" i="2"/>
  <c r="AJ45" i="2"/>
  <c r="AJ50" i="2"/>
  <c r="AI60" i="2"/>
  <c r="AI48" i="2"/>
  <c r="AI49" i="2"/>
  <c r="AI47" i="2"/>
  <c r="AI44" i="2"/>
  <c r="AI45" i="2"/>
  <c r="AI50" i="2"/>
  <c r="AH60" i="2"/>
  <c r="AH48" i="2"/>
  <c r="AH49" i="2"/>
  <c r="AH47" i="2"/>
  <c r="AH44" i="2"/>
  <c r="AH45" i="2"/>
  <c r="AH50" i="2"/>
  <c r="AG60" i="2"/>
  <c r="AG48" i="2"/>
  <c r="AG49" i="2"/>
  <c r="AG47" i="2"/>
  <c r="AG44" i="2"/>
  <c r="AG45" i="2"/>
  <c r="AG50" i="2"/>
  <c r="AF60" i="2"/>
  <c r="AF48" i="2"/>
  <c r="AF49" i="2"/>
  <c r="AF47" i="2"/>
  <c r="AF44" i="2"/>
  <c r="AF45" i="2"/>
  <c r="AF50" i="2"/>
  <c r="AE60" i="2"/>
  <c r="AE48" i="2"/>
  <c r="AE49" i="2"/>
  <c r="AE47" i="2"/>
  <c r="AE44" i="2"/>
  <c r="AE45" i="2"/>
  <c r="AE50" i="2"/>
  <c r="AD60" i="2"/>
  <c r="AD48" i="2"/>
  <c r="AD49" i="2"/>
  <c r="AD47" i="2"/>
  <c r="AD44" i="2"/>
  <c r="AD45" i="2"/>
  <c r="AD50" i="2"/>
  <c r="AC60" i="2"/>
  <c r="AC48" i="2"/>
  <c r="AC49" i="2"/>
  <c r="AC47" i="2"/>
  <c r="AC44" i="2"/>
  <c r="AC45" i="2"/>
  <c r="AC50" i="2"/>
  <c r="AB60" i="2"/>
  <c r="AB48" i="2"/>
  <c r="AB49" i="2"/>
  <c r="AB47" i="2"/>
  <c r="AB44" i="2"/>
  <c r="AB45" i="2"/>
  <c r="AB50" i="2"/>
  <c r="AA60" i="2"/>
  <c r="AA48" i="2"/>
  <c r="AA49" i="2"/>
  <c r="AA47" i="2"/>
  <c r="AA44" i="2"/>
  <c r="AA45" i="2"/>
  <c r="AA50" i="2"/>
  <c r="Z60" i="2"/>
  <c r="Z48" i="2"/>
  <c r="Z49" i="2"/>
  <c r="Z47" i="2"/>
  <c r="Z44" i="2"/>
  <c r="Z45" i="2"/>
  <c r="Z50" i="2"/>
  <c r="Y60" i="2"/>
  <c r="Y48" i="2"/>
  <c r="Y49" i="2"/>
  <c r="Y47" i="2"/>
  <c r="Y44" i="2"/>
  <c r="Y45" i="2"/>
  <c r="Y50" i="2"/>
  <c r="X60" i="2"/>
  <c r="X48" i="2"/>
  <c r="X49" i="2"/>
  <c r="X47" i="2"/>
  <c r="X44" i="2"/>
  <c r="X45" i="2"/>
  <c r="X50" i="2"/>
  <c r="W60" i="2"/>
  <c r="W48" i="2"/>
  <c r="W49" i="2"/>
  <c r="W47" i="2"/>
  <c r="W44" i="2"/>
  <c r="W45" i="2"/>
  <c r="W50" i="2"/>
  <c r="V60" i="2"/>
  <c r="V48" i="2"/>
  <c r="V49" i="2"/>
  <c r="V47" i="2"/>
  <c r="V44" i="2"/>
  <c r="V45" i="2"/>
  <c r="V50" i="2"/>
  <c r="U60" i="2"/>
  <c r="U48" i="2"/>
  <c r="U49" i="2"/>
  <c r="U47" i="2"/>
  <c r="U44" i="2"/>
  <c r="U45" i="2"/>
  <c r="U50" i="2"/>
  <c r="T60" i="2"/>
  <c r="T48" i="2"/>
  <c r="T49" i="2"/>
  <c r="T47" i="2"/>
  <c r="T44" i="2"/>
  <c r="T45" i="2"/>
  <c r="T50" i="2"/>
  <c r="S60" i="2"/>
  <c r="S48" i="2"/>
  <c r="S49" i="2"/>
  <c r="S47" i="2"/>
  <c r="S44" i="2"/>
  <c r="S45" i="2"/>
  <c r="S50" i="2"/>
  <c r="R60" i="2"/>
  <c r="R48" i="2"/>
  <c r="R49" i="2"/>
  <c r="R47" i="2"/>
  <c r="R44" i="2"/>
  <c r="R45" i="2"/>
  <c r="R50" i="2"/>
  <c r="Q60" i="2"/>
  <c r="Q48" i="2"/>
  <c r="Q49" i="2"/>
  <c r="Q47" i="2"/>
  <c r="Q44" i="2"/>
  <c r="Q45" i="2"/>
  <c r="Q50" i="2"/>
  <c r="P60" i="2"/>
  <c r="P48" i="2"/>
  <c r="P49" i="2"/>
  <c r="P47" i="2"/>
  <c r="P44" i="2"/>
  <c r="P45" i="2"/>
  <c r="P50" i="2"/>
  <c r="O60" i="2"/>
  <c r="O48" i="2"/>
  <c r="O49" i="2"/>
  <c r="O47" i="2"/>
  <c r="O44" i="2"/>
  <c r="O45" i="2"/>
  <c r="O50" i="2"/>
  <c r="N60" i="2"/>
  <c r="N48" i="2"/>
  <c r="N49" i="2"/>
  <c r="N47" i="2"/>
  <c r="N44" i="2"/>
  <c r="N45" i="2"/>
  <c r="N50" i="2"/>
  <c r="M60" i="2"/>
  <c r="M48" i="2"/>
  <c r="M49" i="2"/>
  <c r="M47" i="2"/>
  <c r="M44" i="2"/>
  <c r="M45" i="2"/>
  <c r="M50" i="2"/>
  <c r="L60" i="2"/>
  <c r="L48" i="2"/>
  <c r="L49" i="2"/>
  <c r="L47" i="2"/>
  <c r="L44" i="2"/>
  <c r="L45" i="2"/>
  <c r="L50" i="2"/>
  <c r="K60" i="2"/>
  <c r="K48" i="2"/>
  <c r="K49" i="2"/>
  <c r="K47" i="2"/>
  <c r="K44" i="2"/>
  <c r="K45" i="2"/>
  <c r="K50" i="2"/>
  <c r="J60" i="2"/>
  <c r="J48" i="2"/>
  <c r="J49" i="2"/>
  <c r="J47" i="2"/>
  <c r="J44" i="2"/>
  <c r="J45" i="2"/>
  <c r="J50" i="2"/>
  <c r="I60" i="2"/>
  <c r="I48" i="2"/>
  <c r="I49" i="2"/>
  <c r="I47" i="2"/>
  <c r="I44" i="2"/>
  <c r="I45" i="2"/>
  <c r="I50" i="2"/>
  <c r="H60" i="2"/>
  <c r="H48" i="2"/>
  <c r="H49" i="2"/>
  <c r="H47" i="2"/>
  <c r="H44" i="2"/>
  <c r="H45" i="2"/>
  <c r="H50" i="2"/>
  <c r="G60" i="2"/>
  <c r="F60" i="2"/>
  <c r="F43" i="2"/>
  <c r="AR89" i="2"/>
  <c r="AP89" i="2"/>
  <c r="AN89" i="2"/>
  <c r="AL89" i="2"/>
  <c r="AJ89" i="2"/>
  <c r="AH89" i="2"/>
  <c r="AF89" i="2"/>
  <c r="AD89" i="2"/>
  <c r="AB89" i="2"/>
  <c r="Z89" i="2"/>
  <c r="X89" i="2"/>
  <c r="V89" i="2"/>
  <c r="T89" i="2"/>
  <c r="R89" i="2"/>
  <c r="P89" i="2"/>
  <c r="N89" i="2"/>
  <c r="L89" i="2"/>
  <c r="J89" i="2"/>
  <c r="H89" i="2"/>
  <c r="F69" i="2"/>
  <c r="F70" i="2"/>
  <c r="F75" i="2"/>
  <c r="F71" i="2"/>
  <c r="F73" i="2"/>
  <c r="F72" i="2"/>
  <c r="F74" i="2"/>
  <c r="F76" i="2"/>
  <c r="F77" i="2"/>
  <c r="G69" i="2"/>
  <c r="G70" i="2"/>
  <c r="G75" i="2"/>
  <c r="G71" i="2"/>
  <c r="G73" i="2"/>
  <c r="G72" i="2"/>
  <c r="G74" i="2"/>
  <c r="G76" i="2"/>
  <c r="G77" i="2"/>
  <c r="G43" i="2"/>
  <c r="AS55" i="2"/>
  <c r="AS56" i="2"/>
  <c r="AR55" i="2"/>
  <c r="AR56" i="2"/>
  <c r="AQ55" i="2"/>
  <c r="AQ56" i="2"/>
  <c r="AP55" i="2"/>
  <c r="AP56" i="2"/>
  <c r="AO55" i="2"/>
  <c r="AO56" i="2"/>
  <c r="AN55" i="2"/>
  <c r="AN56" i="2"/>
  <c r="AM55" i="2"/>
  <c r="AM56" i="2"/>
  <c r="AL55" i="2"/>
  <c r="AL56" i="2"/>
  <c r="AK55" i="2"/>
  <c r="AK56" i="2"/>
  <c r="AJ55" i="2"/>
  <c r="AJ56" i="2"/>
  <c r="AI55" i="2"/>
  <c r="AI56" i="2"/>
  <c r="AH55" i="2"/>
  <c r="AH56" i="2"/>
  <c r="AG55" i="2"/>
  <c r="AG56" i="2"/>
  <c r="AF55" i="2"/>
  <c r="AF56" i="2"/>
  <c r="AE55" i="2"/>
  <c r="AE56" i="2"/>
  <c r="AD55" i="2"/>
  <c r="AD56" i="2"/>
  <c r="AC55" i="2"/>
  <c r="AC56" i="2"/>
  <c r="AB55" i="2"/>
  <c r="AB56" i="2"/>
  <c r="AA55" i="2"/>
  <c r="AA56" i="2"/>
  <c r="Z55" i="2"/>
  <c r="Z56" i="2"/>
  <c r="Y55" i="2"/>
  <c r="Y56" i="2"/>
  <c r="X55" i="2"/>
  <c r="X56" i="2"/>
  <c r="W55" i="2"/>
  <c r="W56" i="2"/>
  <c r="V55" i="2"/>
  <c r="V56" i="2"/>
  <c r="U55" i="2"/>
  <c r="U56" i="2"/>
  <c r="T55" i="2"/>
  <c r="T56" i="2"/>
  <c r="S55" i="2"/>
  <c r="S56" i="2"/>
  <c r="R55" i="2"/>
  <c r="R56" i="2"/>
  <c r="Q55" i="2"/>
  <c r="Q56" i="2"/>
  <c r="P55" i="2"/>
  <c r="P56" i="2"/>
  <c r="O55" i="2"/>
  <c r="O56" i="2"/>
  <c r="N55" i="2"/>
  <c r="N56" i="2"/>
  <c r="M55" i="2"/>
  <c r="M56" i="2"/>
  <c r="L55" i="2"/>
  <c r="L56" i="2"/>
  <c r="K55" i="2"/>
  <c r="K56" i="2"/>
  <c r="J55" i="2"/>
  <c r="J56" i="2"/>
  <c r="I55" i="2"/>
  <c r="I56" i="2"/>
  <c r="H55" i="2"/>
  <c r="H56" i="2"/>
  <c r="F55" i="2"/>
  <c r="F56" i="2"/>
  <c r="E55" i="2"/>
  <c r="E56"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E43" i="2"/>
  <c r="E62" i="3"/>
  <c r="E58" i="3"/>
  <c r="E59" i="3"/>
  <c r="E60" i="3"/>
  <c r="E61" i="3"/>
  <c r="E63" i="3"/>
  <c r="E64" i="3"/>
  <c r="H51" i="2"/>
  <c r="I51" i="2"/>
  <c r="H83" i="2"/>
  <c r="J51" i="2"/>
  <c r="K51" i="2"/>
  <c r="J83" i="2"/>
  <c r="L51" i="2"/>
  <c r="M51" i="2"/>
  <c r="L83" i="2"/>
  <c r="N51" i="2"/>
  <c r="O51" i="2"/>
  <c r="N83" i="2"/>
  <c r="P51" i="2"/>
  <c r="Q51" i="2"/>
  <c r="P83" i="2"/>
  <c r="R51" i="2"/>
  <c r="S51" i="2"/>
  <c r="R83" i="2"/>
  <c r="T51" i="2"/>
  <c r="U51" i="2"/>
  <c r="T83" i="2"/>
  <c r="V51" i="2"/>
  <c r="W51" i="2"/>
  <c r="V83" i="2"/>
  <c r="X51" i="2"/>
  <c r="Y51" i="2"/>
  <c r="X83" i="2"/>
  <c r="Z51" i="2"/>
  <c r="AA51" i="2"/>
  <c r="Z83" i="2"/>
  <c r="AB51" i="2"/>
  <c r="AC51" i="2"/>
  <c r="AB83" i="2"/>
  <c r="AD51" i="2"/>
  <c r="AE51" i="2"/>
  <c r="AD83" i="2"/>
  <c r="AF51" i="2"/>
  <c r="AG51" i="2"/>
  <c r="AF83" i="2"/>
  <c r="AH51" i="2"/>
  <c r="AI51" i="2"/>
  <c r="AH83" i="2"/>
  <c r="AJ51" i="2"/>
  <c r="AK51" i="2"/>
  <c r="AJ83" i="2"/>
  <c r="AL51" i="2"/>
  <c r="AM51" i="2"/>
  <c r="AL83" i="2"/>
  <c r="AN51" i="2"/>
  <c r="AO51" i="2"/>
  <c r="AN83" i="2"/>
  <c r="AP51" i="2"/>
  <c r="AQ51" i="2"/>
  <c r="AP83" i="2"/>
  <c r="AR51" i="2"/>
  <c r="AS51" i="2"/>
  <c r="AR83" i="2"/>
  <c r="E69" i="2"/>
  <c r="E70" i="2"/>
  <c r="E75" i="2"/>
  <c r="E71" i="2"/>
  <c r="E73" i="2"/>
  <c r="E72" i="2"/>
  <c r="E74" i="2"/>
  <c r="E76" i="2"/>
  <c r="E77" i="2"/>
  <c r="E42" i="2"/>
  <c r="E78" i="2"/>
  <c r="E79" i="2"/>
  <c r="E63" i="2"/>
  <c r="E62" i="2"/>
  <c r="E64" i="2"/>
  <c r="E65" i="2"/>
  <c r="E58" i="2"/>
  <c r="E57" i="2"/>
  <c r="E59" i="2"/>
  <c r="E54" i="2"/>
  <c r="E66" i="2"/>
  <c r="E67" i="2"/>
  <c r="CK47" i="3"/>
  <c r="CJ47" i="3"/>
  <c r="CI47" i="3"/>
  <c r="CH47" i="3"/>
  <c r="CG47" i="3"/>
  <c r="CF47" i="3"/>
  <c r="CE47" i="3"/>
  <c r="CD47" i="3"/>
  <c r="CC47" i="3"/>
  <c r="CB47" i="3"/>
  <c r="CA47" i="3"/>
  <c r="BZ47" i="3"/>
  <c r="BY47" i="3"/>
  <c r="BX47" i="3"/>
  <c r="BW47" i="3"/>
  <c r="BV47" i="3"/>
  <c r="BU47" i="3"/>
  <c r="BT47" i="3"/>
  <c r="BS47" i="3"/>
  <c r="BR47" i="3"/>
  <c r="BQ47" i="3"/>
  <c r="BP47" i="3"/>
  <c r="BO47" i="3"/>
  <c r="BN47" i="3"/>
  <c r="BM47" i="3"/>
  <c r="BL47" i="3"/>
  <c r="BK47" i="3"/>
  <c r="BJ47" i="3"/>
  <c r="BI47" i="3"/>
  <c r="BH47" i="3"/>
  <c r="BG47" i="3"/>
  <c r="BF47" i="3"/>
  <c r="BE47" i="3"/>
  <c r="BD47" i="3"/>
  <c r="BC47" i="3"/>
  <c r="BB47" i="3"/>
  <c r="BA47" i="3"/>
  <c r="AZ47" i="3"/>
  <c r="AY47" i="3"/>
  <c r="AX47" i="3"/>
  <c r="AW47" i="3"/>
  <c r="AV47" i="3"/>
  <c r="AU47" i="3"/>
  <c r="AT47" i="3"/>
  <c r="AS47" i="3"/>
  <c r="AR47" i="3"/>
  <c r="AQ47" i="3"/>
  <c r="AP47" i="3"/>
  <c r="AO47" i="3"/>
  <c r="AN47" i="3"/>
  <c r="AM47" i="3"/>
  <c r="AL47" i="3"/>
  <c r="AK47" i="3"/>
  <c r="AJ47" i="3"/>
  <c r="AI47" i="3"/>
  <c r="AH47" i="3"/>
  <c r="AG47" i="3"/>
  <c r="AF47" i="3"/>
  <c r="AE47" i="3"/>
  <c r="AD47" i="3"/>
  <c r="AC47" i="3"/>
  <c r="AB47" i="3"/>
  <c r="AA47" i="3"/>
  <c r="Z47" i="3"/>
  <c r="Y47" i="3"/>
  <c r="X47" i="3"/>
  <c r="W47" i="3"/>
  <c r="V47" i="3"/>
  <c r="U47" i="3"/>
  <c r="T47" i="3"/>
  <c r="S47" i="3"/>
  <c r="R47" i="3"/>
  <c r="Q47" i="3"/>
  <c r="P47" i="3"/>
  <c r="O47" i="3"/>
  <c r="N47" i="3"/>
  <c r="AS63" i="2"/>
  <c r="AS61" i="2"/>
  <c r="AS62" i="2"/>
  <c r="AS64" i="2"/>
  <c r="AS65" i="2"/>
  <c r="AR63" i="2"/>
  <c r="AR61" i="2"/>
  <c r="AR62" i="2"/>
  <c r="AR64" i="2"/>
  <c r="AR65" i="2"/>
  <c r="AQ63" i="2"/>
  <c r="AQ61" i="2"/>
  <c r="AQ62" i="2"/>
  <c r="AQ64" i="2"/>
  <c r="AQ65" i="2"/>
  <c r="AP63" i="2"/>
  <c r="AP61" i="2"/>
  <c r="AP62" i="2"/>
  <c r="AP64" i="2"/>
  <c r="AP65" i="2"/>
  <c r="AO63" i="2"/>
  <c r="AO61" i="2"/>
  <c r="AO62" i="2"/>
  <c r="AO64" i="2"/>
  <c r="AO65" i="2"/>
  <c r="AN63" i="2"/>
  <c r="AN61" i="2"/>
  <c r="AN62" i="2"/>
  <c r="AN64" i="2"/>
  <c r="AN65" i="2"/>
  <c r="AM63" i="2"/>
  <c r="AM61" i="2"/>
  <c r="AM62" i="2"/>
  <c r="AM64" i="2"/>
  <c r="AM65" i="2"/>
  <c r="AL63" i="2"/>
  <c r="AL61" i="2"/>
  <c r="AL62" i="2"/>
  <c r="AL64" i="2"/>
  <c r="AL65" i="2"/>
  <c r="AK63" i="2"/>
  <c r="AK61" i="2"/>
  <c r="AK62" i="2"/>
  <c r="AK64" i="2"/>
  <c r="AK65" i="2"/>
  <c r="AJ63" i="2"/>
  <c r="AJ61" i="2"/>
  <c r="AJ62" i="2"/>
  <c r="AJ64" i="2"/>
  <c r="AJ65" i="2"/>
  <c r="AI63" i="2"/>
  <c r="AI61" i="2"/>
  <c r="AI62" i="2"/>
  <c r="AI64" i="2"/>
  <c r="AI65" i="2"/>
  <c r="AH63" i="2"/>
  <c r="AH61" i="2"/>
  <c r="AH62" i="2"/>
  <c r="AH64" i="2"/>
  <c r="AH65" i="2"/>
  <c r="AG63" i="2"/>
  <c r="AG61" i="2"/>
  <c r="AG62" i="2"/>
  <c r="AG64" i="2"/>
  <c r="AG65" i="2"/>
  <c r="AF63" i="2"/>
  <c r="AF61" i="2"/>
  <c r="AF62" i="2"/>
  <c r="AF64" i="2"/>
  <c r="AF65" i="2"/>
  <c r="AE63" i="2"/>
  <c r="AE61" i="2"/>
  <c r="AE62" i="2"/>
  <c r="AE64" i="2"/>
  <c r="AE65" i="2"/>
  <c r="AD63" i="2"/>
  <c r="AD61" i="2"/>
  <c r="AD62" i="2"/>
  <c r="AD64" i="2"/>
  <c r="AD65" i="2"/>
  <c r="AC63" i="2"/>
  <c r="AC61" i="2"/>
  <c r="AC62" i="2"/>
  <c r="AC64" i="2"/>
  <c r="AC65" i="2"/>
  <c r="AB63" i="2"/>
  <c r="AB61" i="2"/>
  <c r="AB62" i="2"/>
  <c r="AB64" i="2"/>
  <c r="AB65" i="2"/>
  <c r="AA63" i="2"/>
  <c r="AA61" i="2"/>
  <c r="AA62" i="2"/>
  <c r="AA64" i="2"/>
  <c r="AA65" i="2"/>
  <c r="Z63" i="2"/>
  <c r="Z61" i="2"/>
  <c r="Z62" i="2"/>
  <c r="Z64" i="2"/>
  <c r="Z65" i="2"/>
  <c r="Y63" i="2"/>
  <c r="Y61" i="2"/>
  <c r="Y62" i="2"/>
  <c r="Y64" i="2"/>
  <c r="Y65" i="2"/>
  <c r="X63" i="2"/>
  <c r="X61" i="2"/>
  <c r="X62" i="2"/>
  <c r="X64" i="2"/>
  <c r="X65" i="2"/>
  <c r="W63" i="2"/>
  <c r="W61" i="2"/>
  <c r="W62" i="2"/>
  <c r="W64" i="2"/>
  <c r="W65" i="2"/>
  <c r="V63" i="2"/>
  <c r="V61" i="2"/>
  <c r="V62" i="2"/>
  <c r="V64" i="2"/>
  <c r="V65" i="2"/>
  <c r="U63" i="2"/>
  <c r="U61" i="2"/>
  <c r="U62" i="2"/>
  <c r="U64" i="2"/>
  <c r="U65" i="2"/>
  <c r="T63" i="2"/>
  <c r="T61" i="2"/>
  <c r="T62" i="2"/>
  <c r="T64" i="2"/>
  <c r="T65" i="2"/>
  <c r="S63" i="2"/>
  <c r="S61" i="2"/>
  <c r="S62" i="2"/>
  <c r="S64" i="2"/>
  <c r="S65" i="2"/>
  <c r="R63" i="2"/>
  <c r="R61" i="2"/>
  <c r="R62" i="2"/>
  <c r="R64" i="2"/>
  <c r="R65" i="2"/>
  <c r="Q63" i="2"/>
  <c r="Q61" i="2"/>
  <c r="Q62" i="2"/>
  <c r="Q64" i="2"/>
  <c r="Q65" i="2"/>
  <c r="P63" i="2"/>
  <c r="P61" i="2"/>
  <c r="P62" i="2"/>
  <c r="P64" i="2"/>
  <c r="P65" i="2"/>
  <c r="O63" i="2"/>
  <c r="O61" i="2"/>
  <c r="O62" i="2"/>
  <c r="O64" i="2"/>
  <c r="O65" i="2"/>
  <c r="N63" i="2"/>
  <c r="N61" i="2"/>
  <c r="N62" i="2"/>
  <c r="N64" i="2"/>
  <c r="N65" i="2"/>
  <c r="M63" i="2"/>
  <c r="M61" i="2"/>
  <c r="M62" i="2"/>
  <c r="M64" i="2"/>
  <c r="M65" i="2"/>
  <c r="L63" i="2"/>
  <c r="L61" i="2"/>
  <c r="L62" i="2"/>
  <c r="L64" i="2"/>
  <c r="L65" i="2"/>
  <c r="K63" i="2"/>
  <c r="K61" i="2"/>
  <c r="K62" i="2"/>
  <c r="K64" i="2"/>
  <c r="K65" i="2"/>
  <c r="J63" i="2"/>
  <c r="J61" i="2"/>
  <c r="J62" i="2"/>
  <c r="J64" i="2"/>
  <c r="J65" i="2"/>
  <c r="I63" i="2"/>
  <c r="I61" i="2"/>
  <c r="I62" i="2"/>
  <c r="I64" i="2"/>
  <c r="I65" i="2"/>
  <c r="H63" i="2"/>
  <c r="H61" i="2"/>
  <c r="H62" i="2"/>
  <c r="H64" i="2"/>
  <c r="H65" i="2"/>
  <c r="G54" i="2"/>
  <c r="CK62" i="3"/>
  <c r="CK58" i="3"/>
  <c r="CK59" i="3"/>
  <c r="CK60" i="3"/>
  <c r="CK61" i="3"/>
  <c r="CK64" i="3"/>
  <c r="CJ62" i="3"/>
  <c r="CJ58" i="3"/>
  <c r="CJ59" i="3"/>
  <c r="CJ60" i="3"/>
  <c r="CJ61" i="3"/>
  <c r="CJ64" i="3"/>
  <c r="CI62" i="3"/>
  <c r="CI58" i="3"/>
  <c r="CI59" i="3"/>
  <c r="CI60" i="3"/>
  <c r="CI61" i="3"/>
  <c r="CI64" i="3"/>
  <c r="CH62" i="3"/>
  <c r="CH58" i="3"/>
  <c r="CH59" i="3"/>
  <c r="CH60" i="3"/>
  <c r="CH61" i="3"/>
  <c r="CH64" i="3"/>
  <c r="CG62" i="3"/>
  <c r="CG58" i="3"/>
  <c r="CG59" i="3"/>
  <c r="CG60" i="3"/>
  <c r="CG61" i="3"/>
  <c r="CG64" i="3"/>
  <c r="CF62" i="3"/>
  <c r="CF58" i="3"/>
  <c r="CF59" i="3"/>
  <c r="CF60" i="3"/>
  <c r="CF61" i="3"/>
  <c r="CF64" i="3"/>
  <c r="CE62" i="3"/>
  <c r="CE58" i="3"/>
  <c r="CE59" i="3"/>
  <c r="CE60" i="3"/>
  <c r="CE61" i="3"/>
  <c r="CE64" i="3"/>
  <c r="CD62" i="3"/>
  <c r="CD58" i="3"/>
  <c r="CD59" i="3"/>
  <c r="CD60" i="3"/>
  <c r="CD61" i="3"/>
  <c r="CD64" i="3"/>
  <c r="CC62" i="3"/>
  <c r="CC58" i="3"/>
  <c r="CC59" i="3"/>
  <c r="CC60" i="3"/>
  <c r="CC61" i="3"/>
  <c r="CC64" i="3"/>
  <c r="CB62" i="3"/>
  <c r="CB58" i="3"/>
  <c r="CB59" i="3"/>
  <c r="CB60" i="3"/>
  <c r="CB61" i="3"/>
  <c r="CB64" i="3"/>
  <c r="CA62" i="3"/>
  <c r="CA58" i="3"/>
  <c r="CA59" i="3"/>
  <c r="CA60" i="3"/>
  <c r="CA61" i="3"/>
  <c r="CA64" i="3"/>
  <c r="BZ62" i="3"/>
  <c r="BZ58" i="3"/>
  <c r="BZ59" i="3"/>
  <c r="BZ60" i="3"/>
  <c r="BZ61" i="3"/>
  <c r="BZ64" i="3"/>
  <c r="BY62" i="3"/>
  <c r="BY58" i="3"/>
  <c r="BY59" i="3"/>
  <c r="BY60" i="3"/>
  <c r="BY61" i="3"/>
  <c r="BY64" i="3"/>
  <c r="BX62" i="3"/>
  <c r="BX58" i="3"/>
  <c r="BX59" i="3"/>
  <c r="BX60" i="3"/>
  <c r="BX61" i="3"/>
  <c r="BX64" i="3"/>
  <c r="BW62" i="3"/>
  <c r="BW58" i="3"/>
  <c r="BW59" i="3"/>
  <c r="BW60" i="3"/>
  <c r="BW61" i="3"/>
  <c r="BW64" i="3"/>
  <c r="BV62" i="3"/>
  <c r="BV58" i="3"/>
  <c r="BV59" i="3"/>
  <c r="BV60" i="3"/>
  <c r="BV61" i="3"/>
  <c r="BV64" i="3"/>
  <c r="BU62" i="3"/>
  <c r="BU58" i="3"/>
  <c r="BU59" i="3"/>
  <c r="BU60" i="3"/>
  <c r="BU61" i="3"/>
  <c r="BU64" i="3"/>
  <c r="BT62" i="3"/>
  <c r="BT58" i="3"/>
  <c r="BT59" i="3"/>
  <c r="BT60" i="3"/>
  <c r="BT61" i="3"/>
  <c r="BT64" i="3"/>
  <c r="BS62" i="3"/>
  <c r="BS58" i="3"/>
  <c r="BS59" i="3"/>
  <c r="BS60" i="3"/>
  <c r="BS61" i="3"/>
  <c r="BS64" i="3"/>
  <c r="BR62" i="3"/>
  <c r="BR58" i="3"/>
  <c r="BR59" i="3"/>
  <c r="BR60" i="3"/>
  <c r="BR61" i="3"/>
  <c r="BR64" i="3"/>
  <c r="BQ62" i="3"/>
  <c r="BQ58" i="3"/>
  <c r="BQ59" i="3"/>
  <c r="BQ60" i="3"/>
  <c r="BQ61" i="3"/>
  <c r="BQ64" i="3"/>
  <c r="BP62" i="3"/>
  <c r="BP58" i="3"/>
  <c r="BP59" i="3"/>
  <c r="BP60" i="3"/>
  <c r="BP61" i="3"/>
  <c r="BP64" i="3"/>
  <c r="BO62" i="3"/>
  <c r="BO58" i="3"/>
  <c r="BO59" i="3"/>
  <c r="BO60" i="3"/>
  <c r="BO61" i="3"/>
  <c r="BO64" i="3"/>
  <c r="BN62" i="3"/>
  <c r="BN58" i="3"/>
  <c r="BN59" i="3"/>
  <c r="BN60" i="3"/>
  <c r="BN61" i="3"/>
  <c r="BN64" i="3"/>
  <c r="BM62" i="3"/>
  <c r="BM58" i="3"/>
  <c r="BM59" i="3"/>
  <c r="BM60" i="3"/>
  <c r="BM61" i="3"/>
  <c r="BM64" i="3"/>
  <c r="BL62" i="3"/>
  <c r="BL58" i="3"/>
  <c r="BL59" i="3"/>
  <c r="BL60" i="3"/>
  <c r="BL61" i="3"/>
  <c r="BL64" i="3"/>
  <c r="BK62" i="3"/>
  <c r="BK58" i="3"/>
  <c r="BK59" i="3"/>
  <c r="BK60" i="3"/>
  <c r="BK61" i="3"/>
  <c r="BK64" i="3"/>
  <c r="BJ62" i="3"/>
  <c r="BJ58" i="3"/>
  <c r="BJ59" i="3"/>
  <c r="BJ60" i="3"/>
  <c r="BJ61" i="3"/>
  <c r="BJ64" i="3"/>
  <c r="BI62" i="3"/>
  <c r="BI58" i="3"/>
  <c r="BI59" i="3"/>
  <c r="BI60" i="3"/>
  <c r="BI61" i="3"/>
  <c r="BI64" i="3"/>
  <c r="BH62" i="3"/>
  <c r="BH58" i="3"/>
  <c r="BH59" i="3"/>
  <c r="BH60" i="3"/>
  <c r="BH61" i="3"/>
  <c r="BH64" i="3"/>
  <c r="BG62" i="3"/>
  <c r="BG58" i="3"/>
  <c r="BG59" i="3"/>
  <c r="BG60" i="3"/>
  <c r="BG61" i="3"/>
  <c r="BG64" i="3"/>
  <c r="BF62" i="3"/>
  <c r="BF58" i="3"/>
  <c r="BF59" i="3"/>
  <c r="BF60" i="3"/>
  <c r="BF61" i="3"/>
  <c r="BF64" i="3"/>
  <c r="BE62" i="3"/>
  <c r="BE58" i="3"/>
  <c r="BE59" i="3"/>
  <c r="BE60" i="3"/>
  <c r="BE61" i="3"/>
  <c r="BE64" i="3"/>
  <c r="BD62" i="3"/>
  <c r="BD58" i="3"/>
  <c r="BD59" i="3"/>
  <c r="BD60" i="3"/>
  <c r="BD61" i="3"/>
  <c r="BD64" i="3"/>
  <c r="BC62" i="3"/>
  <c r="BC58" i="3"/>
  <c r="BC59" i="3"/>
  <c r="BC60" i="3"/>
  <c r="BC61" i="3"/>
  <c r="BC64" i="3"/>
  <c r="BB62" i="3"/>
  <c r="BB58" i="3"/>
  <c r="BB59" i="3"/>
  <c r="BB60" i="3"/>
  <c r="BB61" i="3"/>
  <c r="BB64" i="3"/>
  <c r="BA62" i="3"/>
  <c r="BA58" i="3"/>
  <c r="BA59" i="3"/>
  <c r="BA60" i="3"/>
  <c r="BA61" i="3"/>
  <c r="BA64" i="3"/>
  <c r="AZ62" i="3"/>
  <c r="AZ58" i="3"/>
  <c r="AZ59" i="3"/>
  <c r="AZ60" i="3"/>
  <c r="AZ61" i="3"/>
  <c r="AZ64" i="3"/>
  <c r="AY62" i="3"/>
  <c r="AY58" i="3"/>
  <c r="AY59" i="3"/>
  <c r="AY60" i="3"/>
  <c r="AY61" i="3"/>
  <c r="AY64" i="3"/>
  <c r="AX62" i="3"/>
  <c r="AX58" i="3"/>
  <c r="AX59" i="3"/>
  <c r="AX60" i="3"/>
  <c r="AX61" i="3"/>
  <c r="AX64" i="3"/>
  <c r="AW62" i="3"/>
  <c r="AW58" i="3"/>
  <c r="AW59" i="3"/>
  <c r="AW60" i="3"/>
  <c r="AW61" i="3"/>
  <c r="AW64" i="3"/>
  <c r="AV62" i="3"/>
  <c r="AV58" i="3"/>
  <c r="AV59" i="3"/>
  <c r="AV60" i="3"/>
  <c r="AV61" i="3"/>
  <c r="AV64" i="3"/>
  <c r="AU62" i="3"/>
  <c r="AU58" i="3"/>
  <c r="AU59" i="3"/>
  <c r="AU60" i="3"/>
  <c r="AU61" i="3"/>
  <c r="AU64" i="3"/>
  <c r="AT62" i="3"/>
  <c r="AT58" i="3"/>
  <c r="AT59" i="3"/>
  <c r="AT60" i="3"/>
  <c r="AT61" i="3"/>
  <c r="AT64" i="3"/>
  <c r="AS62" i="3"/>
  <c r="AS58" i="3"/>
  <c r="AS59" i="3"/>
  <c r="AS60" i="3"/>
  <c r="AS61" i="3"/>
  <c r="AS64" i="3"/>
  <c r="AR62" i="3"/>
  <c r="AR58" i="3"/>
  <c r="AR59" i="3"/>
  <c r="AR60" i="3"/>
  <c r="AR61" i="3"/>
  <c r="AR64" i="3"/>
  <c r="AQ62" i="3"/>
  <c r="AQ58" i="3"/>
  <c r="AQ59" i="3"/>
  <c r="AQ60" i="3"/>
  <c r="AQ61" i="3"/>
  <c r="AQ64" i="3"/>
  <c r="AP62" i="3"/>
  <c r="AP58" i="3"/>
  <c r="AP59" i="3"/>
  <c r="AP60" i="3"/>
  <c r="AP61" i="3"/>
  <c r="AP64" i="3"/>
  <c r="AO62" i="3"/>
  <c r="AO58" i="3"/>
  <c r="AO59" i="3"/>
  <c r="AO60" i="3"/>
  <c r="AO61" i="3"/>
  <c r="AO64" i="3"/>
  <c r="AN62" i="3"/>
  <c r="AN58" i="3"/>
  <c r="AN59" i="3"/>
  <c r="AN60" i="3"/>
  <c r="AN61" i="3"/>
  <c r="AN64" i="3"/>
  <c r="AM62" i="3"/>
  <c r="AM58" i="3"/>
  <c r="AM59" i="3"/>
  <c r="AM60" i="3"/>
  <c r="AM61" i="3"/>
  <c r="AM64" i="3"/>
  <c r="AL62" i="3"/>
  <c r="AL58" i="3"/>
  <c r="AL59" i="3"/>
  <c r="AL60" i="3"/>
  <c r="AL61" i="3"/>
  <c r="AL64" i="3"/>
  <c r="AK62" i="3"/>
  <c r="AK58" i="3"/>
  <c r="AK59" i="3"/>
  <c r="AK60" i="3"/>
  <c r="AK61" i="3"/>
  <c r="AK64" i="3"/>
  <c r="AJ62" i="3"/>
  <c r="AJ58" i="3"/>
  <c r="AJ59" i="3"/>
  <c r="AJ60" i="3"/>
  <c r="AJ61" i="3"/>
  <c r="AJ64" i="3"/>
  <c r="AI62" i="3"/>
  <c r="AI58" i="3"/>
  <c r="AI59" i="3"/>
  <c r="AI60" i="3"/>
  <c r="AI61" i="3"/>
  <c r="AI64" i="3"/>
  <c r="AH62" i="3"/>
  <c r="AH58" i="3"/>
  <c r="AH59" i="3"/>
  <c r="AH60" i="3"/>
  <c r="AH61" i="3"/>
  <c r="AH64" i="3"/>
  <c r="AG62" i="3"/>
  <c r="AG58" i="3"/>
  <c r="AG59" i="3"/>
  <c r="AG60" i="3"/>
  <c r="AG61" i="3"/>
  <c r="AG64" i="3"/>
  <c r="AF62" i="3"/>
  <c r="AF58" i="3"/>
  <c r="AF59" i="3"/>
  <c r="AF60" i="3"/>
  <c r="AF61" i="3"/>
  <c r="AF64" i="3"/>
  <c r="AE62" i="3"/>
  <c r="AE58" i="3"/>
  <c r="AE59" i="3"/>
  <c r="AE60" i="3"/>
  <c r="AE61" i="3"/>
  <c r="AE64" i="3"/>
  <c r="AD62" i="3"/>
  <c r="AD58" i="3"/>
  <c r="AD59" i="3"/>
  <c r="AD60" i="3"/>
  <c r="AD61" i="3"/>
  <c r="AD64" i="3"/>
  <c r="AC62" i="3"/>
  <c r="AC58" i="3"/>
  <c r="AC59" i="3"/>
  <c r="AC60" i="3"/>
  <c r="AC61" i="3"/>
  <c r="AC64" i="3"/>
  <c r="AB62" i="3"/>
  <c r="AB58" i="3"/>
  <c r="AB59" i="3"/>
  <c r="AB60" i="3"/>
  <c r="AB61" i="3"/>
  <c r="AB64" i="3"/>
  <c r="AA62" i="3"/>
  <c r="AA58" i="3"/>
  <c r="AA59" i="3"/>
  <c r="AA60" i="3"/>
  <c r="AA61" i="3"/>
  <c r="AA64" i="3"/>
  <c r="Z62" i="3"/>
  <c r="Z58" i="3"/>
  <c r="Z59" i="3"/>
  <c r="Z60" i="3"/>
  <c r="Z61" i="3"/>
  <c r="Z64" i="3"/>
  <c r="Y62" i="3"/>
  <c r="Y58" i="3"/>
  <c r="Y59" i="3"/>
  <c r="Y60" i="3"/>
  <c r="Y61" i="3"/>
  <c r="Y64" i="3"/>
  <c r="X62" i="3"/>
  <c r="X58" i="3"/>
  <c r="X59" i="3"/>
  <c r="X60" i="3"/>
  <c r="X61" i="3"/>
  <c r="X64" i="3"/>
  <c r="W62" i="3"/>
  <c r="W58" i="3"/>
  <c r="W59" i="3"/>
  <c r="W60" i="3"/>
  <c r="W61" i="3"/>
  <c r="W64" i="3"/>
  <c r="V62" i="3"/>
  <c r="V58" i="3"/>
  <c r="V59" i="3"/>
  <c r="V60" i="3"/>
  <c r="V61" i="3"/>
  <c r="V64" i="3"/>
  <c r="U62" i="3"/>
  <c r="U58" i="3"/>
  <c r="U59" i="3"/>
  <c r="U60" i="3"/>
  <c r="U61" i="3"/>
  <c r="U64" i="3"/>
  <c r="T62" i="3"/>
  <c r="T58" i="3"/>
  <c r="T59" i="3"/>
  <c r="T60" i="3"/>
  <c r="T61" i="3"/>
  <c r="T64" i="3"/>
  <c r="S62" i="3"/>
  <c r="S58" i="3"/>
  <c r="S59" i="3"/>
  <c r="S60" i="3"/>
  <c r="S61" i="3"/>
  <c r="S64" i="3"/>
  <c r="R62" i="3"/>
  <c r="R58" i="3"/>
  <c r="R59" i="3"/>
  <c r="R60" i="3"/>
  <c r="R61" i="3"/>
  <c r="R64" i="3"/>
  <c r="Q62" i="3"/>
  <c r="Q58" i="3"/>
  <c r="Q59" i="3"/>
  <c r="Q60" i="3"/>
  <c r="Q61" i="3"/>
  <c r="Q64" i="3"/>
  <c r="P62" i="3"/>
  <c r="P58" i="3"/>
  <c r="P59" i="3"/>
  <c r="P60" i="3"/>
  <c r="P61" i="3"/>
  <c r="P64" i="3"/>
  <c r="O62" i="3"/>
  <c r="O58" i="3"/>
  <c r="O59" i="3"/>
  <c r="O60" i="3"/>
  <c r="O61" i="3"/>
  <c r="O64" i="3"/>
  <c r="N62" i="3"/>
  <c r="N58" i="3"/>
  <c r="N59" i="3"/>
  <c r="N60" i="3"/>
  <c r="N61" i="3"/>
  <c r="N64" i="3"/>
  <c r="M64" i="3"/>
  <c r="L64" i="3"/>
  <c r="K64" i="3"/>
  <c r="J64" i="3"/>
  <c r="CK48" i="3"/>
  <c r="CK49" i="3"/>
  <c r="CK50" i="3"/>
  <c r="CK51" i="3"/>
  <c r="CK52" i="3"/>
  <c r="CK53" i="3"/>
  <c r="CK55" i="3"/>
  <c r="CJ48" i="3"/>
  <c r="CJ49" i="3"/>
  <c r="CJ50" i="3"/>
  <c r="CJ51" i="3"/>
  <c r="CJ52" i="3"/>
  <c r="CJ53" i="3"/>
  <c r="CJ55" i="3"/>
  <c r="CI48" i="3"/>
  <c r="CI49" i="3"/>
  <c r="CI50" i="3"/>
  <c r="CI51" i="3"/>
  <c r="CI52" i="3"/>
  <c r="CI53" i="3"/>
  <c r="CI55" i="3"/>
  <c r="CH48" i="3"/>
  <c r="CH49" i="3"/>
  <c r="CH50" i="3"/>
  <c r="CH51" i="3"/>
  <c r="CH52" i="3"/>
  <c r="CH53" i="3"/>
  <c r="CH55" i="3"/>
  <c r="CG48" i="3"/>
  <c r="CG49" i="3"/>
  <c r="CG50" i="3"/>
  <c r="CG51" i="3"/>
  <c r="CG52" i="3"/>
  <c r="CG53" i="3"/>
  <c r="CG55" i="3"/>
  <c r="CF48" i="3"/>
  <c r="CF49" i="3"/>
  <c r="CF50" i="3"/>
  <c r="CF51" i="3"/>
  <c r="CF52" i="3"/>
  <c r="CF53" i="3"/>
  <c r="CF55" i="3"/>
  <c r="CE48" i="3"/>
  <c r="CE49" i="3"/>
  <c r="CE50" i="3"/>
  <c r="CE51" i="3"/>
  <c r="CE52" i="3"/>
  <c r="CE53" i="3"/>
  <c r="CE55" i="3"/>
  <c r="CD48" i="3"/>
  <c r="CD49" i="3"/>
  <c r="CD50" i="3"/>
  <c r="CD51" i="3"/>
  <c r="CD52" i="3"/>
  <c r="CD53" i="3"/>
  <c r="CD55" i="3"/>
  <c r="CC48" i="3"/>
  <c r="CC49" i="3"/>
  <c r="CC50" i="3"/>
  <c r="CC51" i="3"/>
  <c r="CC52" i="3"/>
  <c r="CC53" i="3"/>
  <c r="CC55" i="3"/>
  <c r="CB48" i="3"/>
  <c r="CB49" i="3"/>
  <c r="CB50" i="3"/>
  <c r="CB51" i="3"/>
  <c r="CB52" i="3"/>
  <c r="CB53" i="3"/>
  <c r="CB55" i="3"/>
  <c r="CA48" i="3"/>
  <c r="CA49" i="3"/>
  <c r="CA50" i="3"/>
  <c r="CA51" i="3"/>
  <c r="CA52" i="3"/>
  <c r="CA53" i="3"/>
  <c r="CA55" i="3"/>
  <c r="BZ48" i="3"/>
  <c r="BZ49" i="3"/>
  <c r="BZ50" i="3"/>
  <c r="BZ51" i="3"/>
  <c r="BZ52" i="3"/>
  <c r="BZ53" i="3"/>
  <c r="BZ55" i="3"/>
  <c r="BY48" i="3"/>
  <c r="BY49" i="3"/>
  <c r="BY50" i="3"/>
  <c r="BY51" i="3"/>
  <c r="BY52" i="3"/>
  <c r="BY53" i="3"/>
  <c r="BY55" i="3"/>
  <c r="BX48" i="3"/>
  <c r="BX49" i="3"/>
  <c r="BX50" i="3"/>
  <c r="BX51" i="3"/>
  <c r="BX52" i="3"/>
  <c r="BX53" i="3"/>
  <c r="BX55" i="3"/>
  <c r="BW48" i="3"/>
  <c r="BW49" i="3"/>
  <c r="BW50" i="3"/>
  <c r="BW51" i="3"/>
  <c r="BW52" i="3"/>
  <c r="BW53" i="3"/>
  <c r="BW55" i="3"/>
  <c r="BV48" i="3"/>
  <c r="BV49" i="3"/>
  <c r="BV50" i="3"/>
  <c r="BV51" i="3"/>
  <c r="BV52" i="3"/>
  <c r="BV53" i="3"/>
  <c r="BV55" i="3"/>
  <c r="BU48" i="3"/>
  <c r="BU49" i="3"/>
  <c r="BU50" i="3"/>
  <c r="BU51" i="3"/>
  <c r="BU52" i="3"/>
  <c r="BU53" i="3"/>
  <c r="BU55" i="3"/>
  <c r="BT48" i="3"/>
  <c r="BT49" i="3"/>
  <c r="BT50" i="3"/>
  <c r="BT51" i="3"/>
  <c r="BT52" i="3"/>
  <c r="BT53" i="3"/>
  <c r="BT55" i="3"/>
  <c r="BS48" i="3"/>
  <c r="BS49" i="3"/>
  <c r="BS50" i="3"/>
  <c r="BS51" i="3"/>
  <c r="BS52" i="3"/>
  <c r="BS53" i="3"/>
  <c r="BS55" i="3"/>
  <c r="BR48" i="3"/>
  <c r="BR49" i="3"/>
  <c r="BR50" i="3"/>
  <c r="BR51" i="3"/>
  <c r="BR52" i="3"/>
  <c r="BR53" i="3"/>
  <c r="BR55" i="3"/>
  <c r="BQ48" i="3"/>
  <c r="BQ49" i="3"/>
  <c r="BQ50" i="3"/>
  <c r="BQ51" i="3"/>
  <c r="BQ52" i="3"/>
  <c r="BQ53" i="3"/>
  <c r="BQ55" i="3"/>
  <c r="BP48" i="3"/>
  <c r="BP49" i="3"/>
  <c r="BP50" i="3"/>
  <c r="BP51" i="3"/>
  <c r="BP52" i="3"/>
  <c r="BP53" i="3"/>
  <c r="BP55" i="3"/>
  <c r="BO48" i="3"/>
  <c r="BO49" i="3"/>
  <c r="BO50" i="3"/>
  <c r="BO51" i="3"/>
  <c r="BO52" i="3"/>
  <c r="BO53" i="3"/>
  <c r="BO55" i="3"/>
  <c r="BN48" i="3"/>
  <c r="BN49" i="3"/>
  <c r="BN50" i="3"/>
  <c r="BN51" i="3"/>
  <c r="BN52" i="3"/>
  <c r="BN53" i="3"/>
  <c r="BN55" i="3"/>
  <c r="BM48" i="3"/>
  <c r="BM49" i="3"/>
  <c r="BM50" i="3"/>
  <c r="BM51" i="3"/>
  <c r="BM52" i="3"/>
  <c r="BM53" i="3"/>
  <c r="BM55" i="3"/>
  <c r="BL48" i="3"/>
  <c r="BL49" i="3"/>
  <c r="BL50" i="3"/>
  <c r="BL51" i="3"/>
  <c r="BL52" i="3"/>
  <c r="BL53" i="3"/>
  <c r="BL55" i="3"/>
  <c r="BK48" i="3"/>
  <c r="BK49" i="3"/>
  <c r="BK50" i="3"/>
  <c r="BK51" i="3"/>
  <c r="BK52" i="3"/>
  <c r="BK53" i="3"/>
  <c r="BK55" i="3"/>
  <c r="BJ48" i="3"/>
  <c r="BJ49" i="3"/>
  <c r="BJ50" i="3"/>
  <c r="BJ51" i="3"/>
  <c r="BJ52" i="3"/>
  <c r="BJ53" i="3"/>
  <c r="BJ55" i="3"/>
  <c r="BI48" i="3"/>
  <c r="BI49" i="3"/>
  <c r="BI50" i="3"/>
  <c r="BI51" i="3"/>
  <c r="BI52" i="3"/>
  <c r="BI53" i="3"/>
  <c r="BI55" i="3"/>
  <c r="BH48" i="3"/>
  <c r="BH49" i="3"/>
  <c r="BH50" i="3"/>
  <c r="BH51" i="3"/>
  <c r="BH52" i="3"/>
  <c r="BH53" i="3"/>
  <c r="BH55" i="3"/>
  <c r="BG48" i="3"/>
  <c r="BG49" i="3"/>
  <c r="BG50" i="3"/>
  <c r="BG51" i="3"/>
  <c r="BG52" i="3"/>
  <c r="BG53" i="3"/>
  <c r="BG55" i="3"/>
  <c r="BF48" i="3"/>
  <c r="BF49" i="3"/>
  <c r="BF50" i="3"/>
  <c r="BF51" i="3"/>
  <c r="BF52" i="3"/>
  <c r="BF53" i="3"/>
  <c r="BF55" i="3"/>
  <c r="BE48" i="3"/>
  <c r="BE49" i="3"/>
  <c r="BE50" i="3"/>
  <c r="BE51" i="3"/>
  <c r="BE52" i="3"/>
  <c r="BE53" i="3"/>
  <c r="BE55" i="3"/>
  <c r="BD48" i="3"/>
  <c r="BD49" i="3"/>
  <c r="BD50" i="3"/>
  <c r="BD51" i="3"/>
  <c r="BD52" i="3"/>
  <c r="BD53" i="3"/>
  <c r="BD55" i="3"/>
  <c r="BC48" i="3"/>
  <c r="BC49" i="3"/>
  <c r="BC50" i="3"/>
  <c r="BC51" i="3"/>
  <c r="BC52" i="3"/>
  <c r="BC53" i="3"/>
  <c r="BC55" i="3"/>
  <c r="BB48" i="3"/>
  <c r="BB49" i="3"/>
  <c r="BB50" i="3"/>
  <c r="BB51" i="3"/>
  <c r="BB52" i="3"/>
  <c r="BB53" i="3"/>
  <c r="BB55" i="3"/>
  <c r="BA48" i="3"/>
  <c r="BA49" i="3"/>
  <c r="BA50" i="3"/>
  <c r="BA51" i="3"/>
  <c r="BA52" i="3"/>
  <c r="BA53" i="3"/>
  <c r="BA55" i="3"/>
  <c r="AZ48" i="3"/>
  <c r="AZ49" i="3"/>
  <c r="AZ50" i="3"/>
  <c r="AZ51" i="3"/>
  <c r="AZ52" i="3"/>
  <c r="AZ53" i="3"/>
  <c r="AZ55" i="3"/>
  <c r="AY48" i="3"/>
  <c r="AY49" i="3"/>
  <c r="AY50" i="3"/>
  <c r="AY51" i="3"/>
  <c r="AY52" i="3"/>
  <c r="AY53" i="3"/>
  <c r="AY55" i="3"/>
  <c r="AX48" i="3"/>
  <c r="AX49" i="3"/>
  <c r="AX50" i="3"/>
  <c r="AX51" i="3"/>
  <c r="AX52" i="3"/>
  <c r="AX53" i="3"/>
  <c r="AX55" i="3"/>
  <c r="AW48" i="3"/>
  <c r="AW49" i="3"/>
  <c r="AW50" i="3"/>
  <c r="AW51" i="3"/>
  <c r="AW52" i="3"/>
  <c r="AW53" i="3"/>
  <c r="AW55" i="3"/>
  <c r="AV48" i="3"/>
  <c r="AV49" i="3"/>
  <c r="AV50" i="3"/>
  <c r="AV51" i="3"/>
  <c r="AV52" i="3"/>
  <c r="AV53" i="3"/>
  <c r="AV55" i="3"/>
  <c r="AU48" i="3"/>
  <c r="AU49" i="3"/>
  <c r="AU50" i="3"/>
  <c r="AU51" i="3"/>
  <c r="AU52" i="3"/>
  <c r="AU53" i="3"/>
  <c r="AU55" i="3"/>
  <c r="AT48" i="3"/>
  <c r="AT49" i="3"/>
  <c r="AT50" i="3"/>
  <c r="AT51" i="3"/>
  <c r="AT52" i="3"/>
  <c r="AT53" i="3"/>
  <c r="AT55" i="3"/>
  <c r="AS48" i="3"/>
  <c r="AS49" i="3"/>
  <c r="AS50" i="3"/>
  <c r="AS51" i="3"/>
  <c r="AS52" i="3"/>
  <c r="AS53" i="3"/>
  <c r="AS55" i="3"/>
  <c r="AR48" i="3"/>
  <c r="AR49" i="3"/>
  <c r="AR50" i="3"/>
  <c r="AR51" i="3"/>
  <c r="AR52" i="3"/>
  <c r="AR53" i="3"/>
  <c r="AR55" i="3"/>
  <c r="AQ48" i="3"/>
  <c r="AQ49" i="3"/>
  <c r="AQ50" i="3"/>
  <c r="AQ51" i="3"/>
  <c r="AQ52" i="3"/>
  <c r="AQ53" i="3"/>
  <c r="AQ55" i="3"/>
  <c r="AP48" i="3"/>
  <c r="AP49" i="3"/>
  <c r="AP50" i="3"/>
  <c r="AP51" i="3"/>
  <c r="AP52" i="3"/>
  <c r="AP53" i="3"/>
  <c r="AP55" i="3"/>
  <c r="AO48" i="3"/>
  <c r="AO49" i="3"/>
  <c r="AO50" i="3"/>
  <c r="AO51" i="3"/>
  <c r="AO52" i="3"/>
  <c r="AO53" i="3"/>
  <c r="AO55" i="3"/>
  <c r="AN48" i="3"/>
  <c r="AN49" i="3"/>
  <c r="AN50" i="3"/>
  <c r="AN51" i="3"/>
  <c r="AN52" i="3"/>
  <c r="AN53" i="3"/>
  <c r="AN55" i="3"/>
  <c r="AM48" i="3"/>
  <c r="AM49" i="3"/>
  <c r="AM50" i="3"/>
  <c r="AM51" i="3"/>
  <c r="AM52" i="3"/>
  <c r="AM53" i="3"/>
  <c r="AM55" i="3"/>
  <c r="AL48" i="3"/>
  <c r="AL49" i="3"/>
  <c r="AL50" i="3"/>
  <c r="AL51" i="3"/>
  <c r="AL52" i="3"/>
  <c r="AL53" i="3"/>
  <c r="AL55" i="3"/>
  <c r="AK48" i="3"/>
  <c r="AK49" i="3"/>
  <c r="AK50" i="3"/>
  <c r="AK51" i="3"/>
  <c r="AK52" i="3"/>
  <c r="AK53" i="3"/>
  <c r="AK55" i="3"/>
  <c r="AJ48" i="3"/>
  <c r="AJ49" i="3"/>
  <c r="AJ50" i="3"/>
  <c r="AJ51" i="3"/>
  <c r="AJ52" i="3"/>
  <c r="AJ53" i="3"/>
  <c r="AJ55" i="3"/>
  <c r="AI48" i="3"/>
  <c r="AI49" i="3"/>
  <c r="AI50" i="3"/>
  <c r="AI51" i="3"/>
  <c r="AI52" i="3"/>
  <c r="AI53" i="3"/>
  <c r="AI55" i="3"/>
  <c r="AH48" i="3"/>
  <c r="AH49" i="3"/>
  <c r="AH50" i="3"/>
  <c r="AH51" i="3"/>
  <c r="AH52" i="3"/>
  <c r="AH53" i="3"/>
  <c r="AH55" i="3"/>
  <c r="AG48" i="3"/>
  <c r="AG49" i="3"/>
  <c r="AG50" i="3"/>
  <c r="AG51" i="3"/>
  <c r="AG52" i="3"/>
  <c r="AG53" i="3"/>
  <c r="AG55" i="3"/>
  <c r="AF48" i="3"/>
  <c r="AF49" i="3"/>
  <c r="AF50" i="3"/>
  <c r="AF51" i="3"/>
  <c r="AF52" i="3"/>
  <c r="AF53" i="3"/>
  <c r="AF55" i="3"/>
  <c r="AE48" i="3"/>
  <c r="AE49" i="3"/>
  <c r="AE50" i="3"/>
  <c r="AE51" i="3"/>
  <c r="AE52" i="3"/>
  <c r="AE53" i="3"/>
  <c r="AE55" i="3"/>
  <c r="AD48" i="3"/>
  <c r="AD49" i="3"/>
  <c r="AD50" i="3"/>
  <c r="AD51" i="3"/>
  <c r="AD52" i="3"/>
  <c r="AD53" i="3"/>
  <c r="AD55" i="3"/>
  <c r="AC48" i="3"/>
  <c r="AC49" i="3"/>
  <c r="AC50" i="3"/>
  <c r="AC51" i="3"/>
  <c r="AC52" i="3"/>
  <c r="AC53" i="3"/>
  <c r="AC55" i="3"/>
  <c r="AB48" i="3"/>
  <c r="AB49" i="3"/>
  <c r="AB50" i="3"/>
  <c r="AB51" i="3"/>
  <c r="AB52" i="3"/>
  <c r="AB53" i="3"/>
  <c r="AB55" i="3"/>
  <c r="AA48" i="3"/>
  <c r="AA49" i="3"/>
  <c r="AA50" i="3"/>
  <c r="AA51" i="3"/>
  <c r="AA52" i="3"/>
  <c r="AA53" i="3"/>
  <c r="AA55" i="3"/>
  <c r="Z48" i="3"/>
  <c r="Z49" i="3"/>
  <c r="Z50" i="3"/>
  <c r="Z51" i="3"/>
  <c r="Z52" i="3"/>
  <c r="Z53" i="3"/>
  <c r="Z55" i="3"/>
  <c r="Y48" i="3"/>
  <c r="Y49" i="3"/>
  <c r="Y50" i="3"/>
  <c r="Y51" i="3"/>
  <c r="Y52" i="3"/>
  <c r="Y53" i="3"/>
  <c r="Y55" i="3"/>
  <c r="X48" i="3"/>
  <c r="X49" i="3"/>
  <c r="X50" i="3"/>
  <c r="X51" i="3"/>
  <c r="X52" i="3"/>
  <c r="X53" i="3"/>
  <c r="X55" i="3"/>
  <c r="W48" i="3"/>
  <c r="W49" i="3"/>
  <c r="W50" i="3"/>
  <c r="W51" i="3"/>
  <c r="W52" i="3"/>
  <c r="W53" i="3"/>
  <c r="W55" i="3"/>
  <c r="V48" i="3"/>
  <c r="V49" i="3"/>
  <c r="V50" i="3"/>
  <c r="V51" i="3"/>
  <c r="V52" i="3"/>
  <c r="V53" i="3"/>
  <c r="V55" i="3"/>
  <c r="U48" i="3"/>
  <c r="U49" i="3"/>
  <c r="U50" i="3"/>
  <c r="U51" i="3"/>
  <c r="U52" i="3"/>
  <c r="U53" i="3"/>
  <c r="U55" i="3"/>
  <c r="T48" i="3"/>
  <c r="T49" i="3"/>
  <c r="T50" i="3"/>
  <c r="T51" i="3"/>
  <c r="T52" i="3"/>
  <c r="T53" i="3"/>
  <c r="T55" i="3"/>
  <c r="S48" i="3"/>
  <c r="S49" i="3"/>
  <c r="S50" i="3"/>
  <c r="S51" i="3"/>
  <c r="S52" i="3"/>
  <c r="S53" i="3"/>
  <c r="S55" i="3"/>
  <c r="R48" i="3"/>
  <c r="R49" i="3"/>
  <c r="R50" i="3"/>
  <c r="R51" i="3"/>
  <c r="R52" i="3"/>
  <c r="R53" i="3"/>
  <c r="R55" i="3"/>
  <c r="Q48" i="3"/>
  <c r="Q49" i="3"/>
  <c r="Q50" i="3"/>
  <c r="Q51" i="3"/>
  <c r="Q52" i="3"/>
  <c r="Q53" i="3"/>
  <c r="Q55" i="3"/>
  <c r="P48" i="3"/>
  <c r="P49" i="3"/>
  <c r="P50" i="3"/>
  <c r="P51" i="3"/>
  <c r="P52" i="3"/>
  <c r="P53" i="3"/>
  <c r="P55" i="3"/>
  <c r="O48" i="3"/>
  <c r="O49" i="3"/>
  <c r="O50" i="3"/>
  <c r="O51" i="3"/>
  <c r="O52" i="3"/>
  <c r="O53" i="3"/>
  <c r="O55" i="3"/>
  <c r="N48" i="3"/>
  <c r="N49" i="3"/>
  <c r="N50" i="3"/>
  <c r="N51" i="3"/>
  <c r="N52" i="3"/>
  <c r="N53" i="3"/>
  <c r="N55" i="3"/>
  <c r="M55" i="3"/>
  <c r="L55" i="3"/>
  <c r="K55" i="3"/>
  <c r="J55" i="3"/>
  <c r="H42" i="2"/>
  <c r="H69" i="2"/>
  <c r="H70" i="2"/>
  <c r="H75" i="2"/>
  <c r="H71" i="2"/>
  <c r="H73" i="2"/>
  <c r="H72" i="2"/>
  <c r="H74" i="2"/>
  <c r="H76" i="2"/>
  <c r="H77" i="2"/>
  <c r="H78" i="2"/>
  <c r="I78" i="2"/>
  <c r="H90" i="2"/>
  <c r="H58" i="2"/>
  <c r="H57" i="2"/>
  <c r="H59" i="2"/>
  <c r="H54" i="2"/>
  <c r="H66" i="2"/>
  <c r="I66" i="2"/>
  <c r="H86" i="2"/>
  <c r="H87" i="2"/>
  <c r="AR78" i="2"/>
  <c r="AS78" i="2"/>
  <c r="AR90" i="2"/>
  <c r="AP78" i="2"/>
  <c r="AQ78" i="2"/>
  <c r="AP90" i="2"/>
  <c r="AN78" i="2"/>
  <c r="AO78" i="2"/>
  <c r="AN90" i="2"/>
  <c r="AL78" i="2"/>
  <c r="AM78" i="2"/>
  <c r="AL90" i="2"/>
  <c r="AJ78" i="2"/>
  <c r="AK78" i="2"/>
  <c r="AJ90" i="2"/>
  <c r="AH78" i="2"/>
  <c r="AI78" i="2"/>
  <c r="AH90" i="2"/>
  <c r="AF78" i="2"/>
  <c r="AG78" i="2"/>
  <c r="AF90" i="2"/>
  <c r="AD78" i="2"/>
  <c r="AE78" i="2"/>
  <c r="AD90" i="2"/>
  <c r="AB78" i="2"/>
  <c r="AC78" i="2"/>
  <c r="AB90" i="2"/>
  <c r="Z78" i="2"/>
  <c r="AA78" i="2"/>
  <c r="Z90" i="2"/>
  <c r="X78" i="2"/>
  <c r="Y78" i="2"/>
  <c r="X90" i="2"/>
  <c r="V78" i="2"/>
  <c r="W78" i="2"/>
  <c r="V90" i="2"/>
  <c r="T78" i="2"/>
  <c r="U78" i="2"/>
  <c r="T90" i="2"/>
  <c r="R78" i="2"/>
  <c r="S78" i="2"/>
  <c r="R90" i="2"/>
  <c r="P78" i="2"/>
  <c r="Q78" i="2"/>
  <c r="P90" i="2"/>
  <c r="N78" i="2"/>
  <c r="O78" i="2"/>
  <c r="N90" i="2"/>
  <c r="L78" i="2"/>
  <c r="M78" i="2"/>
  <c r="L90" i="2"/>
  <c r="J78" i="2"/>
  <c r="K78" i="2"/>
  <c r="J90" i="2"/>
  <c r="AR66" i="2"/>
  <c r="AS66" i="2"/>
  <c r="AR86" i="2"/>
  <c r="AR87" i="2"/>
  <c r="AP66" i="2"/>
  <c r="AQ66" i="2"/>
  <c r="AP86" i="2"/>
  <c r="AP87" i="2"/>
  <c r="AN66" i="2"/>
  <c r="AO66" i="2"/>
  <c r="AN86" i="2"/>
  <c r="AN87" i="2"/>
  <c r="AL66" i="2"/>
  <c r="AM66" i="2"/>
  <c r="AL86" i="2"/>
  <c r="AL87" i="2"/>
  <c r="AJ66" i="2"/>
  <c r="AK66" i="2"/>
  <c r="AJ86" i="2"/>
  <c r="AJ87" i="2"/>
  <c r="AH66" i="2"/>
  <c r="AI66" i="2"/>
  <c r="AH86" i="2"/>
  <c r="AH87" i="2"/>
  <c r="AF66" i="2"/>
  <c r="AG66" i="2"/>
  <c r="AF86" i="2"/>
  <c r="AF87" i="2"/>
  <c r="AD66" i="2"/>
  <c r="AE66" i="2"/>
  <c r="AD86" i="2"/>
  <c r="AD87" i="2"/>
  <c r="AB66" i="2"/>
  <c r="AC66" i="2"/>
  <c r="AB86" i="2"/>
  <c r="AB87" i="2"/>
  <c r="Z66" i="2"/>
  <c r="AA66" i="2"/>
  <c r="Z86" i="2"/>
  <c r="Z87" i="2"/>
  <c r="X66" i="2"/>
  <c r="Y66" i="2"/>
  <c r="X86" i="2"/>
  <c r="X87" i="2"/>
  <c r="V66" i="2"/>
  <c r="W66" i="2"/>
  <c r="V86" i="2"/>
  <c r="V87" i="2"/>
  <c r="T66" i="2"/>
  <c r="U66" i="2"/>
  <c r="T86" i="2"/>
  <c r="T87" i="2"/>
  <c r="R66" i="2"/>
  <c r="S66" i="2"/>
  <c r="R86" i="2"/>
  <c r="R87" i="2"/>
  <c r="P66" i="2"/>
  <c r="Q66" i="2"/>
  <c r="P86" i="2"/>
  <c r="P87" i="2"/>
  <c r="N66" i="2"/>
  <c r="O66" i="2"/>
  <c r="N86" i="2"/>
  <c r="N87" i="2"/>
  <c r="L66" i="2"/>
  <c r="M66" i="2"/>
  <c r="L86" i="2"/>
  <c r="L87" i="2"/>
  <c r="J66" i="2"/>
  <c r="K66" i="2"/>
  <c r="J86" i="2"/>
  <c r="J87" i="2"/>
  <c r="AR84" i="2"/>
  <c r="AP84" i="2"/>
  <c r="AN84" i="2"/>
  <c r="AL84" i="2"/>
  <c r="AJ84" i="2"/>
  <c r="AH84" i="2"/>
  <c r="AF84" i="2"/>
  <c r="AD84" i="2"/>
  <c r="AB84" i="2"/>
  <c r="Z84" i="2"/>
  <c r="X84" i="2"/>
  <c r="V84" i="2"/>
  <c r="T84" i="2"/>
  <c r="R84" i="2"/>
  <c r="P84" i="2"/>
  <c r="N84" i="2"/>
  <c r="L84" i="2"/>
  <c r="J84" i="2"/>
  <c r="H84" i="2"/>
  <c r="AS69" i="2"/>
  <c r="AS70" i="2"/>
  <c r="AS75" i="2"/>
  <c r="AS71" i="2"/>
  <c r="AS73" i="2"/>
  <c r="AS72" i="2"/>
  <c r="AS74" i="2"/>
  <c r="AS76" i="2"/>
  <c r="AS77" i="2"/>
  <c r="AS42" i="2"/>
  <c r="AS79" i="2"/>
  <c r="AR69" i="2"/>
  <c r="AR70" i="2"/>
  <c r="AR75" i="2"/>
  <c r="AR71" i="2"/>
  <c r="AR73" i="2"/>
  <c r="AR72" i="2"/>
  <c r="AR74" i="2"/>
  <c r="AR76" i="2"/>
  <c r="AR77" i="2"/>
  <c r="AR42" i="2"/>
  <c r="AR79" i="2"/>
  <c r="AQ69" i="2"/>
  <c r="AQ70" i="2"/>
  <c r="AQ75" i="2"/>
  <c r="AQ71" i="2"/>
  <c r="AQ73" i="2"/>
  <c r="AQ72" i="2"/>
  <c r="AQ74" i="2"/>
  <c r="AQ76" i="2"/>
  <c r="AQ77" i="2"/>
  <c r="AQ42" i="2"/>
  <c r="AQ79" i="2"/>
  <c r="AP69" i="2"/>
  <c r="AP70" i="2"/>
  <c r="AP75" i="2"/>
  <c r="AP71" i="2"/>
  <c r="AP73" i="2"/>
  <c r="AP72" i="2"/>
  <c r="AP74" i="2"/>
  <c r="AP76" i="2"/>
  <c r="AP77" i="2"/>
  <c r="AP42" i="2"/>
  <c r="AP79" i="2"/>
  <c r="AO69" i="2"/>
  <c r="AO70" i="2"/>
  <c r="AO75" i="2"/>
  <c r="AO71" i="2"/>
  <c r="AO73" i="2"/>
  <c r="AO72" i="2"/>
  <c r="AO74" i="2"/>
  <c r="AO76" i="2"/>
  <c r="AO77" i="2"/>
  <c r="AO42" i="2"/>
  <c r="AO79" i="2"/>
  <c r="AN69" i="2"/>
  <c r="AN70" i="2"/>
  <c r="AN75" i="2"/>
  <c r="AN71" i="2"/>
  <c r="AN73" i="2"/>
  <c r="AN72" i="2"/>
  <c r="AN74" i="2"/>
  <c r="AN76" i="2"/>
  <c r="AN77" i="2"/>
  <c r="AN42" i="2"/>
  <c r="AN79" i="2"/>
  <c r="AM69" i="2"/>
  <c r="AM70" i="2"/>
  <c r="AM75" i="2"/>
  <c r="AM71" i="2"/>
  <c r="AM73" i="2"/>
  <c r="AM72" i="2"/>
  <c r="AM74" i="2"/>
  <c r="AM76" i="2"/>
  <c r="AM77" i="2"/>
  <c r="AM42" i="2"/>
  <c r="AM79" i="2"/>
  <c r="AL69" i="2"/>
  <c r="AL70" i="2"/>
  <c r="AL75" i="2"/>
  <c r="AL71" i="2"/>
  <c r="AL73" i="2"/>
  <c r="AL72" i="2"/>
  <c r="AL74" i="2"/>
  <c r="AL76" i="2"/>
  <c r="AL77" i="2"/>
  <c r="AL42" i="2"/>
  <c r="AL79" i="2"/>
  <c r="AK69" i="2"/>
  <c r="AK70" i="2"/>
  <c r="AK75" i="2"/>
  <c r="AK71" i="2"/>
  <c r="AK73" i="2"/>
  <c r="AK72" i="2"/>
  <c r="AK74" i="2"/>
  <c r="AK76" i="2"/>
  <c r="AK77" i="2"/>
  <c r="AK42" i="2"/>
  <c r="AK79" i="2"/>
  <c r="AJ69" i="2"/>
  <c r="AJ70" i="2"/>
  <c r="AJ75" i="2"/>
  <c r="AJ71" i="2"/>
  <c r="AJ73" i="2"/>
  <c r="AJ72" i="2"/>
  <c r="AJ74" i="2"/>
  <c r="AJ76" i="2"/>
  <c r="AJ77" i="2"/>
  <c r="AJ42" i="2"/>
  <c r="AJ79" i="2"/>
  <c r="AI69" i="2"/>
  <c r="AI70" i="2"/>
  <c r="AI75" i="2"/>
  <c r="AI71" i="2"/>
  <c r="AI73" i="2"/>
  <c r="AI72" i="2"/>
  <c r="AI74" i="2"/>
  <c r="AI76" i="2"/>
  <c r="AI77" i="2"/>
  <c r="AI42" i="2"/>
  <c r="AI79" i="2"/>
  <c r="AH69" i="2"/>
  <c r="AH70" i="2"/>
  <c r="AH75" i="2"/>
  <c r="AH71" i="2"/>
  <c r="AH73" i="2"/>
  <c r="AH72" i="2"/>
  <c r="AH74" i="2"/>
  <c r="AH76" i="2"/>
  <c r="AH77" i="2"/>
  <c r="AH42" i="2"/>
  <c r="AH79" i="2"/>
  <c r="AG69" i="2"/>
  <c r="AG70" i="2"/>
  <c r="AG75" i="2"/>
  <c r="AG71" i="2"/>
  <c r="AG73" i="2"/>
  <c r="AG72" i="2"/>
  <c r="AG74" i="2"/>
  <c r="AG76" i="2"/>
  <c r="AG77" i="2"/>
  <c r="AG42" i="2"/>
  <c r="AG79" i="2"/>
  <c r="AF69" i="2"/>
  <c r="AF70" i="2"/>
  <c r="AF75" i="2"/>
  <c r="AF71" i="2"/>
  <c r="AF73" i="2"/>
  <c r="AF72" i="2"/>
  <c r="AF74" i="2"/>
  <c r="AF76" i="2"/>
  <c r="AF77" i="2"/>
  <c r="AF42" i="2"/>
  <c r="AF79" i="2"/>
  <c r="AE69" i="2"/>
  <c r="AE70" i="2"/>
  <c r="AE75" i="2"/>
  <c r="AE71" i="2"/>
  <c r="AE73" i="2"/>
  <c r="AE72" i="2"/>
  <c r="AE74" i="2"/>
  <c r="AE76" i="2"/>
  <c r="AE77" i="2"/>
  <c r="AE42" i="2"/>
  <c r="AE79" i="2"/>
  <c r="AD69" i="2"/>
  <c r="AD70" i="2"/>
  <c r="AD75" i="2"/>
  <c r="AD71" i="2"/>
  <c r="AD73" i="2"/>
  <c r="AD72" i="2"/>
  <c r="AD74" i="2"/>
  <c r="AD76" i="2"/>
  <c r="AD77" i="2"/>
  <c r="AD42" i="2"/>
  <c r="AD79" i="2"/>
  <c r="AC69" i="2"/>
  <c r="AC70" i="2"/>
  <c r="AC75" i="2"/>
  <c r="AC71" i="2"/>
  <c r="AC73" i="2"/>
  <c r="AC72" i="2"/>
  <c r="AC74" i="2"/>
  <c r="AC76" i="2"/>
  <c r="AC77" i="2"/>
  <c r="AC42" i="2"/>
  <c r="AC79" i="2"/>
  <c r="AB69" i="2"/>
  <c r="AB70" i="2"/>
  <c r="AB75" i="2"/>
  <c r="AB71" i="2"/>
  <c r="AB73" i="2"/>
  <c r="AB72" i="2"/>
  <c r="AB74" i="2"/>
  <c r="AB76" i="2"/>
  <c r="AB77" i="2"/>
  <c r="AB42" i="2"/>
  <c r="AB79" i="2"/>
  <c r="AA69" i="2"/>
  <c r="AA70" i="2"/>
  <c r="AA75" i="2"/>
  <c r="AA71" i="2"/>
  <c r="AA73" i="2"/>
  <c r="AA72" i="2"/>
  <c r="AA74" i="2"/>
  <c r="AA76" i="2"/>
  <c r="AA77" i="2"/>
  <c r="AA42" i="2"/>
  <c r="AA79" i="2"/>
  <c r="Z69" i="2"/>
  <c r="Z70" i="2"/>
  <c r="Z75" i="2"/>
  <c r="Z71" i="2"/>
  <c r="Z73" i="2"/>
  <c r="Z72" i="2"/>
  <c r="Z74" i="2"/>
  <c r="Z76" i="2"/>
  <c r="Z77" i="2"/>
  <c r="Z42" i="2"/>
  <c r="Z79" i="2"/>
  <c r="Y69" i="2"/>
  <c r="Y70" i="2"/>
  <c r="Y75" i="2"/>
  <c r="Y71" i="2"/>
  <c r="Y73" i="2"/>
  <c r="Y72" i="2"/>
  <c r="Y74" i="2"/>
  <c r="Y76" i="2"/>
  <c r="Y77" i="2"/>
  <c r="Y42" i="2"/>
  <c r="Y79" i="2"/>
  <c r="X69" i="2"/>
  <c r="X70" i="2"/>
  <c r="X75" i="2"/>
  <c r="X71" i="2"/>
  <c r="X73" i="2"/>
  <c r="X72" i="2"/>
  <c r="X74" i="2"/>
  <c r="X76" i="2"/>
  <c r="X77" i="2"/>
  <c r="X42" i="2"/>
  <c r="X79" i="2"/>
  <c r="W69" i="2"/>
  <c r="W70" i="2"/>
  <c r="W75" i="2"/>
  <c r="W71" i="2"/>
  <c r="W73" i="2"/>
  <c r="W72" i="2"/>
  <c r="W74" i="2"/>
  <c r="W76" i="2"/>
  <c r="W77" i="2"/>
  <c r="W42" i="2"/>
  <c r="W79" i="2"/>
  <c r="V69" i="2"/>
  <c r="V70" i="2"/>
  <c r="V75" i="2"/>
  <c r="V71" i="2"/>
  <c r="V73" i="2"/>
  <c r="V72" i="2"/>
  <c r="V74" i="2"/>
  <c r="V76" i="2"/>
  <c r="V77" i="2"/>
  <c r="V42" i="2"/>
  <c r="V79" i="2"/>
  <c r="U69" i="2"/>
  <c r="U70" i="2"/>
  <c r="U75" i="2"/>
  <c r="U71" i="2"/>
  <c r="U73" i="2"/>
  <c r="U72" i="2"/>
  <c r="U74" i="2"/>
  <c r="U76" i="2"/>
  <c r="U77" i="2"/>
  <c r="U42" i="2"/>
  <c r="U79" i="2"/>
  <c r="T69" i="2"/>
  <c r="T70" i="2"/>
  <c r="T75" i="2"/>
  <c r="T71" i="2"/>
  <c r="T73" i="2"/>
  <c r="T72" i="2"/>
  <c r="T74" i="2"/>
  <c r="T76" i="2"/>
  <c r="T77" i="2"/>
  <c r="T42" i="2"/>
  <c r="T79" i="2"/>
  <c r="S69" i="2"/>
  <c r="S70" i="2"/>
  <c r="S75" i="2"/>
  <c r="S71" i="2"/>
  <c r="S73" i="2"/>
  <c r="S72" i="2"/>
  <c r="S74" i="2"/>
  <c r="S76" i="2"/>
  <c r="S77" i="2"/>
  <c r="S42" i="2"/>
  <c r="S79" i="2"/>
  <c r="R69" i="2"/>
  <c r="R70" i="2"/>
  <c r="R75" i="2"/>
  <c r="R71" i="2"/>
  <c r="R73" i="2"/>
  <c r="R72" i="2"/>
  <c r="R74" i="2"/>
  <c r="R76" i="2"/>
  <c r="R77" i="2"/>
  <c r="R42" i="2"/>
  <c r="R79" i="2"/>
  <c r="Q69" i="2"/>
  <c r="Q70" i="2"/>
  <c r="Q75" i="2"/>
  <c r="Q71" i="2"/>
  <c r="Q73" i="2"/>
  <c r="Q72" i="2"/>
  <c r="Q74" i="2"/>
  <c r="Q76" i="2"/>
  <c r="Q77" i="2"/>
  <c r="Q42" i="2"/>
  <c r="Q79" i="2"/>
  <c r="P69" i="2"/>
  <c r="P70" i="2"/>
  <c r="P75" i="2"/>
  <c r="P71" i="2"/>
  <c r="P73" i="2"/>
  <c r="P72" i="2"/>
  <c r="P74" i="2"/>
  <c r="P76" i="2"/>
  <c r="P77" i="2"/>
  <c r="P42" i="2"/>
  <c r="P79" i="2"/>
  <c r="O69" i="2"/>
  <c r="O70" i="2"/>
  <c r="O75" i="2"/>
  <c r="O71" i="2"/>
  <c r="O73" i="2"/>
  <c r="O72" i="2"/>
  <c r="O74" i="2"/>
  <c r="O76" i="2"/>
  <c r="O77" i="2"/>
  <c r="O42" i="2"/>
  <c r="O79" i="2"/>
  <c r="N69" i="2"/>
  <c r="N70" i="2"/>
  <c r="N75" i="2"/>
  <c r="N71" i="2"/>
  <c r="N73" i="2"/>
  <c r="N72" i="2"/>
  <c r="N74" i="2"/>
  <c r="N76" i="2"/>
  <c r="N77" i="2"/>
  <c r="N42" i="2"/>
  <c r="N79" i="2"/>
  <c r="M69" i="2"/>
  <c r="M70" i="2"/>
  <c r="M75" i="2"/>
  <c r="M71" i="2"/>
  <c r="M73" i="2"/>
  <c r="M72" i="2"/>
  <c r="M74" i="2"/>
  <c r="M76" i="2"/>
  <c r="M77" i="2"/>
  <c r="M42" i="2"/>
  <c r="M79" i="2"/>
  <c r="L69" i="2"/>
  <c r="L70" i="2"/>
  <c r="L75" i="2"/>
  <c r="L71" i="2"/>
  <c r="L73" i="2"/>
  <c r="L72" i="2"/>
  <c r="L74" i="2"/>
  <c r="L76" i="2"/>
  <c r="L77" i="2"/>
  <c r="L42" i="2"/>
  <c r="L79" i="2"/>
  <c r="K69" i="2"/>
  <c r="K70" i="2"/>
  <c r="K75" i="2"/>
  <c r="K71" i="2"/>
  <c r="K73" i="2"/>
  <c r="K72" i="2"/>
  <c r="K74" i="2"/>
  <c r="K76" i="2"/>
  <c r="K77" i="2"/>
  <c r="K42" i="2"/>
  <c r="K79" i="2"/>
  <c r="J69" i="2"/>
  <c r="J70" i="2"/>
  <c r="J75" i="2"/>
  <c r="J71" i="2"/>
  <c r="J73" i="2"/>
  <c r="J72" i="2"/>
  <c r="J74" i="2"/>
  <c r="J76" i="2"/>
  <c r="J77" i="2"/>
  <c r="J42" i="2"/>
  <c r="J79" i="2"/>
  <c r="I69" i="2"/>
  <c r="I70" i="2"/>
  <c r="I75" i="2"/>
  <c r="I71" i="2"/>
  <c r="I73" i="2"/>
  <c r="I72" i="2"/>
  <c r="I74" i="2"/>
  <c r="I76" i="2"/>
  <c r="I77" i="2"/>
  <c r="I42" i="2"/>
  <c r="I79" i="2"/>
  <c r="H79" i="2"/>
  <c r="AS58" i="2"/>
  <c r="AS57" i="2"/>
  <c r="AS59" i="2"/>
  <c r="AS54" i="2"/>
  <c r="AS67" i="2"/>
  <c r="AR58" i="2"/>
  <c r="AR57" i="2"/>
  <c r="AR59" i="2"/>
  <c r="AR54" i="2"/>
  <c r="AR67" i="2"/>
  <c r="AQ58" i="2"/>
  <c r="AQ57" i="2"/>
  <c r="AQ59" i="2"/>
  <c r="AQ54" i="2"/>
  <c r="AQ67" i="2"/>
  <c r="AP58" i="2"/>
  <c r="AP57" i="2"/>
  <c r="AP59" i="2"/>
  <c r="AP54" i="2"/>
  <c r="AP67" i="2"/>
  <c r="AO58" i="2"/>
  <c r="AO57" i="2"/>
  <c r="AO59" i="2"/>
  <c r="AO54" i="2"/>
  <c r="AO67" i="2"/>
  <c r="AN58" i="2"/>
  <c r="AN57" i="2"/>
  <c r="AN59" i="2"/>
  <c r="AN54" i="2"/>
  <c r="AN67" i="2"/>
  <c r="AM58" i="2"/>
  <c r="AM57" i="2"/>
  <c r="AM59" i="2"/>
  <c r="AM54" i="2"/>
  <c r="AM67" i="2"/>
  <c r="AL58" i="2"/>
  <c r="AL57" i="2"/>
  <c r="AL59" i="2"/>
  <c r="AL54" i="2"/>
  <c r="AL67" i="2"/>
  <c r="AK58" i="2"/>
  <c r="AK57" i="2"/>
  <c r="AK59" i="2"/>
  <c r="AK54" i="2"/>
  <c r="AK67" i="2"/>
  <c r="AJ58" i="2"/>
  <c r="AJ57" i="2"/>
  <c r="AJ59" i="2"/>
  <c r="AJ54" i="2"/>
  <c r="AJ67" i="2"/>
  <c r="AI58" i="2"/>
  <c r="AI57" i="2"/>
  <c r="AI59" i="2"/>
  <c r="AI54" i="2"/>
  <c r="AI67" i="2"/>
  <c r="AH58" i="2"/>
  <c r="AH57" i="2"/>
  <c r="AH59" i="2"/>
  <c r="AH54" i="2"/>
  <c r="AH67" i="2"/>
  <c r="AG58" i="2"/>
  <c r="AG57" i="2"/>
  <c r="AG59" i="2"/>
  <c r="AG54" i="2"/>
  <c r="AG67" i="2"/>
  <c r="AF58" i="2"/>
  <c r="AF57" i="2"/>
  <c r="AF59" i="2"/>
  <c r="AF54" i="2"/>
  <c r="AF67" i="2"/>
  <c r="AE58" i="2"/>
  <c r="AE57" i="2"/>
  <c r="AE59" i="2"/>
  <c r="AE54" i="2"/>
  <c r="AE67" i="2"/>
  <c r="AD58" i="2"/>
  <c r="AD57" i="2"/>
  <c r="AD59" i="2"/>
  <c r="AD54" i="2"/>
  <c r="AD67" i="2"/>
  <c r="AC58" i="2"/>
  <c r="AC57" i="2"/>
  <c r="AC59" i="2"/>
  <c r="AC54" i="2"/>
  <c r="AC67" i="2"/>
  <c r="AB58" i="2"/>
  <c r="AB57" i="2"/>
  <c r="AB59" i="2"/>
  <c r="AB54" i="2"/>
  <c r="AB67" i="2"/>
  <c r="AA58" i="2"/>
  <c r="AA57" i="2"/>
  <c r="AA59" i="2"/>
  <c r="AA54" i="2"/>
  <c r="AA67" i="2"/>
  <c r="Z58" i="2"/>
  <c r="Z57" i="2"/>
  <c r="Z59" i="2"/>
  <c r="Z54" i="2"/>
  <c r="Z67" i="2"/>
  <c r="Y58" i="2"/>
  <c r="Y57" i="2"/>
  <c r="Y59" i="2"/>
  <c r="Y54" i="2"/>
  <c r="Y67" i="2"/>
  <c r="X58" i="2"/>
  <c r="X57" i="2"/>
  <c r="X59" i="2"/>
  <c r="X54" i="2"/>
  <c r="X67" i="2"/>
  <c r="W58" i="2"/>
  <c r="W57" i="2"/>
  <c r="W59" i="2"/>
  <c r="W54" i="2"/>
  <c r="W67" i="2"/>
  <c r="V58" i="2"/>
  <c r="V57" i="2"/>
  <c r="V59" i="2"/>
  <c r="V54" i="2"/>
  <c r="V67" i="2"/>
  <c r="U58" i="2"/>
  <c r="U57" i="2"/>
  <c r="U59" i="2"/>
  <c r="U54" i="2"/>
  <c r="U67" i="2"/>
  <c r="T58" i="2"/>
  <c r="T57" i="2"/>
  <c r="T59" i="2"/>
  <c r="T54" i="2"/>
  <c r="T67" i="2"/>
  <c r="S58" i="2"/>
  <c r="S57" i="2"/>
  <c r="S59" i="2"/>
  <c r="S54" i="2"/>
  <c r="S67" i="2"/>
  <c r="R58" i="2"/>
  <c r="R57" i="2"/>
  <c r="R59" i="2"/>
  <c r="R54" i="2"/>
  <c r="R67" i="2"/>
  <c r="Q58" i="2"/>
  <c r="Q57" i="2"/>
  <c r="Q59" i="2"/>
  <c r="Q54" i="2"/>
  <c r="Q67" i="2"/>
  <c r="P58" i="2"/>
  <c r="P57" i="2"/>
  <c r="P59" i="2"/>
  <c r="P54" i="2"/>
  <c r="P67" i="2"/>
  <c r="O58" i="2"/>
  <c r="O57" i="2"/>
  <c r="O59" i="2"/>
  <c r="O54" i="2"/>
  <c r="O67" i="2"/>
  <c r="N58" i="2"/>
  <c r="N57" i="2"/>
  <c r="N59" i="2"/>
  <c r="N54" i="2"/>
  <c r="N67" i="2"/>
  <c r="M58" i="2"/>
  <c r="M57" i="2"/>
  <c r="M59" i="2"/>
  <c r="M54" i="2"/>
  <c r="M67" i="2"/>
  <c r="L58" i="2"/>
  <c r="L57" i="2"/>
  <c r="L59" i="2"/>
  <c r="L54" i="2"/>
  <c r="L67" i="2"/>
  <c r="K58" i="2"/>
  <c r="K57" i="2"/>
  <c r="K59" i="2"/>
  <c r="K54" i="2"/>
  <c r="K67" i="2"/>
  <c r="J58" i="2"/>
  <c r="J57" i="2"/>
  <c r="J59" i="2"/>
  <c r="J54" i="2"/>
  <c r="J67" i="2"/>
  <c r="I58" i="2"/>
  <c r="I57" i="2"/>
  <c r="I59" i="2"/>
  <c r="I54" i="2"/>
  <c r="I67" i="2"/>
  <c r="H67" i="2"/>
  <c r="AS52" i="2"/>
  <c r="AR52" i="2"/>
  <c r="AQ52" i="2"/>
  <c r="AP52" i="2"/>
  <c r="AO52" i="2"/>
  <c r="AN52" i="2"/>
  <c r="AM52" i="2"/>
  <c r="AL52" i="2"/>
  <c r="AK52" i="2"/>
  <c r="AJ52" i="2"/>
  <c r="AI52" i="2"/>
  <c r="AH52" i="2"/>
  <c r="AG52" i="2"/>
  <c r="AF52" i="2"/>
  <c r="AE52" i="2"/>
  <c r="AD52" i="2"/>
  <c r="AC52" i="2"/>
  <c r="AB52" i="2"/>
  <c r="AA52" i="2"/>
  <c r="Z52" i="2"/>
  <c r="Y52" i="2"/>
  <c r="X52" i="2"/>
  <c r="W52" i="2"/>
  <c r="V52" i="2"/>
  <c r="U52" i="2"/>
  <c r="T52" i="2"/>
  <c r="S52" i="2"/>
  <c r="R52" i="2"/>
  <c r="Q52" i="2"/>
  <c r="P52" i="2"/>
  <c r="O52" i="2"/>
  <c r="N52" i="2"/>
  <c r="M52" i="2"/>
  <c r="L52" i="2"/>
  <c r="K52" i="2"/>
  <c r="J52" i="2"/>
  <c r="I52" i="2"/>
  <c r="H52" i="2"/>
  <c r="F54" i="2"/>
  <c r="E10" i="1"/>
  <c r="F10" i="1"/>
  <c r="G10" i="1"/>
  <c r="G21" i="1"/>
  <c r="G20" i="1"/>
  <c r="CH67" i="3"/>
  <c r="CD67" i="3"/>
  <c r="BZ67" i="3"/>
  <c r="BV67" i="3"/>
  <c r="BR67" i="3"/>
  <c r="BN67" i="3"/>
  <c r="BJ67" i="3"/>
  <c r="BF67" i="3"/>
  <c r="BB67" i="3"/>
  <c r="AX67" i="3"/>
  <c r="AT67" i="3"/>
  <c r="AP67" i="3"/>
  <c r="AL67" i="3"/>
  <c r="AH67" i="3"/>
  <c r="AD67" i="3"/>
  <c r="Z67" i="3"/>
  <c r="V67" i="3"/>
  <c r="R67" i="3"/>
  <c r="N67" i="3"/>
  <c r="J67" i="3"/>
  <c r="G64" i="3"/>
  <c r="I64" i="3"/>
  <c r="G55" i="3"/>
  <c r="H55" i="3"/>
  <c r="I55" i="3"/>
  <c r="F55" i="3"/>
  <c r="F67" i="3"/>
  <c r="F64" i="3"/>
  <c r="G9" i="1"/>
  <c r="G11" i="1"/>
  <c r="E12" i="1"/>
  <c r="F11" i="1"/>
  <c r="F9" i="1"/>
  <c r="E13" i="1"/>
  <c r="E11" i="1"/>
  <c r="E9" i="1"/>
  <c r="AT81" i="2"/>
  <c r="AL81" i="2"/>
  <c r="AN81" i="2"/>
  <c r="AP81" i="2"/>
  <c r="AR81" i="2"/>
  <c r="AF81" i="2"/>
  <c r="AH81" i="2"/>
  <c r="AJ81" i="2"/>
  <c r="X81" i="2"/>
  <c r="Z81" i="2"/>
  <c r="AB81" i="2"/>
  <c r="AD81" i="2"/>
  <c r="T81" i="2"/>
  <c r="V81" i="2"/>
  <c r="L81" i="2"/>
  <c r="N81" i="2"/>
  <c r="P81" i="2"/>
  <c r="R81" i="2"/>
  <c r="H81" i="2"/>
  <c r="J81" i="2"/>
  <c r="F81" i="2"/>
  <c r="G67" i="2"/>
  <c r="F67" i="2"/>
  <c r="G13" i="1"/>
  <c r="G12" i="1"/>
  <c r="G79" i="2"/>
  <c r="F79" i="2"/>
  <c r="G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17" authorId="0" shapeId="0" xr:uid="{00000000-0006-0000-0100-000001000000}">
      <text>
        <r>
          <rPr>
            <sz val="14"/>
            <color indexed="81"/>
            <rFont val="Times New Roman"/>
            <family val="1"/>
          </rPr>
          <t>Includes the curb width if present.</t>
        </r>
      </text>
    </comment>
    <comment ref="D21" authorId="0" shapeId="0" xr:uid="{00000000-0006-0000-0100-000002000000}">
      <text>
        <r>
          <rPr>
            <sz val="14"/>
            <color indexed="81"/>
            <rFont val="Times New Roman"/>
            <family val="1"/>
          </rPr>
          <t>Included in Annex 1, showed at the end of this sheet.</t>
        </r>
      </text>
    </comment>
    <comment ref="D26" authorId="0" shapeId="0" xr:uid="{00000000-0006-0000-0100-000003000000}">
      <text>
        <r>
          <rPr>
            <sz val="12"/>
            <color indexed="81"/>
            <rFont val="Times New Roman"/>
            <family val="1"/>
          </rPr>
          <t>Added in V2</t>
        </r>
      </text>
    </comment>
    <comment ref="D27" authorId="0" shapeId="0" xr:uid="{00000000-0006-0000-0100-000004000000}">
      <text>
        <r>
          <rPr>
            <sz val="12"/>
            <color indexed="81"/>
            <rFont val="Times New Roman"/>
            <family val="1"/>
          </rPr>
          <t>Added in V3</t>
        </r>
      </text>
    </comment>
    <comment ref="D28" authorId="0" shapeId="0" xr:uid="{00000000-0006-0000-0100-000005000000}">
      <text>
        <r>
          <rPr>
            <sz val="12"/>
            <color indexed="81"/>
            <rFont val="Times New Roman"/>
            <family val="1"/>
          </rPr>
          <t>Capital Metro statistics can be found online, e.g.:
http://connections2025.org/wp-content/uploads/2016/07/Capital-Metro-Service-Review.pdf</t>
        </r>
      </text>
    </comment>
    <comment ref="D34" authorId="0"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38" authorId="0" shapeId="0" xr:uid="{00000000-0006-0000-0100-000007000000}">
      <text>
        <r>
          <rPr>
            <sz val="12"/>
            <color indexed="81"/>
            <rFont val="Times New Roman"/>
            <family val="1"/>
          </rPr>
          <t>Added in V3</t>
        </r>
      </text>
    </comment>
    <comment ref="D46" authorId="0" shapeId="0" xr:uid="{00000000-0006-0000-0100-000008000000}">
      <text>
        <r>
          <rPr>
            <sz val="12"/>
            <color indexed="81"/>
            <rFont val="Times New Roman"/>
            <family val="1"/>
          </rPr>
          <t>Added in V3</t>
        </r>
      </text>
    </comment>
    <comment ref="D48" authorId="0" shapeId="0" xr:uid="{00000000-0006-0000-0100-000009000000}">
      <text>
        <r>
          <rPr>
            <sz val="12"/>
            <color indexed="81"/>
            <rFont val="Times New Roman"/>
            <family val="1"/>
          </rPr>
          <t>Edited in V3</t>
        </r>
      </text>
    </comment>
    <comment ref="D49" authorId="0" shapeId="0" xr:uid="{00000000-0006-0000-0100-00000A000000}">
      <text>
        <r>
          <rPr>
            <sz val="12"/>
            <color indexed="81"/>
            <rFont val="Times New Roman"/>
            <family val="1"/>
          </rPr>
          <t>Edited in V3</t>
        </r>
      </text>
    </comment>
    <comment ref="D50" authorId="0" shapeId="0" xr:uid="{00000000-0006-0000-0100-00000B000000}">
      <text>
        <r>
          <rPr>
            <sz val="12"/>
            <color indexed="81"/>
            <rFont val="Times New Roman"/>
            <family val="1"/>
          </rPr>
          <t>Edited in V3</t>
        </r>
      </text>
    </comment>
    <comment ref="D65" authorId="0"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89" authorId="0"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indexed="81"/>
            <rFont val="Times New Roman"/>
            <family val="1"/>
          </rPr>
          <t>Updated in V3</t>
        </r>
        <r>
          <rPr>
            <sz val="10"/>
            <color indexed="81"/>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D21" authorId="0" shapeId="0" xr:uid="{00000000-0006-0000-0200-000002000000}">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26"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27"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32" authorId="0" shapeId="0" xr:uid="{00000000-0006-0000-0200-000005000000}">
      <text>
        <r>
          <rPr>
            <sz val="12"/>
            <color indexed="81"/>
            <rFont val="Times New Roman"/>
            <family val="1"/>
          </rPr>
          <t>Added in V3</t>
        </r>
      </text>
    </comment>
  </commentList>
</comments>
</file>

<file path=xl/sharedStrings.xml><?xml version="1.0" encoding="utf-8"?>
<sst xmlns="http://schemas.openxmlformats.org/spreadsheetml/2006/main" count="806" uniqueCount="343">
  <si>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</si>
  <si>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</si>
  <si>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</si>
  <si>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</si>
  <si>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</si>
  <si>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</si>
  <si>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</si>
  <si>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</si>
  <si>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</si>
  <si>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</si>
  <si>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</si>
  <si>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</si>
  <si>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</si>
  <si>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</si>
  <si>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</si>
  <si>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</si>
  <si>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</si>
  <si>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</si>
  <si>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</si>
  <si>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</si>
  <si>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</si>
  <si>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</si>
  <si>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</si>
  <si>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</si>
  <si>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</si>
  <si>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</si>
  <si>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</si>
  <si>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</si>
  <si>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</si>
  <si>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</si>
  <si>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</si>
  <si>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</si>
  <si>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</si>
  <si>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</si>
  <si>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</si>
  <si>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</si>
  <si>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</si>
  <si>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</si>
  <si>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</si>
  <si>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</si>
  <si>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</si>
  <si>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</si>
  <si>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</si>
  <si>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</si>
  <si>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</si>
  <si>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</si>
  <si>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</si>
  <si>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</si>
  <si>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</si>
  <si>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</si>
  <si>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</si>
  <si>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</si>
  <si>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</si>
  <si>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</si>
  <si>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</si>
  <si>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</si>
  <si>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</si>
  <si>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</si>
  <si>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</si>
  <si>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</si>
  <si>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</si>
  <si>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</si>
  <si>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</si>
  <si>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</si>
  <si>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</si>
  <si>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</si>
  <si>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</si>
  <si>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</si>
  <si>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</si>
  <si>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</si>
  <si>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</si>
  <si>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</si>
  <si>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</si>
  <si>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</si>
  <si>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</si>
  <si>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</si>
  <si>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</si>
  <si>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</si>
  <si>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</si>
  <si>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</si>
  <si>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</si>
  <si>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</si>
  <si>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</si>
  <si>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</si>
  <si>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</si>
  <si>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</si>
  <si>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</si>
  <si>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</si>
  <si>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</si>
  <si>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</si>
  <si>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</si>
  <si>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</si>
  <si>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</si>
  <si>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</si>
  <si>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</si>
  <si>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</si>
  <si>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</si>
  <si>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</si>
  <si>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</si>
  <si>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</si>
  <si>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</si>
  <si>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</si>
  <si>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</si>
  <si>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</si>
  <si>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</si>
  <si>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</si>
  <si>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</si>
  <si>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</si>
  <si>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</si>
  <si>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</si>
  <si>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</si>
  <si>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</si>
  <si>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</si>
  <si>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</si>
  <si>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</si>
  <si>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</si>
  <si>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</si>
  <si>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</si>
  <si>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</si>
  <si>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</si>
  <si>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</si>
  <si>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</si>
  <si>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</si>
  <si>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</si>
  <si>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</si>
  <si>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</si>
  <si>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</si>
  <si>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</si>
  <si>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</si>
  <si>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</si>
  <si>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</si>
  <si>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</si>
  <si>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</si>
  <si>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</si>
  <si>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</si>
  <si>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</si>
  <si>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</si>
  <si>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</si>
  <si>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</si>
  <si>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</si>
  <si>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</si>
  <si>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</si>
  <si>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</si>
  <si>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</si>
  <si>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</si>
  <si>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t>Intersection 1</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</si>
  <si>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</si>
  <si>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</si>
  <si>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</si>
  <si>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</si>
  <si>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</si>
  <si>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</si>
  <si>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</si>
  <si>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</si>
  <si>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</si>
  <si>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</si>
  <si>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</si>
  <si>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</si>
  <si>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</si>
  <si>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</si>
  <si>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</si>
  <si>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</si>
  <si>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</si>
  <si>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</si>
  <si>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</si>
  <si>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</si>
  <si>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</si>
  <si>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</si>
  <si>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</si>
  <si>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</si>
  <si>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</si>
  <si>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</si>
  <si>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</si>
  <si>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</si>
  <si>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</si>
  <si>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</si>
  <si>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</si>
  <si>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</si>
  <si>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</si>
  <si>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2</t>
  </si>
  <si>
    <t>Intersection 3</t>
  </si>
  <si>
    <t>Intersection 4</t>
  </si>
  <si>
    <t>Intersection 5</t>
  </si>
  <si>
    <t>Intersection 6</t>
  </si>
  <si>
    <t>Intersection 7</t>
  </si>
  <si>
    <t>Intersection 8</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</si>
  <si>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</si>
  <si>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</si>
  <si>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</si>
  <si>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</si>
  <si>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</si>
  <si>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</si>
  <si>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</si>
  <si>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</si>
  <si>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</si>
  <si>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</si>
  <si>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</si>
  <si>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</si>
  <si>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</si>
  <si>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</si>
  <si>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Corridor Name: ___________________</t>
  </si>
  <si>
    <t>Segment Name: __________________</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</si>
  <si>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</si>
  <si>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</si>
  <si>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</si>
  <si>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</si>
  <si>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</si>
  <si>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</si>
  <si>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</si>
  <si>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</si>
  <si>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</si>
  <si>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</si>
  <si>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</si>
  <si>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</si>
  <si>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</si>
  <si>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</si>
  <si>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</si>
  <si>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</si>
  <si>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</si>
  <si>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Spreadsheet compiled by UT's Center for Transortation Research, 8/2017</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</si>
  <si>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</si>
  <si>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</si>
  <si>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</si>
  <si>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</si>
  <si>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</si>
  <si>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</si>
  <si>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</si>
  <si>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</si>
  <si>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</si>
  <si>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</si>
  <si>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</si>
  <si>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</si>
  <si>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</si>
  <si>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</si>
  <si>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</si>
  <si>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</si>
  <si>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</si>
  <si>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</si>
  <si>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</si>
  <si>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</si>
  <si>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</si>
  <si>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</si>
  <si>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</si>
  <si>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</si>
  <si>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</si>
  <si>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</si>
  <si>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</si>
  <si>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</si>
  <si>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</si>
  <si>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</si>
  <si>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</si>
  <si>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</si>
  <si>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</si>
  <si>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</si>
  <si>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</si>
  <si>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</si>
  <si>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</si>
  <si>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</si>
  <si>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</si>
  <si>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</si>
  <si>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</si>
  <si>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</si>
  <si>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</si>
  <si>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</si>
  <si>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</si>
  <si>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</si>
  <si>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</si>
  <si>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</si>
  <si>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</si>
  <si>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</si>
  <si>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</si>
  <si>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</si>
  <si>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</si>
  <si>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Intersection</t>
  </si>
  <si>
    <t>Link</t>
  </si>
  <si>
    <t>Cross street</t>
  </si>
  <si>
    <t>Shattuck Ave</t>
  </si>
  <si>
    <t>Walnut St</t>
  </si>
  <si>
    <t>Oxford St</t>
  </si>
  <si>
    <t>Spruce St</t>
  </si>
  <si>
    <t>Arch St</t>
  </si>
  <si>
    <t>Euclid Ave</t>
  </si>
  <si>
    <t>LeRoy Ave</t>
  </si>
  <si>
    <t>La Loma Ave</t>
  </si>
  <si>
    <t>ID</t>
  </si>
  <si>
    <t>Analysis Type</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</si>
  <si>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</si>
  <si>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</si>
  <si>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</si>
  <si>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</si>
  <si>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</si>
  <si>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</si>
  <si>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</si>
  <si>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</si>
  <si>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</si>
  <si>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</si>
  <si>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</si>
  <si>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</si>
  <si>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</si>
  <si>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</si>
  <si>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</si>
  <si>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</si>
  <si>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</si>
  <si>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</si>
  <si>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</si>
  <si>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</si>
  <si>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</si>
  <si>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</si>
  <si>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</si>
  <si>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</si>
  <si>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</si>
  <si>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t>dgd</t>
  </si>
  <si>
    <t>i</t>
  </si>
  <si>
    <t>Pd</t>
  </si>
  <si>
    <t>My</t>
  </si>
  <si>
    <r>
      <t>M</t>
    </r>
    <r>
      <rPr>
        <vertAlign val="subscript"/>
        <sz val="10"/>
        <color theme="1"/>
        <rFont val="Times New Roman"/>
        <family val="1"/>
      </rPr>
      <t>y</t>
    </r>
  </si>
  <si>
    <t>Motorist yield rate (decimal)</t>
  </si>
  <si>
    <t>First</t>
  </si>
  <si>
    <t>Second</t>
  </si>
  <si>
    <t>P(Y)</t>
  </si>
  <si>
    <t>Sum(PY))</t>
  </si>
  <si>
    <t>one lane</t>
  </si>
  <si>
    <t>two lane</t>
  </si>
  <si>
    <t>three lane</t>
  </si>
  <si>
    <t>four lane</t>
  </si>
  <si>
    <t>i=0</t>
  </si>
  <si>
    <t>i=max</t>
  </si>
  <si>
    <t>sum(P(Y))</t>
  </si>
  <si>
    <t>Sum first</t>
  </si>
  <si>
    <r>
      <t>P</t>
    </r>
    <r>
      <rPr>
        <vertAlign val="subscript"/>
        <sz val="10"/>
        <color theme="1"/>
        <rFont val="Times New Roman"/>
        <family val="1"/>
      </rPr>
      <t>b</t>
    </r>
  </si>
  <si>
    <t>Pb</t>
  </si>
  <si>
    <t>dg</t>
  </si>
  <si>
    <r>
      <t>W</t>
    </r>
    <r>
      <rPr>
        <vertAlign val="subscript"/>
        <sz val="10"/>
        <color theme="1"/>
        <rFont val="Times New Roman"/>
        <family val="1"/>
      </rPr>
      <t>c</t>
    </r>
  </si>
  <si>
    <t>Crosswalk width (ft)</t>
  </si>
  <si>
    <t>NL</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</si>
  <si>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</si>
  <si>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</si>
  <si>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</si>
  <si>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t>Vehicle flow rate at crosswalk, in seconds (veh/h)</t>
  </si>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</sst>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
    <numFmt numFmtId="167" formatCode="0.00000000"/>
  </numFmts>
  <fonts count="34"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i/>
      <sz val="10"/>
      <color theme="1"/>
      <name val="Times New Roman"/>
      <family val="1"/>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sz val="11"/>
      <color theme="1"/>
      <name val="Times New Roman"/>
      <family val="1"/>
    </font>
    <font>
      <b/>
      <sz val="11"/>
      <color theme="1"/>
      <name val="Times New Roman"/>
      <family val="1"/>
    </font>
    <font>
      <i/>
      <sz val="11"/>
      <color theme="1"/>
      <name val="Times New Roman"/>
      <family val="1"/>
    </font>
    <font>
      <u/>
      <sz val="10"/>
      <color theme="1"/>
      <name val="Times New Roman"/>
      <family val="1"/>
    </font>
  </fonts>
  <fills count="10">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s>
  <borders count="1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06">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9" fontId="12"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0" fillId="6" borderId="0" xfId="0" applyFont="1" applyFill="1" applyAlignment="1">
      <alignment horizontal="lef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18" fillId="2" borderId="0" xfId="0" applyFont="1" applyFill="1" applyBorder="1" applyAlignment="1">
      <alignment vertical="center"/>
    </xf>
    <xf numFmtId="0" fontId="3" fillId="4" borderId="0" xfId="0" applyFont="1" applyFill="1" applyBorder="1" applyAlignment="1">
      <alignment vertical="center"/>
    </xf>
    <xf numFmtId="0" fontId="22" fillId="4" borderId="0" xfId="0" applyFont="1" applyFill="1" applyBorder="1" applyAlignment="1">
      <alignment vertical="center"/>
    </xf>
    <xf numFmtId="0" fontId="22" fillId="4" borderId="1" xfId="0" applyFont="1" applyFill="1" applyBorder="1" applyAlignment="1">
      <alignment horizontal="center" vertical="center"/>
    </xf>
    <xf numFmtId="0" fontId="22" fillId="6" borderId="0" xfId="0" applyFont="1" applyFill="1" applyBorder="1" applyAlignment="1">
      <alignment vertical="center"/>
    </xf>
    <xf numFmtId="1" fontId="22" fillId="7" borderId="1" xfId="1" applyNumberFormat="1" applyFont="1" applyFill="1" applyBorder="1" applyAlignment="1">
      <alignment horizontal="center" vertical="center"/>
    </xf>
    <xf numFmtId="9" fontId="22" fillId="7" borderId="1" xfId="1" applyFont="1" applyFill="1" applyBorder="1" applyAlignment="1">
      <alignment horizontal="center" vertical="center"/>
    </xf>
    <xf numFmtId="1" fontId="23" fillId="7" borderId="1" xfId="1" applyNumberFormat="1" applyFont="1" applyFill="1" applyBorder="1" applyAlignment="1">
      <alignment horizontal="center" vertical="center"/>
    </xf>
    <xf numFmtId="164" fontId="23"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0" fontId="22" fillId="7" borderId="1" xfId="0" applyFont="1" applyFill="1" applyBorder="1" applyAlignment="1">
      <alignment horizontal="center" vertical="center"/>
    </xf>
    <xf numFmtId="0" fontId="22" fillId="8" borderId="1" xfId="0" applyFont="1" applyFill="1" applyBorder="1" applyAlignment="1">
      <alignment horizontal="center" vertical="center"/>
    </xf>
    <xf numFmtId="2" fontId="22" fillId="8" borderId="1" xfId="0" applyNumberFormat="1" applyFont="1" applyFill="1" applyBorder="1" applyAlignment="1">
      <alignment horizontal="center" vertical="center"/>
    </xf>
    <xf numFmtId="164" fontId="22" fillId="8" borderId="1" xfId="0" applyNumberFormat="1" applyFont="1" applyFill="1" applyBorder="1" applyAlignment="1">
      <alignment horizontal="center" vertical="center"/>
    </xf>
    <xf numFmtId="1" fontId="22" fillId="8" borderId="1" xfId="0" applyNumberFormat="1" applyFont="1" applyFill="1" applyBorder="1" applyAlignment="1">
      <alignment horizontal="center" vertical="center"/>
    </xf>
    <xf numFmtId="0" fontId="22" fillId="7" borderId="0" xfId="0" applyFont="1" applyFill="1" applyBorder="1" applyAlignment="1">
      <alignment vertical="center"/>
    </xf>
    <xf numFmtId="0" fontId="22" fillId="6" borderId="0" xfId="0" applyFont="1" applyFill="1" applyAlignment="1">
      <alignment vertical="center"/>
    </xf>
    <xf numFmtId="0" fontId="22" fillId="6" borderId="5" xfId="0" applyFont="1" applyFill="1" applyBorder="1" applyAlignment="1">
      <alignment vertical="center"/>
    </xf>
    <xf numFmtId="0" fontId="22" fillId="8" borderId="2" xfId="0" applyFont="1" applyFill="1" applyBorder="1" applyAlignment="1">
      <alignment vertical="center"/>
    </xf>
    <xf numFmtId="0" fontId="22"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2" fillId="4" borderId="2" xfId="0" applyFont="1" applyFill="1" applyBorder="1" applyAlignment="1">
      <alignment vertical="center"/>
    </xf>
    <xf numFmtId="0" fontId="22"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4" fillId="2" borderId="0" xfId="0" applyFont="1" applyFill="1" applyBorder="1" applyAlignment="1">
      <alignment vertical="center"/>
    </xf>
    <xf numFmtId="0" fontId="24"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6" fillId="6" borderId="0" xfId="0" applyFont="1" applyFill="1" applyAlignment="1">
      <alignment horizontal="center" vertical="center"/>
    </xf>
    <xf numFmtId="0" fontId="24" fillId="8" borderId="3" xfId="0" applyFont="1" applyFill="1" applyBorder="1" applyAlignment="1">
      <alignment vertical="center"/>
    </xf>
    <xf numFmtId="0" fontId="24" fillId="6" borderId="0" xfId="0" applyFont="1" applyFill="1" applyAlignment="1">
      <alignment horizontal="left" vertical="center" wrapText="1"/>
    </xf>
    <xf numFmtId="0" fontId="24" fillId="2" borderId="3" xfId="0" applyFont="1" applyFill="1" applyBorder="1" applyAlignment="1">
      <alignment vertical="center"/>
    </xf>
    <xf numFmtId="0" fontId="27" fillId="6" borderId="0" xfId="0" applyFont="1" applyFill="1"/>
    <xf numFmtId="0" fontId="28"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9" fillId="6" borderId="0" xfId="0" applyFont="1" applyFill="1"/>
    <xf numFmtId="0" fontId="2" fillId="4" borderId="17" xfId="0" applyFont="1" applyFill="1" applyBorder="1" applyAlignment="1">
      <alignment horizontal="center" vertical="center" wrapText="1"/>
    </xf>
    <xf numFmtId="0" fontId="28"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0" fillId="0" borderId="0" xfId="0" applyFont="1"/>
    <xf numFmtId="0" fontId="31" fillId="0" borderId="0" xfId="0" applyFont="1"/>
    <xf numFmtId="0" fontId="31" fillId="0" borderId="0" xfId="0" applyFont="1" applyAlignment="1">
      <alignment horizontal="right"/>
    </xf>
    <xf numFmtId="0" fontId="32" fillId="0" borderId="0" xfId="0" applyFont="1"/>
    <xf numFmtId="2" fontId="30" fillId="0" borderId="0" xfId="0" applyNumberFormat="1" applyFont="1"/>
    <xf numFmtId="1" fontId="30" fillId="0" borderId="0" xfId="0" applyNumberFormat="1" applyFont="1"/>
    <xf numFmtId="2" fontId="31" fillId="0" borderId="0" xfId="0" applyNumberFormat="1" applyFont="1"/>
    <xf numFmtId="165" fontId="0" fillId="0" borderId="0" xfId="0" applyNumberFormat="1"/>
    <xf numFmtId="2" fontId="0" fillId="0" borderId="0" xfId="0" applyNumberFormat="1"/>
    <xf numFmtId="166" fontId="0" fillId="0" borderId="0" xfId="0" applyNumberFormat="1"/>
    <xf numFmtId="167" fontId="0" fillId="0" borderId="0" xfId="0" applyNumberFormat="1"/>
    <xf numFmtId="0" fontId="31" fillId="0" borderId="0" xfId="0" applyFont="1" applyAlignment="1">
      <alignment horizont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0" fontId="5" fillId="3" borderId="3" xfId="0" applyFont="1" applyFill="1" applyBorder="1" applyAlignment="1">
      <alignment horizontal="center" vertical="center"/>
    </xf>
    <xf numFmtId="0" fontId="3" fillId="6" borderId="0" xfId="0" applyFont="1" applyFill="1" applyAlignment="1">
      <alignment horizontal="left" vertical="center" wrapText="1"/>
    </xf>
    <xf numFmtId="0" fontId="14" fillId="3" borderId="1"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22" fillId="6" borderId="0" xfId="0" applyFont="1" applyFill="1" applyAlignment="1">
      <alignment horizontal="center" vertical="center"/>
    </xf>
    <xf numFmtId="0" fontId="7" fillId="3" borderId="2" xfId="0" applyFont="1" applyFill="1" applyBorder="1" applyAlignment="1">
      <alignment horizontal="center" vertical="center" wrapText="1"/>
    </xf>
    <xf numFmtId="0" fontId="2" fillId="5" borderId="0" xfId="0" applyFont="1" applyFill="1" applyBorder="1" applyAlignment="1">
      <alignment horizontal="center" vertical="center"/>
    </xf>
    <xf numFmtId="0" fontId="14" fillId="3" borderId="1" xfId="0" applyFont="1" applyFill="1" applyBorder="1" applyAlignment="1">
      <alignment horizontal="center" vertical="center" wrapText="1"/>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102</xdr:row>
      <xdr:rowOff>10584</xdr:rowOff>
    </xdr:from>
    <xdr:to>
      <xdr:col>4</xdr:col>
      <xdr:colOff>309534</xdr:colOff>
      <xdr:row>120</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9762A-5A2E-4F3B-930A-30B3CF2B126B}">
  <sheetPr codeName="Sheet1"/>
  <dimension ref="B2:J82"/>
  <sheetViews>
    <sheetView workbookViewId="0">
      <selection activeCell="C30" sqref="C30"/>
    </sheetView>
  </sheetViews>
  <sheetFormatPr defaultRowHeight="15" x14ac:dyDescent="0.25"/>
  <cols>
    <col min="1" max="1" width="9" style="170"/>
    <col min="2" max="2" width="9.75" style="170" customWidth="1"/>
    <col min="3" max="3" width="12.5" style="170" customWidth="1"/>
    <col min="4" max="4" width="15.125" style="170" customWidth="1"/>
    <col min="5" max="5" width="9.625" style="174" customWidth="1"/>
    <col min="6" max="6" width="9.625" style="170" customWidth="1"/>
    <col min="7" max="7" width="9.625" style="174" customWidth="1"/>
    <col min="8" max="9" width="9.625" style="170" customWidth="1"/>
    <col min="10" max="10" width="10.875" style="170" bestFit="1" customWidth="1"/>
    <col min="11" max="16384" width="9" style="170"/>
  </cols>
  <sheetData>
    <row r="2" spans="2:10" x14ac:dyDescent="0.25">
      <c r="E2" s="181" t="s">
        <v>68</v>
      </c>
      <c r="F2" s="181"/>
      <c r="G2" s="181"/>
      <c r="H2" s="181"/>
      <c r="I2" s="181"/>
    </row>
    <row r="3" spans="2:10" x14ac:dyDescent="0.25">
      <c r="E3" s="176" t="s">
        <v>69</v>
      </c>
      <c r="F3" s="171"/>
      <c r="G3" s="176" t="s">
        <v>70</v>
      </c>
      <c r="H3" s="171"/>
      <c r="I3" s="171" t="s">
        <v>63</v>
      </c>
    </row>
    <row r="4" spans="2:10" x14ac:dyDescent="0.25">
      <c r="B4" s="172" t="s">
        <v>284</v>
      </c>
      <c r="C4" s="171" t="s">
        <v>275</v>
      </c>
      <c r="D4" s="171" t="s">
        <v>285</v>
      </c>
      <c r="E4" s="176" t="s">
        <v>72</v>
      </c>
      <c r="F4" s="171" t="s">
        <v>73</v>
      </c>
      <c r="G4" s="176" t="s">
        <v>72</v>
      </c>
      <c r="H4" s="171" t="s">
        <v>73</v>
      </c>
      <c r="I4" s="171" t="s">
        <v>72</v>
      </c>
      <c r="J4" s="171" t="s">
        <v>73</v>
      </c>
    </row>
    <row r="5" spans="2:10" x14ac:dyDescent="0.25">
      <c r="B5" s="170">
        <v>1</v>
      </c>
      <c r="C5" s="170" t="s">
        <v>276</v>
      </c>
      <c r="D5" s="173" t="s">
        <v>273</v>
      </c>
      <c r="E5" s="174">
        <f>Intersections!F69</f>
        <v>2.8117855183883798</v>
      </c>
      <c r="F5" s="170" t="str">
        <f>Intersections!F70</f>
        <v>C</v>
      </c>
      <c r="G5" s="174">
        <f>Intersections!F72</f>
        <v>3.3921499999999996</v>
      </c>
      <c r="H5" s="170" t="str">
        <f>Intersections!F73</f>
        <v>C</v>
      </c>
      <c r="I5" s="174"/>
    </row>
    <row r="6" spans="2:10" x14ac:dyDescent="0.25">
      <c r="D6" s="173" t="s">
        <v>274</v>
      </c>
      <c r="E6" s="174">
        <f>Links!F83</f>
        <v>2.585866496977637</v>
      </c>
      <c r="F6" s="170" t="str">
        <f>Links!F84</f>
        <v>B</v>
      </c>
      <c r="G6" s="174">
        <f>Links!F86</f>
        <v>4.5308900955325564</v>
      </c>
      <c r="H6" s="170" t="str">
        <f>Links!F87</f>
        <v>E</v>
      </c>
      <c r="I6" s="174">
        <f>Links!F89</f>
        <v>2.3438381097591807</v>
      </c>
      <c r="J6" s="170" t="str">
        <f>Links!F90</f>
        <v>B</v>
      </c>
    </row>
    <row r="7" spans="2:10" x14ac:dyDescent="0.25">
      <c r="D7" s="173" t="s">
        <v>202</v>
      </c>
      <c r="I7" s="174"/>
    </row>
    <row r="8" spans="2:10" x14ac:dyDescent="0.25">
      <c r="B8" s="170">
        <v>2</v>
      </c>
      <c r="C8" s="170" t="s">
        <v>277</v>
      </c>
      <c r="D8" s="173" t="s">
        <v>273</v>
      </c>
      <c r="E8" s="174" t="e">
        <f>Intersections!J69</f>
        <v>#VALUE!</v>
      </c>
      <c r="F8" s="170" t="e">
        <f>Intersections!J70</f>
        <v>#VALUE!</v>
      </c>
      <c r="G8" s="174">
        <f>Intersections!J72</f>
        <v>2.799199999999999</v>
      </c>
      <c r="H8" s="170" t="str">
        <f>Intersections!J73</f>
        <v>C</v>
      </c>
      <c r="I8" s="174"/>
    </row>
    <row r="9" spans="2:10" x14ac:dyDescent="0.25">
      <c r="D9" s="173" t="s">
        <v>274</v>
      </c>
      <c r="E9" s="174">
        <f>Links!H83</f>
        <v>0</v>
      </c>
      <c r="F9" s="170" t="str">
        <f>Links!H84</f>
        <v>A</v>
      </c>
      <c r="G9" s="174">
        <f>Links!H86</f>
        <v>0</v>
      </c>
      <c r="H9" s="170" t="str">
        <f>Links!H87</f>
        <v>A</v>
      </c>
      <c r="I9" s="174">
        <f>Links!H89</f>
        <v>0</v>
      </c>
      <c r="J9" s="170" t="str">
        <f>Links!H90</f>
        <v>A</v>
      </c>
    </row>
    <row r="10" spans="2:10" x14ac:dyDescent="0.25">
      <c r="D10" s="173" t="s">
        <v>202</v>
      </c>
      <c r="I10" s="174"/>
    </row>
    <row r="11" spans="2:10" x14ac:dyDescent="0.25">
      <c r="B11" s="170">
        <v>3</v>
      </c>
      <c r="C11" s="170" t="s">
        <v>278</v>
      </c>
      <c r="D11" s="173" t="s">
        <v>273</v>
      </c>
      <c r="E11" s="174">
        <f>Intersections!N69</f>
        <v>0</v>
      </c>
      <c r="F11" s="170" t="str">
        <f>Intersections!N70</f>
        <v>A</v>
      </c>
      <c r="G11" s="174">
        <f>Intersections!N72</f>
        <v>0</v>
      </c>
      <c r="H11" s="170" t="str">
        <f>Intersections!N73</f>
        <v>A</v>
      </c>
      <c r="I11" s="174"/>
    </row>
    <row r="12" spans="2:10" x14ac:dyDescent="0.25">
      <c r="D12" s="173" t="s">
        <v>274</v>
      </c>
      <c r="E12" s="174">
        <f>Links!J83</f>
        <v>0</v>
      </c>
      <c r="F12" s="170" t="str">
        <f>Links!J84</f>
        <v>A</v>
      </c>
      <c r="G12" s="174">
        <f>Links!J86</f>
        <v>0</v>
      </c>
      <c r="H12" s="170" t="str">
        <f>Links!J87</f>
        <v>A</v>
      </c>
      <c r="I12" s="174">
        <f>Links!J89</f>
        <v>0</v>
      </c>
      <c r="J12" s="170" t="str">
        <f>Links!J90</f>
        <v>A</v>
      </c>
    </row>
    <row r="13" spans="2:10" x14ac:dyDescent="0.25">
      <c r="D13" s="173" t="s">
        <v>202</v>
      </c>
      <c r="I13" s="174"/>
    </row>
    <row r="14" spans="2:10" x14ac:dyDescent="0.25">
      <c r="B14" s="170">
        <v>4</v>
      </c>
      <c r="C14" s="170" t="s">
        <v>279</v>
      </c>
      <c r="D14" s="173" t="s">
        <v>273</v>
      </c>
      <c r="E14" s="174">
        <f>Intersections!R69</f>
        <v>0</v>
      </c>
      <c r="F14" s="170" t="str">
        <f>Intersections!R70</f>
        <v>A</v>
      </c>
      <c r="G14" s="174">
        <f>Intersections!R72</f>
        <v>0</v>
      </c>
      <c r="H14" s="170" t="str">
        <f>Intersections!R73</f>
        <v>A</v>
      </c>
      <c r="I14" s="174"/>
    </row>
    <row r="15" spans="2:10" x14ac:dyDescent="0.25">
      <c r="D15" s="173" t="s">
        <v>274</v>
      </c>
      <c r="E15" s="174">
        <f>Links!L83</f>
        <v>0</v>
      </c>
      <c r="F15" s="170" t="str">
        <f>Links!L84</f>
        <v>A</v>
      </c>
      <c r="G15" s="174">
        <f>Links!L86</f>
        <v>0</v>
      </c>
      <c r="H15" s="170" t="str">
        <f>Links!L87</f>
        <v>A</v>
      </c>
      <c r="I15" s="174">
        <f>Links!L89</f>
        <v>0</v>
      </c>
      <c r="J15" s="170" t="str">
        <f>Links!L90</f>
        <v>A</v>
      </c>
    </row>
    <row r="16" spans="2:10" x14ac:dyDescent="0.25">
      <c r="D16" s="173" t="s">
        <v>202</v>
      </c>
      <c r="I16" s="174"/>
    </row>
    <row r="17" spans="2:10" x14ac:dyDescent="0.25">
      <c r="B17" s="170">
        <v>5</v>
      </c>
      <c r="C17" s="170" t="s">
        <v>280</v>
      </c>
      <c r="D17" s="173" t="s">
        <v>273</v>
      </c>
      <c r="E17" s="174">
        <f>Intersections!V69</f>
        <v>0</v>
      </c>
      <c r="F17" s="170" t="str">
        <f>Intersections!V70</f>
        <v>A</v>
      </c>
      <c r="G17" s="174">
        <f>Intersections!V72</f>
        <v>0</v>
      </c>
      <c r="H17" s="170" t="str">
        <f>Intersections!V73</f>
        <v>A</v>
      </c>
      <c r="I17" s="174"/>
    </row>
    <row r="18" spans="2:10" x14ac:dyDescent="0.25">
      <c r="D18" s="173" t="s">
        <v>274</v>
      </c>
      <c r="E18" s="174">
        <f>Links!N83</f>
        <v>0</v>
      </c>
      <c r="F18" s="170" t="str">
        <f>Links!N84</f>
        <v>A</v>
      </c>
      <c r="G18" s="174">
        <f>Links!N86</f>
        <v>0</v>
      </c>
      <c r="H18" s="170" t="str">
        <f>Links!N87</f>
        <v>A</v>
      </c>
      <c r="I18" s="174">
        <f>Links!N89</f>
        <v>0</v>
      </c>
      <c r="J18" s="170" t="str">
        <f>Links!N90</f>
        <v>A</v>
      </c>
    </row>
    <row r="19" spans="2:10" x14ac:dyDescent="0.25">
      <c r="D19" s="173" t="s">
        <v>202</v>
      </c>
      <c r="I19" s="174"/>
    </row>
    <row r="20" spans="2:10" x14ac:dyDescent="0.25">
      <c r="B20" s="170">
        <v>6</v>
      </c>
      <c r="C20" s="170" t="s">
        <v>281</v>
      </c>
      <c r="D20" s="173" t="s">
        <v>273</v>
      </c>
      <c r="E20" s="174">
        <f>Intersections!Z69</f>
        <v>0</v>
      </c>
      <c r="F20" s="170" t="str">
        <f>Intersections!Z70</f>
        <v>A</v>
      </c>
      <c r="G20" s="174">
        <f>Intersections!Z72</f>
        <v>0</v>
      </c>
      <c r="H20" s="170" t="str">
        <f>Intersections!Z73</f>
        <v>A</v>
      </c>
      <c r="I20" s="174"/>
    </row>
    <row r="21" spans="2:10" x14ac:dyDescent="0.25">
      <c r="D21" s="173" t="s">
        <v>274</v>
      </c>
      <c r="E21" s="174">
        <f>Links!P83</f>
        <v>0</v>
      </c>
      <c r="F21" s="170" t="str">
        <f>Links!P84</f>
        <v>A</v>
      </c>
      <c r="G21" s="174">
        <f>Links!P86</f>
        <v>0</v>
      </c>
      <c r="H21" s="170" t="str">
        <f>Links!P87</f>
        <v>A</v>
      </c>
      <c r="I21" s="174">
        <f>Links!P89</f>
        <v>0</v>
      </c>
      <c r="J21" s="170" t="str">
        <f>Links!P90</f>
        <v>A</v>
      </c>
    </row>
    <row r="22" spans="2:10" x14ac:dyDescent="0.25">
      <c r="D22" s="173" t="s">
        <v>202</v>
      </c>
      <c r="I22" s="174"/>
    </row>
    <row r="23" spans="2:10" x14ac:dyDescent="0.25">
      <c r="B23" s="170">
        <v>7</v>
      </c>
      <c r="C23" s="170" t="s">
        <v>282</v>
      </c>
      <c r="D23" s="173" t="s">
        <v>273</v>
      </c>
      <c r="E23" s="174">
        <f>Intersections!AD69</f>
        <v>0</v>
      </c>
      <c r="F23" s="170" t="str">
        <f>Intersections!AD70</f>
        <v>A</v>
      </c>
      <c r="G23" s="174">
        <f>Intersections!AD72</f>
        <v>0</v>
      </c>
      <c r="H23" s="170" t="str">
        <f>Intersections!AD73</f>
        <v>A</v>
      </c>
      <c r="I23" s="174"/>
    </row>
    <row r="24" spans="2:10" x14ac:dyDescent="0.25">
      <c r="D24" s="173" t="s">
        <v>274</v>
      </c>
      <c r="E24" s="174">
        <f>Links!R83</f>
        <v>0</v>
      </c>
      <c r="F24" s="170" t="str">
        <f>Links!R84</f>
        <v>A</v>
      </c>
      <c r="G24" s="174">
        <f>Links!R86</f>
        <v>0</v>
      </c>
      <c r="H24" s="170" t="str">
        <f>Links!R87</f>
        <v>A</v>
      </c>
      <c r="I24" s="174">
        <f>Links!R89</f>
        <v>0</v>
      </c>
      <c r="J24" s="170" t="str">
        <f>Links!R90</f>
        <v>A</v>
      </c>
    </row>
    <row r="25" spans="2:10" x14ac:dyDescent="0.25">
      <c r="D25" s="173" t="s">
        <v>202</v>
      </c>
      <c r="I25" s="174"/>
    </row>
    <row r="26" spans="2:10" x14ac:dyDescent="0.25">
      <c r="B26" s="170">
        <v>8</v>
      </c>
      <c r="C26" s="170" t="s">
        <v>283</v>
      </c>
      <c r="D26" s="173" t="s">
        <v>273</v>
      </c>
      <c r="E26" s="174">
        <f>Intersections!AH69</f>
        <v>0</v>
      </c>
      <c r="F26" s="170" t="str">
        <f>Intersections!AH70</f>
        <v>A</v>
      </c>
      <c r="G26" s="174">
        <f>Intersections!AH72</f>
        <v>0</v>
      </c>
      <c r="H26" s="170" t="str">
        <f>Intersections!AH73</f>
        <v>A</v>
      </c>
      <c r="I26" s="174"/>
    </row>
    <row r="27" spans="2:10" x14ac:dyDescent="0.25">
      <c r="D27" s="173" t="s">
        <v>274</v>
      </c>
      <c r="E27" s="174">
        <f>Links!T83</f>
        <v>0</v>
      </c>
      <c r="F27" s="170" t="str">
        <f>Links!T84</f>
        <v>A</v>
      </c>
      <c r="G27" s="174">
        <f>Links!T86</f>
        <v>0</v>
      </c>
      <c r="H27" s="170" t="str">
        <f>Links!T87</f>
        <v>A</v>
      </c>
      <c r="I27" s="174">
        <f>Links!T89</f>
        <v>0</v>
      </c>
      <c r="J27" s="170" t="str">
        <f>Links!T90</f>
        <v>A</v>
      </c>
    </row>
    <row r="28" spans="2:10" x14ac:dyDescent="0.25">
      <c r="D28" s="173" t="s">
        <v>202</v>
      </c>
      <c r="I28" s="174"/>
    </row>
    <row r="29" spans="2:10" x14ac:dyDescent="0.25">
      <c r="B29" s="170">
        <v>9</v>
      </c>
      <c r="D29" s="173" t="s">
        <v>273</v>
      </c>
      <c r="E29" s="174">
        <f>Intersections!AL69</f>
        <v>0</v>
      </c>
      <c r="F29" s="170" t="str">
        <f>Intersections!AL70</f>
        <v>A</v>
      </c>
      <c r="G29" s="174">
        <f>Intersections!AL72</f>
        <v>0</v>
      </c>
      <c r="H29" s="170" t="str">
        <f>Intersections!AL73</f>
        <v>A</v>
      </c>
      <c r="I29" s="174"/>
    </row>
    <row r="30" spans="2:10" x14ac:dyDescent="0.25">
      <c r="D30" s="173" t="s">
        <v>274</v>
      </c>
      <c r="E30" s="174">
        <f>Links!V83</f>
        <v>0</v>
      </c>
      <c r="F30" s="170" t="str">
        <f>Links!V84</f>
        <v>A</v>
      </c>
      <c r="G30" s="174">
        <f>Links!V86</f>
        <v>0</v>
      </c>
      <c r="H30" s="170" t="str">
        <f>Links!V87</f>
        <v>A</v>
      </c>
      <c r="I30" s="174">
        <f>Links!V89</f>
        <v>0</v>
      </c>
      <c r="J30" s="170" t="str">
        <f>Links!V90</f>
        <v>A</v>
      </c>
    </row>
    <row r="31" spans="2:10" x14ac:dyDescent="0.25">
      <c r="D31" s="173" t="s">
        <v>202</v>
      </c>
      <c r="I31" s="174"/>
    </row>
    <row r="32" spans="2:10" x14ac:dyDescent="0.25">
      <c r="B32" s="170">
        <v>10</v>
      </c>
      <c r="D32" s="173" t="s">
        <v>273</v>
      </c>
      <c r="E32" s="174">
        <f>Intersections!AP69</f>
        <v>0</v>
      </c>
      <c r="F32" s="170" t="str">
        <f>Intersections!AP70</f>
        <v>A</v>
      </c>
      <c r="G32" s="174">
        <f>Intersections!AP72</f>
        <v>0</v>
      </c>
      <c r="H32" s="170" t="str">
        <f>Intersections!AP73</f>
        <v>A</v>
      </c>
      <c r="I32" s="174"/>
    </row>
    <row r="33" spans="2:10" x14ac:dyDescent="0.25">
      <c r="D33" s="173" t="s">
        <v>274</v>
      </c>
      <c r="E33" s="174">
        <f>Links!X83</f>
        <v>0</v>
      </c>
      <c r="F33" s="170" t="str">
        <f>Links!X84</f>
        <v>A</v>
      </c>
      <c r="G33" s="174">
        <f>Links!X86</f>
        <v>0</v>
      </c>
      <c r="H33" s="170" t="str">
        <f>Links!X87</f>
        <v>A</v>
      </c>
      <c r="I33" s="174">
        <f>Links!X89</f>
        <v>0</v>
      </c>
      <c r="J33" s="170" t="str">
        <f>Links!X90</f>
        <v>A</v>
      </c>
    </row>
    <row r="34" spans="2:10" x14ac:dyDescent="0.25">
      <c r="D34" s="173" t="s">
        <v>202</v>
      </c>
      <c r="I34" s="174"/>
    </row>
    <row r="35" spans="2:10" x14ac:dyDescent="0.25">
      <c r="B35" s="170">
        <v>11</v>
      </c>
      <c r="D35" s="173" t="s">
        <v>273</v>
      </c>
      <c r="E35" s="174">
        <f>Intersections!AT69</f>
        <v>0</v>
      </c>
      <c r="F35" s="170" t="str">
        <f>Intersections!AT70</f>
        <v>A</v>
      </c>
      <c r="G35" s="174">
        <f>Intersections!AT72</f>
        <v>0</v>
      </c>
      <c r="H35" s="170" t="str">
        <f>Intersections!AT73</f>
        <v>A</v>
      </c>
      <c r="I35" s="174"/>
    </row>
    <row r="36" spans="2:10" x14ac:dyDescent="0.25">
      <c r="D36" s="173" t="s">
        <v>274</v>
      </c>
      <c r="E36" s="174">
        <f>Links!Z83</f>
        <v>0</v>
      </c>
      <c r="F36" s="170" t="str">
        <f>Links!Z84</f>
        <v>A</v>
      </c>
      <c r="G36" s="174">
        <f>Links!Z86</f>
        <v>0</v>
      </c>
      <c r="H36" s="170" t="str">
        <f>Links!Z87</f>
        <v>A</v>
      </c>
      <c r="I36" s="174">
        <f>Links!Z89</f>
        <v>0</v>
      </c>
      <c r="J36" s="170" t="str">
        <f>Links!Z90</f>
        <v>A</v>
      </c>
    </row>
    <row r="37" spans="2:10" x14ac:dyDescent="0.25">
      <c r="D37" s="173" t="s">
        <v>202</v>
      </c>
      <c r="I37" s="174"/>
    </row>
    <row r="38" spans="2:10" x14ac:dyDescent="0.25">
      <c r="B38" s="170">
        <v>12</v>
      </c>
      <c r="D38" s="173" t="s">
        <v>273</v>
      </c>
      <c r="E38" s="174">
        <f>Intersections!AX69</f>
        <v>0</v>
      </c>
      <c r="F38" s="170" t="str">
        <f>Intersections!AX70</f>
        <v>A</v>
      </c>
      <c r="G38" s="174">
        <f>Intersections!AX72</f>
        <v>0</v>
      </c>
      <c r="H38" s="170" t="str">
        <f>Intersections!AX73</f>
        <v>A</v>
      </c>
      <c r="I38" s="174"/>
    </row>
    <row r="39" spans="2:10" x14ac:dyDescent="0.25">
      <c r="D39" s="173" t="s">
        <v>274</v>
      </c>
      <c r="E39" s="174">
        <f>Links!AB83</f>
        <v>0</v>
      </c>
      <c r="F39" s="170" t="str">
        <f>Links!AB84</f>
        <v>A</v>
      </c>
      <c r="G39" s="174">
        <f>Links!AB86</f>
        <v>0</v>
      </c>
      <c r="H39" s="170" t="str">
        <f>Links!AB87</f>
        <v>A</v>
      </c>
      <c r="I39" s="174">
        <f>Links!AB89</f>
        <v>0</v>
      </c>
      <c r="J39" s="170" t="str">
        <f>Links!AB90</f>
        <v>A</v>
      </c>
    </row>
    <row r="40" spans="2:10" x14ac:dyDescent="0.25">
      <c r="D40" s="173" t="s">
        <v>202</v>
      </c>
      <c r="I40" s="174"/>
    </row>
    <row r="41" spans="2:10" x14ac:dyDescent="0.25">
      <c r="B41" s="170">
        <v>13</v>
      </c>
      <c r="D41" s="173" t="s">
        <v>273</v>
      </c>
      <c r="E41" s="174">
        <f>Intersections!BB69</f>
        <v>0</v>
      </c>
      <c r="F41" s="170" t="str">
        <f>Intersections!BB70</f>
        <v>A</v>
      </c>
      <c r="G41" s="174">
        <f>Intersections!BB72</f>
        <v>0</v>
      </c>
      <c r="H41" s="170" t="str">
        <f>Intersections!BB73</f>
        <v>A</v>
      </c>
      <c r="I41" s="174"/>
    </row>
    <row r="42" spans="2:10" x14ac:dyDescent="0.25">
      <c r="D42" s="173" t="s">
        <v>274</v>
      </c>
      <c r="E42" s="174">
        <f>Links!AD83</f>
        <v>0</v>
      </c>
      <c r="F42" s="170" t="str">
        <f>Links!AD84</f>
        <v>A</v>
      </c>
      <c r="G42" s="174">
        <f>Links!AD86</f>
        <v>0</v>
      </c>
      <c r="H42" s="170" t="str">
        <f>Links!AD87</f>
        <v>A</v>
      </c>
      <c r="I42" s="174">
        <f>Links!AD89</f>
        <v>0</v>
      </c>
      <c r="J42" s="170" t="str">
        <f>Links!AD90</f>
        <v>A</v>
      </c>
    </row>
    <row r="43" spans="2:10" x14ac:dyDescent="0.25">
      <c r="D43" s="173" t="s">
        <v>202</v>
      </c>
      <c r="I43" s="174"/>
    </row>
    <row r="44" spans="2:10" x14ac:dyDescent="0.25">
      <c r="B44" s="170">
        <v>14</v>
      </c>
      <c r="D44" s="173" t="s">
        <v>273</v>
      </c>
      <c r="E44" s="174">
        <f>Intersections!BF69</f>
        <v>0</v>
      </c>
      <c r="F44" s="170" t="str">
        <f>Intersections!BF70</f>
        <v>A</v>
      </c>
      <c r="G44" s="174">
        <f>Intersections!BF72</f>
        <v>0</v>
      </c>
      <c r="H44" s="170" t="str">
        <f>Intersections!BF73</f>
        <v>A</v>
      </c>
      <c r="I44" s="174"/>
    </row>
    <row r="45" spans="2:10" x14ac:dyDescent="0.25">
      <c r="D45" s="173" t="s">
        <v>274</v>
      </c>
      <c r="E45" s="174">
        <f>Links!AF83</f>
        <v>0</v>
      </c>
      <c r="F45" s="170" t="str">
        <f>Links!AF84</f>
        <v>A</v>
      </c>
      <c r="G45" s="174">
        <f>Links!AF86</f>
        <v>0</v>
      </c>
      <c r="H45" s="170" t="str">
        <f>Links!AF87</f>
        <v>A</v>
      </c>
      <c r="I45" s="174">
        <f>Links!AF89</f>
        <v>0</v>
      </c>
      <c r="J45" s="170" t="str">
        <f>Links!AF90</f>
        <v>A</v>
      </c>
    </row>
    <row r="46" spans="2:10" x14ac:dyDescent="0.25">
      <c r="D46" s="173" t="s">
        <v>202</v>
      </c>
      <c r="I46" s="174"/>
    </row>
    <row r="47" spans="2:10" x14ac:dyDescent="0.25">
      <c r="B47" s="170">
        <v>15</v>
      </c>
      <c r="D47" s="173" t="s">
        <v>273</v>
      </c>
      <c r="E47" s="174">
        <f>Intersections!BJ69</f>
        <v>0</v>
      </c>
      <c r="F47" s="170" t="str">
        <f>Intersections!BJ70</f>
        <v>A</v>
      </c>
      <c r="G47" s="174">
        <f>Intersections!BJ72</f>
        <v>0</v>
      </c>
      <c r="H47" s="170" t="str">
        <f>Intersections!BJ73</f>
        <v>A</v>
      </c>
      <c r="I47" s="174"/>
    </row>
    <row r="48" spans="2:10" x14ac:dyDescent="0.25">
      <c r="D48" s="173" t="s">
        <v>274</v>
      </c>
      <c r="E48" s="174">
        <f>Links!AH83</f>
        <v>0</v>
      </c>
      <c r="F48" s="170" t="str">
        <f>Links!AH84</f>
        <v>A</v>
      </c>
      <c r="G48" s="174">
        <f>Links!AH86</f>
        <v>0</v>
      </c>
      <c r="H48" s="170" t="str">
        <f>Links!AH87</f>
        <v>A</v>
      </c>
      <c r="I48" s="174">
        <f>Links!AH89</f>
        <v>0</v>
      </c>
      <c r="J48" s="170" t="str">
        <f>Links!AH90</f>
        <v>A</v>
      </c>
    </row>
    <row r="49" spans="2:10" x14ac:dyDescent="0.25">
      <c r="D49" s="173" t="s">
        <v>202</v>
      </c>
      <c r="I49" s="174"/>
    </row>
    <row r="50" spans="2:10" x14ac:dyDescent="0.25">
      <c r="B50" s="170">
        <v>16</v>
      </c>
      <c r="D50" s="173" t="s">
        <v>273</v>
      </c>
      <c r="E50" s="174">
        <f>Intersections!BN69</f>
        <v>0</v>
      </c>
      <c r="F50" s="170" t="str">
        <f>Intersections!BN70</f>
        <v>A</v>
      </c>
      <c r="G50" s="174">
        <f>Intersections!BN72</f>
        <v>0</v>
      </c>
      <c r="H50" s="170" t="str">
        <f>Intersections!BN73</f>
        <v>A</v>
      </c>
      <c r="I50" s="174"/>
    </row>
    <row r="51" spans="2:10" x14ac:dyDescent="0.25">
      <c r="D51" s="173" t="s">
        <v>274</v>
      </c>
      <c r="E51" s="174">
        <f>Links!AJ83</f>
        <v>0</v>
      </c>
      <c r="F51" s="170" t="str">
        <f>Links!AJ84</f>
        <v>A</v>
      </c>
      <c r="G51" s="174">
        <f>Links!AJ86</f>
        <v>0</v>
      </c>
      <c r="H51" s="170" t="str">
        <f>Links!AJ87</f>
        <v>A</v>
      </c>
      <c r="I51" s="174">
        <f>Links!AJ89</f>
        <v>0</v>
      </c>
      <c r="J51" s="170" t="str">
        <f>Links!AJ90</f>
        <v>A</v>
      </c>
    </row>
    <row r="52" spans="2:10" x14ac:dyDescent="0.25">
      <c r="D52" s="173" t="s">
        <v>202</v>
      </c>
      <c r="I52" s="174"/>
    </row>
    <row r="53" spans="2:10" x14ac:dyDescent="0.25">
      <c r="B53" s="170">
        <v>17</v>
      </c>
      <c r="D53" s="173" t="s">
        <v>273</v>
      </c>
      <c r="E53" s="174">
        <f>Intersections!BR69</f>
        <v>0</v>
      </c>
      <c r="F53" s="170" t="str">
        <f>Intersections!BR70</f>
        <v>A</v>
      </c>
      <c r="G53" s="174">
        <f>Intersections!BR72</f>
        <v>0</v>
      </c>
      <c r="H53" s="170" t="str">
        <f>Intersections!BR73</f>
        <v>A</v>
      </c>
      <c r="I53" s="174"/>
    </row>
    <row r="54" spans="2:10" x14ac:dyDescent="0.25">
      <c r="D54" s="173" t="s">
        <v>274</v>
      </c>
      <c r="E54" s="174">
        <f>Links!AL83</f>
        <v>0</v>
      </c>
      <c r="F54" s="170" t="str">
        <f>Links!AL84</f>
        <v>A</v>
      </c>
      <c r="G54" s="174">
        <f>Links!AL86</f>
        <v>0</v>
      </c>
      <c r="H54" s="170" t="str">
        <f>Links!AL87</f>
        <v>A</v>
      </c>
      <c r="I54" s="174">
        <f>Links!AL89</f>
        <v>0</v>
      </c>
      <c r="J54" s="170" t="str">
        <f>Links!AL90</f>
        <v>A</v>
      </c>
    </row>
    <row r="55" spans="2:10" x14ac:dyDescent="0.25">
      <c r="D55" s="173" t="s">
        <v>202</v>
      </c>
      <c r="I55" s="174"/>
    </row>
    <row r="56" spans="2:10" x14ac:dyDescent="0.25">
      <c r="B56" s="170">
        <v>18</v>
      </c>
      <c r="D56" s="173" t="s">
        <v>273</v>
      </c>
      <c r="E56" s="174">
        <f>Intersections!BV69</f>
        <v>0</v>
      </c>
      <c r="F56" s="170" t="str">
        <f>Intersections!BV70</f>
        <v>A</v>
      </c>
      <c r="G56" s="174">
        <f>Intersections!BV72</f>
        <v>0</v>
      </c>
      <c r="H56" s="170" t="str">
        <f>Intersections!BV73</f>
        <v>A</v>
      </c>
      <c r="I56" s="174"/>
    </row>
    <row r="57" spans="2:10" x14ac:dyDescent="0.25">
      <c r="D57" s="173" t="s">
        <v>274</v>
      </c>
      <c r="E57" s="174">
        <f>Links!AN83</f>
        <v>0</v>
      </c>
      <c r="F57" s="170" t="str">
        <f>Links!AN84</f>
        <v>A</v>
      </c>
      <c r="G57" s="174">
        <f>Links!AN86</f>
        <v>0</v>
      </c>
      <c r="H57" s="170" t="str">
        <f>Links!AN87</f>
        <v>A</v>
      </c>
      <c r="I57" s="174">
        <f>Links!AN89</f>
        <v>0</v>
      </c>
      <c r="J57" s="170" t="str">
        <f>Links!AN90</f>
        <v>A</v>
      </c>
    </row>
    <row r="58" spans="2:10" x14ac:dyDescent="0.25">
      <c r="D58" s="173" t="s">
        <v>202</v>
      </c>
      <c r="I58" s="174"/>
    </row>
    <row r="59" spans="2:10" x14ac:dyDescent="0.25">
      <c r="B59" s="170">
        <v>19</v>
      </c>
      <c r="D59" s="173" t="s">
        <v>273</v>
      </c>
      <c r="E59" s="174">
        <f>Intersections!BZ69</f>
        <v>0</v>
      </c>
      <c r="F59" s="170" t="str">
        <f>Intersections!BZ70</f>
        <v>A</v>
      </c>
      <c r="G59" s="174">
        <f>Intersections!BZ72</f>
        <v>0</v>
      </c>
      <c r="H59" s="170" t="str">
        <f>Intersections!BZ73</f>
        <v>A</v>
      </c>
      <c r="I59" s="174"/>
    </row>
    <row r="60" spans="2:10" x14ac:dyDescent="0.25">
      <c r="D60" s="173" t="s">
        <v>274</v>
      </c>
      <c r="E60" s="174">
        <f>Links!AP83</f>
        <v>0</v>
      </c>
      <c r="F60" s="170" t="str">
        <f>Links!AP84</f>
        <v>A</v>
      </c>
      <c r="G60" s="174">
        <f>Links!AP86</f>
        <v>0</v>
      </c>
      <c r="H60" s="170" t="str">
        <f>Links!AP87</f>
        <v>A</v>
      </c>
      <c r="I60" s="174">
        <f>Links!AP89</f>
        <v>0</v>
      </c>
      <c r="J60" s="170" t="str">
        <f>Links!AP90</f>
        <v>A</v>
      </c>
    </row>
    <row r="61" spans="2:10" x14ac:dyDescent="0.25">
      <c r="D61" s="173" t="s">
        <v>202</v>
      </c>
      <c r="I61" s="174"/>
    </row>
    <row r="62" spans="2:10" x14ac:dyDescent="0.25">
      <c r="B62" s="170">
        <v>20</v>
      </c>
      <c r="D62" s="173" t="s">
        <v>273</v>
      </c>
      <c r="E62" s="174">
        <f>Intersections!CD69</f>
        <v>0</v>
      </c>
      <c r="F62" s="170" t="str">
        <f>Intersections!CD70</f>
        <v>A</v>
      </c>
      <c r="G62" s="174">
        <f>Intersections!CD72</f>
        <v>0</v>
      </c>
      <c r="H62" s="170" t="str">
        <f>Intersections!CD73</f>
        <v>A</v>
      </c>
      <c r="I62" s="174"/>
    </row>
    <row r="63" spans="2:10" x14ac:dyDescent="0.25">
      <c r="D63" s="173" t="s">
        <v>274</v>
      </c>
      <c r="E63" s="174">
        <f>Links!AR83</f>
        <v>0</v>
      </c>
      <c r="F63" s="170" t="str">
        <f>Links!AR84</f>
        <v>A</v>
      </c>
      <c r="G63" s="174">
        <f>Links!AR86</f>
        <v>0</v>
      </c>
      <c r="H63" s="170" t="str">
        <f>Links!AR87</f>
        <v>A</v>
      </c>
      <c r="I63" s="174">
        <f>Links!AR89</f>
        <v>0</v>
      </c>
      <c r="J63" s="170" t="str">
        <f>Links!AR90</f>
        <v>A</v>
      </c>
    </row>
    <row r="64" spans="2:10" x14ac:dyDescent="0.25">
      <c r="D64" s="173" t="s">
        <v>202</v>
      </c>
      <c r="I64" s="174"/>
    </row>
    <row r="65" spans="2:10" x14ac:dyDescent="0.25">
      <c r="B65" s="170">
        <v>21</v>
      </c>
      <c r="D65" s="173" t="s">
        <v>273</v>
      </c>
      <c r="E65" s="174">
        <f>Intersections!CH69</f>
        <v>0</v>
      </c>
      <c r="F65" s="170" t="str">
        <f>Intersections!CH70</f>
        <v>A</v>
      </c>
      <c r="G65" s="174">
        <f>Intersections!CH72</f>
        <v>0</v>
      </c>
      <c r="H65" s="170" t="str">
        <f>Intersections!CH73</f>
        <v>A</v>
      </c>
      <c r="I65" s="174"/>
    </row>
    <row r="66" spans="2:10" x14ac:dyDescent="0.25">
      <c r="D66" s="173" t="s">
        <v>274</v>
      </c>
      <c r="I66" s="174"/>
    </row>
    <row r="67" spans="2:10" x14ac:dyDescent="0.25">
      <c r="D67" s="173" t="s">
        <v>202</v>
      </c>
      <c r="I67" s="174"/>
    </row>
    <row r="68" spans="2:10" x14ac:dyDescent="0.25">
      <c r="D68" s="173"/>
      <c r="I68" s="174"/>
    </row>
    <row r="69" spans="2:10" x14ac:dyDescent="0.25">
      <c r="B69" s="170" t="str">
        <f>Intersections!CL67</f>
        <v>Total</v>
      </c>
      <c r="D69" s="173" t="s">
        <v>273</v>
      </c>
      <c r="E69" s="174" t="e">
        <f>Intersections!CL69</f>
        <v>#VALUE!</v>
      </c>
      <c r="F69" s="170" t="e">
        <f>Intersections!CL70</f>
        <v>#VALUE!</v>
      </c>
      <c r="G69" s="174">
        <f>Intersections!CL72</f>
        <v>3.3533950980392153</v>
      </c>
      <c r="H69" s="170" t="str">
        <f>Intersections!CL73</f>
        <v>C</v>
      </c>
      <c r="I69" s="174"/>
    </row>
    <row r="70" spans="2:10" x14ac:dyDescent="0.25">
      <c r="D70" s="173" t="s">
        <v>274</v>
      </c>
      <c r="E70" s="174">
        <f>Links!AT83</f>
        <v>2.585866496977637</v>
      </c>
      <c r="F70" s="170" t="str">
        <f>Links!AT84</f>
        <v>B</v>
      </c>
      <c r="G70" s="174">
        <f>Links!AT86</f>
        <v>4.5308900955325564</v>
      </c>
      <c r="H70" s="170" t="str">
        <f>Links!AT87</f>
        <v>E</v>
      </c>
      <c r="I70" s="174">
        <f>Links!AT89</f>
        <v>2.3438381097591807</v>
      </c>
      <c r="J70" s="170" t="str">
        <f>Links!AT90</f>
        <v>B</v>
      </c>
    </row>
    <row r="71" spans="2:10" x14ac:dyDescent="0.25">
      <c r="D71" s="173" t="s">
        <v>202</v>
      </c>
    </row>
    <row r="76" spans="2:10" x14ac:dyDescent="0.25">
      <c r="D76" s="173"/>
    </row>
    <row r="77" spans="2:10" x14ac:dyDescent="0.25">
      <c r="D77" s="173"/>
    </row>
    <row r="78" spans="2:10" x14ac:dyDescent="0.25">
      <c r="D78" s="173"/>
    </row>
    <row r="82" spans="4:4" x14ac:dyDescent="0.25">
      <c r="D82" s="175"/>
    </row>
  </sheetData>
  <mergeCells count="1">
    <mergeCell ref="E2:I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H24"/>
  <sheetViews>
    <sheetView zoomScaleNormal="100" zoomScalePageLayoutView="120" workbookViewId="0">
      <selection activeCell="J11" sqref="J11"/>
    </sheetView>
  </sheetViews>
  <sheetFormatPr defaultColWidth="10.875" defaultRowHeight="12.75" x14ac:dyDescent="0.25"/>
  <cols>
    <col min="1" max="2" width="3.375" style="23" customWidth="1"/>
    <col min="3" max="4" width="10.875" style="23"/>
    <col min="5" max="7" width="10.625" style="23" customWidth="1"/>
    <col min="8" max="8" width="3.375" style="23" customWidth="1"/>
    <col min="9" max="16384" width="10.875" style="23"/>
  </cols>
  <sheetData>
    <row r="1" spans="2:8" ht="13.5" thickBot="1" x14ac:dyDescent="0.3"/>
    <row r="2" spans="2:8" x14ac:dyDescent="0.25">
      <c r="B2" s="24"/>
      <c r="C2" s="25"/>
      <c r="D2" s="25"/>
      <c r="E2" s="25"/>
      <c r="F2" s="25"/>
      <c r="G2" s="25"/>
      <c r="H2" s="26"/>
    </row>
    <row r="3" spans="2:8" x14ac:dyDescent="0.25">
      <c r="B3" s="27"/>
      <c r="C3" s="186" t="s">
        <v>200</v>
      </c>
      <c r="D3" s="186"/>
      <c r="E3" s="186"/>
      <c r="F3" s="186"/>
      <c r="G3" s="186"/>
      <c r="H3" s="28"/>
    </row>
    <row r="4" spans="2:8" x14ac:dyDescent="0.25">
      <c r="B4" s="27"/>
      <c r="C4" s="186" t="s">
        <v>201</v>
      </c>
      <c r="D4" s="186"/>
      <c r="E4" s="186"/>
      <c r="F4" s="186"/>
      <c r="G4" s="186"/>
      <c r="H4" s="28"/>
    </row>
    <row r="5" spans="2:8" x14ac:dyDescent="0.25">
      <c r="B5" s="27"/>
      <c r="C5" s="96"/>
      <c r="D5" s="96"/>
      <c r="E5" s="96"/>
      <c r="F5" s="96"/>
      <c r="G5" s="96"/>
      <c r="H5" s="28"/>
    </row>
    <row r="6" spans="2:8" ht="15.95" customHeight="1" x14ac:dyDescent="0.25">
      <c r="B6" s="27"/>
      <c r="C6" s="182" t="s">
        <v>71</v>
      </c>
      <c r="D6" s="183"/>
      <c r="E6" s="182" t="s">
        <v>68</v>
      </c>
      <c r="F6" s="183"/>
      <c r="G6" s="188"/>
      <c r="H6" s="28"/>
    </row>
    <row r="7" spans="2:8" ht="15.95" customHeight="1" x14ac:dyDescent="0.25">
      <c r="B7" s="27"/>
      <c r="C7" s="182"/>
      <c r="D7" s="183"/>
      <c r="E7" s="32" t="s">
        <v>95</v>
      </c>
      <c r="F7" s="33" t="s">
        <v>96</v>
      </c>
      <c r="G7" s="34" t="s">
        <v>202</v>
      </c>
      <c r="H7" s="28"/>
    </row>
    <row r="8" spans="2:8" ht="15.95" customHeight="1" x14ac:dyDescent="0.25">
      <c r="B8" s="27"/>
      <c r="C8" s="184" t="s">
        <v>69</v>
      </c>
      <c r="D8" s="36" t="s">
        <v>72</v>
      </c>
      <c r="E8" s="15">
        <f>Links!AT83</f>
        <v>2.585866496977637</v>
      </c>
      <c r="F8" s="76" t="e">
        <f>Intersections!CL69</f>
        <v>#VALUE!</v>
      </c>
      <c r="G8" s="66" t="e">
        <f>E8*E20+F8*F20</f>
        <v>#VALUE!</v>
      </c>
      <c r="H8" s="28"/>
    </row>
    <row r="9" spans="2:8" ht="15.95" customHeight="1" x14ac:dyDescent="0.25">
      <c r="B9" s="27"/>
      <c r="C9" s="184"/>
      <c r="D9" s="36" t="s">
        <v>73</v>
      </c>
      <c r="E9" s="10" t="str">
        <f>IF(E8&lt;=2,"A",IF(E8&lt;=2.75,"B",IF(E8&lt;=3.5,"C",IF(E8&lt;=4.25,"D",IF(E8&lt;=5,"E","F")))))</f>
        <v>B</v>
      </c>
      <c r="F9" s="16" t="e">
        <f>IF(F8&lt;=2,"A",IF(F8&lt;=2.75,"B",IF(F8&lt;=3.5,"C",IF(F8&lt;=4.25,"D",IF(F8&lt;=5,"E","F")))))</f>
        <v>#VALUE!</v>
      </c>
      <c r="G9" s="35" t="e">
        <f>IF(G8&lt;=2,"A",IF(G8&lt;=2.75,"B",IF(G8&lt;=3.5,"C",IF(G8&lt;=4.25,"D",IF(G8&lt;=5,"E","F")))))</f>
        <v>#VALUE!</v>
      </c>
      <c r="H9" s="28"/>
    </row>
    <row r="10" spans="2:8" ht="15.95" customHeight="1" x14ac:dyDescent="0.25">
      <c r="B10" s="27"/>
      <c r="C10" s="184" t="s">
        <v>70</v>
      </c>
      <c r="D10" s="36" t="s">
        <v>72</v>
      </c>
      <c r="E10" s="15">
        <f>Links!AT86</f>
        <v>4.5308900955325564</v>
      </c>
      <c r="F10" s="76">
        <f>Intersections!CL72</f>
        <v>3.3533950980392153</v>
      </c>
      <c r="G10" s="66">
        <f>E10*E21+F10*F21</f>
        <v>4.2953910960338888</v>
      </c>
      <c r="H10" s="28"/>
    </row>
    <row r="11" spans="2:8" ht="15.95" customHeight="1" x14ac:dyDescent="0.25">
      <c r="B11" s="27"/>
      <c r="C11" s="184"/>
      <c r="D11" s="36" t="s">
        <v>73</v>
      </c>
      <c r="E11" s="10" t="str">
        <f>IF(E10&lt;=2,"A",IF(E10&lt;=2.75,"B",IF(E10&lt;=3.5,"C",IF(E10&lt;=4.25,"D",IF(E10&lt;=5,"E","F")))))</f>
        <v>E</v>
      </c>
      <c r="F11" s="16" t="str">
        <f>IF(F10&lt;=2,"A",IF(F10&lt;=2.75,"B",IF(F10&lt;=3.5,"C",IF(F10&lt;=4.25,"D",IF(F10&lt;=5,"E","F")))))</f>
        <v>C</v>
      </c>
      <c r="G11" s="35" t="str">
        <f>IF(G10&lt;=2,"A",IF(G10&lt;=2.75,"B",IF(G10&lt;=3.5,"C",IF(G10&lt;=4.25,"D",IF(G10&lt;=5,"E","F")))))</f>
        <v>E</v>
      </c>
      <c r="H11" s="28"/>
    </row>
    <row r="12" spans="2:8" ht="15.95" customHeight="1" x14ac:dyDescent="0.25">
      <c r="B12" s="27"/>
      <c r="C12" s="184" t="s">
        <v>63</v>
      </c>
      <c r="D12" s="36" t="s">
        <v>72</v>
      </c>
      <c r="E12" s="15">
        <f>Links!AT89</f>
        <v>2.3438381097591807</v>
      </c>
      <c r="F12" s="187" t="s">
        <v>97</v>
      </c>
      <c r="G12" s="66">
        <f>E12</f>
        <v>2.3438381097591807</v>
      </c>
      <c r="H12" s="28"/>
    </row>
    <row r="13" spans="2:8" ht="15.95" customHeight="1" x14ac:dyDescent="0.25">
      <c r="B13" s="27"/>
      <c r="C13" s="184"/>
      <c r="D13" s="36" t="s">
        <v>73</v>
      </c>
      <c r="E13" s="10" t="str">
        <f>IF(E12&lt;=2,"A",IF(E12&lt;=2.75,"B",IF(E12&lt;=3.5,"C",IF(E12&lt;=4.25,"D",IF(E12&lt;=5,"E","F")))))</f>
        <v>B</v>
      </c>
      <c r="F13" s="187"/>
      <c r="G13" s="35" t="str">
        <f>E13</f>
        <v>B</v>
      </c>
      <c r="H13" s="28"/>
    </row>
    <row r="14" spans="2:8" ht="13.5" thickBot="1" x14ac:dyDescent="0.3">
      <c r="B14" s="29"/>
      <c r="C14" s="30"/>
      <c r="D14" s="30"/>
      <c r="E14" s="30"/>
      <c r="F14" s="30"/>
      <c r="G14" s="30"/>
      <c r="H14" s="31"/>
    </row>
    <row r="16" spans="2:8" ht="13.5" thickBot="1" x14ac:dyDescent="0.3"/>
    <row r="17" spans="2:8" x14ac:dyDescent="0.25">
      <c r="B17" s="24"/>
      <c r="C17" s="25"/>
      <c r="D17" s="25"/>
      <c r="E17" s="25"/>
      <c r="F17" s="25"/>
      <c r="G17" s="25"/>
      <c r="H17" s="26"/>
    </row>
    <row r="18" spans="2:8" ht="15.95" customHeight="1" x14ac:dyDescent="0.25">
      <c r="B18" s="27"/>
      <c r="C18" s="182" t="s">
        <v>71</v>
      </c>
      <c r="D18" s="183"/>
      <c r="E18" s="182" t="s">
        <v>203</v>
      </c>
      <c r="F18" s="183"/>
      <c r="G18" s="183"/>
      <c r="H18" s="28"/>
    </row>
    <row r="19" spans="2:8" ht="13.5" x14ac:dyDescent="0.25">
      <c r="B19" s="27"/>
      <c r="C19" s="182"/>
      <c r="D19" s="183"/>
      <c r="E19" s="32" t="s">
        <v>95</v>
      </c>
      <c r="F19" s="33" t="s">
        <v>96</v>
      </c>
      <c r="G19" s="89" t="s">
        <v>199</v>
      </c>
      <c r="H19" s="28"/>
    </row>
    <row r="20" spans="2:8" x14ac:dyDescent="0.25">
      <c r="B20" s="27"/>
      <c r="C20" s="184" t="s">
        <v>69</v>
      </c>
      <c r="D20" s="185"/>
      <c r="E20" s="105">
        <v>0.7</v>
      </c>
      <c r="F20" s="106">
        <v>0.3</v>
      </c>
      <c r="G20" s="107">
        <f>E20+F20</f>
        <v>1</v>
      </c>
      <c r="H20" s="28"/>
    </row>
    <row r="21" spans="2:8" x14ac:dyDescent="0.25">
      <c r="B21" s="27"/>
      <c r="C21" s="184" t="s">
        <v>70</v>
      </c>
      <c r="D21" s="185"/>
      <c r="E21" s="105">
        <v>0.8</v>
      </c>
      <c r="F21" s="106">
        <v>0.2</v>
      </c>
      <c r="G21" s="107">
        <f>E21+F21</f>
        <v>1</v>
      </c>
      <c r="H21" s="28"/>
    </row>
    <row r="22" spans="2:8" ht="13.5" thickBot="1" x14ac:dyDescent="0.3">
      <c r="B22" s="29"/>
      <c r="C22" s="30"/>
      <c r="D22" s="30"/>
      <c r="E22" s="30"/>
      <c r="F22" s="30"/>
      <c r="G22" s="30"/>
      <c r="H22" s="31"/>
    </row>
    <row r="24" spans="2:8" x14ac:dyDescent="0.25">
      <c r="B24" s="114" t="s">
        <v>219</v>
      </c>
    </row>
  </sheetData>
  <mergeCells count="12">
    <mergeCell ref="C3:G3"/>
    <mergeCell ref="F12:F13"/>
    <mergeCell ref="E6:G6"/>
    <mergeCell ref="C6:D7"/>
    <mergeCell ref="C8:C9"/>
    <mergeCell ref="C10:C11"/>
    <mergeCell ref="C4:G4"/>
    <mergeCell ref="C18:D19"/>
    <mergeCell ref="C20:D20"/>
    <mergeCell ref="C21:D21"/>
    <mergeCell ref="E18:G18"/>
    <mergeCell ref="C12:C13"/>
  </mergeCells>
  <pageMargins left="0.7" right="0.7" top="0.75" bottom="0.75" header="0.3" footer="0.3"/>
  <pageSetup orientation="portrait" horizontalDpi="360" verticalDpi="360" r:id="rId1"/>
  <ignoredErrors>
    <ignoredError sqref="E10 E12"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02"/>
  <sheetViews>
    <sheetView zoomScaleNormal="100" zoomScalePageLayoutView="70" workbookViewId="0">
      <pane xSplit="5" ySplit="4" topLeftCell="F44" activePane="bottomRight" state="frozen"/>
      <selection pane="topRight" activeCell="F1" sqref="F1"/>
      <selection pane="bottomLeft" activeCell="A5" sqref="A5"/>
      <selection pane="bottomRight" activeCell="H94" sqref="H94"/>
    </sheetView>
  </sheetViews>
  <sheetFormatPr defaultColWidth="10.875" defaultRowHeight="12.75" x14ac:dyDescent="0.25"/>
  <cols>
    <col min="1" max="2" width="3.375" style="20" customWidth="1"/>
    <col min="3" max="3" width="5.5" style="23" bestFit="1" customWidth="1"/>
    <col min="4" max="4" width="50.375"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41"/>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182" t="s">
        <v>68</v>
      </c>
      <c r="D3" s="188"/>
      <c r="E3" s="197" t="s">
        <v>231</v>
      </c>
      <c r="F3" s="182" t="s">
        <v>19</v>
      </c>
      <c r="G3" s="188"/>
      <c r="H3" s="182" t="s">
        <v>123</v>
      </c>
      <c r="I3" s="188"/>
      <c r="J3" s="182" t="s">
        <v>124</v>
      </c>
      <c r="K3" s="188"/>
      <c r="L3" s="182" t="s">
        <v>125</v>
      </c>
      <c r="M3" s="188"/>
      <c r="N3" s="182" t="s">
        <v>126</v>
      </c>
      <c r="O3" s="188"/>
      <c r="P3" s="182" t="s">
        <v>127</v>
      </c>
      <c r="Q3" s="188"/>
      <c r="R3" s="182" t="s">
        <v>128</v>
      </c>
      <c r="S3" s="188"/>
      <c r="T3" s="182" t="s">
        <v>129</v>
      </c>
      <c r="U3" s="188"/>
      <c r="V3" s="182" t="s">
        <v>130</v>
      </c>
      <c r="W3" s="188"/>
      <c r="X3" s="182" t="s">
        <v>131</v>
      </c>
      <c r="Y3" s="188"/>
      <c r="Z3" s="182" t="s">
        <v>132</v>
      </c>
      <c r="AA3" s="188"/>
      <c r="AB3" s="182" t="s">
        <v>133</v>
      </c>
      <c r="AC3" s="188"/>
      <c r="AD3" s="182" t="s">
        <v>134</v>
      </c>
      <c r="AE3" s="188"/>
      <c r="AF3" s="182" t="s">
        <v>135</v>
      </c>
      <c r="AG3" s="188"/>
      <c r="AH3" s="182" t="s">
        <v>136</v>
      </c>
      <c r="AI3" s="188"/>
      <c r="AJ3" s="182" t="s">
        <v>137</v>
      </c>
      <c r="AK3" s="188"/>
      <c r="AL3" s="182" t="s">
        <v>138</v>
      </c>
      <c r="AM3" s="188"/>
      <c r="AN3" s="182" t="s">
        <v>139</v>
      </c>
      <c r="AO3" s="188"/>
      <c r="AP3" s="182" t="s">
        <v>140</v>
      </c>
      <c r="AQ3" s="188"/>
      <c r="AR3" s="182" t="s">
        <v>141</v>
      </c>
      <c r="AS3" s="188"/>
      <c r="AT3" s="190" t="s">
        <v>199</v>
      </c>
      <c r="AU3" s="56"/>
    </row>
    <row r="4" spans="1:47" s="21" customFormat="1" ht="13.5" x14ac:dyDescent="0.25">
      <c r="B4" s="57"/>
      <c r="C4" s="182"/>
      <c r="D4" s="188"/>
      <c r="E4" s="197"/>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190"/>
      <c r="AU4" s="58"/>
    </row>
    <row r="5" spans="1:47" s="21" customFormat="1" x14ac:dyDescent="0.25">
      <c r="B5" s="57"/>
      <c r="C5" s="59"/>
      <c r="D5" s="59"/>
      <c r="E5" s="115"/>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182" t="s">
        <v>0</v>
      </c>
      <c r="D6" s="188"/>
      <c r="E6" s="89"/>
      <c r="F6" s="182"/>
      <c r="G6" s="188"/>
      <c r="H6" s="182"/>
      <c r="I6" s="188"/>
      <c r="J6" s="182"/>
      <c r="K6" s="188"/>
      <c r="L6" s="182"/>
      <c r="M6" s="188"/>
      <c r="N6" s="182"/>
      <c r="O6" s="188"/>
      <c r="P6" s="182"/>
      <c r="Q6" s="188"/>
      <c r="R6" s="182"/>
      <c r="S6" s="188"/>
      <c r="T6" s="182"/>
      <c r="U6" s="188"/>
      <c r="V6" s="182"/>
      <c r="W6" s="188"/>
      <c r="X6" s="182"/>
      <c r="Y6" s="188"/>
      <c r="Z6" s="182"/>
      <c r="AA6" s="188"/>
      <c r="AB6" s="182"/>
      <c r="AC6" s="188"/>
      <c r="AD6" s="182"/>
      <c r="AE6" s="188"/>
      <c r="AF6" s="182"/>
      <c r="AG6" s="188"/>
      <c r="AH6" s="182"/>
      <c r="AI6" s="188"/>
      <c r="AJ6" s="182"/>
      <c r="AK6" s="188"/>
      <c r="AL6" s="182"/>
      <c r="AM6" s="188"/>
      <c r="AN6" s="182"/>
      <c r="AO6" s="188"/>
      <c r="AP6" s="182"/>
      <c r="AQ6" s="188"/>
      <c r="AR6" s="182"/>
      <c r="AS6" s="188"/>
      <c r="AT6" s="48"/>
      <c r="AU6" s="58"/>
    </row>
    <row r="7" spans="1:47" s="21" customFormat="1" ht="13.5" x14ac:dyDescent="0.2">
      <c r="B7" s="57"/>
      <c r="C7" s="6"/>
      <c r="D7" s="7" t="s">
        <v>88</v>
      </c>
      <c r="E7" s="133"/>
      <c r="F7" s="194">
        <v>220</v>
      </c>
      <c r="G7" s="195"/>
      <c r="H7" s="194"/>
      <c r="I7" s="195"/>
      <c r="J7" s="194"/>
      <c r="K7" s="195"/>
      <c r="L7" s="194"/>
      <c r="M7" s="195"/>
      <c r="N7" s="194"/>
      <c r="O7" s="195"/>
      <c r="P7" s="194"/>
      <c r="Q7" s="195"/>
      <c r="R7" s="194"/>
      <c r="S7" s="195"/>
      <c r="T7" s="194"/>
      <c r="U7" s="195"/>
      <c r="V7" s="194"/>
      <c r="W7" s="195"/>
      <c r="X7" s="194"/>
      <c r="Y7" s="195"/>
      <c r="Z7" s="194"/>
      <c r="AA7" s="195"/>
      <c r="AB7" s="194"/>
      <c r="AC7" s="195"/>
      <c r="AD7" s="194"/>
      <c r="AE7" s="195"/>
      <c r="AF7" s="194"/>
      <c r="AG7" s="195"/>
      <c r="AH7" s="194"/>
      <c r="AI7" s="195"/>
      <c r="AJ7" s="194"/>
      <c r="AK7" s="195"/>
      <c r="AL7" s="194"/>
      <c r="AM7" s="195"/>
      <c r="AN7" s="194"/>
      <c r="AO7" s="195"/>
      <c r="AP7" s="194"/>
      <c r="AQ7" s="195"/>
      <c r="AR7" s="194"/>
      <c r="AS7" s="195"/>
      <c r="AT7" s="48"/>
      <c r="AU7" s="58"/>
    </row>
    <row r="8" spans="1:47" s="21" customFormat="1" ht="13.5" x14ac:dyDescent="0.25">
      <c r="B8" s="57"/>
      <c r="C8" s="6"/>
      <c r="D8" s="7" t="s">
        <v>65</v>
      </c>
      <c r="E8" s="133"/>
      <c r="F8" s="80" t="s">
        <v>286</v>
      </c>
      <c r="G8" s="3" t="s">
        <v>287</v>
      </c>
      <c r="H8" s="80"/>
      <c r="I8" s="3"/>
      <c r="J8" s="80"/>
      <c r="K8" s="3"/>
      <c r="L8" s="80"/>
      <c r="M8" s="3"/>
      <c r="N8" s="80"/>
      <c r="O8" s="3"/>
      <c r="P8" s="80"/>
      <c r="Q8" s="3"/>
      <c r="R8" s="80"/>
      <c r="S8" s="3"/>
      <c r="T8" s="80"/>
      <c r="U8" s="3"/>
      <c r="V8" s="80"/>
      <c r="W8" s="3"/>
      <c r="X8" s="80"/>
      <c r="Y8" s="3"/>
      <c r="Z8" s="80"/>
      <c r="AA8" s="3"/>
      <c r="AB8" s="80"/>
      <c r="AC8" s="3"/>
      <c r="AD8" s="80"/>
      <c r="AE8" s="3"/>
      <c r="AF8" s="80"/>
      <c r="AG8" s="3"/>
      <c r="AH8" s="80"/>
      <c r="AI8" s="3"/>
      <c r="AJ8" s="80"/>
      <c r="AK8" s="3"/>
      <c r="AL8" s="80"/>
      <c r="AM8" s="3"/>
      <c r="AN8" s="80"/>
      <c r="AO8" s="3"/>
      <c r="AP8" s="80"/>
      <c r="AQ8" s="3"/>
      <c r="AR8" s="80"/>
      <c r="AS8" s="3"/>
      <c r="AT8" s="48"/>
      <c r="AU8" s="58"/>
    </row>
    <row r="9" spans="1:47" ht="13.5" x14ac:dyDescent="0.25">
      <c r="B9" s="55"/>
      <c r="C9" s="4"/>
      <c r="D9" s="8" t="s">
        <v>115</v>
      </c>
      <c r="E9" s="120"/>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122</v>
      </c>
      <c r="D10" s="7" t="s">
        <v>17</v>
      </c>
      <c r="E10" s="123"/>
      <c r="F10" s="81">
        <v>727</v>
      </c>
      <c r="G10" s="82">
        <v>850</v>
      </c>
      <c r="H10" s="81"/>
      <c r="I10" s="82"/>
      <c r="J10" s="81"/>
      <c r="K10" s="82"/>
      <c r="L10" s="81"/>
      <c r="M10" s="82"/>
      <c r="N10" s="81"/>
      <c r="O10" s="82"/>
      <c r="P10" s="81"/>
      <c r="Q10" s="82"/>
      <c r="R10" s="81"/>
      <c r="S10" s="82"/>
      <c r="T10" s="81"/>
      <c r="U10" s="82"/>
      <c r="V10" s="81"/>
      <c r="W10" s="82"/>
      <c r="X10" s="81"/>
      <c r="Y10" s="82"/>
      <c r="Z10" s="81"/>
      <c r="AA10" s="82"/>
      <c r="AB10" s="81"/>
      <c r="AC10" s="82"/>
      <c r="AD10" s="81"/>
      <c r="AE10" s="82"/>
      <c r="AF10" s="81"/>
      <c r="AG10" s="82"/>
      <c r="AH10" s="81"/>
      <c r="AI10" s="82"/>
      <c r="AJ10" s="81"/>
      <c r="AK10" s="82"/>
      <c r="AL10" s="81"/>
      <c r="AM10" s="82"/>
      <c r="AN10" s="81"/>
      <c r="AO10" s="82"/>
      <c r="AP10" s="81"/>
      <c r="AQ10" s="82"/>
      <c r="AR10" s="81"/>
      <c r="AS10" s="82"/>
      <c r="AT10" s="49"/>
      <c r="AU10" s="56"/>
    </row>
    <row r="11" spans="1:47" ht="14.25" x14ac:dyDescent="0.25">
      <c r="B11" s="55"/>
      <c r="C11" s="9" t="s">
        <v>108</v>
      </c>
      <c r="D11" s="7" t="s">
        <v>90</v>
      </c>
      <c r="E11" s="124"/>
      <c r="F11" s="40">
        <v>0.02</v>
      </c>
      <c r="G11" s="41">
        <v>0.02</v>
      </c>
      <c r="H11" s="40"/>
      <c r="I11" s="41"/>
      <c r="J11" s="40"/>
      <c r="K11" s="41"/>
      <c r="L11" s="40"/>
      <c r="M11" s="41"/>
      <c r="N11" s="40"/>
      <c r="O11" s="41"/>
      <c r="P11" s="40"/>
      <c r="Q11" s="41"/>
      <c r="R11" s="40"/>
      <c r="S11" s="41"/>
      <c r="T11" s="40"/>
      <c r="U11" s="41"/>
      <c r="V11" s="40"/>
      <c r="W11" s="41"/>
      <c r="X11" s="40"/>
      <c r="Y11" s="41"/>
      <c r="Z11" s="40"/>
      <c r="AA11" s="41"/>
      <c r="AB11" s="40"/>
      <c r="AC11" s="41"/>
      <c r="AD11" s="40"/>
      <c r="AE11" s="41"/>
      <c r="AF11" s="40"/>
      <c r="AG11" s="41"/>
      <c r="AH11" s="40"/>
      <c r="AI11" s="41"/>
      <c r="AJ11" s="40"/>
      <c r="AK11" s="41"/>
      <c r="AL11" s="40"/>
      <c r="AM11" s="41"/>
      <c r="AN11" s="40"/>
      <c r="AO11" s="41"/>
      <c r="AP11" s="40"/>
      <c r="AQ11" s="41"/>
      <c r="AR11" s="40"/>
      <c r="AS11" s="41"/>
      <c r="AT11" s="49"/>
      <c r="AU11" s="56"/>
    </row>
    <row r="12" spans="1:47" ht="14.25" x14ac:dyDescent="0.25">
      <c r="B12" s="55"/>
      <c r="C12" s="9" t="s">
        <v>31</v>
      </c>
      <c r="D12" s="7" t="s">
        <v>18</v>
      </c>
      <c r="E12" s="123"/>
      <c r="F12" s="81">
        <v>25</v>
      </c>
      <c r="G12" s="82">
        <v>25</v>
      </c>
      <c r="H12" s="81"/>
      <c r="I12" s="82"/>
      <c r="J12" s="81"/>
      <c r="K12" s="82"/>
      <c r="L12" s="81"/>
      <c r="M12" s="82"/>
      <c r="N12" s="81"/>
      <c r="O12" s="82"/>
      <c r="P12" s="81"/>
      <c r="Q12" s="82"/>
      <c r="R12" s="81"/>
      <c r="S12" s="82"/>
      <c r="T12" s="81"/>
      <c r="U12" s="82"/>
      <c r="V12" s="81"/>
      <c r="W12" s="82"/>
      <c r="X12" s="81"/>
      <c r="Y12" s="82"/>
      <c r="Z12" s="81"/>
      <c r="AA12" s="82"/>
      <c r="AB12" s="81"/>
      <c r="AC12" s="82"/>
      <c r="AD12" s="81"/>
      <c r="AE12" s="82"/>
      <c r="AF12" s="81"/>
      <c r="AG12" s="82"/>
      <c r="AH12" s="81"/>
      <c r="AI12" s="82"/>
      <c r="AJ12" s="81"/>
      <c r="AK12" s="82"/>
      <c r="AL12" s="81"/>
      <c r="AM12" s="82"/>
      <c r="AN12" s="81"/>
      <c r="AO12" s="82"/>
      <c r="AP12" s="81"/>
      <c r="AQ12" s="82"/>
      <c r="AR12" s="81"/>
      <c r="AS12" s="82"/>
      <c r="AT12" s="49"/>
      <c r="AU12" s="56"/>
    </row>
    <row r="13" spans="1:47" ht="14.25" x14ac:dyDescent="0.25">
      <c r="B13" s="55"/>
      <c r="C13" s="9" t="s">
        <v>117</v>
      </c>
      <c r="D13" s="7" t="s">
        <v>118</v>
      </c>
      <c r="E13" s="125"/>
      <c r="F13" s="83">
        <v>4</v>
      </c>
      <c r="G13" s="84">
        <v>4</v>
      </c>
      <c r="H13" s="83"/>
      <c r="I13" s="84"/>
      <c r="J13" s="83"/>
      <c r="K13" s="84"/>
      <c r="L13" s="83"/>
      <c r="M13" s="84"/>
      <c r="N13" s="83"/>
      <c r="O13" s="84"/>
      <c r="P13" s="83"/>
      <c r="Q13" s="84"/>
      <c r="R13" s="83"/>
      <c r="S13" s="84"/>
      <c r="T13" s="83"/>
      <c r="U13" s="84"/>
      <c r="V13" s="83"/>
      <c r="W13" s="84"/>
      <c r="X13" s="83"/>
      <c r="Y13" s="84"/>
      <c r="Z13" s="83"/>
      <c r="AA13" s="84"/>
      <c r="AB13" s="83"/>
      <c r="AC13" s="84"/>
      <c r="AD13" s="83"/>
      <c r="AE13" s="84"/>
      <c r="AF13" s="83"/>
      <c r="AG13" s="84"/>
      <c r="AH13" s="83"/>
      <c r="AI13" s="84"/>
      <c r="AJ13" s="83"/>
      <c r="AK13" s="84"/>
      <c r="AL13" s="83"/>
      <c r="AM13" s="84"/>
      <c r="AN13" s="83"/>
      <c r="AO13" s="84"/>
      <c r="AP13" s="83"/>
      <c r="AQ13" s="84"/>
      <c r="AR13" s="83"/>
      <c r="AS13" s="84"/>
      <c r="AT13" s="49"/>
      <c r="AU13" s="56"/>
    </row>
    <row r="14" spans="1:47" ht="14.25" x14ac:dyDescent="0.25">
      <c r="B14" s="55"/>
      <c r="C14" s="9" t="s">
        <v>25</v>
      </c>
      <c r="D14" s="153" t="s">
        <v>248</v>
      </c>
      <c r="E14" s="126"/>
      <c r="F14" s="85">
        <v>8</v>
      </c>
      <c r="G14" s="86">
        <v>8</v>
      </c>
      <c r="H14" s="85"/>
      <c r="I14" s="86"/>
      <c r="J14" s="85"/>
      <c r="K14" s="86"/>
      <c r="L14" s="85"/>
      <c r="M14" s="86"/>
      <c r="N14" s="85"/>
      <c r="O14" s="86"/>
      <c r="P14" s="85"/>
      <c r="Q14" s="86"/>
      <c r="R14" s="85"/>
      <c r="S14" s="86"/>
      <c r="T14" s="85"/>
      <c r="U14" s="86"/>
      <c r="V14" s="85"/>
      <c r="W14" s="86"/>
      <c r="X14" s="85"/>
      <c r="Y14" s="86"/>
      <c r="Z14" s="85"/>
      <c r="AA14" s="86"/>
      <c r="AB14" s="85"/>
      <c r="AC14" s="86"/>
      <c r="AD14" s="85"/>
      <c r="AE14" s="86"/>
      <c r="AF14" s="85"/>
      <c r="AG14" s="86"/>
      <c r="AH14" s="85"/>
      <c r="AI14" s="86"/>
      <c r="AJ14" s="85"/>
      <c r="AK14" s="86"/>
      <c r="AL14" s="85"/>
      <c r="AM14" s="86"/>
      <c r="AN14" s="85"/>
      <c r="AO14" s="86"/>
      <c r="AP14" s="85"/>
      <c r="AQ14" s="86"/>
      <c r="AR14" s="85"/>
      <c r="AS14" s="86"/>
      <c r="AT14" s="49"/>
      <c r="AU14" s="56"/>
    </row>
    <row r="15" spans="1:47" ht="14.25" x14ac:dyDescent="0.25">
      <c r="B15" s="55"/>
      <c r="C15" s="9" t="s">
        <v>26</v>
      </c>
      <c r="D15" s="7" t="s">
        <v>11</v>
      </c>
      <c r="E15" s="126"/>
      <c r="F15" s="85">
        <v>0</v>
      </c>
      <c r="G15" s="86">
        <v>0</v>
      </c>
      <c r="H15" s="85"/>
      <c r="I15" s="86"/>
      <c r="J15" s="85"/>
      <c r="K15" s="86"/>
      <c r="L15" s="85"/>
      <c r="M15" s="86"/>
      <c r="N15" s="85"/>
      <c r="O15" s="86"/>
      <c r="P15" s="85"/>
      <c r="Q15" s="86"/>
      <c r="R15" s="85"/>
      <c r="S15" s="86"/>
      <c r="T15" s="85"/>
      <c r="U15" s="86"/>
      <c r="V15" s="85"/>
      <c r="W15" s="86"/>
      <c r="X15" s="85"/>
      <c r="Y15" s="86"/>
      <c r="Z15" s="85"/>
      <c r="AA15" s="86"/>
      <c r="AB15" s="85"/>
      <c r="AC15" s="86"/>
      <c r="AD15" s="85"/>
      <c r="AE15" s="86"/>
      <c r="AF15" s="85"/>
      <c r="AG15" s="86"/>
      <c r="AH15" s="85"/>
      <c r="AI15" s="86"/>
      <c r="AJ15" s="85"/>
      <c r="AK15" s="86"/>
      <c r="AL15" s="85"/>
      <c r="AM15" s="86"/>
      <c r="AN15" s="85"/>
      <c r="AO15" s="86"/>
      <c r="AP15" s="85"/>
      <c r="AQ15" s="86"/>
      <c r="AR15" s="85"/>
      <c r="AS15" s="86"/>
      <c r="AT15" s="49"/>
      <c r="AU15" s="56"/>
    </row>
    <row r="16" spans="1:47" ht="14.25" x14ac:dyDescent="0.25">
      <c r="B16" s="55"/>
      <c r="C16" s="9" t="s">
        <v>28</v>
      </c>
      <c r="D16" s="153" t="s">
        <v>249</v>
      </c>
      <c r="E16" s="127"/>
      <c r="F16" s="87">
        <v>0</v>
      </c>
      <c r="G16" s="88">
        <v>0</v>
      </c>
      <c r="H16" s="87"/>
      <c r="I16" s="88"/>
      <c r="J16" s="87"/>
      <c r="K16" s="88"/>
      <c r="L16" s="87"/>
      <c r="M16" s="88"/>
      <c r="N16" s="87"/>
      <c r="O16" s="88"/>
      <c r="P16" s="87"/>
      <c r="Q16" s="88"/>
      <c r="R16" s="87"/>
      <c r="S16" s="88"/>
      <c r="T16" s="87"/>
      <c r="U16" s="88"/>
      <c r="V16" s="87"/>
      <c r="W16" s="88"/>
      <c r="X16" s="87"/>
      <c r="Y16" s="88"/>
      <c r="Z16" s="87"/>
      <c r="AA16" s="88"/>
      <c r="AB16" s="87"/>
      <c r="AC16" s="88"/>
      <c r="AD16" s="87"/>
      <c r="AE16" s="88"/>
      <c r="AF16" s="87"/>
      <c r="AG16" s="88"/>
      <c r="AH16" s="87"/>
      <c r="AI16" s="88"/>
      <c r="AJ16" s="87"/>
      <c r="AK16" s="88"/>
      <c r="AL16" s="87"/>
      <c r="AM16" s="88"/>
      <c r="AN16" s="87"/>
      <c r="AO16" s="88"/>
      <c r="AP16" s="87"/>
      <c r="AQ16" s="88"/>
      <c r="AR16" s="87"/>
      <c r="AS16" s="88"/>
      <c r="AT16" s="49"/>
      <c r="AU16" s="56"/>
    </row>
    <row r="17" spans="2:47" ht="14.25" x14ac:dyDescent="0.25">
      <c r="B17" s="55"/>
      <c r="C17" s="9" t="s">
        <v>29</v>
      </c>
      <c r="D17" s="7" t="s">
        <v>22</v>
      </c>
      <c r="E17" s="127"/>
      <c r="F17" s="87">
        <v>0</v>
      </c>
      <c r="G17" s="88">
        <v>0</v>
      </c>
      <c r="H17" s="87"/>
      <c r="I17" s="88"/>
      <c r="J17" s="87"/>
      <c r="K17" s="88"/>
      <c r="L17" s="87"/>
      <c r="M17" s="88"/>
      <c r="N17" s="87"/>
      <c r="O17" s="88"/>
      <c r="P17" s="87"/>
      <c r="Q17" s="88"/>
      <c r="R17" s="87"/>
      <c r="S17" s="88"/>
      <c r="T17" s="87"/>
      <c r="U17" s="88"/>
      <c r="V17" s="87"/>
      <c r="W17" s="88"/>
      <c r="X17" s="87"/>
      <c r="Y17" s="88"/>
      <c r="Z17" s="87"/>
      <c r="AA17" s="88"/>
      <c r="AB17" s="87"/>
      <c r="AC17" s="88"/>
      <c r="AD17" s="87"/>
      <c r="AE17" s="88"/>
      <c r="AF17" s="87"/>
      <c r="AG17" s="88"/>
      <c r="AH17" s="87"/>
      <c r="AI17" s="88"/>
      <c r="AJ17" s="87"/>
      <c r="AK17" s="88"/>
      <c r="AL17" s="87"/>
      <c r="AM17" s="88"/>
      <c r="AN17" s="87"/>
      <c r="AO17" s="88"/>
      <c r="AP17" s="87"/>
      <c r="AQ17" s="88"/>
      <c r="AR17" s="87"/>
      <c r="AS17" s="88"/>
      <c r="AT17" s="49"/>
      <c r="AU17" s="56"/>
    </row>
    <row r="18" spans="2:47" ht="14.25" x14ac:dyDescent="0.25">
      <c r="B18" s="55"/>
      <c r="C18" s="9" t="s">
        <v>30</v>
      </c>
      <c r="D18" s="7" t="s">
        <v>16</v>
      </c>
      <c r="E18" s="127"/>
      <c r="F18" s="87">
        <v>12</v>
      </c>
      <c r="G18" s="88">
        <v>12</v>
      </c>
      <c r="H18" s="87"/>
      <c r="I18" s="88"/>
      <c r="J18" s="87"/>
      <c r="K18" s="88"/>
      <c r="L18" s="87"/>
      <c r="M18" s="88"/>
      <c r="N18" s="87"/>
      <c r="O18" s="88"/>
      <c r="P18" s="87"/>
      <c r="Q18" s="88"/>
      <c r="R18" s="87"/>
      <c r="S18" s="88"/>
      <c r="T18" s="87"/>
      <c r="U18" s="88"/>
      <c r="V18" s="87"/>
      <c r="W18" s="88"/>
      <c r="X18" s="87"/>
      <c r="Y18" s="88"/>
      <c r="Z18" s="87"/>
      <c r="AA18" s="88"/>
      <c r="AB18" s="87"/>
      <c r="AC18" s="88"/>
      <c r="AD18" s="87"/>
      <c r="AE18" s="88"/>
      <c r="AF18" s="87"/>
      <c r="AG18" s="88"/>
      <c r="AH18" s="87"/>
      <c r="AI18" s="88"/>
      <c r="AJ18" s="87"/>
      <c r="AK18" s="88"/>
      <c r="AL18" s="87"/>
      <c r="AM18" s="88"/>
      <c r="AN18" s="87"/>
      <c r="AO18" s="88"/>
      <c r="AP18" s="87"/>
      <c r="AQ18" s="88"/>
      <c r="AR18" s="87"/>
      <c r="AS18" s="88"/>
      <c r="AT18" s="49"/>
      <c r="AU18" s="56"/>
    </row>
    <row r="19" spans="2:47" ht="14.25" x14ac:dyDescent="0.25">
      <c r="B19" s="55"/>
      <c r="C19" s="9" t="s">
        <v>27</v>
      </c>
      <c r="D19" s="7" t="s">
        <v>14</v>
      </c>
      <c r="E19" s="124"/>
      <c r="F19" s="40">
        <v>0.9</v>
      </c>
      <c r="G19" s="41">
        <v>0.9</v>
      </c>
      <c r="H19" s="40"/>
      <c r="I19" s="41"/>
      <c r="J19" s="40"/>
      <c r="K19" s="41"/>
      <c r="L19" s="40"/>
      <c r="M19" s="41"/>
      <c r="N19" s="40"/>
      <c r="O19" s="41"/>
      <c r="P19" s="40"/>
      <c r="Q19" s="41"/>
      <c r="R19" s="40"/>
      <c r="S19" s="41"/>
      <c r="T19" s="40"/>
      <c r="U19" s="41"/>
      <c r="V19" s="40"/>
      <c r="W19" s="41"/>
      <c r="X19" s="40"/>
      <c r="Y19" s="41"/>
      <c r="Z19" s="40"/>
      <c r="AA19" s="41"/>
      <c r="AB19" s="40"/>
      <c r="AC19" s="41"/>
      <c r="AD19" s="40"/>
      <c r="AE19" s="41"/>
      <c r="AF19" s="40"/>
      <c r="AG19" s="41"/>
      <c r="AH19" s="40"/>
      <c r="AI19" s="41"/>
      <c r="AJ19" s="40"/>
      <c r="AK19" s="41"/>
      <c r="AL19" s="40"/>
      <c r="AM19" s="41"/>
      <c r="AN19" s="40"/>
      <c r="AO19" s="41"/>
      <c r="AP19" s="40"/>
      <c r="AQ19" s="41"/>
      <c r="AR19" s="40"/>
      <c r="AS19" s="41"/>
      <c r="AT19" s="49"/>
      <c r="AU19" s="56"/>
    </row>
    <row r="20" spans="2:47" ht="14.25" x14ac:dyDescent="0.25">
      <c r="B20" s="55"/>
      <c r="C20" s="9" t="s">
        <v>121</v>
      </c>
      <c r="D20" s="7" t="s">
        <v>23</v>
      </c>
      <c r="E20" s="127"/>
      <c r="F20" s="87">
        <v>9</v>
      </c>
      <c r="G20" s="88">
        <v>9</v>
      </c>
      <c r="H20" s="87"/>
      <c r="I20" s="88"/>
      <c r="J20" s="87"/>
      <c r="K20" s="88"/>
      <c r="L20" s="87"/>
      <c r="M20" s="88"/>
      <c r="N20" s="87"/>
      <c r="O20" s="88"/>
      <c r="P20" s="87"/>
      <c r="Q20" s="88"/>
      <c r="R20" s="87"/>
      <c r="S20" s="88"/>
      <c r="T20" s="87"/>
      <c r="U20" s="88"/>
      <c r="V20" s="87"/>
      <c r="W20" s="88"/>
      <c r="X20" s="87"/>
      <c r="Y20" s="88"/>
      <c r="Z20" s="87"/>
      <c r="AA20" s="88"/>
      <c r="AB20" s="87"/>
      <c r="AC20" s="88"/>
      <c r="AD20" s="87"/>
      <c r="AE20" s="88"/>
      <c r="AF20" s="87"/>
      <c r="AG20" s="88"/>
      <c r="AH20" s="87"/>
      <c r="AI20" s="88"/>
      <c r="AJ20" s="87"/>
      <c r="AK20" s="88"/>
      <c r="AL20" s="87"/>
      <c r="AM20" s="88"/>
      <c r="AN20" s="87"/>
      <c r="AO20" s="88"/>
      <c r="AP20" s="87"/>
      <c r="AQ20" s="88"/>
      <c r="AR20" s="87"/>
      <c r="AS20" s="88"/>
      <c r="AT20" s="49"/>
      <c r="AU20" s="56"/>
    </row>
    <row r="21" spans="2:47" ht="14.25" x14ac:dyDescent="0.25">
      <c r="B21" s="55"/>
      <c r="C21" s="9" t="s">
        <v>116</v>
      </c>
      <c r="D21" s="7" t="s">
        <v>91</v>
      </c>
      <c r="E21" s="127"/>
      <c r="F21" s="87">
        <v>3.5</v>
      </c>
      <c r="G21" s="88">
        <v>3.5</v>
      </c>
      <c r="H21" s="87"/>
      <c r="I21" s="88"/>
      <c r="J21" s="87"/>
      <c r="K21" s="88"/>
      <c r="L21" s="87"/>
      <c r="M21" s="88"/>
      <c r="N21" s="87"/>
      <c r="O21" s="88"/>
      <c r="P21" s="87"/>
      <c r="Q21" s="88"/>
      <c r="R21" s="87"/>
      <c r="S21" s="88"/>
      <c r="T21" s="87"/>
      <c r="U21" s="88"/>
      <c r="V21" s="87"/>
      <c r="W21" s="88"/>
      <c r="X21" s="87"/>
      <c r="Y21" s="88"/>
      <c r="Z21" s="87"/>
      <c r="AA21" s="88"/>
      <c r="AB21" s="87"/>
      <c r="AC21" s="88"/>
      <c r="AD21" s="87"/>
      <c r="AE21" s="88"/>
      <c r="AF21" s="87"/>
      <c r="AG21" s="88"/>
      <c r="AH21" s="87"/>
      <c r="AI21" s="88"/>
      <c r="AJ21" s="87"/>
      <c r="AK21" s="88"/>
      <c r="AL21" s="87"/>
      <c r="AM21" s="88"/>
      <c r="AN21" s="87"/>
      <c r="AO21" s="88"/>
      <c r="AP21" s="87"/>
      <c r="AQ21" s="88"/>
      <c r="AR21" s="87"/>
      <c r="AS21" s="88"/>
      <c r="AT21" s="49"/>
      <c r="AU21" s="56"/>
    </row>
    <row r="22" spans="2:47" ht="25.5" x14ac:dyDescent="0.25">
      <c r="B22" s="55"/>
      <c r="C22" s="9"/>
      <c r="D22" s="142" t="s">
        <v>233</v>
      </c>
      <c r="E22" s="146" t="s">
        <v>64</v>
      </c>
      <c r="F22" s="40" t="s">
        <v>64</v>
      </c>
      <c r="G22" s="41" t="s">
        <v>64</v>
      </c>
      <c r="H22" s="79"/>
      <c r="I22" s="41"/>
      <c r="J22" s="40"/>
      <c r="K22" s="41"/>
      <c r="L22" s="40"/>
      <c r="M22" s="41"/>
      <c r="N22" s="40"/>
      <c r="O22" s="41"/>
      <c r="P22" s="40"/>
      <c r="Q22" s="41"/>
      <c r="R22" s="40"/>
      <c r="S22" s="41"/>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3.5" x14ac:dyDescent="0.25">
      <c r="B23" s="55"/>
      <c r="C23" s="9"/>
      <c r="D23" s="7" t="s">
        <v>12</v>
      </c>
      <c r="E23" s="124"/>
      <c r="F23" s="40" t="s">
        <v>64</v>
      </c>
      <c r="G23" s="41" t="s">
        <v>64</v>
      </c>
      <c r="H23" s="40"/>
      <c r="I23" s="41"/>
      <c r="J23" s="40"/>
      <c r="K23" s="41"/>
      <c r="L23" s="40"/>
      <c r="M23" s="41"/>
      <c r="N23" s="40"/>
      <c r="O23" s="41"/>
      <c r="P23" s="40"/>
      <c r="Q23" s="41"/>
      <c r="R23" s="40"/>
      <c r="S23" s="41"/>
      <c r="T23" s="40"/>
      <c r="U23" s="41"/>
      <c r="V23" s="40"/>
      <c r="W23" s="41"/>
      <c r="X23" s="40"/>
      <c r="Y23" s="41"/>
      <c r="Z23" s="40"/>
      <c r="AA23" s="41"/>
      <c r="AB23" s="40"/>
      <c r="AC23" s="41"/>
      <c r="AD23" s="40"/>
      <c r="AE23" s="41"/>
      <c r="AF23" s="40"/>
      <c r="AG23" s="41"/>
      <c r="AH23" s="40"/>
      <c r="AI23" s="41"/>
      <c r="AJ23" s="40"/>
      <c r="AK23" s="41"/>
      <c r="AL23" s="40"/>
      <c r="AM23" s="41"/>
      <c r="AN23" s="40"/>
      <c r="AO23" s="41"/>
      <c r="AP23" s="40"/>
      <c r="AQ23" s="41"/>
      <c r="AR23" s="40"/>
      <c r="AS23" s="41"/>
      <c r="AT23" s="49"/>
      <c r="AU23" s="56"/>
    </row>
    <row r="24" spans="2:47" ht="13.5" x14ac:dyDescent="0.25">
      <c r="B24" s="55"/>
      <c r="C24" s="9"/>
      <c r="D24" s="7" t="s">
        <v>13</v>
      </c>
      <c r="E24" s="124"/>
      <c r="F24" s="40" t="s">
        <v>74</v>
      </c>
      <c r="G24" s="41" t="s">
        <v>74</v>
      </c>
      <c r="H24" s="40"/>
      <c r="I24" s="41"/>
      <c r="J24" s="40"/>
      <c r="K24" s="41"/>
      <c r="L24" s="40"/>
      <c r="M24" s="41"/>
      <c r="N24" s="40"/>
      <c r="O24" s="41"/>
      <c r="P24" s="40"/>
      <c r="Q24" s="41"/>
      <c r="R24" s="40"/>
      <c r="S24" s="41"/>
      <c r="T24" s="40"/>
      <c r="U24" s="41"/>
      <c r="V24" s="40"/>
      <c r="W24" s="41"/>
      <c r="X24" s="40"/>
      <c r="Y24" s="41"/>
      <c r="Z24" s="40"/>
      <c r="AA24" s="41"/>
      <c r="AB24" s="40"/>
      <c r="AC24" s="41"/>
      <c r="AD24" s="40"/>
      <c r="AE24" s="41"/>
      <c r="AF24" s="40"/>
      <c r="AG24" s="41"/>
      <c r="AH24" s="40"/>
      <c r="AI24" s="41"/>
      <c r="AJ24" s="40"/>
      <c r="AK24" s="41"/>
      <c r="AL24" s="40"/>
      <c r="AM24" s="41"/>
      <c r="AN24" s="40"/>
      <c r="AO24" s="41"/>
      <c r="AP24" s="40"/>
      <c r="AQ24" s="41"/>
      <c r="AR24" s="40"/>
      <c r="AS24" s="41"/>
      <c r="AT24" s="49"/>
      <c r="AU24" s="56"/>
    </row>
    <row r="25" spans="2:47" ht="13.5" x14ac:dyDescent="0.25">
      <c r="B25" s="55"/>
      <c r="C25" s="9"/>
      <c r="D25" s="77" t="s">
        <v>173</v>
      </c>
      <c r="E25" s="124"/>
      <c r="F25" s="40" t="s">
        <v>74</v>
      </c>
      <c r="G25" s="41" t="s">
        <v>74</v>
      </c>
      <c r="H25" s="40"/>
      <c r="I25" s="41"/>
      <c r="J25" s="40"/>
      <c r="K25" s="41"/>
      <c r="L25" s="40"/>
      <c r="M25" s="41"/>
      <c r="N25" s="40"/>
      <c r="O25" s="41"/>
      <c r="P25" s="40"/>
      <c r="Q25" s="41"/>
      <c r="R25" s="40"/>
      <c r="S25" s="41"/>
      <c r="T25" s="40"/>
      <c r="U25" s="41"/>
      <c r="V25" s="40"/>
      <c r="W25" s="41"/>
      <c r="X25" s="40"/>
      <c r="Y25" s="41"/>
      <c r="Z25" s="40"/>
      <c r="AA25" s="41"/>
      <c r="AB25" s="40"/>
      <c r="AC25" s="41"/>
      <c r="AD25" s="40"/>
      <c r="AE25" s="41"/>
      <c r="AF25" s="40"/>
      <c r="AG25" s="41"/>
      <c r="AH25" s="40"/>
      <c r="AI25" s="41"/>
      <c r="AJ25" s="40"/>
      <c r="AK25" s="41"/>
      <c r="AL25" s="40"/>
      <c r="AM25" s="41"/>
      <c r="AN25" s="40"/>
      <c r="AO25" s="41"/>
      <c r="AP25" s="40"/>
      <c r="AQ25" s="41"/>
      <c r="AR25" s="40"/>
      <c r="AS25" s="41"/>
      <c r="AT25" s="49"/>
      <c r="AU25" s="56"/>
    </row>
    <row r="26" spans="2:47" ht="13.5" x14ac:dyDescent="0.25">
      <c r="B26" s="55"/>
      <c r="C26" s="111"/>
      <c r="D26" s="110" t="s">
        <v>216</v>
      </c>
      <c r="E26" s="124"/>
      <c r="F26" s="40" t="s">
        <v>64</v>
      </c>
      <c r="G26" s="41" t="s">
        <v>64</v>
      </c>
      <c r="H26" s="40"/>
      <c r="I26" s="41"/>
      <c r="J26" s="40"/>
      <c r="K26" s="41"/>
      <c r="L26" s="40"/>
      <c r="M26" s="41"/>
      <c r="N26" s="40"/>
      <c r="O26" s="41"/>
      <c r="P26" s="40"/>
      <c r="Q26" s="41"/>
      <c r="R26" s="40"/>
      <c r="S26" s="41"/>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x14ac:dyDescent="0.25">
      <c r="B27" s="55"/>
      <c r="C27" s="111"/>
      <c r="D27" s="110" t="s">
        <v>244</v>
      </c>
      <c r="E27" s="146"/>
      <c r="F27" s="40" t="s">
        <v>64</v>
      </c>
      <c r="G27" s="41" t="s">
        <v>64</v>
      </c>
      <c r="H27" s="40"/>
      <c r="I27" s="41"/>
      <c r="J27" s="40"/>
      <c r="K27" s="41"/>
      <c r="L27" s="40"/>
      <c r="M27" s="41"/>
      <c r="N27" s="40"/>
      <c r="O27" s="41"/>
      <c r="P27" s="40"/>
      <c r="Q27" s="41"/>
      <c r="R27" s="40"/>
      <c r="S27" s="41"/>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4"/>
      <c r="D28" s="8" t="s">
        <v>21</v>
      </c>
      <c r="E28" s="121"/>
      <c r="F28" s="4"/>
      <c r="G28" s="5"/>
      <c r="H28" s="4"/>
      <c r="I28" s="5"/>
      <c r="J28" s="4"/>
      <c r="K28" s="5"/>
      <c r="L28" s="4"/>
      <c r="M28" s="5"/>
      <c r="N28" s="4"/>
      <c r="O28" s="5"/>
      <c r="P28" s="4"/>
      <c r="Q28" s="5"/>
      <c r="R28" s="4"/>
      <c r="S28" s="5"/>
      <c r="T28" s="4"/>
      <c r="U28" s="5"/>
      <c r="V28" s="4"/>
      <c r="W28" s="5"/>
      <c r="X28" s="4"/>
      <c r="Y28" s="5"/>
      <c r="Z28" s="4"/>
      <c r="AA28" s="5"/>
      <c r="AB28" s="4"/>
      <c r="AC28" s="5"/>
      <c r="AD28" s="4"/>
      <c r="AE28" s="5"/>
      <c r="AF28" s="4"/>
      <c r="AG28" s="5"/>
      <c r="AH28" s="4"/>
      <c r="AI28" s="5"/>
      <c r="AJ28" s="4"/>
      <c r="AK28" s="5"/>
      <c r="AL28" s="4"/>
      <c r="AM28" s="5"/>
      <c r="AN28" s="4"/>
      <c r="AO28" s="5"/>
      <c r="AP28" s="4"/>
      <c r="AQ28" s="5"/>
      <c r="AR28" s="4"/>
      <c r="AS28" s="5"/>
      <c r="AT28" s="49"/>
      <c r="AU28" s="56"/>
    </row>
    <row r="29" spans="2:47" ht="13.5" x14ac:dyDescent="0.25">
      <c r="B29" s="55"/>
      <c r="C29" s="9"/>
      <c r="D29" s="7" t="s">
        <v>1</v>
      </c>
      <c r="E29" s="128"/>
      <c r="F29" s="9">
        <v>5</v>
      </c>
      <c r="G29" s="39">
        <v>5</v>
      </c>
      <c r="H29" s="9"/>
      <c r="I29" s="39"/>
      <c r="J29" s="9"/>
      <c r="K29" s="39"/>
      <c r="L29" s="9"/>
      <c r="M29" s="39"/>
      <c r="N29" s="9"/>
      <c r="O29" s="39"/>
      <c r="P29" s="9"/>
      <c r="Q29" s="39"/>
      <c r="R29" s="9"/>
      <c r="S29" s="39"/>
      <c r="T29" s="9"/>
      <c r="U29" s="39"/>
      <c r="V29" s="9"/>
      <c r="W29" s="39"/>
      <c r="X29" s="9"/>
      <c r="Y29" s="39"/>
      <c r="Z29" s="9"/>
      <c r="AA29" s="39"/>
      <c r="AB29" s="9"/>
      <c r="AC29" s="39"/>
      <c r="AD29" s="9"/>
      <c r="AE29" s="39"/>
      <c r="AF29" s="9"/>
      <c r="AG29" s="39"/>
      <c r="AH29" s="9"/>
      <c r="AI29" s="39"/>
      <c r="AJ29" s="9"/>
      <c r="AK29" s="39"/>
      <c r="AL29" s="9"/>
      <c r="AM29" s="39"/>
      <c r="AN29" s="9"/>
      <c r="AO29" s="39"/>
      <c r="AP29" s="9"/>
      <c r="AQ29" s="39"/>
      <c r="AR29" s="9"/>
      <c r="AS29" s="39"/>
      <c r="AT29" s="49"/>
      <c r="AU29" s="56"/>
    </row>
    <row r="30" spans="2:47" ht="13.5" x14ac:dyDescent="0.25">
      <c r="B30" s="55"/>
      <c r="C30" s="9"/>
      <c r="D30" s="7" t="s">
        <v>2</v>
      </c>
      <c r="E30" s="128"/>
      <c r="F30" s="9">
        <v>3</v>
      </c>
      <c r="G30" s="39">
        <v>3</v>
      </c>
      <c r="H30" s="9"/>
      <c r="I30" s="39"/>
      <c r="J30" s="9"/>
      <c r="K30" s="39"/>
      <c r="L30" s="9"/>
      <c r="M30" s="39"/>
      <c r="N30" s="9"/>
      <c r="O30" s="39"/>
      <c r="P30" s="9"/>
      <c r="Q30" s="39"/>
      <c r="R30" s="9"/>
      <c r="S30" s="39"/>
      <c r="T30" s="9"/>
      <c r="U30" s="39"/>
      <c r="V30" s="9"/>
      <c r="W30" s="39"/>
      <c r="X30" s="9"/>
      <c r="Y30" s="39"/>
      <c r="Z30" s="9"/>
      <c r="AA30" s="39"/>
      <c r="AB30" s="9"/>
      <c r="AC30" s="39"/>
      <c r="AD30" s="9"/>
      <c r="AE30" s="39"/>
      <c r="AF30" s="9"/>
      <c r="AG30" s="39"/>
      <c r="AH30" s="9"/>
      <c r="AI30" s="39"/>
      <c r="AJ30" s="9"/>
      <c r="AK30" s="39"/>
      <c r="AL30" s="9"/>
      <c r="AM30" s="39"/>
      <c r="AN30" s="9"/>
      <c r="AO30" s="39"/>
      <c r="AP30" s="9"/>
      <c r="AQ30" s="39"/>
      <c r="AR30" s="9"/>
      <c r="AS30" s="39"/>
      <c r="AT30" s="49"/>
      <c r="AU30" s="56"/>
    </row>
    <row r="31" spans="2:47" ht="14.25" x14ac:dyDescent="0.25">
      <c r="B31" s="55"/>
      <c r="C31" s="9" t="s">
        <v>75</v>
      </c>
      <c r="D31" s="7" t="s">
        <v>3</v>
      </c>
      <c r="E31" s="128"/>
      <c r="F31" s="9">
        <v>0</v>
      </c>
      <c r="G31" s="39">
        <v>0</v>
      </c>
      <c r="H31" s="9"/>
      <c r="I31" s="39"/>
      <c r="J31" s="9"/>
      <c r="K31" s="39"/>
      <c r="L31" s="9"/>
      <c r="M31" s="39"/>
      <c r="N31" s="9"/>
      <c r="O31" s="39"/>
      <c r="P31" s="9"/>
      <c r="Q31" s="39"/>
      <c r="R31" s="9"/>
      <c r="S31" s="39"/>
      <c r="T31" s="9"/>
      <c r="U31" s="39"/>
      <c r="V31" s="9"/>
      <c r="W31" s="39"/>
      <c r="X31" s="9"/>
      <c r="Y31" s="39"/>
      <c r="Z31" s="9"/>
      <c r="AA31" s="39"/>
      <c r="AB31" s="9"/>
      <c r="AC31" s="39"/>
      <c r="AD31" s="9"/>
      <c r="AE31" s="39"/>
      <c r="AF31" s="9"/>
      <c r="AG31" s="39"/>
      <c r="AH31" s="9"/>
      <c r="AI31" s="39"/>
      <c r="AJ31" s="9"/>
      <c r="AK31" s="39"/>
      <c r="AL31" s="9"/>
      <c r="AM31" s="39"/>
      <c r="AN31" s="9"/>
      <c r="AO31" s="39"/>
      <c r="AP31" s="9"/>
      <c r="AQ31" s="39"/>
      <c r="AR31" s="9"/>
      <c r="AS31" s="39"/>
      <c r="AT31" s="49"/>
      <c r="AU31" s="56"/>
    </row>
    <row r="32" spans="2:47" ht="14.25" x14ac:dyDescent="0.25">
      <c r="B32" s="55"/>
      <c r="C32" s="9" t="s">
        <v>76</v>
      </c>
      <c r="D32" s="7" t="s">
        <v>4</v>
      </c>
      <c r="E32" s="128"/>
      <c r="F32" s="9">
        <v>0.85</v>
      </c>
      <c r="G32" s="39">
        <v>0.85</v>
      </c>
      <c r="H32" s="9"/>
      <c r="I32" s="39"/>
      <c r="J32" s="9"/>
      <c r="K32" s="39"/>
      <c r="L32" s="9"/>
      <c r="M32" s="39"/>
      <c r="N32" s="9"/>
      <c r="O32" s="39"/>
      <c r="P32" s="9"/>
      <c r="Q32" s="39"/>
      <c r="R32" s="9"/>
      <c r="S32" s="39"/>
      <c r="T32" s="9"/>
      <c r="U32" s="39"/>
      <c r="V32" s="9"/>
      <c r="W32" s="39"/>
      <c r="X32" s="9"/>
      <c r="Y32" s="39"/>
      <c r="Z32" s="9"/>
      <c r="AA32" s="39"/>
      <c r="AB32" s="9"/>
      <c r="AC32" s="39"/>
      <c r="AD32" s="9"/>
      <c r="AE32" s="39"/>
      <c r="AF32" s="9"/>
      <c r="AG32" s="39"/>
      <c r="AH32" s="9"/>
      <c r="AI32" s="39"/>
      <c r="AJ32" s="9"/>
      <c r="AK32" s="39"/>
      <c r="AL32" s="9"/>
      <c r="AM32" s="39"/>
      <c r="AN32" s="9"/>
      <c r="AO32" s="39"/>
      <c r="AP32" s="9"/>
      <c r="AQ32" s="39"/>
      <c r="AR32" s="9"/>
      <c r="AS32" s="39"/>
      <c r="AT32" s="49"/>
      <c r="AU32" s="56"/>
    </row>
    <row r="33" spans="2:47" ht="13.5" x14ac:dyDescent="0.25">
      <c r="B33" s="55"/>
      <c r="C33" s="9" t="s">
        <v>5</v>
      </c>
      <c r="D33" s="7" t="s">
        <v>6</v>
      </c>
      <c r="E33" s="128"/>
      <c r="F33" s="9">
        <v>9</v>
      </c>
      <c r="G33" s="39">
        <v>9</v>
      </c>
      <c r="H33" s="9"/>
      <c r="I33" s="39"/>
      <c r="J33" s="9"/>
      <c r="K33" s="39"/>
      <c r="L33" s="9"/>
      <c r="M33" s="39"/>
      <c r="N33" s="9"/>
      <c r="O33" s="39"/>
      <c r="P33" s="9"/>
      <c r="Q33" s="39"/>
      <c r="R33" s="9"/>
      <c r="S33" s="39"/>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4.25" x14ac:dyDescent="0.25">
      <c r="B34" s="55"/>
      <c r="C34" s="9" t="s">
        <v>77</v>
      </c>
      <c r="D34" s="108" t="s">
        <v>7</v>
      </c>
      <c r="E34" s="128">
        <v>3.7</v>
      </c>
      <c r="F34" s="9">
        <v>3.7</v>
      </c>
      <c r="G34" s="39">
        <v>3.7</v>
      </c>
      <c r="H34" s="9"/>
      <c r="I34" s="39"/>
      <c r="J34" s="9"/>
      <c r="K34" s="39"/>
      <c r="L34" s="9"/>
      <c r="M34" s="39"/>
      <c r="N34" s="9"/>
      <c r="O34" s="39"/>
      <c r="P34" s="9"/>
      <c r="Q34" s="39"/>
      <c r="R34" s="9"/>
      <c r="S34" s="39"/>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3.5" x14ac:dyDescent="0.25">
      <c r="B35" s="55"/>
      <c r="C35" s="9"/>
      <c r="D35" s="7" t="s">
        <v>8</v>
      </c>
      <c r="E35" s="124"/>
      <c r="F35" s="40" t="s">
        <v>64</v>
      </c>
      <c r="G35" s="41" t="s">
        <v>64</v>
      </c>
      <c r="H35" s="40"/>
      <c r="I35" s="41"/>
      <c r="J35" s="40"/>
      <c r="K35" s="41"/>
      <c r="L35" s="40"/>
      <c r="M35" s="41"/>
      <c r="N35" s="40"/>
      <c r="O35" s="41"/>
      <c r="P35" s="40"/>
      <c r="Q35" s="41"/>
      <c r="R35" s="40"/>
      <c r="S35" s="41"/>
      <c r="T35" s="40"/>
      <c r="U35" s="41"/>
      <c r="V35" s="40"/>
      <c r="W35" s="41"/>
      <c r="X35" s="40"/>
      <c r="Y35" s="41"/>
      <c r="Z35" s="40"/>
      <c r="AA35" s="41"/>
      <c r="AB35" s="40"/>
      <c r="AC35" s="41"/>
      <c r="AD35" s="40"/>
      <c r="AE35" s="41"/>
      <c r="AF35" s="40"/>
      <c r="AG35" s="41"/>
      <c r="AH35" s="40"/>
      <c r="AI35" s="41"/>
      <c r="AJ35" s="40"/>
      <c r="AK35" s="41"/>
      <c r="AL35" s="40"/>
      <c r="AM35" s="41"/>
      <c r="AN35" s="40"/>
      <c r="AO35" s="41"/>
      <c r="AP35" s="40"/>
      <c r="AQ35" s="41"/>
      <c r="AR35" s="40"/>
      <c r="AS35" s="41"/>
      <c r="AT35" s="49"/>
      <c r="AU35" s="56"/>
    </row>
    <row r="36" spans="2:47" ht="14.25" x14ac:dyDescent="0.25">
      <c r="B36" s="55"/>
      <c r="C36" s="9" t="s">
        <v>78</v>
      </c>
      <c r="D36" s="7" t="s">
        <v>9</v>
      </c>
      <c r="E36" s="124"/>
      <c r="F36" s="40">
        <v>0</v>
      </c>
      <c r="G36" s="41">
        <v>0</v>
      </c>
      <c r="H36" s="40"/>
      <c r="I36" s="41"/>
      <c r="J36" s="40"/>
      <c r="K36" s="41"/>
      <c r="L36" s="40"/>
      <c r="M36" s="41"/>
      <c r="N36" s="40"/>
      <c r="O36" s="41"/>
      <c r="P36" s="40"/>
      <c r="Q36" s="41"/>
      <c r="R36" s="40"/>
      <c r="S36" s="41"/>
      <c r="T36" s="40"/>
      <c r="U36" s="41"/>
      <c r="V36" s="40"/>
      <c r="W36" s="41"/>
      <c r="X36" s="40"/>
      <c r="Y36" s="41"/>
      <c r="Z36" s="40"/>
      <c r="AA36" s="41"/>
      <c r="AB36" s="40"/>
      <c r="AC36" s="41"/>
      <c r="AD36" s="40"/>
      <c r="AE36" s="41"/>
      <c r="AF36" s="40"/>
      <c r="AG36" s="41"/>
      <c r="AH36" s="40"/>
      <c r="AI36" s="41"/>
      <c r="AJ36" s="40"/>
      <c r="AK36" s="41"/>
      <c r="AL36" s="40"/>
      <c r="AM36" s="41"/>
      <c r="AN36" s="40"/>
      <c r="AO36" s="41"/>
      <c r="AP36" s="40"/>
      <c r="AQ36" s="41"/>
      <c r="AR36" s="40"/>
      <c r="AS36" s="41"/>
      <c r="AT36" s="49"/>
      <c r="AU36" s="56"/>
    </row>
    <row r="37" spans="2:47" ht="14.25" x14ac:dyDescent="0.25">
      <c r="B37" s="55"/>
      <c r="C37" s="9" t="s">
        <v>79</v>
      </c>
      <c r="D37" s="7" t="s">
        <v>10</v>
      </c>
      <c r="E37" s="124"/>
      <c r="F37" s="40">
        <v>1</v>
      </c>
      <c r="G37" s="41">
        <v>1</v>
      </c>
      <c r="H37" s="40"/>
      <c r="I37" s="41"/>
      <c r="J37" s="40"/>
      <c r="K37" s="41"/>
      <c r="L37" s="40"/>
      <c r="M37" s="41"/>
      <c r="N37" s="40"/>
      <c r="O37" s="41"/>
      <c r="P37" s="40"/>
      <c r="Q37" s="41"/>
      <c r="R37" s="40"/>
      <c r="S37" s="41"/>
      <c r="T37" s="40"/>
      <c r="U37" s="41"/>
      <c r="V37" s="40"/>
      <c r="W37" s="41"/>
      <c r="X37" s="40"/>
      <c r="Y37" s="41"/>
      <c r="Z37" s="40"/>
      <c r="AA37" s="41"/>
      <c r="AB37" s="40"/>
      <c r="AC37" s="41"/>
      <c r="AD37" s="40"/>
      <c r="AE37" s="41"/>
      <c r="AF37" s="40"/>
      <c r="AG37" s="41"/>
      <c r="AH37" s="40"/>
      <c r="AI37" s="41"/>
      <c r="AJ37" s="40"/>
      <c r="AK37" s="41"/>
      <c r="AL37" s="40"/>
      <c r="AM37" s="41"/>
      <c r="AN37" s="40"/>
      <c r="AO37" s="41"/>
      <c r="AP37" s="40"/>
      <c r="AQ37" s="41"/>
      <c r="AR37" s="40"/>
      <c r="AS37" s="41"/>
      <c r="AT37" s="49"/>
      <c r="AU37" s="56"/>
    </row>
    <row r="38" spans="2:47" x14ac:dyDescent="0.25">
      <c r="B38" s="55"/>
      <c r="C38" s="111"/>
      <c r="D38" s="110" t="s">
        <v>235</v>
      </c>
      <c r="E38" s="146" t="s">
        <v>74</v>
      </c>
      <c r="F38" s="40" t="s">
        <v>74</v>
      </c>
      <c r="G38" s="41" t="s">
        <v>74</v>
      </c>
      <c r="H38" s="40"/>
      <c r="I38" s="41"/>
      <c r="J38" s="40"/>
      <c r="K38" s="41"/>
      <c r="L38" s="40"/>
      <c r="M38" s="41"/>
      <c r="N38" s="40"/>
      <c r="O38" s="41"/>
      <c r="P38" s="40"/>
      <c r="Q38" s="41"/>
      <c r="R38" s="40"/>
      <c r="S38" s="41"/>
      <c r="T38" s="40"/>
      <c r="U38" s="41"/>
      <c r="V38" s="40"/>
      <c r="W38" s="41"/>
      <c r="X38" s="40"/>
      <c r="Y38" s="41"/>
      <c r="Z38" s="40"/>
      <c r="AA38" s="41"/>
      <c r="AB38" s="40"/>
      <c r="AC38" s="41"/>
      <c r="AD38" s="40"/>
      <c r="AE38" s="41"/>
      <c r="AF38" s="40"/>
      <c r="AG38" s="41"/>
      <c r="AH38" s="40"/>
      <c r="AI38" s="41"/>
      <c r="AJ38" s="40"/>
      <c r="AK38" s="41"/>
      <c r="AL38" s="40"/>
      <c r="AM38" s="41"/>
      <c r="AN38" s="40"/>
      <c r="AO38" s="41"/>
      <c r="AP38" s="40"/>
      <c r="AQ38" s="41"/>
      <c r="AR38" s="40"/>
      <c r="AS38" s="41"/>
      <c r="AT38" s="49"/>
      <c r="AU38" s="56"/>
    </row>
    <row r="39" spans="2:47" ht="13.5" x14ac:dyDescent="0.25">
      <c r="B39" s="55"/>
      <c r="C39" s="37"/>
      <c r="D39" s="60"/>
      <c r="E39" s="122"/>
      <c r="F39" s="37"/>
      <c r="G39" s="37"/>
      <c r="H39" s="37"/>
      <c r="I39" s="37"/>
      <c r="J39" s="37"/>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37"/>
      <c r="AS39" s="37"/>
      <c r="AT39" s="60"/>
      <c r="AU39" s="56"/>
    </row>
    <row r="40" spans="2:47" s="22" customFormat="1" ht="13.5" x14ac:dyDescent="0.25">
      <c r="B40" s="61"/>
      <c r="C40" s="182" t="s">
        <v>24</v>
      </c>
      <c r="D40" s="188"/>
      <c r="E40" s="89"/>
      <c r="F40" s="182"/>
      <c r="G40" s="188"/>
      <c r="H40" s="182"/>
      <c r="I40" s="188"/>
      <c r="J40" s="182"/>
      <c r="K40" s="188"/>
      <c r="L40" s="182"/>
      <c r="M40" s="188"/>
      <c r="N40" s="182"/>
      <c r="O40" s="188"/>
      <c r="P40" s="182"/>
      <c r="Q40" s="188"/>
      <c r="R40" s="182"/>
      <c r="S40" s="188"/>
      <c r="T40" s="182"/>
      <c r="U40" s="188"/>
      <c r="V40" s="182"/>
      <c r="W40" s="188"/>
      <c r="X40" s="182"/>
      <c r="Y40" s="188"/>
      <c r="Z40" s="182"/>
      <c r="AA40" s="188"/>
      <c r="AB40" s="182"/>
      <c r="AC40" s="188"/>
      <c r="AD40" s="182"/>
      <c r="AE40" s="188"/>
      <c r="AF40" s="182"/>
      <c r="AG40" s="188"/>
      <c r="AH40" s="182"/>
      <c r="AI40" s="188"/>
      <c r="AJ40" s="182"/>
      <c r="AK40" s="188"/>
      <c r="AL40" s="182"/>
      <c r="AM40" s="188"/>
      <c r="AN40" s="182"/>
      <c r="AO40" s="188"/>
      <c r="AP40" s="182"/>
      <c r="AQ40" s="188"/>
      <c r="AR40" s="182"/>
      <c r="AS40" s="188"/>
      <c r="AT40" s="50"/>
      <c r="AU40" s="62"/>
    </row>
    <row r="41" spans="2:47" ht="15.75" x14ac:dyDescent="0.25">
      <c r="B41" s="55"/>
      <c r="C41" s="4"/>
      <c r="D41" s="8" t="s">
        <v>205</v>
      </c>
      <c r="E41" s="120"/>
      <c r="F41" s="4"/>
      <c r="G41" s="5"/>
      <c r="H41" s="4"/>
      <c r="I41" s="5"/>
      <c r="J41" s="4"/>
      <c r="K41" s="5"/>
      <c r="L41" s="4"/>
      <c r="M41" s="5"/>
      <c r="N41" s="4"/>
      <c r="O41" s="5"/>
      <c r="P41" s="4"/>
      <c r="Q41" s="5"/>
      <c r="R41" s="4"/>
      <c r="S41" s="5"/>
      <c r="T41" s="4"/>
      <c r="U41" s="5"/>
      <c r="V41" s="4"/>
      <c r="W41" s="5"/>
      <c r="X41" s="4"/>
      <c r="Y41" s="5"/>
      <c r="Z41" s="4"/>
      <c r="AA41" s="5"/>
      <c r="AB41" s="4"/>
      <c r="AC41" s="5"/>
      <c r="AD41" s="4"/>
      <c r="AE41" s="5"/>
      <c r="AF41" s="4"/>
      <c r="AG41" s="5"/>
      <c r="AH41" s="4"/>
      <c r="AI41" s="5"/>
      <c r="AJ41" s="4"/>
      <c r="AK41" s="5"/>
      <c r="AL41" s="4"/>
      <c r="AM41" s="5"/>
      <c r="AN41" s="4"/>
      <c r="AO41" s="5"/>
      <c r="AP41" s="4"/>
      <c r="AQ41" s="5"/>
      <c r="AR41" s="4"/>
      <c r="AS41" s="5"/>
      <c r="AT41" s="51"/>
      <c r="AU41" s="56"/>
    </row>
    <row r="42" spans="2:47" ht="14.25" x14ac:dyDescent="0.25">
      <c r="B42" s="55"/>
      <c r="C42" s="10" t="s">
        <v>101</v>
      </c>
      <c r="D42" s="11" t="s">
        <v>32</v>
      </c>
      <c r="E42" s="129">
        <f t="shared" ref="E42" si="0">4*((E12/100)^2)</f>
        <v>0</v>
      </c>
      <c r="F42" s="10">
        <f t="shared" ref="F42:G42" si="1">4*((F12/100)^2)</f>
        <v>0.25</v>
      </c>
      <c r="G42" s="12">
        <f t="shared" si="1"/>
        <v>0.25</v>
      </c>
      <c r="H42" s="10">
        <f t="shared" ref="H42:AS42" si="2">4*((H12/100)^2)</f>
        <v>0</v>
      </c>
      <c r="I42" s="101">
        <f t="shared" si="2"/>
        <v>0</v>
      </c>
      <c r="J42" s="10">
        <f t="shared" si="2"/>
        <v>0</v>
      </c>
      <c r="K42" s="101">
        <f t="shared" si="2"/>
        <v>0</v>
      </c>
      <c r="L42" s="10">
        <f t="shared" si="2"/>
        <v>0</v>
      </c>
      <c r="M42" s="101">
        <f t="shared" si="2"/>
        <v>0</v>
      </c>
      <c r="N42" s="10">
        <f t="shared" si="2"/>
        <v>0</v>
      </c>
      <c r="O42" s="101">
        <f t="shared" si="2"/>
        <v>0</v>
      </c>
      <c r="P42" s="10">
        <f t="shared" si="2"/>
        <v>0</v>
      </c>
      <c r="Q42" s="101">
        <f t="shared" si="2"/>
        <v>0</v>
      </c>
      <c r="R42" s="10">
        <f t="shared" si="2"/>
        <v>0</v>
      </c>
      <c r="S42" s="101">
        <f t="shared" si="2"/>
        <v>0</v>
      </c>
      <c r="T42" s="10">
        <f t="shared" si="2"/>
        <v>0</v>
      </c>
      <c r="U42" s="101">
        <f t="shared" si="2"/>
        <v>0</v>
      </c>
      <c r="V42" s="10">
        <f t="shared" si="2"/>
        <v>0</v>
      </c>
      <c r="W42" s="101">
        <f t="shared" si="2"/>
        <v>0</v>
      </c>
      <c r="X42" s="10">
        <f t="shared" si="2"/>
        <v>0</v>
      </c>
      <c r="Y42" s="101">
        <f t="shared" si="2"/>
        <v>0</v>
      </c>
      <c r="Z42" s="10">
        <f t="shared" si="2"/>
        <v>0</v>
      </c>
      <c r="AA42" s="101">
        <f t="shared" si="2"/>
        <v>0</v>
      </c>
      <c r="AB42" s="10">
        <f t="shared" si="2"/>
        <v>0</v>
      </c>
      <c r="AC42" s="101">
        <f t="shared" si="2"/>
        <v>0</v>
      </c>
      <c r="AD42" s="10">
        <f t="shared" si="2"/>
        <v>0</v>
      </c>
      <c r="AE42" s="101">
        <f t="shared" si="2"/>
        <v>0</v>
      </c>
      <c r="AF42" s="10">
        <f t="shared" si="2"/>
        <v>0</v>
      </c>
      <c r="AG42" s="101">
        <f t="shared" si="2"/>
        <v>0</v>
      </c>
      <c r="AH42" s="10">
        <f t="shared" si="2"/>
        <v>0</v>
      </c>
      <c r="AI42" s="101">
        <f t="shared" si="2"/>
        <v>0</v>
      </c>
      <c r="AJ42" s="10">
        <f t="shared" si="2"/>
        <v>0</v>
      </c>
      <c r="AK42" s="101">
        <f t="shared" si="2"/>
        <v>0</v>
      </c>
      <c r="AL42" s="10">
        <f t="shared" si="2"/>
        <v>0</v>
      </c>
      <c r="AM42" s="101">
        <f t="shared" si="2"/>
        <v>0</v>
      </c>
      <c r="AN42" s="10">
        <f t="shared" si="2"/>
        <v>0</v>
      </c>
      <c r="AO42" s="101">
        <f t="shared" si="2"/>
        <v>0</v>
      </c>
      <c r="AP42" s="10">
        <f t="shared" si="2"/>
        <v>0</v>
      </c>
      <c r="AQ42" s="101">
        <f t="shared" si="2"/>
        <v>0</v>
      </c>
      <c r="AR42" s="10">
        <f t="shared" si="2"/>
        <v>0</v>
      </c>
      <c r="AS42" s="101">
        <f t="shared" si="2"/>
        <v>0</v>
      </c>
      <c r="AT42" s="51"/>
      <c r="AU42" s="56"/>
    </row>
    <row r="43" spans="2:47" ht="14.25" x14ac:dyDescent="0.25">
      <c r="B43" s="55"/>
      <c r="C43" s="10" t="s">
        <v>102</v>
      </c>
      <c r="D43" s="11" t="s">
        <v>33</v>
      </c>
      <c r="E43" s="130">
        <f>0.0091*(E10/(4))</f>
        <v>0</v>
      </c>
      <c r="F43" s="72">
        <f t="shared" ref="F43:AS43" si="3">0.0091*(F10/(4))</f>
        <v>1.6539250000000001</v>
      </c>
      <c r="G43" s="74">
        <f t="shared" si="3"/>
        <v>1.9337500000000001</v>
      </c>
      <c r="H43" s="98">
        <f t="shared" si="3"/>
        <v>0</v>
      </c>
      <c r="I43" s="100">
        <f t="shared" si="3"/>
        <v>0</v>
      </c>
      <c r="J43" s="98">
        <f t="shared" si="3"/>
        <v>0</v>
      </c>
      <c r="K43" s="100">
        <f t="shared" si="3"/>
        <v>0</v>
      </c>
      <c r="L43" s="98">
        <f t="shared" si="3"/>
        <v>0</v>
      </c>
      <c r="M43" s="100">
        <f t="shared" si="3"/>
        <v>0</v>
      </c>
      <c r="N43" s="98">
        <f t="shared" si="3"/>
        <v>0</v>
      </c>
      <c r="O43" s="100">
        <f t="shared" si="3"/>
        <v>0</v>
      </c>
      <c r="P43" s="98">
        <f t="shared" si="3"/>
        <v>0</v>
      </c>
      <c r="Q43" s="100">
        <f t="shared" si="3"/>
        <v>0</v>
      </c>
      <c r="R43" s="98">
        <f t="shared" si="3"/>
        <v>0</v>
      </c>
      <c r="S43" s="100">
        <f t="shared" si="3"/>
        <v>0</v>
      </c>
      <c r="T43" s="98">
        <f t="shared" si="3"/>
        <v>0</v>
      </c>
      <c r="U43" s="100">
        <f t="shared" si="3"/>
        <v>0</v>
      </c>
      <c r="V43" s="98">
        <f t="shared" si="3"/>
        <v>0</v>
      </c>
      <c r="W43" s="100">
        <f t="shared" si="3"/>
        <v>0</v>
      </c>
      <c r="X43" s="98">
        <f t="shared" si="3"/>
        <v>0</v>
      </c>
      <c r="Y43" s="100">
        <f t="shared" si="3"/>
        <v>0</v>
      </c>
      <c r="Z43" s="98">
        <f t="shared" si="3"/>
        <v>0</v>
      </c>
      <c r="AA43" s="100">
        <f t="shared" si="3"/>
        <v>0</v>
      </c>
      <c r="AB43" s="98">
        <f t="shared" si="3"/>
        <v>0</v>
      </c>
      <c r="AC43" s="100">
        <f t="shared" si="3"/>
        <v>0</v>
      </c>
      <c r="AD43" s="98">
        <f t="shared" si="3"/>
        <v>0</v>
      </c>
      <c r="AE43" s="100">
        <f t="shared" si="3"/>
        <v>0</v>
      </c>
      <c r="AF43" s="98">
        <f t="shared" si="3"/>
        <v>0</v>
      </c>
      <c r="AG43" s="100">
        <f t="shared" si="3"/>
        <v>0</v>
      </c>
      <c r="AH43" s="98">
        <f t="shared" si="3"/>
        <v>0</v>
      </c>
      <c r="AI43" s="100">
        <f t="shared" si="3"/>
        <v>0</v>
      </c>
      <c r="AJ43" s="98">
        <f t="shared" si="3"/>
        <v>0</v>
      </c>
      <c r="AK43" s="100">
        <f t="shared" si="3"/>
        <v>0</v>
      </c>
      <c r="AL43" s="98">
        <f t="shared" si="3"/>
        <v>0</v>
      </c>
      <c r="AM43" s="100">
        <f t="shared" si="3"/>
        <v>0</v>
      </c>
      <c r="AN43" s="98">
        <f t="shared" si="3"/>
        <v>0</v>
      </c>
      <c r="AO43" s="100">
        <f t="shared" si="3"/>
        <v>0</v>
      </c>
      <c r="AP43" s="98">
        <f t="shared" si="3"/>
        <v>0</v>
      </c>
      <c r="AQ43" s="100">
        <f t="shared" si="3"/>
        <v>0</v>
      </c>
      <c r="AR43" s="98">
        <f t="shared" si="3"/>
        <v>0</v>
      </c>
      <c r="AS43" s="100">
        <f t="shared" si="3"/>
        <v>0</v>
      </c>
      <c r="AT43" s="51"/>
      <c r="AU43" s="56"/>
    </row>
    <row r="44" spans="2:47" ht="14.25" x14ac:dyDescent="0.25">
      <c r="B44" s="55"/>
      <c r="C44" s="10" t="s">
        <v>42</v>
      </c>
      <c r="D44" s="11" t="s">
        <v>34</v>
      </c>
      <c r="E44" s="131">
        <f t="shared" ref="E44" si="4">MIN(E14,10)</f>
        <v>10</v>
      </c>
      <c r="F44" s="13">
        <f t="shared" ref="F44:G44" si="5">MIN(F14,10)</f>
        <v>8</v>
      </c>
      <c r="G44" s="14">
        <f t="shared" si="5"/>
        <v>8</v>
      </c>
      <c r="H44" s="13">
        <f t="shared" ref="H44:AS44" si="6">MIN(H14,10)</f>
        <v>10</v>
      </c>
      <c r="I44" s="14">
        <f t="shared" si="6"/>
        <v>10</v>
      </c>
      <c r="J44" s="13">
        <f t="shared" si="6"/>
        <v>10</v>
      </c>
      <c r="K44" s="14">
        <f t="shared" si="6"/>
        <v>10</v>
      </c>
      <c r="L44" s="13">
        <f t="shared" si="6"/>
        <v>10</v>
      </c>
      <c r="M44" s="14">
        <f t="shared" si="6"/>
        <v>10</v>
      </c>
      <c r="N44" s="13">
        <f t="shared" si="6"/>
        <v>10</v>
      </c>
      <c r="O44" s="14">
        <f t="shared" si="6"/>
        <v>10</v>
      </c>
      <c r="P44" s="13">
        <f t="shared" si="6"/>
        <v>10</v>
      </c>
      <c r="Q44" s="14">
        <f t="shared" si="6"/>
        <v>10</v>
      </c>
      <c r="R44" s="13">
        <f t="shared" si="6"/>
        <v>10</v>
      </c>
      <c r="S44" s="14">
        <f t="shared" si="6"/>
        <v>10</v>
      </c>
      <c r="T44" s="13">
        <f t="shared" si="6"/>
        <v>10</v>
      </c>
      <c r="U44" s="14">
        <f t="shared" si="6"/>
        <v>10</v>
      </c>
      <c r="V44" s="13">
        <f t="shared" si="6"/>
        <v>10</v>
      </c>
      <c r="W44" s="14">
        <f t="shared" si="6"/>
        <v>10</v>
      </c>
      <c r="X44" s="13">
        <f t="shared" si="6"/>
        <v>10</v>
      </c>
      <c r="Y44" s="14">
        <f t="shared" si="6"/>
        <v>10</v>
      </c>
      <c r="Z44" s="13">
        <f t="shared" si="6"/>
        <v>10</v>
      </c>
      <c r="AA44" s="14">
        <f t="shared" si="6"/>
        <v>10</v>
      </c>
      <c r="AB44" s="13">
        <f t="shared" si="6"/>
        <v>10</v>
      </c>
      <c r="AC44" s="14">
        <f t="shared" si="6"/>
        <v>10</v>
      </c>
      <c r="AD44" s="13">
        <f t="shared" si="6"/>
        <v>10</v>
      </c>
      <c r="AE44" s="14">
        <f t="shared" si="6"/>
        <v>10</v>
      </c>
      <c r="AF44" s="13">
        <f t="shared" si="6"/>
        <v>10</v>
      </c>
      <c r="AG44" s="14">
        <f t="shared" si="6"/>
        <v>10</v>
      </c>
      <c r="AH44" s="13">
        <f t="shared" si="6"/>
        <v>10</v>
      </c>
      <c r="AI44" s="14">
        <f t="shared" si="6"/>
        <v>10</v>
      </c>
      <c r="AJ44" s="13">
        <f t="shared" si="6"/>
        <v>10</v>
      </c>
      <c r="AK44" s="14">
        <f t="shared" si="6"/>
        <v>10</v>
      </c>
      <c r="AL44" s="13">
        <f t="shared" si="6"/>
        <v>10</v>
      </c>
      <c r="AM44" s="14">
        <f t="shared" si="6"/>
        <v>10</v>
      </c>
      <c r="AN44" s="13">
        <f t="shared" si="6"/>
        <v>10</v>
      </c>
      <c r="AO44" s="14">
        <f t="shared" si="6"/>
        <v>10</v>
      </c>
      <c r="AP44" s="13">
        <f t="shared" si="6"/>
        <v>10</v>
      </c>
      <c r="AQ44" s="14">
        <f t="shared" si="6"/>
        <v>10</v>
      </c>
      <c r="AR44" s="13">
        <f t="shared" si="6"/>
        <v>10</v>
      </c>
      <c r="AS44" s="14">
        <f t="shared" si="6"/>
        <v>10</v>
      </c>
      <c r="AT44" s="51"/>
      <c r="AU44" s="56"/>
    </row>
    <row r="45" spans="2:47" ht="14.25" x14ac:dyDescent="0.25">
      <c r="B45" s="55"/>
      <c r="C45" s="10" t="s">
        <v>43</v>
      </c>
      <c r="D45" s="11" t="s">
        <v>35</v>
      </c>
      <c r="E45" s="129">
        <f t="shared" ref="E45" si="7">6-(0.3*E44)</f>
        <v>3</v>
      </c>
      <c r="F45" s="10">
        <f t="shared" ref="F45:G45" si="8">6-(0.3*F44)</f>
        <v>3.6</v>
      </c>
      <c r="G45" s="12">
        <f t="shared" si="8"/>
        <v>3.6</v>
      </c>
      <c r="H45" s="10">
        <f t="shared" ref="H45:AS45" si="9">6-(0.3*H44)</f>
        <v>3</v>
      </c>
      <c r="I45" s="101">
        <f t="shared" si="9"/>
        <v>3</v>
      </c>
      <c r="J45" s="10">
        <f t="shared" si="9"/>
        <v>3</v>
      </c>
      <c r="K45" s="101">
        <f t="shared" si="9"/>
        <v>3</v>
      </c>
      <c r="L45" s="10">
        <f t="shared" si="9"/>
        <v>3</v>
      </c>
      <c r="M45" s="101">
        <f t="shared" si="9"/>
        <v>3</v>
      </c>
      <c r="N45" s="10">
        <f t="shared" si="9"/>
        <v>3</v>
      </c>
      <c r="O45" s="101">
        <f t="shared" si="9"/>
        <v>3</v>
      </c>
      <c r="P45" s="10">
        <f t="shared" si="9"/>
        <v>3</v>
      </c>
      <c r="Q45" s="101">
        <f t="shared" si="9"/>
        <v>3</v>
      </c>
      <c r="R45" s="10">
        <f t="shared" si="9"/>
        <v>3</v>
      </c>
      <c r="S45" s="101">
        <f t="shared" si="9"/>
        <v>3</v>
      </c>
      <c r="T45" s="10">
        <f t="shared" si="9"/>
        <v>3</v>
      </c>
      <c r="U45" s="101">
        <f t="shared" si="9"/>
        <v>3</v>
      </c>
      <c r="V45" s="10">
        <f t="shared" si="9"/>
        <v>3</v>
      </c>
      <c r="W45" s="101">
        <f t="shared" si="9"/>
        <v>3</v>
      </c>
      <c r="X45" s="10">
        <f t="shared" si="9"/>
        <v>3</v>
      </c>
      <c r="Y45" s="101">
        <f t="shared" si="9"/>
        <v>3</v>
      </c>
      <c r="Z45" s="10">
        <f t="shared" si="9"/>
        <v>3</v>
      </c>
      <c r="AA45" s="101">
        <f t="shared" si="9"/>
        <v>3</v>
      </c>
      <c r="AB45" s="10">
        <f t="shared" si="9"/>
        <v>3</v>
      </c>
      <c r="AC45" s="101">
        <f t="shared" si="9"/>
        <v>3</v>
      </c>
      <c r="AD45" s="10">
        <f t="shared" si="9"/>
        <v>3</v>
      </c>
      <c r="AE45" s="101">
        <f t="shared" si="9"/>
        <v>3</v>
      </c>
      <c r="AF45" s="10">
        <f t="shared" si="9"/>
        <v>3</v>
      </c>
      <c r="AG45" s="101">
        <f t="shared" si="9"/>
        <v>3</v>
      </c>
      <c r="AH45" s="10">
        <f t="shared" si="9"/>
        <v>3</v>
      </c>
      <c r="AI45" s="101">
        <f t="shared" si="9"/>
        <v>3</v>
      </c>
      <c r="AJ45" s="10">
        <f t="shared" si="9"/>
        <v>3</v>
      </c>
      <c r="AK45" s="101">
        <f t="shared" si="9"/>
        <v>3</v>
      </c>
      <c r="AL45" s="10">
        <f t="shared" si="9"/>
        <v>3</v>
      </c>
      <c r="AM45" s="101">
        <f t="shared" si="9"/>
        <v>3</v>
      </c>
      <c r="AN45" s="10">
        <f t="shared" si="9"/>
        <v>3</v>
      </c>
      <c r="AO45" s="101">
        <f t="shared" si="9"/>
        <v>3</v>
      </c>
      <c r="AP45" s="10">
        <f t="shared" si="9"/>
        <v>3</v>
      </c>
      <c r="AQ45" s="101">
        <f t="shared" si="9"/>
        <v>3</v>
      </c>
      <c r="AR45" s="10">
        <f t="shared" si="9"/>
        <v>3</v>
      </c>
      <c r="AS45" s="101">
        <f t="shared" si="9"/>
        <v>3</v>
      </c>
      <c r="AT45" s="51"/>
      <c r="AU45" s="56"/>
    </row>
    <row r="46" spans="2:47" ht="15.75" x14ac:dyDescent="0.25">
      <c r="B46" s="55"/>
      <c r="C46" s="112" t="s">
        <v>44</v>
      </c>
      <c r="D46" s="151" t="s">
        <v>246</v>
      </c>
      <c r="E46" s="129">
        <f>IF(E12&lt;=40,1,0)*IF(AND(E15&gt;=7,E15&lt;14),1.61,1)*IF(E15&gt;=14,3.76,1)+IF(AND(E12&lt;=50,E12&gt;40),1,0)*IF(AND(E15&gt;=10,E15&lt;20),1.61,1)*IF(E15&gt;=20,3.76,1)+IF(AND(E12&lt;=55,E12&gt;50),1,0)*IF(AND(E15&gt;=11,E15&lt;22),1.61,1)*IF(E15&gt;=22,3.76,1)+IF(AND(E12&lt;=60,E12&gt;55),1,0)*IF(AND(E15&gt;=13,E15&lt;26),1.61,1)*IF(E15&gt;=26,3.76,1)+IF(AND(E12&lt;=70,E12&gt;60),1,0)*IF(AND(E15&gt;=14,E15&lt;28),1.61,1)*IF(E15&gt;=28,3.76,1)+IF(AND(E12&gt;70),1,0)</f>
        <v>1</v>
      </c>
      <c r="F46" s="10">
        <f t="shared" ref="F46:AS46" si="10">IF(F12&lt;=40,1,0)*IF(AND(F15&gt;=7,F15&lt;14),1.61,1)*IF(F15&gt;=14,3.76,1)+IF(AND(F12&lt;=50,F12&gt;40),1,0)*IF(AND(F15&gt;=10,F15&lt;20),1.61,1)*IF(F15&gt;=20,3.76,1)+IF(AND(F12&lt;=55,F12&gt;50),1,0)*IF(AND(F15&gt;=11,F15&lt;22),1.61,1)*IF(F15&gt;=22,3.76,1)+IF(AND(F12&lt;=60,F12&gt;55),1,0)*IF(AND(F15&gt;=13,F15&lt;26),1.61,1)*IF(F15&gt;=26,3.76,1)+IF(AND(F12&lt;=70,F12&gt;60),1,0)*IF(AND(F15&gt;=14,F15&lt;28),1.61,1)*IF(F15&gt;=28,3.76,1)+IF(AND(F12&gt;70),1,0)</f>
        <v>1</v>
      </c>
      <c r="G46" s="148">
        <f t="shared" si="10"/>
        <v>1</v>
      </c>
      <c r="H46" s="10">
        <f t="shared" si="10"/>
        <v>1</v>
      </c>
      <c r="I46" s="148">
        <f t="shared" si="10"/>
        <v>1</v>
      </c>
      <c r="J46" s="10">
        <f t="shared" si="10"/>
        <v>1</v>
      </c>
      <c r="K46" s="148">
        <f t="shared" si="10"/>
        <v>1</v>
      </c>
      <c r="L46" s="10">
        <f t="shared" si="10"/>
        <v>1</v>
      </c>
      <c r="M46" s="148">
        <f t="shared" si="10"/>
        <v>1</v>
      </c>
      <c r="N46" s="10">
        <f t="shared" si="10"/>
        <v>1</v>
      </c>
      <c r="O46" s="148">
        <f t="shared" si="10"/>
        <v>1</v>
      </c>
      <c r="P46" s="10">
        <f t="shared" si="10"/>
        <v>1</v>
      </c>
      <c r="Q46" s="148">
        <f t="shared" si="10"/>
        <v>1</v>
      </c>
      <c r="R46" s="10">
        <f t="shared" si="10"/>
        <v>1</v>
      </c>
      <c r="S46" s="148">
        <f t="shared" si="10"/>
        <v>1</v>
      </c>
      <c r="T46" s="10">
        <f t="shared" si="10"/>
        <v>1</v>
      </c>
      <c r="U46" s="148">
        <f t="shared" si="10"/>
        <v>1</v>
      </c>
      <c r="V46" s="10">
        <f t="shared" si="10"/>
        <v>1</v>
      </c>
      <c r="W46" s="148">
        <f t="shared" si="10"/>
        <v>1</v>
      </c>
      <c r="X46" s="10">
        <f t="shared" si="10"/>
        <v>1</v>
      </c>
      <c r="Y46" s="148">
        <f t="shared" si="10"/>
        <v>1</v>
      </c>
      <c r="Z46" s="10">
        <f t="shared" si="10"/>
        <v>1</v>
      </c>
      <c r="AA46" s="148">
        <f t="shared" si="10"/>
        <v>1</v>
      </c>
      <c r="AB46" s="10">
        <f t="shared" si="10"/>
        <v>1</v>
      </c>
      <c r="AC46" s="148">
        <f t="shared" si="10"/>
        <v>1</v>
      </c>
      <c r="AD46" s="10">
        <f t="shared" si="10"/>
        <v>1</v>
      </c>
      <c r="AE46" s="148">
        <f t="shared" si="10"/>
        <v>1</v>
      </c>
      <c r="AF46" s="10">
        <f t="shared" si="10"/>
        <v>1</v>
      </c>
      <c r="AG46" s="148">
        <f t="shared" si="10"/>
        <v>1</v>
      </c>
      <c r="AH46" s="10">
        <f t="shared" si="10"/>
        <v>1</v>
      </c>
      <c r="AI46" s="148">
        <f t="shared" si="10"/>
        <v>1</v>
      </c>
      <c r="AJ46" s="10">
        <f t="shared" si="10"/>
        <v>1</v>
      </c>
      <c r="AK46" s="148">
        <f t="shared" si="10"/>
        <v>1</v>
      </c>
      <c r="AL46" s="10">
        <f t="shared" si="10"/>
        <v>1</v>
      </c>
      <c r="AM46" s="148">
        <f t="shared" si="10"/>
        <v>1</v>
      </c>
      <c r="AN46" s="10">
        <f t="shared" si="10"/>
        <v>1</v>
      </c>
      <c r="AO46" s="148">
        <f t="shared" si="10"/>
        <v>1</v>
      </c>
      <c r="AP46" s="10">
        <f t="shared" si="10"/>
        <v>1</v>
      </c>
      <c r="AQ46" s="148">
        <f t="shared" si="10"/>
        <v>1</v>
      </c>
      <c r="AR46" s="10">
        <f t="shared" si="10"/>
        <v>1</v>
      </c>
      <c r="AS46" s="148">
        <f t="shared" si="10"/>
        <v>1</v>
      </c>
      <c r="AT46" s="51"/>
      <c r="AU46" s="56"/>
    </row>
    <row r="47" spans="2:47" ht="14.25" x14ac:dyDescent="0.25">
      <c r="B47" s="55"/>
      <c r="C47" s="10" t="s">
        <v>44</v>
      </c>
      <c r="D47" s="11" t="s">
        <v>36</v>
      </c>
      <c r="E47" s="129">
        <f>IF(E22="Yes",5.37,E46)</f>
        <v>1</v>
      </c>
      <c r="F47" s="10">
        <f>IF(F22="Yes",5.37,IF(AND(F12&lt;=40,AND(F15&gt;=7,F15&lt;14)),1.61,IF(F15&gt;=14,3.76,IF(AND(AND(F12&gt;40,F12&lt;=50),AND(F15&gt;=10,F15&lt;20)),1.61,IF(F15&gt;=14,3.76,1)))))</f>
        <v>1</v>
      </c>
      <c r="G47" s="12">
        <f>IF(G22="Yes",5.37,1)</f>
        <v>1</v>
      </c>
      <c r="H47" s="10">
        <f t="shared" ref="H47:AS47" si="11">IF(H22="Yes",5.37,1)</f>
        <v>1</v>
      </c>
      <c r="I47" s="101">
        <f t="shared" si="11"/>
        <v>1</v>
      </c>
      <c r="J47" s="10">
        <f t="shared" si="11"/>
        <v>1</v>
      </c>
      <c r="K47" s="101">
        <f t="shared" si="11"/>
        <v>1</v>
      </c>
      <c r="L47" s="10">
        <f t="shared" si="11"/>
        <v>1</v>
      </c>
      <c r="M47" s="101">
        <f t="shared" si="11"/>
        <v>1</v>
      </c>
      <c r="N47" s="10">
        <f t="shared" si="11"/>
        <v>1</v>
      </c>
      <c r="O47" s="101">
        <f t="shared" si="11"/>
        <v>1</v>
      </c>
      <c r="P47" s="10">
        <f t="shared" si="11"/>
        <v>1</v>
      </c>
      <c r="Q47" s="101">
        <f t="shared" si="11"/>
        <v>1</v>
      </c>
      <c r="R47" s="10">
        <f t="shared" si="11"/>
        <v>1</v>
      </c>
      <c r="S47" s="101">
        <f t="shared" si="11"/>
        <v>1</v>
      </c>
      <c r="T47" s="10">
        <f t="shared" si="11"/>
        <v>1</v>
      </c>
      <c r="U47" s="101">
        <f t="shared" si="11"/>
        <v>1</v>
      </c>
      <c r="V47" s="10">
        <f t="shared" si="11"/>
        <v>1</v>
      </c>
      <c r="W47" s="101">
        <f t="shared" si="11"/>
        <v>1</v>
      </c>
      <c r="X47" s="10">
        <f t="shared" si="11"/>
        <v>1</v>
      </c>
      <c r="Y47" s="101">
        <f t="shared" si="11"/>
        <v>1</v>
      </c>
      <c r="Z47" s="10">
        <f t="shared" si="11"/>
        <v>1</v>
      </c>
      <c r="AA47" s="101">
        <f t="shared" si="11"/>
        <v>1</v>
      </c>
      <c r="AB47" s="10">
        <f t="shared" si="11"/>
        <v>1</v>
      </c>
      <c r="AC47" s="101">
        <f t="shared" si="11"/>
        <v>1</v>
      </c>
      <c r="AD47" s="10">
        <f t="shared" si="11"/>
        <v>1</v>
      </c>
      <c r="AE47" s="101">
        <f t="shared" si="11"/>
        <v>1</v>
      </c>
      <c r="AF47" s="10">
        <f t="shared" si="11"/>
        <v>1</v>
      </c>
      <c r="AG47" s="101">
        <f t="shared" si="11"/>
        <v>1</v>
      </c>
      <c r="AH47" s="10">
        <f t="shared" si="11"/>
        <v>1</v>
      </c>
      <c r="AI47" s="101">
        <f t="shared" si="11"/>
        <v>1</v>
      </c>
      <c r="AJ47" s="10">
        <f t="shared" si="11"/>
        <v>1</v>
      </c>
      <c r="AK47" s="101">
        <f t="shared" si="11"/>
        <v>1</v>
      </c>
      <c r="AL47" s="10">
        <f t="shared" si="11"/>
        <v>1</v>
      </c>
      <c r="AM47" s="101">
        <f t="shared" si="11"/>
        <v>1</v>
      </c>
      <c r="AN47" s="10">
        <f t="shared" si="11"/>
        <v>1</v>
      </c>
      <c r="AO47" s="101">
        <f t="shared" si="11"/>
        <v>1</v>
      </c>
      <c r="AP47" s="10">
        <f t="shared" si="11"/>
        <v>1</v>
      </c>
      <c r="AQ47" s="101">
        <f t="shared" si="11"/>
        <v>1</v>
      </c>
      <c r="AR47" s="10">
        <f t="shared" si="11"/>
        <v>1</v>
      </c>
      <c r="AS47" s="101">
        <f t="shared" si="11"/>
        <v>1</v>
      </c>
      <c r="AT47" s="51"/>
      <c r="AU47" s="56"/>
    </row>
    <row r="48" spans="2:47" ht="14.25" x14ac:dyDescent="0.25">
      <c r="B48" s="55"/>
      <c r="C48" s="112" t="s">
        <v>46</v>
      </c>
      <c r="D48" s="113" t="s">
        <v>37</v>
      </c>
      <c r="E48" s="129">
        <f t="shared" ref="E48:AS48" si="12">IF(OR(E10&gt;160,E14&gt;0),E18+E16+E60+E20,(E18+E16+E60+E20)*(2-0.005*E10*E13))</f>
        <v>0</v>
      </c>
      <c r="F48" s="10">
        <f t="shared" si="12"/>
        <v>21</v>
      </c>
      <c r="G48" s="12">
        <f t="shared" si="12"/>
        <v>21</v>
      </c>
      <c r="H48" s="10">
        <f t="shared" si="12"/>
        <v>0</v>
      </c>
      <c r="I48" s="101">
        <f t="shared" si="12"/>
        <v>0</v>
      </c>
      <c r="J48" s="10">
        <f t="shared" si="12"/>
        <v>0</v>
      </c>
      <c r="K48" s="101">
        <f t="shared" si="12"/>
        <v>0</v>
      </c>
      <c r="L48" s="10">
        <f t="shared" si="12"/>
        <v>0</v>
      </c>
      <c r="M48" s="101">
        <f t="shared" si="12"/>
        <v>0</v>
      </c>
      <c r="N48" s="10">
        <f t="shared" si="12"/>
        <v>0</v>
      </c>
      <c r="O48" s="101">
        <f t="shared" si="12"/>
        <v>0</v>
      </c>
      <c r="P48" s="10">
        <f t="shared" si="12"/>
        <v>0</v>
      </c>
      <c r="Q48" s="101">
        <f t="shared" si="12"/>
        <v>0</v>
      </c>
      <c r="R48" s="10">
        <f t="shared" si="12"/>
        <v>0</v>
      </c>
      <c r="S48" s="101">
        <f t="shared" si="12"/>
        <v>0</v>
      </c>
      <c r="T48" s="10">
        <f t="shared" si="12"/>
        <v>0</v>
      </c>
      <c r="U48" s="101">
        <f t="shared" si="12"/>
        <v>0</v>
      </c>
      <c r="V48" s="10">
        <f t="shared" si="12"/>
        <v>0</v>
      </c>
      <c r="W48" s="101">
        <f t="shared" si="12"/>
        <v>0</v>
      </c>
      <c r="X48" s="10">
        <f t="shared" si="12"/>
        <v>0</v>
      </c>
      <c r="Y48" s="101">
        <f t="shared" si="12"/>
        <v>0</v>
      </c>
      <c r="Z48" s="10">
        <f t="shared" si="12"/>
        <v>0</v>
      </c>
      <c r="AA48" s="101">
        <f t="shared" si="12"/>
        <v>0</v>
      </c>
      <c r="AB48" s="10">
        <f t="shared" si="12"/>
        <v>0</v>
      </c>
      <c r="AC48" s="101">
        <f t="shared" si="12"/>
        <v>0</v>
      </c>
      <c r="AD48" s="10">
        <f t="shared" si="12"/>
        <v>0</v>
      </c>
      <c r="AE48" s="101">
        <f t="shared" si="12"/>
        <v>0</v>
      </c>
      <c r="AF48" s="10">
        <f t="shared" si="12"/>
        <v>0</v>
      </c>
      <c r="AG48" s="101">
        <f t="shared" si="12"/>
        <v>0</v>
      </c>
      <c r="AH48" s="10">
        <f t="shared" si="12"/>
        <v>0</v>
      </c>
      <c r="AI48" s="101">
        <f t="shared" si="12"/>
        <v>0</v>
      </c>
      <c r="AJ48" s="10">
        <f t="shared" si="12"/>
        <v>0</v>
      </c>
      <c r="AK48" s="101">
        <f t="shared" si="12"/>
        <v>0</v>
      </c>
      <c r="AL48" s="10">
        <f t="shared" si="12"/>
        <v>0</v>
      </c>
      <c r="AM48" s="101">
        <f t="shared" si="12"/>
        <v>0</v>
      </c>
      <c r="AN48" s="10">
        <f t="shared" si="12"/>
        <v>0</v>
      </c>
      <c r="AO48" s="101">
        <f t="shared" si="12"/>
        <v>0</v>
      </c>
      <c r="AP48" s="10">
        <f t="shared" si="12"/>
        <v>0</v>
      </c>
      <c r="AQ48" s="101">
        <f t="shared" si="12"/>
        <v>0</v>
      </c>
      <c r="AR48" s="10">
        <f t="shared" si="12"/>
        <v>0</v>
      </c>
      <c r="AS48" s="101">
        <f t="shared" si="12"/>
        <v>0</v>
      </c>
      <c r="AT48" s="51"/>
      <c r="AU48" s="56"/>
    </row>
    <row r="49" spans="2:47" ht="14.25" x14ac:dyDescent="0.25">
      <c r="B49" s="55"/>
      <c r="C49" s="112" t="s">
        <v>47</v>
      </c>
      <c r="D49" s="113" t="s">
        <v>38</v>
      </c>
      <c r="E49" s="129">
        <f t="shared" ref="E49:AS49" si="13">IF(OR(E19&gt;0.25,E16+E60+E20&lt;=10),E16+E60+E20,10)</f>
        <v>0</v>
      </c>
      <c r="F49" s="10">
        <f t="shared" si="13"/>
        <v>9</v>
      </c>
      <c r="G49" s="12">
        <f t="shared" si="13"/>
        <v>9</v>
      </c>
      <c r="H49" s="10">
        <f t="shared" si="13"/>
        <v>0</v>
      </c>
      <c r="I49" s="101">
        <f t="shared" si="13"/>
        <v>0</v>
      </c>
      <c r="J49" s="10">
        <f t="shared" si="13"/>
        <v>0</v>
      </c>
      <c r="K49" s="101">
        <f t="shared" si="13"/>
        <v>0</v>
      </c>
      <c r="L49" s="10">
        <f t="shared" si="13"/>
        <v>0</v>
      </c>
      <c r="M49" s="101">
        <f t="shared" si="13"/>
        <v>0</v>
      </c>
      <c r="N49" s="10">
        <f t="shared" si="13"/>
        <v>0</v>
      </c>
      <c r="O49" s="101">
        <f t="shared" si="13"/>
        <v>0</v>
      </c>
      <c r="P49" s="10">
        <f t="shared" si="13"/>
        <v>0</v>
      </c>
      <c r="Q49" s="101">
        <f t="shared" si="13"/>
        <v>0</v>
      </c>
      <c r="R49" s="10">
        <f t="shared" si="13"/>
        <v>0</v>
      </c>
      <c r="S49" s="101">
        <f t="shared" si="13"/>
        <v>0</v>
      </c>
      <c r="T49" s="10">
        <f t="shared" si="13"/>
        <v>0</v>
      </c>
      <c r="U49" s="101">
        <f t="shared" si="13"/>
        <v>0</v>
      </c>
      <c r="V49" s="10">
        <f t="shared" si="13"/>
        <v>0</v>
      </c>
      <c r="W49" s="101">
        <f t="shared" si="13"/>
        <v>0</v>
      </c>
      <c r="X49" s="10">
        <f t="shared" si="13"/>
        <v>0</v>
      </c>
      <c r="Y49" s="101">
        <f t="shared" si="13"/>
        <v>0</v>
      </c>
      <c r="Z49" s="10">
        <f t="shared" si="13"/>
        <v>0</v>
      </c>
      <c r="AA49" s="101">
        <f t="shared" si="13"/>
        <v>0</v>
      </c>
      <c r="AB49" s="10">
        <f t="shared" si="13"/>
        <v>0</v>
      </c>
      <c r="AC49" s="101">
        <f t="shared" si="13"/>
        <v>0</v>
      </c>
      <c r="AD49" s="10">
        <f t="shared" si="13"/>
        <v>0</v>
      </c>
      <c r="AE49" s="101">
        <f t="shared" si="13"/>
        <v>0</v>
      </c>
      <c r="AF49" s="10">
        <f t="shared" si="13"/>
        <v>0</v>
      </c>
      <c r="AG49" s="101">
        <f t="shared" si="13"/>
        <v>0</v>
      </c>
      <c r="AH49" s="10">
        <f t="shared" si="13"/>
        <v>0</v>
      </c>
      <c r="AI49" s="101">
        <f t="shared" si="13"/>
        <v>0</v>
      </c>
      <c r="AJ49" s="10">
        <f t="shared" si="13"/>
        <v>0</v>
      </c>
      <c r="AK49" s="101">
        <f t="shared" si="13"/>
        <v>0</v>
      </c>
      <c r="AL49" s="10">
        <f t="shared" si="13"/>
        <v>0</v>
      </c>
      <c r="AM49" s="101">
        <f t="shared" si="13"/>
        <v>0</v>
      </c>
      <c r="AN49" s="10">
        <f t="shared" si="13"/>
        <v>0</v>
      </c>
      <c r="AO49" s="101">
        <f t="shared" si="13"/>
        <v>0</v>
      </c>
      <c r="AP49" s="10">
        <f t="shared" si="13"/>
        <v>0</v>
      </c>
      <c r="AQ49" s="101">
        <f t="shared" si="13"/>
        <v>0</v>
      </c>
      <c r="AR49" s="10">
        <f t="shared" si="13"/>
        <v>0</v>
      </c>
      <c r="AS49" s="101">
        <f t="shared" si="13"/>
        <v>0</v>
      </c>
      <c r="AT49" s="51"/>
      <c r="AU49" s="56"/>
    </row>
    <row r="50" spans="2:47" ht="14.25" x14ac:dyDescent="0.25">
      <c r="B50" s="55"/>
      <c r="C50" s="112" t="s">
        <v>103</v>
      </c>
      <c r="D50" s="113" t="s">
        <v>39</v>
      </c>
      <c r="E50" s="130">
        <f>IF(E27="No",-1.2276*LN(E48+(0.5*E49)+(50*E19)+(E15*E47)+(E44*E45)),-1.2276*LN(E48+(0.5*(E49-E16))+(50*E19)+(E15*E47)+(0.75*E44*E45)))</f>
        <v>-3.8221513935866556</v>
      </c>
      <c r="F50" s="15">
        <f>IF(F27="No",-1.2276*LN(F48+(0.5*F49)+(50*F19)+(F15*F47)+(F44*F45)),-1.2276*LN(F48+(0.5*(F49-F16))+(50*F19)+(F15*F47)+(0.75*F44*F45)))</f>
        <v>-5.6446835030223639</v>
      </c>
      <c r="G50" s="38">
        <f t="shared" ref="G50:AS50" si="14">IF(G27="No",-1.2276*LN(G48+(0.5*G49)+(50*G19)+(G15*G47)+(G44*G45)),-1.2276*LN(G48+(0.5*(G49-G16))+(50*G19)+(G15*G47)+(0.75*G44*G45)))</f>
        <v>-5.6446835030223639</v>
      </c>
      <c r="H50" s="98">
        <f t="shared" si="14"/>
        <v>-3.8221513935866556</v>
      </c>
      <c r="I50" s="100">
        <f t="shared" si="14"/>
        <v>-3.8221513935866556</v>
      </c>
      <c r="J50" s="98">
        <f t="shared" si="14"/>
        <v>-3.8221513935866556</v>
      </c>
      <c r="K50" s="100">
        <f t="shared" si="14"/>
        <v>-3.8221513935866556</v>
      </c>
      <c r="L50" s="98">
        <f t="shared" si="14"/>
        <v>-3.8221513935866556</v>
      </c>
      <c r="M50" s="100">
        <f t="shared" si="14"/>
        <v>-3.8221513935866556</v>
      </c>
      <c r="N50" s="98">
        <f t="shared" si="14"/>
        <v>-3.8221513935866556</v>
      </c>
      <c r="O50" s="100">
        <f t="shared" si="14"/>
        <v>-3.8221513935866556</v>
      </c>
      <c r="P50" s="98">
        <f t="shared" si="14"/>
        <v>-3.8221513935866556</v>
      </c>
      <c r="Q50" s="100">
        <f t="shared" si="14"/>
        <v>-3.8221513935866556</v>
      </c>
      <c r="R50" s="98">
        <f t="shared" si="14"/>
        <v>-3.8221513935866556</v>
      </c>
      <c r="S50" s="100">
        <f t="shared" si="14"/>
        <v>-3.8221513935866556</v>
      </c>
      <c r="T50" s="98">
        <f t="shared" si="14"/>
        <v>-3.8221513935866556</v>
      </c>
      <c r="U50" s="100">
        <f t="shared" si="14"/>
        <v>-3.8221513935866556</v>
      </c>
      <c r="V50" s="98">
        <f t="shared" si="14"/>
        <v>-3.8221513935866556</v>
      </c>
      <c r="W50" s="100">
        <f t="shared" si="14"/>
        <v>-3.8221513935866556</v>
      </c>
      <c r="X50" s="98">
        <f t="shared" si="14"/>
        <v>-3.8221513935866556</v>
      </c>
      <c r="Y50" s="100">
        <f t="shared" si="14"/>
        <v>-3.8221513935866556</v>
      </c>
      <c r="Z50" s="98">
        <f t="shared" si="14"/>
        <v>-3.8221513935866556</v>
      </c>
      <c r="AA50" s="100">
        <f t="shared" si="14"/>
        <v>-3.8221513935866556</v>
      </c>
      <c r="AB50" s="98">
        <f t="shared" si="14"/>
        <v>-3.8221513935866556</v>
      </c>
      <c r="AC50" s="100">
        <f t="shared" si="14"/>
        <v>-3.8221513935866556</v>
      </c>
      <c r="AD50" s="98">
        <f t="shared" si="14"/>
        <v>-3.8221513935866556</v>
      </c>
      <c r="AE50" s="100">
        <f t="shared" si="14"/>
        <v>-3.8221513935866556</v>
      </c>
      <c r="AF50" s="98">
        <f t="shared" si="14"/>
        <v>-3.8221513935866556</v>
      </c>
      <c r="AG50" s="100">
        <f t="shared" si="14"/>
        <v>-3.8221513935866556</v>
      </c>
      <c r="AH50" s="98">
        <f t="shared" si="14"/>
        <v>-3.8221513935866556</v>
      </c>
      <c r="AI50" s="100">
        <f t="shared" si="14"/>
        <v>-3.8221513935866556</v>
      </c>
      <c r="AJ50" s="98">
        <f t="shared" si="14"/>
        <v>-3.8221513935866556</v>
      </c>
      <c r="AK50" s="100">
        <f t="shared" si="14"/>
        <v>-3.8221513935866556</v>
      </c>
      <c r="AL50" s="98">
        <f t="shared" si="14"/>
        <v>-3.8221513935866556</v>
      </c>
      <c r="AM50" s="100">
        <f t="shared" si="14"/>
        <v>-3.8221513935866556</v>
      </c>
      <c r="AN50" s="98">
        <f t="shared" si="14"/>
        <v>-3.8221513935866556</v>
      </c>
      <c r="AO50" s="100">
        <f t="shared" si="14"/>
        <v>-3.8221513935866556</v>
      </c>
      <c r="AP50" s="98">
        <f t="shared" si="14"/>
        <v>-3.8221513935866556</v>
      </c>
      <c r="AQ50" s="100">
        <f t="shared" si="14"/>
        <v>-3.8221513935866556</v>
      </c>
      <c r="AR50" s="98">
        <f t="shared" si="14"/>
        <v>-3.8221513935866556</v>
      </c>
      <c r="AS50" s="100">
        <f t="shared" si="14"/>
        <v>-3.8221513935866556</v>
      </c>
      <c r="AT50" s="51"/>
      <c r="AU50" s="56"/>
    </row>
    <row r="51" spans="2:47" ht="14.25" x14ac:dyDescent="0.25">
      <c r="B51" s="55"/>
      <c r="C51" s="10" t="s">
        <v>226</v>
      </c>
      <c r="D51" s="11" t="s">
        <v>40</v>
      </c>
      <c r="E51" s="130">
        <f>IF(E10&gt;0,6.0468+E42+E43+E50,0)</f>
        <v>0</v>
      </c>
      <c r="F51" s="15">
        <f>IF(F10&gt;0,6.0468+F42+F43+F50,0)</f>
        <v>2.3060414969776364</v>
      </c>
      <c r="G51" s="100">
        <f t="shared" ref="G51:AS51" si="15">IF(G10&gt;0,6.0468+G42+G43+G50,0)</f>
        <v>2.585866496977637</v>
      </c>
      <c r="H51" s="98">
        <f t="shared" si="15"/>
        <v>0</v>
      </c>
      <c r="I51" s="100">
        <f t="shared" si="15"/>
        <v>0</v>
      </c>
      <c r="J51" s="98">
        <f t="shared" si="15"/>
        <v>0</v>
      </c>
      <c r="K51" s="100">
        <f t="shared" si="15"/>
        <v>0</v>
      </c>
      <c r="L51" s="98">
        <f t="shared" si="15"/>
        <v>0</v>
      </c>
      <c r="M51" s="100">
        <f t="shared" si="15"/>
        <v>0</v>
      </c>
      <c r="N51" s="98">
        <f t="shared" si="15"/>
        <v>0</v>
      </c>
      <c r="O51" s="100">
        <f t="shared" si="15"/>
        <v>0</v>
      </c>
      <c r="P51" s="98">
        <f t="shared" si="15"/>
        <v>0</v>
      </c>
      <c r="Q51" s="100">
        <f t="shared" si="15"/>
        <v>0</v>
      </c>
      <c r="R51" s="98">
        <f t="shared" si="15"/>
        <v>0</v>
      </c>
      <c r="S51" s="100">
        <f t="shared" si="15"/>
        <v>0</v>
      </c>
      <c r="T51" s="98">
        <f t="shared" si="15"/>
        <v>0</v>
      </c>
      <c r="U51" s="100">
        <f t="shared" si="15"/>
        <v>0</v>
      </c>
      <c r="V51" s="98">
        <f t="shared" si="15"/>
        <v>0</v>
      </c>
      <c r="W51" s="100">
        <f t="shared" si="15"/>
        <v>0</v>
      </c>
      <c r="X51" s="98">
        <f t="shared" si="15"/>
        <v>0</v>
      </c>
      <c r="Y51" s="100">
        <f t="shared" si="15"/>
        <v>0</v>
      </c>
      <c r="Z51" s="98">
        <f t="shared" si="15"/>
        <v>0</v>
      </c>
      <c r="AA51" s="100">
        <f t="shared" si="15"/>
        <v>0</v>
      </c>
      <c r="AB51" s="98">
        <f t="shared" si="15"/>
        <v>0</v>
      </c>
      <c r="AC51" s="100">
        <f t="shared" si="15"/>
        <v>0</v>
      </c>
      <c r="AD51" s="98">
        <f t="shared" si="15"/>
        <v>0</v>
      </c>
      <c r="AE51" s="100">
        <f t="shared" si="15"/>
        <v>0</v>
      </c>
      <c r="AF51" s="98">
        <f t="shared" si="15"/>
        <v>0</v>
      </c>
      <c r="AG51" s="100">
        <f t="shared" si="15"/>
        <v>0</v>
      </c>
      <c r="AH51" s="98">
        <f t="shared" si="15"/>
        <v>0</v>
      </c>
      <c r="AI51" s="100">
        <f t="shared" si="15"/>
        <v>0</v>
      </c>
      <c r="AJ51" s="98">
        <f t="shared" si="15"/>
        <v>0</v>
      </c>
      <c r="AK51" s="100">
        <f t="shared" si="15"/>
        <v>0</v>
      </c>
      <c r="AL51" s="98">
        <f t="shared" si="15"/>
        <v>0</v>
      </c>
      <c r="AM51" s="100">
        <f t="shared" si="15"/>
        <v>0</v>
      </c>
      <c r="AN51" s="98">
        <f t="shared" si="15"/>
        <v>0</v>
      </c>
      <c r="AO51" s="100">
        <f t="shared" si="15"/>
        <v>0</v>
      </c>
      <c r="AP51" s="98">
        <f t="shared" si="15"/>
        <v>0</v>
      </c>
      <c r="AQ51" s="100">
        <f t="shared" si="15"/>
        <v>0</v>
      </c>
      <c r="AR51" s="98">
        <f t="shared" si="15"/>
        <v>0</v>
      </c>
      <c r="AS51" s="100">
        <f t="shared" si="15"/>
        <v>0</v>
      </c>
      <c r="AT51" s="51"/>
      <c r="AU51" s="56"/>
    </row>
    <row r="52" spans="2:47" ht="13.5" x14ac:dyDescent="0.25">
      <c r="B52" s="55"/>
      <c r="C52" s="10"/>
      <c r="D52" s="11" t="s">
        <v>41</v>
      </c>
      <c r="E52" s="129" t="str">
        <f>IF(E51&lt;=2,"A",IF(E51&lt;=2.75,"B",IF(E51&lt;=3.5,"C",IF(E51&lt;=4.25,"D",IF(E51&lt;=5,"E","F")))))</f>
        <v>A</v>
      </c>
      <c r="F52" s="10" t="str">
        <f>IF(F51&lt;=2,"A",IF(F51&lt;=2.75,"B",IF(F51&lt;=3.5,"C",IF(F51&lt;=4.25,"D",IF(F51&lt;=5,"E","F")))))</f>
        <v>B</v>
      </c>
      <c r="G52" s="12" t="str">
        <f t="shared" ref="G52" si="16">IF(G51&lt;=2,"A",IF(G51&lt;=2.75,"B",IF(G51&lt;=3.5,"C",IF(G51&lt;=4.25,"D",IF(G51&lt;=5,"E","F")))))</f>
        <v>B</v>
      </c>
      <c r="H52" s="10" t="str">
        <f t="shared" ref="H52:AS52" si="17">IF(H51&lt;=2,"A",IF(H51&lt;=2.75,"B",IF(H51&lt;=3.5,"C",IF(H51&lt;=4.25,"D",IF(H51&lt;=5,"E","F")))))</f>
        <v>A</v>
      </c>
      <c r="I52" s="101" t="str">
        <f t="shared" si="17"/>
        <v>A</v>
      </c>
      <c r="J52" s="10" t="str">
        <f t="shared" si="17"/>
        <v>A</v>
      </c>
      <c r="K52" s="101" t="str">
        <f t="shared" si="17"/>
        <v>A</v>
      </c>
      <c r="L52" s="10" t="str">
        <f t="shared" si="17"/>
        <v>A</v>
      </c>
      <c r="M52" s="101" t="str">
        <f t="shared" si="17"/>
        <v>A</v>
      </c>
      <c r="N52" s="10" t="str">
        <f t="shared" si="17"/>
        <v>A</v>
      </c>
      <c r="O52" s="101" t="str">
        <f t="shared" si="17"/>
        <v>A</v>
      </c>
      <c r="P52" s="10" t="str">
        <f t="shared" si="17"/>
        <v>A</v>
      </c>
      <c r="Q52" s="101" t="str">
        <f t="shared" si="17"/>
        <v>A</v>
      </c>
      <c r="R52" s="10" t="str">
        <f t="shared" si="17"/>
        <v>A</v>
      </c>
      <c r="S52" s="101" t="str">
        <f t="shared" si="17"/>
        <v>A</v>
      </c>
      <c r="T52" s="10" t="str">
        <f t="shared" si="17"/>
        <v>A</v>
      </c>
      <c r="U52" s="101" t="str">
        <f t="shared" si="17"/>
        <v>A</v>
      </c>
      <c r="V52" s="10" t="str">
        <f t="shared" si="17"/>
        <v>A</v>
      </c>
      <c r="W52" s="101" t="str">
        <f t="shared" si="17"/>
        <v>A</v>
      </c>
      <c r="X52" s="10" t="str">
        <f t="shared" si="17"/>
        <v>A</v>
      </c>
      <c r="Y52" s="101" t="str">
        <f t="shared" si="17"/>
        <v>A</v>
      </c>
      <c r="Z52" s="10" t="str">
        <f t="shared" si="17"/>
        <v>A</v>
      </c>
      <c r="AA52" s="101" t="str">
        <f t="shared" si="17"/>
        <v>A</v>
      </c>
      <c r="AB52" s="10" t="str">
        <f t="shared" si="17"/>
        <v>A</v>
      </c>
      <c r="AC52" s="101" t="str">
        <f t="shared" si="17"/>
        <v>A</v>
      </c>
      <c r="AD52" s="10" t="str">
        <f t="shared" si="17"/>
        <v>A</v>
      </c>
      <c r="AE52" s="101" t="str">
        <f t="shared" si="17"/>
        <v>A</v>
      </c>
      <c r="AF52" s="10" t="str">
        <f t="shared" si="17"/>
        <v>A</v>
      </c>
      <c r="AG52" s="101" t="str">
        <f t="shared" si="17"/>
        <v>A</v>
      </c>
      <c r="AH52" s="10" t="str">
        <f t="shared" si="17"/>
        <v>A</v>
      </c>
      <c r="AI52" s="101" t="str">
        <f t="shared" si="17"/>
        <v>A</v>
      </c>
      <c r="AJ52" s="10" t="str">
        <f t="shared" si="17"/>
        <v>A</v>
      </c>
      <c r="AK52" s="101" t="str">
        <f t="shared" si="17"/>
        <v>A</v>
      </c>
      <c r="AL52" s="10" t="str">
        <f t="shared" si="17"/>
        <v>A</v>
      </c>
      <c r="AM52" s="101" t="str">
        <f t="shared" si="17"/>
        <v>A</v>
      </c>
      <c r="AN52" s="10" t="str">
        <f t="shared" si="17"/>
        <v>A</v>
      </c>
      <c r="AO52" s="101" t="str">
        <f t="shared" si="17"/>
        <v>A</v>
      </c>
      <c r="AP52" s="10" t="str">
        <f t="shared" si="17"/>
        <v>A</v>
      </c>
      <c r="AQ52" s="101" t="str">
        <f t="shared" si="17"/>
        <v>A</v>
      </c>
      <c r="AR52" s="10" t="str">
        <f t="shared" si="17"/>
        <v>A</v>
      </c>
      <c r="AS52" s="101" t="str">
        <f t="shared" si="17"/>
        <v>A</v>
      </c>
      <c r="AT52" s="51"/>
      <c r="AU52" s="56"/>
    </row>
    <row r="53" spans="2:47" ht="15.75" x14ac:dyDescent="0.25">
      <c r="B53" s="55"/>
      <c r="C53" s="4"/>
      <c r="D53" s="8" t="s">
        <v>206</v>
      </c>
      <c r="E53" s="121"/>
      <c r="F53" s="4"/>
      <c r="G53" s="5"/>
      <c r="H53" s="4"/>
      <c r="I53" s="5"/>
      <c r="J53" s="4"/>
      <c r="K53" s="5"/>
      <c r="L53" s="4"/>
      <c r="M53" s="5"/>
      <c r="N53" s="4"/>
      <c r="O53" s="5"/>
      <c r="P53" s="4"/>
      <c r="Q53" s="5"/>
      <c r="R53" s="4"/>
      <c r="S53" s="5"/>
      <c r="T53" s="4"/>
      <c r="U53" s="5"/>
      <c r="V53" s="4"/>
      <c r="W53" s="5"/>
      <c r="X53" s="4"/>
      <c r="Y53" s="5"/>
      <c r="Z53" s="4"/>
      <c r="AA53" s="5"/>
      <c r="AB53" s="4"/>
      <c r="AC53" s="5"/>
      <c r="AD53" s="4"/>
      <c r="AE53" s="5"/>
      <c r="AF53" s="4"/>
      <c r="AG53" s="5"/>
      <c r="AH53" s="4"/>
      <c r="AI53" s="5"/>
      <c r="AJ53" s="4"/>
      <c r="AK53" s="5"/>
      <c r="AL53" s="4"/>
      <c r="AM53" s="5"/>
      <c r="AN53" s="4"/>
      <c r="AO53" s="5"/>
      <c r="AP53" s="4"/>
      <c r="AQ53" s="5"/>
      <c r="AR53" s="4"/>
      <c r="AS53" s="5"/>
      <c r="AT53" s="51"/>
      <c r="AU53" s="56"/>
    </row>
    <row r="54" spans="2:47" ht="14.25" x14ac:dyDescent="0.25">
      <c r="B54" s="55"/>
      <c r="C54" s="10" t="s">
        <v>100</v>
      </c>
      <c r="D54" s="11" t="s">
        <v>99</v>
      </c>
      <c r="E54" s="130" t="e">
        <f t="shared" ref="E54:AS54" si="18">7.066/E21^2</f>
        <v>#DIV/0!</v>
      </c>
      <c r="F54" s="15">
        <f t="shared" si="18"/>
        <v>0.57681632653061221</v>
      </c>
      <c r="G54" s="43">
        <f t="shared" si="18"/>
        <v>0.57681632653061221</v>
      </c>
      <c r="H54" s="98" t="e">
        <f t="shared" si="18"/>
        <v>#DIV/0!</v>
      </c>
      <c r="I54" s="99" t="e">
        <f t="shared" si="18"/>
        <v>#DIV/0!</v>
      </c>
      <c r="J54" s="98" t="e">
        <f t="shared" si="18"/>
        <v>#DIV/0!</v>
      </c>
      <c r="K54" s="99" t="e">
        <f t="shared" si="18"/>
        <v>#DIV/0!</v>
      </c>
      <c r="L54" s="98" t="e">
        <f t="shared" si="18"/>
        <v>#DIV/0!</v>
      </c>
      <c r="M54" s="99" t="e">
        <f t="shared" si="18"/>
        <v>#DIV/0!</v>
      </c>
      <c r="N54" s="98" t="e">
        <f t="shared" si="18"/>
        <v>#DIV/0!</v>
      </c>
      <c r="O54" s="99" t="e">
        <f t="shared" si="18"/>
        <v>#DIV/0!</v>
      </c>
      <c r="P54" s="98" t="e">
        <f t="shared" si="18"/>
        <v>#DIV/0!</v>
      </c>
      <c r="Q54" s="99" t="e">
        <f t="shared" si="18"/>
        <v>#DIV/0!</v>
      </c>
      <c r="R54" s="98" t="e">
        <f t="shared" si="18"/>
        <v>#DIV/0!</v>
      </c>
      <c r="S54" s="99" t="e">
        <f t="shared" si="18"/>
        <v>#DIV/0!</v>
      </c>
      <c r="T54" s="98" t="e">
        <f t="shared" si="18"/>
        <v>#DIV/0!</v>
      </c>
      <c r="U54" s="99" t="e">
        <f t="shared" si="18"/>
        <v>#DIV/0!</v>
      </c>
      <c r="V54" s="98" t="e">
        <f t="shared" si="18"/>
        <v>#DIV/0!</v>
      </c>
      <c r="W54" s="99" t="e">
        <f t="shared" si="18"/>
        <v>#DIV/0!</v>
      </c>
      <c r="X54" s="98" t="e">
        <f t="shared" si="18"/>
        <v>#DIV/0!</v>
      </c>
      <c r="Y54" s="99" t="e">
        <f t="shared" si="18"/>
        <v>#DIV/0!</v>
      </c>
      <c r="Z54" s="98" t="e">
        <f t="shared" si="18"/>
        <v>#DIV/0!</v>
      </c>
      <c r="AA54" s="99" t="e">
        <f t="shared" si="18"/>
        <v>#DIV/0!</v>
      </c>
      <c r="AB54" s="98" t="e">
        <f t="shared" si="18"/>
        <v>#DIV/0!</v>
      </c>
      <c r="AC54" s="99" t="e">
        <f t="shared" si="18"/>
        <v>#DIV/0!</v>
      </c>
      <c r="AD54" s="98" t="e">
        <f t="shared" si="18"/>
        <v>#DIV/0!</v>
      </c>
      <c r="AE54" s="99" t="e">
        <f t="shared" si="18"/>
        <v>#DIV/0!</v>
      </c>
      <c r="AF54" s="98" t="e">
        <f t="shared" si="18"/>
        <v>#DIV/0!</v>
      </c>
      <c r="AG54" s="99" t="e">
        <f t="shared" si="18"/>
        <v>#DIV/0!</v>
      </c>
      <c r="AH54" s="98" t="e">
        <f t="shared" si="18"/>
        <v>#DIV/0!</v>
      </c>
      <c r="AI54" s="99" t="e">
        <f t="shared" si="18"/>
        <v>#DIV/0!</v>
      </c>
      <c r="AJ54" s="98" t="e">
        <f t="shared" si="18"/>
        <v>#DIV/0!</v>
      </c>
      <c r="AK54" s="99" t="e">
        <f t="shared" si="18"/>
        <v>#DIV/0!</v>
      </c>
      <c r="AL54" s="98" t="e">
        <f t="shared" si="18"/>
        <v>#DIV/0!</v>
      </c>
      <c r="AM54" s="99" t="e">
        <f t="shared" si="18"/>
        <v>#DIV/0!</v>
      </c>
      <c r="AN54" s="98" t="e">
        <f t="shared" si="18"/>
        <v>#DIV/0!</v>
      </c>
      <c r="AO54" s="99" t="e">
        <f t="shared" si="18"/>
        <v>#DIV/0!</v>
      </c>
      <c r="AP54" s="98" t="e">
        <f t="shared" si="18"/>
        <v>#DIV/0!</v>
      </c>
      <c r="AQ54" s="99" t="e">
        <f t="shared" si="18"/>
        <v>#DIV/0!</v>
      </c>
      <c r="AR54" s="98" t="e">
        <f t="shared" si="18"/>
        <v>#DIV/0!</v>
      </c>
      <c r="AS54" s="99" t="e">
        <f t="shared" si="18"/>
        <v>#DIV/0!</v>
      </c>
      <c r="AT54" s="51"/>
      <c r="AU54" s="56"/>
    </row>
    <row r="55" spans="2:47" ht="14.25" x14ac:dyDescent="0.25">
      <c r="B55" s="55"/>
      <c r="C55" s="10" t="s">
        <v>113</v>
      </c>
      <c r="D55" s="11" t="s">
        <v>114</v>
      </c>
      <c r="E55" s="132">
        <f t="shared" ref="E55:AS55" si="19">IF(E10&gt;4*E13,E10,4*E13)</f>
        <v>0</v>
      </c>
      <c r="F55" s="42">
        <f t="shared" si="19"/>
        <v>727</v>
      </c>
      <c r="G55" s="45">
        <f t="shared" si="19"/>
        <v>850</v>
      </c>
      <c r="H55" s="102">
        <f t="shared" si="19"/>
        <v>0</v>
      </c>
      <c r="I55" s="103">
        <f t="shared" si="19"/>
        <v>0</v>
      </c>
      <c r="J55" s="102">
        <f t="shared" si="19"/>
        <v>0</v>
      </c>
      <c r="K55" s="103">
        <f t="shared" si="19"/>
        <v>0</v>
      </c>
      <c r="L55" s="102">
        <f t="shared" si="19"/>
        <v>0</v>
      </c>
      <c r="M55" s="103">
        <f t="shared" si="19"/>
        <v>0</v>
      </c>
      <c r="N55" s="102">
        <f t="shared" si="19"/>
        <v>0</v>
      </c>
      <c r="O55" s="103">
        <f t="shared" si="19"/>
        <v>0</v>
      </c>
      <c r="P55" s="102">
        <f t="shared" si="19"/>
        <v>0</v>
      </c>
      <c r="Q55" s="103">
        <f t="shared" si="19"/>
        <v>0</v>
      </c>
      <c r="R55" s="102">
        <f t="shared" si="19"/>
        <v>0</v>
      </c>
      <c r="S55" s="103">
        <f t="shared" si="19"/>
        <v>0</v>
      </c>
      <c r="T55" s="102">
        <f t="shared" si="19"/>
        <v>0</v>
      </c>
      <c r="U55" s="103">
        <f t="shared" si="19"/>
        <v>0</v>
      </c>
      <c r="V55" s="102">
        <f t="shared" si="19"/>
        <v>0</v>
      </c>
      <c r="W55" s="103">
        <f t="shared" si="19"/>
        <v>0</v>
      </c>
      <c r="X55" s="102">
        <f t="shared" si="19"/>
        <v>0</v>
      </c>
      <c r="Y55" s="103">
        <f t="shared" si="19"/>
        <v>0</v>
      </c>
      <c r="Z55" s="102">
        <f t="shared" si="19"/>
        <v>0</v>
      </c>
      <c r="AA55" s="103">
        <f t="shared" si="19"/>
        <v>0</v>
      </c>
      <c r="AB55" s="102">
        <f t="shared" si="19"/>
        <v>0</v>
      </c>
      <c r="AC55" s="103">
        <f t="shared" si="19"/>
        <v>0</v>
      </c>
      <c r="AD55" s="102">
        <f t="shared" si="19"/>
        <v>0</v>
      </c>
      <c r="AE55" s="103">
        <f t="shared" si="19"/>
        <v>0</v>
      </c>
      <c r="AF55" s="102">
        <f t="shared" si="19"/>
        <v>0</v>
      </c>
      <c r="AG55" s="103">
        <f t="shared" si="19"/>
        <v>0</v>
      </c>
      <c r="AH55" s="102">
        <f t="shared" si="19"/>
        <v>0</v>
      </c>
      <c r="AI55" s="103">
        <f t="shared" si="19"/>
        <v>0</v>
      </c>
      <c r="AJ55" s="102">
        <f t="shared" si="19"/>
        <v>0</v>
      </c>
      <c r="AK55" s="103">
        <f t="shared" si="19"/>
        <v>0</v>
      </c>
      <c r="AL55" s="102">
        <f t="shared" si="19"/>
        <v>0</v>
      </c>
      <c r="AM55" s="103">
        <f t="shared" si="19"/>
        <v>0</v>
      </c>
      <c r="AN55" s="102">
        <f t="shared" si="19"/>
        <v>0</v>
      </c>
      <c r="AO55" s="103">
        <f t="shared" si="19"/>
        <v>0</v>
      </c>
      <c r="AP55" s="102">
        <f t="shared" si="19"/>
        <v>0</v>
      </c>
      <c r="AQ55" s="103">
        <f t="shared" si="19"/>
        <v>0</v>
      </c>
      <c r="AR55" s="102">
        <f t="shared" si="19"/>
        <v>0</v>
      </c>
      <c r="AS55" s="103">
        <f t="shared" si="19"/>
        <v>0</v>
      </c>
      <c r="AT55" s="51"/>
      <c r="AU55" s="56"/>
    </row>
    <row r="56" spans="2:47" ht="14.25" x14ac:dyDescent="0.25">
      <c r="B56" s="55"/>
      <c r="C56" s="10" t="s">
        <v>102</v>
      </c>
      <c r="D56" s="11" t="s">
        <v>33</v>
      </c>
      <c r="E56" s="130" t="e">
        <f>0.507*LN(E55/(4))</f>
        <v>#NUM!</v>
      </c>
      <c r="F56" s="15">
        <f t="shared" ref="F56:AS56" si="20">0.507*LN(F55/(4))</f>
        <v>2.6377344830217098</v>
      </c>
      <c r="G56" s="43">
        <f t="shared" si="20"/>
        <v>2.7169835881007871</v>
      </c>
      <c r="H56" s="98" t="e">
        <f t="shared" si="20"/>
        <v>#NUM!</v>
      </c>
      <c r="I56" s="99" t="e">
        <f t="shared" si="20"/>
        <v>#NUM!</v>
      </c>
      <c r="J56" s="98" t="e">
        <f t="shared" si="20"/>
        <v>#NUM!</v>
      </c>
      <c r="K56" s="99" t="e">
        <f t="shared" si="20"/>
        <v>#NUM!</v>
      </c>
      <c r="L56" s="98" t="e">
        <f t="shared" si="20"/>
        <v>#NUM!</v>
      </c>
      <c r="M56" s="99" t="e">
        <f t="shared" si="20"/>
        <v>#NUM!</v>
      </c>
      <c r="N56" s="98" t="e">
        <f t="shared" si="20"/>
        <v>#NUM!</v>
      </c>
      <c r="O56" s="99" t="e">
        <f t="shared" si="20"/>
        <v>#NUM!</v>
      </c>
      <c r="P56" s="98" t="e">
        <f t="shared" si="20"/>
        <v>#NUM!</v>
      </c>
      <c r="Q56" s="99" t="e">
        <f t="shared" si="20"/>
        <v>#NUM!</v>
      </c>
      <c r="R56" s="98" t="e">
        <f t="shared" si="20"/>
        <v>#NUM!</v>
      </c>
      <c r="S56" s="99" t="e">
        <f t="shared" si="20"/>
        <v>#NUM!</v>
      </c>
      <c r="T56" s="98" t="e">
        <f t="shared" si="20"/>
        <v>#NUM!</v>
      </c>
      <c r="U56" s="99" t="e">
        <f t="shared" si="20"/>
        <v>#NUM!</v>
      </c>
      <c r="V56" s="98" t="e">
        <f t="shared" si="20"/>
        <v>#NUM!</v>
      </c>
      <c r="W56" s="99" t="e">
        <f t="shared" si="20"/>
        <v>#NUM!</v>
      </c>
      <c r="X56" s="98" t="e">
        <f t="shared" si="20"/>
        <v>#NUM!</v>
      </c>
      <c r="Y56" s="99" t="e">
        <f t="shared" si="20"/>
        <v>#NUM!</v>
      </c>
      <c r="Z56" s="98" t="e">
        <f t="shared" si="20"/>
        <v>#NUM!</v>
      </c>
      <c r="AA56" s="99" t="e">
        <f t="shared" si="20"/>
        <v>#NUM!</v>
      </c>
      <c r="AB56" s="98" t="e">
        <f t="shared" si="20"/>
        <v>#NUM!</v>
      </c>
      <c r="AC56" s="99" t="e">
        <f t="shared" si="20"/>
        <v>#NUM!</v>
      </c>
      <c r="AD56" s="98" t="e">
        <f t="shared" si="20"/>
        <v>#NUM!</v>
      </c>
      <c r="AE56" s="99" t="e">
        <f t="shared" si="20"/>
        <v>#NUM!</v>
      </c>
      <c r="AF56" s="98" t="e">
        <f t="shared" si="20"/>
        <v>#NUM!</v>
      </c>
      <c r="AG56" s="99" t="e">
        <f t="shared" si="20"/>
        <v>#NUM!</v>
      </c>
      <c r="AH56" s="98" t="e">
        <f t="shared" si="20"/>
        <v>#NUM!</v>
      </c>
      <c r="AI56" s="99" t="e">
        <f t="shared" si="20"/>
        <v>#NUM!</v>
      </c>
      <c r="AJ56" s="98" t="e">
        <f t="shared" si="20"/>
        <v>#NUM!</v>
      </c>
      <c r="AK56" s="99" t="e">
        <f t="shared" si="20"/>
        <v>#NUM!</v>
      </c>
      <c r="AL56" s="98" t="e">
        <f t="shared" si="20"/>
        <v>#NUM!</v>
      </c>
      <c r="AM56" s="99" t="e">
        <f t="shared" si="20"/>
        <v>#NUM!</v>
      </c>
      <c r="AN56" s="98" t="e">
        <f t="shared" si="20"/>
        <v>#NUM!</v>
      </c>
      <c r="AO56" s="99" t="e">
        <f t="shared" si="20"/>
        <v>#NUM!</v>
      </c>
      <c r="AP56" s="98" t="e">
        <f t="shared" si="20"/>
        <v>#NUM!</v>
      </c>
      <c r="AQ56" s="99" t="e">
        <f t="shared" si="20"/>
        <v>#NUM!</v>
      </c>
      <c r="AR56" s="98" t="e">
        <f t="shared" si="20"/>
        <v>#NUM!</v>
      </c>
      <c r="AS56" s="99" t="e">
        <f t="shared" si="20"/>
        <v>#NUM!</v>
      </c>
      <c r="AT56" s="51"/>
      <c r="AU56" s="56"/>
    </row>
    <row r="57" spans="2:47" ht="14.25" x14ac:dyDescent="0.25">
      <c r="B57" s="55"/>
      <c r="C57" s="10" t="s">
        <v>104</v>
      </c>
      <c r="D57" s="11" t="s">
        <v>105</v>
      </c>
      <c r="E57" s="130">
        <f t="shared" ref="E57:AS57" si="21">IF(AND(E10*(1-0.01*E11)&lt;200,(E11&gt;0.5)),0.5,E11)</f>
        <v>0</v>
      </c>
      <c r="F57" s="15">
        <f t="shared" si="21"/>
        <v>0.02</v>
      </c>
      <c r="G57" s="43">
        <f t="shared" si="21"/>
        <v>0.02</v>
      </c>
      <c r="H57" s="98">
        <f t="shared" si="21"/>
        <v>0</v>
      </c>
      <c r="I57" s="99">
        <f t="shared" si="21"/>
        <v>0</v>
      </c>
      <c r="J57" s="98">
        <f t="shared" si="21"/>
        <v>0</v>
      </c>
      <c r="K57" s="99">
        <f t="shared" si="21"/>
        <v>0</v>
      </c>
      <c r="L57" s="98">
        <f t="shared" si="21"/>
        <v>0</v>
      </c>
      <c r="M57" s="99">
        <f t="shared" si="21"/>
        <v>0</v>
      </c>
      <c r="N57" s="98">
        <f t="shared" si="21"/>
        <v>0</v>
      </c>
      <c r="O57" s="99">
        <f t="shared" si="21"/>
        <v>0</v>
      </c>
      <c r="P57" s="98">
        <f t="shared" si="21"/>
        <v>0</v>
      </c>
      <c r="Q57" s="99">
        <f t="shared" si="21"/>
        <v>0</v>
      </c>
      <c r="R57" s="98">
        <f t="shared" si="21"/>
        <v>0</v>
      </c>
      <c r="S57" s="99">
        <f t="shared" si="21"/>
        <v>0</v>
      </c>
      <c r="T57" s="98">
        <f t="shared" si="21"/>
        <v>0</v>
      </c>
      <c r="U57" s="99">
        <f t="shared" si="21"/>
        <v>0</v>
      </c>
      <c r="V57" s="98">
        <f t="shared" si="21"/>
        <v>0</v>
      </c>
      <c r="W57" s="99">
        <f t="shared" si="21"/>
        <v>0</v>
      </c>
      <c r="X57" s="98">
        <f t="shared" si="21"/>
        <v>0</v>
      </c>
      <c r="Y57" s="99">
        <f t="shared" si="21"/>
        <v>0</v>
      </c>
      <c r="Z57" s="98">
        <f t="shared" si="21"/>
        <v>0</v>
      </c>
      <c r="AA57" s="99">
        <f t="shared" si="21"/>
        <v>0</v>
      </c>
      <c r="AB57" s="98">
        <f t="shared" si="21"/>
        <v>0</v>
      </c>
      <c r="AC57" s="99">
        <f t="shared" si="21"/>
        <v>0</v>
      </c>
      <c r="AD57" s="98">
        <f t="shared" si="21"/>
        <v>0</v>
      </c>
      <c r="AE57" s="99">
        <f t="shared" si="21"/>
        <v>0</v>
      </c>
      <c r="AF57" s="98">
        <f t="shared" si="21"/>
        <v>0</v>
      </c>
      <c r="AG57" s="99">
        <f t="shared" si="21"/>
        <v>0</v>
      </c>
      <c r="AH57" s="98">
        <f t="shared" si="21"/>
        <v>0</v>
      </c>
      <c r="AI57" s="99">
        <f t="shared" si="21"/>
        <v>0</v>
      </c>
      <c r="AJ57" s="98">
        <f t="shared" si="21"/>
        <v>0</v>
      </c>
      <c r="AK57" s="99">
        <f t="shared" si="21"/>
        <v>0</v>
      </c>
      <c r="AL57" s="98">
        <f t="shared" si="21"/>
        <v>0</v>
      </c>
      <c r="AM57" s="99">
        <f t="shared" si="21"/>
        <v>0</v>
      </c>
      <c r="AN57" s="98">
        <f t="shared" si="21"/>
        <v>0</v>
      </c>
      <c r="AO57" s="99">
        <f t="shared" si="21"/>
        <v>0</v>
      </c>
      <c r="AP57" s="98">
        <f t="shared" si="21"/>
        <v>0</v>
      </c>
      <c r="AQ57" s="99">
        <f t="shared" si="21"/>
        <v>0</v>
      </c>
      <c r="AR57" s="98">
        <f t="shared" si="21"/>
        <v>0</v>
      </c>
      <c r="AS57" s="99">
        <f t="shared" si="21"/>
        <v>0</v>
      </c>
      <c r="AT57" s="51"/>
      <c r="AU57" s="56"/>
    </row>
    <row r="58" spans="2:47" ht="14.25" x14ac:dyDescent="0.25">
      <c r="B58" s="55"/>
      <c r="C58" s="10" t="s">
        <v>111</v>
      </c>
      <c r="D58" s="11" t="s">
        <v>112</v>
      </c>
      <c r="E58" s="132">
        <f t="shared" ref="E58:AS58" si="22">IF(E12&lt;21,21,E12)</f>
        <v>21</v>
      </c>
      <c r="F58" s="42">
        <f t="shared" si="22"/>
        <v>25</v>
      </c>
      <c r="G58" s="45">
        <f t="shared" si="22"/>
        <v>25</v>
      </c>
      <c r="H58" s="102">
        <f t="shared" si="22"/>
        <v>21</v>
      </c>
      <c r="I58" s="103">
        <f t="shared" si="22"/>
        <v>21</v>
      </c>
      <c r="J58" s="102">
        <f t="shared" si="22"/>
        <v>21</v>
      </c>
      <c r="K58" s="103">
        <f t="shared" si="22"/>
        <v>21</v>
      </c>
      <c r="L58" s="102">
        <f t="shared" si="22"/>
        <v>21</v>
      </c>
      <c r="M58" s="103">
        <f t="shared" si="22"/>
        <v>21</v>
      </c>
      <c r="N58" s="102">
        <f t="shared" si="22"/>
        <v>21</v>
      </c>
      <c r="O58" s="103">
        <f t="shared" si="22"/>
        <v>21</v>
      </c>
      <c r="P58" s="102">
        <f t="shared" si="22"/>
        <v>21</v>
      </c>
      <c r="Q58" s="103">
        <f t="shared" si="22"/>
        <v>21</v>
      </c>
      <c r="R58" s="102">
        <f t="shared" si="22"/>
        <v>21</v>
      </c>
      <c r="S58" s="103">
        <f t="shared" si="22"/>
        <v>21</v>
      </c>
      <c r="T58" s="102">
        <f t="shared" si="22"/>
        <v>21</v>
      </c>
      <c r="U58" s="103">
        <f t="shared" si="22"/>
        <v>21</v>
      </c>
      <c r="V58" s="102">
        <f t="shared" si="22"/>
        <v>21</v>
      </c>
      <c r="W58" s="103">
        <f t="shared" si="22"/>
        <v>21</v>
      </c>
      <c r="X58" s="102">
        <f t="shared" si="22"/>
        <v>21</v>
      </c>
      <c r="Y58" s="103">
        <f t="shared" si="22"/>
        <v>21</v>
      </c>
      <c r="Z58" s="102">
        <f t="shared" si="22"/>
        <v>21</v>
      </c>
      <c r="AA58" s="103">
        <f t="shared" si="22"/>
        <v>21</v>
      </c>
      <c r="AB58" s="102">
        <f t="shared" si="22"/>
        <v>21</v>
      </c>
      <c r="AC58" s="103">
        <f t="shared" si="22"/>
        <v>21</v>
      </c>
      <c r="AD58" s="102">
        <f t="shared" si="22"/>
        <v>21</v>
      </c>
      <c r="AE58" s="103">
        <f t="shared" si="22"/>
        <v>21</v>
      </c>
      <c r="AF58" s="102">
        <f t="shared" si="22"/>
        <v>21</v>
      </c>
      <c r="AG58" s="103">
        <f t="shared" si="22"/>
        <v>21</v>
      </c>
      <c r="AH58" s="102">
        <f t="shared" si="22"/>
        <v>21</v>
      </c>
      <c r="AI58" s="103">
        <f t="shared" si="22"/>
        <v>21</v>
      </c>
      <c r="AJ58" s="102">
        <f t="shared" si="22"/>
        <v>21</v>
      </c>
      <c r="AK58" s="103">
        <f t="shared" si="22"/>
        <v>21</v>
      </c>
      <c r="AL58" s="102">
        <f t="shared" si="22"/>
        <v>21</v>
      </c>
      <c r="AM58" s="103">
        <f t="shared" si="22"/>
        <v>21</v>
      </c>
      <c r="AN58" s="102">
        <f t="shared" si="22"/>
        <v>21</v>
      </c>
      <c r="AO58" s="103">
        <f t="shared" si="22"/>
        <v>21</v>
      </c>
      <c r="AP58" s="102">
        <f t="shared" si="22"/>
        <v>21</v>
      </c>
      <c r="AQ58" s="103">
        <f t="shared" si="22"/>
        <v>21</v>
      </c>
      <c r="AR58" s="102">
        <f t="shared" si="22"/>
        <v>21</v>
      </c>
      <c r="AS58" s="103">
        <f t="shared" si="22"/>
        <v>21</v>
      </c>
      <c r="AT58" s="51"/>
      <c r="AU58" s="56"/>
    </row>
    <row r="59" spans="2:47" ht="14.25" x14ac:dyDescent="0.25">
      <c r="B59" s="55"/>
      <c r="C59" s="10" t="s">
        <v>101</v>
      </c>
      <c r="D59" s="11" t="s">
        <v>32</v>
      </c>
      <c r="E59" s="130">
        <f t="shared" ref="E59" si="23">0.199*(1.1199*LN(E58-20)+0.8103)*(1+0.1038*E57)^2</f>
        <v>0.16124970000000002</v>
      </c>
      <c r="F59" s="15">
        <f t="shared" ref="F59:G59" si="24">0.199*(1.1199*LN(F58-20)+0.8103)*(1+0.1038*F57)^2</f>
        <v>0.52209018090115733</v>
      </c>
      <c r="G59" s="43">
        <f t="shared" si="24"/>
        <v>0.52209018090115733</v>
      </c>
      <c r="H59" s="98">
        <f t="shared" ref="H59:AS59" si="25">0.199*(1.1199*LN(H58-20)+0.8103)*(1+0.1038*H57)^2</f>
        <v>0.16124970000000002</v>
      </c>
      <c r="I59" s="99">
        <f t="shared" si="25"/>
        <v>0.16124970000000002</v>
      </c>
      <c r="J59" s="98">
        <f t="shared" si="25"/>
        <v>0.16124970000000002</v>
      </c>
      <c r="K59" s="99">
        <f t="shared" si="25"/>
        <v>0.16124970000000002</v>
      </c>
      <c r="L59" s="98">
        <f t="shared" si="25"/>
        <v>0.16124970000000002</v>
      </c>
      <c r="M59" s="99">
        <f t="shared" si="25"/>
        <v>0.16124970000000002</v>
      </c>
      <c r="N59" s="98">
        <f t="shared" si="25"/>
        <v>0.16124970000000002</v>
      </c>
      <c r="O59" s="99">
        <f t="shared" si="25"/>
        <v>0.16124970000000002</v>
      </c>
      <c r="P59" s="98">
        <f t="shared" si="25"/>
        <v>0.16124970000000002</v>
      </c>
      <c r="Q59" s="99">
        <f t="shared" si="25"/>
        <v>0.16124970000000002</v>
      </c>
      <c r="R59" s="98">
        <f t="shared" si="25"/>
        <v>0.16124970000000002</v>
      </c>
      <c r="S59" s="99">
        <f t="shared" si="25"/>
        <v>0.16124970000000002</v>
      </c>
      <c r="T59" s="98">
        <f t="shared" si="25"/>
        <v>0.16124970000000002</v>
      </c>
      <c r="U59" s="99">
        <f t="shared" si="25"/>
        <v>0.16124970000000002</v>
      </c>
      <c r="V59" s="98">
        <f t="shared" si="25"/>
        <v>0.16124970000000002</v>
      </c>
      <c r="W59" s="99">
        <f t="shared" si="25"/>
        <v>0.16124970000000002</v>
      </c>
      <c r="X59" s="98">
        <f t="shared" si="25"/>
        <v>0.16124970000000002</v>
      </c>
      <c r="Y59" s="99">
        <f t="shared" si="25"/>
        <v>0.16124970000000002</v>
      </c>
      <c r="Z59" s="98">
        <f t="shared" si="25"/>
        <v>0.16124970000000002</v>
      </c>
      <c r="AA59" s="99">
        <f t="shared" si="25"/>
        <v>0.16124970000000002</v>
      </c>
      <c r="AB59" s="98">
        <f t="shared" si="25"/>
        <v>0.16124970000000002</v>
      </c>
      <c r="AC59" s="99">
        <f t="shared" si="25"/>
        <v>0.16124970000000002</v>
      </c>
      <c r="AD59" s="98">
        <f t="shared" si="25"/>
        <v>0.16124970000000002</v>
      </c>
      <c r="AE59" s="99">
        <f t="shared" si="25"/>
        <v>0.16124970000000002</v>
      </c>
      <c r="AF59" s="98">
        <f t="shared" si="25"/>
        <v>0.16124970000000002</v>
      </c>
      <c r="AG59" s="99">
        <f t="shared" si="25"/>
        <v>0.16124970000000002</v>
      </c>
      <c r="AH59" s="98">
        <f t="shared" si="25"/>
        <v>0.16124970000000002</v>
      </c>
      <c r="AI59" s="99">
        <f t="shared" si="25"/>
        <v>0.16124970000000002</v>
      </c>
      <c r="AJ59" s="98">
        <f t="shared" si="25"/>
        <v>0.16124970000000002</v>
      </c>
      <c r="AK59" s="99">
        <f t="shared" si="25"/>
        <v>0.16124970000000002</v>
      </c>
      <c r="AL59" s="98">
        <f t="shared" si="25"/>
        <v>0.16124970000000002</v>
      </c>
      <c r="AM59" s="99">
        <f t="shared" si="25"/>
        <v>0.16124970000000002</v>
      </c>
      <c r="AN59" s="98">
        <f t="shared" si="25"/>
        <v>0.16124970000000002</v>
      </c>
      <c r="AO59" s="99">
        <f t="shared" si="25"/>
        <v>0.16124970000000002</v>
      </c>
      <c r="AP59" s="98">
        <f t="shared" si="25"/>
        <v>0.16124970000000002</v>
      </c>
      <c r="AQ59" s="99">
        <f t="shared" si="25"/>
        <v>0.16124970000000002</v>
      </c>
      <c r="AR59" s="98">
        <f t="shared" si="25"/>
        <v>0.16124970000000002</v>
      </c>
      <c r="AS59" s="99">
        <f t="shared" si="25"/>
        <v>0.16124970000000002</v>
      </c>
      <c r="AT59" s="51"/>
      <c r="AU59" s="56"/>
    </row>
    <row r="60" spans="2:47" ht="14.25" x14ac:dyDescent="0.25">
      <c r="B60" s="55"/>
      <c r="C60" s="10" t="s">
        <v>109</v>
      </c>
      <c r="D60" s="11" t="s">
        <v>110</v>
      </c>
      <c r="E60" s="131">
        <f t="shared" ref="E60:AS60" si="26">IF(AND(E25="Yes",(E17-1.5)&gt;0),E17-1.5,E17)</f>
        <v>0</v>
      </c>
      <c r="F60" s="13">
        <f t="shared" si="26"/>
        <v>0</v>
      </c>
      <c r="G60" s="44">
        <f t="shared" si="26"/>
        <v>0</v>
      </c>
      <c r="H60" s="13">
        <f t="shared" si="26"/>
        <v>0</v>
      </c>
      <c r="I60" s="44">
        <f t="shared" si="26"/>
        <v>0</v>
      </c>
      <c r="J60" s="13">
        <f t="shared" si="26"/>
        <v>0</v>
      </c>
      <c r="K60" s="44">
        <f t="shared" si="26"/>
        <v>0</v>
      </c>
      <c r="L60" s="13">
        <f t="shared" si="26"/>
        <v>0</v>
      </c>
      <c r="M60" s="44">
        <f t="shared" si="26"/>
        <v>0</v>
      </c>
      <c r="N60" s="13">
        <f t="shared" si="26"/>
        <v>0</v>
      </c>
      <c r="O60" s="44">
        <f t="shared" si="26"/>
        <v>0</v>
      </c>
      <c r="P60" s="13">
        <f t="shared" si="26"/>
        <v>0</v>
      </c>
      <c r="Q60" s="44">
        <f t="shared" si="26"/>
        <v>0</v>
      </c>
      <c r="R60" s="13">
        <f t="shared" si="26"/>
        <v>0</v>
      </c>
      <c r="S60" s="44">
        <f t="shared" si="26"/>
        <v>0</v>
      </c>
      <c r="T60" s="13">
        <f t="shared" si="26"/>
        <v>0</v>
      </c>
      <c r="U60" s="44">
        <f t="shared" si="26"/>
        <v>0</v>
      </c>
      <c r="V60" s="13">
        <f t="shared" si="26"/>
        <v>0</v>
      </c>
      <c r="W60" s="44">
        <f t="shared" si="26"/>
        <v>0</v>
      </c>
      <c r="X60" s="13">
        <f t="shared" si="26"/>
        <v>0</v>
      </c>
      <c r="Y60" s="44">
        <f t="shared" si="26"/>
        <v>0</v>
      </c>
      <c r="Z60" s="13">
        <f t="shared" si="26"/>
        <v>0</v>
      </c>
      <c r="AA60" s="44">
        <f t="shared" si="26"/>
        <v>0</v>
      </c>
      <c r="AB60" s="13">
        <f t="shared" si="26"/>
        <v>0</v>
      </c>
      <c r="AC60" s="44">
        <f t="shared" si="26"/>
        <v>0</v>
      </c>
      <c r="AD60" s="13">
        <f t="shared" si="26"/>
        <v>0</v>
      </c>
      <c r="AE60" s="44">
        <f t="shared" si="26"/>
        <v>0</v>
      </c>
      <c r="AF60" s="13">
        <f t="shared" si="26"/>
        <v>0</v>
      </c>
      <c r="AG60" s="44">
        <f t="shared" si="26"/>
        <v>0</v>
      </c>
      <c r="AH60" s="13">
        <f t="shared" si="26"/>
        <v>0</v>
      </c>
      <c r="AI60" s="44">
        <f t="shared" si="26"/>
        <v>0</v>
      </c>
      <c r="AJ60" s="13">
        <f t="shared" si="26"/>
        <v>0</v>
      </c>
      <c r="AK60" s="44">
        <f t="shared" si="26"/>
        <v>0</v>
      </c>
      <c r="AL60" s="13">
        <f t="shared" si="26"/>
        <v>0</v>
      </c>
      <c r="AM60" s="44">
        <f t="shared" si="26"/>
        <v>0</v>
      </c>
      <c r="AN60" s="13">
        <f t="shared" si="26"/>
        <v>0</v>
      </c>
      <c r="AO60" s="44">
        <f t="shared" si="26"/>
        <v>0</v>
      </c>
      <c r="AP60" s="13">
        <f t="shared" si="26"/>
        <v>0</v>
      </c>
      <c r="AQ60" s="44">
        <f t="shared" si="26"/>
        <v>0</v>
      </c>
      <c r="AR60" s="13">
        <f t="shared" si="26"/>
        <v>0</v>
      </c>
      <c r="AS60" s="44">
        <f t="shared" si="26"/>
        <v>0</v>
      </c>
      <c r="AT60" s="51"/>
      <c r="AU60" s="56"/>
    </row>
    <row r="61" spans="2:47" ht="14.25" x14ac:dyDescent="0.25">
      <c r="B61" s="55"/>
      <c r="C61" s="10" t="s">
        <v>45</v>
      </c>
      <c r="D61" s="11" t="s">
        <v>107</v>
      </c>
      <c r="E61" s="129">
        <f>IF(E19=0,E18+E16+E60+E20,E18+E16+E60)</f>
        <v>0</v>
      </c>
      <c r="F61" s="10">
        <f t="shared" ref="F61:AS61" si="27">IF(F19=0,F18+F16+F60+F20,F18+F16+F60)</f>
        <v>12</v>
      </c>
      <c r="G61" s="16">
        <f t="shared" si="27"/>
        <v>12</v>
      </c>
      <c r="H61" s="10">
        <f t="shared" si="27"/>
        <v>0</v>
      </c>
      <c r="I61" s="97">
        <f t="shared" si="27"/>
        <v>0</v>
      </c>
      <c r="J61" s="10">
        <f t="shared" si="27"/>
        <v>0</v>
      </c>
      <c r="K61" s="97">
        <f t="shared" si="27"/>
        <v>0</v>
      </c>
      <c r="L61" s="10">
        <f t="shared" si="27"/>
        <v>0</v>
      </c>
      <c r="M61" s="97">
        <f t="shared" si="27"/>
        <v>0</v>
      </c>
      <c r="N61" s="10">
        <f t="shared" si="27"/>
        <v>0</v>
      </c>
      <c r="O61" s="97">
        <f t="shared" si="27"/>
        <v>0</v>
      </c>
      <c r="P61" s="10">
        <f t="shared" si="27"/>
        <v>0</v>
      </c>
      <c r="Q61" s="97">
        <f t="shared" si="27"/>
        <v>0</v>
      </c>
      <c r="R61" s="10">
        <f t="shared" si="27"/>
        <v>0</v>
      </c>
      <c r="S61" s="97">
        <f t="shared" si="27"/>
        <v>0</v>
      </c>
      <c r="T61" s="10">
        <f t="shared" si="27"/>
        <v>0</v>
      </c>
      <c r="U61" s="97">
        <f t="shared" si="27"/>
        <v>0</v>
      </c>
      <c r="V61" s="10">
        <f t="shared" si="27"/>
        <v>0</v>
      </c>
      <c r="W61" s="97">
        <f t="shared" si="27"/>
        <v>0</v>
      </c>
      <c r="X61" s="10">
        <f t="shared" si="27"/>
        <v>0</v>
      </c>
      <c r="Y61" s="97">
        <f t="shared" si="27"/>
        <v>0</v>
      </c>
      <c r="Z61" s="10">
        <f t="shared" si="27"/>
        <v>0</v>
      </c>
      <c r="AA61" s="97">
        <f t="shared" si="27"/>
        <v>0</v>
      </c>
      <c r="AB61" s="10">
        <f t="shared" si="27"/>
        <v>0</v>
      </c>
      <c r="AC61" s="97">
        <f t="shared" si="27"/>
        <v>0</v>
      </c>
      <c r="AD61" s="10">
        <f t="shared" si="27"/>
        <v>0</v>
      </c>
      <c r="AE61" s="97">
        <f t="shared" si="27"/>
        <v>0</v>
      </c>
      <c r="AF61" s="10">
        <f t="shared" si="27"/>
        <v>0</v>
      </c>
      <c r="AG61" s="97">
        <f t="shared" si="27"/>
        <v>0</v>
      </c>
      <c r="AH61" s="10">
        <f t="shared" si="27"/>
        <v>0</v>
      </c>
      <c r="AI61" s="97">
        <f t="shared" si="27"/>
        <v>0</v>
      </c>
      <c r="AJ61" s="10">
        <f t="shared" si="27"/>
        <v>0</v>
      </c>
      <c r="AK61" s="97">
        <f t="shared" si="27"/>
        <v>0</v>
      </c>
      <c r="AL61" s="10">
        <f t="shared" si="27"/>
        <v>0</v>
      </c>
      <c r="AM61" s="97">
        <f t="shared" si="27"/>
        <v>0</v>
      </c>
      <c r="AN61" s="10">
        <f t="shared" si="27"/>
        <v>0</v>
      </c>
      <c r="AO61" s="97">
        <f t="shared" si="27"/>
        <v>0</v>
      </c>
      <c r="AP61" s="10">
        <f t="shared" si="27"/>
        <v>0</v>
      </c>
      <c r="AQ61" s="97">
        <f t="shared" si="27"/>
        <v>0</v>
      </c>
      <c r="AR61" s="10">
        <f t="shared" si="27"/>
        <v>0</v>
      </c>
      <c r="AS61" s="97">
        <f t="shared" si="27"/>
        <v>0</v>
      </c>
      <c r="AT61" s="51"/>
      <c r="AU61" s="56"/>
    </row>
    <row r="62" spans="2:47" ht="14.25" x14ac:dyDescent="0.25">
      <c r="B62" s="55"/>
      <c r="C62" s="10" t="s">
        <v>46</v>
      </c>
      <c r="D62" s="11" t="s">
        <v>37</v>
      </c>
      <c r="E62" s="129">
        <f t="shared" ref="E62:AS62" si="28">IF(OR(E10&gt;160,E23="Yes"),E61,E61*(2-0.005*E10))</f>
        <v>0</v>
      </c>
      <c r="F62" s="10">
        <f t="shared" si="28"/>
        <v>12</v>
      </c>
      <c r="G62" s="16">
        <f t="shared" si="28"/>
        <v>12</v>
      </c>
      <c r="H62" s="10">
        <f t="shared" si="28"/>
        <v>0</v>
      </c>
      <c r="I62" s="97">
        <f t="shared" si="28"/>
        <v>0</v>
      </c>
      <c r="J62" s="10">
        <f t="shared" si="28"/>
        <v>0</v>
      </c>
      <c r="K62" s="97">
        <f t="shared" si="28"/>
        <v>0</v>
      </c>
      <c r="L62" s="10">
        <f t="shared" si="28"/>
        <v>0</v>
      </c>
      <c r="M62" s="97">
        <f t="shared" si="28"/>
        <v>0</v>
      </c>
      <c r="N62" s="10">
        <f t="shared" si="28"/>
        <v>0</v>
      </c>
      <c r="O62" s="97">
        <f t="shared" si="28"/>
        <v>0</v>
      </c>
      <c r="P62" s="10">
        <f t="shared" si="28"/>
        <v>0</v>
      </c>
      <c r="Q62" s="97">
        <f t="shared" si="28"/>
        <v>0</v>
      </c>
      <c r="R62" s="10">
        <f t="shared" si="28"/>
        <v>0</v>
      </c>
      <c r="S62" s="97">
        <f t="shared" si="28"/>
        <v>0</v>
      </c>
      <c r="T62" s="10">
        <f t="shared" si="28"/>
        <v>0</v>
      </c>
      <c r="U62" s="97">
        <f t="shared" si="28"/>
        <v>0</v>
      </c>
      <c r="V62" s="10">
        <f t="shared" si="28"/>
        <v>0</v>
      </c>
      <c r="W62" s="97">
        <f t="shared" si="28"/>
        <v>0</v>
      </c>
      <c r="X62" s="10">
        <f t="shared" si="28"/>
        <v>0</v>
      </c>
      <c r="Y62" s="97">
        <f t="shared" si="28"/>
        <v>0</v>
      </c>
      <c r="Z62" s="10">
        <f t="shared" si="28"/>
        <v>0</v>
      </c>
      <c r="AA62" s="97">
        <f t="shared" si="28"/>
        <v>0</v>
      </c>
      <c r="AB62" s="10">
        <f t="shared" si="28"/>
        <v>0</v>
      </c>
      <c r="AC62" s="97">
        <f t="shared" si="28"/>
        <v>0</v>
      </c>
      <c r="AD62" s="10">
        <f t="shared" si="28"/>
        <v>0</v>
      </c>
      <c r="AE62" s="97">
        <f t="shared" si="28"/>
        <v>0</v>
      </c>
      <c r="AF62" s="10">
        <f t="shared" si="28"/>
        <v>0</v>
      </c>
      <c r="AG62" s="97">
        <f t="shared" si="28"/>
        <v>0</v>
      </c>
      <c r="AH62" s="10">
        <f t="shared" si="28"/>
        <v>0</v>
      </c>
      <c r="AI62" s="97">
        <f t="shared" si="28"/>
        <v>0</v>
      </c>
      <c r="AJ62" s="10">
        <f t="shared" si="28"/>
        <v>0</v>
      </c>
      <c r="AK62" s="97">
        <f t="shared" si="28"/>
        <v>0</v>
      </c>
      <c r="AL62" s="10">
        <f t="shared" si="28"/>
        <v>0</v>
      </c>
      <c r="AM62" s="97">
        <f t="shared" si="28"/>
        <v>0</v>
      </c>
      <c r="AN62" s="10">
        <f t="shared" si="28"/>
        <v>0</v>
      </c>
      <c r="AO62" s="97">
        <f t="shared" si="28"/>
        <v>0</v>
      </c>
      <c r="AP62" s="10">
        <f t="shared" si="28"/>
        <v>0</v>
      </c>
      <c r="AQ62" s="97">
        <f t="shared" si="28"/>
        <v>0</v>
      </c>
      <c r="AR62" s="10">
        <f t="shared" si="28"/>
        <v>0</v>
      </c>
      <c r="AS62" s="97">
        <f t="shared" si="28"/>
        <v>0</v>
      </c>
      <c r="AT62" s="51"/>
      <c r="AU62" s="56"/>
    </row>
    <row r="63" spans="2:47" ht="14.25" x14ac:dyDescent="0.25">
      <c r="B63" s="55"/>
      <c r="C63" s="10" t="s">
        <v>119</v>
      </c>
      <c r="D63" s="11" t="s">
        <v>120</v>
      </c>
      <c r="E63" s="131">
        <f t="shared" ref="E63:AS63" si="29">E16+E60+E20</f>
        <v>0</v>
      </c>
      <c r="F63" s="13">
        <f t="shared" si="29"/>
        <v>9</v>
      </c>
      <c r="G63" s="44">
        <f t="shared" si="29"/>
        <v>9</v>
      </c>
      <c r="H63" s="13">
        <f t="shared" si="29"/>
        <v>0</v>
      </c>
      <c r="I63" s="44">
        <f t="shared" si="29"/>
        <v>0</v>
      </c>
      <c r="J63" s="13">
        <f t="shared" si="29"/>
        <v>0</v>
      </c>
      <c r="K63" s="44">
        <f t="shared" si="29"/>
        <v>0</v>
      </c>
      <c r="L63" s="13">
        <f t="shared" si="29"/>
        <v>0</v>
      </c>
      <c r="M63" s="44">
        <f t="shared" si="29"/>
        <v>0</v>
      </c>
      <c r="N63" s="13">
        <f t="shared" si="29"/>
        <v>0</v>
      </c>
      <c r="O63" s="44">
        <f t="shared" si="29"/>
        <v>0</v>
      </c>
      <c r="P63" s="13">
        <f t="shared" si="29"/>
        <v>0</v>
      </c>
      <c r="Q63" s="44">
        <f t="shared" si="29"/>
        <v>0</v>
      </c>
      <c r="R63" s="13">
        <f t="shared" si="29"/>
        <v>0</v>
      </c>
      <c r="S63" s="44">
        <f t="shared" si="29"/>
        <v>0</v>
      </c>
      <c r="T63" s="13">
        <f t="shared" si="29"/>
        <v>0</v>
      </c>
      <c r="U63" s="44">
        <f t="shared" si="29"/>
        <v>0</v>
      </c>
      <c r="V63" s="13">
        <f t="shared" si="29"/>
        <v>0</v>
      </c>
      <c r="W63" s="44">
        <f t="shared" si="29"/>
        <v>0</v>
      </c>
      <c r="X63" s="13">
        <f t="shared" si="29"/>
        <v>0</v>
      </c>
      <c r="Y63" s="44">
        <f t="shared" si="29"/>
        <v>0</v>
      </c>
      <c r="Z63" s="13">
        <f t="shared" si="29"/>
        <v>0</v>
      </c>
      <c r="AA63" s="44">
        <f t="shared" si="29"/>
        <v>0</v>
      </c>
      <c r="AB63" s="13">
        <f t="shared" si="29"/>
        <v>0</v>
      </c>
      <c r="AC63" s="44">
        <f t="shared" si="29"/>
        <v>0</v>
      </c>
      <c r="AD63" s="13">
        <f t="shared" si="29"/>
        <v>0</v>
      </c>
      <c r="AE63" s="44">
        <f t="shared" si="29"/>
        <v>0</v>
      </c>
      <c r="AF63" s="13">
        <f t="shared" si="29"/>
        <v>0</v>
      </c>
      <c r="AG63" s="44">
        <f t="shared" si="29"/>
        <v>0</v>
      </c>
      <c r="AH63" s="13">
        <f t="shared" si="29"/>
        <v>0</v>
      </c>
      <c r="AI63" s="44">
        <f t="shared" si="29"/>
        <v>0</v>
      </c>
      <c r="AJ63" s="13">
        <f t="shared" si="29"/>
        <v>0</v>
      </c>
      <c r="AK63" s="44">
        <f t="shared" si="29"/>
        <v>0</v>
      </c>
      <c r="AL63" s="13">
        <f t="shared" si="29"/>
        <v>0</v>
      </c>
      <c r="AM63" s="44">
        <f t="shared" si="29"/>
        <v>0</v>
      </c>
      <c r="AN63" s="13">
        <f t="shared" si="29"/>
        <v>0</v>
      </c>
      <c r="AO63" s="44">
        <f t="shared" si="29"/>
        <v>0</v>
      </c>
      <c r="AP63" s="13">
        <f t="shared" si="29"/>
        <v>0</v>
      </c>
      <c r="AQ63" s="44">
        <f t="shared" si="29"/>
        <v>0</v>
      </c>
      <c r="AR63" s="13">
        <f t="shared" si="29"/>
        <v>0</v>
      </c>
      <c r="AS63" s="44">
        <f t="shared" si="29"/>
        <v>0</v>
      </c>
      <c r="AT63" s="51"/>
      <c r="AU63" s="56"/>
    </row>
    <row r="64" spans="2:47" ht="14.25" x14ac:dyDescent="0.25">
      <c r="B64" s="55"/>
      <c r="C64" s="10" t="s">
        <v>106</v>
      </c>
      <c r="D64" s="11" t="s">
        <v>229</v>
      </c>
      <c r="E64" s="129">
        <f t="shared" ref="E64:AS64" si="30">IF(E63&lt;4,E62-10*E19,IF((E62+E63-20*E19)&gt;0,E62+E63-20*E19,0))</f>
        <v>0</v>
      </c>
      <c r="F64" s="10">
        <f>IF(F63&lt;4,F62-10*F19,IF((F62+F63-20*F19)&gt;0,F62+F63-20*F19,0))</f>
        <v>3</v>
      </c>
      <c r="G64" s="16">
        <f t="shared" si="30"/>
        <v>3</v>
      </c>
      <c r="H64" s="10">
        <f t="shared" si="30"/>
        <v>0</v>
      </c>
      <c r="I64" s="97">
        <f t="shared" si="30"/>
        <v>0</v>
      </c>
      <c r="J64" s="10">
        <f t="shared" si="30"/>
        <v>0</v>
      </c>
      <c r="K64" s="97">
        <f t="shared" si="30"/>
        <v>0</v>
      </c>
      <c r="L64" s="10">
        <f t="shared" si="30"/>
        <v>0</v>
      </c>
      <c r="M64" s="97">
        <f t="shared" si="30"/>
        <v>0</v>
      </c>
      <c r="N64" s="10">
        <f t="shared" si="30"/>
        <v>0</v>
      </c>
      <c r="O64" s="97">
        <f t="shared" si="30"/>
        <v>0</v>
      </c>
      <c r="P64" s="10">
        <f t="shared" si="30"/>
        <v>0</v>
      </c>
      <c r="Q64" s="97">
        <f t="shared" si="30"/>
        <v>0</v>
      </c>
      <c r="R64" s="10">
        <f t="shared" si="30"/>
        <v>0</v>
      </c>
      <c r="S64" s="97">
        <f t="shared" si="30"/>
        <v>0</v>
      </c>
      <c r="T64" s="10">
        <f t="shared" si="30"/>
        <v>0</v>
      </c>
      <c r="U64" s="97">
        <f t="shared" si="30"/>
        <v>0</v>
      </c>
      <c r="V64" s="10">
        <f t="shared" si="30"/>
        <v>0</v>
      </c>
      <c r="W64" s="97">
        <f t="shared" si="30"/>
        <v>0</v>
      </c>
      <c r="X64" s="10">
        <f t="shared" si="30"/>
        <v>0</v>
      </c>
      <c r="Y64" s="97">
        <f t="shared" si="30"/>
        <v>0</v>
      </c>
      <c r="Z64" s="10">
        <f t="shared" si="30"/>
        <v>0</v>
      </c>
      <c r="AA64" s="97">
        <f t="shared" si="30"/>
        <v>0</v>
      </c>
      <c r="AB64" s="10">
        <f t="shared" si="30"/>
        <v>0</v>
      </c>
      <c r="AC64" s="97">
        <f t="shared" si="30"/>
        <v>0</v>
      </c>
      <c r="AD64" s="10">
        <f t="shared" si="30"/>
        <v>0</v>
      </c>
      <c r="AE64" s="97">
        <f t="shared" si="30"/>
        <v>0</v>
      </c>
      <c r="AF64" s="10">
        <f t="shared" si="30"/>
        <v>0</v>
      </c>
      <c r="AG64" s="97">
        <f t="shared" si="30"/>
        <v>0</v>
      </c>
      <c r="AH64" s="10">
        <f t="shared" si="30"/>
        <v>0</v>
      </c>
      <c r="AI64" s="97">
        <f t="shared" si="30"/>
        <v>0</v>
      </c>
      <c r="AJ64" s="10">
        <f t="shared" si="30"/>
        <v>0</v>
      </c>
      <c r="AK64" s="97">
        <f t="shared" si="30"/>
        <v>0</v>
      </c>
      <c r="AL64" s="10">
        <f t="shared" si="30"/>
        <v>0</v>
      </c>
      <c r="AM64" s="97">
        <f t="shared" si="30"/>
        <v>0</v>
      </c>
      <c r="AN64" s="10">
        <f t="shared" si="30"/>
        <v>0</v>
      </c>
      <c r="AO64" s="97">
        <f t="shared" si="30"/>
        <v>0</v>
      </c>
      <c r="AP64" s="10">
        <f t="shared" si="30"/>
        <v>0</v>
      </c>
      <c r="AQ64" s="97">
        <f t="shared" si="30"/>
        <v>0</v>
      </c>
      <c r="AR64" s="10">
        <f t="shared" si="30"/>
        <v>0</v>
      </c>
      <c r="AS64" s="97">
        <f t="shared" si="30"/>
        <v>0</v>
      </c>
      <c r="AT64" s="51"/>
      <c r="AU64" s="56"/>
    </row>
    <row r="65" spans="2:47" ht="15.75" x14ac:dyDescent="0.25">
      <c r="B65" s="55"/>
      <c r="C65" s="112" t="s">
        <v>103</v>
      </c>
      <c r="D65" s="113" t="s">
        <v>230</v>
      </c>
      <c r="E65" s="129">
        <f t="shared" ref="E65:AS65" si="31">IF(E26="No",-0.005*E64^2,1.3*-0.005*E64^2)</f>
        <v>0</v>
      </c>
      <c r="F65" s="10">
        <f t="shared" si="31"/>
        <v>-4.4999999999999998E-2</v>
      </c>
      <c r="G65" s="16">
        <f t="shared" si="31"/>
        <v>-4.4999999999999998E-2</v>
      </c>
      <c r="H65" s="10">
        <f t="shared" si="31"/>
        <v>0</v>
      </c>
      <c r="I65" s="109">
        <f t="shared" si="31"/>
        <v>0</v>
      </c>
      <c r="J65" s="10">
        <f t="shared" si="31"/>
        <v>0</v>
      </c>
      <c r="K65" s="109">
        <f t="shared" si="31"/>
        <v>0</v>
      </c>
      <c r="L65" s="10">
        <f t="shared" si="31"/>
        <v>0</v>
      </c>
      <c r="M65" s="109">
        <f t="shared" si="31"/>
        <v>0</v>
      </c>
      <c r="N65" s="10">
        <f t="shared" si="31"/>
        <v>0</v>
      </c>
      <c r="O65" s="109">
        <f t="shared" si="31"/>
        <v>0</v>
      </c>
      <c r="P65" s="10">
        <f t="shared" si="31"/>
        <v>0</v>
      </c>
      <c r="Q65" s="109">
        <f t="shared" si="31"/>
        <v>0</v>
      </c>
      <c r="R65" s="10">
        <f t="shared" si="31"/>
        <v>0</v>
      </c>
      <c r="S65" s="109">
        <f t="shared" si="31"/>
        <v>0</v>
      </c>
      <c r="T65" s="10">
        <f t="shared" si="31"/>
        <v>0</v>
      </c>
      <c r="U65" s="109">
        <f t="shared" si="31"/>
        <v>0</v>
      </c>
      <c r="V65" s="10">
        <f t="shared" si="31"/>
        <v>0</v>
      </c>
      <c r="W65" s="109">
        <f t="shared" si="31"/>
        <v>0</v>
      </c>
      <c r="X65" s="10">
        <f t="shared" si="31"/>
        <v>0</v>
      </c>
      <c r="Y65" s="109">
        <f t="shared" si="31"/>
        <v>0</v>
      </c>
      <c r="Z65" s="10">
        <f t="shared" si="31"/>
        <v>0</v>
      </c>
      <c r="AA65" s="109">
        <f t="shared" si="31"/>
        <v>0</v>
      </c>
      <c r="AB65" s="10">
        <f t="shared" si="31"/>
        <v>0</v>
      </c>
      <c r="AC65" s="109">
        <f t="shared" si="31"/>
        <v>0</v>
      </c>
      <c r="AD65" s="10">
        <f t="shared" si="31"/>
        <v>0</v>
      </c>
      <c r="AE65" s="109">
        <f t="shared" si="31"/>
        <v>0</v>
      </c>
      <c r="AF65" s="10">
        <f t="shared" si="31"/>
        <v>0</v>
      </c>
      <c r="AG65" s="109">
        <f t="shared" si="31"/>
        <v>0</v>
      </c>
      <c r="AH65" s="10">
        <f t="shared" si="31"/>
        <v>0</v>
      </c>
      <c r="AI65" s="109">
        <f t="shared" si="31"/>
        <v>0</v>
      </c>
      <c r="AJ65" s="10">
        <f t="shared" si="31"/>
        <v>0</v>
      </c>
      <c r="AK65" s="109">
        <f t="shared" si="31"/>
        <v>0</v>
      </c>
      <c r="AL65" s="10">
        <f t="shared" si="31"/>
        <v>0</v>
      </c>
      <c r="AM65" s="109">
        <f t="shared" si="31"/>
        <v>0</v>
      </c>
      <c r="AN65" s="10">
        <f t="shared" si="31"/>
        <v>0</v>
      </c>
      <c r="AO65" s="109">
        <f t="shared" si="31"/>
        <v>0</v>
      </c>
      <c r="AP65" s="10">
        <f t="shared" si="31"/>
        <v>0</v>
      </c>
      <c r="AQ65" s="109">
        <f t="shared" si="31"/>
        <v>0</v>
      </c>
      <c r="AR65" s="10">
        <f t="shared" si="31"/>
        <v>0</v>
      </c>
      <c r="AS65" s="109">
        <f t="shared" si="31"/>
        <v>0</v>
      </c>
      <c r="AT65" s="51"/>
      <c r="AU65" s="56"/>
    </row>
    <row r="66" spans="2:47" ht="14.25" x14ac:dyDescent="0.25">
      <c r="B66" s="55"/>
      <c r="C66" s="10" t="s">
        <v>227</v>
      </c>
      <c r="D66" s="11" t="s">
        <v>92</v>
      </c>
      <c r="E66" s="130">
        <f t="shared" ref="E66:AS66" si="32">IF(E10&gt;0,0.76+E65+E56+E59+E54,0)</f>
        <v>0</v>
      </c>
      <c r="F66" s="15">
        <f t="shared" si="32"/>
        <v>4.4516409904534795</v>
      </c>
      <c r="G66" s="100">
        <f t="shared" si="32"/>
        <v>4.5308900955325564</v>
      </c>
      <c r="H66" s="98">
        <f t="shared" si="32"/>
        <v>0</v>
      </c>
      <c r="I66" s="100">
        <f t="shared" si="32"/>
        <v>0</v>
      </c>
      <c r="J66" s="98">
        <f t="shared" si="32"/>
        <v>0</v>
      </c>
      <c r="K66" s="100">
        <f t="shared" si="32"/>
        <v>0</v>
      </c>
      <c r="L66" s="98">
        <f t="shared" si="32"/>
        <v>0</v>
      </c>
      <c r="M66" s="100">
        <f t="shared" si="32"/>
        <v>0</v>
      </c>
      <c r="N66" s="98">
        <f t="shared" si="32"/>
        <v>0</v>
      </c>
      <c r="O66" s="100">
        <f t="shared" si="32"/>
        <v>0</v>
      </c>
      <c r="P66" s="98">
        <f t="shared" si="32"/>
        <v>0</v>
      </c>
      <c r="Q66" s="100">
        <f t="shared" si="32"/>
        <v>0</v>
      </c>
      <c r="R66" s="98">
        <f t="shared" si="32"/>
        <v>0</v>
      </c>
      <c r="S66" s="100">
        <f t="shared" si="32"/>
        <v>0</v>
      </c>
      <c r="T66" s="98">
        <f t="shared" si="32"/>
        <v>0</v>
      </c>
      <c r="U66" s="100">
        <f t="shared" si="32"/>
        <v>0</v>
      </c>
      <c r="V66" s="98">
        <f t="shared" si="32"/>
        <v>0</v>
      </c>
      <c r="W66" s="100">
        <f t="shared" si="32"/>
        <v>0</v>
      </c>
      <c r="X66" s="98">
        <f t="shared" si="32"/>
        <v>0</v>
      </c>
      <c r="Y66" s="100">
        <f t="shared" si="32"/>
        <v>0</v>
      </c>
      <c r="Z66" s="98">
        <f t="shared" si="32"/>
        <v>0</v>
      </c>
      <c r="AA66" s="100">
        <f t="shared" si="32"/>
        <v>0</v>
      </c>
      <c r="AB66" s="98">
        <f t="shared" si="32"/>
        <v>0</v>
      </c>
      <c r="AC66" s="100">
        <f t="shared" si="32"/>
        <v>0</v>
      </c>
      <c r="AD66" s="98">
        <f t="shared" si="32"/>
        <v>0</v>
      </c>
      <c r="AE66" s="100">
        <f t="shared" si="32"/>
        <v>0</v>
      </c>
      <c r="AF66" s="98">
        <f t="shared" si="32"/>
        <v>0</v>
      </c>
      <c r="AG66" s="100">
        <f t="shared" si="32"/>
        <v>0</v>
      </c>
      <c r="AH66" s="98">
        <f t="shared" si="32"/>
        <v>0</v>
      </c>
      <c r="AI66" s="100">
        <f t="shared" si="32"/>
        <v>0</v>
      </c>
      <c r="AJ66" s="98">
        <f t="shared" si="32"/>
        <v>0</v>
      </c>
      <c r="AK66" s="100">
        <f t="shared" si="32"/>
        <v>0</v>
      </c>
      <c r="AL66" s="98">
        <f t="shared" si="32"/>
        <v>0</v>
      </c>
      <c r="AM66" s="100">
        <f t="shared" si="32"/>
        <v>0</v>
      </c>
      <c r="AN66" s="98">
        <f t="shared" si="32"/>
        <v>0</v>
      </c>
      <c r="AO66" s="100">
        <f t="shared" si="32"/>
        <v>0</v>
      </c>
      <c r="AP66" s="98">
        <f t="shared" si="32"/>
        <v>0</v>
      </c>
      <c r="AQ66" s="100">
        <f t="shared" si="32"/>
        <v>0</v>
      </c>
      <c r="AR66" s="98">
        <f t="shared" si="32"/>
        <v>0</v>
      </c>
      <c r="AS66" s="100">
        <f t="shared" si="32"/>
        <v>0</v>
      </c>
      <c r="AT66" s="51"/>
      <c r="AU66" s="56"/>
    </row>
    <row r="67" spans="2:47" ht="13.5" x14ac:dyDescent="0.25">
      <c r="B67" s="55"/>
      <c r="C67" s="10"/>
      <c r="D67" s="11" t="s">
        <v>51</v>
      </c>
      <c r="E67" s="129" t="str">
        <f t="shared" ref="E67" si="33">IF(E66&lt;=2,"A",IF(E66&lt;=2.75,"B",IF(E66&lt;=3.5,"C",IF(E66&lt;=4.25,"D",IF(E66&lt;=5,"E","F")))))</f>
        <v>A</v>
      </c>
      <c r="F67" s="10" t="str">
        <f t="shared" ref="F67:G67" si="34">IF(F66&lt;=2,"A",IF(F66&lt;=2.75,"B",IF(F66&lt;=3.5,"C",IF(F66&lt;=4.25,"D",IF(F66&lt;=5,"E","F")))))</f>
        <v>E</v>
      </c>
      <c r="G67" s="12" t="str">
        <f t="shared" si="34"/>
        <v>E</v>
      </c>
      <c r="H67" s="10" t="str">
        <f t="shared" ref="H67:AS67" si="35">IF(H66&lt;=2,"A",IF(H66&lt;=2.75,"B",IF(H66&lt;=3.5,"C",IF(H66&lt;=4.25,"D",IF(H66&lt;=5,"E","F")))))</f>
        <v>A</v>
      </c>
      <c r="I67" s="101" t="str">
        <f t="shared" si="35"/>
        <v>A</v>
      </c>
      <c r="J67" s="10" t="str">
        <f t="shared" si="35"/>
        <v>A</v>
      </c>
      <c r="K67" s="101" t="str">
        <f t="shared" si="35"/>
        <v>A</v>
      </c>
      <c r="L67" s="10" t="str">
        <f t="shared" si="35"/>
        <v>A</v>
      </c>
      <c r="M67" s="101" t="str">
        <f t="shared" si="35"/>
        <v>A</v>
      </c>
      <c r="N67" s="10" t="str">
        <f t="shared" si="35"/>
        <v>A</v>
      </c>
      <c r="O67" s="101" t="str">
        <f t="shared" si="35"/>
        <v>A</v>
      </c>
      <c r="P67" s="10" t="str">
        <f t="shared" si="35"/>
        <v>A</v>
      </c>
      <c r="Q67" s="101" t="str">
        <f t="shared" si="35"/>
        <v>A</v>
      </c>
      <c r="R67" s="10" t="str">
        <f t="shared" si="35"/>
        <v>A</v>
      </c>
      <c r="S67" s="101" t="str">
        <f t="shared" si="35"/>
        <v>A</v>
      </c>
      <c r="T67" s="10" t="str">
        <f t="shared" si="35"/>
        <v>A</v>
      </c>
      <c r="U67" s="101" t="str">
        <f t="shared" si="35"/>
        <v>A</v>
      </c>
      <c r="V67" s="10" t="str">
        <f t="shared" si="35"/>
        <v>A</v>
      </c>
      <c r="W67" s="101" t="str">
        <f t="shared" si="35"/>
        <v>A</v>
      </c>
      <c r="X67" s="10" t="str">
        <f t="shared" si="35"/>
        <v>A</v>
      </c>
      <c r="Y67" s="101" t="str">
        <f t="shared" si="35"/>
        <v>A</v>
      </c>
      <c r="Z67" s="10" t="str">
        <f t="shared" si="35"/>
        <v>A</v>
      </c>
      <c r="AA67" s="101" t="str">
        <f t="shared" si="35"/>
        <v>A</v>
      </c>
      <c r="AB67" s="10" t="str">
        <f t="shared" si="35"/>
        <v>A</v>
      </c>
      <c r="AC67" s="101" t="str">
        <f t="shared" si="35"/>
        <v>A</v>
      </c>
      <c r="AD67" s="10" t="str">
        <f t="shared" si="35"/>
        <v>A</v>
      </c>
      <c r="AE67" s="101" t="str">
        <f t="shared" si="35"/>
        <v>A</v>
      </c>
      <c r="AF67" s="10" t="str">
        <f t="shared" si="35"/>
        <v>A</v>
      </c>
      <c r="AG67" s="101" t="str">
        <f t="shared" si="35"/>
        <v>A</v>
      </c>
      <c r="AH67" s="10" t="str">
        <f t="shared" si="35"/>
        <v>A</v>
      </c>
      <c r="AI67" s="101" t="str">
        <f t="shared" si="35"/>
        <v>A</v>
      </c>
      <c r="AJ67" s="10" t="str">
        <f t="shared" si="35"/>
        <v>A</v>
      </c>
      <c r="AK67" s="101" t="str">
        <f t="shared" si="35"/>
        <v>A</v>
      </c>
      <c r="AL67" s="10" t="str">
        <f t="shared" si="35"/>
        <v>A</v>
      </c>
      <c r="AM67" s="101" t="str">
        <f t="shared" si="35"/>
        <v>A</v>
      </c>
      <c r="AN67" s="10" t="str">
        <f t="shared" si="35"/>
        <v>A</v>
      </c>
      <c r="AO67" s="101" t="str">
        <f t="shared" si="35"/>
        <v>A</v>
      </c>
      <c r="AP67" s="10" t="str">
        <f t="shared" si="35"/>
        <v>A</v>
      </c>
      <c r="AQ67" s="101" t="str">
        <f t="shared" si="35"/>
        <v>A</v>
      </c>
      <c r="AR67" s="10" t="str">
        <f t="shared" si="35"/>
        <v>A</v>
      </c>
      <c r="AS67" s="101" t="str">
        <f t="shared" si="35"/>
        <v>A</v>
      </c>
      <c r="AT67" s="51"/>
      <c r="AU67" s="56"/>
    </row>
    <row r="68" spans="2:47" s="22" customFormat="1" ht="15.75" x14ac:dyDescent="0.25">
      <c r="B68" s="61"/>
      <c r="C68" s="17"/>
      <c r="D68" s="8" t="s">
        <v>207</v>
      </c>
      <c r="E68" s="121"/>
      <c r="F68" s="17"/>
      <c r="G68" s="18"/>
      <c r="H68" s="17"/>
      <c r="I68" s="18"/>
      <c r="J68" s="17"/>
      <c r="K68" s="18"/>
      <c r="L68" s="17"/>
      <c r="M68" s="18"/>
      <c r="N68" s="17"/>
      <c r="O68" s="18"/>
      <c r="P68" s="17"/>
      <c r="Q68" s="18"/>
      <c r="R68" s="17"/>
      <c r="S68" s="18"/>
      <c r="T68" s="17"/>
      <c r="U68" s="18"/>
      <c r="V68" s="17"/>
      <c r="W68" s="18"/>
      <c r="X68" s="17"/>
      <c r="Y68" s="18"/>
      <c r="Z68" s="17"/>
      <c r="AA68" s="18"/>
      <c r="AB68" s="17"/>
      <c r="AC68" s="18"/>
      <c r="AD68" s="17"/>
      <c r="AE68" s="18"/>
      <c r="AF68" s="17"/>
      <c r="AG68" s="18"/>
      <c r="AH68" s="17"/>
      <c r="AI68" s="18"/>
      <c r="AJ68" s="17"/>
      <c r="AK68" s="18"/>
      <c r="AL68" s="17"/>
      <c r="AM68" s="18"/>
      <c r="AN68" s="17"/>
      <c r="AO68" s="18"/>
      <c r="AP68" s="17"/>
      <c r="AQ68" s="18"/>
      <c r="AR68" s="17"/>
      <c r="AS68" s="18"/>
      <c r="AT68" s="50"/>
      <c r="AU68" s="62"/>
    </row>
    <row r="69" spans="2:47" ht="13.5" x14ac:dyDescent="0.25">
      <c r="B69" s="55"/>
      <c r="C69" s="10" t="s">
        <v>53</v>
      </c>
      <c r="D69" s="11" t="s">
        <v>54</v>
      </c>
      <c r="E69" s="129">
        <f t="shared" ref="E69:AS69" si="36">SUM(E29:E30)</f>
        <v>0</v>
      </c>
      <c r="F69" s="10">
        <f t="shared" si="36"/>
        <v>8</v>
      </c>
      <c r="G69" s="12">
        <f t="shared" si="36"/>
        <v>8</v>
      </c>
      <c r="H69" s="10">
        <f t="shared" si="36"/>
        <v>0</v>
      </c>
      <c r="I69" s="101">
        <f t="shared" si="36"/>
        <v>0</v>
      </c>
      <c r="J69" s="10">
        <f t="shared" si="36"/>
        <v>0</v>
      </c>
      <c r="K69" s="101">
        <f t="shared" si="36"/>
        <v>0</v>
      </c>
      <c r="L69" s="10">
        <f t="shared" si="36"/>
        <v>0</v>
      </c>
      <c r="M69" s="101">
        <f t="shared" si="36"/>
        <v>0</v>
      </c>
      <c r="N69" s="10">
        <f t="shared" si="36"/>
        <v>0</v>
      </c>
      <c r="O69" s="101">
        <f t="shared" si="36"/>
        <v>0</v>
      </c>
      <c r="P69" s="10">
        <f t="shared" si="36"/>
        <v>0</v>
      </c>
      <c r="Q69" s="101">
        <f t="shared" si="36"/>
        <v>0</v>
      </c>
      <c r="R69" s="10">
        <f t="shared" si="36"/>
        <v>0</v>
      </c>
      <c r="S69" s="101">
        <f t="shared" si="36"/>
        <v>0</v>
      </c>
      <c r="T69" s="10">
        <f t="shared" si="36"/>
        <v>0</v>
      </c>
      <c r="U69" s="101">
        <f t="shared" si="36"/>
        <v>0</v>
      </c>
      <c r="V69" s="10">
        <f t="shared" si="36"/>
        <v>0</v>
      </c>
      <c r="W69" s="101">
        <f t="shared" si="36"/>
        <v>0</v>
      </c>
      <c r="X69" s="10">
        <f t="shared" si="36"/>
        <v>0</v>
      </c>
      <c r="Y69" s="101">
        <f t="shared" si="36"/>
        <v>0</v>
      </c>
      <c r="Z69" s="10">
        <f t="shared" si="36"/>
        <v>0</v>
      </c>
      <c r="AA69" s="101">
        <f t="shared" si="36"/>
        <v>0</v>
      </c>
      <c r="AB69" s="10">
        <f t="shared" si="36"/>
        <v>0</v>
      </c>
      <c r="AC69" s="101">
        <f t="shared" si="36"/>
        <v>0</v>
      </c>
      <c r="AD69" s="10">
        <f t="shared" si="36"/>
        <v>0</v>
      </c>
      <c r="AE69" s="101">
        <f t="shared" si="36"/>
        <v>0</v>
      </c>
      <c r="AF69" s="10">
        <f t="shared" si="36"/>
        <v>0</v>
      </c>
      <c r="AG69" s="101">
        <f t="shared" si="36"/>
        <v>0</v>
      </c>
      <c r="AH69" s="10">
        <f t="shared" si="36"/>
        <v>0</v>
      </c>
      <c r="AI69" s="101">
        <f t="shared" si="36"/>
        <v>0</v>
      </c>
      <c r="AJ69" s="10">
        <f t="shared" si="36"/>
        <v>0</v>
      </c>
      <c r="AK69" s="101">
        <f t="shared" si="36"/>
        <v>0</v>
      </c>
      <c r="AL69" s="10">
        <f t="shared" si="36"/>
        <v>0</v>
      </c>
      <c r="AM69" s="101">
        <f t="shared" si="36"/>
        <v>0</v>
      </c>
      <c r="AN69" s="10">
        <f t="shared" si="36"/>
        <v>0</v>
      </c>
      <c r="AO69" s="101">
        <f t="shared" si="36"/>
        <v>0</v>
      </c>
      <c r="AP69" s="10">
        <f t="shared" si="36"/>
        <v>0</v>
      </c>
      <c r="AQ69" s="101">
        <f t="shared" si="36"/>
        <v>0</v>
      </c>
      <c r="AR69" s="10">
        <f t="shared" si="36"/>
        <v>0</v>
      </c>
      <c r="AS69" s="101">
        <f t="shared" si="36"/>
        <v>0</v>
      </c>
      <c r="AT69" s="51"/>
      <c r="AU69" s="56"/>
    </row>
    <row r="70" spans="2:47" ht="14.25" x14ac:dyDescent="0.25">
      <c r="B70" s="55"/>
      <c r="C70" s="10" t="s">
        <v>80</v>
      </c>
      <c r="D70" s="11" t="s">
        <v>55</v>
      </c>
      <c r="E70" s="130">
        <f t="shared" ref="E70" si="37">4*EXP(-1.434/(E69+0.001))</f>
        <v>0</v>
      </c>
      <c r="F70" s="15">
        <f t="shared" ref="F70:G70" si="38">4*EXP(-1.434/(F69+0.001))</f>
        <v>3.3436625049284676</v>
      </c>
      <c r="G70" s="38">
        <f t="shared" si="38"/>
        <v>3.3436625049284676</v>
      </c>
      <c r="H70" s="98">
        <f t="shared" ref="H70:AS70" si="39">4*EXP(-1.434/(H69+0.001))</f>
        <v>0</v>
      </c>
      <c r="I70" s="100">
        <f t="shared" si="39"/>
        <v>0</v>
      </c>
      <c r="J70" s="98">
        <f t="shared" si="39"/>
        <v>0</v>
      </c>
      <c r="K70" s="100">
        <f t="shared" si="39"/>
        <v>0</v>
      </c>
      <c r="L70" s="98">
        <f t="shared" si="39"/>
        <v>0</v>
      </c>
      <c r="M70" s="100">
        <f t="shared" si="39"/>
        <v>0</v>
      </c>
      <c r="N70" s="98">
        <f t="shared" si="39"/>
        <v>0</v>
      </c>
      <c r="O70" s="100">
        <f t="shared" si="39"/>
        <v>0</v>
      </c>
      <c r="P70" s="98">
        <f t="shared" si="39"/>
        <v>0</v>
      </c>
      <c r="Q70" s="100">
        <f t="shared" si="39"/>
        <v>0</v>
      </c>
      <c r="R70" s="98">
        <f t="shared" si="39"/>
        <v>0</v>
      </c>
      <c r="S70" s="100">
        <f t="shared" si="39"/>
        <v>0</v>
      </c>
      <c r="T70" s="98">
        <f t="shared" si="39"/>
        <v>0</v>
      </c>
      <c r="U70" s="100">
        <f t="shared" si="39"/>
        <v>0</v>
      </c>
      <c r="V70" s="98">
        <f t="shared" si="39"/>
        <v>0</v>
      </c>
      <c r="W70" s="100">
        <f t="shared" si="39"/>
        <v>0</v>
      </c>
      <c r="X70" s="98">
        <f t="shared" si="39"/>
        <v>0</v>
      </c>
      <c r="Y70" s="100">
        <f t="shared" si="39"/>
        <v>0</v>
      </c>
      <c r="Z70" s="98">
        <f t="shared" si="39"/>
        <v>0</v>
      </c>
      <c r="AA70" s="100">
        <f t="shared" si="39"/>
        <v>0</v>
      </c>
      <c r="AB70" s="98">
        <f t="shared" si="39"/>
        <v>0</v>
      </c>
      <c r="AC70" s="100">
        <f t="shared" si="39"/>
        <v>0</v>
      </c>
      <c r="AD70" s="98">
        <f t="shared" si="39"/>
        <v>0</v>
      </c>
      <c r="AE70" s="100">
        <f t="shared" si="39"/>
        <v>0</v>
      </c>
      <c r="AF70" s="98">
        <f t="shared" si="39"/>
        <v>0</v>
      </c>
      <c r="AG70" s="100">
        <f t="shared" si="39"/>
        <v>0</v>
      </c>
      <c r="AH70" s="98">
        <f t="shared" si="39"/>
        <v>0</v>
      </c>
      <c r="AI70" s="100">
        <f t="shared" si="39"/>
        <v>0</v>
      </c>
      <c r="AJ70" s="98">
        <f t="shared" si="39"/>
        <v>0</v>
      </c>
      <c r="AK70" s="100">
        <f t="shared" si="39"/>
        <v>0</v>
      </c>
      <c r="AL70" s="98">
        <f t="shared" si="39"/>
        <v>0</v>
      </c>
      <c r="AM70" s="100">
        <f t="shared" si="39"/>
        <v>0</v>
      </c>
      <c r="AN70" s="98">
        <f t="shared" si="39"/>
        <v>0</v>
      </c>
      <c r="AO70" s="100">
        <f t="shared" si="39"/>
        <v>0</v>
      </c>
      <c r="AP70" s="98">
        <f t="shared" si="39"/>
        <v>0</v>
      </c>
      <c r="AQ70" s="100">
        <f t="shared" si="39"/>
        <v>0</v>
      </c>
      <c r="AR70" s="98">
        <f t="shared" si="39"/>
        <v>0</v>
      </c>
      <c r="AS70" s="100">
        <f t="shared" si="39"/>
        <v>0</v>
      </c>
      <c r="AT70" s="51"/>
      <c r="AU70" s="56"/>
    </row>
    <row r="71" spans="2:47" ht="14.25" x14ac:dyDescent="0.25">
      <c r="B71" s="55"/>
      <c r="C71" s="10" t="s">
        <v>81</v>
      </c>
      <c r="D71" s="11" t="s">
        <v>56</v>
      </c>
      <c r="E71" s="130">
        <f t="shared" ref="E71:AS71" si="40">IF(E32&lt;=0.8,1,IF(E32&lt;=1,1+((4*(E32-0.8))/4.2),1+(((4*(E32-0.8))+((E32-1)*(6.5+(5*(E32-1)))))/(4.2*E32))))</f>
        <v>1</v>
      </c>
      <c r="F71" s="15">
        <f t="shared" si="40"/>
        <v>1.0476190476190474</v>
      </c>
      <c r="G71" s="38">
        <f t="shared" si="40"/>
        <v>1.0476190476190474</v>
      </c>
      <c r="H71" s="98">
        <f t="shared" si="40"/>
        <v>1</v>
      </c>
      <c r="I71" s="100">
        <f t="shared" si="40"/>
        <v>1</v>
      </c>
      <c r="J71" s="98">
        <f t="shared" si="40"/>
        <v>1</v>
      </c>
      <c r="K71" s="100">
        <f t="shared" si="40"/>
        <v>1</v>
      </c>
      <c r="L71" s="98">
        <f t="shared" si="40"/>
        <v>1</v>
      </c>
      <c r="M71" s="100">
        <f t="shared" si="40"/>
        <v>1</v>
      </c>
      <c r="N71" s="98">
        <f t="shared" si="40"/>
        <v>1</v>
      </c>
      <c r="O71" s="100">
        <f t="shared" si="40"/>
        <v>1</v>
      </c>
      <c r="P71" s="98">
        <f t="shared" si="40"/>
        <v>1</v>
      </c>
      <c r="Q71" s="100">
        <f t="shared" si="40"/>
        <v>1</v>
      </c>
      <c r="R71" s="98">
        <f t="shared" si="40"/>
        <v>1</v>
      </c>
      <c r="S71" s="100">
        <f t="shared" si="40"/>
        <v>1</v>
      </c>
      <c r="T71" s="98">
        <f t="shared" si="40"/>
        <v>1</v>
      </c>
      <c r="U71" s="100">
        <f t="shared" si="40"/>
        <v>1</v>
      </c>
      <c r="V71" s="98">
        <f t="shared" si="40"/>
        <v>1</v>
      </c>
      <c r="W71" s="100">
        <f t="shared" si="40"/>
        <v>1</v>
      </c>
      <c r="X71" s="98">
        <f t="shared" si="40"/>
        <v>1</v>
      </c>
      <c r="Y71" s="100">
        <f t="shared" si="40"/>
        <v>1</v>
      </c>
      <c r="Z71" s="98">
        <f t="shared" si="40"/>
        <v>1</v>
      </c>
      <c r="AA71" s="100">
        <f t="shared" si="40"/>
        <v>1</v>
      </c>
      <c r="AB71" s="98">
        <f t="shared" si="40"/>
        <v>1</v>
      </c>
      <c r="AC71" s="100">
        <f t="shared" si="40"/>
        <v>1</v>
      </c>
      <c r="AD71" s="98">
        <f t="shared" si="40"/>
        <v>1</v>
      </c>
      <c r="AE71" s="100">
        <f t="shared" si="40"/>
        <v>1</v>
      </c>
      <c r="AF71" s="98">
        <f t="shared" si="40"/>
        <v>1</v>
      </c>
      <c r="AG71" s="100">
        <f t="shared" si="40"/>
        <v>1</v>
      </c>
      <c r="AH71" s="98">
        <f t="shared" si="40"/>
        <v>1</v>
      </c>
      <c r="AI71" s="100">
        <f t="shared" si="40"/>
        <v>1</v>
      </c>
      <c r="AJ71" s="98">
        <f t="shared" si="40"/>
        <v>1</v>
      </c>
      <c r="AK71" s="100">
        <f t="shared" si="40"/>
        <v>1</v>
      </c>
      <c r="AL71" s="98">
        <f t="shared" si="40"/>
        <v>1</v>
      </c>
      <c r="AM71" s="100">
        <f t="shared" si="40"/>
        <v>1</v>
      </c>
      <c r="AN71" s="98">
        <f t="shared" si="40"/>
        <v>1</v>
      </c>
      <c r="AO71" s="100">
        <f t="shared" si="40"/>
        <v>1</v>
      </c>
      <c r="AP71" s="98">
        <f t="shared" si="40"/>
        <v>1</v>
      </c>
      <c r="AQ71" s="100">
        <f t="shared" si="40"/>
        <v>1</v>
      </c>
      <c r="AR71" s="98">
        <f t="shared" si="40"/>
        <v>1</v>
      </c>
      <c r="AS71" s="100">
        <f t="shared" si="40"/>
        <v>1</v>
      </c>
      <c r="AT71" s="51"/>
      <c r="AU71" s="56"/>
    </row>
    <row r="72" spans="2:47" ht="14.25" x14ac:dyDescent="0.25">
      <c r="B72" s="55"/>
      <c r="C72" s="10" t="s">
        <v>82</v>
      </c>
      <c r="D72" s="11" t="s">
        <v>57</v>
      </c>
      <c r="E72" s="131">
        <f t="shared" ref="E72:AS72" si="41">(E36*1.3+E37*0.2)/E34</f>
        <v>0</v>
      </c>
      <c r="F72" s="13">
        <f t="shared" si="41"/>
        <v>5.4054054054054057E-2</v>
      </c>
      <c r="G72" s="14">
        <f t="shared" si="41"/>
        <v>5.4054054054054057E-2</v>
      </c>
      <c r="H72" s="13" t="e">
        <f t="shared" si="41"/>
        <v>#DIV/0!</v>
      </c>
      <c r="I72" s="14" t="e">
        <f t="shared" si="41"/>
        <v>#DIV/0!</v>
      </c>
      <c r="J72" s="13" t="e">
        <f t="shared" si="41"/>
        <v>#DIV/0!</v>
      </c>
      <c r="K72" s="14" t="e">
        <f t="shared" si="41"/>
        <v>#DIV/0!</v>
      </c>
      <c r="L72" s="13" t="e">
        <f t="shared" si="41"/>
        <v>#DIV/0!</v>
      </c>
      <c r="M72" s="14" t="e">
        <f t="shared" si="41"/>
        <v>#DIV/0!</v>
      </c>
      <c r="N72" s="13" t="e">
        <f t="shared" si="41"/>
        <v>#DIV/0!</v>
      </c>
      <c r="O72" s="14" t="e">
        <f t="shared" si="41"/>
        <v>#DIV/0!</v>
      </c>
      <c r="P72" s="13" t="e">
        <f t="shared" si="41"/>
        <v>#DIV/0!</v>
      </c>
      <c r="Q72" s="14" t="e">
        <f t="shared" si="41"/>
        <v>#DIV/0!</v>
      </c>
      <c r="R72" s="13" t="e">
        <f t="shared" si="41"/>
        <v>#DIV/0!</v>
      </c>
      <c r="S72" s="14" t="e">
        <f t="shared" si="41"/>
        <v>#DIV/0!</v>
      </c>
      <c r="T72" s="13" t="e">
        <f t="shared" si="41"/>
        <v>#DIV/0!</v>
      </c>
      <c r="U72" s="14" t="e">
        <f t="shared" si="41"/>
        <v>#DIV/0!</v>
      </c>
      <c r="V72" s="13" t="e">
        <f t="shared" si="41"/>
        <v>#DIV/0!</v>
      </c>
      <c r="W72" s="14" t="e">
        <f t="shared" si="41"/>
        <v>#DIV/0!</v>
      </c>
      <c r="X72" s="13" t="e">
        <f t="shared" si="41"/>
        <v>#DIV/0!</v>
      </c>
      <c r="Y72" s="14" t="e">
        <f t="shared" si="41"/>
        <v>#DIV/0!</v>
      </c>
      <c r="Z72" s="13" t="e">
        <f t="shared" si="41"/>
        <v>#DIV/0!</v>
      </c>
      <c r="AA72" s="14" t="e">
        <f t="shared" si="41"/>
        <v>#DIV/0!</v>
      </c>
      <c r="AB72" s="13" t="e">
        <f t="shared" si="41"/>
        <v>#DIV/0!</v>
      </c>
      <c r="AC72" s="14" t="e">
        <f t="shared" si="41"/>
        <v>#DIV/0!</v>
      </c>
      <c r="AD72" s="13" t="e">
        <f t="shared" si="41"/>
        <v>#DIV/0!</v>
      </c>
      <c r="AE72" s="14" t="e">
        <f t="shared" si="41"/>
        <v>#DIV/0!</v>
      </c>
      <c r="AF72" s="13" t="e">
        <f t="shared" si="41"/>
        <v>#DIV/0!</v>
      </c>
      <c r="AG72" s="14" t="e">
        <f t="shared" si="41"/>
        <v>#DIV/0!</v>
      </c>
      <c r="AH72" s="13" t="e">
        <f t="shared" si="41"/>
        <v>#DIV/0!</v>
      </c>
      <c r="AI72" s="14" t="e">
        <f t="shared" si="41"/>
        <v>#DIV/0!</v>
      </c>
      <c r="AJ72" s="13" t="e">
        <f t="shared" si="41"/>
        <v>#DIV/0!</v>
      </c>
      <c r="AK72" s="14" t="e">
        <f t="shared" si="41"/>
        <v>#DIV/0!</v>
      </c>
      <c r="AL72" s="13" t="e">
        <f t="shared" si="41"/>
        <v>#DIV/0!</v>
      </c>
      <c r="AM72" s="14" t="e">
        <f t="shared" si="41"/>
        <v>#DIV/0!</v>
      </c>
      <c r="AN72" s="13" t="e">
        <f t="shared" si="41"/>
        <v>#DIV/0!</v>
      </c>
      <c r="AO72" s="14" t="e">
        <f t="shared" si="41"/>
        <v>#DIV/0!</v>
      </c>
      <c r="AP72" s="13" t="e">
        <f t="shared" si="41"/>
        <v>#DIV/0!</v>
      </c>
      <c r="AQ72" s="14" t="e">
        <f t="shared" si="41"/>
        <v>#DIV/0!</v>
      </c>
      <c r="AR72" s="13" t="e">
        <f t="shared" si="41"/>
        <v>#DIV/0!</v>
      </c>
      <c r="AS72" s="14" t="e">
        <f t="shared" si="41"/>
        <v>#DIV/0!</v>
      </c>
      <c r="AT72" s="51"/>
      <c r="AU72" s="56"/>
    </row>
    <row r="73" spans="2:47" ht="14.25" x14ac:dyDescent="0.25">
      <c r="B73" s="55"/>
      <c r="C73" s="10" t="s">
        <v>83</v>
      </c>
      <c r="D73" s="11" t="s">
        <v>58</v>
      </c>
      <c r="E73" s="131">
        <f t="shared" ref="E73:AS73" si="42">E31/E34</f>
        <v>0</v>
      </c>
      <c r="F73" s="13">
        <f t="shared" si="42"/>
        <v>0</v>
      </c>
      <c r="G73" s="14">
        <f t="shared" si="42"/>
        <v>0</v>
      </c>
      <c r="H73" s="13" t="e">
        <f t="shared" si="42"/>
        <v>#DIV/0!</v>
      </c>
      <c r="I73" s="14" t="e">
        <f t="shared" si="42"/>
        <v>#DIV/0!</v>
      </c>
      <c r="J73" s="13" t="e">
        <f t="shared" si="42"/>
        <v>#DIV/0!</v>
      </c>
      <c r="K73" s="14" t="e">
        <f t="shared" si="42"/>
        <v>#DIV/0!</v>
      </c>
      <c r="L73" s="13" t="e">
        <f t="shared" si="42"/>
        <v>#DIV/0!</v>
      </c>
      <c r="M73" s="14" t="e">
        <f t="shared" si="42"/>
        <v>#DIV/0!</v>
      </c>
      <c r="N73" s="13" t="e">
        <f t="shared" si="42"/>
        <v>#DIV/0!</v>
      </c>
      <c r="O73" s="14" t="e">
        <f t="shared" si="42"/>
        <v>#DIV/0!</v>
      </c>
      <c r="P73" s="13" t="e">
        <f t="shared" si="42"/>
        <v>#DIV/0!</v>
      </c>
      <c r="Q73" s="14" t="e">
        <f t="shared" si="42"/>
        <v>#DIV/0!</v>
      </c>
      <c r="R73" s="13" t="e">
        <f t="shared" si="42"/>
        <v>#DIV/0!</v>
      </c>
      <c r="S73" s="14" t="e">
        <f t="shared" si="42"/>
        <v>#DIV/0!</v>
      </c>
      <c r="T73" s="13" t="e">
        <f t="shared" si="42"/>
        <v>#DIV/0!</v>
      </c>
      <c r="U73" s="14" t="e">
        <f t="shared" si="42"/>
        <v>#DIV/0!</v>
      </c>
      <c r="V73" s="13" t="e">
        <f t="shared" si="42"/>
        <v>#DIV/0!</v>
      </c>
      <c r="W73" s="14" t="e">
        <f t="shared" si="42"/>
        <v>#DIV/0!</v>
      </c>
      <c r="X73" s="13" t="e">
        <f t="shared" si="42"/>
        <v>#DIV/0!</v>
      </c>
      <c r="Y73" s="14" t="e">
        <f t="shared" si="42"/>
        <v>#DIV/0!</v>
      </c>
      <c r="Z73" s="13" t="e">
        <f t="shared" si="42"/>
        <v>#DIV/0!</v>
      </c>
      <c r="AA73" s="14" t="e">
        <f t="shared" si="42"/>
        <v>#DIV/0!</v>
      </c>
      <c r="AB73" s="13" t="e">
        <f t="shared" si="42"/>
        <v>#DIV/0!</v>
      </c>
      <c r="AC73" s="14" t="e">
        <f t="shared" si="42"/>
        <v>#DIV/0!</v>
      </c>
      <c r="AD73" s="13" t="e">
        <f t="shared" si="42"/>
        <v>#DIV/0!</v>
      </c>
      <c r="AE73" s="14" t="e">
        <f t="shared" si="42"/>
        <v>#DIV/0!</v>
      </c>
      <c r="AF73" s="13" t="e">
        <f t="shared" si="42"/>
        <v>#DIV/0!</v>
      </c>
      <c r="AG73" s="14" t="e">
        <f t="shared" si="42"/>
        <v>#DIV/0!</v>
      </c>
      <c r="AH73" s="13" t="e">
        <f t="shared" si="42"/>
        <v>#DIV/0!</v>
      </c>
      <c r="AI73" s="14" t="e">
        <f t="shared" si="42"/>
        <v>#DIV/0!</v>
      </c>
      <c r="AJ73" s="13" t="e">
        <f t="shared" si="42"/>
        <v>#DIV/0!</v>
      </c>
      <c r="AK73" s="14" t="e">
        <f t="shared" si="42"/>
        <v>#DIV/0!</v>
      </c>
      <c r="AL73" s="13" t="e">
        <f t="shared" si="42"/>
        <v>#DIV/0!</v>
      </c>
      <c r="AM73" s="14" t="e">
        <f t="shared" si="42"/>
        <v>#DIV/0!</v>
      </c>
      <c r="AN73" s="13" t="e">
        <f t="shared" si="42"/>
        <v>#DIV/0!</v>
      </c>
      <c r="AO73" s="14" t="e">
        <f t="shared" si="42"/>
        <v>#DIV/0!</v>
      </c>
      <c r="AP73" s="13" t="e">
        <f t="shared" si="42"/>
        <v>#DIV/0!</v>
      </c>
      <c r="AQ73" s="14" t="e">
        <f t="shared" si="42"/>
        <v>#DIV/0!</v>
      </c>
      <c r="AR73" s="13" t="e">
        <f t="shared" si="42"/>
        <v>#DIV/0!</v>
      </c>
      <c r="AS73" s="14" t="e">
        <f t="shared" si="42"/>
        <v>#DIV/0!</v>
      </c>
      <c r="AT73" s="143"/>
      <c r="AU73" s="56"/>
    </row>
    <row r="74" spans="2:47" ht="14.25" x14ac:dyDescent="0.25">
      <c r="B74" s="55"/>
      <c r="C74" s="10" t="s">
        <v>84</v>
      </c>
      <c r="D74" s="11" t="s">
        <v>59</v>
      </c>
      <c r="E74" s="131" t="e">
        <f t="shared" ref="E74:AS74" si="43">(E71*(60/E33))+(2*E73)-E72</f>
        <v>#DIV/0!</v>
      </c>
      <c r="F74" s="13">
        <f t="shared" si="43"/>
        <v>6.9300729300729289</v>
      </c>
      <c r="G74" s="14">
        <f t="shared" si="43"/>
        <v>6.9300729300729289</v>
      </c>
      <c r="H74" s="13" t="e">
        <f t="shared" si="43"/>
        <v>#DIV/0!</v>
      </c>
      <c r="I74" s="14" t="e">
        <f t="shared" si="43"/>
        <v>#DIV/0!</v>
      </c>
      <c r="J74" s="13" t="e">
        <f t="shared" si="43"/>
        <v>#DIV/0!</v>
      </c>
      <c r="K74" s="14" t="e">
        <f t="shared" si="43"/>
        <v>#DIV/0!</v>
      </c>
      <c r="L74" s="13" t="e">
        <f t="shared" si="43"/>
        <v>#DIV/0!</v>
      </c>
      <c r="M74" s="14" t="e">
        <f t="shared" si="43"/>
        <v>#DIV/0!</v>
      </c>
      <c r="N74" s="13" t="e">
        <f t="shared" si="43"/>
        <v>#DIV/0!</v>
      </c>
      <c r="O74" s="14" t="e">
        <f t="shared" si="43"/>
        <v>#DIV/0!</v>
      </c>
      <c r="P74" s="13" t="e">
        <f t="shared" si="43"/>
        <v>#DIV/0!</v>
      </c>
      <c r="Q74" s="14" t="e">
        <f t="shared" si="43"/>
        <v>#DIV/0!</v>
      </c>
      <c r="R74" s="13" t="e">
        <f t="shared" si="43"/>
        <v>#DIV/0!</v>
      </c>
      <c r="S74" s="14" t="e">
        <f t="shared" si="43"/>
        <v>#DIV/0!</v>
      </c>
      <c r="T74" s="13" t="e">
        <f t="shared" si="43"/>
        <v>#DIV/0!</v>
      </c>
      <c r="U74" s="14" t="e">
        <f t="shared" si="43"/>
        <v>#DIV/0!</v>
      </c>
      <c r="V74" s="13" t="e">
        <f t="shared" si="43"/>
        <v>#DIV/0!</v>
      </c>
      <c r="W74" s="14" t="e">
        <f t="shared" si="43"/>
        <v>#DIV/0!</v>
      </c>
      <c r="X74" s="13" t="e">
        <f t="shared" si="43"/>
        <v>#DIV/0!</v>
      </c>
      <c r="Y74" s="14" t="e">
        <f t="shared" si="43"/>
        <v>#DIV/0!</v>
      </c>
      <c r="Z74" s="13" t="e">
        <f t="shared" si="43"/>
        <v>#DIV/0!</v>
      </c>
      <c r="AA74" s="14" t="e">
        <f t="shared" si="43"/>
        <v>#DIV/0!</v>
      </c>
      <c r="AB74" s="13" t="e">
        <f t="shared" si="43"/>
        <v>#DIV/0!</v>
      </c>
      <c r="AC74" s="14" t="e">
        <f t="shared" si="43"/>
        <v>#DIV/0!</v>
      </c>
      <c r="AD74" s="13" t="e">
        <f t="shared" si="43"/>
        <v>#DIV/0!</v>
      </c>
      <c r="AE74" s="14" t="e">
        <f t="shared" si="43"/>
        <v>#DIV/0!</v>
      </c>
      <c r="AF74" s="13" t="e">
        <f t="shared" si="43"/>
        <v>#DIV/0!</v>
      </c>
      <c r="AG74" s="14" t="e">
        <f t="shared" si="43"/>
        <v>#DIV/0!</v>
      </c>
      <c r="AH74" s="13" t="e">
        <f t="shared" si="43"/>
        <v>#DIV/0!</v>
      </c>
      <c r="AI74" s="14" t="e">
        <f t="shared" si="43"/>
        <v>#DIV/0!</v>
      </c>
      <c r="AJ74" s="13" t="e">
        <f t="shared" si="43"/>
        <v>#DIV/0!</v>
      </c>
      <c r="AK74" s="14" t="e">
        <f t="shared" si="43"/>
        <v>#DIV/0!</v>
      </c>
      <c r="AL74" s="13" t="e">
        <f t="shared" si="43"/>
        <v>#DIV/0!</v>
      </c>
      <c r="AM74" s="14" t="e">
        <f t="shared" si="43"/>
        <v>#DIV/0!</v>
      </c>
      <c r="AN74" s="13" t="e">
        <f t="shared" si="43"/>
        <v>#DIV/0!</v>
      </c>
      <c r="AO74" s="14" t="e">
        <f t="shared" si="43"/>
        <v>#DIV/0!</v>
      </c>
      <c r="AP74" s="13" t="e">
        <f t="shared" si="43"/>
        <v>#DIV/0!</v>
      </c>
      <c r="AQ74" s="14" t="e">
        <f t="shared" si="43"/>
        <v>#DIV/0!</v>
      </c>
      <c r="AR74" s="13" t="e">
        <f t="shared" si="43"/>
        <v>#DIV/0!</v>
      </c>
      <c r="AS74" s="14" t="e">
        <f t="shared" si="43"/>
        <v>#DIV/0!</v>
      </c>
      <c r="AT74" s="51"/>
      <c r="AU74" s="56"/>
    </row>
    <row r="75" spans="2:47" ht="14.25" x14ac:dyDescent="0.25">
      <c r="B75" s="55"/>
      <c r="C75" s="10" t="s">
        <v>85</v>
      </c>
      <c r="D75" s="11" t="s">
        <v>60</v>
      </c>
      <c r="E75" s="131">
        <f t="shared" ref="E75:AS75" si="44">IF(E35="Yes",6,4)</f>
        <v>4</v>
      </c>
      <c r="F75" s="13">
        <f t="shared" si="44"/>
        <v>4</v>
      </c>
      <c r="G75" s="14">
        <f t="shared" si="44"/>
        <v>4</v>
      </c>
      <c r="H75" s="13">
        <f t="shared" si="44"/>
        <v>4</v>
      </c>
      <c r="I75" s="14">
        <f t="shared" si="44"/>
        <v>4</v>
      </c>
      <c r="J75" s="13">
        <f t="shared" si="44"/>
        <v>4</v>
      </c>
      <c r="K75" s="14">
        <f t="shared" si="44"/>
        <v>4</v>
      </c>
      <c r="L75" s="13">
        <f t="shared" si="44"/>
        <v>4</v>
      </c>
      <c r="M75" s="14">
        <f t="shared" si="44"/>
        <v>4</v>
      </c>
      <c r="N75" s="13">
        <f t="shared" si="44"/>
        <v>4</v>
      </c>
      <c r="O75" s="14">
        <f t="shared" si="44"/>
        <v>4</v>
      </c>
      <c r="P75" s="13">
        <f t="shared" si="44"/>
        <v>4</v>
      </c>
      <c r="Q75" s="14">
        <f t="shared" si="44"/>
        <v>4</v>
      </c>
      <c r="R75" s="13">
        <f t="shared" si="44"/>
        <v>4</v>
      </c>
      <c r="S75" s="14">
        <f t="shared" si="44"/>
        <v>4</v>
      </c>
      <c r="T75" s="13">
        <f t="shared" si="44"/>
        <v>4</v>
      </c>
      <c r="U75" s="14">
        <f t="shared" si="44"/>
        <v>4</v>
      </c>
      <c r="V75" s="13">
        <f t="shared" si="44"/>
        <v>4</v>
      </c>
      <c r="W75" s="14">
        <f t="shared" si="44"/>
        <v>4</v>
      </c>
      <c r="X75" s="13">
        <f t="shared" si="44"/>
        <v>4</v>
      </c>
      <c r="Y75" s="14">
        <f t="shared" si="44"/>
        <v>4</v>
      </c>
      <c r="Z75" s="13">
        <f t="shared" si="44"/>
        <v>4</v>
      </c>
      <c r="AA75" s="14">
        <f t="shared" si="44"/>
        <v>4</v>
      </c>
      <c r="AB75" s="13">
        <f t="shared" si="44"/>
        <v>4</v>
      </c>
      <c r="AC75" s="14">
        <f t="shared" si="44"/>
        <v>4</v>
      </c>
      <c r="AD75" s="13">
        <f t="shared" si="44"/>
        <v>4</v>
      </c>
      <c r="AE75" s="14">
        <f t="shared" si="44"/>
        <v>4</v>
      </c>
      <c r="AF75" s="13">
        <f t="shared" si="44"/>
        <v>4</v>
      </c>
      <c r="AG75" s="14">
        <f t="shared" si="44"/>
        <v>4</v>
      </c>
      <c r="AH75" s="13">
        <f t="shared" si="44"/>
        <v>4</v>
      </c>
      <c r="AI75" s="14">
        <f t="shared" si="44"/>
        <v>4</v>
      </c>
      <c r="AJ75" s="13">
        <f t="shared" si="44"/>
        <v>4</v>
      </c>
      <c r="AK75" s="14">
        <f t="shared" si="44"/>
        <v>4</v>
      </c>
      <c r="AL75" s="13">
        <f t="shared" si="44"/>
        <v>4</v>
      </c>
      <c r="AM75" s="14">
        <f t="shared" si="44"/>
        <v>4</v>
      </c>
      <c r="AN75" s="13">
        <f t="shared" si="44"/>
        <v>4</v>
      </c>
      <c r="AO75" s="14">
        <f t="shared" si="44"/>
        <v>4</v>
      </c>
      <c r="AP75" s="13">
        <f t="shared" si="44"/>
        <v>4</v>
      </c>
      <c r="AQ75" s="14">
        <f t="shared" si="44"/>
        <v>4</v>
      </c>
      <c r="AR75" s="13">
        <f t="shared" si="44"/>
        <v>4</v>
      </c>
      <c r="AS75" s="14">
        <f t="shared" si="44"/>
        <v>4</v>
      </c>
      <c r="AT75" s="51"/>
      <c r="AU75" s="56"/>
    </row>
    <row r="76" spans="2:47" ht="14.25" x14ac:dyDescent="0.25">
      <c r="B76" s="55"/>
      <c r="C76" s="10" t="s">
        <v>86</v>
      </c>
      <c r="D76" s="11" t="s">
        <v>61</v>
      </c>
      <c r="E76" s="130" t="e">
        <f t="shared" ref="E76" si="45">((-0.4-1)*E75-(-0.4+1)*E74)/((-0.4-1)*E74-(-0.4+1)*E75)</f>
        <v>#DIV/0!</v>
      </c>
      <c r="F76" s="15">
        <f t="shared" ref="F76:G76" si="46">((-0.4-1)*F75-(-0.4+1)*F74)/((-0.4-1)*F74-(-0.4+1)*F75)</f>
        <v>0.80630981921304501</v>
      </c>
      <c r="G76" s="38">
        <f t="shared" si="46"/>
        <v>0.80630981921304501</v>
      </c>
      <c r="H76" s="98" t="e">
        <f t="shared" ref="H76:AS76" si="47">((-0.4-1)*H75-(-0.4+1)*H74)/((-0.4-1)*H74-(-0.4+1)*H75)</f>
        <v>#DIV/0!</v>
      </c>
      <c r="I76" s="100" t="e">
        <f t="shared" si="47"/>
        <v>#DIV/0!</v>
      </c>
      <c r="J76" s="98" t="e">
        <f t="shared" si="47"/>
        <v>#DIV/0!</v>
      </c>
      <c r="K76" s="100" t="e">
        <f t="shared" si="47"/>
        <v>#DIV/0!</v>
      </c>
      <c r="L76" s="98" t="e">
        <f t="shared" si="47"/>
        <v>#DIV/0!</v>
      </c>
      <c r="M76" s="100" t="e">
        <f t="shared" si="47"/>
        <v>#DIV/0!</v>
      </c>
      <c r="N76" s="98" t="e">
        <f t="shared" si="47"/>
        <v>#DIV/0!</v>
      </c>
      <c r="O76" s="100" t="e">
        <f t="shared" si="47"/>
        <v>#DIV/0!</v>
      </c>
      <c r="P76" s="98" t="e">
        <f t="shared" si="47"/>
        <v>#DIV/0!</v>
      </c>
      <c r="Q76" s="100" t="e">
        <f t="shared" si="47"/>
        <v>#DIV/0!</v>
      </c>
      <c r="R76" s="98" t="e">
        <f t="shared" si="47"/>
        <v>#DIV/0!</v>
      </c>
      <c r="S76" s="100" t="e">
        <f t="shared" si="47"/>
        <v>#DIV/0!</v>
      </c>
      <c r="T76" s="98" t="e">
        <f t="shared" si="47"/>
        <v>#DIV/0!</v>
      </c>
      <c r="U76" s="100" t="e">
        <f t="shared" si="47"/>
        <v>#DIV/0!</v>
      </c>
      <c r="V76" s="98" t="e">
        <f t="shared" si="47"/>
        <v>#DIV/0!</v>
      </c>
      <c r="W76" s="100" t="e">
        <f t="shared" si="47"/>
        <v>#DIV/0!</v>
      </c>
      <c r="X76" s="98" t="e">
        <f t="shared" si="47"/>
        <v>#DIV/0!</v>
      </c>
      <c r="Y76" s="100" t="e">
        <f t="shared" si="47"/>
        <v>#DIV/0!</v>
      </c>
      <c r="Z76" s="98" t="e">
        <f t="shared" si="47"/>
        <v>#DIV/0!</v>
      </c>
      <c r="AA76" s="100" t="e">
        <f t="shared" si="47"/>
        <v>#DIV/0!</v>
      </c>
      <c r="AB76" s="98" t="e">
        <f t="shared" si="47"/>
        <v>#DIV/0!</v>
      </c>
      <c r="AC76" s="100" t="e">
        <f t="shared" si="47"/>
        <v>#DIV/0!</v>
      </c>
      <c r="AD76" s="98" t="e">
        <f t="shared" si="47"/>
        <v>#DIV/0!</v>
      </c>
      <c r="AE76" s="100" t="e">
        <f t="shared" si="47"/>
        <v>#DIV/0!</v>
      </c>
      <c r="AF76" s="98" t="e">
        <f t="shared" si="47"/>
        <v>#DIV/0!</v>
      </c>
      <c r="AG76" s="100" t="e">
        <f t="shared" si="47"/>
        <v>#DIV/0!</v>
      </c>
      <c r="AH76" s="98" t="e">
        <f t="shared" si="47"/>
        <v>#DIV/0!</v>
      </c>
      <c r="AI76" s="100" t="e">
        <f t="shared" si="47"/>
        <v>#DIV/0!</v>
      </c>
      <c r="AJ76" s="98" t="e">
        <f t="shared" si="47"/>
        <v>#DIV/0!</v>
      </c>
      <c r="AK76" s="100" t="e">
        <f t="shared" si="47"/>
        <v>#DIV/0!</v>
      </c>
      <c r="AL76" s="98" t="e">
        <f t="shared" si="47"/>
        <v>#DIV/0!</v>
      </c>
      <c r="AM76" s="100" t="e">
        <f t="shared" si="47"/>
        <v>#DIV/0!</v>
      </c>
      <c r="AN76" s="98" t="e">
        <f t="shared" si="47"/>
        <v>#DIV/0!</v>
      </c>
      <c r="AO76" s="100" t="e">
        <f t="shared" si="47"/>
        <v>#DIV/0!</v>
      </c>
      <c r="AP76" s="98" t="e">
        <f t="shared" si="47"/>
        <v>#DIV/0!</v>
      </c>
      <c r="AQ76" s="100" t="e">
        <f t="shared" si="47"/>
        <v>#DIV/0!</v>
      </c>
      <c r="AR76" s="98" t="e">
        <f t="shared" si="47"/>
        <v>#DIV/0!</v>
      </c>
      <c r="AS76" s="100" t="e">
        <f t="shared" si="47"/>
        <v>#DIV/0!</v>
      </c>
      <c r="AT76" s="51"/>
      <c r="AU76" s="56"/>
    </row>
    <row r="77" spans="2:47" ht="14.25" x14ac:dyDescent="0.25">
      <c r="B77" s="55"/>
      <c r="C77" s="10" t="s">
        <v>87</v>
      </c>
      <c r="D77" s="11" t="s">
        <v>62</v>
      </c>
      <c r="E77" s="130" t="e">
        <f t="shared" ref="E77" si="48">E70*E76</f>
        <v>#DIV/0!</v>
      </c>
      <c r="F77" s="15">
        <f t="shared" ref="F77:G77" si="49">F70*F76</f>
        <v>2.69602790985831</v>
      </c>
      <c r="G77" s="38">
        <f t="shared" si="49"/>
        <v>2.69602790985831</v>
      </c>
      <c r="H77" s="98" t="e">
        <f t="shared" ref="H77:AS77" si="50">H70*H76</f>
        <v>#DIV/0!</v>
      </c>
      <c r="I77" s="100" t="e">
        <f t="shared" si="50"/>
        <v>#DIV/0!</v>
      </c>
      <c r="J77" s="98" t="e">
        <f t="shared" si="50"/>
        <v>#DIV/0!</v>
      </c>
      <c r="K77" s="100" t="e">
        <f t="shared" si="50"/>
        <v>#DIV/0!</v>
      </c>
      <c r="L77" s="98" t="e">
        <f t="shared" si="50"/>
        <v>#DIV/0!</v>
      </c>
      <c r="M77" s="100" t="e">
        <f t="shared" si="50"/>
        <v>#DIV/0!</v>
      </c>
      <c r="N77" s="98" t="e">
        <f t="shared" si="50"/>
        <v>#DIV/0!</v>
      </c>
      <c r="O77" s="100" t="e">
        <f t="shared" si="50"/>
        <v>#DIV/0!</v>
      </c>
      <c r="P77" s="98" t="e">
        <f t="shared" si="50"/>
        <v>#DIV/0!</v>
      </c>
      <c r="Q77" s="100" t="e">
        <f t="shared" si="50"/>
        <v>#DIV/0!</v>
      </c>
      <c r="R77" s="98" t="e">
        <f t="shared" si="50"/>
        <v>#DIV/0!</v>
      </c>
      <c r="S77" s="100" t="e">
        <f t="shared" si="50"/>
        <v>#DIV/0!</v>
      </c>
      <c r="T77" s="98" t="e">
        <f t="shared" si="50"/>
        <v>#DIV/0!</v>
      </c>
      <c r="U77" s="100" t="e">
        <f t="shared" si="50"/>
        <v>#DIV/0!</v>
      </c>
      <c r="V77" s="98" t="e">
        <f t="shared" si="50"/>
        <v>#DIV/0!</v>
      </c>
      <c r="W77" s="100" t="e">
        <f t="shared" si="50"/>
        <v>#DIV/0!</v>
      </c>
      <c r="X77" s="98" t="e">
        <f t="shared" si="50"/>
        <v>#DIV/0!</v>
      </c>
      <c r="Y77" s="100" t="e">
        <f t="shared" si="50"/>
        <v>#DIV/0!</v>
      </c>
      <c r="Z77" s="98" t="e">
        <f t="shared" si="50"/>
        <v>#DIV/0!</v>
      </c>
      <c r="AA77" s="100" t="e">
        <f t="shared" si="50"/>
        <v>#DIV/0!</v>
      </c>
      <c r="AB77" s="98" t="e">
        <f t="shared" si="50"/>
        <v>#DIV/0!</v>
      </c>
      <c r="AC77" s="100" t="e">
        <f t="shared" si="50"/>
        <v>#DIV/0!</v>
      </c>
      <c r="AD77" s="98" t="e">
        <f t="shared" si="50"/>
        <v>#DIV/0!</v>
      </c>
      <c r="AE77" s="100" t="e">
        <f t="shared" si="50"/>
        <v>#DIV/0!</v>
      </c>
      <c r="AF77" s="98" t="e">
        <f t="shared" si="50"/>
        <v>#DIV/0!</v>
      </c>
      <c r="AG77" s="100" t="e">
        <f t="shared" si="50"/>
        <v>#DIV/0!</v>
      </c>
      <c r="AH77" s="98" t="e">
        <f t="shared" si="50"/>
        <v>#DIV/0!</v>
      </c>
      <c r="AI77" s="100" t="e">
        <f t="shared" si="50"/>
        <v>#DIV/0!</v>
      </c>
      <c r="AJ77" s="98" t="e">
        <f t="shared" si="50"/>
        <v>#DIV/0!</v>
      </c>
      <c r="AK77" s="100" t="e">
        <f t="shared" si="50"/>
        <v>#DIV/0!</v>
      </c>
      <c r="AL77" s="98" t="e">
        <f t="shared" si="50"/>
        <v>#DIV/0!</v>
      </c>
      <c r="AM77" s="100" t="e">
        <f t="shared" si="50"/>
        <v>#DIV/0!</v>
      </c>
      <c r="AN77" s="98" t="e">
        <f t="shared" si="50"/>
        <v>#DIV/0!</v>
      </c>
      <c r="AO77" s="100" t="e">
        <f t="shared" si="50"/>
        <v>#DIV/0!</v>
      </c>
      <c r="AP77" s="98" t="e">
        <f t="shared" si="50"/>
        <v>#DIV/0!</v>
      </c>
      <c r="AQ77" s="100" t="e">
        <f t="shared" si="50"/>
        <v>#DIV/0!</v>
      </c>
      <c r="AR77" s="98" t="e">
        <f t="shared" si="50"/>
        <v>#DIV/0!</v>
      </c>
      <c r="AS77" s="100" t="e">
        <f t="shared" si="50"/>
        <v>#DIV/0!</v>
      </c>
      <c r="AT77" s="51"/>
      <c r="AU77" s="56"/>
    </row>
    <row r="78" spans="2:47" ht="14.25" x14ac:dyDescent="0.25">
      <c r="B78" s="55"/>
      <c r="C78" s="10" t="s">
        <v>228</v>
      </c>
      <c r="D78" s="11" t="s">
        <v>89</v>
      </c>
      <c r="E78" s="130">
        <f t="shared" ref="E78:AS78" si="51">IF(E10&gt;0,6-(1.5*E77)+(0.15*E51),0)</f>
        <v>0</v>
      </c>
      <c r="F78" s="15">
        <f t="shared" si="51"/>
        <v>2.3018643597591808</v>
      </c>
      <c r="G78" s="100">
        <f t="shared" si="51"/>
        <v>2.3438381097591807</v>
      </c>
      <c r="H78" s="98">
        <f t="shared" si="51"/>
        <v>0</v>
      </c>
      <c r="I78" s="100">
        <f t="shared" si="51"/>
        <v>0</v>
      </c>
      <c r="J78" s="98">
        <f t="shared" si="51"/>
        <v>0</v>
      </c>
      <c r="K78" s="100">
        <f t="shared" si="51"/>
        <v>0</v>
      </c>
      <c r="L78" s="98">
        <f t="shared" si="51"/>
        <v>0</v>
      </c>
      <c r="M78" s="100">
        <f t="shared" si="51"/>
        <v>0</v>
      </c>
      <c r="N78" s="98">
        <f t="shared" si="51"/>
        <v>0</v>
      </c>
      <c r="O78" s="100">
        <f t="shared" si="51"/>
        <v>0</v>
      </c>
      <c r="P78" s="98">
        <f t="shared" si="51"/>
        <v>0</v>
      </c>
      <c r="Q78" s="100">
        <f t="shared" si="51"/>
        <v>0</v>
      </c>
      <c r="R78" s="98">
        <f t="shared" si="51"/>
        <v>0</v>
      </c>
      <c r="S78" s="100">
        <f t="shared" si="51"/>
        <v>0</v>
      </c>
      <c r="T78" s="98">
        <f t="shared" si="51"/>
        <v>0</v>
      </c>
      <c r="U78" s="100">
        <f t="shared" si="51"/>
        <v>0</v>
      </c>
      <c r="V78" s="98">
        <f t="shared" si="51"/>
        <v>0</v>
      </c>
      <c r="W78" s="100">
        <f t="shared" si="51"/>
        <v>0</v>
      </c>
      <c r="X78" s="98">
        <f t="shared" si="51"/>
        <v>0</v>
      </c>
      <c r="Y78" s="100">
        <f t="shared" si="51"/>
        <v>0</v>
      </c>
      <c r="Z78" s="98">
        <f t="shared" si="51"/>
        <v>0</v>
      </c>
      <c r="AA78" s="100">
        <f t="shared" si="51"/>
        <v>0</v>
      </c>
      <c r="AB78" s="98">
        <f t="shared" si="51"/>
        <v>0</v>
      </c>
      <c r="AC78" s="100">
        <f t="shared" si="51"/>
        <v>0</v>
      </c>
      <c r="AD78" s="98">
        <f t="shared" si="51"/>
        <v>0</v>
      </c>
      <c r="AE78" s="100">
        <f t="shared" si="51"/>
        <v>0</v>
      </c>
      <c r="AF78" s="98">
        <f t="shared" si="51"/>
        <v>0</v>
      </c>
      <c r="AG78" s="100">
        <f t="shared" si="51"/>
        <v>0</v>
      </c>
      <c r="AH78" s="98">
        <f t="shared" si="51"/>
        <v>0</v>
      </c>
      <c r="AI78" s="100">
        <f t="shared" si="51"/>
        <v>0</v>
      </c>
      <c r="AJ78" s="98">
        <f t="shared" si="51"/>
        <v>0</v>
      </c>
      <c r="AK78" s="100">
        <f t="shared" si="51"/>
        <v>0</v>
      </c>
      <c r="AL78" s="98">
        <f t="shared" si="51"/>
        <v>0</v>
      </c>
      <c r="AM78" s="100">
        <f t="shared" si="51"/>
        <v>0</v>
      </c>
      <c r="AN78" s="98">
        <f t="shared" si="51"/>
        <v>0</v>
      </c>
      <c r="AO78" s="100">
        <f t="shared" si="51"/>
        <v>0</v>
      </c>
      <c r="AP78" s="98">
        <f t="shared" si="51"/>
        <v>0</v>
      </c>
      <c r="AQ78" s="100">
        <f t="shared" si="51"/>
        <v>0</v>
      </c>
      <c r="AR78" s="98">
        <f t="shared" si="51"/>
        <v>0</v>
      </c>
      <c r="AS78" s="100">
        <f t="shared" si="51"/>
        <v>0</v>
      </c>
      <c r="AT78" s="51"/>
      <c r="AU78" s="56"/>
    </row>
    <row r="79" spans="2:47" ht="13.5" x14ac:dyDescent="0.25">
      <c r="B79" s="55"/>
      <c r="C79" s="10"/>
      <c r="D79" s="11" t="s">
        <v>52</v>
      </c>
      <c r="E79" s="129" t="str">
        <f t="shared" ref="E79" si="52">IF(E78&lt;=2,"A",IF(E78&lt;=2.75,"B",IF(E78&lt;=3.5,"C",IF(E78&lt;=4.25,"D",IF(E78&lt;=5,"E","F")))))</f>
        <v>A</v>
      </c>
      <c r="F79" s="10" t="str">
        <f t="shared" ref="F79:G79" si="53">IF(F78&lt;=2,"A",IF(F78&lt;=2.75,"B",IF(F78&lt;=3.5,"C",IF(F78&lt;=4.25,"D",IF(F78&lt;=5,"E","F")))))</f>
        <v>B</v>
      </c>
      <c r="G79" s="12" t="str">
        <f t="shared" si="53"/>
        <v>B</v>
      </c>
      <c r="H79" s="10" t="str">
        <f t="shared" ref="H79:AS79" si="54">IF(H78&lt;=2,"A",IF(H78&lt;=2.75,"B",IF(H78&lt;=3.5,"C",IF(H78&lt;=4.25,"D",IF(H78&lt;=5,"E","F")))))</f>
        <v>A</v>
      </c>
      <c r="I79" s="101" t="str">
        <f t="shared" si="54"/>
        <v>A</v>
      </c>
      <c r="J79" s="10" t="str">
        <f t="shared" si="54"/>
        <v>A</v>
      </c>
      <c r="K79" s="101" t="str">
        <f t="shared" si="54"/>
        <v>A</v>
      </c>
      <c r="L79" s="10" t="str">
        <f t="shared" si="54"/>
        <v>A</v>
      </c>
      <c r="M79" s="101" t="str">
        <f t="shared" si="54"/>
        <v>A</v>
      </c>
      <c r="N79" s="10" t="str">
        <f t="shared" si="54"/>
        <v>A</v>
      </c>
      <c r="O79" s="101" t="str">
        <f t="shared" si="54"/>
        <v>A</v>
      </c>
      <c r="P79" s="10" t="str">
        <f t="shared" si="54"/>
        <v>A</v>
      </c>
      <c r="Q79" s="101" t="str">
        <f t="shared" si="54"/>
        <v>A</v>
      </c>
      <c r="R79" s="10" t="str">
        <f t="shared" si="54"/>
        <v>A</v>
      </c>
      <c r="S79" s="101" t="str">
        <f t="shared" si="54"/>
        <v>A</v>
      </c>
      <c r="T79" s="10" t="str">
        <f t="shared" si="54"/>
        <v>A</v>
      </c>
      <c r="U79" s="101" t="str">
        <f t="shared" si="54"/>
        <v>A</v>
      </c>
      <c r="V79" s="10" t="str">
        <f t="shared" si="54"/>
        <v>A</v>
      </c>
      <c r="W79" s="101" t="str">
        <f t="shared" si="54"/>
        <v>A</v>
      </c>
      <c r="X79" s="10" t="str">
        <f t="shared" si="54"/>
        <v>A</v>
      </c>
      <c r="Y79" s="101" t="str">
        <f t="shared" si="54"/>
        <v>A</v>
      </c>
      <c r="Z79" s="10" t="str">
        <f t="shared" si="54"/>
        <v>A</v>
      </c>
      <c r="AA79" s="101" t="str">
        <f t="shared" si="54"/>
        <v>A</v>
      </c>
      <c r="AB79" s="10" t="str">
        <f t="shared" si="54"/>
        <v>A</v>
      </c>
      <c r="AC79" s="101" t="str">
        <f t="shared" si="54"/>
        <v>A</v>
      </c>
      <c r="AD79" s="10" t="str">
        <f t="shared" si="54"/>
        <v>A</v>
      </c>
      <c r="AE79" s="101" t="str">
        <f t="shared" si="54"/>
        <v>A</v>
      </c>
      <c r="AF79" s="10" t="str">
        <f t="shared" si="54"/>
        <v>A</v>
      </c>
      <c r="AG79" s="101" t="str">
        <f t="shared" si="54"/>
        <v>A</v>
      </c>
      <c r="AH79" s="10" t="str">
        <f t="shared" si="54"/>
        <v>A</v>
      </c>
      <c r="AI79" s="101" t="str">
        <f t="shared" si="54"/>
        <v>A</v>
      </c>
      <c r="AJ79" s="10" t="str">
        <f t="shared" si="54"/>
        <v>A</v>
      </c>
      <c r="AK79" s="101" t="str">
        <f t="shared" si="54"/>
        <v>A</v>
      </c>
      <c r="AL79" s="10" t="str">
        <f t="shared" si="54"/>
        <v>A</v>
      </c>
      <c r="AM79" s="101" t="str">
        <f t="shared" si="54"/>
        <v>A</v>
      </c>
      <c r="AN79" s="10" t="str">
        <f t="shared" si="54"/>
        <v>A</v>
      </c>
      <c r="AO79" s="101" t="str">
        <f t="shared" si="54"/>
        <v>A</v>
      </c>
      <c r="AP79" s="10" t="str">
        <f t="shared" si="54"/>
        <v>A</v>
      </c>
      <c r="AQ79" s="101" t="str">
        <f t="shared" si="54"/>
        <v>A</v>
      </c>
      <c r="AR79" s="10" t="str">
        <f t="shared" si="54"/>
        <v>A</v>
      </c>
      <c r="AS79" s="101" t="str">
        <f t="shared" si="54"/>
        <v>A</v>
      </c>
      <c r="AT79" s="51"/>
      <c r="AU79" s="56"/>
    </row>
    <row r="80" spans="2:47" ht="13.5" thickBot="1" x14ac:dyDescent="0.3">
      <c r="B80" s="55"/>
      <c r="C80" s="37"/>
      <c r="D80" s="60"/>
      <c r="E80" s="60"/>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60"/>
      <c r="AU80" s="56"/>
    </row>
    <row r="81" spans="2:47" s="21" customFormat="1" ht="15.95" customHeight="1" x14ac:dyDescent="0.25">
      <c r="B81" s="57"/>
      <c r="C81" s="182" t="s">
        <v>49</v>
      </c>
      <c r="D81" s="188"/>
      <c r="E81" s="116"/>
      <c r="F81" s="182" t="str">
        <f>F3</f>
        <v>Link 1</v>
      </c>
      <c r="G81" s="188"/>
      <c r="H81" s="182" t="str">
        <f>H3</f>
        <v>Link 2</v>
      </c>
      <c r="I81" s="188"/>
      <c r="J81" s="182" t="str">
        <f>J3</f>
        <v>Link 3</v>
      </c>
      <c r="K81" s="188"/>
      <c r="L81" s="182" t="str">
        <f>L3</f>
        <v>Link 4</v>
      </c>
      <c r="M81" s="188"/>
      <c r="N81" s="182" t="str">
        <f>N3</f>
        <v>Link 5</v>
      </c>
      <c r="O81" s="188"/>
      <c r="P81" s="182" t="str">
        <f>P3</f>
        <v>Link 6</v>
      </c>
      <c r="Q81" s="188"/>
      <c r="R81" s="182" t="str">
        <f>R3</f>
        <v>Link 7</v>
      </c>
      <c r="S81" s="188"/>
      <c r="T81" s="182" t="str">
        <f>T3</f>
        <v>Link 8</v>
      </c>
      <c r="U81" s="188"/>
      <c r="V81" s="182" t="str">
        <f>V3</f>
        <v>Link 9</v>
      </c>
      <c r="W81" s="188"/>
      <c r="X81" s="182" t="str">
        <f>X3</f>
        <v>Link 10</v>
      </c>
      <c r="Y81" s="188"/>
      <c r="Z81" s="182" t="str">
        <f>Z3</f>
        <v>Link 11</v>
      </c>
      <c r="AA81" s="188"/>
      <c r="AB81" s="182" t="str">
        <f>AB3</f>
        <v>Link 12</v>
      </c>
      <c r="AC81" s="188"/>
      <c r="AD81" s="182" t="str">
        <f>AD3</f>
        <v>Link 13</v>
      </c>
      <c r="AE81" s="188"/>
      <c r="AF81" s="182" t="str">
        <f>AF3</f>
        <v>Link 14</v>
      </c>
      <c r="AG81" s="188"/>
      <c r="AH81" s="182" t="str">
        <f>AH3</f>
        <v>Link 15</v>
      </c>
      <c r="AI81" s="188"/>
      <c r="AJ81" s="182" t="str">
        <f>AJ3</f>
        <v>Link 16</v>
      </c>
      <c r="AK81" s="188"/>
      <c r="AL81" s="182" t="str">
        <f>AL3</f>
        <v>Link 17</v>
      </c>
      <c r="AM81" s="188"/>
      <c r="AN81" s="182" t="str">
        <f>AN3</f>
        <v>Link 18</v>
      </c>
      <c r="AO81" s="188"/>
      <c r="AP81" s="182" t="str">
        <f>AP3</f>
        <v>Link 19</v>
      </c>
      <c r="AQ81" s="188"/>
      <c r="AR81" s="182" t="str">
        <f>AR3</f>
        <v>Link 20</v>
      </c>
      <c r="AS81" s="183"/>
      <c r="AT81" s="47" t="str">
        <f>AT3</f>
        <v>Total</v>
      </c>
      <c r="AU81" s="58"/>
    </row>
    <row r="82" spans="2:47" x14ac:dyDescent="0.25">
      <c r="B82" s="55"/>
      <c r="C82" s="4"/>
      <c r="D82" s="8" t="s">
        <v>50</v>
      </c>
      <c r="E82" s="78"/>
      <c r="F82" s="4"/>
      <c r="G82" s="5"/>
      <c r="H82" s="4"/>
      <c r="I82" s="5"/>
      <c r="J82" s="4"/>
      <c r="K82" s="5"/>
      <c r="L82" s="4"/>
      <c r="M82" s="5"/>
      <c r="N82" s="4"/>
      <c r="O82" s="5"/>
      <c r="P82" s="4"/>
      <c r="Q82" s="5"/>
      <c r="R82" s="4"/>
      <c r="S82" s="5"/>
      <c r="T82" s="4"/>
      <c r="U82" s="5"/>
      <c r="V82" s="4"/>
      <c r="W82" s="5"/>
      <c r="X82" s="4"/>
      <c r="Y82" s="5"/>
      <c r="Z82" s="4"/>
      <c r="AA82" s="5"/>
      <c r="AB82" s="4"/>
      <c r="AC82" s="5"/>
      <c r="AD82" s="4"/>
      <c r="AE82" s="5"/>
      <c r="AF82" s="4"/>
      <c r="AG82" s="5"/>
      <c r="AH82" s="4"/>
      <c r="AI82" s="5"/>
      <c r="AJ82" s="4"/>
      <c r="AK82" s="5"/>
      <c r="AL82" s="4"/>
      <c r="AM82" s="5"/>
      <c r="AN82" s="4"/>
      <c r="AO82" s="5"/>
      <c r="AP82" s="4"/>
      <c r="AQ82" s="5"/>
      <c r="AR82" s="4"/>
      <c r="AS82" s="5"/>
      <c r="AT82" s="46"/>
      <c r="AU82" s="56"/>
    </row>
    <row r="83" spans="2:47" ht="14.25" x14ac:dyDescent="0.25">
      <c r="B83" s="55"/>
      <c r="C83" s="10" t="s">
        <v>226</v>
      </c>
      <c r="D83" s="11" t="s">
        <v>93</v>
      </c>
      <c r="E83" s="119"/>
      <c r="F83" s="191">
        <f>MAX(F51:G51)</f>
        <v>2.585866496977637</v>
      </c>
      <c r="G83" s="192"/>
      <c r="H83" s="191">
        <f>MAX(H51:I51)</f>
        <v>0</v>
      </c>
      <c r="I83" s="192"/>
      <c r="J83" s="191">
        <f t="shared" ref="J83" si="55">MAX(J51:K51)</f>
        <v>0</v>
      </c>
      <c r="K83" s="192"/>
      <c r="L83" s="191">
        <f t="shared" ref="L83" si="56">MAX(L51:M51)</f>
        <v>0</v>
      </c>
      <c r="M83" s="192"/>
      <c r="N83" s="191">
        <f t="shared" ref="N83" si="57">MAX(N51:O51)</f>
        <v>0</v>
      </c>
      <c r="O83" s="192"/>
      <c r="P83" s="191">
        <f t="shared" ref="P83" si="58">MAX(P51:Q51)</f>
        <v>0</v>
      </c>
      <c r="Q83" s="192"/>
      <c r="R83" s="191">
        <f t="shared" ref="R83" si="59">MAX(R51:S51)</f>
        <v>0</v>
      </c>
      <c r="S83" s="192"/>
      <c r="T83" s="191">
        <f t="shared" ref="T83" si="60">MAX(T51:U51)</f>
        <v>0</v>
      </c>
      <c r="U83" s="192"/>
      <c r="V83" s="191">
        <f t="shared" ref="V83" si="61">MAX(V51:W51)</f>
        <v>0</v>
      </c>
      <c r="W83" s="192"/>
      <c r="X83" s="191">
        <f t="shared" ref="X83" si="62">MAX(X51:Y51)</f>
        <v>0</v>
      </c>
      <c r="Y83" s="192"/>
      <c r="Z83" s="191">
        <f t="shared" ref="Z83" si="63">MAX(Z51:AA51)</f>
        <v>0</v>
      </c>
      <c r="AA83" s="192"/>
      <c r="AB83" s="191">
        <f t="shared" ref="AB83" si="64">MAX(AB51:AC51)</f>
        <v>0</v>
      </c>
      <c r="AC83" s="192"/>
      <c r="AD83" s="191">
        <f t="shared" ref="AD83" si="65">MAX(AD51:AE51)</f>
        <v>0</v>
      </c>
      <c r="AE83" s="192"/>
      <c r="AF83" s="191">
        <f t="shared" ref="AF83" si="66">MAX(AF51:AG51)</f>
        <v>0</v>
      </c>
      <c r="AG83" s="192"/>
      <c r="AH83" s="191">
        <f t="shared" ref="AH83" si="67">MAX(AH51:AI51)</f>
        <v>0</v>
      </c>
      <c r="AI83" s="192"/>
      <c r="AJ83" s="191">
        <f t="shared" ref="AJ83" si="68">MAX(AJ51:AK51)</f>
        <v>0</v>
      </c>
      <c r="AK83" s="192"/>
      <c r="AL83" s="191">
        <f t="shared" ref="AL83" si="69">MAX(AL51:AM51)</f>
        <v>0</v>
      </c>
      <c r="AM83" s="192"/>
      <c r="AN83" s="191">
        <f t="shared" ref="AN83" si="70">MAX(AN51:AO51)</f>
        <v>0</v>
      </c>
      <c r="AO83" s="192"/>
      <c r="AP83" s="191">
        <f t="shared" ref="AP83" si="71">MAX(AP51:AQ51)</f>
        <v>0</v>
      </c>
      <c r="AQ83" s="192"/>
      <c r="AR83" s="191">
        <f t="shared" ref="AR83" si="72">MAX(AR51:AS51)</f>
        <v>0</v>
      </c>
      <c r="AS83" s="192"/>
      <c r="AT83" s="67">
        <f>SUMPRODUCT(F83:AS83,F7:AS7)/SUM(F7:AS7)</f>
        <v>2.585866496977637</v>
      </c>
      <c r="AU83" s="56"/>
    </row>
    <row r="84" spans="2:47" x14ac:dyDescent="0.25">
      <c r="B84" s="55"/>
      <c r="C84" s="10"/>
      <c r="D84" s="11" t="s">
        <v>41</v>
      </c>
      <c r="E84" s="119"/>
      <c r="F84" s="184" t="str">
        <f>IF(F83&lt;=2,"A",IF(F83&lt;=2.75,"B",IF(F83&lt;=3.5,"C",IF(F83&lt;=4.25,"D",IF(F83&lt;=5,"E","F")))))</f>
        <v>B</v>
      </c>
      <c r="G84" s="185"/>
      <c r="H84" s="184" t="str">
        <f t="shared" ref="H84" si="73">IF(H83&lt;=2,"A",IF(H83&lt;=2.75,"B",IF(H83&lt;=3.5,"C",IF(H83&lt;=4.25,"D",IF(H83&lt;=5,"E","F")))))</f>
        <v>A</v>
      </c>
      <c r="I84" s="185"/>
      <c r="J84" s="184" t="str">
        <f t="shared" ref="J84" si="74">IF(J83&lt;=2,"A",IF(J83&lt;=2.75,"B",IF(J83&lt;=3.5,"C",IF(J83&lt;=4.25,"D",IF(J83&lt;=5,"E","F")))))</f>
        <v>A</v>
      </c>
      <c r="K84" s="185"/>
      <c r="L84" s="184" t="str">
        <f t="shared" ref="L84" si="75">IF(L83&lt;=2,"A",IF(L83&lt;=2.75,"B",IF(L83&lt;=3.5,"C",IF(L83&lt;=4.25,"D",IF(L83&lt;=5,"E","F")))))</f>
        <v>A</v>
      </c>
      <c r="M84" s="185"/>
      <c r="N84" s="184" t="str">
        <f t="shared" ref="N84" si="76">IF(N83&lt;=2,"A",IF(N83&lt;=2.75,"B",IF(N83&lt;=3.5,"C",IF(N83&lt;=4.25,"D",IF(N83&lt;=5,"E","F")))))</f>
        <v>A</v>
      </c>
      <c r="O84" s="185"/>
      <c r="P84" s="184" t="str">
        <f t="shared" ref="P84" si="77">IF(P83&lt;=2,"A",IF(P83&lt;=2.75,"B",IF(P83&lt;=3.5,"C",IF(P83&lt;=4.25,"D",IF(P83&lt;=5,"E","F")))))</f>
        <v>A</v>
      </c>
      <c r="Q84" s="185"/>
      <c r="R84" s="184" t="str">
        <f t="shared" ref="R84" si="78">IF(R83&lt;=2,"A",IF(R83&lt;=2.75,"B",IF(R83&lt;=3.5,"C",IF(R83&lt;=4.25,"D",IF(R83&lt;=5,"E","F")))))</f>
        <v>A</v>
      </c>
      <c r="S84" s="185"/>
      <c r="T84" s="184" t="str">
        <f t="shared" ref="T84" si="79">IF(T83&lt;=2,"A",IF(T83&lt;=2.75,"B",IF(T83&lt;=3.5,"C",IF(T83&lt;=4.25,"D",IF(T83&lt;=5,"E","F")))))</f>
        <v>A</v>
      </c>
      <c r="U84" s="185"/>
      <c r="V84" s="184" t="str">
        <f t="shared" ref="V84" si="80">IF(V83&lt;=2,"A",IF(V83&lt;=2.75,"B",IF(V83&lt;=3.5,"C",IF(V83&lt;=4.25,"D",IF(V83&lt;=5,"E","F")))))</f>
        <v>A</v>
      </c>
      <c r="W84" s="185"/>
      <c r="X84" s="184" t="str">
        <f t="shared" ref="X84" si="81">IF(X83&lt;=2,"A",IF(X83&lt;=2.75,"B",IF(X83&lt;=3.5,"C",IF(X83&lt;=4.25,"D",IF(X83&lt;=5,"E","F")))))</f>
        <v>A</v>
      </c>
      <c r="Y84" s="185"/>
      <c r="Z84" s="184" t="str">
        <f t="shared" ref="Z84" si="82">IF(Z83&lt;=2,"A",IF(Z83&lt;=2.75,"B",IF(Z83&lt;=3.5,"C",IF(Z83&lt;=4.25,"D",IF(Z83&lt;=5,"E","F")))))</f>
        <v>A</v>
      </c>
      <c r="AA84" s="185"/>
      <c r="AB84" s="184" t="str">
        <f t="shared" ref="AB84" si="83">IF(AB83&lt;=2,"A",IF(AB83&lt;=2.75,"B",IF(AB83&lt;=3.5,"C",IF(AB83&lt;=4.25,"D",IF(AB83&lt;=5,"E","F")))))</f>
        <v>A</v>
      </c>
      <c r="AC84" s="185"/>
      <c r="AD84" s="184" t="str">
        <f t="shared" ref="AD84" si="84">IF(AD83&lt;=2,"A",IF(AD83&lt;=2.75,"B",IF(AD83&lt;=3.5,"C",IF(AD83&lt;=4.25,"D",IF(AD83&lt;=5,"E","F")))))</f>
        <v>A</v>
      </c>
      <c r="AE84" s="185"/>
      <c r="AF84" s="184" t="str">
        <f t="shared" ref="AF84" si="85">IF(AF83&lt;=2,"A",IF(AF83&lt;=2.75,"B",IF(AF83&lt;=3.5,"C",IF(AF83&lt;=4.25,"D",IF(AF83&lt;=5,"E","F")))))</f>
        <v>A</v>
      </c>
      <c r="AG84" s="185"/>
      <c r="AH84" s="184" t="str">
        <f t="shared" ref="AH84" si="86">IF(AH83&lt;=2,"A",IF(AH83&lt;=2.75,"B",IF(AH83&lt;=3.5,"C",IF(AH83&lt;=4.25,"D",IF(AH83&lt;=5,"E","F")))))</f>
        <v>A</v>
      </c>
      <c r="AI84" s="185"/>
      <c r="AJ84" s="184" t="str">
        <f t="shared" ref="AJ84" si="87">IF(AJ83&lt;=2,"A",IF(AJ83&lt;=2.75,"B",IF(AJ83&lt;=3.5,"C",IF(AJ83&lt;=4.25,"D",IF(AJ83&lt;=5,"E","F")))))</f>
        <v>A</v>
      </c>
      <c r="AK84" s="185"/>
      <c r="AL84" s="184" t="str">
        <f t="shared" ref="AL84" si="88">IF(AL83&lt;=2,"A",IF(AL83&lt;=2.75,"B",IF(AL83&lt;=3.5,"C",IF(AL83&lt;=4.25,"D",IF(AL83&lt;=5,"E","F")))))</f>
        <v>A</v>
      </c>
      <c r="AM84" s="185"/>
      <c r="AN84" s="184" t="str">
        <f t="shared" ref="AN84" si="89">IF(AN83&lt;=2,"A",IF(AN83&lt;=2.75,"B",IF(AN83&lt;=3.5,"C",IF(AN83&lt;=4.25,"D",IF(AN83&lt;=5,"E","F")))))</f>
        <v>A</v>
      </c>
      <c r="AO84" s="185"/>
      <c r="AP84" s="184" t="str">
        <f t="shared" ref="AP84" si="90">IF(AP83&lt;=2,"A",IF(AP83&lt;=2.75,"B",IF(AP83&lt;=3.5,"C",IF(AP83&lt;=4.25,"D",IF(AP83&lt;=5,"E","F")))))</f>
        <v>A</v>
      </c>
      <c r="AQ84" s="185"/>
      <c r="AR84" s="184" t="str">
        <f t="shared" ref="AR84" si="91">IF(AR83&lt;=2,"A",IF(AR83&lt;=2.75,"B",IF(AR83&lt;=3.5,"C",IF(AR83&lt;=4.25,"D",IF(AR83&lt;=5,"E","F")))))</f>
        <v>A</v>
      </c>
      <c r="AS84" s="185"/>
      <c r="AT84" s="68" t="str">
        <f>IF(AT83&lt;=2,"A",IF(AT83&lt;=2.75,"B",IF(AT83&lt;=3.5,"C",IF(AT83&lt;=4.25,"D",IF(AT83&lt;=5,"E","F")))))</f>
        <v>B</v>
      </c>
      <c r="AU84" s="56"/>
    </row>
    <row r="85" spans="2:47" x14ac:dyDescent="0.25">
      <c r="B85" s="55"/>
      <c r="C85" s="4"/>
      <c r="D85" s="8" t="s">
        <v>20</v>
      </c>
      <c r="E85" s="78"/>
      <c r="F85" s="4"/>
      <c r="G85" s="5"/>
      <c r="H85" s="4"/>
      <c r="I85" s="5"/>
      <c r="J85" s="4"/>
      <c r="K85" s="5"/>
      <c r="L85" s="4"/>
      <c r="M85" s="5"/>
      <c r="N85" s="4"/>
      <c r="O85" s="5"/>
      <c r="P85" s="4"/>
      <c r="Q85" s="5"/>
      <c r="R85" s="4"/>
      <c r="S85" s="5"/>
      <c r="T85" s="4"/>
      <c r="U85" s="5"/>
      <c r="V85" s="4"/>
      <c r="W85" s="5"/>
      <c r="X85" s="4"/>
      <c r="Y85" s="5"/>
      <c r="Z85" s="4"/>
      <c r="AA85" s="5"/>
      <c r="AB85" s="4"/>
      <c r="AC85" s="5"/>
      <c r="AD85" s="4"/>
      <c r="AE85" s="5"/>
      <c r="AF85" s="4"/>
      <c r="AG85" s="5"/>
      <c r="AH85" s="4"/>
      <c r="AI85" s="5"/>
      <c r="AJ85" s="4"/>
      <c r="AK85" s="5"/>
      <c r="AL85" s="4"/>
      <c r="AM85" s="5"/>
      <c r="AN85" s="4"/>
      <c r="AO85" s="5"/>
      <c r="AP85" s="4"/>
      <c r="AQ85" s="5"/>
      <c r="AR85" s="4"/>
      <c r="AS85" s="5"/>
      <c r="AT85" s="46"/>
      <c r="AU85" s="56"/>
    </row>
    <row r="86" spans="2:47" ht="15.95" customHeight="1" x14ac:dyDescent="0.25">
      <c r="B86" s="55"/>
      <c r="C86" s="10" t="s">
        <v>227</v>
      </c>
      <c r="D86" s="11" t="s">
        <v>92</v>
      </c>
      <c r="E86" s="119"/>
      <c r="F86" s="191">
        <f>MAX(F66:G66)</f>
        <v>4.5308900955325564</v>
      </c>
      <c r="G86" s="192"/>
      <c r="H86" s="191">
        <f t="shared" ref="H86" si="92">MAX(H66:I66)</f>
        <v>0</v>
      </c>
      <c r="I86" s="192"/>
      <c r="J86" s="191">
        <f t="shared" ref="J86" si="93">MAX(J66:K66)</f>
        <v>0</v>
      </c>
      <c r="K86" s="192"/>
      <c r="L86" s="191">
        <f t="shared" ref="L86" si="94">MAX(L66:M66)</f>
        <v>0</v>
      </c>
      <c r="M86" s="192"/>
      <c r="N86" s="191">
        <f t="shared" ref="N86" si="95">MAX(N66:O66)</f>
        <v>0</v>
      </c>
      <c r="O86" s="192"/>
      <c r="P86" s="191">
        <f t="shared" ref="P86" si="96">MAX(P66:Q66)</f>
        <v>0</v>
      </c>
      <c r="Q86" s="192"/>
      <c r="R86" s="191">
        <f t="shared" ref="R86" si="97">MAX(R66:S66)</f>
        <v>0</v>
      </c>
      <c r="S86" s="192"/>
      <c r="T86" s="191">
        <f t="shared" ref="T86" si="98">MAX(T66:U66)</f>
        <v>0</v>
      </c>
      <c r="U86" s="192"/>
      <c r="V86" s="191">
        <f t="shared" ref="V86" si="99">MAX(V66:W66)</f>
        <v>0</v>
      </c>
      <c r="W86" s="192"/>
      <c r="X86" s="191">
        <f t="shared" ref="X86" si="100">MAX(X66:Y66)</f>
        <v>0</v>
      </c>
      <c r="Y86" s="192"/>
      <c r="Z86" s="191">
        <f t="shared" ref="Z86" si="101">MAX(Z66:AA66)</f>
        <v>0</v>
      </c>
      <c r="AA86" s="192"/>
      <c r="AB86" s="191">
        <f t="shared" ref="AB86" si="102">MAX(AB66:AC66)</f>
        <v>0</v>
      </c>
      <c r="AC86" s="192"/>
      <c r="AD86" s="191">
        <f t="shared" ref="AD86" si="103">MAX(AD66:AE66)</f>
        <v>0</v>
      </c>
      <c r="AE86" s="192"/>
      <c r="AF86" s="191">
        <f t="shared" ref="AF86" si="104">MAX(AF66:AG66)</f>
        <v>0</v>
      </c>
      <c r="AG86" s="192"/>
      <c r="AH86" s="191">
        <f t="shared" ref="AH86" si="105">MAX(AH66:AI66)</f>
        <v>0</v>
      </c>
      <c r="AI86" s="192"/>
      <c r="AJ86" s="191">
        <f t="shared" ref="AJ86" si="106">MAX(AJ66:AK66)</f>
        <v>0</v>
      </c>
      <c r="AK86" s="192"/>
      <c r="AL86" s="191">
        <f t="shared" ref="AL86" si="107">MAX(AL66:AM66)</f>
        <v>0</v>
      </c>
      <c r="AM86" s="192"/>
      <c r="AN86" s="191">
        <f t="shared" ref="AN86" si="108">MAX(AN66:AO66)</f>
        <v>0</v>
      </c>
      <c r="AO86" s="192"/>
      <c r="AP86" s="191">
        <f t="shared" ref="AP86" si="109">MAX(AP66:AQ66)</f>
        <v>0</v>
      </c>
      <c r="AQ86" s="192"/>
      <c r="AR86" s="191">
        <f t="shared" ref="AR86" si="110">MAX(AR66:AS66)</f>
        <v>0</v>
      </c>
      <c r="AS86" s="192"/>
      <c r="AT86" s="67">
        <f>SUMPRODUCT(F86:AS86,F7:AS7)/SUM(F7:AS7)</f>
        <v>4.5308900955325564</v>
      </c>
      <c r="AU86" s="56"/>
    </row>
    <row r="87" spans="2:47" x14ac:dyDescent="0.25">
      <c r="B87" s="55"/>
      <c r="C87" s="10"/>
      <c r="D87" s="11" t="s">
        <v>51</v>
      </c>
      <c r="E87" s="119"/>
      <c r="F87" s="184" t="str">
        <f>IF(F86&lt;=2,"A",IF(F86&lt;=2.75,"B",IF(F86&lt;=3.5,"C",IF(F86&lt;=4.25,"D",IF(F86&lt;=5,"E","F")))))</f>
        <v>E</v>
      </c>
      <c r="G87" s="185"/>
      <c r="H87" s="184" t="str">
        <f>IF(H86&lt;=2,"A",IF(H86&lt;=2.75,"B",IF(H86&lt;=3.5,"C",IF(H86&lt;=4.25,"D",IF(H86&lt;=5,"E","F")))))</f>
        <v>A</v>
      </c>
      <c r="I87" s="185"/>
      <c r="J87" s="184" t="str">
        <f t="shared" ref="J87" si="111">IF(J86&lt;=2,"A",IF(J86&lt;=2.75,"B",IF(J86&lt;=3.5,"C",IF(J86&lt;=4.25,"D",IF(J86&lt;=5,"E","F")))))</f>
        <v>A</v>
      </c>
      <c r="K87" s="185"/>
      <c r="L87" s="184" t="str">
        <f t="shared" ref="L87" si="112">IF(L86&lt;=2,"A",IF(L86&lt;=2.75,"B",IF(L86&lt;=3.5,"C",IF(L86&lt;=4.25,"D",IF(L86&lt;=5,"E","F")))))</f>
        <v>A</v>
      </c>
      <c r="M87" s="185"/>
      <c r="N87" s="184" t="str">
        <f t="shared" ref="N87" si="113">IF(N86&lt;=2,"A",IF(N86&lt;=2.75,"B",IF(N86&lt;=3.5,"C",IF(N86&lt;=4.25,"D",IF(N86&lt;=5,"E","F")))))</f>
        <v>A</v>
      </c>
      <c r="O87" s="185"/>
      <c r="P87" s="184" t="str">
        <f t="shared" ref="P87" si="114">IF(P86&lt;=2,"A",IF(P86&lt;=2.75,"B",IF(P86&lt;=3.5,"C",IF(P86&lt;=4.25,"D",IF(P86&lt;=5,"E","F")))))</f>
        <v>A</v>
      </c>
      <c r="Q87" s="185"/>
      <c r="R87" s="184" t="str">
        <f t="shared" ref="R87" si="115">IF(R86&lt;=2,"A",IF(R86&lt;=2.75,"B",IF(R86&lt;=3.5,"C",IF(R86&lt;=4.25,"D",IF(R86&lt;=5,"E","F")))))</f>
        <v>A</v>
      </c>
      <c r="S87" s="185"/>
      <c r="T87" s="184" t="str">
        <f t="shared" ref="T87" si="116">IF(T86&lt;=2,"A",IF(T86&lt;=2.75,"B",IF(T86&lt;=3.5,"C",IF(T86&lt;=4.25,"D",IF(T86&lt;=5,"E","F")))))</f>
        <v>A</v>
      </c>
      <c r="U87" s="185"/>
      <c r="V87" s="184" t="str">
        <f t="shared" ref="V87" si="117">IF(V86&lt;=2,"A",IF(V86&lt;=2.75,"B",IF(V86&lt;=3.5,"C",IF(V86&lt;=4.25,"D",IF(V86&lt;=5,"E","F")))))</f>
        <v>A</v>
      </c>
      <c r="W87" s="185"/>
      <c r="X87" s="184" t="str">
        <f t="shared" ref="X87" si="118">IF(X86&lt;=2,"A",IF(X86&lt;=2.75,"B",IF(X86&lt;=3.5,"C",IF(X86&lt;=4.25,"D",IF(X86&lt;=5,"E","F")))))</f>
        <v>A</v>
      </c>
      <c r="Y87" s="185"/>
      <c r="Z87" s="184" t="str">
        <f t="shared" ref="Z87" si="119">IF(Z86&lt;=2,"A",IF(Z86&lt;=2.75,"B",IF(Z86&lt;=3.5,"C",IF(Z86&lt;=4.25,"D",IF(Z86&lt;=5,"E","F")))))</f>
        <v>A</v>
      </c>
      <c r="AA87" s="185"/>
      <c r="AB87" s="184" t="str">
        <f t="shared" ref="AB87" si="120">IF(AB86&lt;=2,"A",IF(AB86&lt;=2.75,"B",IF(AB86&lt;=3.5,"C",IF(AB86&lt;=4.25,"D",IF(AB86&lt;=5,"E","F")))))</f>
        <v>A</v>
      </c>
      <c r="AC87" s="185"/>
      <c r="AD87" s="184" t="str">
        <f t="shared" ref="AD87" si="121">IF(AD86&lt;=2,"A",IF(AD86&lt;=2.75,"B",IF(AD86&lt;=3.5,"C",IF(AD86&lt;=4.25,"D",IF(AD86&lt;=5,"E","F")))))</f>
        <v>A</v>
      </c>
      <c r="AE87" s="185"/>
      <c r="AF87" s="184" t="str">
        <f t="shared" ref="AF87" si="122">IF(AF86&lt;=2,"A",IF(AF86&lt;=2.75,"B",IF(AF86&lt;=3.5,"C",IF(AF86&lt;=4.25,"D",IF(AF86&lt;=5,"E","F")))))</f>
        <v>A</v>
      </c>
      <c r="AG87" s="185"/>
      <c r="AH87" s="184" t="str">
        <f t="shared" ref="AH87" si="123">IF(AH86&lt;=2,"A",IF(AH86&lt;=2.75,"B",IF(AH86&lt;=3.5,"C",IF(AH86&lt;=4.25,"D",IF(AH86&lt;=5,"E","F")))))</f>
        <v>A</v>
      </c>
      <c r="AI87" s="185"/>
      <c r="AJ87" s="184" t="str">
        <f t="shared" ref="AJ87" si="124">IF(AJ86&lt;=2,"A",IF(AJ86&lt;=2.75,"B",IF(AJ86&lt;=3.5,"C",IF(AJ86&lt;=4.25,"D",IF(AJ86&lt;=5,"E","F")))))</f>
        <v>A</v>
      </c>
      <c r="AK87" s="185"/>
      <c r="AL87" s="184" t="str">
        <f t="shared" ref="AL87" si="125">IF(AL86&lt;=2,"A",IF(AL86&lt;=2.75,"B",IF(AL86&lt;=3.5,"C",IF(AL86&lt;=4.25,"D",IF(AL86&lt;=5,"E","F")))))</f>
        <v>A</v>
      </c>
      <c r="AM87" s="185"/>
      <c r="AN87" s="184" t="str">
        <f t="shared" ref="AN87" si="126">IF(AN86&lt;=2,"A",IF(AN86&lt;=2.75,"B",IF(AN86&lt;=3.5,"C",IF(AN86&lt;=4.25,"D",IF(AN86&lt;=5,"E","F")))))</f>
        <v>A</v>
      </c>
      <c r="AO87" s="185"/>
      <c r="AP87" s="184" t="str">
        <f t="shared" ref="AP87" si="127">IF(AP86&lt;=2,"A",IF(AP86&lt;=2.75,"B",IF(AP86&lt;=3.5,"C",IF(AP86&lt;=4.25,"D",IF(AP86&lt;=5,"E","F")))))</f>
        <v>A</v>
      </c>
      <c r="AQ87" s="185"/>
      <c r="AR87" s="184" t="str">
        <f t="shared" ref="AR87" si="128">IF(AR86&lt;=2,"A",IF(AR86&lt;=2.75,"B",IF(AR86&lt;=3.5,"C",IF(AR86&lt;=4.25,"D",IF(AR86&lt;=5,"E","F")))))</f>
        <v>A</v>
      </c>
      <c r="AS87" s="185"/>
      <c r="AT87" s="68" t="str">
        <f>IF(AT86&lt;=2,"A",IF(AT86&lt;=2.75,"B",IF(AT86&lt;=3.5,"C",IF(AT86&lt;=4.25,"D",IF(AT86&lt;=5,"E","F")))))</f>
        <v>E</v>
      </c>
      <c r="AU87" s="56"/>
    </row>
    <row r="88" spans="2:47" x14ac:dyDescent="0.25">
      <c r="B88" s="55"/>
      <c r="C88" s="4"/>
      <c r="D88" s="8" t="s">
        <v>21</v>
      </c>
      <c r="E88" s="78"/>
      <c r="F88" s="4"/>
      <c r="G88" s="5"/>
      <c r="H88" s="4"/>
      <c r="I88" s="5"/>
      <c r="J88" s="4"/>
      <c r="K88" s="5"/>
      <c r="L88" s="4"/>
      <c r="M88" s="5"/>
      <c r="N88" s="4"/>
      <c r="O88" s="5"/>
      <c r="P88" s="4"/>
      <c r="Q88" s="5"/>
      <c r="R88" s="4"/>
      <c r="S88" s="5"/>
      <c r="T88" s="4"/>
      <c r="U88" s="5"/>
      <c r="V88" s="4"/>
      <c r="W88" s="5"/>
      <c r="X88" s="4"/>
      <c r="Y88" s="5"/>
      <c r="Z88" s="4"/>
      <c r="AA88" s="5"/>
      <c r="AB88" s="4"/>
      <c r="AC88" s="5"/>
      <c r="AD88" s="4"/>
      <c r="AE88" s="5"/>
      <c r="AF88" s="4"/>
      <c r="AG88" s="5"/>
      <c r="AH88" s="4"/>
      <c r="AI88" s="5"/>
      <c r="AJ88" s="4"/>
      <c r="AK88" s="5"/>
      <c r="AL88" s="4"/>
      <c r="AM88" s="5"/>
      <c r="AN88" s="4"/>
      <c r="AO88" s="5"/>
      <c r="AP88" s="4"/>
      <c r="AQ88" s="5"/>
      <c r="AR88" s="4"/>
      <c r="AS88" s="5"/>
      <c r="AT88" s="46"/>
      <c r="AU88" s="56"/>
    </row>
    <row r="89" spans="2:47" ht="14.25" x14ac:dyDescent="0.25">
      <c r="B89" s="55"/>
      <c r="C89" s="112" t="s">
        <v>228</v>
      </c>
      <c r="D89" s="113" t="s">
        <v>94</v>
      </c>
      <c r="E89" s="119"/>
      <c r="F89" s="191">
        <f>IF(AND(F38="Yes",G38="Yes"),MAX(F78:G78), IF(F38="Yes",F78,IF(G38="Yes", G78,0)))</f>
        <v>2.3438381097591807</v>
      </c>
      <c r="G89" s="193"/>
      <c r="H89" s="191">
        <f>IF(AND(H38="Yes",I38="Yes"),MAX(H78:I78), IF(H38="Yes",H78,IF(I38="Yes", I78,0)))</f>
        <v>0</v>
      </c>
      <c r="I89" s="193"/>
      <c r="J89" s="191">
        <f>IF(AND(J38="Yes",K38="Yes"),MAX(J78:K78), IF(J38="Yes",J78,IF(K38="Yes", K78,0)))</f>
        <v>0</v>
      </c>
      <c r="K89" s="193"/>
      <c r="L89" s="191">
        <f>IF(AND(L38="Yes",M38="Yes"),MAX(L78:M78), IF(L38="Yes",L78,IF(M38="Yes", M78,0)))</f>
        <v>0</v>
      </c>
      <c r="M89" s="193"/>
      <c r="N89" s="191">
        <f>IF(AND(N38="Yes",O38="Yes"),MAX(N78:O78), IF(N38="Yes",N78,IF(O38="Yes", O78,0)))</f>
        <v>0</v>
      </c>
      <c r="O89" s="193"/>
      <c r="P89" s="191">
        <f>IF(AND(P38="Yes",Q38="Yes"),MAX(P78:Q78), IF(P38="Yes",P78,IF(Q38="Yes", Q78,0)))</f>
        <v>0</v>
      </c>
      <c r="Q89" s="193"/>
      <c r="R89" s="191">
        <f>IF(AND(R38="Yes",S38="Yes"),MAX(R78:S78), IF(R38="Yes",R78,IF(S38="Yes", S78,0)))</f>
        <v>0</v>
      </c>
      <c r="S89" s="193"/>
      <c r="T89" s="191">
        <f>IF(AND(T38="Yes",U38="Yes"),MAX(T78:U78), IF(T38="Yes",T78,IF(U38="Yes", U78,0)))</f>
        <v>0</v>
      </c>
      <c r="U89" s="193"/>
      <c r="V89" s="191">
        <f>IF(AND(V38="Yes",W38="Yes"),MAX(V78:W78), IF(V38="Yes",V78,IF(W38="Yes", W78,0)))</f>
        <v>0</v>
      </c>
      <c r="W89" s="193"/>
      <c r="X89" s="191">
        <f>IF(AND(X38="Yes",Y38="Yes"),MAX(X78:Y78), IF(X38="Yes",X78,IF(Y38="Yes", Y78,0)))</f>
        <v>0</v>
      </c>
      <c r="Y89" s="193"/>
      <c r="Z89" s="191">
        <f>IF(AND(Z38="Yes",AA38="Yes"),MAX(Z78:AA78), IF(Z38="Yes",Z78,IF(AA38="Yes", AA78,0)))</f>
        <v>0</v>
      </c>
      <c r="AA89" s="193"/>
      <c r="AB89" s="191">
        <f>IF(AND(AB38="Yes",AC38="Yes"),MAX(AB78:AC78), IF(AB38="Yes",AB78,IF(AC38="Yes", AC78,0)))</f>
        <v>0</v>
      </c>
      <c r="AC89" s="193"/>
      <c r="AD89" s="191">
        <f>IF(AND(AD38="Yes",AE38="Yes"),MAX(AD78:AE78), IF(AD38="Yes",AD78,IF(AE38="Yes", AE78,0)))</f>
        <v>0</v>
      </c>
      <c r="AE89" s="193"/>
      <c r="AF89" s="191">
        <f>IF(AND(AF38="Yes",AG38="Yes"),MAX(AF78:AG78), IF(AF38="Yes",AF78,IF(AG38="Yes", AG78,0)))</f>
        <v>0</v>
      </c>
      <c r="AG89" s="193"/>
      <c r="AH89" s="191">
        <f>IF(AND(AH38="Yes",AI38="Yes"),MAX(AH78:AI78), IF(AH38="Yes",AH78,IF(AI38="Yes", AI78,0)))</f>
        <v>0</v>
      </c>
      <c r="AI89" s="193"/>
      <c r="AJ89" s="191">
        <f>IF(AND(AJ38="Yes",AK38="Yes"),MAX(AJ78:AK78), IF(AJ38="Yes",AJ78,IF(AK38="Yes", AK78,0)))</f>
        <v>0</v>
      </c>
      <c r="AK89" s="193"/>
      <c r="AL89" s="191">
        <f>IF(AND(AL38="Yes",AM38="Yes"),MAX(AL78:AM78), IF(AL38="Yes",AL78,IF(AM38="Yes", AM78,0)))</f>
        <v>0</v>
      </c>
      <c r="AM89" s="193"/>
      <c r="AN89" s="191">
        <f>IF(AND(AN38="Yes",AO38="Yes"),MAX(AN78:AO78), IF(AN38="Yes",AN78,IF(AO38="Yes", AO78,0)))</f>
        <v>0</v>
      </c>
      <c r="AO89" s="193"/>
      <c r="AP89" s="191">
        <f>IF(AND(AP38="Yes",AQ38="Yes"),MAX(AP78:AQ78), IF(AP38="Yes",AP78,IF(AQ38="Yes", AQ78,0)))</f>
        <v>0</v>
      </c>
      <c r="AQ89" s="193"/>
      <c r="AR89" s="191">
        <f>IF(AND(AR38="Yes",AS38="Yes"),MAX(AR78:AS78), IF(AR38="Yes",AR78,IF(AS38="Yes", AS78,0)))</f>
        <v>0</v>
      </c>
      <c r="AS89" s="193"/>
      <c r="AT89" s="67">
        <f>SUMPRODUCT(F89:AS89,F7:AS7)/SUM(F7:AS7)</f>
        <v>2.3438381097591807</v>
      </c>
      <c r="AU89" s="56"/>
    </row>
    <row r="90" spans="2:47" ht="13.5" thickBot="1" x14ac:dyDescent="0.3">
      <c r="B90" s="55"/>
      <c r="C90" s="10"/>
      <c r="D90" s="11" t="s">
        <v>52</v>
      </c>
      <c r="E90" s="119"/>
      <c r="F90" s="184" t="str">
        <f>IF(F89&lt;=2,"A",IF(F89&lt;=2.75,"B",IF(F89&lt;=3.5,"C",IF(F89&lt;=4.25,"D",IF(F89&lt;=5,"E","F")))))</f>
        <v>B</v>
      </c>
      <c r="G90" s="185"/>
      <c r="H90" s="184" t="str">
        <f>IF(H89&lt;=2,"A",IF(H89&lt;=2.75,"B",IF(H89&lt;=3.5,"C",IF(H89&lt;=4.25,"D",IF(H89&lt;=5,"E","F")))))</f>
        <v>A</v>
      </c>
      <c r="I90" s="185"/>
      <c r="J90" s="184" t="str">
        <f t="shared" ref="J90" si="129">IF(J89&lt;=2,"A",IF(J89&lt;=2.75,"B",IF(J89&lt;=3.5,"C",IF(J89&lt;=4.25,"D",IF(J89&lt;=5,"E","F")))))</f>
        <v>A</v>
      </c>
      <c r="K90" s="185"/>
      <c r="L90" s="184" t="str">
        <f t="shared" ref="L90" si="130">IF(L89&lt;=2,"A",IF(L89&lt;=2.75,"B",IF(L89&lt;=3.5,"C",IF(L89&lt;=4.25,"D",IF(L89&lt;=5,"E","F")))))</f>
        <v>A</v>
      </c>
      <c r="M90" s="185"/>
      <c r="N90" s="184" t="str">
        <f t="shared" ref="N90" si="131">IF(N89&lt;=2,"A",IF(N89&lt;=2.75,"B",IF(N89&lt;=3.5,"C",IF(N89&lt;=4.25,"D",IF(N89&lt;=5,"E","F")))))</f>
        <v>A</v>
      </c>
      <c r="O90" s="185"/>
      <c r="P90" s="184" t="str">
        <f t="shared" ref="P90" si="132">IF(P89&lt;=2,"A",IF(P89&lt;=2.75,"B",IF(P89&lt;=3.5,"C",IF(P89&lt;=4.25,"D",IF(P89&lt;=5,"E","F")))))</f>
        <v>A</v>
      </c>
      <c r="Q90" s="185"/>
      <c r="R90" s="184" t="str">
        <f t="shared" ref="R90" si="133">IF(R89&lt;=2,"A",IF(R89&lt;=2.75,"B",IF(R89&lt;=3.5,"C",IF(R89&lt;=4.25,"D",IF(R89&lt;=5,"E","F")))))</f>
        <v>A</v>
      </c>
      <c r="S90" s="185"/>
      <c r="T90" s="184" t="str">
        <f t="shared" ref="T90" si="134">IF(T89&lt;=2,"A",IF(T89&lt;=2.75,"B",IF(T89&lt;=3.5,"C",IF(T89&lt;=4.25,"D",IF(T89&lt;=5,"E","F")))))</f>
        <v>A</v>
      </c>
      <c r="U90" s="185"/>
      <c r="V90" s="184" t="str">
        <f t="shared" ref="V90" si="135">IF(V89&lt;=2,"A",IF(V89&lt;=2.75,"B",IF(V89&lt;=3.5,"C",IF(V89&lt;=4.25,"D",IF(V89&lt;=5,"E","F")))))</f>
        <v>A</v>
      </c>
      <c r="W90" s="185"/>
      <c r="X90" s="184" t="str">
        <f t="shared" ref="X90" si="136">IF(X89&lt;=2,"A",IF(X89&lt;=2.75,"B",IF(X89&lt;=3.5,"C",IF(X89&lt;=4.25,"D",IF(X89&lt;=5,"E","F")))))</f>
        <v>A</v>
      </c>
      <c r="Y90" s="185"/>
      <c r="Z90" s="184" t="str">
        <f t="shared" ref="Z90" si="137">IF(Z89&lt;=2,"A",IF(Z89&lt;=2.75,"B",IF(Z89&lt;=3.5,"C",IF(Z89&lt;=4.25,"D",IF(Z89&lt;=5,"E","F")))))</f>
        <v>A</v>
      </c>
      <c r="AA90" s="185"/>
      <c r="AB90" s="184" t="str">
        <f t="shared" ref="AB90" si="138">IF(AB89&lt;=2,"A",IF(AB89&lt;=2.75,"B",IF(AB89&lt;=3.5,"C",IF(AB89&lt;=4.25,"D",IF(AB89&lt;=5,"E","F")))))</f>
        <v>A</v>
      </c>
      <c r="AC90" s="185"/>
      <c r="AD90" s="184" t="str">
        <f t="shared" ref="AD90" si="139">IF(AD89&lt;=2,"A",IF(AD89&lt;=2.75,"B",IF(AD89&lt;=3.5,"C",IF(AD89&lt;=4.25,"D",IF(AD89&lt;=5,"E","F")))))</f>
        <v>A</v>
      </c>
      <c r="AE90" s="185"/>
      <c r="AF90" s="184" t="str">
        <f t="shared" ref="AF90" si="140">IF(AF89&lt;=2,"A",IF(AF89&lt;=2.75,"B",IF(AF89&lt;=3.5,"C",IF(AF89&lt;=4.25,"D",IF(AF89&lt;=5,"E","F")))))</f>
        <v>A</v>
      </c>
      <c r="AG90" s="185"/>
      <c r="AH90" s="184" t="str">
        <f t="shared" ref="AH90" si="141">IF(AH89&lt;=2,"A",IF(AH89&lt;=2.75,"B",IF(AH89&lt;=3.5,"C",IF(AH89&lt;=4.25,"D",IF(AH89&lt;=5,"E","F")))))</f>
        <v>A</v>
      </c>
      <c r="AI90" s="185"/>
      <c r="AJ90" s="184" t="str">
        <f t="shared" ref="AJ90" si="142">IF(AJ89&lt;=2,"A",IF(AJ89&lt;=2.75,"B",IF(AJ89&lt;=3.5,"C",IF(AJ89&lt;=4.25,"D",IF(AJ89&lt;=5,"E","F")))))</f>
        <v>A</v>
      </c>
      <c r="AK90" s="185"/>
      <c r="AL90" s="184" t="str">
        <f t="shared" ref="AL90" si="143">IF(AL89&lt;=2,"A",IF(AL89&lt;=2.75,"B",IF(AL89&lt;=3.5,"C",IF(AL89&lt;=4.25,"D",IF(AL89&lt;=5,"E","F")))))</f>
        <v>A</v>
      </c>
      <c r="AM90" s="185"/>
      <c r="AN90" s="184" t="str">
        <f t="shared" ref="AN90" si="144">IF(AN89&lt;=2,"A",IF(AN89&lt;=2.75,"B",IF(AN89&lt;=3.5,"C",IF(AN89&lt;=4.25,"D",IF(AN89&lt;=5,"E","F")))))</f>
        <v>A</v>
      </c>
      <c r="AO90" s="185"/>
      <c r="AP90" s="184" t="str">
        <f t="shared" ref="AP90" si="145">IF(AP89&lt;=2,"A",IF(AP89&lt;=2.75,"B",IF(AP89&lt;=3.5,"C",IF(AP89&lt;=4.25,"D",IF(AP89&lt;=5,"E","F")))))</f>
        <v>A</v>
      </c>
      <c r="AQ90" s="185"/>
      <c r="AR90" s="184" t="str">
        <f t="shared" ref="AR90" si="146">IF(AR89&lt;=2,"A",IF(AR89&lt;=2.75,"B",IF(AR89&lt;=3.5,"C",IF(AR89&lt;=4.25,"D",IF(AR89&lt;=5,"E","F")))))</f>
        <v>A</v>
      </c>
      <c r="AS90" s="185"/>
      <c r="AT90" s="69" t="str">
        <f>IF(AT89&lt;=2,"A",IF(AT89&lt;=2.75,"B",IF(AT89&lt;=3.5,"C",IF(AT89&lt;=4.25,"D",IF(AT89&lt;=5,"E","F")))))</f>
        <v>B</v>
      </c>
      <c r="AU90" s="56"/>
    </row>
    <row r="91" spans="2:47" ht="13.5" thickBot="1" x14ac:dyDescent="0.3">
      <c r="B91" s="63"/>
      <c r="C91" s="30"/>
      <c r="D91" s="64"/>
      <c r="E91" s="64"/>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c r="AN91" s="30"/>
      <c r="AO91" s="30"/>
      <c r="AP91" s="30"/>
      <c r="AQ91" s="30"/>
      <c r="AR91" s="30"/>
      <c r="AS91" s="30"/>
      <c r="AT91" s="64"/>
      <c r="AU91" s="65"/>
    </row>
    <row r="93" spans="2:47" ht="15.75" x14ac:dyDescent="0.25">
      <c r="C93" s="21" t="s">
        <v>208</v>
      </c>
      <c r="D93" s="20" t="s">
        <v>211</v>
      </c>
    </row>
    <row r="94" spans="2:47" ht="15.75" x14ac:dyDescent="0.25">
      <c r="C94" s="21" t="s">
        <v>209</v>
      </c>
      <c r="D94" s="20" t="s">
        <v>212</v>
      </c>
    </row>
    <row r="95" spans="2:47" ht="15.75" x14ac:dyDescent="0.25">
      <c r="C95" s="21" t="s">
        <v>210</v>
      </c>
      <c r="D95" s="20" t="s">
        <v>215</v>
      </c>
    </row>
    <row r="96" spans="2:47" ht="12.95" customHeight="1" x14ac:dyDescent="0.25">
      <c r="C96" s="21" t="s">
        <v>217</v>
      </c>
      <c r="D96" s="189" t="s">
        <v>218</v>
      </c>
      <c r="E96" s="117"/>
    </row>
    <row r="97" spans="3:5" x14ac:dyDescent="0.25">
      <c r="D97" s="189"/>
      <c r="E97" s="117"/>
    </row>
    <row r="98" spans="3:5" x14ac:dyDescent="0.25">
      <c r="D98" s="189"/>
      <c r="E98" s="117"/>
    </row>
    <row r="99" spans="3:5" ht="25.5" x14ac:dyDescent="0.25">
      <c r="C99" s="150" t="s">
        <v>245</v>
      </c>
      <c r="D99" s="152" t="s">
        <v>247</v>
      </c>
      <c r="E99" s="149"/>
    </row>
    <row r="100" spans="3:5" x14ac:dyDescent="0.25">
      <c r="D100" s="149"/>
      <c r="E100" s="149"/>
    </row>
    <row r="102" spans="3:5" ht="13.5" x14ac:dyDescent="0.25">
      <c r="C102" s="196" t="s">
        <v>232</v>
      </c>
      <c r="D102" s="196"/>
    </row>
  </sheetData>
  <mergeCells count="228">
    <mergeCell ref="C102:D102"/>
    <mergeCell ref="H81:I81"/>
    <mergeCell ref="H83:I83"/>
    <mergeCell ref="H84:I84"/>
    <mergeCell ref="H86:I86"/>
    <mergeCell ref="F6:G6"/>
    <mergeCell ref="H3:I3"/>
    <mergeCell ref="C3:D4"/>
    <mergeCell ref="F3:G3"/>
    <mergeCell ref="F7:G7"/>
    <mergeCell ref="C6:D6"/>
    <mergeCell ref="H6:I6"/>
    <mergeCell ref="H7:I7"/>
    <mergeCell ref="E3:E4"/>
    <mergeCell ref="F90:G90"/>
    <mergeCell ref="C40:D40"/>
    <mergeCell ref="F40:G40"/>
    <mergeCell ref="C81:D81"/>
    <mergeCell ref="F81:G81"/>
    <mergeCell ref="F86:G86"/>
    <mergeCell ref="F89:G89"/>
    <mergeCell ref="F84:G84"/>
    <mergeCell ref="F83:G83"/>
    <mergeCell ref="F87:G87"/>
    <mergeCell ref="J87:K87"/>
    <mergeCell ref="J89:K89"/>
    <mergeCell ref="J90:K90"/>
    <mergeCell ref="L3:M3"/>
    <mergeCell ref="L6:M6"/>
    <mergeCell ref="L7:M7"/>
    <mergeCell ref="L40:M40"/>
    <mergeCell ref="L81:M81"/>
    <mergeCell ref="L83:M83"/>
    <mergeCell ref="L84:M84"/>
    <mergeCell ref="J3:K3"/>
    <mergeCell ref="J6:K6"/>
    <mergeCell ref="J7:K7"/>
    <mergeCell ref="J40:K40"/>
    <mergeCell ref="J81:K81"/>
    <mergeCell ref="J83:K83"/>
    <mergeCell ref="J84:K84"/>
    <mergeCell ref="J86:K86"/>
    <mergeCell ref="H89:I89"/>
    <mergeCell ref="H90:I90"/>
    <mergeCell ref="H87:I87"/>
    <mergeCell ref="H40:I40"/>
    <mergeCell ref="P3:Q3"/>
    <mergeCell ref="P6:Q6"/>
    <mergeCell ref="P7:Q7"/>
    <mergeCell ref="P40:Q40"/>
    <mergeCell ref="P81:Q81"/>
    <mergeCell ref="L86:M86"/>
    <mergeCell ref="L87:M87"/>
    <mergeCell ref="L89:M89"/>
    <mergeCell ref="L90:M90"/>
    <mergeCell ref="N3:O3"/>
    <mergeCell ref="N6:O6"/>
    <mergeCell ref="N7:O7"/>
    <mergeCell ref="N40:O40"/>
    <mergeCell ref="N81:O81"/>
    <mergeCell ref="N83:O83"/>
    <mergeCell ref="P83:Q83"/>
    <mergeCell ref="P84:Q84"/>
    <mergeCell ref="P86:Q86"/>
    <mergeCell ref="P87:Q87"/>
    <mergeCell ref="P89:Q89"/>
    <mergeCell ref="P90:Q90"/>
    <mergeCell ref="N84:O84"/>
    <mergeCell ref="N86:O86"/>
    <mergeCell ref="N87:O87"/>
    <mergeCell ref="N89:O89"/>
    <mergeCell ref="N90:O90"/>
    <mergeCell ref="T3:U3"/>
    <mergeCell ref="T6:U6"/>
    <mergeCell ref="T7:U7"/>
    <mergeCell ref="T40:U40"/>
    <mergeCell ref="T81:U81"/>
    <mergeCell ref="R3:S3"/>
    <mergeCell ref="R6:S6"/>
    <mergeCell ref="R7:S7"/>
    <mergeCell ref="R40:S40"/>
    <mergeCell ref="R81:S81"/>
    <mergeCell ref="T83:U83"/>
    <mergeCell ref="T84:U84"/>
    <mergeCell ref="T86:U86"/>
    <mergeCell ref="T87:U87"/>
    <mergeCell ref="T89:U89"/>
    <mergeCell ref="T90:U90"/>
    <mergeCell ref="R84:S84"/>
    <mergeCell ref="R86:S86"/>
    <mergeCell ref="R87:S87"/>
    <mergeCell ref="R89:S89"/>
    <mergeCell ref="R90:S90"/>
    <mergeCell ref="R83:S83"/>
    <mergeCell ref="X3:Y3"/>
    <mergeCell ref="X6:Y6"/>
    <mergeCell ref="X7:Y7"/>
    <mergeCell ref="X40:Y40"/>
    <mergeCell ref="X81:Y81"/>
    <mergeCell ref="V3:W3"/>
    <mergeCell ref="V6:W6"/>
    <mergeCell ref="V7:W7"/>
    <mergeCell ref="V40:W40"/>
    <mergeCell ref="V81:W81"/>
    <mergeCell ref="X83:Y83"/>
    <mergeCell ref="X84:Y84"/>
    <mergeCell ref="X86:Y86"/>
    <mergeCell ref="X87:Y87"/>
    <mergeCell ref="X89:Y89"/>
    <mergeCell ref="X90:Y90"/>
    <mergeCell ref="V84:W84"/>
    <mergeCell ref="V86:W86"/>
    <mergeCell ref="V87:W87"/>
    <mergeCell ref="V89:W89"/>
    <mergeCell ref="V90:W90"/>
    <mergeCell ref="V83:W83"/>
    <mergeCell ref="AB3:AC3"/>
    <mergeCell ref="AB6:AC6"/>
    <mergeCell ref="AB7:AC7"/>
    <mergeCell ref="AB40:AC40"/>
    <mergeCell ref="AB81:AC81"/>
    <mergeCell ref="Z3:AA3"/>
    <mergeCell ref="Z6:AA6"/>
    <mergeCell ref="Z7:AA7"/>
    <mergeCell ref="Z40:AA40"/>
    <mergeCell ref="Z81:AA81"/>
    <mergeCell ref="AB83:AC83"/>
    <mergeCell ref="AB84:AC84"/>
    <mergeCell ref="AB86:AC86"/>
    <mergeCell ref="AB87:AC87"/>
    <mergeCell ref="AB89:AC89"/>
    <mergeCell ref="AB90:AC90"/>
    <mergeCell ref="Z84:AA84"/>
    <mergeCell ref="Z86:AA86"/>
    <mergeCell ref="Z87:AA87"/>
    <mergeCell ref="Z89:AA89"/>
    <mergeCell ref="Z90:AA90"/>
    <mergeCell ref="Z83:AA83"/>
    <mergeCell ref="AF3:AG3"/>
    <mergeCell ref="AF6:AG6"/>
    <mergeCell ref="AF7:AG7"/>
    <mergeCell ref="AF40:AG40"/>
    <mergeCell ref="AF81:AG81"/>
    <mergeCell ref="AD3:AE3"/>
    <mergeCell ref="AD6:AE6"/>
    <mergeCell ref="AD7:AE7"/>
    <mergeCell ref="AD40:AE40"/>
    <mergeCell ref="AD81:AE81"/>
    <mergeCell ref="AF83:AG83"/>
    <mergeCell ref="AF84:AG84"/>
    <mergeCell ref="AF86:AG86"/>
    <mergeCell ref="AF87:AG87"/>
    <mergeCell ref="AF89:AG89"/>
    <mergeCell ref="AF90:AG90"/>
    <mergeCell ref="AD84:AE84"/>
    <mergeCell ref="AD86:AE86"/>
    <mergeCell ref="AD87:AE87"/>
    <mergeCell ref="AD89:AE89"/>
    <mergeCell ref="AD90:AE90"/>
    <mergeCell ref="AD83:AE83"/>
    <mergeCell ref="AJ3:AK3"/>
    <mergeCell ref="AJ6:AK6"/>
    <mergeCell ref="AJ7:AK7"/>
    <mergeCell ref="AJ40:AK40"/>
    <mergeCell ref="AJ81:AK81"/>
    <mergeCell ref="AH3:AI3"/>
    <mergeCell ref="AH6:AI6"/>
    <mergeCell ref="AH7:AI7"/>
    <mergeCell ref="AH40:AI40"/>
    <mergeCell ref="AH81:AI81"/>
    <mergeCell ref="AJ83:AK83"/>
    <mergeCell ref="AJ84:AK84"/>
    <mergeCell ref="AJ86:AK86"/>
    <mergeCell ref="AJ87:AK87"/>
    <mergeCell ref="AJ89:AK89"/>
    <mergeCell ref="AJ90:AK90"/>
    <mergeCell ref="AH84:AI84"/>
    <mergeCell ref="AH86:AI86"/>
    <mergeCell ref="AH87:AI87"/>
    <mergeCell ref="AH89:AI89"/>
    <mergeCell ref="AH90:AI90"/>
    <mergeCell ref="AH83:AI83"/>
    <mergeCell ref="AN3:AO3"/>
    <mergeCell ref="AN6:AO6"/>
    <mergeCell ref="AN7:AO7"/>
    <mergeCell ref="AN40:AO40"/>
    <mergeCell ref="AN81:AO81"/>
    <mergeCell ref="AL3:AM3"/>
    <mergeCell ref="AL6:AM6"/>
    <mergeCell ref="AL7:AM7"/>
    <mergeCell ref="AL40:AM40"/>
    <mergeCell ref="AL81:AM81"/>
    <mergeCell ref="AN83:AO83"/>
    <mergeCell ref="AN84:AO84"/>
    <mergeCell ref="AN86:AO86"/>
    <mergeCell ref="AN87:AO87"/>
    <mergeCell ref="AN89:AO89"/>
    <mergeCell ref="AN90:AO90"/>
    <mergeCell ref="AL84:AM84"/>
    <mergeCell ref="AL86:AM86"/>
    <mergeCell ref="AL87:AM87"/>
    <mergeCell ref="AL89:AM89"/>
    <mergeCell ref="AL90:AM90"/>
    <mergeCell ref="AL83:AM83"/>
    <mergeCell ref="D96:D98"/>
    <mergeCell ref="AT3:AT4"/>
    <mergeCell ref="AR83:AS83"/>
    <mergeCell ref="AR84:AS84"/>
    <mergeCell ref="AR86:AS86"/>
    <mergeCell ref="AR87:AS87"/>
    <mergeCell ref="AR89:AS89"/>
    <mergeCell ref="AR90:AS90"/>
    <mergeCell ref="AP84:AQ84"/>
    <mergeCell ref="AP86:AQ86"/>
    <mergeCell ref="AP87:AQ87"/>
    <mergeCell ref="AP89:AQ89"/>
    <mergeCell ref="AP90:AQ90"/>
    <mergeCell ref="AR3:AS3"/>
    <mergeCell ref="AR6:AS6"/>
    <mergeCell ref="AR7:AS7"/>
    <mergeCell ref="AR40:AS40"/>
    <mergeCell ref="AR81:AS81"/>
    <mergeCell ref="AP3:AQ3"/>
    <mergeCell ref="AP6:AQ6"/>
    <mergeCell ref="AP7:AQ7"/>
    <mergeCell ref="AP40:AQ40"/>
    <mergeCell ref="AP81:AQ81"/>
    <mergeCell ref="AP83:AQ83"/>
  </mergeCells>
  <dataValidations count="3">
    <dataValidation type="list" allowBlank="1" showInputMessage="1" showErrorMessage="1" sqref="F35:AS35 E38:AS38 F22:AS27 E27 E22" xr:uid="{00000000-0002-0000-0100-000000000000}">
      <formula1>"Yes,No"</formula1>
    </dataValidation>
    <dataValidation type="decimal" operator="greaterThanOrEqual" allowBlank="1" showInputMessage="1" showErrorMessage="1" sqref="F13:AS15"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78"/>
  <sheetViews>
    <sheetView tabSelected="1" view="pageBreakPreview" topLeftCell="A3" zoomScaleNormal="162" zoomScaleSheetLayoutView="100" zoomScalePageLayoutView="120" workbookViewId="0">
      <pane xSplit="5" ySplit="3" topLeftCell="F6" activePane="bottomRight" state="frozenSplit"/>
      <selection activeCell="A3" sqref="A3"/>
      <selection pane="topRight" activeCell="F3" sqref="F3"/>
      <selection pane="bottomLeft" activeCell="A6" sqref="A6"/>
      <selection pane="bottomRight" activeCell="F9" sqref="F9"/>
    </sheetView>
  </sheetViews>
  <sheetFormatPr defaultColWidth="10.875" defaultRowHeight="13.5" x14ac:dyDescent="0.25"/>
  <cols>
    <col min="1" max="2" width="3.375" style="20" customWidth="1"/>
    <col min="3" max="3" width="5.5" style="23" bestFit="1" customWidth="1"/>
    <col min="4" max="4" width="64" style="20" bestFit="1" customWidth="1"/>
    <col min="5" max="5" width="8" style="134"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182" t="s">
        <v>68</v>
      </c>
      <c r="D3" s="183"/>
      <c r="E3" s="197" t="s">
        <v>231</v>
      </c>
      <c r="F3" s="182" t="s">
        <v>145</v>
      </c>
      <c r="G3" s="183"/>
      <c r="H3" s="183"/>
      <c r="I3" s="188"/>
      <c r="J3" s="182" t="s">
        <v>179</v>
      </c>
      <c r="K3" s="183"/>
      <c r="L3" s="183"/>
      <c r="M3" s="188"/>
      <c r="N3" s="182" t="s">
        <v>180</v>
      </c>
      <c r="O3" s="183"/>
      <c r="P3" s="183"/>
      <c r="Q3" s="188"/>
      <c r="R3" s="182" t="s">
        <v>181</v>
      </c>
      <c r="S3" s="183"/>
      <c r="T3" s="183"/>
      <c r="U3" s="188"/>
      <c r="V3" s="182" t="s">
        <v>182</v>
      </c>
      <c r="W3" s="183"/>
      <c r="X3" s="183"/>
      <c r="Y3" s="188"/>
      <c r="Z3" s="182" t="s">
        <v>183</v>
      </c>
      <c r="AA3" s="183"/>
      <c r="AB3" s="183"/>
      <c r="AC3" s="188"/>
      <c r="AD3" s="182" t="s">
        <v>184</v>
      </c>
      <c r="AE3" s="183"/>
      <c r="AF3" s="183"/>
      <c r="AG3" s="188"/>
      <c r="AH3" s="182" t="s">
        <v>185</v>
      </c>
      <c r="AI3" s="183"/>
      <c r="AJ3" s="183"/>
      <c r="AK3" s="188"/>
      <c r="AL3" s="182" t="s">
        <v>186</v>
      </c>
      <c r="AM3" s="183"/>
      <c r="AN3" s="183"/>
      <c r="AO3" s="188"/>
      <c r="AP3" s="182" t="s">
        <v>187</v>
      </c>
      <c r="AQ3" s="183"/>
      <c r="AR3" s="183"/>
      <c r="AS3" s="188"/>
      <c r="AT3" s="182" t="s">
        <v>188</v>
      </c>
      <c r="AU3" s="183"/>
      <c r="AV3" s="183"/>
      <c r="AW3" s="188"/>
      <c r="AX3" s="182" t="s">
        <v>189</v>
      </c>
      <c r="AY3" s="183"/>
      <c r="AZ3" s="183"/>
      <c r="BA3" s="188"/>
      <c r="BB3" s="182" t="s">
        <v>190</v>
      </c>
      <c r="BC3" s="183"/>
      <c r="BD3" s="183"/>
      <c r="BE3" s="188"/>
      <c r="BF3" s="182" t="s">
        <v>191</v>
      </c>
      <c r="BG3" s="183"/>
      <c r="BH3" s="183"/>
      <c r="BI3" s="188"/>
      <c r="BJ3" s="182" t="s">
        <v>192</v>
      </c>
      <c r="BK3" s="183"/>
      <c r="BL3" s="183"/>
      <c r="BM3" s="188"/>
      <c r="BN3" s="182" t="s">
        <v>193</v>
      </c>
      <c r="BO3" s="183"/>
      <c r="BP3" s="183"/>
      <c r="BQ3" s="188"/>
      <c r="BR3" s="182" t="s">
        <v>194</v>
      </c>
      <c r="BS3" s="183"/>
      <c r="BT3" s="183"/>
      <c r="BU3" s="188"/>
      <c r="BV3" s="182" t="s">
        <v>195</v>
      </c>
      <c r="BW3" s="183"/>
      <c r="BX3" s="183"/>
      <c r="BY3" s="188"/>
      <c r="BZ3" s="182" t="s">
        <v>196</v>
      </c>
      <c r="CA3" s="183"/>
      <c r="CB3" s="183"/>
      <c r="CC3" s="188"/>
      <c r="CD3" s="182" t="s">
        <v>197</v>
      </c>
      <c r="CE3" s="183"/>
      <c r="CF3" s="183"/>
      <c r="CG3" s="188"/>
      <c r="CH3" s="182" t="s">
        <v>198</v>
      </c>
      <c r="CI3" s="183"/>
      <c r="CJ3" s="183"/>
      <c r="CK3" s="188"/>
      <c r="CL3" s="199" t="s">
        <v>199</v>
      </c>
      <c r="CM3" s="56"/>
    </row>
    <row r="4" spans="1:91" ht="12.95" customHeight="1" x14ac:dyDescent="0.25">
      <c r="A4" s="21"/>
      <c r="B4" s="57"/>
      <c r="C4" s="182"/>
      <c r="D4" s="183"/>
      <c r="E4" s="197"/>
      <c r="F4" s="1" t="s">
        <v>66</v>
      </c>
      <c r="G4" s="89" t="s">
        <v>67</v>
      </c>
      <c r="H4" s="89" t="s">
        <v>143</v>
      </c>
      <c r="I4" s="2" t="s">
        <v>144</v>
      </c>
      <c r="J4" s="1" t="s">
        <v>66</v>
      </c>
      <c r="K4" s="89" t="s">
        <v>67</v>
      </c>
      <c r="L4" s="89" t="s">
        <v>143</v>
      </c>
      <c r="M4" s="2" t="s">
        <v>144</v>
      </c>
      <c r="N4" s="1" t="s">
        <v>66</v>
      </c>
      <c r="O4" s="89" t="s">
        <v>67</v>
      </c>
      <c r="P4" s="89" t="s">
        <v>143</v>
      </c>
      <c r="Q4" s="2" t="s">
        <v>144</v>
      </c>
      <c r="R4" s="1" t="s">
        <v>66</v>
      </c>
      <c r="S4" s="89" t="s">
        <v>67</v>
      </c>
      <c r="T4" s="89" t="s">
        <v>143</v>
      </c>
      <c r="U4" s="2" t="s">
        <v>144</v>
      </c>
      <c r="V4" s="1" t="s">
        <v>66</v>
      </c>
      <c r="W4" s="89" t="s">
        <v>67</v>
      </c>
      <c r="X4" s="89" t="s">
        <v>143</v>
      </c>
      <c r="Y4" s="2" t="s">
        <v>144</v>
      </c>
      <c r="Z4" s="1" t="s">
        <v>66</v>
      </c>
      <c r="AA4" s="89" t="s">
        <v>67</v>
      </c>
      <c r="AB4" s="89" t="s">
        <v>143</v>
      </c>
      <c r="AC4" s="2" t="s">
        <v>144</v>
      </c>
      <c r="AD4" s="1" t="s">
        <v>66</v>
      </c>
      <c r="AE4" s="89" t="s">
        <v>67</v>
      </c>
      <c r="AF4" s="89" t="s">
        <v>143</v>
      </c>
      <c r="AG4" s="2" t="s">
        <v>144</v>
      </c>
      <c r="AH4" s="1" t="s">
        <v>66</v>
      </c>
      <c r="AI4" s="89" t="s">
        <v>67</v>
      </c>
      <c r="AJ4" s="89" t="s">
        <v>143</v>
      </c>
      <c r="AK4" s="2" t="s">
        <v>144</v>
      </c>
      <c r="AL4" s="1" t="s">
        <v>66</v>
      </c>
      <c r="AM4" s="89" t="s">
        <v>67</v>
      </c>
      <c r="AN4" s="89" t="s">
        <v>143</v>
      </c>
      <c r="AO4" s="2" t="s">
        <v>144</v>
      </c>
      <c r="AP4" s="1" t="s">
        <v>66</v>
      </c>
      <c r="AQ4" s="89" t="s">
        <v>67</v>
      </c>
      <c r="AR4" s="89" t="s">
        <v>143</v>
      </c>
      <c r="AS4" s="2" t="s">
        <v>144</v>
      </c>
      <c r="AT4" s="1" t="s">
        <v>66</v>
      </c>
      <c r="AU4" s="89" t="s">
        <v>67</v>
      </c>
      <c r="AV4" s="89" t="s">
        <v>143</v>
      </c>
      <c r="AW4" s="2" t="s">
        <v>144</v>
      </c>
      <c r="AX4" s="1" t="s">
        <v>66</v>
      </c>
      <c r="AY4" s="89" t="s">
        <v>67</v>
      </c>
      <c r="AZ4" s="89" t="s">
        <v>143</v>
      </c>
      <c r="BA4" s="2" t="s">
        <v>144</v>
      </c>
      <c r="BB4" s="1" t="s">
        <v>66</v>
      </c>
      <c r="BC4" s="89" t="s">
        <v>67</v>
      </c>
      <c r="BD4" s="89" t="s">
        <v>143</v>
      </c>
      <c r="BE4" s="2" t="s">
        <v>144</v>
      </c>
      <c r="BF4" s="1" t="s">
        <v>66</v>
      </c>
      <c r="BG4" s="89" t="s">
        <v>67</v>
      </c>
      <c r="BH4" s="89" t="s">
        <v>143</v>
      </c>
      <c r="BI4" s="2" t="s">
        <v>144</v>
      </c>
      <c r="BJ4" s="1" t="s">
        <v>66</v>
      </c>
      <c r="BK4" s="89" t="s">
        <v>67</v>
      </c>
      <c r="BL4" s="89" t="s">
        <v>143</v>
      </c>
      <c r="BM4" s="2" t="s">
        <v>144</v>
      </c>
      <c r="BN4" s="1" t="s">
        <v>66</v>
      </c>
      <c r="BO4" s="89" t="s">
        <v>67</v>
      </c>
      <c r="BP4" s="89" t="s">
        <v>143</v>
      </c>
      <c r="BQ4" s="2" t="s">
        <v>144</v>
      </c>
      <c r="BR4" s="1" t="s">
        <v>66</v>
      </c>
      <c r="BS4" s="89" t="s">
        <v>67</v>
      </c>
      <c r="BT4" s="89" t="s">
        <v>143</v>
      </c>
      <c r="BU4" s="2" t="s">
        <v>144</v>
      </c>
      <c r="BV4" s="1" t="s">
        <v>66</v>
      </c>
      <c r="BW4" s="89" t="s">
        <v>67</v>
      </c>
      <c r="BX4" s="89" t="s">
        <v>143</v>
      </c>
      <c r="BY4" s="2" t="s">
        <v>144</v>
      </c>
      <c r="BZ4" s="1" t="s">
        <v>66</v>
      </c>
      <c r="CA4" s="89" t="s">
        <v>67</v>
      </c>
      <c r="CB4" s="89" t="s">
        <v>143</v>
      </c>
      <c r="CC4" s="2" t="s">
        <v>144</v>
      </c>
      <c r="CD4" s="1" t="s">
        <v>66</v>
      </c>
      <c r="CE4" s="89" t="s">
        <v>67</v>
      </c>
      <c r="CF4" s="89" t="s">
        <v>143</v>
      </c>
      <c r="CG4" s="2" t="s">
        <v>144</v>
      </c>
      <c r="CH4" s="1" t="s">
        <v>66</v>
      </c>
      <c r="CI4" s="89" t="s">
        <v>67</v>
      </c>
      <c r="CJ4" s="89" t="s">
        <v>143</v>
      </c>
      <c r="CK4" s="2" t="s">
        <v>144</v>
      </c>
      <c r="CL4" s="199"/>
      <c r="CM4" s="58"/>
    </row>
    <row r="5" spans="1:91" x14ac:dyDescent="0.25">
      <c r="A5" s="21"/>
      <c r="B5" s="57"/>
      <c r="C5" s="93"/>
      <c r="D5" s="94" t="s">
        <v>204</v>
      </c>
      <c r="E5" s="136"/>
      <c r="F5" s="13" t="s">
        <v>5</v>
      </c>
      <c r="G5" s="44" t="s">
        <v>240</v>
      </c>
      <c r="H5" s="44" t="s">
        <v>241</v>
      </c>
      <c r="I5" s="14" t="s">
        <v>242</v>
      </c>
      <c r="J5" s="13" t="s">
        <v>5</v>
      </c>
      <c r="K5" s="44" t="s">
        <v>240</v>
      </c>
      <c r="L5" s="44" t="s">
        <v>241</v>
      </c>
      <c r="M5" s="14" t="s">
        <v>242</v>
      </c>
      <c r="N5" s="13" t="s">
        <v>5</v>
      </c>
      <c r="O5" s="44" t="s">
        <v>240</v>
      </c>
      <c r="P5" s="44" t="s">
        <v>241</v>
      </c>
      <c r="Q5" s="14" t="s">
        <v>242</v>
      </c>
      <c r="R5" s="13" t="s">
        <v>5</v>
      </c>
      <c r="S5" s="44" t="s">
        <v>240</v>
      </c>
      <c r="T5" s="44" t="s">
        <v>241</v>
      </c>
      <c r="U5" s="14" t="s">
        <v>242</v>
      </c>
      <c r="V5" s="13" t="s">
        <v>5</v>
      </c>
      <c r="W5" s="44" t="s">
        <v>240</v>
      </c>
      <c r="X5" s="44" t="s">
        <v>241</v>
      </c>
      <c r="Y5" s="14" t="s">
        <v>242</v>
      </c>
      <c r="Z5" s="13" t="s">
        <v>5</v>
      </c>
      <c r="AA5" s="44" t="s">
        <v>240</v>
      </c>
      <c r="AB5" s="44" t="s">
        <v>241</v>
      </c>
      <c r="AC5" s="14" t="s">
        <v>242</v>
      </c>
      <c r="AD5" s="13" t="s">
        <v>5</v>
      </c>
      <c r="AE5" s="44" t="s">
        <v>240</v>
      </c>
      <c r="AF5" s="44" t="s">
        <v>241</v>
      </c>
      <c r="AG5" s="14" t="s">
        <v>242</v>
      </c>
      <c r="AH5" s="13" t="s">
        <v>5</v>
      </c>
      <c r="AI5" s="44" t="s">
        <v>240</v>
      </c>
      <c r="AJ5" s="44" t="s">
        <v>241</v>
      </c>
      <c r="AK5" s="14" t="s">
        <v>242</v>
      </c>
      <c r="AL5" s="13" t="s">
        <v>5</v>
      </c>
      <c r="AM5" s="44" t="s">
        <v>240</v>
      </c>
      <c r="AN5" s="44" t="s">
        <v>241</v>
      </c>
      <c r="AO5" s="14" t="s">
        <v>242</v>
      </c>
      <c r="AP5" s="13" t="s">
        <v>5</v>
      </c>
      <c r="AQ5" s="44" t="s">
        <v>240</v>
      </c>
      <c r="AR5" s="44" t="s">
        <v>241</v>
      </c>
      <c r="AS5" s="14" t="s">
        <v>242</v>
      </c>
      <c r="AT5" s="13" t="s">
        <v>5</v>
      </c>
      <c r="AU5" s="44" t="s">
        <v>240</v>
      </c>
      <c r="AV5" s="44" t="s">
        <v>241</v>
      </c>
      <c r="AW5" s="14" t="s">
        <v>242</v>
      </c>
      <c r="AX5" s="13" t="s">
        <v>5</v>
      </c>
      <c r="AY5" s="44" t="s">
        <v>240</v>
      </c>
      <c r="AZ5" s="44" t="s">
        <v>241</v>
      </c>
      <c r="BA5" s="14" t="s">
        <v>242</v>
      </c>
      <c r="BB5" s="13" t="s">
        <v>5</v>
      </c>
      <c r="BC5" s="44" t="s">
        <v>240</v>
      </c>
      <c r="BD5" s="44" t="s">
        <v>241</v>
      </c>
      <c r="BE5" s="14" t="s">
        <v>242</v>
      </c>
      <c r="BF5" s="13" t="s">
        <v>5</v>
      </c>
      <c r="BG5" s="44" t="s">
        <v>240</v>
      </c>
      <c r="BH5" s="44" t="s">
        <v>241</v>
      </c>
      <c r="BI5" s="14" t="s">
        <v>242</v>
      </c>
      <c r="BJ5" s="13" t="s">
        <v>5</v>
      </c>
      <c r="BK5" s="44" t="s">
        <v>240</v>
      </c>
      <c r="BL5" s="44" t="s">
        <v>241</v>
      </c>
      <c r="BM5" s="14" t="s">
        <v>242</v>
      </c>
      <c r="BN5" s="13" t="s">
        <v>5</v>
      </c>
      <c r="BO5" s="44" t="s">
        <v>240</v>
      </c>
      <c r="BP5" s="44" t="s">
        <v>241</v>
      </c>
      <c r="BQ5" s="14" t="s">
        <v>242</v>
      </c>
      <c r="BR5" s="13" t="s">
        <v>5</v>
      </c>
      <c r="BS5" s="44" t="s">
        <v>240</v>
      </c>
      <c r="BT5" s="44" t="s">
        <v>241</v>
      </c>
      <c r="BU5" s="14" t="s">
        <v>242</v>
      </c>
      <c r="BV5" s="13" t="s">
        <v>5</v>
      </c>
      <c r="BW5" s="44" t="s">
        <v>240</v>
      </c>
      <c r="BX5" s="44" t="s">
        <v>241</v>
      </c>
      <c r="BY5" s="14" t="s">
        <v>242</v>
      </c>
      <c r="BZ5" s="13" t="s">
        <v>5</v>
      </c>
      <c r="CA5" s="44" t="s">
        <v>240</v>
      </c>
      <c r="CB5" s="44" t="s">
        <v>241</v>
      </c>
      <c r="CC5" s="14" t="s">
        <v>242</v>
      </c>
      <c r="CD5" s="13" t="s">
        <v>5</v>
      </c>
      <c r="CE5" s="44" t="s">
        <v>240</v>
      </c>
      <c r="CF5" s="44" t="s">
        <v>241</v>
      </c>
      <c r="CG5" s="14" t="s">
        <v>242</v>
      </c>
      <c r="CH5" s="13" t="s">
        <v>5</v>
      </c>
      <c r="CI5" s="44" t="s">
        <v>240</v>
      </c>
      <c r="CJ5" s="44" t="s">
        <v>241</v>
      </c>
      <c r="CK5" s="14" t="s">
        <v>242</v>
      </c>
      <c r="CL5" s="199"/>
      <c r="CM5" s="58"/>
    </row>
    <row r="6" spans="1:91" x14ac:dyDescent="0.25">
      <c r="A6" s="21"/>
      <c r="B6" s="57"/>
      <c r="C6" s="70"/>
      <c r="D6" s="70"/>
      <c r="E6" s="137"/>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182" t="s">
        <v>0</v>
      </c>
      <c r="D7" s="183"/>
      <c r="E7" s="138"/>
      <c r="F7" s="182"/>
      <c r="G7" s="183"/>
      <c r="H7" s="183"/>
      <c r="I7" s="188"/>
      <c r="J7" s="182"/>
      <c r="K7" s="183"/>
      <c r="L7" s="183"/>
      <c r="M7" s="188"/>
      <c r="N7" s="182"/>
      <c r="O7" s="183"/>
      <c r="P7" s="183"/>
      <c r="Q7" s="188"/>
      <c r="R7" s="182"/>
      <c r="S7" s="183"/>
      <c r="T7" s="183"/>
      <c r="U7" s="188"/>
      <c r="V7" s="182"/>
      <c r="W7" s="183"/>
      <c r="X7" s="183"/>
      <c r="Y7" s="188"/>
      <c r="Z7" s="182"/>
      <c r="AA7" s="183"/>
      <c r="AB7" s="183"/>
      <c r="AC7" s="188"/>
      <c r="AD7" s="182"/>
      <c r="AE7" s="183"/>
      <c r="AF7" s="183"/>
      <c r="AG7" s="188"/>
      <c r="AH7" s="182"/>
      <c r="AI7" s="183"/>
      <c r="AJ7" s="183"/>
      <c r="AK7" s="188"/>
      <c r="AL7" s="182"/>
      <c r="AM7" s="183"/>
      <c r="AN7" s="183"/>
      <c r="AO7" s="188"/>
      <c r="AP7" s="182"/>
      <c r="AQ7" s="183"/>
      <c r="AR7" s="183"/>
      <c r="AS7" s="188"/>
      <c r="AT7" s="182"/>
      <c r="AU7" s="183"/>
      <c r="AV7" s="183"/>
      <c r="AW7" s="188"/>
      <c r="AX7" s="182"/>
      <c r="AY7" s="183"/>
      <c r="AZ7" s="183"/>
      <c r="BA7" s="188"/>
      <c r="BB7" s="182"/>
      <c r="BC7" s="183"/>
      <c r="BD7" s="183"/>
      <c r="BE7" s="188"/>
      <c r="BF7" s="182"/>
      <c r="BG7" s="183"/>
      <c r="BH7" s="183"/>
      <c r="BI7" s="188"/>
      <c r="BJ7" s="182"/>
      <c r="BK7" s="183"/>
      <c r="BL7" s="183"/>
      <c r="BM7" s="188"/>
      <c r="BN7" s="182"/>
      <c r="BO7" s="183"/>
      <c r="BP7" s="183"/>
      <c r="BQ7" s="188"/>
      <c r="BR7" s="182"/>
      <c r="BS7" s="183"/>
      <c r="BT7" s="183"/>
      <c r="BU7" s="188"/>
      <c r="BV7" s="182"/>
      <c r="BW7" s="183"/>
      <c r="BX7" s="183"/>
      <c r="BY7" s="188"/>
      <c r="BZ7" s="182"/>
      <c r="CA7" s="183"/>
      <c r="CB7" s="183"/>
      <c r="CC7" s="188"/>
      <c r="CD7" s="182"/>
      <c r="CE7" s="183"/>
      <c r="CF7" s="183"/>
      <c r="CG7" s="188"/>
      <c r="CH7" s="182"/>
      <c r="CI7" s="183"/>
      <c r="CJ7" s="183"/>
      <c r="CK7" s="188"/>
      <c r="CL7" s="48"/>
      <c r="CM7" s="58"/>
    </row>
    <row r="8" spans="1:91" x14ac:dyDescent="0.25">
      <c r="B8" s="55"/>
      <c r="C8" s="4"/>
      <c r="D8" s="78" t="s">
        <v>115</v>
      </c>
      <c r="E8" s="139"/>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146</v>
      </c>
      <c r="D9" s="77" t="s">
        <v>147</v>
      </c>
      <c r="E9" s="123">
        <v>4</v>
      </c>
      <c r="F9" s="81">
        <v>5</v>
      </c>
      <c r="G9" s="90">
        <v>5</v>
      </c>
      <c r="H9" s="90">
        <v>4</v>
      </c>
      <c r="I9" s="82">
        <v>4</v>
      </c>
      <c r="J9" s="81"/>
      <c r="K9" s="90">
        <v>2</v>
      </c>
      <c r="L9" s="90">
        <v>4</v>
      </c>
      <c r="M9" s="82">
        <v>4</v>
      </c>
      <c r="N9" s="81"/>
      <c r="O9" s="90"/>
      <c r="P9" s="90"/>
      <c r="Q9" s="82"/>
      <c r="R9" s="81"/>
      <c r="S9" s="90"/>
      <c r="T9" s="90"/>
      <c r="U9" s="82"/>
      <c r="V9" s="81"/>
      <c r="W9" s="90"/>
      <c r="X9" s="90"/>
      <c r="Y9" s="82"/>
      <c r="Z9" s="81"/>
      <c r="AA9" s="90"/>
      <c r="AB9" s="90"/>
      <c r="AC9" s="82"/>
      <c r="AD9" s="81"/>
      <c r="AE9" s="90"/>
      <c r="AF9" s="90"/>
      <c r="AG9" s="82"/>
      <c r="AH9" s="81"/>
      <c r="AI9" s="90"/>
      <c r="AJ9" s="90"/>
      <c r="AK9" s="82"/>
      <c r="AL9" s="81"/>
      <c r="AM9" s="90"/>
      <c r="AN9" s="90"/>
      <c r="AO9" s="82"/>
      <c r="AP9" s="81"/>
      <c r="AQ9" s="90"/>
      <c r="AR9" s="90"/>
      <c r="AS9" s="82"/>
      <c r="AT9" s="81"/>
      <c r="AU9" s="90"/>
      <c r="AV9" s="90"/>
      <c r="AW9" s="82"/>
      <c r="AX9" s="81"/>
      <c r="AY9" s="90"/>
      <c r="AZ9" s="90"/>
      <c r="BA9" s="82"/>
      <c r="BB9" s="81"/>
      <c r="BC9" s="90"/>
      <c r="BD9" s="90"/>
      <c r="BE9" s="82"/>
      <c r="BF9" s="81"/>
      <c r="BG9" s="90"/>
      <c r="BH9" s="90"/>
      <c r="BI9" s="82"/>
      <c r="BJ9" s="81"/>
      <c r="BK9" s="90"/>
      <c r="BL9" s="90"/>
      <c r="BM9" s="82"/>
      <c r="BN9" s="81"/>
      <c r="BO9" s="90"/>
      <c r="BP9" s="90"/>
      <c r="BQ9" s="82"/>
      <c r="BR9" s="81"/>
      <c r="BS9" s="90"/>
      <c r="BT9" s="90"/>
      <c r="BU9" s="82"/>
      <c r="BV9" s="81"/>
      <c r="BW9" s="90"/>
      <c r="BX9" s="90"/>
      <c r="BY9" s="82"/>
      <c r="BZ9" s="81"/>
      <c r="CA9" s="90"/>
      <c r="CB9" s="90"/>
      <c r="CC9" s="82"/>
      <c r="CD9" s="81"/>
      <c r="CE9" s="90"/>
      <c r="CF9" s="90"/>
      <c r="CG9" s="82"/>
      <c r="CH9" s="81"/>
      <c r="CI9" s="90"/>
      <c r="CJ9" s="90"/>
      <c r="CK9" s="82"/>
      <c r="CL9" s="49"/>
      <c r="CM9" s="56"/>
    </row>
    <row r="10" spans="1:91" ht="14.25" x14ac:dyDescent="0.25">
      <c r="B10" s="55"/>
      <c r="C10" s="9" t="s">
        <v>117</v>
      </c>
      <c r="D10" s="77" t="s">
        <v>174</v>
      </c>
      <c r="E10" s="125">
        <v>2</v>
      </c>
      <c r="F10" s="83">
        <v>2</v>
      </c>
      <c r="G10" s="91">
        <v>2</v>
      </c>
      <c r="H10" s="91">
        <v>2</v>
      </c>
      <c r="I10" s="84">
        <v>2</v>
      </c>
      <c r="J10" s="83"/>
      <c r="K10" s="91">
        <v>1</v>
      </c>
      <c r="L10" s="91">
        <v>2</v>
      </c>
      <c r="M10" s="84">
        <v>2</v>
      </c>
      <c r="N10" s="83"/>
      <c r="O10" s="91"/>
      <c r="P10" s="91"/>
      <c r="Q10" s="84"/>
      <c r="R10" s="83"/>
      <c r="S10" s="91"/>
      <c r="T10" s="91"/>
      <c r="U10" s="84"/>
      <c r="V10" s="83"/>
      <c r="W10" s="91"/>
      <c r="X10" s="91"/>
      <c r="Y10" s="84"/>
      <c r="Z10" s="83"/>
      <c r="AA10" s="91"/>
      <c r="AB10" s="91"/>
      <c r="AC10" s="84"/>
      <c r="AD10" s="83"/>
      <c r="AE10" s="91"/>
      <c r="AF10" s="91"/>
      <c r="AG10" s="84"/>
      <c r="AH10" s="83"/>
      <c r="AI10" s="91"/>
      <c r="AJ10" s="91"/>
      <c r="AK10" s="84"/>
      <c r="AL10" s="83"/>
      <c r="AM10" s="91"/>
      <c r="AN10" s="91"/>
      <c r="AO10" s="84"/>
      <c r="AP10" s="83"/>
      <c r="AQ10" s="91"/>
      <c r="AR10" s="91"/>
      <c r="AS10" s="84"/>
      <c r="AT10" s="83"/>
      <c r="AU10" s="91"/>
      <c r="AV10" s="91"/>
      <c r="AW10" s="84"/>
      <c r="AX10" s="83"/>
      <c r="AY10" s="91"/>
      <c r="AZ10" s="91"/>
      <c r="BA10" s="84"/>
      <c r="BB10" s="83"/>
      <c r="BC10" s="91"/>
      <c r="BD10" s="91"/>
      <c r="BE10" s="84"/>
      <c r="BF10" s="83"/>
      <c r="BG10" s="91"/>
      <c r="BH10" s="91"/>
      <c r="BI10" s="84"/>
      <c r="BJ10" s="83"/>
      <c r="BK10" s="91"/>
      <c r="BL10" s="91"/>
      <c r="BM10" s="84"/>
      <c r="BN10" s="83"/>
      <c r="BO10" s="91"/>
      <c r="BP10" s="91"/>
      <c r="BQ10" s="84"/>
      <c r="BR10" s="83"/>
      <c r="BS10" s="91"/>
      <c r="BT10" s="91"/>
      <c r="BU10" s="84"/>
      <c r="BV10" s="83"/>
      <c r="BW10" s="91"/>
      <c r="BX10" s="91"/>
      <c r="BY10" s="84"/>
      <c r="BZ10" s="83"/>
      <c r="CA10" s="91"/>
      <c r="CB10" s="91"/>
      <c r="CC10" s="84"/>
      <c r="CD10" s="83"/>
      <c r="CE10" s="91"/>
      <c r="CF10" s="91"/>
      <c r="CG10" s="84"/>
      <c r="CH10" s="83"/>
      <c r="CI10" s="91"/>
      <c r="CJ10" s="91"/>
      <c r="CK10" s="84"/>
      <c r="CL10" s="49"/>
      <c r="CM10" s="56"/>
    </row>
    <row r="11" spans="1:91" ht="15.75" x14ac:dyDescent="0.25">
      <c r="B11" s="55"/>
      <c r="C11" s="9" t="s">
        <v>148</v>
      </c>
      <c r="D11" s="77" t="s">
        <v>149</v>
      </c>
      <c r="E11" s="123">
        <v>25</v>
      </c>
      <c r="F11" s="81">
        <v>25</v>
      </c>
      <c r="G11" s="90">
        <v>25</v>
      </c>
      <c r="H11" s="90">
        <v>25</v>
      </c>
      <c r="I11" s="82">
        <v>25</v>
      </c>
      <c r="J11" s="81"/>
      <c r="K11" s="90">
        <v>25</v>
      </c>
      <c r="L11" s="90">
        <v>25</v>
      </c>
      <c r="M11" s="82">
        <v>25</v>
      </c>
      <c r="N11" s="81"/>
      <c r="O11" s="90"/>
      <c r="P11" s="90"/>
      <c r="Q11" s="82"/>
      <c r="R11" s="81"/>
      <c r="S11" s="90"/>
      <c r="T11" s="90"/>
      <c r="U11" s="82"/>
      <c r="V11" s="81"/>
      <c r="W11" s="90"/>
      <c r="X11" s="90"/>
      <c r="Y11" s="82"/>
      <c r="Z11" s="81"/>
      <c r="AA11" s="90"/>
      <c r="AB11" s="90"/>
      <c r="AC11" s="82"/>
      <c r="AD11" s="81"/>
      <c r="AE11" s="90"/>
      <c r="AF11" s="90"/>
      <c r="AG11" s="82"/>
      <c r="AH11" s="81"/>
      <c r="AI11" s="90"/>
      <c r="AJ11" s="90"/>
      <c r="AK11" s="82"/>
      <c r="AL11" s="81"/>
      <c r="AM11" s="90"/>
      <c r="AN11" s="90"/>
      <c r="AO11" s="82"/>
      <c r="AP11" s="81"/>
      <c r="AQ11" s="90"/>
      <c r="AR11" s="90"/>
      <c r="AS11" s="82"/>
      <c r="AT11" s="81"/>
      <c r="AU11" s="90"/>
      <c r="AV11" s="90"/>
      <c r="AW11" s="82"/>
      <c r="AX11" s="81"/>
      <c r="AY11" s="90"/>
      <c r="AZ11" s="90"/>
      <c r="BA11" s="82"/>
      <c r="BB11" s="81"/>
      <c r="BC11" s="90"/>
      <c r="BD11" s="90"/>
      <c r="BE11" s="82"/>
      <c r="BF11" s="81"/>
      <c r="BG11" s="90"/>
      <c r="BH11" s="90"/>
      <c r="BI11" s="82"/>
      <c r="BJ11" s="81"/>
      <c r="BK11" s="90"/>
      <c r="BL11" s="90"/>
      <c r="BM11" s="82"/>
      <c r="BN11" s="81"/>
      <c r="BO11" s="90"/>
      <c r="BP11" s="90"/>
      <c r="BQ11" s="82"/>
      <c r="BR11" s="81"/>
      <c r="BS11" s="90"/>
      <c r="BT11" s="90"/>
      <c r="BU11" s="82"/>
      <c r="BV11" s="81"/>
      <c r="BW11" s="90"/>
      <c r="BX11" s="90"/>
      <c r="BY11" s="82"/>
      <c r="BZ11" s="81"/>
      <c r="CA11" s="90"/>
      <c r="CB11" s="90"/>
      <c r="CC11" s="82"/>
      <c r="CD11" s="81"/>
      <c r="CE11" s="90"/>
      <c r="CF11" s="90"/>
      <c r="CG11" s="82"/>
      <c r="CH11" s="81"/>
      <c r="CI11" s="90"/>
      <c r="CJ11" s="90"/>
      <c r="CK11" s="82"/>
      <c r="CL11" s="49"/>
      <c r="CM11" s="56"/>
    </row>
    <row r="12" spans="1:91" ht="14.25" x14ac:dyDescent="0.25">
      <c r="B12" s="55"/>
      <c r="C12" s="9" t="s">
        <v>153</v>
      </c>
      <c r="D12" s="77" t="s">
        <v>243</v>
      </c>
      <c r="E12" s="123">
        <v>200</v>
      </c>
      <c r="F12" s="81">
        <v>34</v>
      </c>
      <c r="G12" s="90">
        <v>72</v>
      </c>
      <c r="H12" s="90">
        <v>144</v>
      </c>
      <c r="I12" s="82">
        <v>36</v>
      </c>
      <c r="J12" s="81"/>
      <c r="K12" s="90">
        <v>38</v>
      </c>
      <c r="L12" s="90">
        <v>20</v>
      </c>
      <c r="M12" s="82">
        <v>0</v>
      </c>
      <c r="N12" s="81"/>
      <c r="O12" s="90"/>
      <c r="P12" s="90"/>
      <c r="Q12" s="82"/>
      <c r="R12" s="81"/>
      <c r="S12" s="90"/>
      <c r="T12" s="90"/>
      <c r="U12" s="82"/>
      <c r="V12" s="81"/>
      <c r="W12" s="90"/>
      <c r="X12" s="90"/>
      <c r="Y12" s="82"/>
      <c r="Z12" s="81"/>
      <c r="AA12" s="90"/>
      <c r="AB12" s="90"/>
      <c r="AC12" s="82"/>
      <c r="AD12" s="81"/>
      <c r="AE12" s="90"/>
      <c r="AF12" s="90"/>
      <c r="AG12" s="82"/>
      <c r="AH12" s="81"/>
      <c r="AI12" s="90"/>
      <c r="AJ12" s="90"/>
      <c r="AK12" s="82"/>
      <c r="AL12" s="81"/>
      <c r="AM12" s="90"/>
      <c r="AN12" s="90"/>
      <c r="AO12" s="82"/>
      <c r="AP12" s="81"/>
      <c r="AQ12" s="90"/>
      <c r="AR12" s="90"/>
      <c r="AS12" s="82"/>
      <c r="AT12" s="81"/>
      <c r="AU12" s="90"/>
      <c r="AV12" s="90"/>
      <c r="AW12" s="82"/>
      <c r="AX12" s="81"/>
      <c r="AY12" s="90"/>
      <c r="AZ12" s="90"/>
      <c r="BA12" s="82"/>
      <c r="BB12" s="81"/>
      <c r="BC12" s="90"/>
      <c r="BD12" s="90"/>
      <c r="BE12" s="82"/>
      <c r="BF12" s="81"/>
      <c r="BG12" s="90"/>
      <c r="BH12" s="90"/>
      <c r="BI12" s="82"/>
      <c r="BJ12" s="81"/>
      <c r="BK12" s="90"/>
      <c r="BL12" s="90"/>
      <c r="BM12" s="82"/>
      <c r="BN12" s="81"/>
      <c r="BO12" s="90"/>
      <c r="BP12" s="90"/>
      <c r="BQ12" s="82"/>
      <c r="BR12" s="81"/>
      <c r="BS12" s="90"/>
      <c r="BT12" s="90"/>
      <c r="BU12" s="82"/>
      <c r="BV12" s="81"/>
      <c r="BW12" s="90"/>
      <c r="BX12" s="90"/>
      <c r="BY12" s="82"/>
      <c r="BZ12" s="81"/>
      <c r="CA12" s="90"/>
      <c r="CB12" s="90"/>
      <c r="CC12" s="82"/>
      <c r="CD12" s="81"/>
      <c r="CE12" s="90"/>
      <c r="CF12" s="90"/>
      <c r="CG12" s="82"/>
      <c r="CH12" s="81"/>
      <c r="CI12" s="90"/>
      <c r="CJ12" s="90"/>
      <c r="CK12" s="82"/>
      <c r="CL12" s="49"/>
      <c r="CM12" s="56"/>
    </row>
    <row r="13" spans="1:91" ht="14.25" x14ac:dyDescent="0.25">
      <c r="B13" s="55"/>
      <c r="C13" s="9" t="s">
        <v>152</v>
      </c>
      <c r="D13" s="77" t="s">
        <v>157</v>
      </c>
      <c r="E13" s="123">
        <v>200</v>
      </c>
      <c r="F13" s="81">
        <v>17</v>
      </c>
      <c r="G13" s="90">
        <v>132</v>
      </c>
      <c r="H13" s="90">
        <v>92</v>
      </c>
      <c r="I13" s="82">
        <v>73</v>
      </c>
      <c r="J13" s="81"/>
      <c r="K13" s="90">
        <v>17</v>
      </c>
      <c r="L13" s="90">
        <v>0</v>
      </c>
      <c r="M13" s="82">
        <v>20</v>
      </c>
      <c r="N13" s="81"/>
      <c r="O13" s="90"/>
      <c r="P13" s="90"/>
      <c r="Q13" s="82"/>
      <c r="R13" s="81"/>
      <c r="S13" s="90"/>
      <c r="T13" s="90"/>
      <c r="U13" s="82"/>
      <c r="V13" s="81"/>
      <c r="W13" s="90"/>
      <c r="X13" s="90"/>
      <c r="Y13" s="82"/>
      <c r="Z13" s="81"/>
      <c r="AA13" s="90"/>
      <c r="AB13" s="90"/>
      <c r="AC13" s="82"/>
      <c r="AD13" s="81"/>
      <c r="AE13" s="90"/>
      <c r="AF13" s="90"/>
      <c r="AG13" s="82"/>
      <c r="AH13" s="81"/>
      <c r="AI13" s="90"/>
      <c r="AJ13" s="90"/>
      <c r="AK13" s="82"/>
      <c r="AL13" s="81"/>
      <c r="AM13" s="90"/>
      <c r="AN13" s="90"/>
      <c r="AO13" s="82"/>
      <c r="AP13" s="81"/>
      <c r="AQ13" s="90"/>
      <c r="AR13" s="90"/>
      <c r="AS13" s="82"/>
      <c r="AT13" s="81"/>
      <c r="AU13" s="90"/>
      <c r="AV13" s="90"/>
      <c r="AW13" s="82"/>
      <c r="AX13" s="81"/>
      <c r="AY13" s="90"/>
      <c r="AZ13" s="90"/>
      <c r="BA13" s="82"/>
      <c r="BB13" s="81"/>
      <c r="BC13" s="90"/>
      <c r="BD13" s="90"/>
      <c r="BE13" s="82"/>
      <c r="BF13" s="81"/>
      <c r="BG13" s="90"/>
      <c r="BH13" s="90"/>
      <c r="BI13" s="82"/>
      <c r="BJ13" s="81"/>
      <c r="BK13" s="90"/>
      <c r="BL13" s="90"/>
      <c r="BM13" s="82"/>
      <c r="BN13" s="81"/>
      <c r="BO13" s="90"/>
      <c r="BP13" s="90"/>
      <c r="BQ13" s="82"/>
      <c r="BR13" s="81"/>
      <c r="BS13" s="90"/>
      <c r="BT13" s="90"/>
      <c r="BU13" s="82"/>
      <c r="BV13" s="81"/>
      <c r="BW13" s="90"/>
      <c r="BX13" s="90"/>
      <c r="BY13" s="82"/>
      <c r="BZ13" s="81"/>
      <c r="CA13" s="90"/>
      <c r="CB13" s="90"/>
      <c r="CC13" s="82"/>
      <c r="CD13" s="81"/>
      <c r="CE13" s="90"/>
      <c r="CF13" s="90"/>
      <c r="CG13" s="82"/>
      <c r="CH13" s="81"/>
      <c r="CI13" s="90"/>
      <c r="CJ13" s="90"/>
      <c r="CK13" s="82"/>
      <c r="CL13" s="49"/>
      <c r="CM13" s="56"/>
    </row>
    <row r="14" spans="1:91" ht="14.25" x14ac:dyDescent="0.25">
      <c r="B14" s="55"/>
      <c r="C14" s="9" t="s">
        <v>170</v>
      </c>
      <c r="D14" s="77" t="s">
        <v>158</v>
      </c>
      <c r="E14" s="123">
        <v>200</v>
      </c>
      <c r="F14" s="81">
        <v>601</v>
      </c>
      <c r="G14" s="90">
        <v>682</v>
      </c>
      <c r="H14" s="90">
        <v>327</v>
      </c>
      <c r="I14" s="82">
        <v>238</v>
      </c>
      <c r="J14" s="81"/>
      <c r="K14" s="90">
        <v>0</v>
      </c>
      <c r="L14" s="90">
        <v>315</v>
      </c>
      <c r="M14" s="82">
        <v>444</v>
      </c>
      <c r="N14" s="81"/>
      <c r="O14" s="90"/>
      <c r="P14" s="90"/>
      <c r="Q14" s="82"/>
      <c r="R14" s="81"/>
      <c r="S14" s="90"/>
      <c r="T14" s="90"/>
      <c r="U14" s="82"/>
      <c r="V14" s="81"/>
      <c r="W14" s="90"/>
      <c r="X14" s="90"/>
      <c r="Y14" s="82"/>
      <c r="Z14" s="81"/>
      <c r="AA14" s="90"/>
      <c r="AB14" s="90"/>
      <c r="AC14" s="82"/>
      <c r="AD14" s="81"/>
      <c r="AE14" s="90"/>
      <c r="AF14" s="90"/>
      <c r="AG14" s="82"/>
      <c r="AH14" s="81"/>
      <c r="AI14" s="90"/>
      <c r="AJ14" s="90"/>
      <c r="AK14" s="82"/>
      <c r="AL14" s="81"/>
      <c r="AM14" s="90"/>
      <c r="AN14" s="90"/>
      <c r="AO14" s="82"/>
      <c r="AP14" s="81"/>
      <c r="AQ14" s="90"/>
      <c r="AR14" s="90"/>
      <c r="AS14" s="82"/>
      <c r="AT14" s="81"/>
      <c r="AU14" s="90"/>
      <c r="AV14" s="90"/>
      <c r="AW14" s="82"/>
      <c r="AX14" s="81"/>
      <c r="AY14" s="90"/>
      <c r="AZ14" s="90"/>
      <c r="BA14" s="82"/>
      <c r="BB14" s="81"/>
      <c r="BC14" s="90"/>
      <c r="BD14" s="90"/>
      <c r="BE14" s="82"/>
      <c r="BF14" s="81"/>
      <c r="BG14" s="90"/>
      <c r="BH14" s="90"/>
      <c r="BI14" s="82"/>
      <c r="BJ14" s="81"/>
      <c r="BK14" s="90"/>
      <c r="BL14" s="90"/>
      <c r="BM14" s="82"/>
      <c r="BN14" s="81"/>
      <c r="BO14" s="90"/>
      <c r="BP14" s="90"/>
      <c r="BQ14" s="82"/>
      <c r="BR14" s="81"/>
      <c r="BS14" s="90"/>
      <c r="BT14" s="90"/>
      <c r="BU14" s="82"/>
      <c r="BV14" s="81"/>
      <c r="BW14" s="90"/>
      <c r="BX14" s="90"/>
      <c r="BY14" s="82"/>
      <c r="BZ14" s="81"/>
      <c r="CA14" s="90"/>
      <c r="CB14" s="90"/>
      <c r="CC14" s="82"/>
      <c r="CD14" s="81"/>
      <c r="CE14" s="90"/>
      <c r="CF14" s="90"/>
      <c r="CG14" s="82"/>
      <c r="CH14" s="81"/>
      <c r="CI14" s="90"/>
      <c r="CJ14" s="90"/>
      <c r="CK14" s="82"/>
      <c r="CL14" s="49"/>
      <c r="CM14" s="56"/>
    </row>
    <row r="15" spans="1:91" ht="14.25" x14ac:dyDescent="0.25">
      <c r="B15" s="55"/>
      <c r="C15" s="9" t="s">
        <v>339</v>
      </c>
      <c r="D15" s="77" t="s">
        <v>338</v>
      </c>
      <c r="E15" s="123">
        <v>600</v>
      </c>
      <c r="F15" s="81">
        <f>SUM(F12:G14)</f>
        <v>1538</v>
      </c>
      <c r="G15" s="90">
        <f>SUM(F12:G14)</f>
        <v>1538</v>
      </c>
      <c r="H15" s="90">
        <f>SUM(H12:I14)</f>
        <v>910</v>
      </c>
      <c r="I15" s="82">
        <f>SUM(H12:I14)</f>
        <v>910</v>
      </c>
      <c r="J15" s="81"/>
      <c r="K15" s="90">
        <f>SUM(K12:K14)</f>
        <v>55</v>
      </c>
      <c r="L15" s="90">
        <f>SUM(L12:M14)</f>
        <v>799</v>
      </c>
      <c r="M15" s="90">
        <f>SUM(L12:M14)</f>
        <v>799</v>
      </c>
      <c r="N15" s="81"/>
      <c r="O15" s="90"/>
      <c r="P15" s="90"/>
      <c r="Q15" s="82"/>
      <c r="R15" s="81"/>
      <c r="S15" s="90"/>
      <c r="T15" s="90"/>
      <c r="U15" s="82"/>
      <c r="V15" s="81"/>
      <c r="W15" s="90"/>
      <c r="X15" s="90"/>
      <c r="Y15" s="82"/>
      <c r="Z15" s="81"/>
      <c r="AA15" s="90"/>
      <c r="AB15" s="90"/>
      <c r="AC15" s="82"/>
      <c r="AD15" s="81"/>
      <c r="AE15" s="90"/>
      <c r="AF15" s="90"/>
      <c r="AG15" s="82"/>
      <c r="AH15" s="81"/>
      <c r="AI15" s="90"/>
      <c r="AJ15" s="90"/>
      <c r="AK15" s="82"/>
      <c r="AL15" s="81"/>
      <c r="AM15" s="90"/>
      <c r="AN15" s="90"/>
      <c r="AO15" s="82"/>
      <c r="AP15" s="81"/>
      <c r="AQ15" s="90"/>
      <c r="AR15" s="90"/>
      <c r="AS15" s="82"/>
      <c r="AT15" s="81"/>
      <c r="AU15" s="90"/>
      <c r="AV15" s="90"/>
      <c r="AW15" s="82"/>
      <c r="AX15" s="81"/>
      <c r="AY15" s="90"/>
      <c r="AZ15" s="90"/>
      <c r="BA15" s="82"/>
      <c r="BB15" s="81"/>
      <c r="BC15" s="90"/>
      <c r="BD15" s="90"/>
      <c r="BE15" s="82"/>
      <c r="BF15" s="81"/>
      <c r="BG15" s="90"/>
      <c r="BH15" s="90"/>
      <c r="BI15" s="82"/>
      <c r="BJ15" s="81"/>
      <c r="BK15" s="90"/>
      <c r="BL15" s="90"/>
      <c r="BM15" s="82"/>
      <c r="BN15" s="81"/>
      <c r="BO15" s="90"/>
      <c r="BP15" s="90"/>
      <c r="BQ15" s="82"/>
      <c r="BR15" s="81"/>
      <c r="BS15" s="90"/>
      <c r="BT15" s="90"/>
      <c r="BU15" s="82"/>
      <c r="BV15" s="81"/>
      <c r="BW15" s="90"/>
      <c r="BX15" s="90"/>
      <c r="BY15" s="82"/>
      <c r="BZ15" s="81"/>
      <c r="CA15" s="90"/>
      <c r="CB15" s="90"/>
      <c r="CC15" s="82"/>
      <c r="CD15" s="81"/>
      <c r="CE15" s="90"/>
      <c r="CF15" s="90"/>
      <c r="CG15" s="82"/>
      <c r="CH15" s="81"/>
      <c r="CI15" s="90"/>
      <c r="CJ15" s="90"/>
      <c r="CK15" s="82"/>
      <c r="CL15" s="49"/>
      <c r="CM15" s="56"/>
    </row>
    <row r="16" spans="1:91" ht="14.25" x14ac:dyDescent="0.25">
      <c r="B16" s="55"/>
      <c r="C16" s="145" t="s">
        <v>234</v>
      </c>
      <c r="D16" s="77" t="s">
        <v>342</v>
      </c>
      <c r="E16" s="123">
        <v>100</v>
      </c>
      <c r="F16" s="81">
        <v>91</v>
      </c>
      <c r="G16" s="90">
        <v>110</v>
      </c>
      <c r="H16" s="90">
        <v>133</v>
      </c>
      <c r="I16" s="82">
        <v>190</v>
      </c>
      <c r="J16" s="81"/>
      <c r="K16" s="90">
        <v>38</v>
      </c>
      <c r="L16" s="90">
        <v>20</v>
      </c>
      <c r="M16" s="82">
        <v>0</v>
      </c>
      <c r="N16" s="81"/>
      <c r="O16" s="90"/>
      <c r="P16" s="90"/>
      <c r="Q16" s="82"/>
      <c r="R16" s="81"/>
      <c r="S16" s="90"/>
      <c r="T16" s="90"/>
      <c r="U16" s="82"/>
      <c r="V16" s="81"/>
      <c r="W16" s="90"/>
      <c r="X16" s="90"/>
      <c r="Y16" s="82"/>
      <c r="Z16" s="81"/>
      <c r="AA16" s="90"/>
      <c r="AB16" s="90"/>
      <c r="AC16" s="82"/>
      <c r="AD16" s="81"/>
      <c r="AE16" s="90"/>
      <c r="AF16" s="90"/>
      <c r="AG16" s="82"/>
      <c r="AH16" s="81"/>
      <c r="AI16" s="90"/>
      <c r="AJ16" s="90"/>
      <c r="AK16" s="82"/>
      <c r="AL16" s="81"/>
      <c r="AM16" s="90"/>
      <c r="AN16" s="90"/>
      <c r="AO16" s="82"/>
      <c r="AP16" s="81"/>
      <c r="AQ16" s="90"/>
      <c r="AR16" s="90"/>
      <c r="AS16" s="82"/>
      <c r="AT16" s="81"/>
      <c r="AU16" s="90"/>
      <c r="AV16" s="90"/>
      <c r="AW16" s="82"/>
      <c r="AX16" s="81"/>
      <c r="AY16" s="90"/>
      <c r="AZ16" s="90"/>
      <c r="BA16" s="82"/>
      <c r="BB16" s="81"/>
      <c r="BC16" s="90"/>
      <c r="BD16" s="90"/>
      <c r="BE16" s="82"/>
      <c r="BF16" s="81"/>
      <c r="BG16" s="90"/>
      <c r="BH16" s="90"/>
      <c r="BI16" s="82"/>
      <c r="BJ16" s="81"/>
      <c r="BK16" s="90"/>
      <c r="BL16" s="90"/>
      <c r="BM16" s="82"/>
      <c r="BN16" s="81"/>
      <c r="BO16" s="90"/>
      <c r="BP16" s="90"/>
      <c r="BQ16" s="82"/>
      <c r="BR16" s="81"/>
      <c r="BS16" s="90"/>
      <c r="BT16" s="90"/>
      <c r="BU16" s="82"/>
      <c r="BV16" s="81"/>
      <c r="BW16" s="90"/>
      <c r="BX16" s="90"/>
      <c r="BY16" s="82"/>
      <c r="BZ16" s="81"/>
      <c r="CA16" s="90"/>
      <c r="CB16" s="90"/>
      <c r="CC16" s="82"/>
      <c r="CD16" s="81"/>
      <c r="CE16" s="90"/>
      <c r="CF16" s="90"/>
      <c r="CG16" s="82"/>
      <c r="CH16" s="81"/>
      <c r="CI16" s="90"/>
      <c r="CJ16" s="90"/>
      <c r="CK16" s="82"/>
      <c r="CL16" s="49"/>
      <c r="CM16" s="56"/>
    </row>
    <row r="17" spans="2:91" ht="14.25" x14ac:dyDescent="0.25">
      <c r="B17" s="55"/>
      <c r="C17" s="9" t="s">
        <v>155</v>
      </c>
      <c r="D17" s="77" t="s">
        <v>156</v>
      </c>
      <c r="E17" s="123">
        <v>100</v>
      </c>
      <c r="F17" s="81">
        <v>110</v>
      </c>
      <c r="G17" s="90">
        <v>91</v>
      </c>
      <c r="H17" s="90">
        <v>190</v>
      </c>
      <c r="I17" s="82">
        <v>133</v>
      </c>
      <c r="J17" s="81"/>
      <c r="K17" s="90">
        <v>17</v>
      </c>
      <c r="L17" s="90">
        <v>0</v>
      </c>
      <c r="M17" s="82">
        <v>20</v>
      </c>
      <c r="N17" s="81"/>
      <c r="O17" s="90"/>
      <c r="P17" s="90"/>
      <c r="Q17" s="82"/>
      <c r="R17" s="81"/>
      <c r="S17" s="90"/>
      <c r="T17" s="90"/>
      <c r="U17" s="82"/>
      <c r="V17" s="81"/>
      <c r="W17" s="90"/>
      <c r="X17" s="90"/>
      <c r="Y17" s="82"/>
      <c r="Z17" s="81"/>
      <c r="AA17" s="90"/>
      <c r="AB17" s="90"/>
      <c r="AC17" s="82"/>
      <c r="AD17" s="81"/>
      <c r="AE17" s="90"/>
      <c r="AF17" s="90"/>
      <c r="AG17" s="82"/>
      <c r="AH17" s="81"/>
      <c r="AI17" s="90"/>
      <c r="AJ17" s="90"/>
      <c r="AK17" s="82"/>
      <c r="AL17" s="81"/>
      <c r="AM17" s="90"/>
      <c r="AN17" s="90"/>
      <c r="AO17" s="82"/>
      <c r="AP17" s="81"/>
      <c r="AQ17" s="90"/>
      <c r="AR17" s="90"/>
      <c r="AS17" s="82"/>
      <c r="AT17" s="81"/>
      <c r="AU17" s="90"/>
      <c r="AV17" s="90"/>
      <c r="AW17" s="82"/>
      <c r="AX17" s="81"/>
      <c r="AY17" s="90"/>
      <c r="AZ17" s="90"/>
      <c r="BA17" s="82"/>
      <c r="BB17" s="81"/>
      <c r="BC17" s="90"/>
      <c r="BD17" s="90"/>
      <c r="BE17" s="82"/>
      <c r="BF17" s="81"/>
      <c r="BG17" s="90"/>
      <c r="BH17" s="90"/>
      <c r="BI17" s="82"/>
      <c r="BJ17" s="81"/>
      <c r="BK17" s="90"/>
      <c r="BL17" s="90"/>
      <c r="BM17" s="82"/>
      <c r="BN17" s="81"/>
      <c r="BO17" s="90"/>
      <c r="BP17" s="90"/>
      <c r="BQ17" s="82"/>
      <c r="BR17" s="81"/>
      <c r="BS17" s="90"/>
      <c r="BT17" s="90"/>
      <c r="BU17" s="82"/>
      <c r="BV17" s="81"/>
      <c r="BW17" s="90"/>
      <c r="BX17" s="90"/>
      <c r="BY17" s="82"/>
      <c r="BZ17" s="81"/>
      <c r="CA17" s="90"/>
      <c r="CB17" s="90"/>
      <c r="CC17" s="82"/>
      <c r="CD17" s="81"/>
      <c r="CE17" s="90"/>
      <c r="CF17" s="90"/>
      <c r="CG17" s="82"/>
      <c r="CH17" s="81"/>
      <c r="CI17" s="90"/>
      <c r="CJ17" s="90"/>
      <c r="CK17" s="82"/>
      <c r="CL17" s="49"/>
      <c r="CM17" s="56"/>
    </row>
    <row r="18" spans="2:91" ht="14.25" x14ac:dyDescent="0.25">
      <c r="B18" s="55"/>
      <c r="C18" s="9" t="s">
        <v>297</v>
      </c>
      <c r="D18" s="77" t="s">
        <v>298</v>
      </c>
      <c r="E18" s="123">
        <v>100</v>
      </c>
      <c r="F18" s="81">
        <v>100</v>
      </c>
      <c r="G18" s="90">
        <v>100</v>
      </c>
      <c r="H18" s="90">
        <v>100</v>
      </c>
      <c r="I18" s="82">
        <v>100</v>
      </c>
      <c r="J18" s="81"/>
      <c r="K18" s="90">
        <v>163</v>
      </c>
      <c r="L18" s="90">
        <v>100</v>
      </c>
      <c r="M18" s="82">
        <v>0</v>
      </c>
      <c r="N18" s="81"/>
      <c r="O18" s="90"/>
      <c r="P18" s="90"/>
      <c r="Q18" s="82"/>
      <c r="R18" s="81"/>
      <c r="S18" s="90"/>
      <c r="T18" s="90"/>
      <c r="U18" s="82"/>
      <c r="V18" s="81"/>
      <c r="W18" s="90"/>
      <c r="X18" s="90"/>
      <c r="Y18" s="82"/>
      <c r="Z18" s="81"/>
      <c r="AA18" s="90"/>
      <c r="AB18" s="90"/>
      <c r="AC18" s="82"/>
      <c r="AD18" s="81"/>
      <c r="AE18" s="90"/>
      <c r="AF18" s="90"/>
      <c r="AG18" s="82"/>
      <c r="AH18" s="81"/>
      <c r="AI18" s="90"/>
      <c r="AJ18" s="90"/>
      <c r="AK18" s="82"/>
      <c r="AL18" s="81"/>
      <c r="AM18" s="90"/>
      <c r="AN18" s="90"/>
      <c r="AO18" s="82"/>
      <c r="AP18" s="81"/>
      <c r="AQ18" s="90"/>
      <c r="AR18" s="90"/>
      <c r="AS18" s="82"/>
      <c r="AT18" s="81"/>
      <c r="AU18" s="90"/>
      <c r="AV18" s="90"/>
      <c r="AW18" s="82"/>
      <c r="AX18" s="81"/>
      <c r="AY18" s="90"/>
      <c r="AZ18" s="90"/>
      <c r="BA18" s="82"/>
      <c r="BB18" s="81"/>
      <c r="BC18" s="90"/>
      <c r="BD18" s="90"/>
      <c r="BE18" s="82"/>
      <c r="BF18" s="81"/>
      <c r="BG18" s="90"/>
      <c r="BH18" s="90"/>
      <c r="BI18" s="82"/>
      <c r="BJ18" s="81"/>
      <c r="BK18" s="90"/>
      <c r="BL18" s="90"/>
      <c r="BM18" s="82"/>
      <c r="BN18" s="81"/>
      <c r="BO18" s="90"/>
      <c r="BP18" s="90"/>
      <c r="BQ18" s="82"/>
      <c r="BR18" s="81"/>
      <c r="BS18" s="90"/>
      <c r="BT18" s="90"/>
      <c r="BU18" s="82"/>
      <c r="BV18" s="81"/>
      <c r="BW18" s="90"/>
      <c r="BX18" s="90"/>
      <c r="BY18" s="82"/>
      <c r="BZ18" s="81"/>
      <c r="CA18" s="90"/>
      <c r="CB18" s="90"/>
      <c r="CC18" s="82"/>
      <c r="CD18" s="81"/>
      <c r="CE18" s="90"/>
      <c r="CF18" s="90"/>
      <c r="CG18" s="82"/>
      <c r="CH18" s="81"/>
      <c r="CI18" s="90"/>
      <c r="CJ18" s="90"/>
      <c r="CK18" s="82"/>
      <c r="CL18" s="49"/>
      <c r="CM18" s="56"/>
    </row>
    <row r="19" spans="2:91" ht="14.25" x14ac:dyDescent="0.25">
      <c r="B19" s="55"/>
      <c r="C19" s="9" t="s">
        <v>159</v>
      </c>
      <c r="D19" s="77" t="s">
        <v>160</v>
      </c>
      <c r="E19" s="123">
        <v>0</v>
      </c>
      <c r="F19" s="81">
        <v>0</v>
      </c>
      <c r="G19" s="90">
        <v>0</v>
      </c>
      <c r="H19" s="90">
        <v>0</v>
      </c>
      <c r="I19" s="82">
        <v>0</v>
      </c>
      <c r="J19" s="81"/>
      <c r="K19" s="90">
        <v>0</v>
      </c>
      <c r="L19" s="90">
        <v>0</v>
      </c>
      <c r="M19" s="82">
        <v>0</v>
      </c>
      <c r="N19" s="81"/>
      <c r="O19" s="90"/>
      <c r="P19" s="90"/>
      <c r="Q19" s="82"/>
      <c r="R19" s="81"/>
      <c r="S19" s="90"/>
      <c r="T19" s="90"/>
      <c r="U19" s="82"/>
      <c r="V19" s="81"/>
      <c r="W19" s="90"/>
      <c r="X19" s="90"/>
      <c r="Y19" s="82"/>
      <c r="Z19" s="81"/>
      <c r="AA19" s="90"/>
      <c r="AB19" s="90"/>
      <c r="AC19" s="82"/>
      <c r="AD19" s="81"/>
      <c r="AE19" s="90"/>
      <c r="AF19" s="90"/>
      <c r="AG19" s="82"/>
      <c r="AH19" s="81"/>
      <c r="AI19" s="90"/>
      <c r="AJ19" s="90"/>
      <c r="AK19" s="82"/>
      <c r="AL19" s="81"/>
      <c r="AM19" s="90"/>
      <c r="AN19" s="90"/>
      <c r="AO19" s="82"/>
      <c r="AP19" s="81"/>
      <c r="AQ19" s="90"/>
      <c r="AR19" s="90"/>
      <c r="AS19" s="82"/>
      <c r="AT19" s="81"/>
      <c r="AU19" s="90"/>
      <c r="AV19" s="90"/>
      <c r="AW19" s="82"/>
      <c r="AX19" s="81"/>
      <c r="AY19" s="90"/>
      <c r="AZ19" s="90"/>
      <c r="BA19" s="82"/>
      <c r="BB19" s="81"/>
      <c r="BC19" s="90"/>
      <c r="BD19" s="90"/>
      <c r="BE19" s="82"/>
      <c r="BF19" s="81"/>
      <c r="BG19" s="90"/>
      <c r="BH19" s="90"/>
      <c r="BI19" s="82"/>
      <c r="BJ19" s="81"/>
      <c r="BK19" s="90"/>
      <c r="BL19" s="90"/>
      <c r="BM19" s="82"/>
      <c r="BN19" s="81"/>
      <c r="BO19" s="90"/>
      <c r="BP19" s="90"/>
      <c r="BQ19" s="82"/>
      <c r="BR19" s="81"/>
      <c r="BS19" s="90"/>
      <c r="BT19" s="90"/>
      <c r="BU19" s="82"/>
      <c r="BV19" s="81"/>
      <c r="BW19" s="90"/>
      <c r="BX19" s="90"/>
      <c r="BY19" s="82"/>
      <c r="BZ19" s="81"/>
      <c r="CA19" s="90"/>
      <c r="CB19" s="90"/>
      <c r="CC19" s="82"/>
      <c r="CD19" s="81"/>
      <c r="CE19" s="90"/>
      <c r="CF19" s="90"/>
      <c r="CG19" s="82"/>
      <c r="CH19" s="81"/>
      <c r="CI19" s="90"/>
      <c r="CJ19" s="90"/>
      <c r="CK19" s="82"/>
      <c r="CL19" s="49"/>
      <c r="CM19" s="56"/>
    </row>
    <row r="20" spans="2:91" x14ac:dyDescent="0.25">
      <c r="B20" s="55"/>
      <c r="C20" s="9" t="s">
        <v>161</v>
      </c>
      <c r="D20" s="77" t="s">
        <v>162</v>
      </c>
      <c r="E20" s="123">
        <v>100</v>
      </c>
      <c r="F20" s="81">
        <v>95</v>
      </c>
      <c r="G20" s="90">
        <v>95</v>
      </c>
      <c r="H20" s="90">
        <v>95</v>
      </c>
      <c r="I20" s="82">
        <v>95</v>
      </c>
      <c r="J20" s="81"/>
      <c r="K20" s="90">
        <v>0</v>
      </c>
      <c r="L20" s="90">
        <v>0</v>
      </c>
      <c r="M20" s="82">
        <v>0</v>
      </c>
      <c r="N20" s="81"/>
      <c r="O20" s="90"/>
      <c r="P20" s="90"/>
      <c r="Q20" s="82"/>
      <c r="R20" s="81"/>
      <c r="S20" s="90"/>
      <c r="T20" s="90"/>
      <c r="U20" s="82"/>
      <c r="V20" s="81"/>
      <c r="W20" s="90"/>
      <c r="X20" s="90"/>
      <c r="Y20" s="82"/>
      <c r="Z20" s="81"/>
      <c r="AA20" s="90"/>
      <c r="AB20" s="90"/>
      <c r="AC20" s="82"/>
      <c r="AD20" s="81"/>
      <c r="AE20" s="90"/>
      <c r="AF20" s="90"/>
      <c r="AG20" s="82"/>
      <c r="AH20" s="81"/>
      <c r="AI20" s="90"/>
      <c r="AJ20" s="90"/>
      <c r="AK20" s="82"/>
      <c r="AL20" s="81"/>
      <c r="AM20" s="90"/>
      <c r="AN20" s="90"/>
      <c r="AO20" s="82"/>
      <c r="AP20" s="81"/>
      <c r="AQ20" s="90"/>
      <c r="AR20" s="90"/>
      <c r="AS20" s="82"/>
      <c r="AT20" s="81"/>
      <c r="AU20" s="90"/>
      <c r="AV20" s="90"/>
      <c r="AW20" s="82"/>
      <c r="AX20" s="81"/>
      <c r="AY20" s="90"/>
      <c r="AZ20" s="90"/>
      <c r="BA20" s="82"/>
      <c r="BB20" s="81"/>
      <c r="BC20" s="90"/>
      <c r="BD20" s="90"/>
      <c r="BE20" s="82"/>
      <c r="BF20" s="81"/>
      <c r="BG20" s="90"/>
      <c r="BH20" s="90"/>
      <c r="BI20" s="82"/>
      <c r="BJ20" s="81"/>
      <c r="BK20" s="90"/>
      <c r="BL20" s="90"/>
      <c r="BM20" s="82"/>
      <c r="BN20" s="81"/>
      <c r="BO20" s="90"/>
      <c r="BP20" s="90"/>
      <c r="BQ20" s="82"/>
      <c r="BR20" s="81"/>
      <c r="BS20" s="90"/>
      <c r="BT20" s="90"/>
      <c r="BU20" s="82"/>
      <c r="BV20" s="81"/>
      <c r="BW20" s="90"/>
      <c r="BX20" s="90"/>
      <c r="BY20" s="82"/>
      <c r="BZ20" s="81"/>
      <c r="CA20" s="90"/>
      <c r="CB20" s="90"/>
      <c r="CC20" s="82"/>
      <c r="CD20" s="81"/>
      <c r="CE20" s="90"/>
      <c r="CF20" s="90"/>
      <c r="CG20" s="82"/>
      <c r="CH20" s="81"/>
      <c r="CI20" s="90"/>
      <c r="CJ20" s="90"/>
      <c r="CK20" s="82"/>
      <c r="CL20" s="49"/>
      <c r="CM20" s="56"/>
    </row>
    <row r="21" spans="2:91" ht="14.25" x14ac:dyDescent="0.25">
      <c r="B21" s="55"/>
      <c r="C21" s="9" t="s">
        <v>163</v>
      </c>
      <c r="D21" s="144" t="s">
        <v>165</v>
      </c>
      <c r="E21" s="123">
        <v>45</v>
      </c>
      <c r="F21" s="81">
        <v>47.7</v>
      </c>
      <c r="G21" s="90">
        <v>47.7</v>
      </c>
      <c r="H21" s="90">
        <v>31.1</v>
      </c>
      <c r="I21" s="82">
        <v>31.1</v>
      </c>
      <c r="J21" s="81"/>
      <c r="K21" s="90">
        <v>0</v>
      </c>
      <c r="L21" s="90">
        <v>0</v>
      </c>
      <c r="M21" s="82">
        <v>0</v>
      </c>
      <c r="N21" s="81"/>
      <c r="O21" s="90"/>
      <c r="P21" s="90"/>
      <c r="Q21" s="82"/>
      <c r="R21" s="81"/>
      <c r="S21" s="90"/>
      <c r="T21" s="90"/>
      <c r="U21" s="82"/>
      <c r="V21" s="81"/>
      <c r="W21" s="90"/>
      <c r="X21" s="90"/>
      <c r="Y21" s="82"/>
      <c r="Z21" s="81"/>
      <c r="AA21" s="90"/>
      <c r="AB21" s="90"/>
      <c r="AC21" s="82"/>
      <c r="AD21" s="81"/>
      <c r="AE21" s="90"/>
      <c r="AF21" s="90"/>
      <c r="AG21" s="82"/>
      <c r="AH21" s="81"/>
      <c r="AI21" s="90"/>
      <c r="AJ21" s="90"/>
      <c r="AK21" s="82"/>
      <c r="AL21" s="81"/>
      <c r="AM21" s="90"/>
      <c r="AN21" s="90"/>
      <c r="AO21" s="82"/>
      <c r="AP21" s="81"/>
      <c r="AQ21" s="90"/>
      <c r="AR21" s="90"/>
      <c r="AS21" s="82"/>
      <c r="AT21" s="81"/>
      <c r="AU21" s="90"/>
      <c r="AV21" s="90"/>
      <c r="AW21" s="82"/>
      <c r="AX21" s="81"/>
      <c r="AY21" s="90"/>
      <c r="AZ21" s="90"/>
      <c r="BA21" s="82"/>
      <c r="BB21" s="81"/>
      <c r="BC21" s="90"/>
      <c r="BD21" s="90"/>
      <c r="BE21" s="82"/>
      <c r="BF21" s="81"/>
      <c r="BG21" s="90"/>
      <c r="BH21" s="90"/>
      <c r="BI21" s="82"/>
      <c r="BJ21" s="81"/>
      <c r="BK21" s="90"/>
      <c r="BL21" s="90"/>
      <c r="BM21" s="82"/>
      <c r="BN21" s="81"/>
      <c r="BO21" s="90"/>
      <c r="BP21" s="90"/>
      <c r="BQ21" s="82"/>
      <c r="BR21" s="81"/>
      <c r="BS21" s="90"/>
      <c r="BT21" s="90"/>
      <c r="BU21" s="82"/>
      <c r="BV21" s="81"/>
      <c r="BW21" s="90"/>
      <c r="BX21" s="90"/>
      <c r="BY21" s="82"/>
      <c r="BZ21" s="81"/>
      <c r="CA21" s="90"/>
      <c r="CB21" s="90"/>
      <c r="CC21" s="82"/>
      <c r="CD21" s="81"/>
      <c r="CE21" s="90"/>
      <c r="CF21" s="90"/>
      <c r="CG21" s="82"/>
      <c r="CH21" s="81"/>
      <c r="CI21" s="90"/>
      <c r="CJ21" s="90"/>
      <c r="CK21" s="82"/>
      <c r="CL21" s="49"/>
      <c r="CM21" s="56"/>
    </row>
    <row r="22" spans="2:91" ht="14.25" x14ac:dyDescent="0.25">
      <c r="B22" s="55"/>
      <c r="C22" s="9" t="s">
        <v>332</v>
      </c>
      <c r="D22" s="77" t="s">
        <v>333</v>
      </c>
      <c r="E22" s="123">
        <v>12</v>
      </c>
      <c r="F22" s="81">
        <v>12</v>
      </c>
      <c r="G22" s="90">
        <v>12</v>
      </c>
      <c r="H22" s="90">
        <v>12</v>
      </c>
      <c r="I22" s="82">
        <v>12</v>
      </c>
      <c r="J22" s="81"/>
      <c r="K22" s="90">
        <v>12</v>
      </c>
      <c r="L22" s="90">
        <v>12</v>
      </c>
      <c r="M22" s="82">
        <v>0</v>
      </c>
      <c r="N22" s="81"/>
      <c r="O22" s="90"/>
      <c r="P22" s="90"/>
      <c r="Q22" s="82"/>
      <c r="R22" s="81"/>
      <c r="S22" s="90"/>
      <c r="T22" s="90"/>
      <c r="U22" s="82"/>
      <c r="V22" s="81"/>
      <c r="W22" s="90"/>
      <c r="X22" s="90"/>
      <c r="Y22" s="82"/>
      <c r="Z22" s="81"/>
      <c r="AA22" s="90"/>
      <c r="AB22" s="90"/>
      <c r="AC22" s="82"/>
      <c r="AD22" s="81"/>
      <c r="AE22" s="90"/>
      <c r="AF22" s="90"/>
      <c r="AG22" s="82"/>
      <c r="AH22" s="81"/>
      <c r="AI22" s="90"/>
      <c r="AJ22" s="90"/>
      <c r="AK22" s="82"/>
      <c r="AL22" s="81"/>
      <c r="AM22" s="90"/>
      <c r="AN22" s="90"/>
      <c r="AO22" s="82"/>
      <c r="AP22" s="81"/>
      <c r="AQ22" s="90"/>
      <c r="AR22" s="90"/>
      <c r="AS22" s="82"/>
      <c r="AT22" s="81"/>
      <c r="AU22" s="90"/>
      <c r="AV22" s="90"/>
      <c r="AW22" s="82"/>
      <c r="AX22" s="81"/>
      <c r="AY22" s="90"/>
      <c r="AZ22" s="90"/>
      <c r="BA22" s="82"/>
      <c r="BB22" s="81"/>
      <c r="BC22" s="90"/>
      <c r="BD22" s="90"/>
      <c r="BE22" s="82"/>
      <c r="BF22" s="81"/>
      <c r="BG22" s="90"/>
      <c r="BH22" s="90"/>
      <c r="BI22" s="82"/>
      <c r="BJ22" s="81"/>
      <c r="BK22" s="90"/>
      <c r="BL22" s="90"/>
      <c r="BM22" s="82"/>
      <c r="BN22" s="81"/>
      <c r="BO22" s="90"/>
      <c r="BP22" s="90"/>
      <c r="BQ22" s="82"/>
      <c r="BR22" s="81"/>
      <c r="BS22" s="90"/>
      <c r="BT22" s="90"/>
      <c r="BU22" s="82"/>
      <c r="BV22" s="81"/>
      <c r="BW22" s="90"/>
      <c r="BX22" s="90"/>
      <c r="BY22" s="82"/>
      <c r="BZ22" s="81"/>
      <c r="CA22" s="90"/>
      <c r="CB22" s="90"/>
      <c r="CC22" s="82"/>
      <c r="CD22" s="81"/>
      <c r="CE22" s="90"/>
      <c r="CF22" s="90"/>
      <c r="CG22" s="82"/>
      <c r="CH22" s="81"/>
      <c r="CI22" s="90"/>
      <c r="CJ22" s="90"/>
      <c r="CK22" s="82"/>
      <c r="CL22" s="49"/>
      <c r="CM22" s="56"/>
    </row>
    <row r="23" spans="2:91" ht="14.25" x14ac:dyDescent="0.25">
      <c r="B23" s="55"/>
      <c r="C23" s="9" t="s">
        <v>171</v>
      </c>
      <c r="D23" s="77" t="s">
        <v>172</v>
      </c>
      <c r="E23" s="123">
        <v>54</v>
      </c>
      <c r="F23" s="81">
        <v>72</v>
      </c>
      <c r="G23" s="90">
        <v>72</v>
      </c>
      <c r="H23" s="90">
        <v>56</v>
      </c>
      <c r="I23" s="82">
        <v>56</v>
      </c>
      <c r="J23" s="81"/>
      <c r="K23" s="90">
        <v>32</v>
      </c>
      <c r="L23" s="90">
        <v>56</v>
      </c>
      <c r="M23" s="82">
        <v>56</v>
      </c>
      <c r="N23" s="81"/>
      <c r="O23" s="90"/>
      <c r="P23" s="90"/>
      <c r="Q23" s="82"/>
      <c r="R23" s="81"/>
      <c r="S23" s="90"/>
      <c r="T23" s="90"/>
      <c r="U23" s="82"/>
      <c r="V23" s="81"/>
      <c r="W23" s="90"/>
      <c r="X23" s="90"/>
      <c r="Y23" s="82"/>
      <c r="Z23" s="81"/>
      <c r="AA23" s="90"/>
      <c r="AB23" s="90"/>
      <c r="AC23" s="82"/>
      <c r="AD23" s="81"/>
      <c r="AE23" s="90"/>
      <c r="AF23" s="90"/>
      <c r="AG23" s="82"/>
      <c r="AH23" s="81"/>
      <c r="AI23" s="90"/>
      <c r="AJ23" s="90"/>
      <c r="AK23" s="82"/>
      <c r="AL23" s="81"/>
      <c r="AM23" s="90"/>
      <c r="AN23" s="90"/>
      <c r="AO23" s="82"/>
      <c r="AP23" s="81"/>
      <c r="AQ23" s="90"/>
      <c r="AR23" s="90"/>
      <c r="AS23" s="82"/>
      <c r="AT23" s="81"/>
      <c r="AU23" s="90"/>
      <c r="AV23" s="90"/>
      <c r="AW23" s="82"/>
      <c r="AX23" s="81"/>
      <c r="AY23" s="90"/>
      <c r="AZ23" s="90"/>
      <c r="BA23" s="82"/>
      <c r="BB23" s="81"/>
      <c r="BC23" s="90"/>
      <c r="BD23" s="90"/>
      <c r="BE23" s="82"/>
      <c r="BF23" s="81"/>
      <c r="BG23" s="90"/>
      <c r="BH23" s="90"/>
      <c r="BI23" s="82"/>
      <c r="BJ23" s="81"/>
      <c r="BK23" s="90"/>
      <c r="BL23" s="90"/>
      <c r="BM23" s="82"/>
      <c r="BN23" s="81"/>
      <c r="BO23" s="90"/>
      <c r="BP23" s="90"/>
      <c r="BQ23" s="82"/>
      <c r="BR23" s="81"/>
      <c r="BS23" s="90"/>
      <c r="BT23" s="90"/>
      <c r="BU23" s="82"/>
      <c r="BV23" s="81"/>
      <c r="BW23" s="90"/>
      <c r="BX23" s="90"/>
      <c r="BY23" s="82"/>
      <c r="BZ23" s="81"/>
      <c r="CA23" s="90"/>
      <c r="CB23" s="90"/>
      <c r="CC23" s="82"/>
      <c r="CD23" s="81"/>
      <c r="CE23" s="90"/>
      <c r="CF23" s="90"/>
      <c r="CG23" s="82"/>
      <c r="CH23" s="81"/>
      <c r="CI23" s="90"/>
      <c r="CJ23" s="90"/>
      <c r="CK23" s="82"/>
      <c r="CL23" s="49"/>
      <c r="CM23" s="56"/>
    </row>
    <row r="24" spans="2:91" ht="14.25" x14ac:dyDescent="0.25">
      <c r="B24" s="55"/>
      <c r="C24" s="9" t="s">
        <v>28</v>
      </c>
      <c r="D24" s="77" t="s">
        <v>15</v>
      </c>
      <c r="E24" s="127">
        <v>6</v>
      </c>
      <c r="F24" s="87">
        <v>0</v>
      </c>
      <c r="G24" s="92">
        <v>0</v>
      </c>
      <c r="H24" s="92">
        <v>0</v>
      </c>
      <c r="I24" s="88">
        <v>0</v>
      </c>
      <c r="J24" s="87"/>
      <c r="K24" s="92">
        <v>0</v>
      </c>
      <c r="L24" s="92">
        <v>0</v>
      </c>
      <c r="M24" s="88">
        <v>0</v>
      </c>
      <c r="N24" s="87"/>
      <c r="O24" s="92"/>
      <c r="P24" s="92"/>
      <c r="Q24" s="88"/>
      <c r="R24" s="87"/>
      <c r="S24" s="92"/>
      <c r="T24" s="92"/>
      <c r="U24" s="88"/>
      <c r="V24" s="87"/>
      <c r="W24" s="92"/>
      <c r="X24" s="92"/>
      <c r="Y24" s="88"/>
      <c r="Z24" s="87"/>
      <c r="AA24" s="92"/>
      <c r="AB24" s="92"/>
      <c r="AC24" s="88"/>
      <c r="AD24" s="87"/>
      <c r="AE24" s="92"/>
      <c r="AF24" s="92"/>
      <c r="AG24" s="88"/>
      <c r="AH24" s="87"/>
      <c r="AI24" s="92"/>
      <c r="AJ24" s="92"/>
      <c r="AK24" s="88"/>
      <c r="AL24" s="87"/>
      <c r="AM24" s="92"/>
      <c r="AN24" s="92"/>
      <c r="AO24" s="88"/>
      <c r="AP24" s="87"/>
      <c r="AQ24" s="92"/>
      <c r="AR24" s="92"/>
      <c r="AS24" s="88"/>
      <c r="AT24" s="87"/>
      <c r="AU24" s="92"/>
      <c r="AV24" s="92"/>
      <c r="AW24" s="88"/>
      <c r="AX24" s="87"/>
      <c r="AY24" s="92"/>
      <c r="AZ24" s="92"/>
      <c r="BA24" s="88"/>
      <c r="BB24" s="87"/>
      <c r="BC24" s="92"/>
      <c r="BD24" s="92"/>
      <c r="BE24" s="88"/>
      <c r="BF24" s="87"/>
      <c r="BG24" s="92"/>
      <c r="BH24" s="92"/>
      <c r="BI24" s="88"/>
      <c r="BJ24" s="87"/>
      <c r="BK24" s="92"/>
      <c r="BL24" s="92"/>
      <c r="BM24" s="88"/>
      <c r="BN24" s="87"/>
      <c r="BO24" s="92"/>
      <c r="BP24" s="92"/>
      <c r="BQ24" s="88"/>
      <c r="BR24" s="87"/>
      <c r="BS24" s="92"/>
      <c r="BT24" s="92"/>
      <c r="BU24" s="88"/>
      <c r="BV24" s="87"/>
      <c r="BW24" s="92"/>
      <c r="BX24" s="92"/>
      <c r="BY24" s="88"/>
      <c r="BZ24" s="87"/>
      <c r="CA24" s="92"/>
      <c r="CB24" s="92"/>
      <c r="CC24" s="88"/>
      <c r="CD24" s="87"/>
      <c r="CE24" s="92"/>
      <c r="CF24" s="92"/>
      <c r="CG24" s="88"/>
      <c r="CH24" s="87"/>
      <c r="CI24" s="92"/>
      <c r="CJ24" s="92"/>
      <c r="CK24" s="88"/>
      <c r="CL24" s="49"/>
      <c r="CM24" s="56"/>
    </row>
    <row r="25" spans="2:91" ht="14.25" x14ac:dyDescent="0.25">
      <c r="B25" s="55"/>
      <c r="C25" s="9" t="s">
        <v>30</v>
      </c>
      <c r="D25" s="118" t="s">
        <v>16</v>
      </c>
      <c r="E25" s="127">
        <v>12</v>
      </c>
      <c r="F25" s="87">
        <v>12</v>
      </c>
      <c r="G25" s="92">
        <v>12</v>
      </c>
      <c r="H25" s="92">
        <v>12</v>
      </c>
      <c r="I25" s="88">
        <v>12</v>
      </c>
      <c r="J25" s="87"/>
      <c r="K25" s="92">
        <v>10</v>
      </c>
      <c r="L25" s="92">
        <v>12</v>
      </c>
      <c r="M25" s="88">
        <v>12</v>
      </c>
      <c r="N25" s="87"/>
      <c r="O25" s="92"/>
      <c r="P25" s="92"/>
      <c r="Q25" s="88"/>
      <c r="R25" s="87"/>
      <c r="S25" s="92"/>
      <c r="T25" s="92"/>
      <c r="U25" s="88"/>
      <c r="V25" s="87"/>
      <c r="W25" s="92"/>
      <c r="X25" s="92"/>
      <c r="Y25" s="88"/>
      <c r="Z25" s="87"/>
      <c r="AA25" s="92"/>
      <c r="AB25" s="92"/>
      <c r="AC25" s="88"/>
      <c r="AD25" s="87"/>
      <c r="AE25" s="92"/>
      <c r="AF25" s="92"/>
      <c r="AG25" s="88"/>
      <c r="AH25" s="87"/>
      <c r="AI25" s="92"/>
      <c r="AJ25" s="92"/>
      <c r="AK25" s="88"/>
      <c r="AL25" s="87"/>
      <c r="AM25" s="92"/>
      <c r="AN25" s="92"/>
      <c r="AO25" s="88"/>
      <c r="AP25" s="87"/>
      <c r="AQ25" s="92"/>
      <c r="AR25" s="92"/>
      <c r="AS25" s="88"/>
      <c r="AT25" s="87"/>
      <c r="AU25" s="92"/>
      <c r="AV25" s="92"/>
      <c r="AW25" s="88"/>
      <c r="AX25" s="87"/>
      <c r="AY25" s="92"/>
      <c r="AZ25" s="92"/>
      <c r="BA25" s="88"/>
      <c r="BB25" s="87"/>
      <c r="BC25" s="92"/>
      <c r="BD25" s="92"/>
      <c r="BE25" s="88"/>
      <c r="BF25" s="87"/>
      <c r="BG25" s="92"/>
      <c r="BH25" s="92"/>
      <c r="BI25" s="88"/>
      <c r="BJ25" s="87"/>
      <c r="BK25" s="92"/>
      <c r="BL25" s="92"/>
      <c r="BM25" s="88"/>
      <c r="BN25" s="87"/>
      <c r="BO25" s="92"/>
      <c r="BP25" s="92"/>
      <c r="BQ25" s="88"/>
      <c r="BR25" s="87"/>
      <c r="BS25" s="92"/>
      <c r="BT25" s="92"/>
      <c r="BU25" s="88"/>
      <c r="BV25" s="87"/>
      <c r="BW25" s="92"/>
      <c r="BX25" s="92"/>
      <c r="BY25" s="88"/>
      <c r="BZ25" s="87"/>
      <c r="CA25" s="92"/>
      <c r="CB25" s="92"/>
      <c r="CC25" s="88"/>
      <c r="CD25" s="87"/>
      <c r="CE25" s="92"/>
      <c r="CF25" s="92"/>
      <c r="CG25" s="88"/>
      <c r="CH25" s="87"/>
      <c r="CI25" s="92"/>
      <c r="CJ25" s="92"/>
      <c r="CK25" s="88"/>
      <c r="CL25" s="49"/>
      <c r="CM25" s="56"/>
    </row>
    <row r="26" spans="2:91" ht="14.25" x14ac:dyDescent="0.25">
      <c r="B26" s="55"/>
      <c r="C26" s="9" t="s">
        <v>27</v>
      </c>
      <c r="D26" s="77" t="s">
        <v>14</v>
      </c>
      <c r="E26" s="124">
        <v>0.85</v>
      </c>
      <c r="F26" s="40">
        <v>0.9</v>
      </c>
      <c r="G26" s="79">
        <v>0.9</v>
      </c>
      <c r="H26" s="79">
        <v>0.9</v>
      </c>
      <c r="I26" s="41">
        <v>0.9</v>
      </c>
      <c r="J26" s="40"/>
      <c r="K26" s="79">
        <v>0.9</v>
      </c>
      <c r="L26" s="79">
        <v>0.9</v>
      </c>
      <c r="M26" s="41">
        <v>0.9</v>
      </c>
      <c r="N26" s="40"/>
      <c r="O26" s="79"/>
      <c r="P26" s="79"/>
      <c r="Q26" s="41"/>
      <c r="R26" s="40"/>
      <c r="S26" s="79"/>
      <c r="T26" s="79"/>
      <c r="U26" s="41"/>
      <c r="V26" s="40"/>
      <c r="W26" s="79"/>
      <c r="X26" s="79"/>
      <c r="Y26" s="41"/>
      <c r="Z26" s="40"/>
      <c r="AA26" s="79"/>
      <c r="AB26" s="79"/>
      <c r="AC26" s="41"/>
      <c r="AD26" s="40"/>
      <c r="AE26" s="79"/>
      <c r="AF26" s="79"/>
      <c r="AG26" s="41"/>
      <c r="AH26" s="40"/>
      <c r="AI26" s="79"/>
      <c r="AJ26" s="79"/>
      <c r="AK26" s="41"/>
      <c r="AL26" s="40"/>
      <c r="AM26" s="79"/>
      <c r="AN26" s="79"/>
      <c r="AO26" s="41"/>
      <c r="AP26" s="40"/>
      <c r="AQ26" s="79"/>
      <c r="AR26" s="79"/>
      <c r="AS26" s="41"/>
      <c r="AT26" s="40"/>
      <c r="AU26" s="79"/>
      <c r="AV26" s="79"/>
      <c r="AW26" s="41"/>
      <c r="AX26" s="40"/>
      <c r="AY26" s="79"/>
      <c r="AZ26" s="79"/>
      <c r="BA26" s="41"/>
      <c r="BB26" s="40"/>
      <c r="BC26" s="79"/>
      <c r="BD26" s="79"/>
      <c r="BE26" s="41"/>
      <c r="BF26" s="40"/>
      <c r="BG26" s="79"/>
      <c r="BH26" s="79"/>
      <c r="BI26" s="41"/>
      <c r="BJ26" s="40"/>
      <c r="BK26" s="79"/>
      <c r="BL26" s="79"/>
      <c r="BM26" s="41"/>
      <c r="BN26" s="40"/>
      <c r="BO26" s="79"/>
      <c r="BP26" s="79"/>
      <c r="BQ26" s="41"/>
      <c r="BR26" s="40"/>
      <c r="BS26" s="79"/>
      <c r="BT26" s="79"/>
      <c r="BU26" s="41"/>
      <c r="BV26" s="40"/>
      <c r="BW26" s="79"/>
      <c r="BX26" s="79"/>
      <c r="BY26" s="41"/>
      <c r="BZ26" s="40"/>
      <c r="CA26" s="79"/>
      <c r="CB26" s="79"/>
      <c r="CC26" s="41"/>
      <c r="CD26" s="40"/>
      <c r="CE26" s="79"/>
      <c r="CF26" s="79"/>
      <c r="CG26" s="41"/>
      <c r="CH26" s="40"/>
      <c r="CI26" s="79"/>
      <c r="CJ26" s="79"/>
      <c r="CK26" s="41"/>
      <c r="CL26" s="49"/>
      <c r="CM26" s="56"/>
    </row>
    <row r="27" spans="2:91" ht="14.25" x14ac:dyDescent="0.25">
      <c r="B27" s="55"/>
      <c r="C27" s="9" t="s">
        <v>121</v>
      </c>
      <c r="D27" s="77" t="s">
        <v>23</v>
      </c>
      <c r="E27" s="127">
        <v>9</v>
      </c>
      <c r="F27" s="87">
        <v>9</v>
      </c>
      <c r="G27" s="92">
        <v>9</v>
      </c>
      <c r="H27" s="92">
        <v>9</v>
      </c>
      <c r="I27" s="88">
        <v>9</v>
      </c>
      <c r="J27" s="87"/>
      <c r="K27" s="92">
        <v>8</v>
      </c>
      <c r="L27" s="92">
        <v>9</v>
      </c>
      <c r="M27" s="88">
        <v>9</v>
      </c>
      <c r="N27" s="87"/>
      <c r="O27" s="92"/>
      <c r="P27" s="92"/>
      <c r="Q27" s="88"/>
      <c r="R27" s="87"/>
      <c r="S27" s="92"/>
      <c r="T27" s="92"/>
      <c r="U27" s="88"/>
      <c r="V27" s="87"/>
      <c r="W27" s="92"/>
      <c r="X27" s="92"/>
      <c r="Y27" s="88"/>
      <c r="Z27" s="87"/>
      <c r="AA27" s="92"/>
      <c r="AB27" s="92"/>
      <c r="AC27" s="88"/>
      <c r="AD27" s="87"/>
      <c r="AE27" s="92"/>
      <c r="AF27" s="92"/>
      <c r="AG27" s="88"/>
      <c r="AH27" s="87"/>
      <c r="AI27" s="92"/>
      <c r="AJ27" s="92"/>
      <c r="AK27" s="88"/>
      <c r="AL27" s="87"/>
      <c r="AM27" s="92"/>
      <c r="AN27" s="92"/>
      <c r="AO27" s="88"/>
      <c r="AP27" s="87"/>
      <c r="AQ27" s="92"/>
      <c r="AR27" s="92"/>
      <c r="AS27" s="88"/>
      <c r="AT27" s="87"/>
      <c r="AU27" s="92"/>
      <c r="AV27" s="92"/>
      <c r="AW27" s="88"/>
      <c r="AX27" s="87"/>
      <c r="AY27" s="92"/>
      <c r="AZ27" s="92"/>
      <c r="BA27" s="88"/>
      <c r="BB27" s="87"/>
      <c r="BC27" s="92"/>
      <c r="BD27" s="92"/>
      <c r="BE27" s="88"/>
      <c r="BF27" s="87"/>
      <c r="BG27" s="92"/>
      <c r="BH27" s="92"/>
      <c r="BI27" s="88"/>
      <c r="BJ27" s="87"/>
      <c r="BK27" s="92"/>
      <c r="BL27" s="92"/>
      <c r="BM27" s="88"/>
      <c r="BN27" s="87"/>
      <c r="BO27" s="92"/>
      <c r="BP27" s="92"/>
      <c r="BQ27" s="88"/>
      <c r="BR27" s="87"/>
      <c r="BS27" s="92"/>
      <c r="BT27" s="92"/>
      <c r="BU27" s="88"/>
      <c r="BV27" s="87"/>
      <c r="BW27" s="92"/>
      <c r="BX27" s="92"/>
      <c r="BY27" s="88"/>
      <c r="BZ27" s="87"/>
      <c r="CA27" s="92"/>
      <c r="CB27" s="92"/>
      <c r="CC27" s="88"/>
      <c r="CD27" s="87"/>
      <c r="CE27" s="92"/>
      <c r="CF27" s="92"/>
      <c r="CG27" s="88"/>
      <c r="CH27" s="87"/>
      <c r="CI27" s="92"/>
      <c r="CJ27" s="92"/>
      <c r="CK27" s="88"/>
      <c r="CL27" s="49"/>
      <c r="CM27" s="56"/>
    </row>
    <row r="28" spans="2:91" ht="14.25" x14ac:dyDescent="0.25">
      <c r="B28" s="55"/>
      <c r="C28" s="9" t="s">
        <v>29</v>
      </c>
      <c r="D28" s="77" t="s">
        <v>22</v>
      </c>
      <c r="E28" s="127">
        <v>0</v>
      </c>
      <c r="F28" s="87">
        <v>0</v>
      </c>
      <c r="G28" s="92">
        <v>0</v>
      </c>
      <c r="H28" s="92">
        <v>0</v>
      </c>
      <c r="I28" s="88">
        <v>0</v>
      </c>
      <c r="J28" s="87"/>
      <c r="K28" s="92">
        <v>0</v>
      </c>
      <c r="L28" s="92">
        <v>0</v>
      </c>
      <c r="M28" s="88">
        <v>0</v>
      </c>
      <c r="N28" s="87"/>
      <c r="O28" s="92"/>
      <c r="P28" s="92"/>
      <c r="Q28" s="88"/>
      <c r="R28" s="87"/>
      <c r="S28" s="92"/>
      <c r="T28" s="92"/>
      <c r="U28" s="88"/>
      <c r="V28" s="87"/>
      <c r="W28" s="92"/>
      <c r="X28" s="92"/>
      <c r="Y28" s="88"/>
      <c r="Z28" s="87"/>
      <c r="AA28" s="92"/>
      <c r="AB28" s="92"/>
      <c r="AC28" s="88"/>
      <c r="AD28" s="87"/>
      <c r="AE28" s="92"/>
      <c r="AF28" s="92"/>
      <c r="AG28" s="88"/>
      <c r="AH28" s="87"/>
      <c r="AI28" s="92"/>
      <c r="AJ28" s="92"/>
      <c r="AK28" s="88"/>
      <c r="AL28" s="87"/>
      <c r="AM28" s="92"/>
      <c r="AN28" s="92"/>
      <c r="AO28" s="88"/>
      <c r="AP28" s="87"/>
      <c r="AQ28" s="92"/>
      <c r="AR28" s="92"/>
      <c r="AS28" s="88"/>
      <c r="AT28" s="87"/>
      <c r="AU28" s="92"/>
      <c r="AV28" s="92"/>
      <c r="AW28" s="88"/>
      <c r="AX28" s="87"/>
      <c r="AY28" s="92"/>
      <c r="AZ28" s="92"/>
      <c r="BA28" s="88"/>
      <c r="BB28" s="87"/>
      <c r="BC28" s="92"/>
      <c r="BD28" s="92"/>
      <c r="BE28" s="88"/>
      <c r="BF28" s="87"/>
      <c r="BG28" s="92"/>
      <c r="BH28" s="92"/>
      <c r="BI28" s="88"/>
      <c r="BJ28" s="87"/>
      <c r="BK28" s="92"/>
      <c r="BL28" s="92"/>
      <c r="BM28" s="88"/>
      <c r="BN28" s="87"/>
      <c r="BO28" s="92"/>
      <c r="BP28" s="92"/>
      <c r="BQ28" s="88"/>
      <c r="BR28" s="87"/>
      <c r="BS28" s="92"/>
      <c r="BT28" s="92"/>
      <c r="BU28" s="88"/>
      <c r="BV28" s="87"/>
      <c r="BW28" s="92"/>
      <c r="BX28" s="92"/>
      <c r="BY28" s="88"/>
      <c r="BZ28" s="87"/>
      <c r="CA28" s="92"/>
      <c r="CB28" s="92"/>
      <c r="CC28" s="88"/>
      <c r="CD28" s="87"/>
      <c r="CE28" s="92"/>
      <c r="CF28" s="92"/>
      <c r="CG28" s="88"/>
      <c r="CH28" s="87"/>
      <c r="CI28" s="92"/>
      <c r="CJ28" s="92"/>
      <c r="CK28" s="88"/>
      <c r="CL28" s="49"/>
      <c r="CM28" s="56"/>
    </row>
    <row r="29" spans="2:91" ht="14.25" x14ac:dyDescent="0.25">
      <c r="B29" s="55"/>
      <c r="C29" s="9" t="s">
        <v>315</v>
      </c>
      <c r="D29" s="77" t="s">
        <v>316</v>
      </c>
      <c r="E29" s="127">
        <v>0.5</v>
      </c>
      <c r="F29" s="92">
        <v>0.5</v>
      </c>
      <c r="G29" s="92">
        <v>0.5</v>
      </c>
      <c r="H29" s="92">
        <v>0.5</v>
      </c>
      <c r="I29" s="92"/>
      <c r="J29" s="92"/>
      <c r="K29" s="92">
        <v>1</v>
      </c>
      <c r="L29" s="92">
        <v>0.1</v>
      </c>
      <c r="M29" s="92">
        <v>0.1</v>
      </c>
      <c r="N29" s="87"/>
      <c r="O29" s="92"/>
      <c r="P29" s="92"/>
      <c r="Q29" s="88"/>
      <c r="R29" s="87"/>
      <c r="S29" s="92"/>
      <c r="T29" s="92"/>
      <c r="U29" s="88"/>
      <c r="V29" s="87"/>
      <c r="W29" s="92"/>
      <c r="X29" s="92"/>
      <c r="Y29" s="88"/>
      <c r="Z29" s="87"/>
      <c r="AA29" s="92"/>
      <c r="AB29" s="92"/>
      <c r="AC29" s="88"/>
      <c r="AD29" s="87"/>
      <c r="AE29" s="92"/>
      <c r="AF29" s="92"/>
      <c r="AG29" s="88"/>
      <c r="AH29" s="87"/>
      <c r="AI29" s="92"/>
      <c r="AJ29" s="92"/>
      <c r="AK29" s="88"/>
      <c r="AL29" s="87"/>
      <c r="AM29" s="92"/>
      <c r="AN29" s="92"/>
      <c r="AO29" s="88"/>
      <c r="AP29" s="87"/>
      <c r="AQ29" s="92"/>
      <c r="AR29" s="92"/>
      <c r="AS29" s="88"/>
      <c r="AT29" s="87"/>
      <c r="AU29" s="92"/>
      <c r="AV29" s="92"/>
      <c r="AW29" s="88"/>
      <c r="AX29" s="87"/>
      <c r="AY29" s="92"/>
      <c r="AZ29" s="92"/>
      <c r="BA29" s="88"/>
      <c r="BB29" s="87"/>
      <c r="BC29" s="92"/>
      <c r="BD29" s="92"/>
      <c r="BE29" s="88"/>
      <c r="BF29" s="87"/>
      <c r="BG29" s="92"/>
      <c r="BH29" s="92"/>
      <c r="BI29" s="88"/>
      <c r="BJ29" s="87"/>
      <c r="BK29" s="92"/>
      <c r="BL29" s="92"/>
      <c r="BM29" s="88"/>
      <c r="BN29" s="87"/>
      <c r="BO29" s="92"/>
      <c r="BP29" s="92"/>
      <c r="BQ29" s="88"/>
      <c r="BR29" s="87"/>
      <c r="BS29" s="92"/>
      <c r="BT29" s="92"/>
      <c r="BU29" s="88"/>
      <c r="BV29" s="87"/>
      <c r="BW29" s="92"/>
      <c r="BX29" s="92"/>
      <c r="BY29" s="88"/>
      <c r="BZ29" s="87"/>
      <c r="CA29" s="92"/>
      <c r="CB29" s="92"/>
      <c r="CC29" s="88"/>
      <c r="CD29" s="87"/>
      <c r="CE29" s="92"/>
      <c r="CF29" s="92"/>
      <c r="CG29" s="88"/>
      <c r="CH29" s="87"/>
      <c r="CI29" s="92"/>
      <c r="CJ29" s="92"/>
      <c r="CK29" s="88"/>
      <c r="CL29" s="49"/>
      <c r="CM29" s="56"/>
    </row>
    <row r="30" spans="2:91" x14ac:dyDescent="0.25">
      <c r="B30" s="55"/>
      <c r="C30" s="9"/>
      <c r="D30" s="77" t="s">
        <v>288</v>
      </c>
      <c r="E30" s="127" t="s">
        <v>290</v>
      </c>
      <c r="F30" s="92" t="s">
        <v>289</v>
      </c>
      <c r="G30" s="92" t="s">
        <v>289</v>
      </c>
      <c r="H30" s="92" t="s">
        <v>289</v>
      </c>
      <c r="I30" s="92" t="s">
        <v>289</v>
      </c>
      <c r="J30" s="92"/>
      <c r="K30" s="92" t="s">
        <v>290</v>
      </c>
      <c r="L30" s="92" t="s">
        <v>291</v>
      </c>
      <c r="M30" s="92" t="s">
        <v>291</v>
      </c>
      <c r="N30" s="87"/>
      <c r="O30" s="92"/>
      <c r="P30" s="92"/>
      <c r="Q30" s="88"/>
      <c r="R30" s="87"/>
      <c r="S30" s="92"/>
      <c r="T30" s="92"/>
      <c r="U30" s="88"/>
      <c r="V30" s="87"/>
      <c r="W30" s="92"/>
      <c r="X30" s="92"/>
      <c r="Y30" s="88"/>
      <c r="Z30" s="87"/>
      <c r="AA30" s="92"/>
      <c r="AB30" s="92"/>
      <c r="AC30" s="88"/>
      <c r="AD30" s="87"/>
      <c r="AE30" s="92"/>
      <c r="AF30" s="92"/>
      <c r="AG30" s="88"/>
      <c r="AH30" s="87"/>
      <c r="AI30" s="92"/>
      <c r="AJ30" s="92"/>
      <c r="AK30" s="88"/>
      <c r="AL30" s="87"/>
      <c r="AM30" s="92"/>
      <c r="AN30" s="92"/>
      <c r="AO30" s="88"/>
      <c r="AP30" s="87"/>
      <c r="AQ30" s="92"/>
      <c r="AR30" s="92"/>
      <c r="AS30" s="88"/>
      <c r="AT30" s="87"/>
      <c r="AU30" s="92"/>
      <c r="AV30" s="92"/>
      <c r="AW30" s="88"/>
      <c r="AX30" s="87"/>
      <c r="AY30" s="92"/>
      <c r="AZ30" s="92"/>
      <c r="BA30" s="88"/>
      <c r="BB30" s="87"/>
      <c r="BC30" s="92"/>
      <c r="BD30" s="92"/>
      <c r="BE30" s="88"/>
      <c r="BF30" s="87"/>
      <c r="BG30" s="92"/>
      <c r="BH30" s="92"/>
      <c r="BI30" s="88"/>
      <c r="BJ30" s="87"/>
      <c r="BK30" s="92"/>
      <c r="BL30" s="92"/>
      <c r="BM30" s="88"/>
      <c r="BN30" s="87"/>
      <c r="BO30" s="92"/>
      <c r="BP30" s="92"/>
      <c r="BQ30" s="88"/>
      <c r="BR30" s="87"/>
      <c r="BS30" s="92"/>
      <c r="BT30" s="92"/>
      <c r="BU30" s="88"/>
      <c r="BV30" s="87"/>
      <c r="BW30" s="92"/>
      <c r="BX30" s="92"/>
      <c r="BY30" s="88"/>
      <c r="BZ30" s="87"/>
      <c r="CA30" s="92"/>
      <c r="CB30" s="92"/>
      <c r="CC30" s="88"/>
      <c r="CD30" s="87"/>
      <c r="CE30" s="92"/>
      <c r="CF30" s="92"/>
      <c r="CG30" s="88"/>
      <c r="CH30" s="87"/>
      <c r="CI30" s="92"/>
      <c r="CJ30" s="92"/>
      <c r="CK30" s="88"/>
      <c r="CL30" s="49"/>
      <c r="CM30" s="56"/>
    </row>
    <row r="31" spans="2:91" x14ac:dyDescent="0.25">
      <c r="B31" s="55"/>
      <c r="C31" s="9"/>
      <c r="D31" s="77" t="s">
        <v>173</v>
      </c>
      <c r="E31" s="124" t="s">
        <v>74</v>
      </c>
      <c r="F31" s="40" t="s">
        <v>74</v>
      </c>
      <c r="G31" s="79" t="s">
        <v>74</v>
      </c>
      <c r="H31" s="79" t="s">
        <v>74</v>
      </c>
      <c r="I31" s="41" t="s">
        <v>74</v>
      </c>
      <c r="J31" s="40"/>
      <c r="K31" s="79" t="s">
        <v>74</v>
      </c>
      <c r="L31" s="79" t="s">
        <v>74</v>
      </c>
      <c r="M31" s="41" t="s">
        <v>74</v>
      </c>
      <c r="N31" s="40"/>
      <c r="O31" s="79"/>
      <c r="P31" s="79"/>
      <c r="Q31" s="41"/>
      <c r="R31" s="40"/>
      <c r="S31" s="79"/>
      <c r="T31" s="79"/>
      <c r="U31" s="41"/>
      <c r="V31" s="40"/>
      <c r="W31" s="79"/>
      <c r="X31" s="79"/>
      <c r="Y31" s="41"/>
      <c r="Z31" s="40"/>
      <c r="AA31" s="79"/>
      <c r="AB31" s="79"/>
      <c r="AC31" s="41"/>
      <c r="AD31" s="40"/>
      <c r="AE31" s="79"/>
      <c r="AF31" s="79"/>
      <c r="AG31" s="41"/>
      <c r="AH31" s="40"/>
      <c r="AI31" s="79"/>
      <c r="AJ31" s="79"/>
      <c r="AK31" s="41"/>
      <c r="AL31" s="40"/>
      <c r="AM31" s="79"/>
      <c r="AN31" s="79"/>
      <c r="AO31" s="41"/>
      <c r="AP31" s="40"/>
      <c r="AQ31" s="79"/>
      <c r="AR31" s="79"/>
      <c r="AS31" s="41"/>
      <c r="AT31" s="40"/>
      <c r="AU31" s="79"/>
      <c r="AV31" s="79"/>
      <c r="AW31" s="41"/>
      <c r="AX31" s="40"/>
      <c r="AY31" s="79"/>
      <c r="AZ31" s="79"/>
      <c r="BA31" s="41"/>
      <c r="BB31" s="40"/>
      <c r="BC31" s="79"/>
      <c r="BD31" s="79"/>
      <c r="BE31" s="41"/>
      <c r="BF31" s="40"/>
      <c r="BG31" s="79"/>
      <c r="BH31" s="79"/>
      <c r="BI31" s="41"/>
      <c r="BJ31" s="40"/>
      <c r="BK31" s="79"/>
      <c r="BL31" s="79"/>
      <c r="BM31" s="41"/>
      <c r="BN31" s="40"/>
      <c r="BO31" s="79"/>
      <c r="BP31" s="79"/>
      <c r="BQ31" s="41"/>
      <c r="BR31" s="40"/>
      <c r="BS31" s="79"/>
      <c r="BT31" s="79"/>
      <c r="BU31" s="41"/>
      <c r="BV31" s="40"/>
      <c r="BW31" s="79"/>
      <c r="BX31" s="79"/>
      <c r="BY31" s="41"/>
      <c r="BZ31" s="40"/>
      <c r="CA31" s="79"/>
      <c r="CB31" s="79"/>
      <c r="CC31" s="41"/>
      <c r="CD31" s="40"/>
      <c r="CE31" s="79"/>
      <c r="CF31" s="79"/>
      <c r="CG31" s="41"/>
      <c r="CH31" s="40"/>
      <c r="CI31" s="79"/>
      <c r="CJ31" s="79"/>
      <c r="CK31" s="41"/>
      <c r="CL31" s="49"/>
      <c r="CM31" s="28"/>
    </row>
    <row r="32" spans="2:91" ht="15.75" x14ac:dyDescent="0.25">
      <c r="B32" s="55"/>
      <c r="C32" s="9"/>
      <c r="D32" s="110" t="s">
        <v>238</v>
      </c>
      <c r="E32" s="124" t="s">
        <v>74</v>
      </c>
      <c r="F32" s="40" t="s">
        <v>74</v>
      </c>
      <c r="G32" s="79" t="s">
        <v>74</v>
      </c>
      <c r="H32" s="79" t="s">
        <v>74</v>
      </c>
      <c r="I32" s="41" t="s">
        <v>74</v>
      </c>
      <c r="J32" s="40"/>
      <c r="K32" s="79" t="s">
        <v>64</v>
      </c>
      <c r="L32" s="79" t="s">
        <v>74</v>
      </c>
      <c r="M32" s="41" t="s">
        <v>74</v>
      </c>
      <c r="N32" s="40"/>
      <c r="O32" s="79"/>
      <c r="P32" s="79"/>
      <c r="Q32" s="41"/>
      <c r="R32" s="40"/>
      <c r="S32" s="79"/>
      <c r="T32" s="79"/>
      <c r="U32" s="41"/>
      <c r="V32" s="40"/>
      <c r="W32" s="79"/>
      <c r="X32" s="79"/>
      <c r="Y32" s="41"/>
      <c r="Z32" s="40"/>
      <c r="AA32" s="79"/>
      <c r="AB32" s="79"/>
      <c r="AC32" s="41"/>
      <c r="AD32" s="40"/>
      <c r="AE32" s="79"/>
      <c r="AF32" s="79"/>
      <c r="AG32" s="41"/>
      <c r="AH32" s="40"/>
      <c r="AI32" s="79"/>
      <c r="AJ32" s="79"/>
      <c r="AK32" s="41"/>
      <c r="AL32" s="40"/>
      <c r="AM32" s="79"/>
      <c r="AN32" s="79"/>
      <c r="AO32" s="41"/>
      <c r="AP32" s="40"/>
      <c r="AQ32" s="79"/>
      <c r="AR32" s="79"/>
      <c r="AS32" s="41"/>
      <c r="AT32" s="40"/>
      <c r="AU32" s="79"/>
      <c r="AV32" s="79"/>
      <c r="AW32" s="41"/>
      <c r="AX32" s="40"/>
      <c r="AY32" s="79"/>
      <c r="AZ32" s="79"/>
      <c r="BA32" s="41"/>
      <c r="BB32" s="40"/>
      <c r="BC32" s="79"/>
      <c r="BD32" s="79"/>
      <c r="BE32" s="41"/>
      <c r="BF32" s="40"/>
      <c r="BG32" s="79"/>
      <c r="BH32" s="79"/>
      <c r="BI32" s="41"/>
      <c r="BJ32" s="40"/>
      <c r="BK32" s="79"/>
      <c r="BL32" s="79"/>
      <c r="BM32" s="41"/>
      <c r="BN32" s="40"/>
      <c r="BO32" s="79"/>
      <c r="BP32" s="79"/>
      <c r="BQ32" s="41"/>
      <c r="BR32" s="40"/>
      <c r="BS32" s="79"/>
      <c r="BT32" s="79"/>
      <c r="BU32" s="41"/>
      <c r="BV32" s="40"/>
      <c r="BW32" s="79"/>
      <c r="BX32" s="79"/>
      <c r="BY32" s="41"/>
      <c r="BZ32" s="40"/>
      <c r="CA32" s="79"/>
      <c r="CB32" s="79"/>
      <c r="CC32" s="41"/>
      <c r="CD32" s="40"/>
      <c r="CE32" s="79"/>
      <c r="CF32" s="79"/>
      <c r="CG32" s="41"/>
      <c r="CH32" s="40"/>
      <c r="CI32" s="79"/>
      <c r="CJ32" s="79"/>
      <c r="CK32" s="41"/>
      <c r="CL32" s="49"/>
      <c r="CM32" s="28"/>
    </row>
    <row r="33" spans="1:91" x14ac:dyDescent="0.25">
      <c r="B33" s="55"/>
      <c r="C33" s="37"/>
      <c r="D33" s="60"/>
      <c r="E33" s="122"/>
      <c r="F33" s="37"/>
      <c r="G33" s="37"/>
      <c r="H33" s="37"/>
      <c r="I33" s="37"/>
      <c r="J33" s="37"/>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c r="BU33" s="37"/>
      <c r="BV33" s="37"/>
      <c r="BW33" s="37"/>
      <c r="BX33" s="37"/>
      <c r="BY33" s="37"/>
      <c r="BZ33" s="37"/>
      <c r="CA33" s="37"/>
      <c r="CB33" s="37"/>
      <c r="CC33" s="37"/>
      <c r="CD33" s="37"/>
      <c r="CE33" s="37"/>
      <c r="CF33" s="37"/>
      <c r="CG33" s="37"/>
      <c r="CH33" s="37"/>
      <c r="CI33" s="37"/>
      <c r="CJ33" s="37"/>
      <c r="CK33" s="37"/>
      <c r="CL33" s="37"/>
      <c r="CM33" s="28"/>
    </row>
    <row r="34" spans="1:91" x14ac:dyDescent="0.25">
      <c r="A34" s="22"/>
      <c r="B34" s="61"/>
      <c r="C34" s="182" t="s">
        <v>24</v>
      </c>
      <c r="D34" s="183"/>
      <c r="E34" s="138"/>
      <c r="F34" s="182"/>
      <c r="G34" s="183"/>
      <c r="H34" s="183"/>
      <c r="I34" s="188"/>
      <c r="J34" s="182"/>
      <c r="K34" s="183"/>
      <c r="L34" s="183"/>
      <c r="M34" s="188"/>
      <c r="N34" s="182"/>
      <c r="O34" s="183"/>
      <c r="P34" s="183"/>
      <c r="Q34" s="188"/>
      <c r="R34" s="182"/>
      <c r="S34" s="183"/>
      <c r="T34" s="183"/>
      <c r="U34" s="188"/>
      <c r="V34" s="182"/>
      <c r="W34" s="183"/>
      <c r="X34" s="183"/>
      <c r="Y34" s="188"/>
      <c r="Z34" s="182"/>
      <c r="AA34" s="183"/>
      <c r="AB34" s="183"/>
      <c r="AC34" s="188"/>
      <c r="AD34" s="182"/>
      <c r="AE34" s="183"/>
      <c r="AF34" s="183"/>
      <c r="AG34" s="188"/>
      <c r="AH34" s="182"/>
      <c r="AI34" s="183"/>
      <c r="AJ34" s="183"/>
      <c r="AK34" s="188"/>
      <c r="AL34" s="182"/>
      <c r="AM34" s="183"/>
      <c r="AN34" s="183"/>
      <c r="AO34" s="188"/>
      <c r="AP34" s="182"/>
      <c r="AQ34" s="183"/>
      <c r="AR34" s="183"/>
      <c r="AS34" s="188"/>
      <c r="AT34" s="182"/>
      <c r="AU34" s="183"/>
      <c r="AV34" s="183"/>
      <c r="AW34" s="188"/>
      <c r="AX34" s="182"/>
      <c r="AY34" s="183"/>
      <c r="AZ34" s="183"/>
      <c r="BA34" s="188"/>
      <c r="BB34" s="182"/>
      <c r="BC34" s="183"/>
      <c r="BD34" s="183"/>
      <c r="BE34" s="188"/>
      <c r="BF34" s="182"/>
      <c r="BG34" s="183"/>
      <c r="BH34" s="183"/>
      <c r="BI34" s="188"/>
      <c r="BJ34" s="182"/>
      <c r="BK34" s="183"/>
      <c r="BL34" s="183"/>
      <c r="BM34" s="188"/>
      <c r="BN34" s="182"/>
      <c r="BO34" s="183"/>
      <c r="BP34" s="183"/>
      <c r="BQ34" s="188"/>
      <c r="BR34" s="182"/>
      <c r="BS34" s="183"/>
      <c r="BT34" s="183"/>
      <c r="BU34" s="188"/>
      <c r="BV34" s="182"/>
      <c r="BW34" s="183"/>
      <c r="BX34" s="183"/>
      <c r="BY34" s="188"/>
      <c r="BZ34" s="182"/>
      <c r="CA34" s="183"/>
      <c r="CB34" s="183"/>
      <c r="CC34" s="188"/>
      <c r="CD34" s="182"/>
      <c r="CE34" s="183"/>
      <c r="CF34" s="183"/>
      <c r="CG34" s="188"/>
      <c r="CH34" s="182"/>
      <c r="CI34" s="183"/>
      <c r="CJ34" s="183"/>
      <c r="CK34" s="188"/>
      <c r="CL34" s="49"/>
      <c r="CM34" s="28"/>
    </row>
    <row r="35" spans="1:91" ht="15.75" x14ac:dyDescent="0.25">
      <c r="B35" s="55"/>
      <c r="C35" s="4"/>
      <c r="D35" s="78" t="s">
        <v>236</v>
      </c>
      <c r="E35" s="139"/>
      <c r="F35" s="4"/>
      <c r="G35" s="19"/>
      <c r="H35" s="19"/>
      <c r="I35" s="5"/>
      <c r="J35" s="4"/>
      <c r="K35" s="19"/>
      <c r="L35" s="19"/>
      <c r="M35" s="5"/>
      <c r="N35" s="4"/>
      <c r="O35" s="19"/>
      <c r="P35" s="19"/>
      <c r="Q35" s="5"/>
      <c r="R35" s="4"/>
      <c r="S35" s="19"/>
      <c r="T35" s="19"/>
      <c r="U35" s="5"/>
      <c r="V35" s="4"/>
      <c r="W35" s="19"/>
      <c r="X35" s="19"/>
      <c r="Y35" s="5"/>
      <c r="Z35" s="4"/>
      <c r="AA35" s="19"/>
      <c r="AB35" s="19"/>
      <c r="AC35" s="5"/>
      <c r="AD35" s="4"/>
      <c r="AE35" s="19"/>
      <c r="AF35" s="19"/>
      <c r="AG35" s="5"/>
      <c r="AH35" s="4"/>
      <c r="AI35" s="19"/>
      <c r="AJ35" s="19"/>
      <c r="AK35" s="5"/>
      <c r="AL35" s="4"/>
      <c r="AM35" s="19"/>
      <c r="AN35" s="19"/>
      <c r="AO35" s="5"/>
      <c r="AP35" s="4"/>
      <c r="AQ35" s="19"/>
      <c r="AR35" s="19"/>
      <c r="AS35" s="5"/>
      <c r="AT35" s="4"/>
      <c r="AU35" s="19"/>
      <c r="AV35" s="19"/>
      <c r="AW35" s="5"/>
      <c r="AX35" s="4"/>
      <c r="AY35" s="19"/>
      <c r="AZ35" s="19"/>
      <c r="BA35" s="5"/>
      <c r="BB35" s="4"/>
      <c r="BC35" s="19"/>
      <c r="BD35" s="19"/>
      <c r="BE35" s="5"/>
      <c r="BF35" s="4"/>
      <c r="BG35" s="19"/>
      <c r="BH35" s="19"/>
      <c r="BI35" s="5"/>
      <c r="BJ35" s="4"/>
      <c r="BK35" s="19"/>
      <c r="BL35" s="19"/>
      <c r="BM35" s="5"/>
      <c r="BN35" s="4"/>
      <c r="BO35" s="19"/>
      <c r="BP35" s="19"/>
      <c r="BQ35" s="5"/>
      <c r="BR35" s="4"/>
      <c r="BS35" s="19"/>
      <c r="BT35" s="19"/>
      <c r="BU35" s="5"/>
      <c r="BV35" s="4"/>
      <c r="BW35" s="19"/>
      <c r="BX35" s="19"/>
      <c r="BY35" s="5"/>
      <c r="BZ35" s="4"/>
      <c r="CA35" s="19"/>
      <c r="CB35" s="19"/>
      <c r="CC35" s="5"/>
      <c r="CD35" s="4"/>
      <c r="CE35" s="19"/>
      <c r="CF35" s="19"/>
      <c r="CG35" s="5"/>
      <c r="CH35" s="4"/>
      <c r="CI35" s="19"/>
      <c r="CJ35" s="19"/>
      <c r="CK35" s="5"/>
      <c r="CL35" s="49"/>
      <c r="CM35" s="28"/>
    </row>
    <row r="36" spans="1:91" ht="14.25" x14ac:dyDescent="0.25">
      <c r="B36" s="55"/>
      <c r="C36" s="10" t="s">
        <v>292</v>
      </c>
      <c r="D36" s="94" t="s">
        <v>296</v>
      </c>
      <c r="E36" s="130">
        <f>(E23/3.5) + 3</f>
        <v>18.428571428571431</v>
      </c>
      <c r="F36" s="167">
        <f>(F23/3.5) + 3</f>
        <v>23.571428571428573</v>
      </c>
      <c r="G36" s="169">
        <f>(G23/3.5) + 3</f>
        <v>23.571428571428573</v>
      </c>
      <c r="H36" s="169">
        <f>(H23/3.5) + 3</f>
        <v>19</v>
      </c>
      <c r="I36" s="169">
        <f t="shared" ref="I36" si="0">(I23/3.5) + 3</f>
        <v>19</v>
      </c>
      <c r="J36" s="167">
        <f>(J23/3.5) + 3</f>
        <v>3</v>
      </c>
      <c r="K36" s="169">
        <f>(K23/3.5) + 3</f>
        <v>12.142857142857142</v>
      </c>
      <c r="L36" s="169">
        <f>(L23/3.5) + 3</f>
        <v>19</v>
      </c>
      <c r="M36" s="168">
        <f t="shared" ref="M36" si="1">(M23/3.5) + 3</f>
        <v>19</v>
      </c>
      <c r="N36" s="167"/>
      <c r="O36" s="169"/>
      <c r="P36" s="169"/>
      <c r="Q36" s="168"/>
      <c r="R36" s="167"/>
      <c r="S36" s="169"/>
      <c r="T36" s="169"/>
      <c r="U36" s="168"/>
      <c r="V36" s="167"/>
      <c r="W36" s="169"/>
      <c r="X36" s="169"/>
      <c r="Y36" s="168"/>
      <c r="Z36" s="167"/>
      <c r="AA36" s="169"/>
      <c r="AB36" s="169"/>
      <c r="AC36" s="168"/>
      <c r="AD36" s="167"/>
      <c r="AE36" s="169"/>
      <c r="AF36" s="169"/>
      <c r="AG36" s="168"/>
      <c r="AH36" s="167"/>
      <c r="AI36" s="169"/>
      <c r="AJ36" s="169"/>
      <c r="AK36" s="168"/>
      <c r="AL36" s="167"/>
      <c r="AM36" s="169"/>
      <c r="AN36" s="169"/>
      <c r="AO36" s="168"/>
      <c r="AP36" s="167"/>
      <c r="AQ36" s="169"/>
      <c r="AR36" s="169"/>
      <c r="AS36" s="168"/>
      <c r="AT36" s="167"/>
      <c r="AU36" s="169"/>
      <c r="AV36" s="169"/>
      <c r="AW36" s="168"/>
      <c r="AX36" s="167"/>
      <c r="AY36" s="169"/>
      <c r="AZ36" s="169"/>
      <c r="BA36" s="168"/>
      <c r="BB36" s="167"/>
      <c r="BC36" s="169"/>
      <c r="BD36" s="169"/>
      <c r="BE36" s="168"/>
      <c r="BF36" s="167"/>
      <c r="BG36" s="169"/>
      <c r="BH36" s="169"/>
      <c r="BI36" s="168"/>
      <c r="BJ36" s="167"/>
      <c r="BK36" s="169"/>
      <c r="BL36" s="169"/>
      <c r="BM36" s="168"/>
      <c r="BN36" s="167"/>
      <c r="BO36" s="169"/>
      <c r="BP36" s="169"/>
      <c r="BQ36" s="168"/>
      <c r="BR36" s="167"/>
      <c r="BS36" s="169"/>
      <c r="BT36" s="169"/>
      <c r="BU36" s="168"/>
      <c r="BV36" s="167"/>
      <c r="BW36" s="169"/>
      <c r="BX36" s="169"/>
      <c r="BY36" s="168"/>
      <c r="BZ36" s="167"/>
      <c r="CA36" s="169"/>
      <c r="CB36" s="169"/>
      <c r="CC36" s="168"/>
      <c r="CD36" s="167"/>
      <c r="CE36" s="169"/>
      <c r="CF36" s="169"/>
      <c r="CG36" s="168"/>
      <c r="CH36" s="167"/>
      <c r="CI36" s="169"/>
      <c r="CJ36" s="169"/>
      <c r="CK36" s="168"/>
      <c r="CL36" s="49"/>
      <c r="CM36" s="28"/>
    </row>
    <row r="37" spans="1:91" x14ac:dyDescent="0.25">
      <c r="B37" s="55"/>
      <c r="C37" s="10" t="s">
        <v>299</v>
      </c>
      <c r="D37" s="94" t="s">
        <v>301</v>
      </c>
      <c r="E37" s="130">
        <f t="shared" ref="E37:M37" si="2">E15/3600</f>
        <v>0.16666666666666666</v>
      </c>
      <c r="F37" s="169">
        <f t="shared" si="2"/>
        <v>0.42722222222222223</v>
      </c>
      <c r="G37" s="169">
        <f t="shared" si="2"/>
        <v>0.42722222222222223</v>
      </c>
      <c r="H37" s="169">
        <f t="shared" si="2"/>
        <v>0.25277777777777777</v>
      </c>
      <c r="I37" s="169">
        <f t="shared" si="2"/>
        <v>0.25277777777777777</v>
      </c>
      <c r="J37" s="167">
        <f t="shared" si="2"/>
        <v>0</v>
      </c>
      <c r="K37" s="169">
        <f t="shared" si="2"/>
        <v>1.5277777777777777E-2</v>
      </c>
      <c r="L37" s="169">
        <f t="shared" si="2"/>
        <v>0.22194444444444444</v>
      </c>
      <c r="M37" s="168">
        <f t="shared" si="2"/>
        <v>0.22194444444444444</v>
      </c>
      <c r="N37" s="167"/>
      <c r="O37" s="169"/>
      <c r="P37" s="169"/>
      <c r="Q37" s="168"/>
      <c r="R37" s="167"/>
      <c r="S37" s="169"/>
      <c r="T37" s="169"/>
      <c r="U37" s="168"/>
      <c r="V37" s="167"/>
      <c r="W37" s="169"/>
      <c r="X37" s="169"/>
      <c r="Y37" s="168"/>
      <c r="Z37" s="167"/>
      <c r="AA37" s="169"/>
      <c r="AB37" s="169"/>
      <c r="AC37" s="168"/>
      <c r="AD37" s="167"/>
      <c r="AE37" s="169"/>
      <c r="AF37" s="169"/>
      <c r="AG37" s="168"/>
      <c r="AH37" s="167"/>
      <c r="AI37" s="169"/>
      <c r="AJ37" s="169"/>
      <c r="AK37" s="168"/>
      <c r="AL37" s="167"/>
      <c r="AM37" s="169"/>
      <c r="AN37" s="169"/>
      <c r="AO37" s="168"/>
      <c r="AP37" s="167"/>
      <c r="AQ37" s="169"/>
      <c r="AR37" s="169"/>
      <c r="AS37" s="168"/>
      <c r="AT37" s="167"/>
      <c r="AU37" s="169"/>
      <c r="AV37" s="169"/>
      <c r="AW37" s="168"/>
      <c r="AX37" s="167"/>
      <c r="AY37" s="169"/>
      <c r="AZ37" s="169"/>
      <c r="BA37" s="168"/>
      <c r="BB37" s="167"/>
      <c r="BC37" s="169"/>
      <c r="BD37" s="169"/>
      <c r="BE37" s="168"/>
      <c r="BF37" s="167"/>
      <c r="BG37" s="169"/>
      <c r="BH37" s="169"/>
      <c r="BI37" s="168"/>
      <c r="BJ37" s="167"/>
      <c r="BK37" s="169"/>
      <c r="BL37" s="169"/>
      <c r="BM37" s="168"/>
      <c r="BN37" s="167"/>
      <c r="BO37" s="169"/>
      <c r="BP37" s="169"/>
      <c r="BQ37" s="168"/>
      <c r="BR37" s="167"/>
      <c r="BS37" s="169"/>
      <c r="BT37" s="169"/>
      <c r="BU37" s="168"/>
      <c r="BV37" s="167"/>
      <c r="BW37" s="169"/>
      <c r="BX37" s="169"/>
      <c r="BY37" s="168"/>
      <c r="BZ37" s="167"/>
      <c r="CA37" s="169"/>
      <c r="CB37" s="169"/>
      <c r="CC37" s="168"/>
      <c r="CD37" s="167"/>
      <c r="CE37" s="169"/>
      <c r="CF37" s="169"/>
      <c r="CG37" s="168"/>
      <c r="CH37" s="167"/>
      <c r="CI37" s="169"/>
      <c r="CJ37" s="169"/>
      <c r="CK37" s="168"/>
      <c r="CL37" s="49"/>
      <c r="CM37" s="28"/>
    </row>
    <row r="38" spans="1:91" ht="14.25" x14ac:dyDescent="0.25">
      <c r="B38" s="55"/>
      <c r="C38" s="10" t="s">
        <v>297</v>
      </c>
      <c r="D38" s="94" t="s">
        <v>300</v>
      </c>
      <c r="E38" s="130">
        <f t="shared" ref="E38:M38" si="3">E18/3600</f>
        <v>2.7777777777777776E-2</v>
      </c>
      <c r="F38" s="169">
        <f t="shared" si="3"/>
        <v>2.7777777777777776E-2</v>
      </c>
      <c r="G38" s="169">
        <f t="shared" si="3"/>
        <v>2.7777777777777776E-2</v>
      </c>
      <c r="H38" s="169">
        <f t="shared" si="3"/>
        <v>2.7777777777777776E-2</v>
      </c>
      <c r="I38" s="169">
        <f t="shared" si="3"/>
        <v>2.7777777777777776E-2</v>
      </c>
      <c r="J38" s="167">
        <f t="shared" si="3"/>
        <v>0</v>
      </c>
      <c r="K38" s="169">
        <f t="shared" si="3"/>
        <v>4.5277777777777778E-2</v>
      </c>
      <c r="L38" s="169">
        <f t="shared" si="3"/>
        <v>2.7777777777777776E-2</v>
      </c>
      <c r="M38" s="168">
        <f t="shared" si="3"/>
        <v>0</v>
      </c>
      <c r="N38" s="167"/>
      <c r="O38" s="169"/>
      <c r="P38" s="169"/>
      <c r="Q38" s="168"/>
      <c r="R38" s="167"/>
      <c r="S38" s="169"/>
      <c r="T38" s="169"/>
      <c r="U38" s="168"/>
      <c r="V38" s="167"/>
      <c r="W38" s="169"/>
      <c r="X38" s="169"/>
      <c r="Y38" s="168"/>
      <c r="Z38" s="167"/>
      <c r="AA38" s="169"/>
      <c r="AB38" s="169"/>
      <c r="AC38" s="168"/>
      <c r="AD38" s="167"/>
      <c r="AE38" s="169"/>
      <c r="AF38" s="169"/>
      <c r="AG38" s="168"/>
      <c r="AH38" s="167"/>
      <c r="AI38" s="169"/>
      <c r="AJ38" s="169"/>
      <c r="AK38" s="168"/>
      <c r="AL38" s="167"/>
      <c r="AM38" s="169"/>
      <c r="AN38" s="169"/>
      <c r="AO38" s="168"/>
      <c r="AP38" s="167"/>
      <c r="AQ38" s="169"/>
      <c r="AR38" s="169"/>
      <c r="AS38" s="168"/>
      <c r="AT38" s="167"/>
      <c r="AU38" s="169"/>
      <c r="AV38" s="169"/>
      <c r="AW38" s="168"/>
      <c r="AX38" s="167"/>
      <c r="AY38" s="169"/>
      <c r="AZ38" s="169"/>
      <c r="BA38" s="168"/>
      <c r="BB38" s="167"/>
      <c r="BC38" s="169"/>
      <c r="BD38" s="169"/>
      <c r="BE38" s="168"/>
      <c r="BF38" s="167"/>
      <c r="BG38" s="169"/>
      <c r="BH38" s="169"/>
      <c r="BI38" s="168"/>
      <c r="BJ38" s="167"/>
      <c r="BK38" s="169"/>
      <c r="BL38" s="169"/>
      <c r="BM38" s="168"/>
      <c r="BN38" s="167"/>
      <c r="BO38" s="169"/>
      <c r="BP38" s="169"/>
      <c r="BQ38" s="168"/>
      <c r="BR38" s="167"/>
      <c r="BS38" s="169"/>
      <c r="BT38" s="169"/>
      <c r="BU38" s="168"/>
      <c r="BV38" s="167"/>
      <c r="BW38" s="169"/>
      <c r="BX38" s="169"/>
      <c r="BY38" s="168"/>
      <c r="BZ38" s="167"/>
      <c r="CA38" s="169"/>
      <c r="CB38" s="169"/>
      <c r="CC38" s="168"/>
      <c r="CD38" s="167"/>
      <c r="CE38" s="169"/>
      <c r="CF38" s="169"/>
      <c r="CG38" s="168"/>
      <c r="CH38" s="167"/>
      <c r="CI38" s="169"/>
      <c r="CJ38" s="169"/>
      <c r="CK38" s="168"/>
      <c r="CL38" s="49"/>
      <c r="CM38" s="28"/>
    </row>
    <row r="39" spans="1:91" ht="14.25" x14ac:dyDescent="0.25">
      <c r="B39" s="55"/>
      <c r="C39" s="10" t="s">
        <v>294</v>
      </c>
      <c r="D39" s="94" t="s">
        <v>302</v>
      </c>
      <c r="E39" s="130">
        <f t="shared" ref="E39:M39" si="4">ROUND(8*(E40 - 1)/E22,0)</f>
        <v>2</v>
      </c>
      <c r="F39" s="167">
        <f t="shared" si="4"/>
        <v>961</v>
      </c>
      <c r="G39" s="169">
        <f t="shared" si="4"/>
        <v>961</v>
      </c>
      <c r="H39" s="169">
        <f t="shared" si="4"/>
        <v>8</v>
      </c>
      <c r="I39" s="168">
        <f t="shared" si="4"/>
        <v>8</v>
      </c>
      <c r="J39" s="167" t="e">
        <f t="shared" si="4"/>
        <v>#DIV/0!</v>
      </c>
      <c r="K39" s="169">
        <f t="shared" si="4"/>
        <v>0</v>
      </c>
      <c r="L39" s="169">
        <f t="shared" si="4"/>
        <v>5</v>
      </c>
      <c r="M39" s="168" t="e">
        <f t="shared" si="4"/>
        <v>#DIV/0!</v>
      </c>
      <c r="N39" s="167"/>
      <c r="O39" s="169"/>
      <c r="P39" s="169"/>
      <c r="Q39" s="168"/>
      <c r="R39" s="167"/>
      <c r="S39" s="169"/>
      <c r="T39" s="169"/>
      <c r="U39" s="168"/>
      <c r="V39" s="167"/>
      <c r="W39" s="169"/>
      <c r="X39" s="169"/>
      <c r="Y39" s="168"/>
      <c r="Z39" s="167"/>
      <c r="AA39" s="169"/>
      <c r="AB39" s="169"/>
      <c r="AC39" s="168"/>
      <c r="AD39" s="167"/>
      <c r="AE39" s="169"/>
      <c r="AF39" s="169"/>
      <c r="AG39" s="168"/>
      <c r="AH39" s="167"/>
      <c r="AI39" s="169"/>
      <c r="AJ39" s="169"/>
      <c r="AK39" s="168"/>
      <c r="AL39" s="167"/>
      <c r="AM39" s="169"/>
      <c r="AN39" s="169"/>
      <c r="AO39" s="168"/>
      <c r="AP39" s="167"/>
      <c r="AQ39" s="169"/>
      <c r="AR39" s="169"/>
      <c r="AS39" s="168"/>
      <c r="AT39" s="167"/>
      <c r="AU39" s="169"/>
      <c r="AV39" s="169"/>
      <c r="AW39" s="168"/>
      <c r="AX39" s="167"/>
      <c r="AY39" s="169"/>
      <c r="AZ39" s="169"/>
      <c r="BA39" s="168"/>
      <c r="BB39" s="167"/>
      <c r="BC39" s="169"/>
      <c r="BD39" s="169"/>
      <c r="BE39" s="168"/>
      <c r="BF39" s="167"/>
      <c r="BG39" s="169"/>
      <c r="BH39" s="169"/>
      <c r="BI39" s="168"/>
      <c r="BJ39" s="167"/>
      <c r="BK39" s="169"/>
      <c r="BL39" s="169"/>
      <c r="BM39" s="168"/>
      <c r="BN39" s="167"/>
      <c r="BO39" s="169"/>
      <c r="BP39" s="169"/>
      <c r="BQ39" s="168"/>
      <c r="BR39" s="167"/>
      <c r="BS39" s="169"/>
      <c r="BT39" s="169"/>
      <c r="BU39" s="168"/>
      <c r="BV39" s="167"/>
      <c r="BW39" s="169"/>
      <c r="BX39" s="169"/>
      <c r="BY39" s="168"/>
      <c r="BZ39" s="167"/>
      <c r="CA39" s="169"/>
      <c r="CB39" s="169"/>
      <c r="CC39" s="168"/>
      <c r="CD39" s="167"/>
      <c r="CE39" s="169"/>
      <c r="CF39" s="169"/>
      <c r="CG39" s="168"/>
      <c r="CH39" s="167"/>
      <c r="CI39" s="169"/>
      <c r="CJ39" s="169"/>
      <c r="CK39" s="168"/>
      <c r="CL39" s="49"/>
      <c r="CM39" s="28"/>
    </row>
    <row r="40" spans="1:91" ht="14.25" x14ac:dyDescent="0.25">
      <c r="B40" s="55"/>
      <c r="C40" s="10" t="s">
        <v>293</v>
      </c>
      <c r="D40" s="94" t="s">
        <v>303</v>
      </c>
      <c r="E40" s="130">
        <f t="shared" ref="E40:M40" si="5">(E38*EXP(E38*E36)+E37*EXP(-E37*E36))/((E38+E37)*EXP((E38-E37)*E36))</f>
        <v>3.5955451445432147</v>
      </c>
      <c r="F40" s="167">
        <f t="shared" si="5"/>
        <v>1443.0513442171218</v>
      </c>
      <c r="G40" s="169">
        <f t="shared" si="5"/>
        <v>1443.0513442171218</v>
      </c>
      <c r="H40" s="169">
        <f t="shared" si="5"/>
        <v>12.595706637689361</v>
      </c>
      <c r="I40" s="168">
        <f t="shared" si="5"/>
        <v>12.595706637689361</v>
      </c>
      <c r="J40" s="167" t="e">
        <f t="shared" si="5"/>
        <v>#DIV/0!</v>
      </c>
      <c r="K40" s="169">
        <f t="shared" si="5"/>
        <v>1.0457079977469688</v>
      </c>
      <c r="L40" s="169">
        <f t="shared" si="5"/>
        <v>8.068891858364502</v>
      </c>
      <c r="M40" s="168">
        <f t="shared" si="5"/>
        <v>1</v>
      </c>
      <c r="N40" s="167"/>
      <c r="O40" s="169"/>
      <c r="P40" s="169"/>
      <c r="Q40" s="168"/>
      <c r="R40" s="167"/>
      <c r="S40" s="169"/>
      <c r="T40" s="169"/>
      <c r="U40" s="168"/>
      <c r="V40" s="167"/>
      <c r="W40" s="169"/>
      <c r="X40" s="169"/>
      <c r="Y40" s="168"/>
      <c r="Z40" s="167"/>
      <c r="AA40" s="169"/>
      <c r="AB40" s="169"/>
      <c r="AC40" s="168"/>
      <c r="AD40" s="167"/>
      <c r="AE40" s="169"/>
      <c r="AF40" s="169"/>
      <c r="AG40" s="168"/>
      <c r="AH40" s="167"/>
      <c r="AI40" s="169"/>
      <c r="AJ40" s="169"/>
      <c r="AK40" s="168"/>
      <c r="AL40" s="167"/>
      <c r="AM40" s="169"/>
      <c r="AN40" s="169"/>
      <c r="AO40" s="168"/>
      <c r="AP40" s="167"/>
      <c r="AQ40" s="169"/>
      <c r="AR40" s="169"/>
      <c r="AS40" s="168"/>
      <c r="AT40" s="167"/>
      <c r="AU40" s="169"/>
      <c r="AV40" s="169"/>
      <c r="AW40" s="168"/>
      <c r="AX40" s="167"/>
      <c r="AY40" s="169"/>
      <c r="AZ40" s="169"/>
      <c r="BA40" s="168"/>
      <c r="BB40" s="167"/>
      <c r="BC40" s="169"/>
      <c r="BD40" s="169"/>
      <c r="BE40" s="168"/>
      <c r="BF40" s="167"/>
      <c r="BG40" s="169"/>
      <c r="BH40" s="169"/>
      <c r="BI40" s="168"/>
      <c r="BJ40" s="167"/>
      <c r="BK40" s="169"/>
      <c r="BL40" s="169"/>
      <c r="BM40" s="168"/>
      <c r="BN40" s="167"/>
      <c r="BO40" s="169"/>
      <c r="BP40" s="169"/>
      <c r="BQ40" s="168"/>
      <c r="BR40" s="167"/>
      <c r="BS40" s="169"/>
      <c r="BT40" s="169"/>
      <c r="BU40" s="168"/>
      <c r="BV40" s="167"/>
      <c r="BW40" s="169"/>
      <c r="BX40" s="169"/>
      <c r="BY40" s="168"/>
      <c r="BZ40" s="167"/>
      <c r="CA40" s="169"/>
      <c r="CB40" s="169"/>
      <c r="CC40" s="168"/>
      <c r="CD40" s="167"/>
      <c r="CE40" s="169"/>
      <c r="CF40" s="169"/>
      <c r="CG40" s="168"/>
      <c r="CH40" s="167"/>
      <c r="CI40" s="169"/>
      <c r="CJ40" s="169"/>
      <c r="CK40" s="168"/>
      <c r="CL40" s="49"/>
      <c r="CM40" s="28"/>
    </row>
    <row r="41" spans="1:91" ht="14.25" x14ac:dyDescent="0.25">
      <c r="B41" s="55"/>
      <c r="C41" s="10" t="s">
        <v>295</v>
      </c>
      <c r="D41" s="94" t="s">
        <v>304</v>
      </c>
      <c r="E41" s="130">
        <f t="shared" ref="E41:M41" si="6">E36+2*(E39-1)</f>
        <v>20.428571428571431</v>
      </c>
      <c r="F41" s="167">
        <f t="shared" si="6"/>
        <v>1943.5714285714287</v>
      </c>
      <c r="G41" s="169">
        <f t="shared" si="6"/>
        <v>1943.5714285714287</v>
      </c>
      <c r="H41" s="169">
        <f t="shared" si="6"/>
        <v>33</v>
      </c>
      <c r="I41" s="168">
        <f t="shared" si="6"/>
        <v>33</v>
      </c>
      <c r="J41" s="167" t="e">
        <f t="shared" si="6"/>
        <v>#DIV/0!</v>
      </c>
      <c r="K41" s="169">
        <f t="shared" si="6"/>
        <v>10.142857142857142</v>
      </c>
      <c r="L41" s="169">
        <f t="shared" si="6"/>
        <v>27</v>
      </c>
      <c r="M41" s="168" t="e">
        <f t="shared" si="6"/>
        <v>#DIV/0!</v>
      </c>
      <c r="N41" s="167"/>
      <c r="O41" s="169"/>
      <c r="P41" s="169"/>
      <c r="Q41" s="168"/>
      <c r="R41" s="167"/>
      <c r="S41" s="169"/>
      <c r="T41" s="169"/>
      <c r="U41" s="168"/>
      <c r="V41" s="167"/>
      <c r="W41" s="169"/>
      <c r="X41" s="169"/>
      <c r="Y41" s="168"/>
      <c r="Z41" s="167"/>
      <c r="AA41" s="169"/>
      <c r="AB41" s="169"/>
      <c r="AC41" s="168"/>
      <c r="AD41" s="167"/>
      <c r="AE41" s="169"/>
      <c r="AF41" s="169"/>
      <c r="AG41" s="168"/>
      <c r="AH41" s="167"/>
      <c r="AI41" s="169"/>
      <c r="AJ41" s="169"/>
      <c r="AK41" s="168"/>
      <c r="AL41" s="167"/>
      <c r="AM41" s="169"/>
      <c r="AN41" s="169"/>
      <c r="AO41" s="168"/>
      <c r="AP41" s="167"/>
      <c r="AQ41" s="169"/>
      <c r="AR41" s="169"/>
      <c r="AS41" s="168"/>
      <c r="AT41" s="167"/>
      <c r="AU41" s="169"/>
      <c r="AV41" s="169"/>
      <c r="AW41" s="168"/>
      <c r="AX41" s="167"/>
      <c r="AY41" s="169"/>
      <c r="AZ41" s="169"/>
      <c r="BA41" s="168"/>
      <c r="BB41" s="167"/>
      <c r="BC41" s="169"/>
      <c r="BD41" s="169"/>
      <c r="BE41" s="168"/>
      <c r="BF41" s="167"/>
      <c r="BG41" s="169"/>
      <c r="BH41" s="169"/>
      <c r="BI41" s="168"/>
      <c r="BJ41" s="167"/>
      <c r="BK41" s="169"/>
      <c r="BL41" s="169"/>
      <c r="BM41" s="168"/>
      <c r="BN41" s="167"/>
      <c r="BO41" s="169"/>
      <c r="BP41" s="169"/>
      <c r="BQ41" s="168"/>
      <c r="BR41" s="167"/>
      <c r="BS41" s="169"/>
      <c r="BT41" s="169"/>
      <c r="BU41" s="168"/>
      <c r="BV41" s="167"/>
      <c r="BW41" s="169"/>
      <c r="BX41" s="169"/>
      <c r="BY41" s="168"/>
      <c r="BZ41" s="167"/>
      <c r="CA41" s="169"/>
      <c r="CB41" s="169"/>
      <c r="CC41" s="168"/>
      <c r="CD41" s="167"/>
      <c r="CE41" s="169"/>
      <c r="CF41" s="169"/>
      <c r="CG41" s="168"/>
      <c r="CH41" s="167"/>
      <c r="CI41" s="169"/>
      <c r="CJ41" s="169"/>
      <c r="CK41" s="168"/>
      <c r="CL41" s="49"/>
      <c r="CM41" s="28"/>
    </row>
    <row r="42" spans="1:91" ht="14.25" x14ac:dyDescent="0.25">
      <c r="B42" s="55"/>
      <c r="C42" s="10" t="s">
        <v>329</v>
      </c>
      <c r="D42" s="94" t="s">
        <v>306</v>
      </c>
      <c r="E42" s="130">
        <f t="shared" ref="E42:M42" si="7">1-EXP(-E41*E37/E9)</f>
        <v>0.57309359259797166</v>
      </c>
      <c r="F42" s="167">
        <f t="shared" si="7"/>
        <v>1</v>
      </c>
      <c r="G42" s="169">
        <f t="shared" si="7"/>
        <v>1</v>
      </c>
      <c r="H42" s="169">
        <f t="shared" si="7"/>
        <v>0.87574466367857295</v>
      </c>
      <c r="I42" s="168">
        <f t="shared" si="7"/>
        <v>0.87574466367857295</v>
      </c>
      <c r="J42" s="167" t="e">
        <f t="shared" si="7"/>
        <v>#DIV/0!</v>
      </c>
      <c r="K42" s="169">
        <f t="shared" si="7"/>
        <v>7.4554613773893275E-2</v>
      </c>
      <c r="L42" s="169">
        <f t="shared" si="7"/>
        <v>0.77645107833505411</v>
      </c>
      <c r="M42" s="168" t="e">
        <f t="shared" si="7"/>
        <v>#DIV/0!</v>
      </c>
      <c r="N42" s="167"/>
      <c r="O42" s="169"/>
      <c r="P42" s="169"/>
      <c r="Q42" s="168"/>
      <c r="R42" s="167"/>
      <c r="S42" s="169"/>
      <c r="T42" s="169"/>
      <c r="U42" s="168"/>
      <c r="V42" s="167"/>
      <c r="W42" s="169"/>
      <c r="X42" s="169"/>
      <c r="Y42" s="168"/>
      <c r="Z42" s="167"/>
      <c r="AA42" s="169"/>
      <c r="AB42" s="169"/>
      <c r="AC42" s="168"/>
      <c r="AD42" s="167"/>
      <c r="AE42" s="169"/>
      <c r="AF42" s="169"/>
      <c r="AG42" s="168"/>
      <c r="AH42" s="167"/>
      <c r="AI42" s="169"/>
      <c r="AJ42" s="169"/>
      <c r="AK42" s="168"/>
      <c r="AL42" s="167"/>
      <c r="AM42" s="169"/>
      <c r="AN42" s="169"/>
      <c r="AO42" s="168"/>
      <c r="AP42" s="167"/>
      <c r="AQ42" s="169"/>
      <c r="AR42" s="169"/>
      <c r="AS42" s="168"/>
      <c r="AT42" s="167"/>
      <c r="AU42" s="169"/>
      <c r="AV42" s="169"/>
      <c r="AW42" s="168"/>
      <c r="AX42" s="167"/>
      <c r="AY42" s="169"/>
      <c r="AZ42" s="169"/>
      <c r="BA42" s="168"/>
      <c r="BB42" s="167"/>
      <c r="BC42" s="169"/>
      <c r="BD42" s="169"/>
      <c r="BE42" s="168"/>
      <c r="BF42" s="167"/>
      <c r="BG42" s="169"/>
      <c r="BH42" s="169"/>
      <c r="BI42" s="168"/>
      <c r="BJ42" s="167"/>
      <c r="BK42" s="169"/>
      <c r="BL42" s="169"/>
      <c r="BM42" s="168"/>
      <c r="BN42" s="167"/>
      <c r="BO42" s="169"/>
      <c r="BP42" s="169"/>
      <c r="BQ42" s="168"/>
      <c r="BR42" s="167"/>
      <c r="BS42" s="169"/>
      <c r="BT42" s="169"/>
      <c r="BU42" s="168"/>
      <c r="BV42" s="167"/>
      <c r="BW42" s="169"/>
      <c r="BX42" s="169"/>
      <c r="BY42" s="168"/>
      <c r="BZ42" s="167"/>
      <c r="CA42" s="169"/>
      <c r="CB42" s="169"/>
      <c r="CC42" s="168"/>
      <c r="CD42" s="167"/>
      <c r="CE42" s="169"/>
      <c r="CF42" s="169"/>
      <c r="CG42" s="168"/>
      <c r="CH42" s="167"/>
      <c r="CI42" s="169"/>
      <c r="CJ42" s="169"/>
      <c r="CK42" s="168"/>
      <c r="CL42" s="49"/>
      <c r="CM42" s="28"/>
    </row>
    <row r="43" spans="1:91" ht="14.25" x14ac:dyDescent="0.25">
      <c r="B43" s="55"/>
      <c r="C43" s="10" t="s">
        <v>305</v>
      </c>
      <c r="D43" s="94" t="s">
        <v>307</v>
      </c>
      <c r="E43" s="130">
        <f t="shared" ref="E43:M43" si="8">1-(1-E42)^E9</f>
        <v>0.96678527259096436</v>
      </c>
      <c r="F43" s="167">
        <f t="shared" si="8"/>
        <v>1</v>
      </c>
      <c r="G43" s="169">
        <f t="shared" si="8"/>
        <v>1</v>
      </c>
      <c r="H43" s="169">
        <f t="shared" si="8"/>
        <v>0.99976162527952384</v>
      </c>
      <c r="I43" s="168">
        <f t="shared" si="8"/>
        <v>0.99976162527952384</v>
      </c>
      <c r="J43" s="167" t="e">
        <f t="shared" si="8"/>
        <v>#DIV/0!</v>
      </c>
      <c r="K43" s="169">
        <f t="shared" si="8"/>
        <v>0.14355083711281214</v>
      </c>
      <c r="L43" s="169">
        <f t="shared" si="8"/>
        <v>0.99750258729248908</v>
      </c>
      <c r="M43" s="168" t="e">
        <f t="shared" si="8"/>
        <v>#DIV/0!</v>
      </c>
      <c r="N43" s="167"/>
      <c r="O43" s="169"/>
      <c r="P43" s="169"/>
      <c r="Q43" s="168"/>
      <c r="R43" s="167"/>
      <c r="S43" s="169"/>
      <c r="T43" s="169"/>
      <c r="U43" s="168"/>
      <c r="V43" s="167"/>
      <c r="W43" s="169"/>
      <c r="X43" s="169"/>
      <c r="Y43" s="168"/>
      <c r="Z43" s="167"/>
      <c r="AA43" s="169"/>
      <c r="AB43" s="169"/>
      <c r="AC43" s="168"/>
      <c r="AD43" s="167"/>
      <c r="AE43" s="169"/>
      <c r="AF43" s="169"/>
      <c r="AG43" s="168"/>
      <c r="AH43" s="167"/>
      <c r="AI43" s="169"/>
      <c r="AJ43" s="169"/>
      <c r="AK43" s="168"/>
      <c r="AL43" s="167"/>
      <c r="AM43" s="169"/>
      <c r="AN43" s="169"/>
      <c r="AO43" s="168"/>
      <c r="AP43" s="167"/>
      <c r="AQ43" s="169"/>
      <c r="AR43" s="169"/>
      <c r="AS43" s="168"/>
      <c r="AT43" s="167"/>
      <c r="AU43" s="169"/>
      <c r="AV43" s="169"/>
      <c r="AW43" s="168"/>
      <c r="AX43" s="167"/>
      <c r="AY43" s="169"/>
      <c r="AZ43" s="169"/>
      <c r="BA43" s="168"/>
      <c r="BB43" s="167"/>
      <c r="BC43" s="169"/>
      <c r="BD43" s="169"/>
      <c r="BE43" s="168"/>
      <c r="BF43" s="167"/>
      <c r="BG43" s="169"/>
      <c r="BH43" s="169"/>
      <c r="BI43" s="168"/>
      <c r="BJ43" s="167"/>
      <c r="BK43" s="169"/>
      <c r="BL43" s="169"/>
      <c r="BM43" s="168"/>
      <c r="BN43" s="167"/>
      <c r="BO43" s="169"/>
      <c r="BP43" s="169"/>
      <c r="BQ43" s="168"/>
      <c r="BR43" s="167"/>
      <c r="BS43" s="169"/>
      <c r="BT43" s="169"/>
      <c r="BU43" s="168"/>
      <c r="BV43" s="167"/>
      <c r="BW43" s="169"/>
      <c r="BX43" s="169"/>
      <c r="BY43" s="168"/>
      <c r="BZ43" s="167"/>
      <c r="CA43" s="169"/>
      <c r="CB43" s="169"/>
      <c r="CC43" s="168"/>
      <c r="CD43" s="167"/>
      <c r="CE43" s="169"/>
      <c r="CF43" s="169"/>
      <c r="CG43" s="168"/>
      <c r="CH43" s="167"/>
      <c r="CI43" s="169"/>
      <c r="CJ43" s="169"/>
      <c r="CK43" s="168"/>
      <c r="CL43" s="49"/>
      <c r="CM43" s="28"/>
    </row>
    <row r="44" spans="1:91" ht="14.25" x14ac:dyDescent="0.25">
      <c r="B44" s="55"/>
      <c r="C44" s="10" t="s">
        <v>308</v>
      </c>
      <c r="D44" s="94" t="s">
        <v>340</v>
      </c>
      <c r="E44" s="130" t="str">
        <f t="shared" ref="E44:M44" si="9">IF(E30="Free", (1/E37)*(EXP(E37*E41)-E37*E41-1)/E43, "-")</f>
        <v>-</v>
      </c>
      <c r="F44" s="167" t="str">
        <f t="shared" si="9"/>
        <v>-</v>
      </c>
      <c r="G44" s="169" t="str">
        <f t="shared" si="9"/>
        <v>-</v>
      </c>
      <c r="H44" s="169" t="str">
        <f t="shared" si="9"/>
        <v>-</v>
      </c>
      <c r="I44" s="168" t="str">
        <f t="shared" si="9"/>
        <v>-</v>
      </c>
      <c r="J44" s="167" t="str">
        <f t="shared" si="9"/>
        <v>-</v>
      </c>
      <c r="K44" s="169" t="str">
        <f t="shared" si="9"/>
        <v>-</v>
      </c>
      <c r="L44" s="169">
        <f t="shared" si="9"/>
        <v>1777.0523314325719</v>
      </c>
      <c r="M44" s="168" t="e">
        <f t="shared" si="9"/>
        <v>#DIV/0!</v>
      </c>
      <c r="N44" s="167"/>
      <c r="O44" s="169"/>
      <c r="P44" s="169"/>
      <c r="Q44" s="168"/>
      <c r="R44" s="167"/>
      <c r="S44" s="169"/>
      <c r="T44" s="169"/>
      <c r="U44" s="168"/>
      <c r="V44" s="167"/>
      <c r="W44" s="169"/>
      <c r="X44" s="169"/>
      <c r="Y44" s="168"/>
      <c r="Z44" s="167"/>
      <c r="AA44" s="169"/>
      <c r="AB44" s="169"/>
      <c r="AC44" s="168"/>
      <c r="AD44" s="167"/>
      <c r="AE44" s="169"/>
      <c r="AF44" s="169"/>
      <c r="AG44" s="168"/>
      <c r="AH44" s="167"/>
      <c r="AI44" s="169"/>
      <c r="AJ44" s="169"/>
      <c r="AK44" s="168"/>
      <c r="AL44" s="167"/>
      <c r="AM44" s="169"/>
      <c r="AN44" s="169"/>
      <c r="AO44" s="168"/>
      <c r="AP44" s="167"/>
      <c r="AQ44" s="169"/>
      <c r="AR44" s="169"/>
      <c r="AS44" s="168"/>
      <c r="AT44" s="167"/>
      <c r="AU44" s="169"/>
      <c r="AV44" s="169"/>
      <c r="AW44" s="168"/>
      <c r="AX44" s="167"/>
      <c r="AY44" s="169"/>
      <c r="AZ44" s="169"/>
      <c r="BA44" s="168"/>
      <c r="BB44" s="167"/>
      <c r="BC44" s="169"/>
      <c r="BD44" s="169"/>
      <c r="BE44" s="168"/>
      <c r="BF44" s="167"/>
      <c r="BG44" s="169"/>
      <c r="BH44" s="169"/>
      <c r="BI44" s="168"/>
      <c r="BJ44" s="167"/>
      <c r="BK44" s="169"/>
      <c r="BL44" s="169"/>
      <c r="BM44" s="168"/>
      <c r="BN44" s="167"/>
      <c r="BO44" s="169"/>
      <c r="BP44" s="169"/>
      <c r="BQ44" s="168"/>
      <c r="BR44" s="167"/>
      <c r="BS44" s="169"/>
      <c r="BT44" s="169"/>
      <c r="BU44" s="168"/>
      <c r="BV44" s="167"/>
      <c r="BW44" s="169"/>
      <c r="BX44" s="169"/>
      <c r="BY44" s="168"/>
      <c r="BZ44" s="167"/>
      <c r="CA44" s="169"/>
      <c r="CB44" s="169"/>
      <c r="CC44" s="168"/>
      <c r="CD44" s="167"/>
      <c r="CE44" s="169"/>
      <c r="CF44" s="169"/>
      <c r="CG44" s="168"/>
      <c r="CH44" s="167"/>
      <c r="CI44" s="169"/>
      <c r="CJ44" s="169"/>
      <c r="CK44" s="168"/>
      <c r="CL44" s="49"/>
      <c r="CM44" s="28"/>
    </row>
    <row r="45" spans="1:91" ht="14.25" x14ac:dyDescent="0.25">
      <c r="B45" s="55"/>
      <c r="C45" s="10" t="s">
        <v>337</v>
      </c>
      <c r="D45" s="94" t="s">
        <v>341</v>
      </c>
      <c r="E45" s="130" t="str">
        <f t="shared" ref="E45:M45" si="10">IF(E30="Free", ROUND(E44/E46,0),"-")</f>
        <v>-</v>
      </c>
      <c r="F45" s="169" t="str">
        <f t="shared" si="10"/>
        <v>-</v>
      </c>
      <c r="G45" s="169" t="str">
        <f t="shared" si="10"/>
        <v>-</v>
      </c>
      <c r="H45" s="169" t="str">
        <f t="shared" si="10"/>
        <v>-</v>
      </c>
      <c r="I45" s="169" t="str">
        <f t="shared" si="10"/>
        <v>-</v>
      </c>
      <c r="J45" s="167" t="str">
        <f t="shared" si="10"/>
        <v>-</v>
      </c>
      <c r="K45" s="169" t="str">
        <f t="shared" si="10"/>
        <v>-</v>
      </c>
      <c r="L45" s="169">
        <f t="shared" si="10"/>
        <v>99</v>
      </c>
      <c r="M45" s="168" t="e">
        <f t="shared" si="10"/>
        <v>#DIV/0!</v>
      </c>
      <c r="N45" s="167"/>
      <c r="O45" s="169"/>
      <c r="P45" s="169"/>
      <c r="Q45" s="168"/>
      <c r="R45" s="167"/>
      <c r="S45" s="169"/>
      <c r="T45" s="169"/>
      <c r="U45" s="168"/>
      <c r="V45" s="167"/>
      <c r="W45" s="169"/>
      <c r="X45" s="169"/>
      <c r="Y45" s="168"/>
      <c r="Z45" s="167"/>
      <c r="AA45" s="169"/>
      <c r="AB45" s="169"/>
      <c r="AC45" s="168"/>
      <c r="AD45" s="167"/>
      <c r="AE45" s="169"/>
      <c r="AF45" s="169"/>
      <c r="AG45" s="168"/>
      <c r="AH45" s="167"/>
      <c r="AI45" s="169"/>
      <c r="AJ45" s="169"/>
      <c r="AK45" s="168"/>
      <c r="AL45" s="167"/>
      <c r="AM45" s="169"/>
      <c r="AN45" s="169"/>
      <c r="AO45" s="168"/>
      <c r="AP45" s="167"/>
      <c r="AQ45" s="169"/>
      <c r="AR45" s="169"/>
      <c r="AS45" s="168"/>
      <c r="AT45" s="167"/>
      <c r="AU45" s="169"/>
      <c r="AV45" s="169"/>
      <c r="AW45" s="168"/>
      <c r="AX45" s="167"/>
      <c r="AY45" s="169"/>
      <c r="AZ45" s="169"/>
      <c r="BA45" s="168"/>
      <c r="BB45" s="167"/>
      <c r="BC45" s="169"/>
      <c r="BD45" s="169"/>
      <c r="BE45" s="168"/>
      <c r="BF45" s="167"/>
      <c r="BG45" s="169"/>
      <c r="BH45" s="169"/>
      <c r="BI45" s="168"/>
      <c r="BJ45" s="167"/>
      <c r="BK45" s="169"/>
      <c r="BL45" s="169"/>
      <c r="BM45" s="168"/>
      <c r="BN45" s="167"/>
      <c r="BO45" s="169"/>
      <c r="BP45" s="169"/>
      <c r="BQ45" s="168"/>
      <c r="BR45" s="167"/>
      <c r="BS45" s="169"/>
      <c r="BT45" s="169"/>
      <c r="BU45" s="168"/>
      <c r="BV45" s="167"/>
      <c r="BW45" s="169"/>
      <c r="BX45" s="169"/>
      <c r="BY45" s="168"/>
      <c r="BZ45" s="167"/>
      <c r="CA45" s="169"/>
      <c r="CB45" s="169"/>
      <c r="CC45" s="168"/>
      <c r="CD45" s="167"/>
      <c r="CE45" s="169"/>
      <c r="CF45" s="169"/>
      <c r="CG45" s="168"/>
      <c r="CH45" s="167"/>
      <c r="CI45" s="169"/>
      <c r="CJ45" s="169"/>
      <c r="CK45" s="168"/>
      <c r="CL45" s="49"/>
      <c r="CM45" s="28"/>
    </row>
    <row r="46" spans="1:91" ht="14.25" x14ac:dyDescent="0.25">
      <c r="B46" s="55"/>
      <c r="C46" s="10" t="s">
        <v>336</v>
      </c>
      <c r="D46" s="94" t="s">
        <v>335</v>
      </c>
      <c r="E46" s="130">
        <f t="shared" ref="E46:M46" si="11">1/(E37/E9)</f>
        <v>24</v>
      </c>
      <c r="F46" s="169">
        <f t="shared" si="11"/>
        <v>11.703511053315994</v>
      </c>
      <c r="G46" s="169">
        <f t="shared" si="11"/>
        <v>11.703511053315994</v>
      </c>
      <c r="H46" s="169">
        <f t="shared" si="11"/>
        <v>15.824175824175825</v>
      </c>
      <c r="I46" s="169">
        <f t="shared" si="11"/>
        <v>15.824175824175825</v>
      </c>
      <c r="J46" s="167" t="e">
        <f t="shared" si="11"/>
        <v>#DIV/0!</v>
      </c>
      <c r="K46" s="169">
        <f t="shared" si="11"/>
        <v>130.90909090909091</v>
      </c>
      <c r="L46" s="169">
        <f t="shared" si="11"/>
        <v>18.022528160200249</v>
      </c>
      <c r="M46" s="168">
        <f t="shared" si="11"/>
        <v>18.022528160200249</v>
      </c>
      <c r="N46" s="167"/>
      <c r="O46" s="169"/>
      <c r="P46" s="169"/>
      <c r="Q46" s="168"/>
      <c r="R46" s="167"/>
      <c r="S46" s="169"/>
      <c r="T46" s="169"/>
      <c r="U46" s="168"/>
      <c r="V46" s="167"/>
      <c r="W46" s="169"/>
      <c r="X46" s="169"/>
      <c r="Y46" s="168"/>
      <c r="Z46" s="167"/>
      <c r="AA46" s="169"/>
      <c r="AB46" s="169"/>
      <c r="AC46" s="168"/>
      <c r="AD46" s="167"/>
      <c r="AE46" s="169"/>
      <c r="AF46" s="169"/>
      <c r="AG46" s="168"/>
      <c r="AH46" s="167"/>
      <c r="AI46" s="169"/>
      <c r="AJ46" s="169"/>
      <c r="AK46" s="168"/>
      <c r="AL46" s="167"/>
      <c r="AM46" s="169"/>
      <c r="AN46" s="169"/>
      <c r="AO46" s="168"/>
      <c r="AP46" s="167"/>
      <c r="AQ46" s="169"/>
      <c r="AR46" s="169"/>
      <c r="AS46" s="168"/>
      <c r="AT46" s="167"/>
      <c r="AU46" s="169"/>
      <c r="AV46" s="169"/>
      <c r="AW46" s="168"/>
      <c r="AX46" s="167"/>
      <c r="AY46" s="169"/>
      <c r="AZ46" s="169"/>
      <c r="BA46" s="168"/>
      <c r="BB46" s="167"/>
      <c r="BC46" s="169"/>
      <c r="BD46" s="169"/>
      <c r="BE46" s="168"/>
      <c r="BF46" s="167"/>
      <c r="BG46" s="169"/>
      <c r="BH46" s="169"/>
      <c r="BI46" s="168"/>
      <c r="BJ46" s="167"/>
      <c r="BK46" s="169"/>
      <c r="BL46" s="169"/>
      <c r="BM46" s="168"/>
      <c r="BN46" s="167"/>
      <c r="BO46" s="169"/>
      <c r="BP46" s="169"/>
      <c r="BQ46" s="168"/>
      <c r="BR46" s="167"/>
      <c r="BS46" s="169"/>
      <c r="BT46" s="169"/>
      <c r="BU46" s="168"/>
      <c r="BV46" s="167"/>
      <c r="BW46" s="169"/>
      <c r="BX46" s="169"/>
      <c r="BY46" s="168"/>
      <c r="BZ46" s="167"/>
      <c r="CA46" s="169"/>
      <c r="CB46" s="169"/>
      <c r="CC46" s="168"/>
      <c r="CD46" s="167"/>
      <c r="CE46" s="169"/>
      <c r="CF46" s="169"/>
      <c r="CG46" s="168"/>
      <c r="CH46" s="167"/>
      <c r="CI46" s="169"/>
      <c r="CJ46" s="169"/>
      <c r="CK46" s="168"/>
      <c r="CL46" s="49"/>
      <c r="CM46" s="28"/>
    </row>
    <row r="47" spans="1:91" ht="14.25" x14ac:dyDescent="0.25">
      <c r="B47" s="55"/>
      <c r="C47" s="10" t="s">
        <v>103</v>
      </c>
      <c r="D47" s="94" t="s">
        <v>39</v>
      </c>
      <c r="E47" s="130">
        <f t="shared" ref="E47:AJ47" si="12">0.681*E9^0.514</f>
        <v>1.3886920442435355</v>
      </c>
      <c r="F47" s="72">
        <f t="shared" si="12"/>
        <v>1.5574628423543384</v>
      </c>
      <c r="G47" s="73">
        <f t="shared" si="12"/>
        <v>1.5574628423543384</v>
      </c>
      <c r="H47" s="73">
        <f t="shared" si="12"/>
        <v>1.3886920442435355</v>
      </c>
      <c r="I47" s="74">
        <f t="shared" si="12"/>
        <v>1.3886920442435355</v>
      </c>
      <c r="J47" s="98">
        <f t="shared" si="12"/>
        <v>0</v>
      </c>
      <c r="K47" s="99">
        <f t="shared" si="12"/>
        <v>0.97247071016552877</v>
      </c>
      <c r="L47" s="99">
        <f t="shared" si="12"/>
        <v>1.3886920442435355</v>
      </c>
      <c r="M47" s="100">
        <f t="shared" si="12"/>
        <v>1.3886920442435355</v>
      </c>
      <c r="N47" s="98">
        <f t="shared" si="12"/>
        <v>0</v>
      </c>
      <c r="O47" s="99">
        <f t="shared" si="12"/>
        <v>0</v>
      </c>
      <c r="P47" s="99">
        <f t="shared" si="12"/>
        <v>0</v>
      </c>
      <c r="Q47" s="100">
        <f t="shared" si="12"/>
        <v>0</v>
      </c>
      <c r="R47" s="98">
        <f t="shared" si="12"/>
        <v>0</v>
      </c>
      <c r="S47" s="99">
        <f t="shared" si="12"/>
        <v>0</v>
      </c>
      <c r="T47" s="99">
        <f t="shared" si="12"/>
        <v>0</v>
      </c>
      <c r="U47" s="100">
        <f t="shared" si="12"/>
        <v>0</v>
      </c>
      <c r="V47" s="98">
        <f t="shared" si="12"/>
        <v>0</v>
      </c>
      <c r="W47" s="99">
        <f t="shared" si="12"/>
        <v>0</v>
      </c>
      <c r="X47" s="99">
        <f t="shared" si="12"/>
        <v>0</v>
      </c>
      <c r="Y47" s="100">
        <f t="shared" si="12"/>
        <v>0</v>
      </c>
      <c r="Z47" s="98">
        <f t="shared" si="12"/>
        <v>0</v>
      </c>
      <c r="AA47" s="99">
        <f t="shared" si="12"/>
        <v>0</v>
      </c>
      <c r="AB47" s="99">
        <f t="shared" si="12"/>
        <v>0</v>
      </c>
      <c r="AC47" s="100">
        <f t="shared" si="12"/>
        <v>0</v>
      </c>
      <c r="AD47" s="98">
        <f t="shared" si="12"/>
        <v>0</v>
      </c>
      <c r="AE47" s="99">
        <f t="shared" si="12"/>
        <v>0</v>
      </c>
      <c r="AF47" s="99">
        <f t="shared" si="12"/>
        <v>0</v>
      </c>
      <c r="AG47" s="100">
        <f t="shared" si="12"/>
        <v>0</v>
      </c>
      <c r="AH47" s="98">
        <f t="shared" si="12"/>
        <v>0</v>
      </c>
      <c r="AI47" s="99">
        <f t="shared" si="12"/>
        <v>0</v>
      </c>
      <c r="AJ47" s="99">
        <f t="shared" si="12"/>
        <v>0</v>
      </c>
      <c r="AK47" s="100">
        <f t="shared" ref="AK47:BP47" si="13">0.681*AK9^0.514</f>
        <v>0</v>
      </c>
      <c r="AL47" s="98">
        <f t="shared" si="13"/>
        <v>0</v>
      </c>
      <c r="AM47" s="99">
        <f t="shared" si="13"/>
        <v>0</v>
      </c>
      <c r="AN47" s="99">
        <f t="shared" si="13"/>
        <v>0</v>
      </c>
      <c r="AO47" s="100">
        <f t="shared" si="13"/>
        <v>0</v>
      </c>
      <c r="AP47" s="98">
        <f t="shared" si="13"/>
        <v>0</v>
      </c>
      <c r="AQ47" s="99">
        <f t="shared" si="13"/>
        <v>0</v>
      </c>
      <c r="AR47" s="99">
        <f t="shared" si="13"/>
        <v>0</v>
      </c>
      <c r="AS47" s="100">
        <f t="shared" si="13"/>
        <v>0</v>
      </c>
      <c r="AT47" s="98">
        <f t="shared" si="13"/>
        <v>0</v>
      </c>
      <c r="AU47" s="99">
        <f t="shared" si="13"/>
        <v>0</v>
      </c>
      <c r="AV47" s="99">
        <f t="shared" si="13"/>
        <v>0</v>
      </c>
      <c r="AW47" s="100">
        <f t="shared" si="13"/>
        <v>0</v>
      </c>
      <c r="AX47" s="98">
        <f t="shared" si="13"/>
        <v>0</v>
      </c>
      <c r="AY47" s="99">
        <f t="shared" si="13"/>
        <v>0</v>
      </c>
      <c r="AZ47" s="99">
        <f t="shared" si="13"/>
        <v>0</v>
      </c>
      <c r="BA47" s="100">
        <f t="shared" si="13"/>
        <v>0</v>
      </c>
      <c r="BB47" s="98">
        <f t="shared" si="13"/>
        <v>0</v>
      </c>
      <c r="BC47" s="99">
        <f t="shared" si="13"/>
        <v>0</v>
      </c>
      <c r="BD47" s="99">
        <f t="shared" si="13"/>
        <v>0</v>
      </c>
      <c r="BE47" s="100">
        <f t="shared" si="13"/>
        <v>0</v>
      </c>
      <c r="BF47" s="98">
        <f t="shared" si="13"/>
        <v>0</v>
      </c>
      <c r="BG47" s="99">
        <f t="shared" si="13"/>
        <v>0</v>
      </c>
      <c r="BH47" s="99">
        <f t="shared" si="13"/>
        <v>0</v>
      </c>
      <c r="BI47" s="100">
        <f t="shared" si="13"/>
        <v>0</v>
      </c>
      <c r="BJ47" s="98">
        <f t="shared" si="13"/>
        <v>0</v>
      </c>
      <c r="BK47" s="99">
        <f t="shared" si="13"/>
        <v>0</v>
      </c>
      <c r="BL47" s="99">
        <f t="shared" si="13"/>
        <v>0</v>
      </c>
      <c r="BM47" s="100">
        <f t="shared" si="13"/>
        <v>0</v>
      </c>
      <c r="BN47" s="98">
        <f t="shared" si="13"/>
        <v>0</v>
      </c>
      <c r="BO47" s="99">
        <f t="shared" si="13"/>
        <v>0</v>
      </c>
      <c r="BP47" s="99">
        <f t="shared" si="13"/>
        <v>0</v>
      </c>
      <c r="BQ47" s="100">
        <f t="shared" ref="BQ47:CK47" si="14">0.681*BQ9^0.514</f>
        <v>0</v>
      </c>
      <c r="BR47" s="98">
        <f t="shared" si="14"/>
        <v>0</v>
      </c>
      <c r="BS47" s="99">
        <f t="shared" si="14"/>
        <v>0</v>
      </c>
      <c r="BT47" s="99">
        <f t="shared" si="14"/>
        <v>0</v>
      </c>
      <c r="BU47" s="100">
        <f t="shared" si="14"/>
        <v>0</v>
      </c>
      <c r="BV47" s="98">
        <f t="shared" si="14"/>
        <v>0</v>
      </c>
      <c r="BW47" s="99">
        <f t="shared" si="14"/>
        <v>0</v>
      </c>
      <c r="BX47" s="99">
        <f t="shared" si="14"/>
        <v>0</v>
      </c>
      <c r="BY47" s="100">
        <f t="shared" si="14"/>
        <v>0</v>
      </c>
      <c r="BZ47" s="98">
        <f t="shared" si="14"/>
        <v>0</v>
      </c>
      <c r="CA47" s="99">
        <f t="shared" si="14"/>
        <v>0</v>
      </c>
      <c r="CB47" s="99">
        <f t="shared" si="14"/>
        <v>0</v>
      </c>
      <c r="CC47" s="100">
        <f t="shared" si="14"/>
        <v>0</v>
      </c>
      <c r="CD47" s="98">
        <f t="shared" si="14"/>
        <v>0</v>
      </c>
      <c r="CE47" s="99">
        <f t="shared" si="14"/>
        <v>0</v>
      </c>
      <c r="CF47" s="99">
        <f t="shared" si="14"/>
        <v>0</v>
      </c>
      <c r="CG47" s="100">
        <f t="shared" si="14"/>
        <v>0</v>
      </c>
      <c r="CH47" s="98">
        <f t="shared" si="14"/>
        <v>0</v>
      </c>
      <c r="CI47" s="99">
        <f t="shared" si="14"/>
        <v>0</v>
      </c>
      <c r="CJ47" s="99">
        <f t="shared" si="14"/>
        <v>0</v>
      </c>
      <c r="CK47" s="100">
        <f t="shared" si="14"/>
        <v>0</v>
      </c>
      <c r="CL47" s="49"/>
      <c r="CM47" s="28"/>
    </row>
    <row r="48" spans="1:91" ht="14.25" x14ac:dyDescent="0.25">
      <c r="B48" s="55"/>
      <c r="C48" s="10" t="s">
        <v>150</v>
      </c>
      <c r="D48" s="94" t="s">
        <v>151</v>
      </c>
      <c r="E48" s="132">
        <f>SUM(E12:E14,G13,F14,H12)/(4*E9)</f>
        <v>92.3125</v>
      </c>
      <c r="F48" s="42">
        <f>SUM(F12:F14,H13,G14,I12)/(4*F9)</f>
        <v>73.099999999999994</v>
      </c>
      <c r="G48" s="45">
        <f>SUM(G12:G14,F14,H12,I13)/(4*G9)</f>
        <v>85.2</v>
      </c>
      <c r="H48" s="45">
        <f>SUM(H12:H14,G13,F12,I14)/(4*H9)</f>
        <v>60.4375</v>
      </c>
      <c r="I48" s="95">
        <f>SUM(I12:I14,F13,G12,H14)/(4*I9)</f>
        <v>47.6875</v>
      </c>
      <c r="J48" s="102" t="e">
        <f>SUM(J12:J14,L13,K14,M12)/(4*J9)</f>
        <v>#DIV/0!</v>
      </c>
      <c r="K48" s="103">
        <f>SUM(K12:K14,J14,L12,M13)/(4*K9)</f>
        <v>11.875</v>
      </c>
      <c r="L48" s="103">
        <f>SUM(L12:L14,K13,J12,M14)/(4*L9)</f>
        <v>49.75</v>
      </c>
      <c r="M48" s="104">
        <f>SUM(M12:M14,J13,K12,L14)/(4*M9)</f>
        <v>51.0625</v>
      </c>
      <c r="N48" s="102" t="e">
        <f>SUM(N12:N14,P13,O14,Q12)/(4*N9)</f>
        <v>#DIV/0!</v>
      </c>
      <c r="O48" s="103" t="e">
        <f>SUM(O12:O14,N14,P12,Q13)/(4*O9)</f>
        <v>#DIV/0!</v>
      </c>
      <c r="P48" s="103" t="e">
        <f>SUM(P12:P14,O13,N12,Q14)/(4*P9)</f>
        <v>#DIV/0!</v>
      </c>
      <c r="Q48" s="104" t="e">
        <f>SUM(Q12:Q14,N13,O12,P14)/(4*Q9)</f>
        <v>#DIV/0!</v>
      </c>
      <c r="R48" s="102" t="e">
        <f>SUM(R12:R14,T13,S14,U12)/(4*R9)</f>
        <v>#DIV/0!</v>
      </c>
      <c r="S48" s="103" t="e">
        <f>SUM(S12:S14,R14,T12,U13)/(4*S9)</f>
        <v>#DIV/0!</v>
      </c>
      <c r="T48" s="103" t="e">
        <f>SUM(T12:T14,S13,R12,U14)/(4*T9)</f>
        <v>#DIV/0!</v>
      </c>
      <c r="U48" s="104" t="e">
        <f>SUM(U12:U14,R13,S12,T14)/(4*U9)</f>
        <v>#DIV/0!</v>
      </c>
      <c r="V48" s="102" t="e">
        <f>SUM(V12:V14,X13,W14,Y12)/(4*V9)</f>
        <v>#DIV/0!</v>
      </c>
      <c r="W48" s="103" t="e">
        <f>SUM(W12:W14,V14,X12,Y13)/(4*W9)</f>
        <v>#DIV/0!</v>
      </c>
      <c r="X48" s="103" t="e">
        <f>SUM(X12:X14,W13,V12,Y14)/(4*X9)</f>
        <v>#DIV/0!</v>
      </c>
      <c r="Y48" s="104" t="e">
        <f>SUM(Y12:Y14,V13,W12,X14)/(4*Y9)</f>
        <v>#DIV/0!</v>
      </c>
      <c r="Z48" s="102" t="e">
        <f>SUM(Z12:Z14,AB13,AA14,AC12)/(4*Z9)</f>
        <v>#DIV/0!</v>
      </c>
      <c r="AA48" s="103" t="e">
        <f>SUM(AA12:AA14,Z14,AB12,AC13)/(4*AA9)</f>
        <v>#DIV/0!</v>
      </c>
      <c r="AB48" s="103" t="e">
        <f>SUM(AB12:AB14,AA13,Z12,AC14)/(4*AB9)</f>
        <v>#DIV/0!</v>
      </c>
      <c r="AC48" s="104" t="e">
        <f>SUM(AC12:AC14,Z13,AA12,AB14)/(4*AC9)</f>
        <v>#DIV/0!</v>
      </c>
      <c r="AD48" s="102" t="e">
        <f>SUM(AD12:AD14,AF13,AE14,AG12)/(4*AD9)</f>
        <v>#DIV/0!</v>
      </c>
      <c r="AE48" s="103" t="e">
        <f>SUM(AE12:AE14,AD14,AF12,AG13)/(4*AE9)</f>
        <v>#DIV/0!</v>
      </c>
      <c r="AF48" s="103" t="e">
        <f>SUM(AF12:AF14,AE13,AD12,AG14)/(4*AF9)</f>
        <v>#DIV/0!</v>
      </c>
      <c r="AG48" s="104" t="e">
        <f>SUM(AG12:AG14,AD13,AE12,AF14)/(4*AG9)</f>
        <v>#DIV/0!</v>
      </c>
      <c r="AH48" s="102" t="e">
        <f>SUM(AH12:AH14,AJ13,AI14,AK12)/(4*AH9)</f>
        <v>#DIV/0!</v>
      </c>
      <c r="AI48" s="103" t="e">
        <f>SUM(AI12:AI14,AH14,AJ12,AK13)/(4*AI9)</f>
        <v>#DIV/0!</v>
      </c>
      <c r="AJ48" s="103" t="e">
        <f>SUM(AJ12:AJ14,AI13,AH12,AK14)/(4*AJ9)</f>
        <v>#DIV/0!</v>
      </c>
      <c r="AK48" s="104" t="e">
        <f>SUM(AK12:AK14,AH13,AI12,AJ14)/(4*AK9)</f>
        <v>#DIV/0!</v>
      </c>
      <c r="AL48" s="102" t="e">
        <f>SUM(AL12:AL14,AN13,AM14,AO12)/(4*AL9)</f>
        <v>#DIV/0!</v>
      </c>
      <c r="AM48" s="103" t="e">
        <f>SUM(AM12:AM14,AL14,AN12,AO13)/(4*AM9)</f>
        <v>#DIV/0!</v>
      </c>
      <c r="AN48" s="103" t="e">
        <f>SUM(AN12:AN14,AM13,AL12,AO14)/(4*AN9)</f>
        <v>#DIV/0!</v>
      </c>
      <c r="AO48" s="104" t="e">
        <f>SUM(AO12:AO14,AL13,AM12,AN14)/(4*AO9)</f>
        <v>#DIV/0!</v>
      </c>
      <c r="AP48" s="102" t="e">
        <f>SUM(AP12:AP14,AR13,AQ14,AS12)/(4*AP9)</f>
        <v>#DIV/0!</v>
      </c>
      <c r="AQ48" s="103" t="e">
        <f>SUM(AQ12:AQ14,AP14,AR12,AS13)/(4*AQ9)</f>
        <v>#DIV/0!</v>
      </c>
      <c r="AR48" s="103" t="e">
        <f>SUM(AR12:AR14,AQ13,AP12,AS14)/(4*AR9)</f>
        <v>#DIV/0!</v>
      </c>
      <c r="AS48" s="104" t="e">
        <f>SUM(AS12:AS14,AP13,AQ12,AR14)/(4*AS9)</f>
        <v>#DIV/0!</v>
      </c>
      <c r="AT48" s="102" t="e">
        <f>SUM(AT12:AT14,AV13,AU14,AW12)/(4*AT9)</f>
        <v>#DIV/0!</v>
      </c>
      <c r="AU48" s="103" t="e">
        <f>SUM(AU12:AU14,AT14,AV12,AW13)/(4*AU9)</f>
        <v>#DIV/0!</v>
      </c>
      <c r="AV48" s="103" t="e">
        <f>SUM(AV12:AV14,AU13,AT12,AW14)/(4*AV9)</f>
        <v>#DIV/0!</v>
      </c>
      <c r="AW48" s="104" t="e">
        <f>SUM(AW12:AW14,AT13,AU12,AV14)/(4*AW9)</f>
        <v>#DIV/0!</v>
      </c>
      <c r="AX48" s="102" t="e">
        <f>SUM(AX12:AX14,AZ13,AY14,BA12)/(4*AX9)</f>
        <v>#DIV/0!</v>
      </c>
      <c r="AY48" s="103" t="e">
        <f>SUM(AY12:AY14,AX14,AZ12,BA13)/(4*AY9)</f>
        <v>#DIV/0!</v>
      </c>
      <c r="AZ48" s="103" t="e">
        <f>SUM(AZ12:AZ14,AY13,AX12,BA14)/(4*AZ9)</f>
        <v>#DIV/0!</v>
      </c>
      <c r="BA48" s="104" t="e">
        <f>SUM(BA12:BA14,AX13,AY12,AZ14)/(4*BA9)</f>
        <v>#DIV/0!</v>
      </c>
      <c r="BB48" s="102" t="e">
        <f>SUM(BB12:BB14,BD13,BC14,BE12)/(4*BB9)</f>
        <v>#DIV/0!</v>
      </c>
      <c r="BC48" s="103" t="e">
        <f>SUM(BC12:BC14,BB14,BD12,BE13)/(4*BC9)</f>
        <v>#DIV/0!</v>
      </c>
      <c r="BD48" s="103" t="e">
        <f>SUM(BD12:BD14,BC13,BB12,BE14)/(4*BD9)</f>
        <v>#DIV/0!</v>
      </c>
      <c r="BE48" s="104" t="e">
        <f>SUM(BE12:BE14,BB13,BC12,BD14)/(4*BE9)</f>
        <v>#DIV/0!</v>
      </c>
      <c r="BF48" s="102" t="e">
        <f>SUM(BF12:BF14,BH13,BG14,BI12)/(4*BF9)</f>
        <v>#DIV/0!</v>
      </c>
      <c r="BG48" s="103" t="e">
        <f>SUM(BG12:BG14,BF14,BH12,BI13)/(4*BG9)</f>
        <v>#DIV/0!</v>
      </c>
      <c r="BH48" s="103" t="e">
        <f>SUM(BH12:BH14,BG13,BF12,BI14)/(4*BH9)</f>
        <v>#DIV/0!</v>
      </c>
      <c r="BI48" s="104" t="e">
        <f>SUM(BI12:BI14,BF13,BG12,BH14)/(4*BI9)</f>
        <v>#DIV/0!</v>
      </c>
      <c r="BJ48" s="102" t="e">
        <f>SUM(BJ12:BJ14,BL13,BK14,BM12)/(4*BJ9)</f>
        <v>#DIV/0!</v>
      </c>
      <c r="BK48" s="103" t="e">
        <f>SUM(BK12:BK14,BJ14,BL12,BM13)/(4*BK9)</f>
        <v>#DIV/0!</v>
      </c>
      <c r="BL48" s="103" t="e">
        <f>SUM(BL12:BL14,BK13,BJ12,BM14)/(4*BL9)</f>
        <v>#DIV/0!</v>
      </c>
      <c r="BM48" s="104" t="e">
        <f>SUM(BM12:BM14,BJ13,BK12,BL14)/(4*BM9)</f>
        <v>#DIV/0!</v>
      </c>
      <c r="BN48" s="102" t="e">
        <f>SUM(BN12:BN14,BP13,BO14,BQ12)/(4*BN9)</f>
        <v>#DIV/0!</v>
      </c>
      <c r="BO48" s="103" t="e">
        <f>SUM(BO12:BO14,BN14,BP12,BQ13)/(4*BO9)</f>
        <v>#DIV/0!</v>
      </c>
      <c r="BP48" s="103" t="e">
        <f>SUM(BP12:BP14,BO13,BN12,BQ14)/(4*BP9)</f>
        <v>#DIV/0!</v>
      </c>
      <c r="BQ48" s="104" t="e">
        <f>SUM(BQ12:BQ14,BN13,BO12,BP14)/(4*BQ9)</f>
        <v>#DIV/0!</v>
      </c>
      <c r="BR48" s="102" t="e">
        <f>SUM(BR12:BR14,BT13,BS14,BU12)/(4*BR9)</f>
        <v>#DIV/0!</v>
      </c>
      <c r="BS48" s="103" t="e">
        <f>SUM(BS12:BS14,BR14,BT12,BU13)/(4*BS9)</f>
        <v>#DIV/0!</v>
      </c>
      <c r="BT48" s="103" t="e">
        <f>SUM(BT12:BT14,BS13,BR12,BU14)/(4*BT9)</f>
        <v>#DIV/0!</v>
      </c>
      <c r="BU48" s="104" t="e">
        <f>SUM(BU12:BU14,BR13,BS12,BT14)/(4*BU9)</f>
        <v>#DIV/0!</v>
      </c>
      <c r="BV48" s="102" t="e">
        <f>SUM(BV12:BV14,BX13,BW14,BY12)/(4*BV9)</f>
        <v>#DIV/0!</v>
      </c>
      <c r="BW48" s="103" t="e">
        <f>SUM(BW12:BW14,BV14,BX12,BY13)/(4*BW9)</f>
        <v>#DIV/0!</v>
      </c>
      <c r="BX48" s="103" t="e">
        <f>SUM(BX12:BX14,BW13,BV12,BY14)/(4*BX9)</f>
        <v>#DIV/0!</v>
      </c>
      <c r="BY48" s="104" t="e">
        <f>SUM(BY12:BY14,BV13,BW12,BX14)/(4*BY9)</f>
        <v>#DIV/0!</v>
      </c>
      <c r="BZ48" s="102" t="e">
        <f>SUM(BZ12:BZ14,CB13,CA14,CC12)/(4*BZ9)</f>
        <v>#DIV/0!</v>
      </c>
      <c r="CA48" s="103" t="e">
        <f>SUM(CA12:CA14,BZ14,CB12,CC13)/(4*CA9)</f>
        <v>#DIV/0!</v>
      </c>
      <c r="CB48" s="103" t="e">
        <f>SUM(CB12:CB14,CA13,BZ12,CC14)/(4*CB9)</f>
        <v>#DIV/0!</v>
      </c>
      <c r="CC48" s="104" t="e">
        <f>SUM(CC12:CC14,BZ13,CA12,CB14)/(4*CC9)</f>
        <v>#DIV/0!</v>
      </c>
      <c r="CD48" s="102" t="e">
        <f>SUM(CD12:CD14,CF13,CE14,CG12)/(4*CD9)</f>
        <v>#DIV/0!</v>
      </c>
      <c r="CE48" s="103" t="e">
        <f>SUM(CE12:CE14,CD14,CF12,CG13)/(4*CE9)</f>
        <v>#DIV/0!</v>
      </c>
      <c r="CF48" s="103" t="e">
        <f>SUM(CF12:CF14,CE13,CD12,CG14)/(4*CF9)</f>
        <v>#DIV/0!</v>
      </c>
      <c r="CG48" s="104" t="e">
        <f>SUM(CG12:CG14,CD13,CE12,CF14)/(4*CG9)</f>
        <v>#DIV/0!</v>
      </c>
      <c r="CH48" s="102" t="e">
        <f>SUM(CH12:CH14,CJ13,CI14,CK12)/(4*CH9)</f>
        <v>#DIV/0!</v>
      </c>
      <c r="CI48" s="103" t="e">
        <f>SUM(CI12:CI14,CH14,CJ12,CK13)/(4*CI9)</f>
        <v>#DIV/0!</v>
      </c>
      <c r="CJ48" s="103" t="e">
        <f>SUM(CJ12:CJ14,CI13,CH12,CK14)/(4*CJ9)</f>
        <v>#DIV/0!</v>
      </c>
      <c r="CK48" s="104" t="e">
        <f>SUM(CK12:CK14,CH13,CI12,CJ14)/(4*CK9)</f>
        <v>#DIV/0!</v>
      </c>
      <c r="CL48" s="49"/>
      <c r="CM48" s="28"/>
    </row>
    <row r="49" spans="2:91" ht="14.25" x14ac:dyDescent="0.25">
      <c r="B49" s="55"/>
      <c r="C49" s="10" t="s">
        <v>101</v>
      </c>
      <c r="D49" s="94" t="s">
        <v>32</v>
      </c>
      <c r="E49" s="130">
        <f t="shared" ref="E49:AJ49" si="15">0.00013*E48*E11</f>
        <v>0.30001562499999995</v>
      </c>
      <c r="F49" s="72">
        <f t="shared" si="15"/>
        <v>0.23757499999999998</v>
      </c>
      <c r="G49" s="73">
        <f t="shared" si="15"/>
        <v>0.27689999999999998</v>
      </c>
      <c r="H49" s="73">
        <f t="shared" si="15"/>
        <v>0.19642187499999997</v>
      </c>
      <c r="I49" s="74">
        <f t="shared" si="15"/>
        <v>0.15498437499999998</v>
      </c>
      <c r="J49" s="98" t="e">
        <f t="shared" si="15"/>
        <v>#DIV/0!</v>
      </c>
      <c r="K49" s="99">
        <f t="shared" si="15"/>
        <v>3.8593749999999996E-2</v>
      </c>
      <c r="L49" s="99">
        <f t="shared" si="15"/>
        <v>0.16168749999999998</v>
      </c>
      <c r="M49" s="100">
        <f t="shared" si="15"/>
        <v>0.16595312499999998</v>
      </c>
      <c r="N49" s="98" t="e">
        <f t="shared" si="15"/>
        <v>#DIV/0!</v>
      </c>
      <c r="O49" s="99" t="e">
        <f t="shared" si="15"/>
        <v>#DIV/0!</v>
      </c>
      <c r="P49" s="99" t="e">
        <f t="shared" si="15"/>
        <v>#DIV/0!</v>
      </c>
      <c r="Q49" s="100" t="e">
        <f t="shared" si="15"/>
        <v>#DIV/0!</v>
      </c>
      <c r="R49" s="98" t="e">
        <f t="shared" si="15"/>
        <v>#DIV/0!</v>
      </c>
      <c r="S49" s="99" t="e">
        <f t="shared" si="15"/>
        <v>#DIV/0!</v>
      </c>
      <c r="T49" s="99" t="e">
        <f t="shared" si="15"/>
        <v>#DIV/0!</v>
      </c>
      <c r="U49" s="100" t="e">
        <f t="shared" si="15"/>
        <v>#DIV/0!</v>
      </c>
      <c r="V49" s="98" t="e">
        <f t="shared" si="15"/>
        <v>#DIV/0!</v>
      </c>
      <c r="W49" s="99" t="e">
        <f t="shared" si="15"/>
        <v>#DIV/0!</v>
      </c>
      <c r="X49" s="99" t="e">
        <f t="shared" si="15"/>
        <v>#DIV/0!</v>
      </c>
      <c r="Y49" s="100" t="e">
        <f t="shared" si="15"/>
        <v>#DIV/0!</v>
      </c>
      <c r="Z49" s="98" t="e">
        <f t="shared" si="15"/>
        <v>#DIV/0!</v>
      </c>
      <c r="AA49" s="99" t="e">
        <f t="shared" si="15"/>
        <v>#DIV/0!</v>
      </c>
      <c r="AB49" s="99" t="e">
        <f t="shared" si="15"/>
        <v>#DIV/0!</v>
      </c>
      <c r="AC49" s="100" t="e">
        <f t="shared" si="15"/>
        <v>#DIV/0!</v>
      </c>
      <c r="AD49" s="98" t="e">
        <f t="shared" si="15"/>
        <v>#DIV/0!</v>
      </c>
      <c r="AE49" s="99" t="e">
        <f t="shared" si="15"/>
        <v>#DIV/0!</v>
      </c>
      <c r="AF49" s="99" t="e">
        <f t="shared" si="15"/>
        <v>#DIV/0!</v>
      </c>
      <c r="AG49" s="100" t="e">
        <f t="shared" si="15"/>
        <v>#DIV/0!</v>
      </c>
      <c r="AH49" s="98" t="e">
        <f t="shared" si="15"/>
        <v>#DIV/0!</v>
      </c>
      <c r="AI49" s="99" t="e">
        <f t="shared" si="15"/>
        <v>#DIV/0!</v>
      </c>
      <c r="AJ49" s="99" t="e">
        <f t="shared" si="15"/>
        <v>#DIV/0!</v>
      </c>
      <c r="AK49" s="100" t="e">
        <f t="shared" ref="AK49:BP49" si="16">0.00013*AK48*AK11</f>
        <v>#DIV/0!</v>
      </c>
      <c r="AL49" s="98" t="e">
        <f t="shared" si="16"/>
        <v>#DIV/0!</v>
      </c>
      <c r="AM49" s="99" t="e">
        <f t="shared" si="16"/>
        <v>#DIV/0!</v>
      </c>
      <c r="AN49" s="99" t="e">
        <f t="shared" si="16"/>
        <v>#DIV/0!</v>
      </c>
      <c r="AO49" s="100" t="e">
        <f t="shared" si="16"/>
        <v>#DIV/0!</v>
      </c>
      <c r="AP49" s="98" t="e">
        <f t="shared" si="16"/>
        <v>#DIV/0!</v>
      </c>
      <c r="AQ49" s="99" t="e">
        <f t="shared" si="16"/>
        <v>#DIV/0!</v>
      </c>
      <c r="AR49" s="99" t="e">
        <f t="shared" si="16"/>
        <v>#DIV/0!</v>
      </c>
      <c r="AS49" s="100" t="e">
        <f t="shared" si="16"/>
        <v>#DIV/0!</v>
      </c>
      <c r="AT49" s="98" t="e">
        <f t="shared" si="16"/>
        <v>#DIV/0!</v>
      </c>
      <c r="AU49" s="99" t="e">
        <f t="shared" si="16"/>
        <v>#DIV/0!</v>
      </c>
      <c r="AV49" s="99" t="e">
        <f t="shared" si="16"/>
        <v>#DIV/0!</v>
      </c>
      <c r="AW49" s="100" t="e">
        <f t="shared" si="16"/>
        <v>#DIV/0!</v>
      </c>
      <c r="AX49" s="98" t="e">
        <f t="shared" si="16"/>
        <v>#DIV/0!</v>
      </c>
      <c r="AY49" s="99" t="e">
        <f t="shared" si="16"/>
        <v>#DIV/0!</v>
      </c>
      <c r="AZ49" s="99" t="e">
        <f t="shared" si="16"/>
        <v>#DIV/0!</v>
      </c>
      <c r="BA49" s="100" t="e">
        <f t="shared" si="16"/>
        <v>#DIV/0!</v>
      </c>
      <c r="BB49" s="98" t="e">
        <f t="shared" si="16"/>
        <v>#DIV/0!</v>
      </c>
      <c r="BC49" s="99" t="e">
        <f t="shared" si="16"/>
        <v>#DIV/0!</v>
      </c>
      <c r="BD49" s="99" t="e">
        <f t="shared" si="16"/>
        <v>#DIV/0!</v>
      </c>
      <c r="BE49" s="100" t="e">
        <f t="shared" si="16"/>
        <v>#DIV/0!</v>
      </c>
      <c r="BF49" s="98" t="e">
        <f t="shared" si="16"/>
        <v>#DIV/0!</v>
      </c>
      <c r="BG49" s="99" t="e">
        <f t="shared" si="16"/>
        <v>#DIV/0!</v>
      </c>
      <c r="BH49" s="99" t="e">
        <f t="shared" si="16"/>
        <v>#DIV/0!</v>
      </c>
      <c r="BI49" s="100" t="e">
        <f t="shared" si="16"/>
        <v>#DIV/0!</v>
      </c>
      <c r="BJ49" s="98" t="e">
        <f t="shared" si="16"/>
        <v>#DIV/0!</v>
      </c>
      <c r="BK49" s="99" t="e">
        <f t="shared" si="16"/>
        <v>#DIV/0!</v>
      </c>
      <c r="BL49" s="99" t="e">
        <f t="shared" si="16"/>
        <v>#DIV/0!</v>
      </c>
      <c r="BM49" s="100" t="e">
        <f t="shared" si="16"/>
        <v>#DIV/0!</v>
      </c>
      <c r="BN49" s="98" t="e">
        <f t="shared" si="16"/>
        <v>#DIV/0!</v>
      </c>
      <c r="BO49" s="99" t="e">
        <f t="shared" si="16"/>
        <v>#DIV/0!</v>
      </c>
      <c r="BP49" s="99" t="e">
        <f t="shared" si="16"/>
        <v>#DIV/0!</v>
      </c>
      <c r="BQ49" s="100" t="e">
        <f t="shared" ref="BQ49:CV49" si="17">0.00013*BQ48*BQ11</f>
        <v>#DIV/0!</v>
      </c>
      <c r="BR49" s="98" t="e">
        <f t="shared" si="17"/>
        <v>#DIV/0!</v>
      </c>
      <c r="BS49" s="99" t="e">
        <f t="shared" si="17"/>
        <v>#DIV/0!</v>
      </c>
      <c r="BT49" s="99" t="e">
        <f t="shared" si="17"/>
        <v>#DIV/0!</v>
      </c>
      <c r="BU49" s="100" t="e">
        <f t="shared" si="17"/>
        <v>#DIV/0!</v>
      </c>
      <c r="BV49" s="98" t="e">
        <f t="shared" si="17"/>
        <v>#DIV/0!</v>
      </c>
      <c r="BW49" s="99" t="e">
        <f t="shared" si="17"/>
        <v>#DIV/0!</v>
      </c>
      <c r="BX49" s="99" t="e">
        <f t="shared" si="17"/>
        <v>#DIV/0!</v>
      </c>
      <c r="BY49" s="100" t="e">
        <f t="shared" si="17"/>
        <v>#DIV/0!</v>
      </c>
      <c r="BZ49" s="98" t="e">
        <f t="shared" si="17"/>
        <v>#DIV/0!</v>
      </c>
      <c r="CA49" s="99" t="e">
        <f t="shared" si="17"/>
        <v>#DIV/0!</v>
      </c>
      <c r="CB49" s="99" t="e">
        <f t="shared" si="17"/>
        <v>#DIV/0!</v>
      </c>
      <c r="CC49" s="100" t="e">
        <f t="shared" si="17"/>
        <v>#DIV/0!</v>
      </c>
      <c r="CD49" s="98" t="e">
        <f t="shared" si="17"/>
        <v>#DIV/0!</v>
      </c>
      <c r="CE49" s="99" t="e">
        <f t="shared" si="17"/>
        <v>#DIV/0!</v>
      </c>
      <c r="CF49" s="99" t="e">
        <f t="shared" si="17"/>
        <v>#DIV/0!</v>
      </c>
      <c r="CG49" s="100" t="e">
        <f t="shared" si="17"/>
        <v>#DIV/0!</v>
      </c>
      <c r="CH49" s="98" t="e">
        <f t="shared" si="17"/>
        <v>#DIV/0!</v>
      </c>
      <c r="CI49" s="99" t="e">
        <f t="shared" si="17"/>
        <v>#DIV/0!</v>
      </c>
      <c r="CJ49" s="99" t="e">
        <f t="shared" si="17"/>
        <v>#DIV/0!</v>
      </c>
      <c r="CK49" s="100" t="e">
        <f t="shared" si="17"/>
        <v>#DIV/0!</v>
      </c>
      <c r="CL49" s="49"/>
      <c r="CM49" s="28"/>
    </row>
    <row r="50" spans="2:91" ht="14.25" x14ac:dyDescent="0.25">
      <c r="B50" s="55"/>
      <c r="C50" s="10" t="s">
        <v>102</v>
      </c>
      <c r="D50" s="94" t="s">
        <v>33</v>
      </c>
      <c r="E50" s="130">
        <f t="shared" ref="E50:AJ50" si="18">0.00569*SUM(E16:E17)/4-E19*(0.0027*E48-0.1946)</f>
        <v>0.28449999999999998</v>
      </c>
      <c r="F50" s="72">
        <f t="shared" si="18"/>
        <v>0.28592249999999997</v>
      </c>
      <c r="G50" s="73">
        <f t="shared" si="18"/>
        <v>0.28592249999999997</v>
      </c>
      <c r="H50" s="73">
        <f t="shared" si="18"/>
        <v>0.45946749999999997</v>
      </c>
      <c r="I50" s="74">
        <f t="shared" si="18"/>
        <v>0.45946749999999997</v>
      </c>
      <c r="J50" s="98" t="e">
        <f t="shared" si="18"/>
        <v>#DIV/0!</v>
      </c>
      <c r="K50" s="99">
        <f t="shared" si="18"/>
        <v>7.8237500000000001E-2</v>
      </c>
      <c r="L50" s="99">
        <f t="shared" si="18"/>
        <v>2.845E-2</v>
      </c>
      <c r="M50" s="100">
        <f t="shared" si="18"/>
        <v>2.845E-2</v>
      </c>
      <c r="N50" s="98" t="e">
        <f t="shared" si="18"/>
        <v>#DIV/0!</v>
      </c>
      <c r="O50" s="99" t="e">
        <f t="shared" si="18"/>
        <v>#DIV/0!</v>
      </c>
      <c r="P50" s="99" t="e">
        <f t="shared" si="18"/>
        <v>#DIV/0!</v>
      </c>
      <c r="Q50" s="100" t="e">
        <f t="shared" si="18"/>
        <v>#DIV/0!</v>
      </c>
      <c r="R50" s="98" t="e">
        <f t="shared" si="18"/>
        <v>#DIV/0!</v>
      </c>
      <c r="S50" s="99" t="e">
        <f t="shared" si="18"/>
        <v>#DIV/0!</v>
      </c>
      <c r="T50" s="99" t="e">
        <f t="shared" si="18"/>
        <v>#DIV/0!</v>
      </c>
      <c r="U50" s="100" t="e">
        <f t="shared" si="18"/>
        <v>#DIV/0!</v>
      </c>
      <c r="V50" s="98" t="e">
        <f t="shared" si="18"/>
        <v>#DIV/0!</v>
      </c>
      <c r="W50" s="99" t="e">
        <f t="shared" si="18"/>
        <v>#DIV/0!</v>
      </c>
      <c r="X50" s="99" t="e">
        <f t="shared" si="18"/>
        <v>#DIV/0!</v>
      </c>
      <c r="Y50" s="100" t="e">
        <f t="shared" si="18"/>
        <v>#DIV/0!</v>
      </c>
      <c r="Z50" s="98" t="e">
        <f t="shared" si="18"/>
        <v>#DIV/0!</v>
      </c>
      <c r="AA50" s="99" t="e">
        <f t="shared" si="18"/>
        <v>#DIV/0!</v>
      </c>
      <c r="AB50" s="99" t="e">
        <f t="shared" si="18"/>
        <v>#DIV/0!</v>
      </c>
      <c r="AC50" s="100" t="e">
        <f t="shared" si="18"/>
        <v>#DIV/0!</v>
      </c>
      <c r="AD50" s="98" t="e">
        <f t="shared" si="18"/>
        <v>#DIV/0!</v>
      </c>
      <c r="AE50" s="99" t="e">
        <f t="shared" si="18"/>
        <v>#DIV/0!</v>
      </c>
      <c r="AF50" s="99" t="e">
        <f t="shared" si="18"/>
        <v>#DIV/0!</v>
      </c>
      <c r="AG50" s="100" t="e">
        <f t="shared" si="18"/>
        <v>#DIV/0!</v>
      </c>
      <c r="AH50" s="98" t="e">
        <f t="shared" si="18"/>
        <v>#DIV/0!</v>
      </c>
      <c r="AI50" s="99" t="e">
        <f t="shared" si="18"/>
        <v>#DIV/0!</v>
      </c>
      <c r="AJ50" s="99" t="e">
        <f t="shared" si="18"/>
        <v>#DIV/0!</v>
      </c>
      <c r="AK50" s="100" t="e">
        <f t="shared" ref="AK50:BP50" si="19">0.00569*SUM(AK16:AK17)/4-AK19*(0.0027*AK48-0.1946)</f>
        <v>#DIV/0!</v>
      </c>
      <c r="AL50" s="98" t="e">
        <f t="shared" si="19"/>
        <v>#DIV/0!</v>
      </c>
      <c r="AM50" s="99" t="e">
        <f t="shared" si="19"/>
        <v>#DIV/0!</v>
      </c>
      <c r="AN50" s="99" t="e">
        <f t="shared" si="19"/>
        <v>#DIV/0!</v>
      </c>
      <c r="AO50" s="100" t="e">
        <f t="shared" si="19"/>
        <v>#DIV/0!</v>
      </c>
      <c r="AP50" s="98" t="e">
        <f t="shared" si="19"/>
        <v>#DIV/0!</v>
      </c>
      <c r="AQ50" s="99" t="e">
        <f t="shared" si="19"/>
        <v>#DIV/0!</v>
      </c>
      <c r="AR50" s="99" t="e">
        <f t="shared" si="19"/>
        <v>#DIV/0!</v>
      </c>
      <c r="AS50" s="100" t="e">
        <f t="shared" si="19"/>
        <v>#DIV/0!</v>
      </c>
      <c r="AT50" s="98" t="e">
        <f t="shared" si="19"/>
        <v>#DIV/0!</v>
      </c>
      <c r="AU50" s="99" t="e">
        <f t="shared" si="19"/>
        <v>#DIV/0!</v>
      </c>
      <c r="AV50" s="99" t="e">
        <f t="shared" si="19"/>
        <v>#DIV/0!</v>
      </c>
      <c r="AW50" s="100" t="e">
        <f t="shared" si="19"/>
        <v>#DIV/0!</v>
      </c>
      <c r="AX50" s="98" t="e">
        <f t="shared" si="19"/>
        <v>#DIV/0!</v>
      </c>
      <c r="AY50" s="99" t="e">
        <f t="shared" si="19"/>
        <v>#DIV/0!</v>
      </c>
      <c r="AZ50" s="99" t="e">
        <f t="shared" si="19"/>
        <v>#DIV/0!</v>
      </c>
      <c r="BA50" s="100" t="e">
        <f t="shared" si="19"/>
        <v>#DIV/0!</v>
      </c>
      <c r="BB50" s="98" t="e">
        <f t="shared" si="19"/>
        <v>#DIV/0!</v>
      </c>
      <c r="BC50" s="99" t="e">
        <f t="shared" si="19"/>
        <v>#DIV/0!</v>
      </c>
      <c r="BD50" s="99" t="e">
        <f t="shared" si="19"/>
        <v>#DIV/0!</v>
      </c>
      <c r="BE50" s="100" t="e">
        <f t="shared" si="19"/>
        <v>#DIV/0!</v>
      </c>
      <c r="BF50" s="98" t="e">
        <f t="shared" si="19"/>
        <v>#DIV/0!</v>
      </c>
      <c r="BG50" s="99" t="e">
        <f t="shared" si="19"/>
        <v>#DIV/0!</v>
      </c>
      <c r="BH50" s="99" t="e">
        <f t="shared" si="19"/>
        <v>#DIV/0!</v>
      </c>
      <c r="BI50" s="100" t="e">
        <f t="shared" si="19"/>
        <v>#DIV/0!</v>
      </c>
      <c r="BJ50" s="98" t="e">
        <f t="shared" si="19"/>
        <v>#DIV/0!</v>
      </c>
      <c r="BK50" s="99" t="e">
        <f t="shared" si="19"/>
        <v>#DIV/0!</v>
      </c>
      <c r="BL50" s="99" t="e">
        <f t="shared" si="19"/>
        <v>#DIV/0!</v>
      </c>
      <c r="BM50" s="100" t="e">
        <f t="shared" si="19"/>
        <v>#DIV/0!</v>
      </c>
      <c r="BN50" s="98" t="e">
        <f t="shared" si="19"/>
        <v>#DIV/0!</v>
      </c>
      <c r="BO50" s="99" t="e">
        <f t="shared" si="19"/>
        <v>#DIV/0!</v>
      </c>
      <c r="BP50" s="99" t="e">
        <f t="shared" si="19"/>
        <v>#DIV/0!</v>
      </c>
      <c r="BQ50" s="100" t="e">
        <f t="shared" ref="BQ50:CK50" si="20">0.00569*SUM(BQ16:BQ17)/4-BQ19*(0.0027*BQ48-0.1946)</f>
        <v>#DIV/0!</v>
      </c>
      <c r="BR50" s="98" t="e">
        <f t="shared" si="20"/>
        <v>#DIV/0!</v>
      </c>
      <c r="BS50" s="99" t="e">
        <f t="shared" si="20"/>
        <v>#DIV/0!</v>
      </c>
      <c r="BT50" s="99" t="e">
        <f t="shared" si="20"/>
        <v>#DIV/0!</v>
      </c>
      <c r="BU50" s="100" t="e">
        <f t="shared" si="20"/>
        <v>#DIV/0!</v>
      </c>
      <c r="BV50" s="98" t="e">
        <f t="shared" si="20"/>
        <v>#DIV/0!</v>
      </c>
      <c r="BW50" s="99" t="e">
        <f t="shared" si="20"/>
        <v>#DIV/0!</v>
      </c>
      <c r="BX50" s="99" t="e">
        <f t="shared" si="20"/>
        <v>#DIV/0!</v>
      </c>
      <c r="BY50" s="100" t="e">
        <f t="shared" si="20"/>
        <v>#DIV/0!</v>
      </c>
      <c r="BZ50" s="98" t="e">
        <f t="shared" si="20"/>
        <v>#DIV/0!</v>
      </c>
      <c r="CA50" s="99" t="e">
        <f t="shared" si="20"/>
        <v>#DIV/0!</v>
      </c>
      <c r="CB50" s="99" t="e">
        <f t="shared" si="20"/>
        <v>#DIV/0!</v>
      </c>
      <c r="CC50" s="100" t="e">
        <f t="shared" si="20"/>
        <v>#DIV/0!</v>
      </c>
      <c r="CD50" s="98" t="e">
        <f t="shared" si="20"/>
        <v>#DIV/0!</v>
      </c>
      <c r="CE50" s="99" t="e">
        <f t="shared" si="20"/>
        <v>#DIV/0!</v>
      </c>
      <c r="CF50" s="99" t="e">
        <f t="shared" si="20"/>
        <v>#DIV/0!</v>
      </c>
      <c r="CG50" s="100" t="e">
        <f t="shared" si="20"/>
        <v>#DIV/0!</v>
      </c>
      <c r="CH50" s="98" t="e">
        <f t="shared" si="20"/>
        <v>#DIV/0!</v>
      </c>
      <c r="CI50" s="99" t="e">
        <f t="shared" si="20"/>
        <v>#DIV/0!</v>
      </c>
      <c r="CJ50" s="99" t="e">
        <f t="shared" si="20"/>
        <v>#DIV/0!</v>
      </c>
      <c r="CK50" s="100" t="e">
        <f t="shared" si="20"/>
        <v>#DIV/0!</v>
      </c>
      <c r="CL50" s="49"/>
      <c r="CM50" s="28"/>
    </row>
    <row r="51" spans="2:91" ht="14.25" x14ac:dyDescent="0.25">
      <c r="B51" s="55"/>
      <c r="C51" s="10" t="s">
        <v>164</v>
      </c>
      <c r="D51" s="94" t="s">
        <v>223</v>
      </c>
      <c r="E51" s="132">
        <f t="shared" ref="E51:AJ51" si="21">E21+4</f>
        <v>49</v>
      </c>
      <c r="F51" s="42">
        <f t="shared" si="21"/>
        <v>51.7</v>
      </c>
      <c r="G51" s="45">
        <f t="shared" si="21"/>
        <v>51.7</v>
      </c>
      <c r="H51" s="45">
        <f t="shared" si="21"/>
        <v>35.1</v>
      </c>
      <c r="I51" s="95">
        <f t="shared" si="21"/>
        <v>35.1</v>
      </c>
      <c r="J51" s="102">
        <f t="shared" si="21"/>
        <v>4</v>
      </c>
      <c r="K51" s="103">
        <f t="shared" si="21"/>
        <v>4</v>
      </c>
      <c r="L51" s="103">
        <f t="shared" si="21"/>
        <v>4</v>
      </c>
      <c r="M51" s="104">
        <f t="shared" si="21"/>
        <v>4</v>
      </c>
      <c r="N51" s="102">
        <f t="shared" si="21"/>
        <v>4</v>
      </c>
      <c r="O51" s="103">
        <f t="shared" si="21"/>
        <v>4</v>
      </c>
      <c r="P51" s="103">
        <f t="shared" si="21"/>
        <v>4</v>
      </c>
      <c r="Q51" s="104">
        <f t="shared" si="21"/>
        <v>4</v>
      </c>
      <c r="R51" s="102">
        <f t="shared" si="21"/>
        <v>4</v>
      </c>
      <c r="S51" s="103">
        <f t="shared" si="21"/>
        <v>4</v>
      </c>
      <c r="T51" s="103">
        <f t="shared" si="21"/>
        <v>4</v>
      </c>
      <c r="U51" s="104">
        <f t="shared" si="21"/>
        <v>4</v>
      </c>
      <c r="V51" s="102">
        <f t="shared" si="21"/>
        <v>4</v>
      </c>
      <c r="W51" s="103">
        <f t="shared" si="21"/>
        <v>4</v>
      </c>
      <c r="X51" s="103">
        <f t="shared" si="21"/>
        <v>4</v>
      </c>
      <c r="Y51" s="104">
        <f t="shared" si="21"/>
        <v>4</v>
      </c>
      <c r="Z51" s="102">
        <f t="shared" si="21"/>
        <v>4</v>
      </c>
      <c r="AA51" s="103">
        <f t="shared" si="21"/>
        <v>4</v>
      </c>
      <c r="AB51" s="103">
        <f t="shared" si="21"/>
        <v>4</v>
      </c>
      <c r="AC51" s="104">
        <f t="shared" si="21"/>
        <v>4</v>
      </c>
      <c r="AD51" s="102">
        <f t="shared" si="21"/>
        <v>4</v>
      </c>
      <c r="AE51" s="103">
        <f t="shared" si="21"/>
        <v>4</v>
      </c>
      <c r="AF51" s="103">
        <f t="shared" si="21"/>
        <v>4</v>
      </c>
      <c r="AG51" s="104">
        <f t="shared" si="21"/>
        <v>4</v>
      </c>
      <c r="AH51" s="102">
        <f t="shared" si="21"/>
        <v>4</v>
      </c>
      <c r="AI51" s="103">
        <f t="shared" si="21"/>
        <v>4</v>
      </c>
      <c r="AJ51" s="103">
        <f t="shared" si="21"/>
        <v>4</v>
      </c>
      <c r="AK51" s="104">
        <f t="shared" ref="AK51:BP51" si="22">AK21+4</f>
        <v>4</v>
      </c>
      <c r="AL51" s="102">
        <f t="shared" si="22"/>
        <v>4</v>
      </c>
      <c r="AM51" s="103">
        <f t="shared" si="22"/>
        <v>4</v>
      </c>
      <c r="AN51" s="103">
        <f t="shared" si="22"/>
        <v>4</v>
      </c>
      <c r="AO51" s="104">
        <f t="shared" si="22"/>
        <v>4</v>
      </c>
      <c r="AP51" s="102">
        <f t="shared" si="22"/>
        <v>4</v>
      </c>
      <c r="AQ51" s="103">
        <f t="shared" si="22"/>
        <v>4</v>
      </c>
      <c r="AR51" s="103">
        <f t="shared" si="22"/>
        <v>4</v>
      </c>
      <c r="AS51" s="104">
        <f t="shared" si="22"/>
        <v>4</v>
      </c>
      <c r="AT51" s="102">
        <f t="shared" si="22"/>
        <v>4</v>
      </c>
      <c r="AU51" s="103">
        <f t="shared" si="22"/>
        <v>4</v>
      </c>
      <c r="AV51" s="103">
        <f t="shared" si="22"/>
        <v>4</v>
      </c>
      <c r="AW51" s="104">
        <f t="shared" si="22"/>
        <v>4</v>
      </c>
      <c r="AX51" s="102">
        <f t="shared" si="22"/>
        <v>4</v>
      </c>
      <c r="AY51" s="103">
        <f t="shared" si="22"/>
        <v>4</v>
      </c>
      <c r="AZ51" s="103">
        <f t="shared" si="22"/>
        <v>4</v>
      </c>
      <c r="BA51" s="104">
        <f t="shared" si="22"/>
        <v>4</v>
      </c>
      <c r="BB51" s="102">
        <f t="shared" si="22"/>
        <v>4</v>
      </c>
      <c r="BC51" s="103">
        <f t="shared" si="22"/>
        <v>4</v>
      </c>
      <c r="BD51" s="103">
        <f t="shared" si="22"/>
        <v>4</v>
      </c>
      <c r="BE51" s="104">
        <f t="shared" si="22"/>
        <v>4</v>
      </c>
      <c r="BF51" s="102">
        <f t="shared" si="22"/>
        <v>4</v>
      </c>
      <c r="BG51" s="103">
        <f t="shared" si="22"/>
        <v>4</v>
      </c>
      <c r="BH51" s="103">
        <f t="shared" si="22"/>
        <v>4</v>
      </c>
      <c r="BI51" s="104">
        <f t="shared" si="22"/>
        <v>4</v>
      </c>
      <c r="BJ51" s="102">
        <f t="shared" si="22"/>
        <v>4</v>
      </c>
      <c r="BK51" s="103">
        <f t="shared" si="22"/>
        <v>4</v>
      </c>
      <c r="BL51" s="103">
        <f t="shared" si="22"/>
        <v>4</v>
      </c>
      <c r="BM51" s="104">
        <f t="shared" si="22"/>
        <v>4</v>
      </c>
      <c r="BN51" s="102">
        <f t="shared" si="22"/>
        <v>4</v>
      </c>
      <c r="BO51" s="103">
        <f t="shared" si="22"/>
        <v>4</v>
      </c>
      <c r="BP51" s="103">
        <f t="shared" si="22"/>
        <v>4</v>
      </c>
      <c r="BQ51" s="104">
        <f t="shared" ref="BQ51:CK51" si="23">BQ21+4</f>
        <v>4</v>
      </c>
      <c r="BR51" s="102">
        <f t="shared" si="23"/>
        <v>4</v>
      </c>
      <c r="BS51" s="103">
        <f t="shared" si="23"/>
        <v>4</v>
      </c>
      <c r="BT51" s="103">
        <f t="shared" si="23"/>
        <v>4</v>
      </c>
      <c r="BU51" s="104">
        <f t="shared" si="23"/>
        <v>4</v>
      </c>
      <c r="BV51" s="102">
        <f t="shared" si="23"/>
        <v>4</v>
      </c>
      <c r="BW51" s="103">
        <f t="shared" si="23"/>
        <v>4</v>
      </c>
      <c r="BX51" s="103">
        <f t="shared" si="23"/>
        <v>4</v>
      </c>
      <c r="BY51" s="104">
        <f t="shared" si="23"/>
        <v>4</v>
      </c>
      <c r="BZ51" s="102">
        <f t="shared" si="23"/>
        <v>4</v>
      </c>
      <c r="CA51" s="103">
        <f t="shared" si="23"/>
        <v>4</v>
      </c>
      <c r="CB51" s="103">
        <f t="shared" si="23"/>
        <v>4</v>
      </c>
      <c r="CC51" s="104">
        <f t="shared" si="23"/>
        <v>4</v>
      </c>
      <c r="CD51" s="102">
        <f t="shared" si="23"/>
        <v>4</v>
      </c>
      <c r="CE51" s="103">
        <f t="shared" si="23"/>
        <v>4</v>
      </c>
      <c r="CF51" s="103">
        <f t="shared" si="23"/>
        <v>4</v>
      </c>
      <c r="CG51" s="104">
        <f t="shared" si="23"/>
        <v>4</v>
      </c>
      <c r="CH51" s="102">
        <f t="shared" si="23"/>
        <v>4</v>
      </c>
      <c r="CI51" s="103">
        <f t="shared" si="23"/>
        <v>4</v>
      </c>
      <c r="CJ51" s="103">
        <f t="shared" si="23"/>
        <v>4</v>
      </c>
      <c r="CK51" s="104">
        <f t="shared" si="23"/>
        <v>4</v>
      </c>
      <c r="CL51" s="49"/>
      <c r="CM51" s="28"/>
    </row>
    <row r="52" spans="2:91" ht="14.25" x14ac:dyDescent="0.25">
      <c r="B52" s="55"/>
      <c r="C52" s="10" t="s">
        <v>166</v>
      </c>
      <c r="D52" s="94" t="s">
        <v>167</v>
      </c>
      <c r="E52" s="131">
        <f>IF(E30="Signalized",(E20-E51)^2/(2*E20), IF(E30="Free",TWSC_PED_DELAY(E9,E45,E46,E42,E43,E29,E44), IF(E30="Stop",0,"Select control!")))</f>
        <v>0</v>
      </c>
      <c r="F52" s="13">
        <f t="shared" ref="F52:M52" si="24">IF(F30="Signalized",(F20-F51)^2/(2*F20), IF(F30="Free",TWSC_PED_DELAY(F9,F45,F46,F42,F43,F29,F44), IF(F30="Stop",1,"Select control!")))</f>
        <v>9.867842105263156</v>
      </c>
      <c r="G52" s="44">
        <f t="shared" si="24"/>
        <v>9.867842105263156</v>
      </c>
      <c r="H52" s="44">
        <f t="shared" si="24"/>
        <v>18.884263157894736</v>
      </c>
      <c r="I52" s="14">
        <f t="shared" si="24"/>
        <v>18.884263157894736</v>
      </c>
      <c r="J52" s="13" t="str">
        <f t="shared" si="24"/>
        <v>Select control!</v>
      </c>
      <c r="K52" s="44">
        <f t="shared" si="24"/>
        <v>1</v>
      </c>
      <c r="L52" s="44">
        <f t="shared" si="24"/>
        <v>1772.6142983581403</v>
      </c>
      <c r="M52" s="14" t="e">
        <f t="shared" si="24"/>
        <v>#VALUE!</v>
      </c>
      <c r="N52" s="13" t="e">
        <f t="shared" ref="N52:AS52" si="25">(N20-N51)^2/(2*N20)</f>
        <v>#DIV/0!</v>
      </c>
      <c r="O52" s="44" t="e">
        <f t="shared" si="25"/>
        <v>#DIV/0!</v>
      </c>
      <c r="P52" s="44" t="e">
        <f t="shared" si="25"/>
        <v>#DIV/0!</v>
      </c>
      <c r="Q52" s="14" t="e">
        <f t="shared" si="25"/>
        <v>#DIV/0!</v>
      </c>
      <c r="R52" s="13" t="e">
        <f t="shared" si="25"/>
        <v>#DIV/0!</v>
      </c>
      <c r="S52" s="44" t="e">
        <f t="shared" si="25"/>
        <v>#DIV/0!</v>
      </c>
      <c r="T52" s="44" t="e">
        <f t="shared" si="25"/>
        <v>#DIV/0!</v>
      </c>
      <c r="U52" s="14" t="e">
        <f t="shared" si="25"/>
        <v>#DIV/0!</v>
      </c>
      <c r="V52" s="13" t="e">
        <f t="shared" si="25"/>
        <v>#DIV/0!</v>
      </c>
      <c r="W52" s="44" t="e">
        <f t="shared" si="25"/>
        <v>#DIV/0!</v>
      </c>
      <c r="X52" s="44" t="e">
        <f t="shared" si="25"/>
        <v>#DIV/0!</v>
      </c>
      <c r="Y52" s="14" t="e">
        <f t="shared" si="25"/>
        <v>#DIV/0!</v>
      </c>
      <c r="Z52" s="13" t="e">
        <f t="shared" si="25"/>
        <v>#DIV/0!</v>
      </c>
      <c r="AA52" s="44" t="e">
        <f t="shared" si="25"/>
        <v>#DIV/0!</v>
      </c>
      <c r="AB52" s="44" t="e">
        <f t="shared" si="25"/>
        <v>#DIV/0!</v>
      </c>
      <c r="AC52" s="14" t="e">
        <f t="shared" si="25"/>
        <v>#DIV/0!</v>
      </c>
      <c r="AD52" s="13" t="e">
        <f t="shared" si="25"/>
        <v>#DIV/0!</v>
      </c>
      <c r="AE52" s="44" t="e">
        <f t="shared" si="25"/>
        <v>#DIV/0!</v>
      </c>
      <c r="AF52" s="44" t="e">
        <f t="shared" si="25"/>
        <v>#DIV/0!</v>
      </c>
      <c r="AG52" s="14" t="e">
        <f t="shared" si="25"/>
        <v>#DIV/0!</v>
      </c>
      <c r="AH52" s="13" t="e">
        <f t="shared" si="25"/>
        <v>#DIV/0!</v>
      </c>
      <c r="AI52" s="44" t="e">
        <f t="shared" si="25"/>
        <v>#DIV/0!</v>
      </c>
      <c r="AJ52" s="44" t="e">
        <f t="shared" si="25"/>
        <v>#DIV/0!</v>
      </c>
      <c r="AK52" s="14" t="e">
        <f t="shared" si="25"/>
        <v>#DIV/0!</v>
      </c>
      <c r="AL52" s="13" t="e">
        <f t="shared" si="25"/>
        <v>#DIV/0!</v>
      </c>
      <c r="AM52" s="44" t="e">
        <f t="shared" si="25"/>
        <v>#DIV/0!</v>
      </c>
      <c r="AN52" s="44" t="e">
        <f t="shared" si="25"/>
        <v>#DIV/0!</v>
      </c>
      <c r="AO52" s="14" t="e">
        <f t="shared" si="25"/>
        <v>#DIV/0!</v>
      </c>
      <c r="AP52" s="13" t="e">
        <f t="shared" si="25"/>
        <v>#DIV/0!</v>
      </c>
      <c r="AQ52" s="44" t="e">
        <f t="shared" si="25"/>
        <v>#DIV/0!</v>
      </c>
      <c r="AR52" s="44" t="e">
        <f t="shared" si="25"/>
        <v>#DIV/0!</v>
      </c>
      <c r="AS52" s="14" t="e">
        <f t="shared" si="25"/>
        <v>#DIV/0!</v>
      </c>
      <c r="AT52" s="13" t="e">
        <f t="shared" ref="AT52:BY52" si="26">(AT20-AT51)^2/(2*AT20)</f>
        <v>#DIV/0!</v>
      </c>
      <c r="AU52" s="44" t="e">
        <f t="shared" si="26"/>
        <v>#DIV/0!</v>
      </c>
      <c r="AV52" s="44" t="e">
        <f t="shared" si="26"/>
        <v>#DIV/0!</v>
      </c>
      <c r="AW52" s="14" t="e">
        <f t="shared" si="26"/>
        <v>#DIV/0!</v>
      </c>
      <c r="AX52" s="13" t="e">
        <f t="shared" si="26"/>
        <v>#DIV/0!</v>
      </c>
      <c r="AY52" s="44" t="e">
        <f t="shared" si="26"/>
        <v>#DIV/0!</v>
      </c>
      <c r="AZ52" s="44" t="e">
        <f t="shared" si="26"/>
        <v>#DIV/0!</v>
      </c>
      <c r="BA52" s="14" t="e">
        <f t="shared" si="26"/>
        <v>#DIV/0!</v>
      </c>
      <c r="BB52" s="13" t="e">
        <f t="shared" si="26"/>
        <v>#DIV/0!</v>
      </c>
      <c r="BC52" s="44" t="e">
        <f t="shared" si="26"/>
        <v>#DIV/0!</v>
      </c>
      <c r="BD52" s="44" t="e">
        <f t="shared" si="26"/>
        <v>#DIV/0!</v>
      </c>
      <c r="BE52" s="14" t="e">
        <f t="shared" si="26"/>
        <v>#DIV/0!</v>
      </c>
      <c r="BF52" s="13" t="e">
        <f t="shared" si="26"/>
        <v>#DIV/0!</v>
      </c>
      <c r="BG52" s="44" t="e">
        <f t="shared" si="26"/>
        <v>#DIV/0!</v>
      </c>
      <c r="BH52" s="44" t="e">
        <f t="shared" si="26"/>
        <v>#DIV/0!</v>
      </c>
      <c r="BI52" s="14" t="e">
        <f t="shared" si="26"/>
        <v>#DIV/0!</v>
      </c>
      <c r="BJ52" s="13" t="e">
        <f t="shared" si="26"/>
        <v>#DIV/0!</v>
      </c>
      <c r="BK52" s="44" t="e">
        <f t="shared" si="26"/>
        <v>#DIV/0!</v>
      </c>
      <c r="BL52" s="44" t="e">
        <f t="shared" si="26"/>
        <v>#DIV/0!</v>
      </c>
      <c r="BM52" s="14" t="e">
        <f t="shared" si="26"/>
        <v>#DIV/0!</v>
      </c>
      <c r="BN52" s="13" t="e">
        <f t="shared" si="26"/>
        <v>#DIV/0!</v>
      </c>
      <c r="BO52" s="44" t="e">
        <f t="shared" si="26"/>
        <v>#DIV/0!</v>
      </c>
      <c r="BP52" s="44" t="e">
        <f t="shared" si="26"/>
        <v>#DIV/0!</v>
      </c>
      <c r="BQ52" s="14" t="e">
        <f t="shared" si="26"/>
        <v>#DIV/0!</v>
      </c>
      <c r="BR52" s="13" t="e">
        <f t="shared" si="26"/>
        <v>#DIV/0!</v>
      </c>
      <c r="BS52" s="44" t="e">
        <f t="shared" si="26"/>
        <v>#DIV/0!</v>
      </c>
      <c r="BT52" s="44" t="e">
        <f t="shared" si="26"/>
        <v>#DIV/0!</v>
      </c>
      <c r="BU52" s="14" t="e">
        <f t="shared" si="26"/>
        <v>#DIV/0!</v>
      </c>
      <c r="BV52" s="13" t="e">
        <f t="shared" si="26"/>
        <v>#DIV/0!</v>
      </c>
      <c r="BW52" s="44" t="e">
        <f t="shared" si="26"/>
        <v>#DIV/0!</v>
      </c>
      <c r="BX52" s="44" t="e">
        <f t="shared" si="26"/>
        <v>#DIV/0!</v>
      </c>
      <c r="BY52" s="14" t="e">
        <f t="shared" si="26"/>
        <v>#DIV/0!</v>
      </c>
      <c r="BZ52" s="13" t="e">
        <f t="shared" ref="BZ52:DE52" si="27">(BZ20-BZ51)^2/(2*BZ20)</f>
        <v>#DIV/0!</v>
      </c>
      <c r="CA52" s="44" t="e">
        <f t="shared" si="27"/>
        <v>#DIV/0!</v>
      </c>
      <c r="CB52" s="44" t="e">
        <f t="shared" si="27"/>
        <v>#DIV/0!</v>
      </c>
      <c r="CC52" s="14" t="e">
        <f t="shared" si="27"/>
        <v>#DIV/0!</v>
      </c>
      <c r="CD52" s="13" t="e">
        <f t="shared" si="27"/>
        <v>#DIV/0!</v>
      </c>
      <c r="CE52" s="44" t="e">
        <f t="shared" si="27"/>
        <v>#DIV/0!</v>
      </c>
      <c r="CF52" s="44" t="e">
        <f t="shared" si="27"/>
        <v>#DIV/0!</v>
      </c>
      <c r="CG52" s="14" t="e">
        <f t="shared" si="27"/>
        <v>#DIV/0!</v>
      </c>
      <c r="CH52" s="13" t="e">
        <f t="shared" si="27"/>
        <v>#DIV/0!</v>
      </c>
      <c r="CI52" s="44" t="e">
        <f t="shared" si="27"/>
        <v>#DIV/0!</v>
      </c>
      <c r="CJ52" s="44" t="e">
        <f t="shared" si="27"/>
        <v>#DIV/0!</v>
      </c>
      <c r="CK52" s="14" t="e">
        <f t="shared" si="27"/>
        <v>#DIV/0!</v>
      </c>
      <c r="CL52" s="49"/>
      <c r="CM52" s="28"/>
    </row>
    <row r="53" spans="2:91" ht="14.25" x14ac:dyDescent="0.25">
      <c r="B53" s="55"/>
      <c r="C53" s="10" t="s">
        <v>168</v>
      </c>
      <c r="D53" s="94" t="s">
        <v>169</v>
      </c>
      <c r="E53" s="130" t="e">
        <f>0.0401*LN(E52)</f>
        <v>#NUM!</v>
      </c>
      <c r="F53" s="72">
        <f>0.0401*LN(F52)</f>
        <v>9.1800176034041711E-2</v>
      </c>
      <c r="G53" s="73">
        <f>0.0401*LN(G52)</f>
        <v>9.1800176034041711E-2</v>
      </c>
      <c r="H53" s="73">
        <f t="shared" ref="H53:I53" si="28">0.0401*LN(H52)</f>
        <v>0.11782699041710107</v>
      </c>
      <c r="I53" s="74">
        <f t="shared" si="28"/>
        <v>0.11782699041710107</v>
      </c>
      <c r="J53" s="98" t="e">
        <f>0.0401*LN(J52)</f>
        <v>#VALUE!</v>
      </c>
      <c r="K53" s="99">
        <f t="shared" ref="K53:BV53" si="29">0.0401*LN(K52)</f>
        <v>0</v>
      </c>
      <c r="L53" s="99">
        <f t="shared" si="29"/>
        <v>0.29995645069771409</v>
      </c>
      <c r="M53" s="100" t="e">
        <f t="shared" si="29"/>
        <v>#VALUE!</v>
      </c>
      <c r="N53" s="98" t="e">
        <f t="shared" si="29"/>
        <v>#DIV/0!</v>
      </c>
      <c r="O53" s="99" t="e">
        <f t="shared" si="29"/>
        <v>#DIV/0!</v>
      </c>
      <c r="P53" s="99" t="e">
        <f t="shared" si="29"/>
        <v>#DIV/0!</v>
      </c>
      <c r="Q53" s="100" t="e">
        <f t="shared" si="29"/>
        <v>#DIV/0!</v>
      </c>
      <c r="R53" s="98" t="e">
        <f t="shared" si="29"/>
        <v>#DIV/0!</v>
      </c>
      <c r="S53" s="99" t="e">
        <f t="shared" si="29"/>
        <v>#DIV/0!</v>
      </c>
      <c r="T53" s="99" t="e">
        <f t="shared" si="29"/>
        <v>#DIV/0!</v>
      </c>
      <c r="U53" s="100" t="e">
        <f t="shared" si="29"/>
        <v>#DIV/0!</v>
      </c>
      <c r="V53" s="98" t="e">
        <f t="shared" si="29"/>
        <v>#DIV/0!</v>
      </c>
      <c r="W53" s="99" t="e">
        <f t="shared" si="29"/>
        <v>#DIV/0!</v>
      </c>
      <c r="X53" s="99" t="e">
        <f t="shared" si="29"/>
        <v>#DIV/0!</v>
      </c>
      <c r="Y53" s="100" t="e">
        <f t="shared" si="29"/>
        <v>#DIV/0!</v>
      </c>
      <c r="Z53" s="98" t="e">
        <f t="shared" si="29"/>
        <v>#DIV/0!</v>
      </c>
      <c r="AA53" s="99" t="e">
        <f t="shared" si="29"/>
        <v>#DIV/0!</v>
      </c>
      <c r="AB53" s="99" t="e">
        <f t="shared" si="29"/>
        <v>#DIV/0!</v>
      </c>
      <c r="AC53" s="100" t="e">
        <f t="shared" si="29"/>
        <v>#DIV/0!</v>
      </c>
      <c r="AD53" s="98" t="e">
        <f t="shared" si="29"/>
        <v>#DIV/0!</v>
      </c>
      <c r="AE53" s="99" t="e">
        <f t="shared" si="29"/>
        <v>#DIV/0!</v>
      </c>
      <c r="AF53" s="99" t="e">
        <f t="shared" si="29"/>
        <v>#DIV/0!</v>
      </c>
      <c r="AG53" s="100" t="e">
        <f t="shared" si="29"/>
        <v>#DIV/0!</v>
      </c>
      <c r="AH53" s="98" t="e">
        <f t="shared" si="29"/>
        <v>#DIV/0!</v>
      </c>
      <c r="AI53" s="99" t="e">
        <f t="shared" si="29"/>
        <v>#DIV/0!</v>
      </c>
      <c r="AJ53" s="99" t="e">
        <f t="shared" si="29"/>
        <v>#DIV/0!</v>
      </c>
      <c r="AK53" s="100" t="e">
        <f t="shared" si="29"/>
        <v>#DIV/0!</v>
      </c>
      <c r="AL53" s="98" t="e">
        <f t="shared" si="29"/>
        <v>#DIV/0!</v>
      </c>
      <c r="AM53" s="99" t="e">
        <f t="shared" si="29"/>
        <v>#DIV/0!</v>
      </c>
      <c r="AN53" s="99" t="e">
        <f t="shared" si="29"/>
        <v>#DIV/0!</v>
      </c>
      <c r="AO53" s="100" t="e">
        <f t="shared" si="29"/>
        <v>#DIV/0!</v>
      </c>
      <c r="AP53" s="98" t="e">
        <f t="shared" si="29"/>
        <v>#DIV/0!</v>
      </c>
      <c r="AQ53" s="99" t="e">
        <f t="shared" si="29"/>
        <v>#DIV/0!</v>
      </c>
      <c r="AR53" s="99" t="e">
        <f t="shared" si="29"/>
        <v>#DIV/0!</v>
      </c>
      <c r="AS53" s="100" t="e">
        <f t="shared" si="29"/>
        <v>#DIV/0!</v>
      </c>
      <c r="AT53" s="98" t="e">
        <f t="shared" si="29"/>
        <v>#DIV/0!</v>
      </c>
      <c r="AU53" s="99" t="e">
        <f t="shared" si="29"/>
        <v>#DIV/0!</v>
      </c>
      <c r="AV53" s="99" t="e">
        <f t="shared" si="29"/>
        <v>#DIV/0!</v>
      </c>
      <c r="AW53" s="100" t="e">
        <f t="shared" si="29"/>
        <v>#DIV/0!</v>
      </c>
      <c r="AX53" s="98" t="e">
        <f t="shared" si="29"/>
        <v>#DIV/0!</v>
      </c>
      <c r="AY53" s="99" t="e">
        <f t="shared" si="29"/>
        <v>#DIV/0!</v>
      </c>
      <c r="AZ53" s="99" t="e">
        <f t="shared" si="29"/>
        <v>#DIV/0!</v>
      </c>
      <c r="BA53" s="100" t="e">
        <f t="shared" si="29"/>
        <v>#DIV/0!</v>
      </c>
      <c r="BB53" s="98" t="e">
        <f t="shared" si="29"/>
        <v>#DIV/0!</v>
      </c>
      <c r="BC53" s="99" t="e">
        <f t="shared" si="29"/>
        <v>#DIV/0!</v>
      </c>
      <c r="BD53" s="99" t="e">
        <f t="shared" si="29"/>
        <v>#DIV/0!</v>
      </c>
      <c r="BE53" s="100" t="e">
        <f t="shared" si="29"/>
        <v>#DIV/0!</v>
      </c>
      <c r="BF53" s="98" t="e">
        <f t="shared" si="29"/>
        <v>#DIV/0!</v>
      </c>
      <c r="BG53" s="99" t="e">
        <f t="shared" si="29"/>
        <v>#DIV/0!</v>
      </c>
      <c r="BH53" s="99" t="e">
        <f t="shared" si="29"/>
        <v>#DIV/0!</v>
      </c>
      <c r="BI53" s="100" t="e">
        <f t="shared" si="29"/>
        <v>#DIV/0!</v>
      </c>
      <c r="BJ53" s="98" t="e">
        <f t="shared" si="29"/>
        <v>#DIV/0!</v>
      </c>
      <c r="BK53" s="99" t="e">
        <f t="shared" si="29"/>
        <v>#DIV/0!</v>
      </c>
      <c r="BL53" s="99" t="e">
        <f t="shared" si="29"/>
        <v>#DIV/0!</v>
      </c>
      <c r="BM53" s="100" t="e">
        <f t="shared" si="29"/>
        <v>#DIV/0!</v>
      </c>
      <c r="BN53" s="98" t="e">
        <f t="shared" si="29"/>
        <v>#DIV/0!</v>
      </c>
      <c r="BO53" s="99" t="e">
        <f t="shared" si="29"/>
        <v>#DIV/0!</v>
      </c>
      <c r="BP53" s="99" t="e">
        <f t="shared" si="29"/>
        <v>#DIV/0!</v>
      </c>
      <c r="BQ53" s="100" t="e">
        <f t="shared" si="29"/>
        <v>#DIV/0!</v>
      </c>
      <c r="BR53" s="98" t="e">
        <f t="shared" si="29"/>
        <v>#DIV/0!</v>
      </c>
      <c r="BS53" s="99" t="e">
        <f t="shared" si="29"/>
        <v>#DIV/0!</v>
      </c>
      <c r="BT53" s="99" t="e">
        <f t="shared" si="29"/>
        <v>#DIV/0!</v>
      </c>
      <c r="BU53" s="100" t="e">
        <f t="shared" si="29"/>
        <v>#DIV/0!</v>
      </c>
      <c r="BV53" s="98" t="e">
        <f t="shared" si="29"/>
        <v>#DIV/0!</v>
      </c>
      <c r="BW53" s="99" t="e">
        <f t="shared" ref="BW53:CK53" si="30">0.0401*LN(BW52)</f>
        <v>#DIV/0!</v>
      </c>
      <c r="BX53" s="99" t="e">
        <f t="shared" si="30"/>
        <v>#DIV/0!</v>
      </c>
      <c r="BY53" s="100" t="e">
        <f t="shared" si="30"/>
        <v>#DIV/0!</v>
      </c>
      <c r="BZ53" s="98" t="e">
        <f t="shared" si="30"/>
        <v>#DIV/0!</v>
      </c>
      <c r="CA53" s="99" t="e">
        <f t="shared" si="30"/>
        <v>#DIV/0!</v>
      </c>
      <c r="CB53" s="99" t="e">
        <f t="shared" si="30"/>
        <v>#DIV/0!</v>
      </c>
      <c r="CC53" s="100" t="e">
        <f t="shared" si="30"/>
        <v>#DIV/0!</v>
      </c>
      <c r="CD53" s="98" t="e">
        <f t="shared" si="30"/>
        <v>#DIV/0!</v>
      </c>
      <c r="CE53" s="99" t="e">
        <f t="shared" si="30"/>
        <v>#DIV/0!</v>
      </c>
      <c r="CF53" s="99" t="e">
        <f t="shared" si="30"/>
        <v>#DIV/0!</v>
      </c>
      <c r="CG53" s="100" t="e">
        <f t="shared" si="30"/>
        <v>#DIV/0!</v>
      </c>
      <c r="CH53" s="98" t="e">
        <f t="shared" si="30"/>
        <v>#DIV/0!</v>
      </c>
      <c r="CI53" s="99" t="e">
        <f t="shared" si="30"/>
        <v>#DIV/0!</v>
      </c>
      <c r="CJ53" s="99" t="e">
        <f t="shared" si="30"/>
        <v>#DIV/0!</v>
      </c>
      <c r="CK53" s="100" t="e">
        <f t="shared" si="30"/>
        <v>#DIV/0!</v>
      </c>
      <c r="CL53" s="49"/>
      <c r="CM53" s="28"/>
    </row>
    <row r="54" spans="2:91" ht="14.25" x14ac:dyDescent="0.25">
      <c r="B54" s="55"/>
      <c r="C54" s="10" t="s">
        <v>48</v>
      </c>
      <c r="D54" s="94" t="s">
        <v>40</v>
      </c>
      <c r="E54" s="130" t="e">
        <f t="shared" ref="E54:AJ54" si="31">IF(E9&gt;0,0.5997+E47+E49+E50+E53,0)</f>
        <v>#NUM!</v>
      </c>
      <c r="F54" s="72">
        <f t="shared" si="31"/>
        <v>2.7724605183883799</v>
      </c>
      <c r="G54" s="73">
        <f t="shared" si="31"/>
        <v>2.8117855183883798</v>
      </c>
      <c r="H54" s="73">
        <f t="shared" si="31"/>
        <v>2.762108409660637</v>
      </c>
      <c r="I54" s="74">
        <f t="shared" si="31"/>
        <v>2.7206709096606372</v>
      </c>
      <c r="J54" s="98">
        <f t="shared" si="31"/>
        <v>0</v>
      </c>
      <c r="K54" s="99">
        <f t="shared" si="31"/>
        <v>1.6890019601655288</v>
      </c>
      <c r="L54" s="99">
        <f t="shared" si="31"/>
        <v>2.4784859949412494</v>
      </c>
      <c r="M54" s="100" t="e">
        <f t="shared" si="31"/>
        <v>#VALUE!</v>
      </c>
      <c r="N54" s="98">
        <f t="shared" si="31"/>
        <v>0</v>
      </c>
      <c r="O54" s="99">
        <f t="shared" si="31"/>
        <v>0</v>
      </c>
      <c r="P54" s="99">
        <f t="shared" si="31"/>
        <v>0</v>
      </c>
      <c r="Q54" s="100">
        <f t="shared" si="31"/>
        <v>0</v>
      </c>
      <c r="R54" s="98">
        <f t="shared" si="31"/>
        <v>0</v>
      </c>
      <c r="S54" s="99">
        <f t="shared" si="31"/>
        <v>0</v>
      </c>
      <c r="T54" s="99">
        <f t="shared" si="31"/>
        <v>0</v>
      </c>
      <c r="U54" s="100">
        <f t="shared" si="31"/>
        <v>0</v>
      </c>
      <c r="V54" s="98">
        <f t="shared" si="31"/>
        <v>0</v>
      </c>
      <c r="W54" s="99">
        <f t="shared" si="31"/>
        <v>0</v>
      </c>
      <c r="X54" s="99">
        <f t="shared" si="31"/>
        <v>0</v>
      </c>
      <c r="Y54" s="100">
        <f t="shared" si="31"/>
        <v>0</v>
      </c>
      <c r="Z54" s="98">
        <f t="shared" si="31"/>
        <v>0</v>
      </c>
      <c r="AA54" s="99">
        <f t="shared" si="31"/>
        <v>0</v>
      </c>
      <c r="AB54" s="99">
        <f t="shared" si="31"/>
        <v>0</v>
      </c>
      <c r="AC54" s="100">
        <f t="shared" si="31"/>
        <v>0</v>
      </c>
      <c r="AD54" s="98">
        <f t="shared" si="31"/>
        <v>0</v>
      </c>
      <c r="AE54" s="99">
        <f t="shared" si="31"/>
        <v>0</v>
      </c>
      <c r="AF54" s="99">
        <f t="shared" si="31"/>
        <v>0</v>
      </c>
      <c r="AG54" s="100">
        <f t="shared" si="31"/>
        <v>0</v>
      </c>
      <c r="AH54" s="98">
        <f t="shared" si="31"/>
        <v>0</v>
      </c>
      <c r="AI54" s="99">
        <f t="shared" si="31"/>
        <v>0</v>
      </c>
      <c r="AJ54" s="99">
        <f t="shared" si="31"/>
        <v>0</v>
      </c>
      <c r="AK54" s="100">
        <f t="shared" ref="AK54:BP54" si="32">IF(AK9&gt;0,0.5997+AK47+AK49+AK50+AK53,0)</f>
        <v>0</v>
      </c>
      <c r="AL54" s="98">
        <f t="shared" si="32"/>
        <v>0</v>
      </c>
      <c r="AM54" s="99">
        <f t="shared" si="32"/>
        <v>0</v>
      </c>
      <c r="AN54" s="99">
        <f t="shared" si="32"/>
        <v>0</v>
      </c>
      <c r="AO54" s="100">
        <f t="shared" si="32"/>
        <v>0</v>
      </c>
      <c r="AP54" s="98">
        <f t="shared" si="32"/>
        <v>0</v>
      </c>
      <c r="AQ54" s="99">
        <f t="shared" si="32"/>
        <v>0</v>
      </c>
      <c r="AR54" s="99">
        <f t="shared" si="32"/>
        <v>0</v>
      </c>
      <c r="AS54" s="100">
        <f t="shared" si="32"/>
        <v>0</v>
      </c>
      <c r="AT54" s="98">
        <f t="shared" si="32"/>
        <v>0</v>
      </c>
      <c r="AU54" s="99">
        <f t="shared" si="32"/>
        <v>0</v>
      </c>
      <c r="AV54" s="99">
        <f t="shared" si="32"/>
        <v>0</v>
      </c>
      <c r="AW54" s="100">
        <f t="shared" si="32"/>
        <v>0</v>
      </c>
      <c r="AX54" s="98">
        <f t="shared" si="32"/>
        <v>0</v>
      </c>
      <c r="AY54" s="99">
        <f t="shared" si="32"/>
        <v>0</v>
      </c>
      <c r="AZ54" s="99">
        <f t="shared" si="32"/>
        <v>0</v>
      </c>
      <c r="BA54" s="100">
        <f t="shared" si="32"/>
        <v>0</v>
      </c>
      <c r="BB54" s="98">
        <f t="shared" si="32"/>
        <v>0</v>
      </c>
      <c r="BC54" s="99">
        <f t="shared" si="32"/>
        <v>0</v>
      </c>
      <c r="BD54" s="99">
        <f t="shared" si="32"/>
        <v>0</v>
      </c>
      <c r="BE54" s="100">
        <f t="shared" si="32"/>
        <v>0</v>
      </c>
      <c r="BF54" s="98">
        <f t="shared" si="32"/>
        <v>0</v>
      </c>
      <c r="BG54" s="99">
        <f t="shared" si="32"/>
        <v>0</v>
      </c>
      <c r="BH54" s="99">
        <f t="shared" si="32"/>
        <v>0</v>
      </c>
      <c r="BI54" s="100">
        <f t="shared" si="32"/>
        <v>0</v>
      </c>
      <c r="BJ54" s="98">
        <f t="shared" si="32"/>
        <v>0</v>
      </c>
      <c r="BK54" s="99">
        <f t="shared" si="32"/>
        <v>0</v>
      </c>
      <c r="BL54" s="99">
        <f t="shared" si="32"/>
        <v>0</v>
      </c>
      <c r="BM54" s="100">
        <f t="shared" si="32"/>
        <v>0</v>
      </c>
      <c r="BN54" s="98">
        <f t="shared" si="32"/>
        <v>0</v>
      </c>
      <c r="BO54" s="99">
        <f t="shared" si="32"/>
        <v>0</v>
      </c>
      <c r="BP54" s="99">
        <f t="shared" si="32"/>
        <v>0</v>
      </c>
      <c r="BQ54" s="100">
        <f t="shared" ref="BQ54:CV54" si="33">IF(BQ9&gt;0,0.5997+BQ47+BQ49+BQ50+BQ53,0)</f>
        <v>0</v>
      </c>
      <c r="BR54" s="98">
        <f t="shared" si="33"/>
        <v>0</v>
      </c>
      <c r="BS54" s="99">
        <f t="shared" si="33"/>
        <v>0</v>
      </c>
      <c r="BT54" s="99">
        <f t="shared" si="33"/>
        <v>0</v>
      </c>
      <c r="BU54" s="100">
        <f t="shared" si="33"/>
        <v>0</v>
      </c>
      <c r="BV54" s="98">
        <f t="shared" si="33"/>
        <v>0</v>
      </c>
      <c r="BW54" s="99">
        <f t="shared" si="33"/>
        <v>0</v>
      </c>
      <c r="BX54" s="99">
        <f t="shared" si="33"/>
        <v>0</v>
      </c>
      <c r="BY54" s="100">
        <f t="shared" si="33"/>
        <v>0</v>
      </c>
      <c r="BZ54" s="98">
        <f t="shared" si="33"/>
        <v>0</v>
      </c>
      <c r="CA54" s="99">
        <f t="shared" si="33"/>
        <v>0</v>
      </c>
      <c r="CB54" s="99">
        <f t="shared" si="33"/>
        <v>0</v>
      </c>
      <c r="CC54" s="100">
        <f t="shared" si="33"/>
        <v>0</v>
      </c>
      <c r="CD54" s="98">
        <f t="shared" si="33"/>
        <v>0</v>
      </c>
      <c r="CE54" s="99">
        <f t="shared" si="33"/>
        <v>0</v>
      </c>
      <c r="CF54" s="99">
        <f t="shared" si="33"/>
        <v>0</v>
      </c>
      <c r="CG54" s="100">
        <f t="shared" si="33"/>
        <v>0</v>
      </c>
      <c r="CH54" s="98">
        <f t="shared" si="33"/>
        <v>0</v>
      </c>
      <c r="CI54" s="99">
        <f t="shared" si="33"/>
        <v>0</v>
      </c>
      <c r="CJ54" s="99">
        <f t="shared" si="33"/>
        <v>0</v>
      </c>
      <c r="CK54" s="100">
        <f t="shared" si="33"/>
        <v>0</v>
      </c>
      <c r="CL54" s="49"/>
      <c r="CM54" s="28"/>
    </row>
    <row r="55" spans="2:91" x14ac:dyDescent="0.25">
      <c r="B55" s="55"/>
      <c r="C55" s="10"/>
      <c r="D55" s="94" t="s">
        <v>222</v>
      </c>
      <c r="E55" s="129" t="e">
        <f t="shared" ref="E55" si="34">IF(E54&lt;=2,"A",IF(E54&lt;=2.75,"B",IF(E54&lt;=3.5,"C",IF(E54&lt;=4.25,"D",IF(E54&lt;=5,"E","F")))))</f>
        <v>#NUM!</v>
      </c>
      <c r="F55" s="10" t="str">
        <f t="shared" ref="F55:I55" si="35">IF(F54&lt;=2,"A",IF(F54&lt;=2.75,"B",IF(F54&lt;=3.5,"C",IF(F54&lt;=4.25,"D",IF(F54&lt;=5,"E","F")))))</f>
        <v>C</v>
      </c>
      <c r="G55" s="71" t="str">
        <f t="shared" si="35"/>
        <v>C</v>
      </c>
      <c r="H55" s="71" t="str">
        <f t="shared" si="35"/>
        <v>C</v>
      </c>
      <c r="I55" s="75" t="str">
        <f t="shared" si="35"/>
        <v>B</v>
      </c>
      <c r="J55" s="10" t="str">
        <f t="shared" ref="J55:BU55" si="36">IF(J54&lt;=2,"A",IF(J54&lt;=2.75,"B",IF(J54&lt;=3.5,"C",IF(J54&lt;=4.25,"D",IF(J54&lt;=5,"E","F")))))</f>
        <v>A</v>
      </c>
      <c r="K55" s="97" t="str">
        <f t="shared" si="36"/>
        <v>A</v>
      </c>
      <c r="L55" s="97" t="str">
        <f t="shared" si="36"/>
        <v>B</v>
      </c>
      <c r="M55" s="101" t="e">
        <f t="shared" si="36"/>
        <v>#VALUE!</v>
      </c>
      <c r="N55" s="10" t="str">
        <f t="shared" si="36"/>
        <v>A</v>
      </c>
      <c r="O55" s="97" t="str">
        <f t="shared" si="36"/>
        <v>A</v>
      </c>
      <c r="P55" s="97" t="str">
        <f t="shared" si="36"/>
        <v>A</v>
      </c>
      <c r="Q55" s="101" t="str">
        <f t="shared" si="36"/>
        <v>A</v>
      </c>
      <c r="R55" s="10" t="str">
        <f t="shared" si="36"/>
        <v>A</v>
      </c>
      <c r="S55" s="97" t="str">
        <f t="shared" si="36"/>
        <v>A</v>
      </c>
      <c r="T55" s="97" t="str">
        <f t="shared" si="36"/>
        <v>A</v>
      </c>
      <c r="U55" s="101" t="str">
        <f t="shared" si="36"/>
        <v>A</v>
      </c>
      <c r="V55" s="10" t="str">
        <f t="shared" si="36"/>
        <v>A</v>
      </c>
      <c r="W55" s="97" t="str">
        <f t="shared" si="36"/>
        <v>A</v>
      </c>
      <c r="X55" s="97" t="str">
        <f t="shared" si="36"/>
        <v>A</v>
      </c>
      <c r="Y55" s="101" t="str">
        <f t="shared" si="36"/>
        <v>A</v>
      </c>
      <c r="Z55" s="10" t="str">
        <f t="shared" si="36"/>
        <v>A</v>
      </c>
      <c r="AA55" s="97" t="str">
        <f t="shared" si="36"/>
        <v>A</v>
      </c>
      <c r="AB55" s="97" t="str">
        <f t="shared" si="36"/>
        <v>A</v>
      </c>
      <c r="AC55" s="101" t="str">
        <f t="shared" si="36"/>
        <v>A</v>
      </c>
      <c r="AD55" s="10" t="str">
        <f t="shared" si="36"/>
        <v>A</v>
      </c>
      <c r="AE55" s="97" t="str">
        <f t="shared" si="36"/>
        <v>A</v>
      </c>
      <c r="AF55" s="97" t="str">
        <f t="shared" si="36"/>
        <v>A</v>
      </c>
      <c r="AG55" s="101" t="str">
        <f t="shared" si="36"/>
        <v>A</v>
      </c>
      <c r="AH55" s="10" t="str">
        <f t="shared" si="36"/>
        <v>A</v>
      </c>
      <c r="AI55" s="97" t="str">
        <f t="shared" si="36"/>
        <v>A</v>
      </c>
      <c r="AJ55" s="97" t="str">
        <f t="shared" si="36"/>
        <v>A</v>
      </c>
      <c r="AK55" s="101" t="str">
        <f t="shared" si="36"/>
        <v>A</v>
      </c>
      <c r="AL55" s="10" t="str">
        <f t="shared" si="36"/>
        <v>A</v>
      </c>
      <c r="AM55" s="97" t="str">
        <f t="shared" si="36"/>
        <v>A</v>
      </c>
      <c r="AN55" s="97" t="str">
        <f t="shared" si="36"/>
        <v>A</v>
      </c>
      <c r="AO55" s="101" t="str">
        <f t="shared" si="36"/>
        <v>A</v>
      </c>
      <c r="AP55" s="10" t="str">
        <f t="shared" si="36"/>
        <v>A</v>
      </c>
      <c r="AQ55" s="97" t="str">
        <f t="shared" si="36"/>
        <v>A</v>
      </c>
      <c r="AR55" s="97" t="str">
        <f t="shared" si="36"/>
        <v>A</v>
      </c>
      <c r="AS55" s="101" t="str">
        <f t="shared" si="36"/>
        <v>A</v>
      </c>
      <c r="AT55" s="10" t="str">
        <f t="shared" si="36"/>
        <v>A</v>
      </c>
      <c r="AU55" s="97" t="str">
        <f t="shared" si="36"/>
        <v>A</v>
      </c>
      <c r="AV55" s="97" t="str">
        <f t="shared" si="36"/>
        <v>A</v>
      </c>
      <c r="AW55" s="101" t="str">
        <f t="shared" si="36"/>
        <v>A</v>
      </c>
      <c r="AX55" s="10" t="str">
        <f t="shared" si="36"/>
        <v>A</v>
      </c>
      <c r="AY55" s="97" t="str">
        <f t="shared" si="36"/>
        <v>A</v>
      </c>
      <c r="AZ55" s="97" t="str">
        <f t="shared" si="36"/>
        <v>A</v>
      </c>
      <c r="BA55" s="101" t="str">
        <f t="shared" si="36"/>
        <v>A</v>
      </c>
      <c r="BB55" s="10" t="str">
        <f t="shared" si="36"/>
        <v>A</v>
      </c>
      <c r="BC55" s="97" t="str">
        <f t="shared" si="36"/>
        <v>A</v>
      </c>
      <c r="BD55" s="97" t="str">
        <f t="shared" si="36"/>
        <v>A</v>
      </c>
      <c r="BE55" s="101" t="str">
        <f t="shared" si="36"/>
        <v>A</v>
      </c>
      <c r="BF55" s="10" t="str">
        <f t="shared" si="36"/>
        <v>A</v>
      </c>
      <c r="BG55" s="97" t="str">
        <f t="shared" si="36"/>
        <v>A</v>
      </c>
      <c r="BH55" s="97" t="str">
        <f t="shared" si="36"/>
        <v>A</v>
      </c>
      <c r="BI55" s="101" t="str">
        <f t="shared" si="36"/>
        <v>A</v>
      </c>
      <c r="BJ55" s="10" t="str">
        <f t="shared" si="36"/>
        <v>A</v>
      </c>
      <c r="BK55" s="97" t="str">
        <f t="shared" si="36"/>
        <v>A</v>
      </c>
      <c r="BL55" s="97" t="str">
        <f t="shared" si="36"/>
        <v>A</v>
      </c>
      <c r="BM55" s="101" t="str">
        <f t="shared" si="36"/>
        <v>A</v>
      </c>
      <c r="BN55" s="10" t="str">
        <f t="shared" si="36"/>
        <v>A</v>
      </c>
      <c r="BO55" s="97" t="str">
        <f t="shared" si="36"/>
        <v>A</v>
      </c>
      <c r="BP55" s="97" t="str">
        <f t="shared" si="36"/>
        <v>A</v>
      </c>
      <c r="BQ55" s="101" t="str">
        <f t="shared" si="36"/>
        <v>A</v>
      </c>
      <c r="BR55" s="10" t="str">
        <f t="shared" si="36"/>
        <v>A</v>
      </c>
      <c r="BS55" s="97" t="str">
        <f t="shared" si="36"/>
        <v>A</v>
      </c>
      <c r="BT55" s="97" t="str">
        <f t="shared" si="36"/>
        <v>A</v>
      </c>
      <c r="BU55" s="101" t="str">
        <f t="shared" si="36"/>
        <v>A</v>
      </c>
      <c r="BV55" s="10" t="str">
        <f t="shared" ref="BV55:CK55" si="37">IF(BV54&lt;=2,"A",IF(BV54&lt;=2.75,"B",IF(BV54&lt;=3.5,"C",IF(BV54&lt;=4.25,"D",IF(BV54&lt;=5,"E","F")))))</f>
        <v>A</v>
      </c>
      <c r="BW55" s="97" t="str">
        <f t="shared" si="37"/>
        <v>A</v>
      </c>
      <c r="BX55" s="97" t="str">
        <f t="shared" si="37"/>
        <v>A</v>
      </c>
      <c r="BY55" s="101" t="str">
        <f t="shared" si="37"/>
        <v>A</v>
      </c>
      <c r="BZ55" s="10" t="str">
        <f t="shared" si="37"/>
        <v>A</v>
      </c>
      <c r="CA55" s="97" t="str">
        <f t="shared" si="37"/>
        <v>A</v>
      </c>
      <c r="CB55" s="97" t="str">
        <f t="shared" si="37"/>
        <v>A</v>
      </c>
      <c r="CC55" s="101" t="str">
        <f t="shared" si="37"/>
        <v>A</v>
      </c>
      <c r="CD55" s="10" t="str">
        <f t="shared" si="37"/>
        <v>A</v>
      </c>
      <c r="CE55" s="97" t="str">
        <f t="shared" si="37"/>
        <v>A</v>
      </c>
      <c r="CF55" s="97" t="str">
        <f t="shared" si="37"/>
        <v>A</v>
      </c>
      <c r="CG55" s="101" t="str">
        <f t="shared" si="37"/>
        <v>A</v>
      </c>
      <c r="CH55" s="10" t="str">
        <f t="shared" si="37"/>
        <v>A</v>
      </c>
      <c r="CI55" s="97" t="str">
        <f t="shared" si="37"/>
        <v>A</v>
      </c>
      <c r="CJ55" s="97" t="str">
        <f t="shared" si="37"/>
        <v>A</v>
      </c>
      <c r="CK55" s="101" t="str">
        <f t="shared" si="37"/>
        <v>A</v>
      </c>
      <c r="CL55" s="49"/>
      <c r="CM55" s="28"/>
    </row>
    <row r="56" spans="2:91" x14ac:dyDescent="0.25">
      <c r="B56" s="55"/>
      <c r="C56" s="10"/>
      <c r="D56" s="94" t="s">
        <v>177</v>
      </c>
      <c r="E56" s="136"/>
      <c r="F56" s="201">
        <f>SUM(F16:F17)*IF(F32="Yes",1,0)+SUM(G16:G17)*IF(G32="Yes",1,0)+SUM(H16:H17)*IF(H32="Yes",1,0)+SUM(I16:I17)*IF(I32="Yes",1,0)</f>
        <v>1048</v>
      </c>
      <c r="G56" s="202"/>
      <c r="H56" s="202"/>
      <c r="I56" s="203"/>
      <c r="J56" s="201">
        <f>SUM(J16:J17)*IF(J32="Yes",1,0)+SUM(K16:K17)*IF(K32="Yes",1,0)+SUM(L16:L17)*IF(L32="Yes",1,0)+SUM(M16:M17)*IF(M32="Yes",1,0)</f>
        <v>40</v>
      </c>
      <c r="K56" s="202"/>
      <c r="L56" s="202"/>
      <c r="M56" s="203"/>
      <c r="N56" s="201">
        <f>SUM(N16:N17)*IF(N32="Yes",1,0)+SUM(O16:O17)*IF(O32="Yes",1,0)+SUM(P16:P17)*IF(P32="Yes",1,0)+SUM(Q16:Q17)*IF(Q32="Yes",1,0)</f>
        <v>0</v>
      </c>
      <c r="O56" s="202"/>
      <c r="P56" s="202"/>
      <c r="Q56" s="203"/>
      <c r="R56" s="201">
        <f>SUM(R16:R17)*IF(R32="Yes",1,0)+SUM(S16:S17)*IF(S32="Yes",1,0)+SUM(T16:T17)*IF(T32="Yes",1,0)+SUM(U16:U17)*IF(U32="Yes",1,0)</f>
        <v>0</v>
      </c>
      <c r="S56" s="202"/>
      <c r="T56" s="202"/>
      <c r="U56" s="203"/>
      <c r="V56" s="201">
        <f>SUM(V16:V17)*IF(V32="Yes",1,0)+SUM(W16:W17)*IF(W32="Yes",1,0)+SUM(X16:X17)*IF(X32="Yes",1,0)+SUM(Y16:Y17)*IF(Y32="Yes",1,0)</f>
        <v>0</v>
      </c>
      <c r="W56" s="202"/>
      <c r="X56" s="202"/>
      <c r="Y56" s="203"/>
      <c r="Z56" s="201">
        <f>SUM(Z16:Z17)*IF(Z32="Yes",1,0)+SUM(AA16:AA17)*IF(AA32="Yes",1,0)+SUM(AB16:AB17)*IF(AB32="Yes",1,0)+SUM(AC16:AC17)*IF(AC32="Yes",1,0)</f>
        <v>0</v>
      </c>
      <c r="AA56" s="202"/>
      <c r="AB56" s="202"/>
      <c r="AC56" s="203"/>
      <c r="AD56" s="201">
        <f>SUM(AD16:AD17)*IF(AD32="Yes",1,0)+SUM(AE16:AE17)*IF(AE32="Yes",1,0)+SUM(AF16:AF17)*IF(AF32="Yes",1,0)+SUM(AG16:AG17)*IF(AG32="Yes",1,0)</f>
        <v>0</v>
      </c>
      <c r="AE56" s="202"/>
      <c r="AF56" s="202"/>
      <c r="AG56" s="203"/>
      <c r="AH56" s="201">
        <f>SUM(AH16:AH17)*IF(AH32="Yes",1,0)+SUM(AI16:AI17)*IF(AI32="Yes",1,0)+SUM(AJ16:AJ17)*IF(AJ32="Yes",1,0)+SUM(AK16:AK17)*IF(AK32="Yes",1,0)</f>
        <v>0</v>
      </c>
      <c r="AI56" s="202"/>
      <c r="AJ56" s="202"/>
      <c r="AK56" s="203"/>
      <c r="AL56" s="201">
        <f>SUM(AL16:AL17)*IF(AL32="Yes",1,0)+SUM(AM16:AM17)*IF(AM32="Yes",1,0)+SUM(AN16:AN17)*IF(AN32="Yes",1,0)+SUM(AO16:AO17)*IF(AO32="Yes",1,0)</f>
        <v>0</v>
      </c>
      <c r="AM56" s="202"/>
      <c r="AN56" s="202"/>
      <c r="AO56" s="203"/>
      <c r="AP56" s="201">
        <f>SUM(AP16:AP17)*IF(AP32="Yes",1,0)+SUM(AQ16:AQ17)*IF(AQ32="Yes",1,0)+SUM(AR16:AR17)*IF(AR32="Yes",1,0)+SUM(AS16:AS17)*IF(AS32="Yes",1,0)</f>
        <v>0</v>
      </c>
      <c r="AQ56" s="202"/>
      <c r="AR56" s="202"/>
      <c r="AS56" s="203"/>
      <c r="AT56" s="201">
        <f>SUM(AT16:AT17)*IF(AT32="Yes",1,0)+SUM(AU16:AU17)*IF(AU32="Yes",1,0)+SUM(AV16:AV17)*IF(AV32="Yes",1,0)+SUM(AW16:AW17)*IF(AW32="Yes",1,0)</f>
        <v>0</v>
      </c>
      <c r="AU56" s="202"/>
      <c r="AV56" s="202"/>
      <c r="AW56" s="203"/>
      <c r="AX56" s="201">
        <f>SUM(AX16:AX17)*IF(AX32="Yes",1,0)+SUM(AY16:AY17)*IF(AY32="Yes",1,0)+SUM(AZ16:AZ17)*IF(AZ32="Yes",1,0)+SUM(BA16:BA17)*IF(BA32="Yes",1,0)</f>
        <v>0</v>
      </c>
      <c r="AY56" s="202"/>
      <c r="AZ56" s="202"/>
      <c r="BA56" s="203"/>
      <c r="BB56" s="201">
        <f>SUM(BB16:BB17)*IF(BB32="Yes",1,0)+SUM(BC16:BC17)*IF(BC32="Yes",1,0)+SUM(BD16:BD17)*IF(BD32="Yes",1,0)+SUM(BE16:BE17)*IF(BE32="Yes",1,0)</f>
        <v>0</v>
      </c>
      <c r="BC56" s="202"/>
      <c r="BD56" s="202"/>
      <c r="BE56" s="203"/>
      <c r="BF56" s="201">
        <f>SUM(BF16:BF17)*IF(BF32="Yes",1,0)+SUM(BG16:BG17)*IF(BG32="Yes",1,0)+SUM(BH16:BH17)*IF(BH32="Yes",1,0)+SUM(BI16:BI17)*IF(BI32="Yes",1,0)</f>
        <v>0</v>
      </c>
      <c r="BG56" s="202"/>
      <c r="BH56" s="202"/>
      <c r="BI56" s="203"/>
      <c r="BJ56" s="201">
        <f>SUM(BJ16:BJ17)*IF(BJ32="Yes",1,0)+SUM(BK16:BK17)*IF(BK32="Yes",1,0)+SUM(BL16:BL17)*IF(BL32="Yes",1,0)+SUM(BM16:BM17)*IF(BM32="Yes",1,0)</f>
        <v>0</v>
      </c>
      <c r="BK56" s="202"/>
      <c r="BL56" s="202"/>
      <c r="BM56" s="203"/>
      <c r="BN56" s="201">
        <f>SUM(BN16:BN17)*IF(BN32="Yes",1,0)+SUM(BO16:BO17)*IF(BO32="Yes",1,0)+SUM(BP16:BP17)*IF(BP32="Yes",1,0)+SUM(BQ16:BQ17)*IF(BQ32="Yes",1,0)</f>
        <v>0</v>
      </c>
      <c r="BO56" s="202"/>
      <c r="BP56" s="202"/>
      <c r="BQ56" s="203"/>
      <c r="BR56" s="201">
        <f>SUM(BR16:BR17)*IF(BR32="Yes",1,0)+SUM(BS16:BS17)*IF(BS32="Yes",1,0)+SUM(BT16:BT17)*IF(BT32="Yes",1,0)+SUM(BU16:BU17)*IF(BU32="Yes",1,0)</f>
        <v>0</v>
      </c>
      <c r="BS56" s="202"/>
      <c r="BT56" s="202"/>
      <c r="BU56" s="203"/>
      <c r="BV56" s="201">
        <f>SUM(BV16:BV17)*IF(BV32="Yes",1,0)+SUM(BW16:BW17)*IF(BW32="Yes",1,0)+SUM(BX16:BX17)*IF(BX32="Yes",1,0)+SUM(BY16:BY17)*IF(BY32="Yes",1,0)</f>
        <v>0</v>
      </c>
      <c r="BW56" s="202"/>
      <c r="BX56" s="202"/>
      <c r="BY56" s="203"/>
      <c r="BZ56" s="201">
        <f>SUM(BZ16:BZ17)*IF(BZ32="Yes",1,0)+SUM(CA16:CA17)*IF(CA32="Yes",1,0)+SUM(CB16:CB17)*IF(CB32="Yes",1,0)+SUM(CC16:CC17)*IF(CC32="Yes",1,0)</f>
        <v>0</v>
      </c>
      <c r="CA56" s="202"/>
      <c r="CB56" s="202"/>
      <c r="CC56" s="203"/>
      <c r="CD56" s="201">
        <f>SUM(CD16:CD17)*IF(CD32="Yes",1,0)+SUM(CE16:CE17)*IF(CE32="Yes",1,0)+SUM(CF16:CF17)*IF(CF32="Yes",1,0)+SUM(CG16:CG17)*IF(CG32="Yes",1,0)</f>
        <v>0</v>
      </c>
      <c r="CE56" s="202"/>
      <c r="CF56" s="202"/>
      <c r="CG56" s="203"/>
      <c r="CH56" s="201">
        <f>SUM(CH16:CH17)*IF(CH32="Yes",1,0)+SUM(CI16:CI17)*IF(CI32="Yes",1,0)+SUM(CJ16:CJ17)*IF(CJ32="Yes",1,0)+SUM(CK16:CK17)*IF(CK32="Yes",1,0)</f>
        <v>0</v>
      </c>
      <c r="CI56" s="202"/>
      <c r="CJ56" s="202"/>
      <c r="CK56" s="203"/>
      <c r="CL56" s="49"/>
      <c r="CM56" s="28"/>
    </row>
    <row r="57" spans="2:91" ht="15.75" x14ac:dyDescent="0.25">
      <c r="B57" s="55"/>
      <c r="C57" s="4"/>
      <c r="D57" s="78" t="s">
        <v>237</v>
      </c>
      <c r="E57" s="139"/>
      <c r="F57" s="4"/>
      <c r="G57" s="19"/>
      <c r="H57" s="19"/>
      <c r="I57" s="5"/>
      <c r="J57" s="4"/>
      <c r="K57" s="19"/>
      <c r="L57" s="19"/>
      <c r="M57" s="5"/>
      <c r="N57" s="4"/>
      <c r="O57" s="19"/>
      <c r="P57" s="19"/>
      <c r="Q57" s="5"/>
      <c r="R57" s="4"/>
      <c r="S57" s="19"/>
      <c r="T57" s="19"/>
      <c r="U57" s="5"/>
      <c r="V57" s="4"/>
      <c r="W57" s="19"/>
      <c r="X57" s="19"/>
      <c r="Y57" s="5"/>
      <c r="Z57" s="4"/>
      <c r="AA57" s="19"/>
      <c r="AB57" s="19"/>
      <c r="AC57" s="5"/>
      <c r="AD57" s="4"/>
      <c r="AE57" s="19"/>
      <c r="AF57" s="19"/>
      <c r="AG57" s="5"/>
      <c r="AH57" s="4"/>
      <c r="AI57" s="19"/>
      <c r="AJ57" s="19"/>
      <c r="AK57" s="5"/>
      <c r="AL57" s="4"/>
      <c r="AM57" s="19"/>
      <c r="AN57" s="19"/>
      <c r="AO57" s="5"/>
      <c r="AP57" s="4"/>
      <c r="AQ57" s="19"/>
      <c r="AR57" s="19"/>
      <c r="AS57" s="5"/>
      <c r="AT57" s="4"/>
      <c r="AU57" s="19"/>
      <c r="AV57" s="19"/>
      <c r="AW57" s="5"/>
      <c r="AX57" s="4"/>
      <c r="AY57" s="19"/>
      <c r="AZ57" s="19"/>
      <c r="BA57" s="5"/>
      <c r="BB57" s="4"/>
      <c r="BC57" s="19"/>
      <c r="BD57" s="19"/>
      <c r="BE57" s="5"/>
      <c r="BF57" s="4"/>
      <c r="BG57" s="19"/>
      <c r="BH57" s="19"/>
      <c r="BI57" s="5"/>
      <c r="BJ57" s="4"/>
      <c r="BK57" s="19"/>
      <c r="BL57" s="19"/>
      <c r="BM57" s="5"/>
      <c r="BN57" s="4"/>
      <c r="BO57" s="19"/>
      <c r="BP57" s="19"/>
      <c r="BQ57" s="5"/>
      <c r="BR57" s="4"/>
      <c r="BS57" s="19"/>
      <c r="BT57" s="19"/>
      <c r="BU57" s="5"/>
      <c r="BV57" s="4"/>
      <c r="BW57" s="19"/>
      <c r="BX57" s="19"/>
      <c r="BY57" s="5"/>
      <c r="BZ57" s="4"/>
      <c r="CA57" s="19"/>
      <c r="CB57" s="19"/>
      <c r="CC57" s="5"/>
      <c r="CD57" s="4"/>
      <c r="CE57" s="19"/>
      <c r="CF57" s="19"/>
      <c r="CG57" s="5"/>
      <c r="CH57" s="4"/>
      <c r="CI57" s="19"/>
      <c r="CJ57" s="19"/>
      <c r="CK57" s="5"/>
      <c r="CL57" s="49"/>
      <c r="CM57" s="28"/>
    </row>
    <row r="58" spans="2:91" ht="14.25" x14ac:dyDescent="0.25">
      <c r="B58" s="55"/>
      <c r="C58" s="10" t="s">
        <v>109</v>
      </c>
      <c r="D58" s="94" t="s">
        <v>110</v>
      </c>
      <c r="E58" s="131">
        <f t="shared" ref="E58:AJ58" si="38">IF(AND(E31="Yes",(E28-1.5)&gt;0),E28-1.5,E28)</f>
        <v>0</v>
      </c>
      <c r="F58" s="13">
        <f t="shared" si="38"/>
        <v>0</v>
      </c>
      <c r="G58" s="44">
        <f t="shared" si="38"/>
        <v>0</v>
      </c>
      <c r="H58" s="44">
        <f t="shared" si="38"/>
        <v>0</v>
      </c>
      <c r="I58" s="14">
        <f t="shared" si="38"/>
        <v>0</v>
      </c>
      <c r="J58" s="13">
        <f t="shared" si="38"/>
        <v>0</v>
      </c>
      <c r="K58" s="44">
        <f t="shared" si="38"/>
        <v>0</v>
      </c>
      <c r="L58" s="44">
        <f t="shared" si="38"/>
        <v>0</v>
      </c>
      <c r="M58" s="14">
        <f t="shared" si="38"/>
        <v>0</v>
      </c>
      <c r="N58" s="13">
        <f t="shared" si="38"/>
        <v>0</v>
      </c>
      <c r="O58" s="44">
        <f t="shared" si="38"/>
        <v>0</v>
      </c>
      <c r="P58" s="44">
        <f t="shared" si="38"/>
        <v>0</v>
      </c>
      <c r="Q58" s="14">
        <f t="shared" si="38"/>
        <v>0</v>
      </c>
      <c r="R58" s="13">
        <f t="shared" si="38"/>
        <v>0</v>
      </c>
      <c r="S58" s="44">
        <f t="shared" si="38"/>
        <v>0</v>
      </c>
      <c r="T58" s="44">
        <f t="shared" si="38"/>
        <v>0</v>
      </c>
      <c r="U58" s="14">
        <f t="shared" si="38"/>
        <v>0</v>
      </c>
      <c r="V58" s="13">
        <f t="shared" si="38"/>
        <v>0</v>
      </c>
      <c r="W58" s="44">
        <f t="shared" si="38"/>
        <v>0</v>
      </c>
      <c r="X58" s="44">
        <f t="shared" si="38"/>
        <v>0</v>
      </c>
      <c r="Y58" s="14">
        <f t="shared" si="38"/>
        <v>0</v>
      </c>
      <c r="Z58" s="13">
        <f t="shared" si="38"/>
        <v>0</v>
      </c>
      <c r="AA58" s="44">
        <f t="shared" si="38"/>
        <v>0</v>
      </c>
      <c r="AB58" s="44">
        <f t="shared" si="38"/>
        <v>0</v>
      </c>
      <c r="AC58" s="14">
        <f t="shared" si="38"/>
        <v>0</v>
      </c>
      <c r="AD58" s="13">
        <f t="shared" si="38"/>
        <v>0</v>
      </c>
      <c r="AE58" s="44">
        <f t="shared" si="38"/>
        <v>0</v>
      </c>
      <c r="AF58" s="44">
        <f t="shared" si="38"/>
        <v>0</v>
      </c>
      <c r="AG58" s="14">
        <f t="shared" si="38"/>
        <v>0</v>
      </c>
      <c r="AH58" s="13">
        <f t="shared" si="38"/>
        <v>0</v>
      </c>
      <c r="AI58" s="44">
        <f t="shared" si="38"/>
        <v>0</v>
      </c>
      <c r="AJ58" s="44">
        <f t="shared" si="38"/>
        <v>0</v>
      </c>
      <c r="AK58" s="14">
        <f t="shared" ref="AK58:BP58" si="39">IF(AND(AK31="Yes",(AK28-1.5)&gt;0),AK28-1.5,AK28)</f>
        <v>0</v>
      </c>
      <c r="AL58" s="13">
        <f t="shared" si="39"/>
        <v>0</v>
      </c>
      <c r="AM58" s="44">
        <f t="shared" si="39"/>
        <v>0</v>
      </c>
      <c r="AN58" s="44">
        <f t="shared" si="39"/>
        <v>0</v>
      </c>
      <c r="AO58" s="14">
        <f t="shared" si="39"/>
        <v>0</v>
      </c>
      <c r="AP58" s="13">
        <f t="shared" si="39"/>
        <v>0</v>
      </c>
      <c r="AQ58" s="44">
        <f t="shared" si="39"/>
        <v>0</v>
      </c>
      <c r="AR58" s="44">
        <f t="shared" si="39"/>
        <v>0</v>
      </c>
      <c r="AS58" s="14">
        <f t="shared" si="39"/>
        <v>0</v>
      </c>
      <c r="AT58" s="13">
        <f t="shared" si="39"/>
        <v>0</v>
      </c>
      <c r="AU58" s="44">
        <f t="shared" si="39"/>
        <v>0</v>
      </c>
      <c r="AV58" s="44">
        <f t="shared" si="39"/>
        <v>0</v>
      </c>
      <c r="AW58" s="14">
        <f t="shared" si="39"/>
        <v>0</v>
      </c>
      <c r="AX58" s="13">
        <f t="shared" si="39"/>
        <v>0</v>
      </c>
      <c r="AY58" s="44">
        <f t="shared" si="39"/>
        <v>0</v>
      </c>
      <c r="AZ58" s="44">
        <f t="shared" si="39"/>
        <v>0</v>
      </c>
      <c r="BA58" s="14">
        <f t="shared" si="39"/>
        <v>0</v>
      </c>
      <c r="BB58" s="13">
        <f t="shared" si="39"/>
        <v>0</v>
      </c>
      <c r="BC58" s="44">
        <f t="shared" si="39"/>
        <v>0</v>
      </c>
      <c r="BD58" s="44">
        <f t="shared" si="39"/>
        <v>0</v>
      </c>
      <c r="BE58" s="14">
        <f t="shared" si="39"/>
        <v>0</v>
      </c>
      <c r="BF58" s="13">
        <f t="shared" si="39"/>
        <v>0</v>
      </c>
      <c r="BG58" s="44">
        <f t="shared" si="39"/>
        <v>0</v>
      </c>
      <c r="BH58" s="44">
        <f t="shared" si="39"/>
        <v>0</v>
      </c>
      <c r="BI58" s="14">
        <f t="shared" si="39"/>
        <v>0</v>
      </c>
      <c r="BJ58" s="13">
        <f t="shared" si="39"/>
        <v>0</v>
      </c>
      <c r="BK58" s="44">
        <f t="shared" si="39"/>
        <v>0</v>
      </c>
      <c r="BL58" s="44">
        <f t="shared" si="39"/>
        <v>0</v>
      </c>
      <c r="BM58" s="14">
        <f t="shared" si="39"/>
        <v>0</v>
      </c>
      <c r="BN58" s="13">
        <f t="shared" si="39"/>
        <v>0</v>
      </c>
      <c r="BO58" s="44">
        <f t="shared" si="39"/>
        <v>0</v>
      </c>
      <c r="BP58" s="44">
        <f t="shared" si="39"/>
        <v>0</v>
      </c>
      <c r="BQ58" s="14">
        <f t="shared" ref="BQ58:CK58" si="40">IF(AND(BQ31="Yes",(BQ28-1.5)&gt;0),BQ28-1.5,BQ28)</f>
        <v>0</v>
      </c>
      <c r="BR58" s="13">
        <f t="shared" si="40"/>
        <v>0</v>
      </c>
      <c r="BS58" s="44">
        <f t="shared" si="40"/>
        <v>0</v>
      </c>
      <c r="BT58" s="44">
        <f t="shared" si="40"/>
        <v>0</v>
      </c>
      <c r="BU58" s="14">
        <f t="shared" si="40"/>
        <v>0</v>
      </c>
      <c r="BV58" s="13">
        <f t="shared" si="40"/>
        <v>0</v>
      </c>
      <c r="BW58" s="44">
        <f t="shared" si="40"/>
        <v>0</v>
      </c>
      <c r="BX58" s="44">
        <f t="shared" si="40"/>
        <v>0</v>
      </c>
      <c r="BY58" s="14">
        <f t="shared" si="40"/>
        <v>0</v>
      </c>
      <c r="BZ58" s="13">
        <f t="shared" si="40"/>
        <v>0</v>
      </c>
      <c r="CA58" s="44">
        <f t="shared" si="40"/>
        <v>0</v>
      </c>
      <c r="CB58" s="44">
        <f t="shared" si="40"/>
        <v>0</v>
      </c>
      <c r="CC58" s="14">
        <f t="shared" si="40"/>
        <v>0</v>
      </c>
      <c r="CD58" s="13">
        <f t="shared" si="40"/>
        <v>0</v>
      </c>
      <c r="CE58" s="44">
        <f t="shared" si="40"/>
        <v>0</v>
      </c>
      <c r="CF58" s="44">
        <f t="shared" si="40"/>
        <v>0</v>
      </c>
      <c r="CG58" s="14">
        <f t="shared" si="40"/>
        <v>0</v>
      </c>
      <c r="CH58" s="13">
        <f t="shared" si="40"/>
        <v>0</v>
      </c>
      <c r="CI58" s="44">
        <f t="shared" si="40"/>
        <v>0</v>
      </c>
      <c r="CJ58" s="44">
        <f t="shared" si="40"/>
        <v>0</v>
      </c>
      <c r="CK58" s="14">
        <f t="shared" si="40"/>
        <v>0</v>
      </c>
      <c r="CL58" s="49"/>
      <c r="CM58" s="28"/>
    </row>
    <row r="59" spans="2:91" ht="14.25" x14ac:dyDescent="0.25">
      <c r="B59" s="55"/>
      <c r="C59" s="10" t="s">
        <v>175</v>
      </c>
      <c r="D59" s="94" t="s">
        <v>176</v>
      </c>
      <c r="E59" s="132">
        <f t="shared" ref="E59:AJ59" si="41">IF(E26&gt;0,0,1)</f>
        <v>0</v>
      </c>
      <c r="F59" s="42">
        <f t="shared" si="41"/>
        <v>0</v>
      </c>
      <c r="G59" s="45">
        <f t="shared" si="41"/>
        <v>0</v>
      </c>
      <c r="H59" s="45">
        <f t="shared" si="41"/>
        <v>0</v>
      </c>
      <c r="I59" s="95">
        <f t="shared" si="41"/>
        <v>0</v>
      </c>
      <c r="J59" s="102">
        <f t="shared" si="41"/>
        <v>1</v>
      </c>
      <c r="K59" s="103">
        <f t="shared" si="41"/>
        <v>0</v>
      </c>
      <c r="L59" s="103">
        <f t="shared" si="41"/>
        <v>0</v>
      </c>
      <c r="M59" s="104">
        <f t="shared" si="41"/>
        <v>0</v>
      </c>
      <c r="N59" s="102">
        <f t="shared" si="41"/>
        <v>1</v>
      </c>
      <c r="O59" s="103">
        <f t="shared" si="41"/>
        <v>1</v>
      </c>
      <c r="P59" s="103">
        <f t="shared" si="41"/>
        <v>1</v>
      </c>
      <c r="Q59" s="104">
        <f t="shared" si="41"/>
        <v>1</v>
      </c>
      <c r="R59" s="102">
        <f t="shared" si="41"/>
        <v>1</v>
      </c>
      <c r="S59" s="103">
        <f t="shared" si="41"/>
        <v>1</v>
      </c>
      <c r="T59" s="103">
        <f t="shared" si="41"/>
        <v>1</v>
      </c>
      <c r="U59" s="104">
        <f t="shared" si="41"/>
        <v>1</v>
      </c>
      <c r="V59" s="102">
        <f t="shared" si="41"/>
        <v>1</v>
      </c>
      <c r="W59" s="103">
        <f t="shared" si="41"/>
        <v>1</v>
      </c>
      <c r="X59" s="103">
        <f t="shared" si="41"/>
        <v>1</v>
      </c>
      <c r="Y59" s="104">
        <f t="shared" si="41"/>
        <v>1</v>
      </c>
      <c r="Z59" s="102">
        <f t="shared" si="41"/>
        <v>1</v>
      </c>
      <c r="AA59" s="103">
        <f t="shared" si="41"/>
        <v>1</v>
      </c>
      <c r="AB59" s="103">
        <f t="shared" si="41"/>
        <v>1</v>
      </c>
      <c r="AC59" s="104">
        <f t="shared" si="41"/>
        <v>1</v>
      </c>
      <c r="AD59" s="102">
        <f t="shared" si="41"/>
        <v>1</v>
      </c>
      <c r="AE59" s="103">
        <f t="shared" si="41"/>
        <v>1</v>
      </c>
      <c r="AF59" s="103">
        <f t="shared" si="41"/>
        <v>1</v>
      </c>
      <c r="AG59" s="104">
        <f t="shared" si="41"/>
        <v>1</v>
      </c>
      <c r="AH59" s="102">
        <f t="shared" si="41"/>
        <v>1</v>
      </c>
      <c r="AI59" s="103">
        <f t="shared" si="41"/>
        <v>1</v>
      </c>
      <c r="AJ59" s="103">
        <f t="shared" si="41"/>
        <v>1</v>
      </c>
      <c r="AK59" s="104">
        <f t="shared" ref="AK59:BP59" si="42">IF(AK26&gt;0,0,1)</f>
        <v>1</v>
      </c>
      <c r="AL59" s="102">
        <f t="shared" si="42"/>
        <v>1</v>
      </c>
      <c r="AM59" s="103">
        <f t="shared" si="42"/>
        <v>1</v>
      </c>
      <c r="AN59" s="103">
        <f t="shared" si="42"/>
        <v>1</v>
      </c>
      <c r="AO59" s="104">
        <f t="shared" si="42"/>
        <v>1</v>
      </c>
      <c r="AP59" s="102">
        <f t="shared" si="42"/>
        <v>1</v>
      </c>
      <c r="AQ59" s="103">
        <f t="shared" si="42"/>
        <v>1</v>
      </c>
      <c r="AR59" s="103">
        <f t="shared" si="42"/>
        <v>1</v>
      </c>
      <c r="AS59" s="104">
        <f t="shared" si="42"/>
        <v>1</v>
      </c>
      <c r="AT59" s="102">
        <f t="shared" si="42"/>
        <v>1</v>
      </c>
      <c r="AU59" s="103">
        <f t="shared" si="42"/>
        <v>1</v>
      </c>
      <c r="AV59" s="103">
        <f t="shared" si="42"/>
        <v>1</v>
      </c>
      <c r="AW59" s="104">
        <f t="shared" si="42"/>
        <v>1</v>
      </c>
      <c r="AX59" s="102">
        <f t="shared" si="42"/>
        <v>1</v>
      </c>
      <c r="AY59" s="103">
        <f t="shared" si="42"/>
        <v>1</v>
      </c>
      <c r="AZ59" s="103">
        <f t="shared" si="42"/>
        <v>1</v>
      </c>
      <c r="BA59" s="104">
        <f t="shared" si="42"/>
        <v>1</v>
      </c>
      <c r="BB59" s="102">
        <f t="shared" si="42"/>
        <v>1</v>
      </c>
      <c r="BC59" s="103">
        <f t="shared" si="42"/>
        <v>1</v>
      </c>
      <c r="BD59" s="103">
        <f t="shared" si="42"/>
        <v>1</v>
      </c>
      <c r="BE59" s="104">
        <f t="shared" si="42"/>
        <v>1</v>
      </c>
      <c r="BF59" s="102">
        <f t="shared" si="42"/>
        <v>1</v>
      </c>
      <c r="BG59" s="103">
        <f t="shared" si="42"/>
        <v>1</v>
      </c>
      <c r="BH59" s="103">
        <f t="shared" si="42"/>
        <v>1</v>
      </c>
      <c r="BI59" s="104">
        <f t="shared" si="42"/>
        <v>1</v>
      </c>
      <c r="BJ59" s="102">
        <f t="shared" si="42"/>
        <v>1</v>
      </c>
      <c r="BK59" s="103">
        <f t="shared" si="42"/>
        <v>1</v>
      </c>
      <c r="BL59" s="103">
        <f t="shared" si="42"/>
        <v>1</v>
      </c>
      <c r="BM59" s="104">
        <f t="shared" si="42"/>
        <v>1</v>
      </c>
      <c r="BN59" s="102">
        <f t="shared" si="42"/>
        <v>1</v>
      </c>
      <c r="BO59" s="103">
        <f t="shared" si="42"/>
        <v>1</v>
      </c>
      <c r="BP59" s="103">
        <f t="shared" si="42"/>
        <v>1</v>
      </c>
      <c r="BQ59" s="104">
        <f t="shared" ref="BQ59:CK59" si="43">IF(BQ26&gt;0,0,1)</f>
        <v>1</v>
      </c>
      <c r="BR59" s="102">
        <f t="shared" si="43"/>
        <v>1</v>
      </c>
      <c r="BS59" s="103">
        <f t="shared" si="43"/>
        <v>1</v>
      </c>
      <c r="BT59" s="103">
        <f t="shared" si="43"/>
        <v>1</v>
      </c>
      <c r="BU59" s="104">
        <f t="shared" si="43"/>
        <v>1</v>
      </c>
      <c r="BV59" s="102">
        <f t="shared" si="43"/>
        <v>1</v>
      </c>
      <c r="BW59" s="103">
        <f t="shared" si="43"/>
        <v>1</v>
      </c>
      <c r="BX59" s="103">
        <f t="shared" si="43"/>
        <v>1</v>
      </c>
      <c r="BY59" s="104">
        <f t="shared" si="43"/>
        <v>1</v>
      </c>
      <c r="BZ59" s="102">
        <f t="shared" si="43"/>
        <v>1</v>
      </c>
      <c r="CA59" s="103">
        <f t="shared" si="43"/>
        <v>1</v>
      </c>
      <c r="CB59" s="103">
        <f t="shared" si="43"/>
        <v>1</v>
      </c>
      <c r="CC59" s="104">
        <f t="shared" si="43"/>
        <v>1</v>
      </c>
      <c r="CD59" s="102">
        <f t="shared" si="43"/>
        <v>1</v>
      </c>
      <c r="CE59" s="103">
        <f t="shared" si="43"/>
        <v>1</v>
      </c>
      <c r="CF59" s="103">
        <f t="shared" si="43"/>
        <v>1</v>
      </c>
      <c r="CG59" s="104">
        <f t="shared" si="43"/>
        <v>1</v>
      </c>
      <c r="CH59" s="102">
        <f t="shared" si="43"/>
        <v>1</v>
      </c>
      <c r="CI59" s="103">
        <f t="shared" si="43"/>
        <v>1</v>
      </c>
      <c r="CJ59" s="103">
        <f t="shared" si="43"/>
        <v>1</v>
      </c>
      <c r="CK59" s="104">
        <f t="shared" si="43"/>
        <v>1</v>
      </c>
      <c r="CL59" s="49"/>
      <c r="CM59" s="28"/>
    </row>
    <row r="60" spans="2:91" ht="14.25" x14ac:dyDescent="0.25">
      <c r="B60" s="55"/>
      <c r="C60" s="10" t="s">
        <v>45</v>
      </c>
      <c r="D60" s="94" t="s">
        <v>107</v>
      </c>
      <c r="E60" s="129">
        <f t="shared" ref="E60:AJ60" si="44">E25+E24+E58+E59*E27</f>
        <v>18</v>
      </c>
      <c r="F60" s="10">
        <f t="shared" si="44"/>
        <v>12</v>
      </c>
      <c r="G60" s="71">
        <f t="shared" si="44"/>
        <v>12</v>
      </c>
      <c r="H60" s="71">
        <f t="shared" si="44"/>
        <v>12</v>
      </c>
      <c r="I60" s="75">
        <f t="shared" si="44"/>
        <v>12</v>
      </c>
      <c r="J60" s="10">
        <f t="shared" si="44"/>
        <v>0</v>
      </c>
      <c r="K60" s="97">
        <f t="shared" si="44"/>
        <v>10</v>
      </c>
      <c r="L60" s="97">
        <f t="shared" si="44"/>
        <v>12</v>
      </c>
      <c r="M60" s="101">
        <f t="shared" si="44"/>
        <v>12</v>
      </c>
      <c r="N60" s="10">
        <f t="shared" si="44"/>
        <v>0</v>
      </c>
      <c r="O60" s="97">
        <f t="shared" si="44"/>
        <v>0</v>
      </c>
      <c r="P60" s="97">
        <f t="shared" si="44"/>
        <v>0</v>
      </c>
      <c r="Q60" s="101">
        <f t="shared" si="44"/>
        <v>0</v>
      </c>
      <c r="R60" s="10">
        <f t="shared" si="44"/>
        <v>0</v>
      </c>
      <c r="S60" s="97">
        <f t="shared" si="44"/>
        <v>0</v>
      </c>
      <c r="T60" s="97">
        <f t="shared" si="44"/>
        <v>0</v>
      </c>
      <c r="U60" s="101">
        <f t="shared" si="44"/>
        <v>0</v>
      </c>
      <c r="V60" s="10">
        <f t="shared" si="44"/>
        <v>0</v>
      </c>
      <c r="W60" s="97">
        <f t="shared" si="44"/>
        <v>0</v>
      </c>
      <c r="X60" s="97">
        <f t="shared" si="44"/>
        <v>0</v>
      </c>
      <c r="Y60" s="101">
        <f t="shared" si="44"/>
        <v>0</v>
      </c>
      <c r="Z60" s="10">
        <f t="shared" si="44"/>
        <v>0</v>
      </c>
      <c r="AA60" s="97">
        <f t="shared" si="44"/>
        <v>0</v>
      </c>
      <c r="AB60" s="97">
        <f t="shared" si="44"/>
        <v>0</v>
      </c>
      <c r="AC60" s="101">
        <f t="shared" si="44"/>
        <v>0</v>
      </c>
      <c r="AD60" s="10">
        <f t="shared" si="44"/>
        <v>0</v>
      </c>
      <c r="AE60" s="97">
        <f t="shared" si="44"/>
        <v>0</v>
      </c>
      <c r="AF60" s="97">
        <f t="shared" si="44"/>
        <v>0</v>
      </c>
      <c r="AG60" s="101">
        <f t="shared" si="44"/>
        <v>0</v>
      </c>
      <c r="AH60" s="10">
        <f t="shared" si="44"/>
        <v>0</v>
      </c>
      <c r="AI60" s="97">
        <f t="shared" si="44"/>
        <v>0</v>
      </c>
      <c r="AJ60" s="97">
        <f t="shared" si="44"/>
        <v>0</v>
      </c>
      <c r="AK60" s="101">
        <f t="shared" ref="AK60:BP60" si="45">AK25+AK24+AK58+AK59*AK27</f>
        <v>0</v>
      </c>
      <c r="AL60" s="10">
        <f t="shared" si="45"/>
        <v>0</v>
      </c>
      <c r="AM60" s="97">
        <f t="shared" si="45"/>
        <v>0</v>
      </c>
      <c r="AN60" s="97">
        <f t="shared" si="45"/>
        <v>0</v>
      </c>
      <c r="AO60" s="101">
        <f t="shared" si="45"/>
        <v>0</v>
      </c>
      <c r="AP60" s="10">
        <f t="shared" si="45"/>
        <v>0</v>
      </c>
      <c r="AQ60" s="97">
        <f t="shared" si="45"/>
        <v>0</v>
      </c>
      <c r="AR60" s="97">
        <f t="shared" si="45"/>
        <v>0</v>
      </c>
      <c r="AS60" s="101">
        <f t="shared" si="45"/>
        <v>0</v>
      </c>
      <c r="AT60" s="10">
        <f t="shared" si="45"/>
        <v>0</v>
      </c>
      <c r="AU60" s="97">
        <f t="shared" si="45"/>
        <v>0</v>
      </c>
      <c r="AV60" s="97">
        <f t="shared" si="45"/>
        <v>0</v>
      </c>
      <c r="AW60" s="101">
        <f t="shared" si="45"/>
        <v>0</v>
      </c>
      <c r="AX60" s="10">
        <f t="shared" si="45"/>
        <v>0</v>
      </c>
      <c r="AY60" s="97">
        <f t="shared" si="45"/>
        <v>0</v>
      </c>
      <c r="AZ60" s="97">
        <f t="shared" si="45"/>
        <v>0</v>
      </c>
      <c r="BA60" s="101">
        <f t="shared" si="45"/>
        <v>0</v>
      </c>
      <c r="BB60" s="10">
        <f t="shared" si="45"/>
        <v>0</v>
      </c>
      <c r="BC60" s="97">
        <f t="shared" si="45"/>
        <v>0</v>
      </c>
      <c r="BD60" s="97">
        <f t="shared" si="45"/>
        <v>0</v>
      </c>
      <c r="BE60" s="101">
        <f t="shared" si="45"/>
        <v>0</v>
      </c>
      <c r="BF60" s="10">
        <f t="shared" si="45"/>
        <v>0</v>
      </c>
      <c r="BG60" s="97">
        <f t="shared" si="45"/>
        <v>0</v>
      </c>
      <c r="BH60" s="97">
        <f t="shared" si="45"/>
        <v>0</v>
      </c>
      <c r="BI60" s="101">
        <f t="shared" si="45"/>
        <v>0</v>
      </c>
      <c r="BJ60" s="10">
        <f t="shared" si="45"/>
        <v>0</v>
      </c>
      <c r="BK60" s="97">
        <f t="shared" si="45"/>
        <v>0</v>
      </c>
      <c r="BL60" s="97">
        <f t="shared" si="45"/>
        <v>0</v>
      </c>
      <c r="BM60" s="101">
        <f t="shared" si="45"/>
        <v>0</v>
      </c>
      <c r="BN60" s="10">
        <f t="shared" si="45"/>
        <v>0</v>
      </c>
      <c r="BO60" s="97">
        <f t="shared" si="45"/>
        <v>0</v>
      </c>
      <c r="BP60" s="97">
        <f t="shared" si="45"/>
        <v>0</v>
      </c>
      <c r="BQ60" s="101">
        <f t="shared" ref="BQ60:CV60" si="46">BQ25+BQ24+BQ58+BQ59*BQ27</f>
        <v>0</v>
      </c>
      <c r="BR60" s="10">
        <f t="shared" si="46"/>
        <v>0</v>
      </c>
      <c r="BS60" s="97">
        <f t="shared" si="46"/>
        <v>0</v>
      </c>
      <c r="BT60" s="97">
        <f t="shared" si="46"/>
        <v>0</v>
      </c>
      <c r="BU60" s="101">
        <f t="shared" si="46"/>
        <v>0</v>
      </c>
      <c r="BV60" s="10">
        <f t="shared" si="46"/>
        <v>0</v>
      </c>
      <c r="BW60" s="97">
        <f t="shared" si="46"/>
        <v>0</v>
      </c>
      <c r="BX60" s="97">
        <f t="shared" si="46"/>
        <v>0</v>
      </c>
      <c r="BY60" s="101">
        <f t="shared" si="46"/>
        <v>0</v>
      </c>
      <c r="BZ60" s="10">
        <f t="shared" si="46"/>
        <v>0</v>
      </c>
      <c r="CA60" s="97">
        <f t="shared" si="46"/>
        <v>0</v>
      </c>
      <c r="CB60" s="97">
        <f t="shared" si="46"/>
        <v>0</v>
      </c>
      <c r="CC60" s="101">
        <f t="shared" si="46"/>
        <v>0</v>
      </c>
      <c r="CD60" s="10">
        <f t="shared" si="46"/>
        <v>0</v>
      </c>
      <c r="CE60" s="97">
        <f t="shared" si="46"/>
        <v>0</v>
      </c>
      <c r="CF60" s="97">
        <f t="shared" si="46"/>
        <v>0</v>
      </c>
      <c r="CG60" s="101">
        <f t="shared" si="46"/>
        <v>0</v>
      </c>
      <c r="CH60" s="10">
        <f t="shared" si="46"/>
        <v>0</v>
      </c>
      <c r="CI60" s="97">
        <f t="shared" si="46"/>
        <v>0</v>
      </c>
      <c r="CJ60" s="97">
        <f t="shared" si="46"/>
        <v>0</v>
      </c>
      <c r="CK60" s="101">
        <f t="shared" si="46"/>
        <v>0</v>
      </c>
      <c r="CL60" s="49"/>
      <c r="CM60" s="28"/>
    </row>
    <row r="61" spans="2:91" ht="14.25" x14ac:dyDescent="0.25">
      <c r="B61" s="55"/>
      <c r="C61" s="10" t="s">
        <v>103</v>
      </c>
      <c r="D61" s="94" t="s">
        <v>39</v>
      </c>
      <c r="E61" s="130">
        <f t="shared" ref="E61:AJ61" si="47">0.0153*E23-0.2144*E60</f>
        <v>-3.0329999999999999</v>
      </c>
      <c r="F61" s="72">
        <f t="shared" si="47"/>
        <v>-1.4712000000000001</v>
      </c>
      <c r="G61" s="73">
        <f t="shared" si="47"/>
        <v>-1.4712000000000001</v>
      </c>
      <c r="H61" s="73">
        <f t="shared" si="47"/>
        <v>-1.716</v>
      </c>
      <c r="I61" s="74">
        <f t="shared" si="47"/>
        <v>-1.716</v>
      </c>
      <c r="J61" s="98">
        <f t="shared" si="47"/>
        <v>0</v>
      </c>
      <c r="K61" s="99">
        <f t="shared" si="47"/>
        <v>-1.6544000000000001</v>
      </c>
      <c r="L61" s="99">
        <f t="shared" si="47"/>
        <v>-1.716</v>
      </c>
      <c r="M61" s="100">
        <f t="shared" si="47"/>
        <v>-1.716</v>
      </c>
      <c r="N61" s="98">
        <f t="shared" si="47"/>
        <v>0</v>
      </c>
      <c r="O61" s="99">
        <f t="shared" si="47"/>
        <v>0</v>
      </c>
      <c r="P61" s="99">
        <f t="shared" si="47"/>
        <v>0</v>
      </c>
      <c r="Q61" s="100">
        <f t="shared" si="47"/>
        <v>0</v>
      </c>
      <c r="R61" s="98">
        <f t="shared" si="47"/>
        <v>0</v>
      </c>
      <c r="S61" s="99">
        <f t="shared" si="47"/>
        <v>0</v>
      </c>
      <c r="T61" s="99">
        <f t="shared" si="47"/>
        <v>0</v>
      </c>
      <c r="U61" s="100">
        <f t="shared" si="47"/>
        <v>0</v>
      </c>
      <c r="V61" s="98">
        <f t="shared" si="47"/>
        <v>0</v>
      </c>
      <c r="W61" s="99">
        <f t="shared" si="47"/>
        <v>0</v>
      </c>
      <c r="X61" s="99">
        <f t="shared" si="47"/>
        <v>0</v>
      </c>
      <c r="Y61" s="100">
        <f t="shared" si="47"/>
        <v>0</v>
      </c>
      <c r="Z61" s="98">
        <f t="shared" si="47"/>
        <v>0</v>
      </c>
      <c r="AA61" s="99">
        <f t="shared" si="47"/>
        <v>0</v>
      </c>
      <c r="AB61" s="99">
        <f t="shared" si="47"/>
        <v>0</v>
      </c>
      <c r="AC61" s="100">
        <f t="shared" si="47"/>
        <v>0</v>
      </c>
      <c r="AD61" s="98">
        <f t="shared" si="47"/>
        <v>0</v>
      </c>
      <c r="AE61" s="99">
        <f t="shared" si="47"/>
        <v>0</v>
      </c>
      <c r="AF61" s="99">
        <f t="shared" si="47"/>
        <v>0</v>
      </c>
      <c r="AG61" s="100">
        <f t="shared" si="47"/>
        <v>0</v>
      </c>
      <c r="AH61" s="98">
        <f t="shared" si="47"/>
        <v>0</v>
      </c>
      <c r="AI61" s="99">
        <f t="shared" si="47"/>
        <v>0</v>
      </c>
      <c r="AJ61" s="99">
        <f t="shared" si="47"/>
        <v>0</v>
      </c>
      <c r="AK61" s="100">
        <f t="shared" ref="AK61:BP61" si="48">0.0153*AK23-0.2144*AK60</f>
        <v>0</v>
      </c>
      <c r="AL61" s="98">
        <f t="shared" si="48"/>
        <v>0</v>
      </c>
      <c r="AM61" s="99">
        <f t="shared" si="48"/>
        <v>0</v>
      </c>
      <c r="AN61" s="99">
        <f t="shared" si="48"/>
        <v>0</v>
      </c>
      <c r="AO61" s="100">
        <f t="shared" si="48"/>
        <v>0</v>
      </c>
      <c r="AP61" s="98">
        <f t="shared" si="48"/>
        <v>0</v>
      </c>
      <c r="AQ61" s="99">
        <f t="shared" si="48"/>
        <v>0</v>
      </c>
      <c r="AR61" s="99">
        <f t="shared" si="48"/>
        <v>0</v>
      </c>
      <c r="AS61" s="100">
        <f t="shared" si="48"/>
        <v>0</v>
      </c>
      <c r="AT61" s="98">
        <f t="shared" si="48"/>
        <v>0</v>
      </c>
      <c r="AU61" s="99">
        <f t="shared" si="48"/>
        <v>0</v>
      </c>
      <c r="AV61" s="99">
        <f t="shared" si="48"/>
        <v>0</v>
      </c>
      <c r="AW61" s="100">
        <f t="shared" si="48"/>
        <v>0</v>
      </c>
      <c r="AX61" s="98">
        <f t="shared" si="48"/>
        <v>0</v>
      </c>
      <c r="AY61" s="99">
        <f t="shared" si="48"/>
        <v>0</v>
      </c>
      <c r="AZ61" s="99">
        <f t="shared" si="48"/>
        <v>0</v>
      </c>
      <c r="BA61" s="100">
        <f t="shared" si="48"/>
        <v>0</v>
      </c>
      <c r="BB61" s="98">
        <f t="shared" si="48"/>
        <v>0</v>
      </c>
      <c r="BC61" s="99">
        <f t="shared" si="48"/>
        <v>0</v>
      </c>
      <c r="BD61" s="99">
        <f t="shared" si="48"/>
        <v>0</v>
      </c>
      <c r="BE61" s="100">
        <f t="shared" si="48"/>
        <v>0</v>
      </c>
      <c r="BF61" s="98">
        <f t="shared" si="48"/>
        <v>0</v>
      </c>
      <c r="BG61" s="99">
        <f t="shared" si="48"/>
        <v>0</v>
      </c>
      <c r="BH61" s="99">
        <f t="shared" si="48"/>
        <v>0</v>
      </c>
      <c r="BI61" s="100">
        <f t="shared" si="48"/>
        <v>0</v>
      </c>
      <c r="BJ61" s="98">
        <f t="shared" si="48"/>
        <v>0</v>
      </c>
      <c r="BK61" s="99">
        <f t="shared" si="48"/>
        <v>0</v>
      </c>
      <c r="BL61" s="99">
        <f t="shared" si="48"/>
        <v>0</v>
      </c>
      <c r="BM61" s="100">
        <f t="shared" si="48"/>
        <v>0</v>
      </c>
      <c r="BN61" s="98">
        <f t="shared" si="48"/>
        <v>0</v>
      </c>
      <c r="BO61" s="99">
        <f t="shared" si="48"/>
        <v>0</v>
      </c>
      <c r="BP61" s="99">
        <f t="shared" si="48"/>
        <v>0</v>
      </c>
      <c r="BQ61" s="100">
        <f t="shared" ref="BQ61:CV61" si="49">0.0153*BQ23-0.2144*BQ60</f>
        <v>0</v>
      </c>
      <c r="BR61" s="98">
        <f t="shared" si="49"/>
        <v>0</v>
      </c>
      <c r="BS61" s="99">
        <f t="shared" si="49"/>
        <v>0</v>
      </c>
      <c r="BT61" s="99">
        <f t="shared" si="49"/>
        <v>0</v>
      </c>
      <c r="BU61" s="100">
        <f t="shared" si="49"/>
        <v>0</v>
      </c>
      <c r="BV61" s="98">
        <f t="shared" si="49"/>
        <v>0</v>
      </c>
      <c r="BW61" s="99">
        <f t="shared" si="49"/>
        <v>0</v>
      </c>
      <c r="BX61" s="99">
        <f t="shared" si="49"/>
        <v>0</v>
      </c>
      <c r="BY61" s="100">
        <f t="shared" si="49"/>
        <v>0</v>
      </c>
      <c r="BZ61" s="98">
        <f t="shared" si="49"/>
        <v>0</v>
      </c>
      <c r="CA61" s="99">
        <f t="shared" si="49"/>
        <v>0</v>
      </c>
      <c r="CB61" s="99">
        <f t="shared" si="49"/>
        <v>0</v>
      </c>
      <c r="CC61" s="100">
        <f t="shared" si="49"/>
        <v>0</v>
      </c>
      <c r="CD61" s="98">
        <f t="shared" si="49"/>
        <v>0</v>
      </c>
      <c r="CE61" s="99">
        <f t="shared" si="49"/>
        <v>0</v>
      </c>
      <c r="CF61" s="99">
        <f t="shared" si="49"/>
        <v>0</v>
      </c>
      <c r="CG61" s="100">
        <f t="shared" si="49"/>
        <v>0</v>
      </c>
      <c r="CH61" s="98">
        <f t="shared" si="49"/>
        <v>0</v>
      </c>
      <c r="CI61" s="99">
        <f t="shared" si="49"/>
        <v>0</v>
      </c>
      <c r="CJ61" s="99">
        <f t="shared" si="49"/>
        <v>0</v>
      </c>
      <c r="CK61" s="100">
        <f t="shared" si="49"/>
        <v>0</v>
      </c>
      <c r="CL61" s="49"/>
      <c r="CM61" s="28"/>
    </row>
    <row r="62" spans="2:91" ht="14.25" x14ac:dyDescent="0.25">
      <c r="B62" s="55"/>
      <c r="C62" s="10" t="s">
        <v>102</v>
      </c>
      <c r="D62" s="94" t="s">
        <v>33</v>
      </c>
      <c r="E62" s="130">
        <f t="shared" ref="E62:AJ62" si="50">0.0066*SUM(E12:E14)/(4*E10)</f>
        <v>0.495</v>
      </c>
      <c r="F62" s="72">
        <f t="shared" si="50"/>
        <v>0.53790000000000004</v>
      </c>
      <c r="G62" s="73">
        <f t="shared" si="50"/>
        <v>0.73094999999999999</v>
      </c>
      <c r="H62" s="73">
        <f t="shared" si="50"/>
        <v>0.46447499999999997</v>
      </c>
      <c r="I62" s="74">
        <f t="shared" si="50"/>
        <v>0.286275</v>
      </c>
      <c r="J62" s="98" t="e">
        <f t="shared" si="50"/>
        <v>#DIV/0!</v>
      </c>
      <c r="K62" s="99">
        <f t="shared" si="50"/>
        <v>9.0749999999999997E-2</v>
      </c>
      <c r="L62" s="99">
        <f t="shared" si="50"/>
        <v>0.27637499999999998</v>
      </c>
      <c r="M62" s="100">
        <f t="shared" si="50"/>
        <v>0.38279999999999997</v>
      </c>
      <c r="N62" s="98" t="e">
        <f t="shared" si="50"/>
        <v>#DIV/0!</v>
      </c>
      <c r="O62" s="99" t="e">
        <f t="shared" si="50"/>
        <v>#DIV/0!</v>
      </c>
      <c r="P62" s="99" t="e">
        <f t="shared" si="50"/>
        <v>#DIV/0!</v>
      </c>
      <c r="Q62" s="100" t="e">
        <f t="shared" si="50"/>
        <v>#DIV/0!</v>
      </c>
      <c r="R62" s="98" t="e">
        <f t="shared" si="50"/>
        <v>#DIV/0!</v>
      </c>
      <c r="S62" s="99" t="e">
        <f t="shared" si="50"/>
        <v>#DIV/0!</v>
      </c>
      <c r="T62" s="99" t="e">
        <f t="shared" si="50"/>
        <v>#DIV/0!</v>
      </c>
      <c r="U62" s="100" t="e">
        <f t="shared" si="50"/>
        <v>#DIV/0!</v>
      </c>
      <c r="V62" s="98" t="e">
        <f t="shared" si="50"/>
        <v>#DIV/0!</v>
      </c>
      <c r="W62" s="99" t="e">
        <f t="shared" si="50"/>
        <v>#DIV/0!</v>
      </c>
      <c r="X62" s="99" t="e">
        <f t="shared" si="50"/>
        <v>#DIV/0!</v>
      </c>
      <c r="Y62" s="100" t="e">
        <f t="shared" si="50"/>
        <v>#DIV/0!</v>
      </c>
      <c r="Z62" s="98" t="e">
        <f t="shared" si="50"/>
        <v>#DIV/0!</v>
      </c>
      <c r="AA62" s="99" t="e">
        <f t="shared" si="50"/>
        <v>#DIV/0!</v>
      </c>
      <c r="AB62" s="99" t="e">
        <f t="shared" si="50"/>
        <v>#DIV/0!</v>
      </c>
      <c r="AC62" s="100" t="e">
        <f t="shared" si="50"/>
        <v>#DIV/0!</v>
      </c>
      <c r="AD62" s="98" t="e">
        <f t="shared" si="50"/>
        <v>#DIV/0!</v>
      </c>
      <c r="AE62" s="99" t="e">
        <f t="shared" si="50"/>
        <v>#DIV/0!</v>
      </c>
      <c r="AF62" s="99" t="e">
        <f t="shared" si="50"/>
        <v>#DIV/0!</v>
      </c>
      <c r="AG62" s="100" t="e">
        <f t="shared" si="50"/>
        <v>#DIV/0!</v>
      </c>
      <c r="AH62" s="98" t="e">
        <f t="shared" si="50"/>
        <v>#DIV/0!</v>
      </c>
      <c r="AI62" s="99" t="e">
        <f t="shared" si="50"/>
        <v>#DIV/0!</v>
      </c>
      <c r="AJ62" s="99" t="e">
        <f t="shared" si="50"/>
        <v>#DIV/0!</v>
      </c>
      <c r="AK62" s="100" t="e">
        <f t="shared" ref="AK62:BP62" si="51">0.0066*SUM(AK12:AK14)/(4*AK10)</f>
        <v>#DIV/0!</v>
      </c>
      <c r="AL62" s="98" t="e">
        <f t="shared" si="51"/>
        <v>#DIV/0!</v>
      </c>
      <c r="AM62" s="99" t="e">
        <f t="shared" si="51"/>
        <v>#DIV/0!</v>
      </c>
      <c r="AN62" s="99" t="e">
        <f t="shared" si="51"/>
        <v>#DIV/0!</v>
      </c>
      <c r="AO62" s="100" t="e">
        <f t="shared" si="51"/>
        <v>#DIV/0!</v>
      </c>
      <c r="AP62" s="98" t="e">
        <f t="shared" si="51"/>
        <v>#DIV/0!</v>
      </c>
      <c r="AQ62" s="99" t="e">
        <f t="shared" si="51"/>
        <v>#DIV/0!</v>
      </c>
      <c r="AR62" s="99" t="e">
        <f t="shared" si="51"/>
        <v>#DIV/0!</v>
      </c>
      <c r="AS62" s="100" t="e">
        <f t="shared" si="51"/>
        <v>#DIV/0!</v>
      </c>
      <c r="AT62" s="98" t="e">
        <f t="shared" si="51"/>
        <v>#DIV/0!</v>
      </c>
      <c r="AU62" s="99" t="e">
        <f t="shared" si="51"/>
        <v>#DIV/0!</v>
      </c>
      <c r="AV62" s="99" t="e">
        <f t="shared" si="51"/>
        <v>#DIV/0!</v>
      </c>
      <c r="AW62" s="100" t="e">
        <f t="shared" si="51"/>
        <v>#DIV/0!</v>
      </c>
      <c r="AX62" s="98" t="e">
        <f t="shared" si="51"/>
        <v>#DIV/0!</v>
      </c>
      <c r="AY62" s="99" t="e">
        <f t="shared" si="51"/>
        <v>#DIV/0!</v>
      </c>
      <c r="AZ62" s="99" t="e">
        <f t="shared" si="51"/>
        <v>#DIV/0!</v>
      </c>
      <c r="BA62" s="100" t="e">
        <f t="shared" si="51"/>
        <v>#DIV/0!</v>
      </c>
      <c r="BB62" s="98" t="e">
        <f t="shared" si="51"/>
        <v>#DIV/0!</v>
      </c>
      <c r="BC62" s="99" t="e">
        <f t="shared" si="51"/>
        <v>#DIV/0!</v>
      </c>
      <c r="BD62" s="99" t="e">
        <f t="shared" si="51"/>
        <v>#DIV/0!</v>
      </c>
      <c r="BE62" s="100" t="e">
        <f t="shared" si="51"/>
        <v>#DIV/0!</v>
      </c>
      <c r="BF62" s="98" t="e">
        <f t="shared" si="51"/>
        <v>#DIV/0!</v>
      </c>
      <c r="BG62" s="99" t="e">
        <f t="shared" si="51"/>
        <v>#DIV/0!</v>
      </c>
      <c r="BH62" s="99" t="e">
        <f t="shared" si="51"/>
        <v>#DIV/0!</v>
      </c>
      <c r="BI62" s="100" t="e">
        <f t="shared" si="51"/>
        <v>#DIV/0!</v>
      </c>
      <c r="BJ62" s="98" t="e">
        <f t="shared" si="51"/>
        <v>#DIV/0!</v>
      </c>
      <c r="BK62" s="99" t="e">
        <f t="shared" si="51"/>
        <v>#DIV/0!</v>
      </c>
      <c r="BL62" s="99" t="e">
        <f t="shared" si="51"/>
        <v>#DIV/0!</v>
      </c>
      <c r="BM62" s="100" t="e">
        <f t="shared" si="51"/>
        <v>#DIV/0!</v>
      </c>
      <c r="BN62" s="98" t="e">
        <f t="shared" si="51"/>
        <v>#DIV/0!</v>
      </c>
      <c r="BO62" s="99" t="e">
        <f t="shared" si="51"/>
        <v>#DIV/0!</v>
      </c>
      <c r="BP62" s="99" t="e">
        <f t="shared" si="51"/>
        <v>#DIV/0!</v>
      </c>
      <c r="BQ62" s="100" t="e">
        <f t="shared" ref="BQ62:CK62" si="52">0.0066*SUM(BQ12:BQ14)/(4*BQ10)</f>
        <v>#DIV/0!</v>
      </c>
      <c r="BR62" s="98" t="e">
        <f t="shared" si="52"/>
        <v>#DIV/0!</v>
      </c>
      <c r="BS62" s="99" t="e">
        <f t="shared" si="52"/>
        <v>#DIV/0!</v>
      </c>
      <c r="BT62" s="99" t="e">
        <f t="shared" si="52"/>
        <v>#DIV/0!</v>
      </c>
      <c r="BU62" s="100" t="e">
        <f t="shared" si="52"/>
        <v>#DIV/0!</v>
      </c>
      <c r="BV62" s="98" t="e">
        <f t="shared" si="52"/>
        <v>#DIV/0!</v>
      </c>
      <c r="BW62" s="99" t="e">
        <f t="shared" si="52"/>
        <v>#DIV/0!</v>
      </c>
      <c r="BX62" s="99" t="e">
        <f t="shared" si="52"/>
        <v>#DIV/0!</v>
      </c>
      <c r="BY62" s="100" t="e">
        <f t="shared" si="52"/>
        <v>#DIV/0!</v>
      </c>
      <c r="BZ62" s="98" t="e">
        <f t="shared" si="52"/>
        <v>#DIV/0!</v>
      </c>
      <c r="CA62" s="99" t="e">
        <f t="shared" si="52"/>
        <v>#DIV/0!</v>
      </c>
      <c r="CB62" s="99" t="e">
        <f t="shared" si="52"/>
        <v>#DIV/0!</v>
      </c>
      <c r="CC62" s="100" t="e">
        <f t="shared" si="52"/>
        <v>#DIV/0!</v>
      </c>
      <c r="CD62" s="98" t="e">
        <f t="shared" si="52"/>
        <v>#DIV/0!</v>
      </c>
      <c r="CE62" s="99" t="e">
        <f t="shared" si="52"/>
        <v>#DIV/0!</v>
      </c>
      <c r="CF62" s="99" t="e">
        <f t="shared" si="52"/>
        <v>#DIV/0!</v>
      </c>
      <c r="CG62" s="100" t="e">
        <f t="shared" si="52"/>
        <v>#DIV/0!</v>
      </c>
      <c r="CH62" s="98" t="e">
        <f t="shared" si="52"/>
        <v>#DIV/0!</v>
      </c>
      <c r="CI62" s="99" t="e">
        <f t="shared" si="52"/>
        <v>#DIV/0!</v>
      </c>
      <c r="CJ62" s="99" t="e">
        <f t="shared" si="52"/>
        <v>#DIV/0!</v>
      </c>
      <c r="CK62" s="100" t="e">
        <f t="shared" si="52"/>
        <v>#DIV/0!</v>
      </c>
      <c r="CL62" s="49"/>
      <c r="CM62" s="28"/>
    </row>
    <row r="63" spans="2:91" ht="14.25" x14ac:dyDescent="0.25">
      <c r="B63" s="55"/>
      <c r="C63" s="10" t="s">
        <v>98</v>
      </c>
      <c r="D63" s="94" t="s">
        <v>221</v>
      </c>
      <c r="E63" s="130">
        <f t="shared" ref="E63:AJ63" si="53">IF(E9&gt;0,4.1324+E62+E61,0)</f>
        <v>1.5943999999999998</v>
      </c>
      <c r="F63" s="72">
        <f t="shared" si="53"/>
        <v>3.1990999999999992</v>
      </c>
      <c r="G63" s="73">
        <f t="shared" si="53"/>
        <v>3.3921499999999996</v>
      </c>
      <c r="H63" s="73">
        <f t="shared" si="53"/>
        <v>2.8808749999999996</v>
      </c>
      <c r="I63" s="74">
        <f t="shared" si="53"/>
        <v>2.7026749999999993</v>
      </c>
      <c r="J63" s="98">
        <f t="shared" si="53"/>
        <v>0</v>
      </c>
      <c r="K63" s="99">
        <f t="shared" si="53"/>
        <v>2.5687499999999996</v>
      </c>
      <c r="L63" s="99">
        <f t="shared" si="53"/>
        <v>2.6927749999999993</v>
      </c>
      <c r="M63" s="100">
        <f t="shared" si="53"/>
        <v>2.799199999999999</v>
      </c>
      <c r="N63" s="98">
        <f t="shared" si="53"/>
        <v>0</v>
      </c>
      <c r="O63" s="99">
        <f t="shared" si="53"/>
        <v>0</v>
      </c>
      <c r="P63" s="99">
        <f t="shared" si="53"/>
        <v>0</v>
      </c>
      <c r="Q63" s="100">
        <f t="shared" si="53"/>
        <v>0</v>
      </c>
      <c r="R63" s="98">
        <f t="shared" si="53"/>
        <v>0</v>
      </c>
      <c r="S63" s="99">
        <f t="shared" si="53"/>
        <v>0</v>
      </c>
      <c r="T63" s="99">
        <f t="shared" si="53"/>
        <v>0</v>
      </c>
      <c r="U63" s="100">
        <f t="shared" si="53"/>
        <v>0</v>
      </c>
      <c r="V63" s="98">
        <f t="shared" si="53"/>
        <v>0</v>
      </c>
      <c r="W63" s="99">
        <f t="shared" si="53"/>
        <v>0</v>
      </c>
      <c r="X63" s="99">
        <f t="shared" si="53"/>
        <v>0</v>
      </c>
      <c r="Y63" s="100">
        <f t="shared" si="53"/>
        <v>0</v>
      </c>
      <c r="Z63" s="98">
        <f t="shared" si="53"/>
        <v>0</v>
      </c>
      <c r="AA63" s="99">
        <f t="shared" si="53"/>
        <v>0</v>
      </c>
      <c r="AB63" s="99">
        <f t="shared" si="53"/>
        <v>0</v>
      </c>
      <c r="AC63" s="100">
        <f t="shared" si="53"/>
        <v>0</v>
      </c>
      <c r="AD63" s="98">
        <f t="shared" si="53"/>
        <v>0</v>
      </c>
      <c r="AE63" s="99">
        <f t="shared" si="53"/>
        <v>0</v>
      </c>
      <c r="AF63" s="99">
        <f t="shared" si="53"/>
        <v>0</v>
      </c>
      <c r="AG63" s="100">
        <f t="shared" si="53"/>
        <v>0</v>
      </c>
      <c r="AH63" s="98">
        <f t="shared" si="53"/>
        <v>0</v>
      </c>
      <c r="AI63" s="99">
        <f t="shared" si="53"/>
        <v>0</v>
      </c>
      <c r="AJ63" s="99">
        <f t="shared" si="53"/>
        <v>0</v>
      </c>
      <c r="AK63" s="100">
        <f t="shared" ref="AK63:BP63" si="54">IF(AK9&gt;0,4.1324+AK62+AK61,0)</f>
        <v>0</v>
      </c>
      <c r="AL63" s="98">
        <f t="shared" si="54"/>
        <v>0</v>
      </c>
      <c r="AM63" s="99">
        <f t="shared" si="54"/>
        <v>0</v>
      </c>
      <c r="AN63" s="99">
        <f t="shared" si="54"/>
        <v>0</v>
      </c>
      <c r="AO63" s="100">
        <f t="shared" si="54"/>
        <v>0</v>
      </c>
      <c r="AP63" s="98">
        <f t="shared" si="54"/>
        <v>0</v>
      </c>
      <c r="AQ63" s="99">
        <f t="shared" si="54"/>
        <v>0</v>
      </c>
      <c r="AR63" s="99">
        <f t="shared" si="54"/>
        <v>0</v>
      </c>
      <c r="AS63" s="100">
        <f t="shared" si="54"/>
        <v>0</v>
      </c>
      <c r="AT63" s="98">
        <f t="shared" si="54"/>
        <v>0</v>
      </c>
      <c r="AU63" s="99">
        <f t="shared" si="54"/>
        <v>0</v>
      </c>
      <c r="AV63" s="99">
        <f t="shared" si="54"/>
        <v>0</v>
      </c>
      <c r="AW63" s="100">
        <f t="shared" si="54"/>
        <v>0</v>
      </c>
      <c r="AX63" s="98">
        <f t="shared" si="54"/>
        <v>0</v>
      </c>
      <c r="AY63" s="99">
        <f t="shared" si="54"/>
        <v>0</v>
      </c>
      <c r="AZ63" s="99">
        <f t="shared" si="54"/>
        <v>0</v>
      </c>
      <c r="BA63" s="100">
        <f t="shared" si="54"/>
        <v>0</v>
      </c>
      <c r="BB63" s="98">
        <f t="shared" si="54"/>
        <v>0</v>
      </c>
      <c r="BC63" s="99">
        <f t="shared" si="54"/>
        <v>0</v>
      </c>
      <c r="BD63" s="99">
        <f t="shared" si="54"/>
        <v>0</v>
      </c>
      <c r="BE63" s="100">
        <f t="shared" si="54"/>
        <v>0</v>
      </c>
      <c r="BF63" s="98">
        <f t="shared" si="54"/>
        <v>0</v>
      </c>
      <c r="BG63" s="99">
        <f t="shared" si="54"/>
        <v>0</v>
      </c>
      <c r="BH63" s="99">
        <f t="shared" si="54"/>
        <v>0</v>
      </c>
      <c r="BI63" s="100">
        <f t="shared" si="54"/>
        <v>0</v>
      </c>
      <c r="BJ63" s="98">
        <f t="shared" si="54"/>
        <v>0</v>
      </c>
      <c r="BK63" s="99">
        <f t="shared" si="54"/>
        <v>0</v>
      </c>
      <c r="BL63" s="99">
        <f t="shared" si="54"/>
        <v>0</v>
      </c>
      <c r="BM63" s="100">
        <f t="shared" si="54"/>
        <v>0</v>
      </c>
      <c r="BN63" s="98">
        <f t="shared" si="54"/>
        <v>0</v>
      </c>
      <c r="BO63" s="99">
        <f t="shared" si="54"/>
        <v>0</v>
      </c>
      <c r="BP63" s="99">
        <f t="shared" si="54"/>
        <v>0</v>
      </c>
      <c r="BQ63" s="100">
        <f t="shared" ref="BQ63:CV63" si="55">IF(BQ9&gt;0,4.1324+BQ62+BQ61,0)</f>
        <v>0</v>
      </c>
      <c r="BR63" s="98">
        <f t="shared" si="55"/>
        <v>0</v>
      </c>
      <c r="BS63" s="99">
        <f t="shared" si="55"/>
        <v>0</v>
      </c>
      <c r="BT63" s="99">
        <f t="shared" si="55"/>
        <v>0</v>
      </c>
      <c r="BU63" s="100">
        <f t="shared" si="55"/>
        <v>0</v>
      </c>
      <c r="BV63" s="98">
        <f t="shared" si="55"/>
        <v>0</v>
      </c>
      <c r="BW63" s="99">
        <f t="shared" si="55"/>
        <v>0</v>
      </c>
      <c r="BX63" s="99">
        <f t="shared" si="55"/>
        <v>0</v>
      </c>
      <c r="BY63" s="100">
        <f t="shared" si="55"/>
        <v>0</v>
      </c>
      <c r="BZ63" s="98">
        <f t="shared" si="55"/>
        <v>0</v>
      </c>
      <c r="CA63" s="99">
        <f t="shared" si="55"/>
        <v>0</v>
      </c>
      <c r="CB63" s="99">
        <f t="shared" si="55"/>
        <v>0</v>
      </c>
      <c r="CC63" s="100">
        <f t="shared" si="55"/>
        <v>0</v>
      </c>
      <c r="CD63" s="98">
        <f t="shared" si="55"/>
        <v>0</v>
      </c>
      <c r="CE63" s="99">
        <f t="shared" si="55"/>
        <v>0</v>
      </c>
      <c r="CF63" s="99">
        <f t="shared" si="55"/>
        <v>0</v>
      </c>
      <c r="CG63" s="100">
        <f t="shared" si="55"/>
        <v>0</v>
      </c>
      <c r="CH63" s="98">
        <f t="shared" si="55"/>
        <v>0</v>
      </c>
      <c r="CI63" s="99">
        <f t="shared" si="55"/>
        <v>0</v>
      </c>
      <c r="CJ63" s="99">
        <f t="shared" si="55"/>
        <v>0</v>
      </c>
      <c r="CK63" s="100">
        <f t="shared" si="55"/>
        <v>0</v>
      </c>
      <c r="CL63" s="49"/>
      <c r="CM63" s="28"/>
    </row>
    <row r="64" spans="2:91" x14ac:dyDescent="0.25">
      <c r="B64" s="55"/>
      <c r="C64" s="10"/>
      <c r="D64" s="94" t="s">
        <v>51</v>
      </c>
      <c r="E64" s="129" t="str">
        <f t="shared" ref="E64" si="56">IF(E63&lt;=2,"A",IF(E63&lt;=2.75,"B",IF(E63&lt;=3.5,"C",IF(E63&lt;=4.25,"D",IF(E63&lt;=5,"E","F")))))</f>
        <v>A</v>
      </c>
      <c r="F64" s="10" t="str">
        <f t="shared" ref="F64:I64" si="57">IF(F63&lt;=2,"A",IF(F63&lt;=2.75,"B",IF(F63&lt;=3.5,"C",IF(F63&lt;=4.25,"D",IF(F63&lt;=5,"E","F")))))</f>
        <v>C</v>
      </c>
      <c r="G64" s="71" t="str">
        <f t="shared" si="57"/>
        <v>C</v>
      </c>
      <c r="H64" s="71" t="str">
        <f>IF(H63&lt;=2,"A",IF(H63&lt;=2.75,"B",IF(H63&lt;=3.5,"C",IF(H63&lt;=4.25,"D",IF(H63&lt;=5,"E","F")))))</f>
        <v>C</v>
      </c>
      <c r="I64" s="75" t="str">
        <f t="shared" si="57"/>
        <v>B</v>
      </c>
      <c r="J64" s="10" t="str">
        <f t="shared" ref="J64:BU64" si="58">IF(J63&lt;=2,"A",IF(J63&lt;=2.75,"B",IF(J63&lt;=3.5,"C",IF(J63&lt;=4.25,"D",IF(J63&lt;=5,"E","F")))))</f>
        <v>A</v>
      </c>
      <c r="K64" s="97" t="str">
        <f t="shared" si="58"/>
        <v>B</v>
      </c>
      <c r="L64" s="97" t="str">
        <f t="shared" si="58"/>
        <v>B</v>
      </c>
      <c r="M64" s="101" t="str">
        <f t="shared" si="58"/>
        <v>C</v>
      </c>
      <c r="N64" s="10" t="str">
        <f t="shared" si="58"/>
        <v>A</v>
      </c>
      <c r="O64" s="97" t="str">
        <f t="shared" si="58"/>
        <v>A</v>
      </c>
      <c r="P64" s="97" t="str">
        <f t="shared" si="58"/>
        <v>A</v>
      </c>
      <c r="Q64" s="101" t="str">
        <f t="shared" si="58"/>
        <v>A</v>
      </c>
      <c r="R64" s="10" t="str">
        <f t="shared" si="58"/>
        <v>A</v>
      </c>
      <c r="S64" s="97" t="str">
        <f t="shared" si="58"/>
        <v>A</v>
      </c>
      <c r="T64" s="97" t="str">
        <f t="shared" si="58"/>
        <v>A</v>
      </c>
      <c r="U64" s="101" t="str">
        <f t="shared" si="58"/>
        <v>A</v>
      </c>
      <c r="V64" s="10" t="str">
        <f t="shared" si="58"/>
        <v>A</v>
      </c>
      <c r="W64" s="97" t="str">
        <f t="shared" si="58"/>
        <v>A</v>
      </c>
      <c r="X64" s="97" t="str">
        <f t="shared" si="58"/>
        <v>A</v>
      </c>
      <c r="Y64" s="101" t="str">
        <f t="shared" si="58"/>
        <v>A</v>
      </c>
      <c r="Z64" s="10" t="str">
        <f t="shared" si="58"/>
        <v>A</v>
      </c>
      <c r="AA64" s="97" t="str">
        <f t="shared" si="58"/>
        <v>A</v>
      </c>
      <c r="AB64" s="97" t="str">
        <f t="shared" si="58"/>
        <v>A</v>
      </c>
      <c r="AC64" s="101" t="str">
        <f t="shared" si="58"/>
        <v>A</v>
      </c>
      <c r="AD64" s="10" t="str">
        <f t="shared" si="58"/>
        <v>A</v>
      </c>
      <c r="AE64" s="97" t="str">
        <f t="shared" si="58"/>
        <v>A</v>
      </c>
      <c r="AF64" s="97" t="str">
        <f t="shared" si="58"/>
        <v>A</v>
      </c>
      <c r="AG64" s="101" t="str">
        <f t="shared" si="58"/>
        <v>A</v>
      </c>
      <c r="AH64" s="10" t="str">
        <f t="shared" si="58"/>
        <v>A</v>
      </c>
      <c r="AI64" s="97" t="str">
        <f t="shared" si="58"/>
        <v>A</v>
      </c>
      <c r="AJ64" s="97" t="str">
        <f t="shared" si="58"/>
        <v>A</v>
      </c>
      <c r="AK64" s="101" t="str">
        <f t="shared" si="58"/>
        <v>A</v>
      </c>
      <c r="AL64" s="10" t="str">
        <f t="shared" si="58"/>
        <v>A</v>
      </c>
      <c r="AM64" s="97" t="str">
        <f t="shared" si="58"/>
        <v>A</v>
      </c>
      <c r="AN64" s="97" t="str">
        <f t="shared" si="58"/>
        <v>A</v>
      </c>
      <c r="AO64" s="101" t="str">
        <f t="shared" si="58"/>
        <v>A</v>
      </c>
      <c r="AP64" s="10" t="str">
        <f t="shared" si="58"/>
        <v>A</v>
      </c>
      <c r="AQ64" s="97" t="str">
        <f t="shared" si="58"/>
        <v>A</v>
      </c>
      <c r="AR64" s="97" t="str">
        <f t="shared" si="58"/>
        <v>A</v>
      </c>
      <c r="AS64" s="101" t="str">
        <f t="shared" si="58"/>
        <v>A</v>
      </c>
      <c r="AT64" s="10" t="str">
        <f t="shared" si="58"/>
        <v>A</v>
      </c>
      <c r="AU64" s="97" t="str">
        <f t="shared" si="58"/>
        <v>A</v>
      </c>
      <c r="AV64" s="97" t="str">
        <f t="shared" si="58"/>
        <v>A</v>
      </c>
      <c r="AW64" s="101" t="str">
        <f t="shared" si="58"/>
        <v>A</v>
      </c>
      <c r="AX64" s="10" t="str">
        <f t="shared" si="58"/>
        <v>A</v>
      </c>
      <c r="AY64" s="97" t="str">
        <f t="shared" si="58"/>
        <v>A</v>
      </c>
      <c r="AZ64" s="97" t="str">
        <f t="shared" si="58"/>
        <v>A</v>
      </c>
      <c r="BA64" s="101" t="str">
        <f t="shared" si="58"/>
        <v>A</v>
      </c>
      <c r="BB64" s="10" t="str">
        <f t="shared" si="58"/>
        <v>A</v>
      </c>
      <c r="BC64" s="97" t="str">
        <f t="shared" si="58"/>
        <v>A</v>
      </c>
      <c r="BD64" s="97" t="str">
        <f t="shared" si="58"/>
        <v>A</v>
      </c>
      <c r="BE64" s="101" t="str">
        <f t="shared" si="58"/>
        <v>A</v>
      </c>
      <c r="BF64" s="10" t="str">
        <f t="shared" si="58"/>
        <v>A</v>
      </c>
      <c r="BG64" s="97" t="str">
        <f t="shared" si="58"/>
        <v>A</v>
      </c>
      <c r="BH64" s="97" t="str">
        <f t="shared" si="58"/>
        <v>A</v>
      </c>
      <c r="BI64" s="101" t="str">
        <f t="shared" si="58"/>
        <v>A</v>
      </c>
      <c r="BJ64" s="10" t="str">
        <f t="shared" si="58"/>
        <v>A</v>
      </c>
      <c r="BK64" s="97" t="str">
        <f t="shared" si="58"/>
        <v>A</v>
      </c>
      <c r="BL64" s="97" t="str">
        <f t="shared" si="58"/>
        <v>A</v>
      </c>
      <c r="BM64" s="101" t="str">
        <f t="shared" si="58"/>
        <v>A</v>
      </c>
      <c r="BN64" s="10" t="str">
        <f t="shared" si="58"/>
        <v>A</v>
      </c>
      <c r="BO64" s="97" t="str">
        <f t="shared" si="58"/>
        <v>A</v>
      </c>
      <c r="BP64" s="97" t="str">
        <f t="shared" si="58"/>
        <v>A</v>
      </c>
      <c r="BQ64" s="101" t="str">
        <f t="shared" si="58"/>
        <v>A</v>
      </c>
      <c r="BR64" s="10" t="str">
        <f t="shared" si="58"/>
        <v>A</v>
      </c>
      <c r="BS64" s="97" t="str">
        <f t="shared" si="58"/>
        <v>A</v>
      </c>
      <c r="BT64" s="97" t="str">
        <f t="shared" si="58"/>
        <v>A</v>
      </c>
      <c r="BU64" s="101" t="str">
        <f t="shared" si="58"/>
        <v>A</v>
      </c>
      <c r="BV64" s="10" t="str">
        <f t="shared" ref="BV64:CK64" si="59">IF(BV63&lt;=2,"A",IF(BV63&lt;=2.75,"B",IF(BV63&lt;=3.5,"C",IF(BV63&lt;=4.25,"D",IF(BV63&lt;=5,"E","F")))))</f>
        <v>A</v>
      </c>
      <c r="BW64" s="97" t="str">
        <f t="shared" si="59"/>
        <v>A</v>
      </c>
      <c r="BX64" s="97" t="str">
        <f t="shared" si="59"/>
        <v>A</v>
      </c>
      <c r="BY64" s="101" t="str">
        <f t="shared" si="59"/>
        <v>A</v>
      </c>
      <c r="BZ64" s="10" t="str">
        <f t="shared" si="59"/>
        <v>A</v>
      </c>
      <c r="CA64" s="97" t="str">
        <f t="shared" si="59"/>
        <v>A</v>
      </c>
      <c r="CB64" s="97" t="str">
        <f t="shared" si="59"/>
        <v>A</v>
      </c>
      <c r="CC64" s="101" t="str">
        <f t="shared" si="59"/>
        <v>A</v>
      </c>
      <c r="CD64" s="10" t="str">
        <f t="shared" si="59"/>
        <v>A</v>
      </c>
      <c r="CE64" s="97" t="str">
        <f t="shared" si="59"/>
        <v>A</v>
      </c>
      <c r="CF64" s="97" t="str">
        <f t="shared" si="59"/>
        <v>A</v>
      </c>
      <c r="CG64" s="101" t="str">
        <f t="shared" si="59"/>
        <v>A</v>
      </c>
      <c r="CH64" s="10" t="str">
        <f t="shared" si="59"/>
        <v>A</v>
      </c>
      <c r="CI64" s="97" t="str">
        <f t="shared" si="59"/>
        <v>A</v>
      </c>
      <c r="CJ64" s="97" t="str">
        <f t="shared" si="59"/>
        <v>A</v>
      </c>
      <c r="CK64" s="101" t="str">
        <f t="shared" si="59"/>
        <v>A</v>
      </c>
      <c r="CL64" s="49"/>
      <c r="CM64" s="28"/>
    </row>
    <row r="65" spans="1:91" x14ac:dyDescent="0.25">
      <c r="B65" s="55"/>
      <c r="C65" s="10"/>
      <c r="D65" s="94" t="s">
        <v>178</v>
      </c>
      <c r="E65" s="136"/>
      <c r="F65" s="201">
        <f>F12*IF(F32="Yes",1,0)+G12*IF(G32="Yes",1,0)+H12*IF(H32="Yes",1,0)+I12*IF(I32="Yes",1,0)</f>
        <v>286</v>
      </c>
      <c r="G65" s="202"/>
      <c r="H65" s="202"/>
      <c r="I65" s="203"/>
      <c r="J65" s="201">
        <f>J12*IF(J32="Yes",1,0)+K12*IF(K32="Yes",1,0)+L12*IF(L32="Yes",1,0)+M12*IF(M32="Yes",1,0)</f>
        <v>20</v>
      </c>
      <c r="K65" s="202"/>
      <c r="L65" s="202"/>
      <c r="M65" s="203"/>
      <c r="N65" s="201">
        <f>N12*IF(N32="Yes",1,0)+O12*IF(O32="Yes",1,0)+P12*IF(P32="Yes",1,0)+Q12*IF(Q32="Yes",1,0)</f>
        <v>0</v>
      </c>
      <c r="O65" s="202"/>
      <c r="P65" s="202"/>
      <c r="Q65" s="203"/>
      <c r="R65" s="201">
        <f>R12*IF(R32="Yes",1,0)+S12*IF(S32="Yes",1,0)+T12*IF(T32="Yes",1,0)+U12*IF(U32="Yes",1,0)</f>
        <v>0</v>
      </c>
      <c r="S65" s="202"/>
      <c r="T65" s="202"/>
      <c r="U65" s="203"/>
      <c r="V65" s="201">
        <f>V12*IF(V32="Yes",1,0)+W12*IF(W32="Yes",1,0)+X12*IF(X32="Yes",1,0)+Y12*IF(Y32="Yes",1,0)</f>
        <v>0</v>
      </c>
      <c r="W65" s="202"/>
      <c r="X65" s="202"/>
      <c r="Y65" s="203"/>
      <c r="Z65" s="201">
        <f>Z12*IF(Z32="Yes",1,0)+AA12*IF(AA32="Yes",1,0)+AB12*IF(AB32="Yes",1,0)+AC12*IF(AC32="Yes",1,0)</f>
        <v>0</v>
      </c>
      <c r="AA65" s="202"/>
      <c r="AB65" s="202"/>
      <c r="AC65" s="203"/>
      <c r="AD65" s="201">
        <f>AD12*IF(AD32="Yes",1,0)+AE12*IF(AE32="Yes",1,0)+AF12*IF(AF32="Yes",1,0)+AG12*IF(AG32="Yes",1,0)</f>
        <v>0</v>
      </c>
      <c r="AE65" s="202"/>
      <c r="AF65" s="202"/>
      <c r="AG65" s="203"/>
      <c r="AH65" s="201">
        <f>AH12*IF(AH32="Yes",1,0)+AI12*IF(AI32="Yes",1,0)+AJ12*IF(AJ32="Yes",1,0)+AK12*IF(AK32="Yes",1,0)</f>
        <v>0</v>
      </c>
      <c r="AI65" s="202"/>
      <c r="AJ65" s="202"/>
      <c r="AK65" s="203"/>
      <c r="AL65" s="201">
        <f>AL12*IF(AL32="Yes",1,0)+AM12*IF(AM32="Yes",1,0)+AN12*IF(AN32="Yes",1,0)+AO12*IF(AO32="Yes",1,0)</f>
        <v>0</v>
      </c>
      <c r="AM65" s="202"/>
      <c r="AN65" s="202"/>
      <c r="AO65" s="203"/>
      <c r="AP65" s="201">
        <f>AP12*IF(AP32="Yes",1,0)+AQ12*IF(AQ32="Yes",1,0)+AR12*IF(AR32="Yes",1,0)+AS12*IF(AS32="Yes",1,0)</f>
        <v>0</v>
      </c>
      <c r="AQ65" s="202"/>
      <c r="AR65" s="202"/>
      <c r="AS65" s="203"/>
      <c r="AT65" s="201">
        <f>AT12*IF(AT32="Yes",1,0)+AU12*IF(AU32="Yes",1,0)+AV12*IF(AV32="Yes",1,0)+AW12*IF(AW32="Yes",1,0)</f>
        <v>0</v>
      </c>
      <c r="AU65" s="202"/>
      <c r="AV65" s="202"/>
      <c r="AW65" s="203"/>
      <c r="AX65" s="201">
        <f>AX12*IF(AX32="Yes",1,0)+AY12*IF(AY32="Yes",1,0)+AZ12*IF(AZ32="Yes",1,0)+BA12*IF(BA32="Yes",1,0)</f>
        <v>0</v>
      </c>
      <c r="AY65" s="202"/>
      <c r="AZ65" s="202"/>
      <c r="BA65" s="203"/>
      <c r="BB65" s="201">
        <f>BB12*IF(BB32="Yes",1,0)+BC12*IF(BC32="Yes",1,0)+BD12*IF(BD32="Yes",1,0)+BE12*IF(BE32="Yes",1,0)</f>
        <v>0</v>
      </c>
      <c r="BC65" s="202"/>
      <c r="BD65" s="202"/>
      <c r="BE65" s="203"/>
      <c r="BF65" s="201">
        <f>BF12*IF(BF32="Yes",1,0)+BG12*IF(BG32="Yes",1,0)+BH12*IF(BH32="Yes",1,0)+BI12*IF(BI32="Yes",1,0)</f>
        <v>0</v>
      </c>
      <c r="BG65" s="202"/>
      <c r="BH65" s="202"/>
      <c r="BI65" s="203"/>
      <c r="BJ65" s="201">
        <f>BJ12*IF(BJ32="Yes",1,0)+BK12*IF(BK32="Yes",1,0)+BL12*IF(BL32="Yes",1,0)+BM12*IF(BM32="Yes",1,0)</f>
        <v>0</v>
      </c>
      <c r="BK65" s="202"/>
      <c r="BL65" s="202"/>
      <c r="BM65" s="203"/>
      <c r="BN65" s="201">
        <f>BN12*IF(BN32="Yes",1,0)+BO12*IF(BO32="Yes",1,0)+BP12*IF(BP32="Yes",1,0)+BQ12*IF(BQ32="Yes",1,0)</f>
        <v>0</v>
      </c>
      <c r="BO65" s="202"/>
      <c r="BP65" s="202"/>
      <c r="BQ65" s="203"/>
      <c r="BR65" s="201">
        <f>BR12*IF(BR32="Yes",1,0)+BS12*IF(BS32="Yes",1,0)+BT12*IF(BT32="Yes",1,0)+BU12*IF(BU32="Yes",1,0)</f>
        <v>0</v>
      </c>
      <c r="BS65" s="202"/>
      <c r="BT65" s="202"/>
      <c r="BU65" s="203"/>
      <c r="BV65" s="201">
        <f>BV12*IF(BV32="Yes",1,0)+BW12*IF(BW32="Yes",1,0)+BX12*IF(BX32="Yes",1,0)+BY12*IF(BY32="Yes",1,0)</f>
        <v>0</v>
      </c>
      <c r="BW65" s="202"/>
      <c r="BX65" s="202"/>
      <c r="BY65" s="203"/>
      <c r="BZ65" s="201">
        <f>BZ12*IF(BZ32="Yes",1,0)+CA12*IF(CA32="Yes",1,0)+CB12*IF(CB32="Yes",1,0)+CC12*IF(CC32="Yes",1,0)</f>
        <v>0</v>
      </c>
      <c r="CA65" s="202"/>
      <c r="CB65" s="202"/>
      <c r="CC65" s="203"/>
      <c r="CD65" s="201">
        <f>CD12*IF(CD32="Yes",1,0)+CE12*IF(CE32="Yes",1,0)+CF12*IF(CF32="Yes",1,0)+CG12*IF(CG32="Yes",1,0)</f>
        <v>0</v>
      </c>
      <c r="CE65" s="202"/>
      <c r="CF65" s="202"/>
      <c r="CG65" s="203"/>
      <c r="CH65" s="201">
        <f>CH12*IF(CH32="Yes",1,0)+CI12*IF(CI32="Yes",1,0)+CJ12*IF(CJ32="Yes",1,0)+CK12*IF(CK32="Yes",1,0)</f>
        <v>0</v>
      </c>
      <c r="CI65" s="202"/>
      <c r="CJ65" s="202"/>
      <c r="CK65" s="203"/>
      <c r="CL65" s="49"/>
      <c r="CM65" s="28"/>
    </row>
    <row r="66" spans="1:91" ht="14.25" thickBot="1" x14ac:dyDescent="0.3">
      <c r="B66" s="55"/>
      <c r="C66" s="37"/>
      <c r="D66" s="60"/>
      <c r="E66" s="122"/>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c r="BT66" s="37"/>
      <c r="BU66" s="37"/>
      <c r="BV66" s="37"/>
      <c r="BW66" s="37"/>
      <c r="BX66" s="37"/>
      <c r="BY66" s="37"/>
      <c r="BZ66" s="37"/>
      <c r="CA66" s="37"/>
      <c r="CB66" s="37"/>
      <c r="CC66" s="37"/>
      <c r="CD66" s="37"/>
      <c r="CE66" s="37"/>
      <c r="CF66" s="37"/>
      <c r="CG66" s="37"/>
      <c r="CH66" s="37"/>
      <c r="CI66" s="37"/>
      <c r="CJ66" s="37"/>
      <c r="CK66" s="37"/>
      <c r="CL66" s="37"/>
      <c r="CM66" s="28"/>
    </row>
    <row r="67" spans="1:91" x14ac:dyDescent="0.25">
      <c r="A67" s="21"/>
      <c r="B67" s="57"/>
      <c r="C67" s="182" t="s">
        <v>49</v>
      </c>
      <c r="D67" s="188"/>
      <c r="E67" s="89"/>
      <c r="F67" s="182" t="str">
        <f>F3</f>
        <v>Intersection 1</v>
      </c>
      <c r="G67" s="183"/>
      <c r="H67" s="183"/>
      <c r="I67" s="188"/>
      <c r="J67" s="182" t="str">
        <f>J3</f>
        <v>Intersection 2</v>
      </c>
      <c r="K67" s="183"/>
      <c r="L67" s="183"/>
      <c r="M67" s="188"/>
      <c r="N67" s="182" t="str">
        <f>N3</f>
        <v>Intersection 3</v>
      </c>
      <c r="O67" s="183"/>
      <c r="P67" s="183"/>
      <c r="Q67" s="188"/>
      <c r="R67" s="182" t="str">
        <f>R3</f>
        <v>Intersection 4</v>
      </c>
      <c r="S67" s="183"/>
      <c r="T67" s="183"/>
      <c r="U67" s="188"/>
      <c r="V67" s="182" t="str">
        <f>V3</f>
        <v>Intersection 5</v>
      </c>
      <c r="W67" s="183"/>
      <c r="X67" s="183"/>
      <c r="Y67" s="188"/>
      <c r="Z67" s="182" t="str">
        <f>Z3</f>
        <v>Intersection 6</v>
      </c>
      <c r="AA67" s="183"/>
      <c r="AB67" s="183"/>
      <c r="AC67" s="188"/>
      <c r="AD67" s="182" t="str">
        <f>AD3</f>
        <v>Intersection 7</v>
      </c>
      <c r="AE67" s="183"/>
      <c r="AF67" s="183"/>
      <c r="AG67" s="188"/>
      <c r="AH67" s="182" t="str">
        <f>AH3</f>
        <v>Intersection 8</v>
      </c>
      <c r="AI67" s="183"/>
      <c r="AJ67" s="183"/>
      <c r="AK67" s="188"/>
      <c r="AL67" s="182" t="str">
        <f>AL3</f>
        <v>Intersection 9</v>
      </c>
      <c r="AM67" s="183"/>
      <c r="AN67" s="183"/>
      <c r="AO67" s="188"/>
      <c r="AP67" s="182" t="str">
        <f>AP3</f>
        <v>Intersection 10</v>
      </c>
      <c r="AQ67" s="183"/>
      <c r="AR67" s="183"/>
      <c r="AS67" s="188"/>
      <c r="AT67" s="182" t="str">
        <f>AT3</f>
        <v>Intersection 11</v>
      </c>
      <c r="AU67" s="183"/>
      <c r="AV67" s="183"/>
      <c r="AW67" s="188"/>
      <c r="AX67" s="182" t="str">
        <f>AX3</f>
        <v>Intersection 12</v>
      </c>
      <c r="AY67" s="183"/>
      <c r="AZ67" s="183"/>
      <c r="BA67" s="188"/>
      <c r="BB67" s="182" t="str">
        <f>BB3</f>
        <v>Intersection 13</v>
      </c>
      <c r="BC67" s="183"/>
      <c r="BD67" s="183"/>
      <c r="BE67" s="188"/>
      <c r="BF67" s="182" t="str">
        <f>BF3</f>
        <v>Intersection 14</v>
      </c>
      <c r="BG67" s="183"/>
      <c r="BH67" s="183"/>
      <c r="BI67" s="188"/>
      <c r="BJ67" s="182" t="str">
        <f>BJ3</f>
        <v>Intersection 15</v>
      </c>
      <c r="BK67" s="183"/>
      <c r="BL67" s="183"/>
      <c r="BM67" s="188"/>
      <c r="BN67" s="182" t="str">
        <f>BN3</f>
        <v>Intersection 16</v>
      </c>
      <c r="BO67" s="183"/>
      <c r="BP67" s="183"/>
      <c r="BQ67" s="188"/>
      <c r="BR67" s="182" t="str">
        <f>BR3</f>
        <v>Intersection 17</v>
      </c>
      <c r="BS67" s="183"/>
      <c r="BT67" s="183"/>
      <c r="BU67" s="188"/>
      <c r="BV67" s="182" t="str">
        <f>BV3</f>
        <v>Intersection 18</v>
      </c>
      <c r="BW67" s="183"/>
      <c r="BX67" s="183"/>
      <c r="BY67" s="188"/>
      <c r="BZ67" s="182" t="str">
        <f>BZ3</f>
        <v>Intersection 19</v>
      </c>
      <c r="CA67" s="183"/>
      <c r="CB67" s="183"/>
      <c r="CC67" s="188"/>
      <c r="CD67" s="182" t="str">
        <f>CD3</f>
        <v>Intersection 20</v>
      </c>
      <c r="CE67" s="183"/>
      <c r="CF67" s="183"/>
      <c r="CG67" s="188"/>
      <c r="CH67" s="182" t="str">
        <f>CH3</f>
        <v>Intersection 21</v>
      </c>
      <c r="CI67" s="183"/>
      <c r="CJ67" s="183"/>
      <c r="CK67" s="188"/>
      <c r="CL67" s="47" t="str">
        <f>CL3</f>
        <v>Total</v>
      </c>
      <c r="CM67" s="28"/>
    </row>
    <row r="68" spans="1:91" x14ac:dyDescent="0.25">
      <c r="B68" s="55"/>
      <c r="C68" s="4"/>
      <c r="D68" s="8" t="s">
        <v>50</v>
      </c>
      <c r="E68" s="120"/>
      <c r="F68" s="4"/>
      <c r="G68" s="19"/>
      <c r="H68" s="19"/>
      <c r="I68" s="5"/>
      <c r="J68" s="4"/>
      <c r="K68" s="19"/>
      <c r="L68" s="19"/>
      <c r="M68" s="5"/>
      <c r="N68" s="4"/>
      <c r="O68" s="19"/>
      <c r="P68" s="19"/>
      <c r="Q68" s="5"/>
      <c r="R68" s="4"/>
      <c r="S68" s="19"/>
      <c r="T68" s="19"/>
      <c r="U68" s="5"/>
      <c r="V68" s="4"/>
      <c r="W68" s="19"/>
      <c r="X68" s="19"/>
      <c r="Y68" s="5"/>
      <c r="Z68" s="4"/>
      <c r="AA68" s="19"/>
      <c r="AB68" s="19"/>
      <c r="AC68" s="5"/>
      <c r="AD68" s="4"/>
      <c r="AE68" s="19"/>
      <c r="AF68" s="19"/>
      <c r="AG68" s="5"/>
      <c r="AH68" s="4"/>
      <c r="AI68" s="19"/>
      <c r="AJ68" s="19"/>
      <c r="AK68" s="5"/>
      <c r="AL68" s="4"/>
      <c r="AM68" s="19"/>
      <c r="AN68" s="19"/>
      <c r="AO68" s="5"/>
      <c r="AP68" s="4"/>
      <c r="AQ68" s="19"/>
      <c r="AR68" s="19"/>
      <c r="AS68" s="5"/>
      <c r="AT68" s="4"/>
      <c r="AU68" s="19"/>
      <c r="AV68" s="19"/>
      <c r="AW68" s="5"/>
      <c r="AX68" s="4"/>
      <c r="AY68" s="19"/>
      <c r="AZ68" s="19"/>
      <c r="BA68" s="5"/>
      <c r="BB68" s="4"/>
      <c r="BC68" s="19"/>
      <c r="BD68" s="19"/>
      <c r="BE68" s="5"/>
      <c r="BF68" s="4"/>
      <c r="BG68" s="19"/>
      <c r="BH68" s="19"/>
      <c r="BI68" s="5"/>
      <c r="BJ68" s="4"/>
      <c r="BK68" s="19"/>
      <c r="BL68" s="19"/>
      <c r="BM68" s="5"/>
      <c r="BN68" s="4"/>
      <c r="BO68" s="19"/>
      <c r="BP68" s="19"/>
      <c r="BQ68" s="5"/>
      <c r="BR68" s="4"/>
      <c r="BS68" s="19"/>
      <c r="BT68" s="19"/>
      <c r="BU68" s="5"/>
      <c r="BV68" s="4"/>
      <c r="BW68" s="19"/>
      <c r="BX68" s="19"/>
      <c r="BY68" s="5"/>
      <c r="BZ68" s="4"/>
      <c r="CA68" s="19"/>
      <c r="CB68" s="19"/>
      <c r="CC68" s="5"/>
      <c r="CD68" s="4"/>
      <c r="CE68" s="19"/>
      <c r="CF68" s="19"/>
      <c r="CG68" s="5"/>
      <c r="CH68" s="4"/>
      <c r="CI68" s="19"/>
      <c r="CJ68" s="19"/>
      <c r="CK68" s="5"/>
      <c r="CL68" s="46"/>
      <c r="CM68" s="28"/>
    </row>
    <row r="69" spans="1:91" ht="14.25" x14ac:dyDescent="0.25">
      <c r="B69" s="55"/>
      <c r="C69" s="10" t="s">
        <v>224</v>
      </c>
      <c r="D69" s="11" t="s">
        <v>220</v>
      </c>
      <c r="E69" s="120"/>
      <c r="F69" s="191">
        <f>MAX(F54*IF(F32="Yes",1,0), G54*IF(G32="Yes",1,0), H54*IF(H32="Yes",1,0), I54*IF(I32="Yes",1,0))</f>
        <v>2.8117855183883798</v>
      </c>
      <c r="G69" s="200"/>
      <c r="H69" s="200"/>
      <c r="I69" s="192"/>
      <c r="J69" s="191" t="e">
        <f>MAX(J54*IF(J32="Yes",1,0), K54*IF(K32="Yes",1,0), L54*IF(L32="Yes",1,0), M54*IF(M32="Yes",1,0))</f>
        <v>#VALUE!</v>
      </c>
      <c r="K69" s="200"/>
      <c r="L69" s="200"/>
      <c r="M69" s="192"/>
      <c r="N69" s="191">
        <f>MAX(N54*IF(N32="Yes",1,0), O54*IF(O32="Yes",1,0), P54*IF(P32="Yes",1,0), Q54*IF(Q32="Yes",1,0))</f>
        <v>0</v>
      </c>
      <c r="O69" s="200"/>
      <c r="P69" s="200"/>
      <c r="Q69" s="192"/>
      <c r="R69" s="191">
        <f>MAX(R54*IF(R32="Yes",1,0), S54*IF(S32="Yes",1,0), T54*IF(T32="Yes",1,0), U54*IF(U32="Yes",1,0))</f>
        <v>0</v>
      </c>
      <c r="S69" s="200"/>
      <c r="T69" s="200"/>
      <c r="U69" s="192"/>
      <c r="V69" s="191">
        <f>MAX(V54*IF(V32="Yes",1,0), W54*IF(W32="Yes",1,0), X54*IF(X32="Yes",1,0), Y54*IF(Y32="Yes",1,0))</f>
        <v>0</v>
      </c>
      <c r="W69" s="200"/>
      <c r="X69" s="200"/>
      <c r="Y69" s="192"/>
      <c r="Z69" s="191">
        <f>MAX(Z54*IF(Z32="Yes",1,0), AA54*IF(AA32="Yes",1,0), AB54*IF(AB32="Yes",1,0), AC54*IF(AC32="Yes",1,0))</f>
        <v>0</v>
      </c>
      <c r="AA69" s="200"/>
      <c r="AB69" s="200"/>
      <c r="AC69" s="192"/>
      <c r="AD69" s="191">
        <f>MAX(AD54*IF(AD32="Yes",1,0), AE54*IF(AE32="Yes",1,0), AF54*IF(AF32="Yes",1,0), AG54*IF(AG32="Yes",1,0))</f>
        <v>0</v>
      </c>
      <c r="AE69" s="200"/>
      <c r="AF69" s="200"/>
      <c r="AG69" s="192"/>
      <c r="AH69" s="191">
        <f>MAX(AH54*IF(AH32="Yes",1,0), AI54*IF(AI32="Yes",1,0), AJ54*IF(AJ32="Yes",1,0), AK54*IF(AK32="Yes",1,0))</f>
        <v>0</v>
      </c>
      <c r="AI69" s="200"/>
      <c r="AJ69" s="200"/>
      <c r="AK69" s="192"/>
      <c r="AL69" s="191">
        <f>MAX(AL54*IF(AL32="Yes",1,0), AM54*IF(AM32="Yes",1,0), AN54*IF(AN32="Yes",1,0), AO54*IF(AO32="Yes",1,0))</f>
        <v>0</v>
      </c>
      <c r="AM69" s="200"/>
      <c r="AN69" s="200"/>
      <c r="AO69" s="192"/>
      <c r="AP69" s="191">
        <f>MAX(AP54*IF(AP32="Yes",1,0), AQ54*IF(AQ32="Yes",1,0), AR54*IF(AR32="Yes",1,0), AS54*IF(AS32="Yes",1,0))</f>
        <v>0</v>
      </c>
      <c r="AQ69" s="200"/>
      <c r="AR69" s="200"/>
      <c r="AS69" s="192"/>
      <c r="AT69" s="191">
        <f>MAX(AT54*IF(AT32="Yes",1,0), AU54*IF(AU32="Yes",1,0), AV54*IF(AV32="Yes",1,0), AW54*IF(AW32="Yes",1,0))</f>
        <v>0</v>
      </c>
      <c r="AU69" s="200"/>
      <c r="AV69" s="200"/>
      <c r="AW69" s="192"/>
      <c r="AX69" s="191">
        <f>MAX(AX54*IF(AX32="Yes",1,0), AY54*IF(AY32="Yes",1,0), AZ54*IF(AZ32="Yes",1,0), BA54*IF(BA32="Yes",1,0))</f>
        <v>0</v>
      </c>
      <c r="AY69" s="200"/>
      <c r="AZ69" s="200"/>
      <c r="BA69" s="192"/>
      <c r="BB69" s="191">
        <f>MAX(BB54*IF(BB32="Yes",1,0), BC54*IF(BC32="Yes",1,0), BD54*IF(BD32="Yes",1,0), BE54*IF(BE32="Yes",1,0))</f>
        <v>0</v>
      </c>
      <c r="BC69" s="200"/>
      <c r="BD69" s="200"/>
      <c r="BE69" s="192"/>
      <c r="BF69" s="191">
        <f>MAX(BF54*IF(BF32="Yes",1,0), BG54*IF(BG32="Yes",1,0), BH54*IF(BH32="Yes",1,0), BI54*IF(BI32="Yes",1,0))</f>
        <v>0</v>
      </c>
      <c r="BG69" s="200"/>
      <c r="BH69" s="200"/>
      <c r="BI69" s="192"/>
      <c r="BJ69" s="191">
        <f>MAX(BJ54*IF(BJ32="Yes",1,0), BK54*IF(BK32="Yes",1,0), BL54*IF(BL32="Yes",1,0), BM54*IF(BM32="Yes",1,0))</f>
        <v>0</v>
      </c>
      <c r="BK69" s="200"/>
      <c r="BL69" s="200"/>
      <c r="BM69" s="192"/>
      <c r="BN69" s="191">
        <f>MAX(BN54*IF(BN32="Yes",1,0), BO54*IF(BO32="Yes",1,0), BP54*IF(BP32="Yes",1,0), BQ54*IF(BQ32="Yes",1,0))</f>
        <v>0</v>
      </c>
      <c r="BO69" s="200"/>
      <c r="BP69" s="200"/>
      <c r="BQ69" s="192"/>
      <c r="BR69" s="191">
        <f>MAX(BR54*IF(BR32="Yes",1,0), BS54*IF(BS32="Yes",1,0), BT54*IF(BT32="Yes",1,0), BU54*IF(BU32="Yes",1,0))</f>
        <v>0</v>
      </c>
      <c r="BS69" s="200"/>
      <c r="BT69" s="200"/>
      <c r="BU69" s="192"/>
      <c r="BV69" s="191">
        <f>MAX(BV54*IF(BV32="Yes",1,0), BW54*IF(BW32="Yes",1,0), BX54*IF(BX32="Yes",1,0), BY54*IF(BY32="Yes",1,0))</f>
        <v>0</v>
      </c>
      <c r="BW69" s="200"/>
      <c r="BX69" s="200"/>
      <c r="BY69" s="192"/>
      <c r="BZ69" s="191">
        <f>MAX(BZ54*IF(BZ32="Yes",1,0), CA54*IF(CA32="Yes",1,0), CB54*IF(CB32="Yes",1,0), CC54*IF(CC32="Yes",1,0))</f>
        <v>0</v>
      </c>
      <c r="CA69" s="200"/>
      <c r="CB69" s="200"/>
      <c r="CC69" s="192"/>
      <c r="CD69" s="191">
        <f>MAX(CD54*IF(CD32="Yes",1,0), CE54*IF(CE32="Yes",1,0), CF54*IF(CF32="Yes",1,0), CG54*IF(CG32="Yes",1,0))</f>
        <v>0</v>
      </c>
      <c r="CE69" s="200"/>
      <c r="CF69" s="200"/>
      <c r="CG69" s="192"/>
      <c r="CH69" s="191">
        <f>MAX(CH54*IF(CH32="Yes",1,0), CI54*IF(CI32="Yes",1,0), CJ54*IF(CJ32="Yes",1,0), CK54*IF(CK32="Yes",1,0))</f>
        <v>0</v>
      </c>
      <c r="CI69" s="200"/>
      <c r="CJ69" s="200"/>
      <c r="CK69" s="192"/>
      <c r="CL69" s="67" t="e">
        <f>SUMPRODUCT(F69:CK69,F56:CK56)/SUM(F56:CK56)</f>
        <v>#VALUE!</v>
      </c>
      <c r="CM69" s="28"/>
    </row>
    <row r="70" spans="1:91" x14ac:dyDescent="0.25">
      <c r="B70" s="55"/>
      <c r="C70" s="10"/>
      <c r="D70" s="11" t="s">
        <v>41</v>
      </c>
      <c r="E70" s="120"/>
      <c r="F70" s="184" t="str">
        <f>IF(F69&lt;=2,"A",IF(F69&lt;=2.75,"B",IF(F69&lt;=3.5,"C",IF(F69&lt;=4.25,"D",IF(F69&lt;=5,"E","F")))))</f>
        <v>C</v>
      </c>
      <c r="G70" s="198"/>
      <c r="H70" s="198"/>
      <c r="I70" s="185"/>
      <c r="J70" s="184" t="e">
        <f>IF(J69&lt;=2,"A",IF(J69&lt;=2.75,"B",IF(J69&lt;=3.5,"C",IF(J69&lt;=4.25,"D",IF(J69&lt;=5,"E","F")))))</f>
        <v>#VALUE!</v>
      </c>
      <c r="K70" s="198"/>
      <c r="L70" s="198"/>
      <c r="M70" s="185"/>
      <c r="N70" s="184" t="str">
        <f>IF(N69&lt;=2,"A",IF(N69&lt;=2.75,"B",IF(N69&lt;=3.5,"C",IF(N69&lt;=4.25,"D",IF(N69&lt;=5,"E","F")))))</f>
        <v>A</v>
      </c>
      <c r="O70" s="198"/>
      <c r="P70" s="198"/>
      <c r="Q70" s="185"/>
      <c r="R70" s="184" t="str">
        <f>IF(R69&lt;=2,"A",IF(R69&lt;=2.75,"B",IF(R69&lt;=3.5,"C",IF(R69&lt;=4.25,"D",IF(R69&lt;=5,"E","F")))))</f>
        <v>A</v>
      </c>
      <c r="S70" s="198"/>
      <c r="T70" s="198"/>
      <c r="U70" s="185"/>
      <c r="V70" s="184" t="str">
        <f>IF(V69&lt;=2,"A",IF(V69&lt;=2.75,"B",IF(V69&lt;=3.5,"C",IF(V69&lt;=4.25,"D",IF(V69&lt;=5,"E","F")))))</f>
        <v>A</v>
      </c>
      <c r="W70" s="198"/>
      <c r="X70" s="198"/>
      <c r="Y70" s="185"/>
      <c r="Z70" s="184" t="str">
        <f>IF(Z69&lt;=2,"A",IF(Z69&lt;=2.75,"B",IF(Z69&lt;=3.5,"C",IF(Z69&lt;=4.25,"D",IF(Z69&lt;=5,"E","F")))))</f>
        <v>A</v>
      </c>
      <c r="AA70" s="198"/>
      <c r="AB70" s="198"/>
      <c r="AC70" s="185"/>
      <c r="AD70" s="184" t="str">
        <f>IF(AD69&lt;=2,"A",IF(AD69&lt;=2.75,"B",IF(AD69&lt;=3.5,"C",IF(AD69&lt;=4.25,"D",IF(AD69&lt;=5,"E","F")))))</f>
        <v>A</v>
      </c>
      <c r="AE70" s="198"/>
      <c r="AF70" s="198"/>
      <c r="AG70" s="185"/>
      <c r="AH70" s="184" t="str">
        <f>IF(AH69&lt;=2,"A",IF(AH69&lt;=2.75,"B",IF(AH69&lt;=3.5,"C",IF(AH69&lt;=4.25,"D",IF(AH69&lt;=5,"E","F")))))</f>
        <v>A</v>
      </c>
      <c r="AI70" s="198"/>
      <c r="AJ70" s="198"/>
      <c r="AK70" s="185"/>
      <c r="AL70" s="184" t="str">
        <f>IF(AL69&lt;=2,"A",IF(AL69&lt;=2.75,"B",IF(AL69&lt;=3.5,"C",IF(AL69&lt;=4.25,"D",IF(AL69&lt;=5,"E","F")))))</f>
        <v>A</v>
      </c>
      <c r="AM70" s="198"/>
      <c r="AN70" s="198"/>
      <c r="AO70" s="185"/>
      <c r="AP70" s="184" t="str">
        <f>IF(AP69&lt;=2,"A",IF(AP69&lt;=2.75,"B",IF(AP69&lt;=3.5,"C",IF(AP69&lt;=4.25,"D",IF(AP69&lt;=5,"E","F")))))</f>
        <v>A</v>
      </c>
      <c r="AQ70" s="198"/>
      <c r="AR70" s="198"/>
      <c r="AS70" s="185"/>
      <c r="AT70" s="184" t="str">
        <f>IF(AT69&lt;=2,"A",IF(AT69&lt;=2.75,"B",IF(AT69&lt;=3.5,"C",IF(AT69&lt;=4.25,"D",IF(AT69&lt;=5,"E","F")))))</f>
        <v>A</v>
      </c>
      <c r="AU70" s="198"/>
      <c r="AV70" s="198"/>
      <c r="AW70" s="185"/>
      <c r="AX70" s="184" t="str">
        <f>IF(AX69&lt;=2,"A",IF(AX69&lt;=2.75,"B",IF(AX69&lt;=3.5,"C",IF(AX69&lt;=4.25,"D",IF(AX69&lt;=5,"E","F")))))</f>
        <v>A</v>
      </c>
      <c r="AY70" s="198"/>
      <c r="AZ70" s="198"/>
      <c r="BA70" s="185"/>
      <c r="BB70" s="184" t="str">
        <f>IF(BB69&lt;=2,"A",IF(BB69&lt;=2.75,"B",IF(BB69&lt;=3.5,"C",IF(BB69&lt;=4.25,"D",IF(BB69&lt;=5,"E","F")))))</f>
        <v>A</v>
      </c>
      <c r="BC70" s="198"/>
      <c r="BD70" s="198"/>
      <c r="BE70" s="185"/>
      <c r="BF70" s="184" t="str">
        <f>IF(BF69&lt;=2,"A",IF(BF69&lt;=2.75,"B",IF(BF69&lt;=3.5,"C",IF(BF69&lt;=4.25,"D",IF(BF69&lt;=5,"E","F")))))</f>
        <v>A</v>
      </c>
      <c r="BG70" s="198"/>
      <c r="BH70" s="198"/>
      <c r="BI70" s="185"/>
      <c r="BJ70" s="184" t="str">
        <f>IF(BJ69&lt;=2,"A",IF(BJ69&lt;=2.75,"B",IF(BJ69&lt;=3.5,"C",IF(BJ69&lt;=4.25,"D",IF(BJ69&lt;=5,"E","F")))))</f>
        <v>A</v>
      </c>
      <c r="BK70" s="198"/>
      <c r="BL70" s="198"/>
      <c r="BM70" s="185"/>
      <c r="BN70" s="184" t="str">
        <f>IF(BN69&lt;=2,"A",IF(BN69&lt;=2.75,"B",IF(BN69&lt;=3.5,"C",IF(BN69&lt;=4.25,"D",IF(BN69&lt;=5,"E","F")))))</f>
        <v>A</v>
      </c>
      <c r="BO70" s="198"/>
      <c r="BP70" s="198"/>
      <c r="BQ70" s="185"/>
      <c r="BR70" s="184" t="str">
        <f>IF(BR69&lt;=2,"A",IF(BR69&lt;=2.75,"B",IF(BR69&lt;=3.5,"C",IF(BR69&lt;=4.25,"D",IF(BR69&lt;=5,"E","F")))))</f>
        <v>A</v>
      </c>
      <c r="BS70" s="198"/>
      <c r="BT70" s="198"/>
      <c r="BU70" s="185"/>
      <c r="BV70" s="184" t="str">
        <f>IF(BV69&lt;=2,"A",IF(BV69&lt;=2.75,"B",IF(BV69&lt;=3.5,"C",IF(BV69&lt;=4.25,"D",IF(BV69&lt;=5,"E","F")))))</f>
        <v>A</v>
      </c>
      <c r="BW70" s="198"/>
      <c r="BX70" s="198"/>
      <c r="BY70" s="185"/>
      <c r="BZ70" s="184" t="str">
        <f>IF(BZ69&lt;=2,"A",IF(BZ69&lt;=2.75,"B",IF(BZ69&lt;=3.5,"C",IF(BZ69&lt;=4.25,"D",IF(BZ69&lt;=5,"E","F")))))</f>
        <v>A</v>
      </c>
      <c r="CA70" s="198"/>
      <c r="CB70" s="198"/>
      <c r="CC70" s="185"/>
      <c r="CD70" s="184" t="str">
        <f>IF(CD69&lt;=2,"A",IF(CD69&lt;=2.75,"B",IF(CD69&lt;=3.5,"C",IF(CD69&lt;=4.25,"D",IF(CD69&lt;=5,"E","F")))))</f>
        <v>A</v>
      </c>
      <c r="CE70" s="198"/>
      <c r="CF70" s="198"/>
      <c r="CG70" s="185"/>
      <c r="CH70" s="184" t="str">
        <f>IF(CH69&lt;=2,"A",IF(CH69&lt;=2.75,"B",IF(CH69&lt;=3.5,"C",IF(CH69&lt;=4.25,"D",IF(CH69&lt;=5,"E","F")))))</f>
        <v>A</v>
      </c>
      <c r="CI70" s="198"/>
      <c r="CJ70" s="198"/>
      <c r="CK70" s="185"/>
      <c r="CL70" s="68" t="e">
        <f>IF(CL69&lt;=2,"A",IF(CL69&lt;=2.75,"B",IF(CL69&lt;=3.5,"C",IF(CL69&lt;=4.25,"D",IF(CL69&lt;=5,"E","F")))))</f>
        <v>#VALUE!</v>
      </c>
      <c r="CM70" s="28"/>
    </row>
    <row r="71" spans="1:91" x14ac:dyDescent="0.25">
      <c r="B71" s="55"/>
      <c r="C71" s="4"/>
      <c r="D71" s="8" t="s">
        <v>20</v>
      </c>
      <c r="E71" s="120"/>
      <c r="F71" s="4"/>
      <c r="G71" s="19"/>
      <c r="H71" s="19"/>
      <c r="I71" s="5"/>
      <c r="J71" s="4"/>
      <c r="K71" s="19"/>
      <c r="L71" s="19"/>
      <c r="M71" s="5"/>
      <c r="N71" s="4"/>
      <c r="O71" s="19"/>
      <c r="P71" s="19"/>
      <c r="Q71" s="5"/>
      <c r="R71" s="4"/>
      <c r="S71" s="19"/>
      <c r="T71" s="19"/>
      <c r="U71" s="5"/>
      <c r="V71" s="4"/>
      <c r="W71" s="19"/>
      <c r="X71" s="19"/>
      <c r="Y71" s="5"/>
      <c r="Z71" s="4"/>
      <c r="AA71" s="19"/>
      <c r="AB71" s="19"/>
      <c r="AC71" s="5"/>
      <c r="AD71" s="4"/>
      <c r="AE71" s="19"/>
      <c r="AF71" s="19"/>
      <c r="AG71" s="5"/>
      <c r="AH71" s="4"/>
      <c r="AI71" s="19"/>
      <c r="AJ71" s="19"/>
      <c r="AK71" s="5"/>
      <c r="AL71" s="4"/>
      <c r="AM71" s="19"/>
      <c r="AN71" s="19"/>
      <c r="AO71" s="5"/>
      <c r="AP71" s="4"/>
      <c r="AQ71" s="19"/>
      <c r="AR71" s="19"/>
      <c r="AS71" s="5"/>
      <c r="AT71" s="4"/>
      <c r="AU71" s="19"/>
      <c r="AV71" s="19"/>
      <c r="AW71" s="5"/>
      <c r="AX71" s="4"/>
      <c r="AY71" s="19"/>
      <c r="AZ71" s="19"/>
      <c r="BA71" s="5"/>
      <c r="BB71" s="4"/>
      <c r="BC71" s="19"/>
      <c r="BD71" s="19"/>
      <c r="BE71" s="5"/>
      <c r="BF71" s="4"/>
      <c r="BG71" s="19"/>
      <c r="BH71" s="19"/>
      <c r="BI71" s="5"/>
      <c r="BJ71" s="4"/>
      <c r="BK71" s="19"/>
      <c r="BL71" s="19"/>
      <c r="BM71" s="5"/>
      <c r="BN71" s="4"/>
      <c r="BO71" s="19"/>
      <c r="BP71" s="19"/>
      <c r="BQ71" s="5"/>
      <c r="BR71" s="4"/>
      <c r="BS71" s="19"/>
      <c r="BT71" s="19"/>
      <c r="BU71" s="5"/>
      <c r="BV71" s="4"/>
      <c r="BW71" s="19"/>
      <c r="BX71" s="19"/>
      <c r="BY71" s="5"/>
      <c r="BZ71" s="4"/>
      <c r="CA71" s="19"/>
      <c r="CB71" s="19"/>
      <c r="CC71" s="5"/>
      <c r="CD71" s="4"/>
      <c r="CE71" s="19"/>
      <c r="CF71" s="19"/>
      <c r="CG71" s="5"/>
      <c r="CH71" s="4"/>
      <c r="CI71" s="19"/>
      <c r="CJ71" s="19"/>
      <c r="CK71" s="5"/>
      <c r="CL71" s="46"/>
      <c r="CM71" s="28"/>
    </row>
    <row r="72" spans="1:91" ht="14.25" x14ac:dyDescent="0.25">
      <c r="B72" s="55"/>
      <c r="C72" s="10" t="s">
        <v>225</v>
      </c>
      <c r="D72" s="11" t="s">
        <v>221</v>
      </c>
      <c r="E72" s="120"/>
      <c r="F72" s="191">
        <f>MAX(F63*IF(F32="Yes",1,0), G63*IF(G32="Yes",1,0), H63*IF(H32="Yes",1,0), I63*IF(I32="Yes",1,0))</f>
        <v>3.3921499999999996</v>
      </c>
      <c r="G72" s="200"/>
      <c r="H72" s="200"/>
      <c r="I72" s="192"/>
      <c r="J72" s="191">
        <f>MAX(J63*IF(J32="Yes",1,0), K63*IF(K32="Yes",1,0), L63*IF(L32="Yes",1,0), M63*IF(M32="Yes",1,0))</f>
        <v>2.799199999999999</v>
      </c>
      <c r="K72" s="200"/>
      <c r="L72" s="200"/>
      <c r="M72" s="192"/>
      <c r="N72" s="191">
        <f>MAX(N63*IF(N32="Yes",1,0), O63*IF(O32="Yes",1,0), P63*IF(P32="Yes",1,0), Q63*IF(Q32="Yes",1,0))</f>
        <v>0</v>
      </c>
      <c r="O72" s="200"/>
      <c r="P72" s="200"/>
      <c r="Q72" s="192"/>
      <c r="R72" s="191">
        <f>MAX(R63*IF(R32="Yes",1,0), S63*IF(S32="Yes",1,0), T63*IF(T32="Yes",1,0), U63*IF(U32="Yes",1,0))</f>
        <v>0</v>
      </c>
      <c r="S72" s="200"/>
      <c r="T72" s="200"/>
      <c r="U72" s="192"/>
      <c r="V72" s="191">
        <f>MAX(V63*IF(V32="Yes",1,0), W63*IF(W32="Yes",1,0), X63*IF(X32="Yes",1,0), Y63*IF(Y32="Yes",1,0))</f>
        <v>0</v>
      </c>
      <c r="W72" s="200"/>
      <c r="X72" s="200"/>
      <c r="Y72" s="192"/>
      <c r="Z72" s="191">
        <f>MAX(Z63*IF(Z32="Yes",1,0), AA63*IF(AA32="Yes",1,0), AB63*IF(AB32="Yes",1,0), AC63*IF(AC32="Yes",1,0))</f>
        <v>0</v>
      </c>
      <c r="AA72" s="200"/>
      <c r="AB72" s="200"/>
      <c r="AC72" s="192"/>
      <c r="AD72" s="191">
        <f>MAX(AD63*IF(AD32="Yes",1,0), AE63*IF(AE32="Yes",1,0), AF63*IF(AF32="Yes",1,0), AG63*IF(AG32="Yes",1,0))</f>
        <v>0</v>
      </c>
      <c r="AE72" s="200"/>
      <c r="AF72" s="200"/>
      <c r="AG72" s="192"/>
      <c r="AH72" s="191">
        <f>MAX(AH63*IF(AH32="Yes",1,0), AI63*IF(AI32="Yes",1,0), AJ63*IF(AJ32="Yes",1,0), AK63*IF(AK32="Yes",1,0))</f>
        <v>0</v>
      </c>
      <c r="AI72" s="200"/>
      <c r="AJ72" s="200"/>
      <c r="AK72" s="192"/>
      <c r="AL72" s="191">
        <f>MAX(AL63*IF(AL32="Yes",1,0), AM63*IF(AM32="Yes",1,0), AN63*IF(AN32="Yes",1,0), AO63*IF(AO32="Yes",1,0))</f>
        <v>0</v>
      </c>
      <c r="AM72" s="200"/>
      <c r="AN72" s="200"/>
      <c r="AO72" s="192"/>
      <c r="AP72" s="191">
        <f>MAX(AP63*IF(AP32="Yes",1,0), AQ63*IF(AQ32="Yes",1,0), AR63*IF(AR32="Yes",1,0), AS63*IF(AS32="Yes",1,0))</f>
        <v>0</v>
      </c>
      <c r="AQ72" s="200"/>
      <c r="AR72" s="200"/>
      <c r="AS72" s="192"/>
      <c r="AT72" s="191">
        <f>MAX(AT63*IF(AT32="Yes",1,0), AU63*IF(AU32="Yes",1,0), AV63*IF(AV32="Yes",1,0), AW63*IF(AW32="Yes",1,0))</f>
        <v>0</v>
      </c>
      <c r="AU72" s="200"/>
      <c r="AV72" s="200"/>
      <c r="AW72" s="192"/>
      <c r="AX72" s="191">
        <f>MAX(AX63*IF(AX32="Yes",1,0), AY63*IF(AY32="Yes",1,0), AZ63*IF(AZ32="Yes",1,0), BA63*IF(BA32="Yes",1,0))</f>
        <v>0</v>
      </c>
      <c r="AY72" s="200"/>
      <c r="AZ72" s="200"/>
      <c r="BA72" s="192"/>
      <c r="BB72" s="191">
        <f>MAX(BB63*IF(BB32="Yes",1,0), BC63*IF(BC32="Yes",1,0), BD63*IF(BD32="Yes",1,0), BE63*IF(BE32="Yes",1,0))</f>
        <v>0</v>
      </c>
      <c r="BC72" s="200"/>
      <c r="BD72" s="200"/>
      <c r="BE72" s="192"/>
      <c r="BF72" s="191">
        <f>MAX(BF63*IF(BF32="Yes",1,0), BG63*IF(BG32="Yes",1,0), BH63*IF(BH32="Yes",1,0), BI63*IF(BI32="Yes",1,0))</f>
        <v>0</v>
      </c>
      <c r="BG72" s="200"/>
      <c r="BH72" s="200"/>
      <c r="BI72" s="192"/>
      <c r="BJ72" s="191">
        <f>MAX(BJ63*IF(BJ32="Yes",1,0), BK63*IF(BK32="Yes",1,0), BL63*IF(BL32="Yes",1,0), BM63*IF(BM32="Yes",1,0))</f>
        <v>0</v>
      </c>
      <c r="BK72" s="200"/>
      <c r="BL72" s="200"/>
      <c r="BM72" s="192"/>
      <c r="BN72" s="191">
        <f>MAX(BN63*IF(BN32="Yes",1,0), BO63*IF(BO32="Yes",1,0), BP63*IF(BP32="Yes",1,0), BQ63*IF(BQ32="Yes",1,0))</f>
        <v>0</v>
      </c>
      <c r="BO72" s="200"/>
      <c r="BP72" s="200"/>
      <c r="BQ72" s="192"/>
      <c r="BR72" s="191">
        <f>MAX(BR63*IF(BR32="Yes",1,0), BS63*IF(BS32="Yes",1,0), BT63*IF(BT32="Yes",1,0), BU63*IF(BU32="Yes",1,0))</f>
        <v>0</v>
      </c>
      <c r="BS72" s="200"/>
      <c r="BT72" s="200"/>
      <c r="BU72" s="192"/>
      <c r="BV72" s="191">
        <f>MAX(BV63*IF(BV32="Yes",1,0), BW63*IF(BW32="Yes",1,0), BX63*IF(BX32="Yes",1,0), BY63*IF(BY32="Yes",1,0))</f>
        <v>0</v>
      </c>
      <c r="BW72" s="200"/>
      <c r="BX72" s="200"/>
      <c r="BY72" s="192"/>
      <c r="BZ72" s="191">
        <f>MAX(BZ63*IF(BZ32="Yes",1,0), CA63*IF(CA32="Yes",1,0), CB63*IF(CB32="Yes",1,0), CC63*IF(CC32="Yes",1,0))</f>
        <v>0</v>
      </c>
      <c r="CA72" s="200"/>
      <c r="CB72" s="200"/>
      <c r="CC72" s="192"/>
      <c r="CD72" s="191">
        <f>MAX(CD63*IF(CD32="Yes",1,0), CE63*IF(CE32="Yes",1,0), CF63*IF(CF32="Yes",1,0), CG63*IF(CG32="Yes",1,0))</f>
        <v>0</v>
      </c>
      <c r="CE72" s="200"/>
      <c r="CF72" s="200"/>
      <c r="CG72" s="192"/>
      <c r="CH72" s="191">
        <f>MAX(CH63*IF(CH32="Yes",1,0), CI63*IF(CI32="Yes",1,0), CJ63*IF(CJ32="Yes",1,0), CK63*IF(CK32="Yes",1,0))</f>
        <v>0</v>
      </c>
      <c r="CI72" s="200"/>
      <c r="CJ72" s="200"/>
      <c r="CK72" s="192"/>
      <c r="CL72" s="67">
        <f>SUMPRODUCT(F72:CK72,F65:CK65)/SUM(F65:CK65)</f>
        <v>3.3533950980392153</v>
      </c>
      <c r="CM72" s="28"/>
    </row>
    <row r="73" spans="1:91" ht="14.25" thickBot="1" x14ac:dyDescent="0.3">
      <c r="B73" s="55"/>
      <c r="C73" s="10"/>
      <c r="D73" s="11" t="s">
        <v>51</v>
      </c>
      <c r="E73" s="120"/>
      <c r="F73" s="184" t="str">
        <f>IF(F72&lt;=2,"A",IF(F72&lt;=2.75,"B",IF(F72&lt;=3.5,"C",IF(F72&lt;=4.25,"D",IF(F72&lt;=5,"E","F")))))</f>
        <v>C</v>
      </c>
      <c r="G73" s="198"/>
      <c r="H73" s="198"/>
      <c r="I73" s="185"/>
      <c r="J73" s="184" t="str">
        <f>IF(J72&lt;=2,"A",IF(J72&lt;=2.75,"B",IF(J72&lt;=3.5,"C",IF(J72&lt;=4.25,"D",IF(J72&lt;=5,"E","F")))))</f>
        <v>C</v>
      </c>
      <c r="K73" s="198"/>
      <c r="L73" s="198"/>
      <c r="M73" s="185"/>
      <c r="N73" s="184" t="str">
        <f>IF(N72&lt;=2,"A",IF(N72&lt;=2.75,"B",IF(N72&lt;=3.5,"C",IF(N72&lt;=4.25,"D",IF(N72&lt;=5,"E","F")))))</f>
        <v>A</v>
      </c>
      <c r="O73" s="198"/>
      <c r="P73" s="198"/>
      <c r="Q73" s="185"/>
      <c r="R73" s="184" t="str">
        <f>IF(R72&lt;=2,"A",IF(R72&lt;=2.75,"B",IF(R72&lt;=3.5,"C",IF(R72&lt;=4.25,"D",IF(R72&lt;=5,"E","F")))))</f>
        <v>A</v>
      </c>
      <c r="S73" s="198"/>
      <c r="T73" s="198"/>
      <c r="U73" s="185"/>
      <c r="V73" s="184" t="str">
        <f>IF(V72&lt;=2,"A",IF(V72&lt;=2.75,"B",IF(V72&lt;=3.5,"C",IF(V72&lt;=4.25,"D",IF(V72&lt;=5,"E","F")))))</f>
        <v>A</v>
      </c>
      <c r="W73" s="198"/>
      <c r="X73" s="198"/>
      <c r="Y73" s="185"/>
      <c r="Z73" s="184" t="str">
        <f>IF(Z72&lt;=2,"A",IF(Z72&lt;=2.75,"B",IF(Z72&lt;=3.5,"C",IF(Z72&lt;=4.25,"D",IF(Z72&lt;=5,"E","F")))))</f>
        <v>A</v>
      </c>
      <c r="AA73" s="198"/>
      <c r="AB73" s="198"/>
      <c r="AC73" s="185"/>
      <c r="AD73" s="184" t="str">
        <f>IF(AD72&lt;=2,"A",IF(AD72&lt;=2.75,"B",IF(AD72&lt;=3.5,"C",IF(AD72&lt;=4.25,"D",IF(AD72&lt;=5,"E","F")))))</f>
        <v>A</v>
      </c>
      <c r="AE73" s="198"/>
      <c r="AF73" s="198"/>
      <c r="AG73" s="185"/>
      <c r="AH73" s="184" t="str">
        <f>IF(AH72&lt;=2,"A",IF(AH72&lt;=2.75,"B",IF(AH72&lt;=3.5,"C",IF(AH72&lt;=4.25,"D",IF(AH72&lt;=5,"E","F")))))</f>
        <v>A</v>
      </c>
      <c r="AI73" s="198"/>
      <c r="AJ73" s="198"/>
      <c r="AK73" s="185"/>
      <c r="AL73" s="184" t="str">
        <f>IF(AL72&lt;=2,"A",IF(AL72&lt;=2.75,"B",IF(AL72&lt;=3.5,"C",IF(AL72&lt;=4.25,"D",IF(AL72&lt;=5,"E","F")))))</f>
        <v>A</v>
      </c>
      <c r="AM73" s="198"/>
      <c r="AN73" s="198"/>
      <c r="AO73" s="185"/>
      <c r="AP73" s="184" t="str">
        <f>IF(AP72&lt;=2,"A",IF(AP72&lt;=2.75,"B",IF(AP72&lt;=3.5,"C",IF(AP72&lt;=4.25,"D",IF(AP72&lt;=5,"E","F")))))</f>
        <v>A</v>
      </c>
      <c r="AQ73" s="198"/>
      <c r="AR73" s="198"/>
      <c r="AS73" s="185"/>
      <c r="AT73" s="184" t="str">
        <f>IF(AT72&lt;=2,"A",IF(AT72&lt;=2.75,"B",IF(AT72&lt;=3.5,"C",IF(AT72&lt;=4.25,"D",IF(AT72&lt;=5,"E","F")))))</f>
        <v>A</v>
      </c>
      <c r="AU73" s="198"/>
      <c r="AV73" s="198"/>
      <c r="AW73" s="185"/>
      <c r="AX73" s="184" t="str">
        <f>IF(AX72&lt;=2,"A",IF(AX72&lt;=2.75,"B",IF(AX72&lt;=3.5,"C",IF(AX72&lt;=4.25,"D",IF(AX72&lt;=5,"E","F")))))</f>
        <v>A</v>
      </c>
      <c r="AY73" s="198"/>
      <c r="AZ73" s="198"/>
      <c r="BA73" s="185"/>
      <c r="BB73" s="184" t="str">
        <f>IF(BB72&lt;=2,"A",IF(BB72&lt;=2.75,"B",IF(BB72&lt;=3.5,"C",IF(BB72&lt;=4.25,"D",IF(BB72&lt;=5,"E","F")))))</f>
        <v>A</v>
      </c>
      <c r="BC73" s="198"/>
      <c r="BD73" s="198"/>
      <c r="BE73" s="185"/>
      <c r="BF73" s="184" t="str">
        <f>IF(BF72&lt;=2,"A",IF(BF72&lt;=2.75,"B",IF(BF72&lt;=3.5,"C",IF(BF72&lt;=4.25,"D",IF(BF72&lt;=5,"E","F")))))</f>
        <v>A</v>
      </c>
      <c r="BG73" s="198"/>
      <c r="BH73" s="198"/>
      <c r="BI73" s="185"/>
      <c r="BJ73" s="184" t="str">
        <f>IF(BJ72&lt;=2,"A",IF(BJ72&lt;=2.75,"B",IF(BJ72&lt;=3.5,"C",IF(BJ72&lt;=4.25,"D",IF(BJ72&lt;=5,"E","F")))))</f>
        <v>A</v>
      </c>
      <c r="BK73" s="198"/>
      <c r="BL73" s="198"/>
      <c r="BM73" s="185"/>
      <c r="BN73" s="184" t="str">
        <f>IF(BN72&lt;=2,"A",IF(BN72&lt;=2.75,"B",IF(BN72&lt;=3.5,"C",IF(BN72&lt;=4.25,"D",IF(BN72&lt;=5,"E","F")))))</f>
        <v>A</v>
      </c>
      <c r="BO73" s="198"/>
      <c r="BP73" s="198"/>
      <c r="BQ73" s="185"/>
      <c r="BR73" s="184" t="str">
        <f>IF(BR72&lt;=2,"A",IF(BR72&lt;=2.75,"B",IF(BR72&lt;=3.5,"C",IF(BR72&lt;=4.25,"D",IF(BR72&lt;=5,"E","F")))))</f>
        <v>A</v>
      </c>
      <c r="BS73" s="198"/>
      <c r="BT73" s="198"/>
      <c r="BU73" s="185"/>
      <c r="BV73" s="184" t="str">
        <f>IF(BV72&lt;=2,"A",IF(BV72&lt;=2.75,"B",IF(BV72&lt;=3.5,"C",IF(BV72&lt;=4.25,"D",IF(BV72&lt;=5,"E","F")))))</f>
        <v>A</v>
      </c>
      <c r="BW73" s="198"/>
      <c r="BX73" s="198"/>
      <c r="BY73" s="185"/>
      <c r="BZ73" s="184" t="str">
        <f>IF(BZ72&lt;=2,"A",IF(BZ72&lt;=2.75,"B",IF(BZ72&lt;=3.5,"C",IF(BZ72&lt;=4.25,"D",IF(BZ72&lt;=5,"E","F")))))</f>
        <v>A</v>
      </c>
      <c r="CA73" s="198"/>
      <c r="CB73" s="198"/>
      <c r="CC73" s="185"/>
      <c r="CD73" s="184" t="str">
        <f>IF(CD72&lt;=2,"A",IF(CD72&lt;=2.75,"B",IF(CD72&lt;=3.5,"C",IF(CD72&lt;=4.25,"D",IF(CD72&lt;=5,"E","F")))))</f>
        <v>A</v>
      </c>
      <c r="CE73" s="198"/>
      <c r="CF73" s="198"/>
      <c r="CG73" s="185"/>
      <c r="CH73" s="184" t="str">
        <f>IF(CH72&lt;=2,"A",IF(CH72&lt;=2.75,"B",IF(CH72&lt;=3.5,"C",IF(CH72&lt;=4.25,"D",IF(CH72&lt;=5,"E","F")))))</f>
        <v>A</v>
      </c>
      <c r="CI73" s="198"/>
      <c r="CJ73" s="198"/>
      <c r="CK73" s="185"/>
      <c r="CL73" s="69" t="str">
        <f>IF(CL72&lt;=2,"A",IF(CL72&lt;=2.75,"B",IF(CL72&lt;=3.5,"C",IF(CL72&lt;=4.25,"D",IF(CL72&lt;=5,"E","F")))))</f>
        <v>C</v>
      </c>
      <c r="CM73" s="28"/>
    </row>
    <row r="74" spans="1:91" ht="14.25" thickBot="1" x14ac:dyDescent="0.3">
      <c r="B74" s="63"/>
      <c r="C74" s="30"/>
      <c r="D74" s="64"/>
      <c r="E74" s="14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0"/>
      <c r="BJ74" s="30"/>
      <c r="BK74" s="30"/>
      <c r="BL74" s="30"/>
      <c r="BM74" s="30"/>
      <c r="BN74" s="30"/>
      <c r="BO74" s="30"/>
      <c r="BP74" s="30"/>
      <c r="BQ74" s="30"/>
      <c r="BR74" s="30"/>
      <c r="BS74" s="30"/>
      <c r="BT74" s="30"/>
      <c r="BU74" s="30"/>
      <c r="BV74" s="30"/>
      <c r="BW74" s="30"/>
      <c r="BX74" s="30"/>
      <c r="BY74" s="30"/>
      <c r="BZ74" s="30"/>
      <c r="CA74" s="30"/>
      <c r="CB74" s="30"/>
      <c r="CC74" s="30"/>
      <c r="CD74" s="30"/>
      <c r="CE74" s="30"/>
      <c r="CF74" s="30"/>
      <c r="CG74" s="30"/>
      <c r="CH74" s="30"/>
      <c r="CI74" s="30"/>
      <c r="CJ74" s="30"/>
      <c r="CK74" s="30"/>
      <c r="CL74" s="30"/>
      <c r="CM74" s="31"/>
    </row>
    <row r="76" spans="1:91" ht="25.5" x14ac:dyDescent="0.25">
      <c r="C76" s="21" t="s">
        <v>208</v>
      </c>
      <c r="D76" s="147" t="s">
        <v>239</v>
      </c>
    </row>
    <row r="77" spans="1:91" ht="15.75" x14ac:dyDescent="0.25">
      <c r="C77" s="21" t="s">
        <v>209</v>
      </c>
      <c r="D77" s="20" t="s">
        <v>213</v>
      </c>
    </row>
    <row r="78" spans="1:91" ht="15.75" x14ac:dyDescent="0.25">
      <c r="C78" s="21" t="s">
        <v>210</v>
      </c>
      <c r="D78" s="20" t="s">
        <v>214</v>
      </c>
    </row>
  </sheetData>
  <mergeCells count="216">
    <mergeCell ref="C67:D67"/>
    <mergeCell ref="F67:I67"/>
    <mergeCell ref="J69:M69"/>
    <mergeCell ref="F69:I69"/>
    <mergeCell ref="F70:I70"/>
    <mergeCell ref="F72:I72"/>
    <mergeCell ref="F73:I73"/>
    <mergeCell ref="C3:D4"/>
    <mergeCell ref="F3:I3"/>
    <mergeCell ref="C7:D7"/>
    <mergeCell ref="F7:I7"/>
    <mergeCell ref="C34:D34"/>
    <mergeCell ref="F34:I34"/>
    <mergeCell ref="F56:I56"/>
    <mergeCell ref="F65:I65"/>
    <mergeCell ref="J70:M70"/>
    <mergeCell ref="J72:M72"/>
    <mergeCell ref="J73:M73"/>
    <mergeCell ref="E3:E4"/>
    <mergeCell ref="N3:Q3"/>
    <mergeCell ref="N7:Q7"/>
    <mergeCell ref="N34:Q34"/>
    <mergeCell ref="N56:Q56"/>
    <mergeCell ref="N65:Q65"/>
    <mergeCell ref="N67:Q67"/>
    <mergeCell ref="N69:Q69"/>
    <mergeCell ref="N70:Q70"/>
    <mergeCell ref="N72:Q72"/>
    <mergeCell ref="N73:Q73"/>
    <mergeCell ref="J3:M3"/>
    <mergeCell ref="J7:M7"/>
    <mergeCell ref="J34:M34"/>
    <mergeCell ref="J56:M56"/>
    <mergeCell ref="J65:M65"/>
    <mergeCell ref="J67:M67"/>
    <mergeCell ref="R73:U73"/>
    <mergeCell ref="V3:Y3"/>
    <mergeCell ref="V7:Y7"/>
    <mergeCell ref="V34:Y34"/>
    <mergeCell ref="V56:Y56"/>
    <mergeCell ref="V65:Y65"/>
    <mergeCell ref="V67:Y67"/>
    <mergeCell ref="V69:Y69"/>
    <mergeCell ref="V70:Y70"/>
    <mergeCell ref="V72:Y72"/>
    <mergeCell ref="V73:Y73"/>
    <mergeCell ref="R3:U3"/>
    <mergeCell ref="R7:U7"/>
    <mergeCell ref="R34:U34"/>
    <mergeCell ref="R56:U56"/>
    <mergeCell ref="R65:U65"/>
    <mergeCell ref="R67:U67"/>
    <mergeCell ref="R69:U69"/>
    <mergeCell ref="R70:U70"/>
    <mergeCell ref="R72:U72"/>
    <mergeCell ref="Z73:AC73"/>
    <mergeCell ref="AD3:AG3"/>
    <mergeCell ref="AD7:AG7"/>
    <mergeCell ref="AD34:AG34"/>
    <mergeCell ref="AD56:AG56"/>
    <mergeCell ref="AD65:AG65"/>
    <mergeCell ref="AD67:AG67"/>
    <mergeCell ref="AD69:AG69"/>
    <mergeCell ref="AD70:AG70"/>
    <mergeCell ref="AD72:AG72"/>
    <mergeCell ref="AD73:AG73"/>
    <mergeCell ref="Z3:AC3"/>
    <mergeCell ref="Z7:AC7"/>
    <mergeCell ref="Z34:AC34"/>
    <mergeCell ref="Z56:AC56"/>
    <mergeCell ref="Z65:AC65"/>
    <mergeCell ref="Z67:AC67"/>
    <mergeCell ref="Z69:AC69"/>
    <mergeCell ref="Z70:AC70"/>
    <mergeCell ref="Z72:AC72"/>
    <mergeCell ref="AH73:AK73"/>
    <mergeCell ref="AL3:AO3"/>
    <mergeCell ref="AL7:AO7"/>
    <mergeCell ref="AL34:AO34"/>
    <mergeCell ref="AL56:AO56"/>
    <mergeCell ref="AL65:AO65"/>
    <mergeCell ref="AL67:AO67"/>
    <mergeCell ref="AL69:AO69"/>
    <mergeCell ref="AL70:AO70"/>
    <mergeCell ref="AL72:AO72"/>
    <mergeCell ref="AL73:AO73"/>
    <mergeCell ref="AH3:AK3"/>
    <mergeCell ref="AH7:AK7"/>
    <mergeCell ref="AH34:AK34"/>
    <mergeCell ref="AH56:AK56"/>
    <mergeCell ref="AH65:AK65"/>
    <mergeCell ref="AH67:AK67"/>
    <mergeCell ref="AH69:AK69"/>
    <mergeCell ref="AH70:AK70"/>
    <mergeCell ref="AH72:AK72"/>
    <mergeCell ref="AP73:AS73"/>
    <mergeCell ref="AT3:AW3"/>
    <mergeCell ref="AT7:AW7"/>
    <mergeCell ref="AT34:AW34"/>
    <mergeCell ref="AT56:AW56"/>
    <mergeCell ref="AT65:AW65"/>
    <mergeCell ref="AT67:AW67"/>
    <mergeCell ref="AT69:AW69"/>
    <mergeCell ref="AT70:AW70"/>
    <mergeCell ref="AT72:AW72"/>
    <mergeCell ref="AT73:AW73"/>
    <mergeCell ref="AP3:AS3"/>
    <mergeCell ref="AP7:AS7"/>
    <mergeCell ref="AP34:AS34"/>
    <mergeCell ref="AP56:AS56"/>
    <mergeCell ref="AP65:AS65"/>
    <mergeCell ref="AP67:AS67"/>
    <mergeCell ref="AP69:AS69"/>
    <mergeCell ref="AP70:AS70"/>
    <mergeCell ref="AP72:AS72"/>
    <mergeCell ref="AX73:BA73"/>
    <mergeCell ref="BB3:BE3"/>
    <mergeCell ref="BB7:BE7"/>
    <mergeCell ref="BB34:BE34"/>
    <mergeCell ref="BB56:BE56"/>
    <mergeCell ref="BB65:BE65"/>
    <mergeCell ref="BB67:BE67"/>
    <mergeCell ref="BB69:BE69"/>
    <mergeCell ref="BB70:BE70"/>
    <mergeCell ref="BB72:BE72"/>
    <mergeCell ref="BB73:BE73"/>
    <mergeCell ref="AX3:BA3"/>
    <mergeCell ref="AX7:BA7"/>
    <mergeCell ref="AX34:BA34"/>
    <mergeCell ref="AX56:BA56"/>
    <mergeCell ref="AX65:BA65"/>
    <mergeCell ref="AX67:BA67"/>
    <mergeCell ref="AX69:BA69"/>
    <mergeCell ref="AX70:BA70"/>
    <mergeCell ref="AX72:BA72"/>
    <mergeCell ref="BF73:BI73"/>
    <mergeCell ref="BJ3:BM3"/>
    <mergeCell ref="BJ7:BM7"/>
    <mergeCell ref="BJ34:BM34"/>
    <mergeCell ref="BJ56:BM56"/>
    <mergeCell ref="BJ65:BM65"/>
    <mergeCell ref="BJ67:BM67"/>
    <mergeCell ref="BJ69:BM69"/>
    <mergeCell ref="BJ70:BM70"/>
    <mergeCell ref="BJ72:BM72"/>
    <mergeCell ref="BJ73:BM73"/>
    <mergeCell ref="BF3:BI3"/>
    <mergeCell ref="BF7:BI7"/>
    <mergeCell ref="BF34:BI34"/>
    <mergeCell ref="BF56:BI56"/>
    <mergeCell ref="BF65:BI65"/>
    <mergeCell ref="BF67:BI67"/>
    <mergeCell ref="BF69:BI69"/>
    <mergeCell ref="BF70:BI70"/>
    <mergeCell ref="BF72:BI72"/>
    <mergeCell ref="BN73:BQ73"/>
    <mergeCell ref="BR3:BU3"/>
    <mergeCell ref="BR7:BU7"/>
    <mergeCell ref="BR34:BU34"/>
    <mergeCell ref="BR56:BU56"/>
    <mergeCell ref="BR65:BU65"/>
    <mergeCell ref="BR67:BU67"/>
    <mergeCell ref="BR69:BU69"/>
    <mergeCell ref="BR70:BU70"/>
    <mergeCell ref="BR72:BU72"/>
    <mergeCell ref="BR73:BU73"/>
    <mergeCell ref="BN3:BQ3"/>
    <mergeCell ref="BN7:BQ7"/>
    <mergeCell ref="BN34:BQ34"/>
    <mergeCell ref="BN56:BQ56"/>
    <mergeCell ref="BN65:BQ65"/>
    <mergeCell ref="BN67:BQ67"/>
    <mergeCell ref="BN69:BQ69"/>
    <mergeCell ref="BN70:BQ70"/>
    <mergeCell ref="BN72:BQ72"/>
    <mergeCell ref="BV73:BY73"/>
    <mergeCell ref="BZ3:CC3"/>
    <mergeCell ref="BZ7:CC7"/>
    <mergeCell ref="BZ34:CC34"/>
    <mergeCell ref="BZ56:CC56"/>
    <mergeCell ref="BZ65:CC65"/>
    <mergeCell ref="BZ67:CC67"/>
    <mergeCell ref="BZ69:CC69"/>
    <mergeCell ref="BZ70:CC70"/>
    <mergeCell ref="BZ72:CC72"/>
    <mergeCell ref="BZ73:CC73"/>
    <mergeCell ref="BV3:BY3"/>
    <mergeCell ref="BV7:BY7"/>
    <mergeCell ref="BV34:BY34"/>
    <mergeCell ref="BV56:BY56"/>
    <mergeCell ref="BV65:BY65"/>
    <mergeCell ref="BV67:BY67"/>
    <mergeCell ref="BV69:BY69"/>
    <mergeCell ref="BV70:BY70"/>
    <mergeCell ref="BV72:BY72"/>
    <mergeCell ref="CH73:CK73"/>
    <mergeCell ref="CL3:CL5"/>
    <mergeCell ref="CD69:CG69"/>
    <mergeCell ref="CD70:CG70"/>
    <mergeCell ref="CD72:CG72"/>
    <mergeCell ref="CD73:CG73"/>
    <mergeCell ref="CH3:CK3"/>
    <mergeCell ref="CH7:CK7"/>
    <mergeCell ref="CH34:CK34"/>
    <mergeCell ref="CH56:CK56"/>
    <mergeCell ref="CH65:CK65"/>
    <mergeCell ref="CH67:CK67"/>
    <mergeCell ref="CD3:CG3"/>
    <mergeCell ref="CD7:CG7"/>
    <mergeCell ref="CD34:CG34"/>
    <mergeCell ref="CD56:CG56"/>
    <mergeCell ref="CD65:CG65"/>
    <mergeCell ref="CD67:CG67"/>
    <mergeCell ref="CH69:CK69"/>
    <mergeCell ref="CH70:CK70"/>
    <mergeCell ref="CH72:CK72"/>
  </mergeCells>
  <dataValidations count="3">
    <dataValidation type="list" allowBlank="1" showInputMessage="1" showErrorMessage="1" sqref="E31:CK32" xr:uid="{00000000-0002-0000-0200-000000000000}">
      <formula1>"Yes,No"</formula1>
    </dataValidation>
    <dataValidation type="decimal" operator="greaterThanOrEqual" allowBlank="1" showInputMessage="1" showErrorMessage="1" sqref="E10:CK10" xr:uid="{00000000-0002-0000-0200-000001000000}">
      <formula1>0</formula1>
    </dataValidation>
    <dataValidation type="list" allowBlank="1" showInputMessage="1" showErrorMessage="1" sqref="E30:M30" xr:uid="{AB79CDA3-FCBB-483B-8A3D-CE3BB4F5D7D4}">
      <formula1>"Signalized, Stop, Free"</formula1>
    </dataValidation>
  </dataValidations>
  <pageMargins left="0.125" right="0.125" top="0.5" bottom="0.5" header="0" footer="0"/>
  <pageSetup scale="65" fitToWidth="0" orientation="portrait" horizontalDpi="4294967295" verticalDpi="4294967295" r:id="rId1"/>
  <colBreaks count="2" manualBreakCount="2">
    <brk id="9" max="1048575" man="1"/>
    <brk id="17" max="1048575" man="1"/>
  </col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A2661-927D-4DC2-A857-1242295A546D}">
  <sheetPr codeName="Sheet5"/>
  <dimension ref="A1:U328"/>
  <sheetViews>
    <sheetView workbookViewId="0">
      <selection activeCell="H14" sqref="H14"/>
    </sheetView>
  </sheetViews>
  <sheetFormatPr defaultRowHeight="15.75" x14ac:dyDescent="0.25"/>
  <cols>
    <col min="2" max="2" width="17.625" bestFit="1" customWidth="1"/>
    <col min="5" max="5" width="13" style="177" bestFit="1" customWidth="1"/>
    <col min="6" max="9" width="13" style="177" customWidth="1"/>
    <col min="10" max="12" width="9" style="177"/>
    <col min="13" max="13" width="9.375" style="177" bestFit="1" customWidth="1"/>
    <col min="14" max="14" width="10.375" customWidth="1"/>
    <col min="15" max="15" width="11.375" bestFit="1" customWidth="1"/>
    <col min="17" max="17" width="12.375" bestFit="1" customWidth="1"/>
  </cols>
  <sheetData>
    <row r="1" spans="1:21" x14ac:dyDescent="0.25">
      <c r="E1" s="177" t="s">
        <v>319</v>
      </c>
    </row>
    <row r="2" spans="1:21" x14ac:dyDescent="0.25">
      <c r="E2" t="s">
        <v>321</v>
      </c>
      <c r="F2" t="s">
        <v>322</v>
      </c>
      <c r="G2" t="s">
        <v>323</v>
      </c>
      <c r="H2" t="s">
        <v>324</v>
      </c>
      <c r="I2"/>
      <c r="J2" t="s">
        <v>320</v>
      </c>
      <c r="K2" s="177" t="s">
        <v>317</v>
      </c>
      <c r="L2" s="177" t="s">
        <v>328</v>
      </c>
      <c r="M2" s="177" t="s">
        <v>318</v>
      </c>
    </row>
    <row r="3" spans="1:21" x14ac:dyDescent="0.25">
      <c r="D3" t="s">
        <v>312</v>
      </c>
    </row>
    <row r="4" spans="1:21" x14ac:dyDescent="0.25">
      <c r="D4">
        <v>1</v>
      </c>
      <c r="E4" s="177">
        <f t="shared" ref="E4:E67" si="0">$B$10*$B$11*(1-$B$11)^(D4-1)</f>
        <v>0.42438012015475213</v>
      </c>
      <c r="F4" s="177">
        <f t="shared" ref="F4:F67" si="1">($B$10-J3)*(2*$B$9*(1-$B$9)*$B$11+($B$9^2)*($B$11^2))/$B$10</f>
        <v>0.33101796222673963</v>
      </c>
      <c r="J4" s="177">
        <f>J3+F4</f>
        <v>0.33101796222673963</v>
      </c>
      <c r="K4" s="177">
        <f t="shared" ref="K4:K10" si="2">$B$8*(D4-0.5)*F4</f>
        <v>1.4019584282544266</v>
      </c>
      <c r="L4" s="177">
        <f>L3+K4</f>
        <v>1.4019584282544266</v>
      </c>
      <c r="M4" s="177">
        <f t="shared" ref="M4:M67" si="3">($B$10-J4)*$B$12</f>
        <v>9.6239152867149205</v>
      </c>
      <c r="N4" s="179">
        <f>M4+L4</f>
        <v>11.025873714969347</v>
      </c>
      <c r="O4" s="179">
        <f>O3+K4+M4</f>
        <v>11.025873714969347</v>
      </c>
      <c r="Q4" t="s">
        <v>327</v>
      </c>
      <c r="R4" t="s">
        <v>317</v>
      </c>
      <c r="S4" t="s">
        <v>318</v>
      </c>
    </row>
    <row r="5" spans="1:21" x14ac:dyDescent="0.25">
      <c r="A5" t="s">
        <v>299</v>
      </c>
      <c r="B5" s="178">
        <f>850/3600</f>
        <v>0.2361111111111111</v>
      </c>
      <c r="D5">
        <v>2</v>
      </c>
      <c r="E5" s="177">
        <f t="shared" si="0"/>
        <v>0.21219006007737606</v>
      </c>
      <c r="F5" s="177">
        <f t="shared" si="1"/>
        <v>0.20192038423841754</v>
      </c>
      <c r="J5" s="177">
        <f>J4+F5</f>
        <v>0.53293834646515714</v>
      </c>
      <c r="K5" s="177">
        <f t="shared" si="2"/>
        <v>2.5655766467940113</v>
      </c>
      <c r="L5" s="177">
        <f>L4+K5</f>
        <v>3.9675350750484379</v>
      </c>
      <c r="M5" s="177">
        <f t="shared" si="3"/>
        <v>5.8705716738125702</v>
      </c>
      <c r="N5" s="179">
        <f>M5+L5</f>
        <v>9.8381067488610086</v>
      </c>
      <c r="O5" s="179">
        <f>O4+K5+M5</f>
        <v>19.462022035575927</v>
      </c>
      <c r="Q5">
        <f ca="1">SUMPRODUCT(B10*B11*(1-B11)^(--ROW(INDIRECT(B20&amp;":"&amp;B21))-1))</f>
        <v>0.63657018023212819</v>
      </c>
      <c r="R5" t="e">
        <f ca="1">SUMPRODUCT(#REF!*(--ROW(INDIRECT("1:"&amp;B21))-0.5)*B10*B11*(1-B11)^(--ROW(INDIRECT("1:"&amp;B21))-1))</f>
        <v>#REF!</v>
      </c>
      <c r="S5" s="177">
        <f ca="1">(B10-Q5)*B12</f>
        <v>3.9442387637912262</v>
      </c>
    </row>
    <row r="6" spans="1:21" x14ac:dyDescent="0.25">
      <c r="A6" t="s">
        <v>334</v>
      </c>
      <c r="B6" s="178">
        <v>2</v>
      </c>
      <c r="D6">
        <v>3</v>
      </c>
      <c r="E6" s="177">
        <f t="shared" si="0"/>
        <v>0.10609503003868803</v>
      </c>
      <c r="F6" s="177">
        <f t="shared" si="1"/>
        <v>0.1231710850272905</v>
      </c>
      <c r="J6" s="177">
        <f>J5+F6</f>
        <v>0.6561094314924476</v>
      </c>
      <c r="K6" s="177">
        <f t="shared" si="2"/>
        <v>2.6083288594014458</v>
      </c>
      <c r="L6" s="177">
        <f>L5+K6</f>
        <v>6.5758639344498837</v>
      </c>
      <c r="M6" s="177">
        <f t="shared" si="3"/>
        <v>3.5810385638935238</v>
      </c>
      <c r="N6" s="179">
        <f>M6+L6</f>
        <v>10.156902498343408</v>
      </c>
      <c r="O6" s="179">
        <f t="shared" ref="O6:O68" si="4">O5+K6+M6</f>
        <v>25.651389458870899</v>
      </c>
    </row>
    <row r="7" spans="1:21" x14ac:dyDescent="0.25">
      <c r="A7" t="s">
        <v>309</v>
      </c>
      <c r="B7" s="178">
        <f>ROUND(B12/B8,0)</f>
        <v>2</v>
      </c>
      <c r="D7">
        <v>4</v>
      </c>
      <c r="E7" s="177">
        <f t="shared" si="0"/>
        <v>5.3047515019344016E-2</v>
      </c>
      <c r="F7" s="177">
        <f t="shared" si="1"/>
        <v>7.51341487587837E-2</v>
      </c>
      <c r="J7" s="177">
        <f>J6+F7</f>
        <v>0.73124358025123126</v>
      </c>
      <c r="K7" s="177">
        <f t="shared" si="2"/>
        <v>2.2275065279074697</v>
      </c>
      <c r="L7" s="177">
        <f t="shared" ref="L7:L68" si="5">L6+K7</f>
        <v>8.8033704623573534</v>
      </c>
      <c r="M7" s="177">
        <f t="shared" si="3"/>
        <v>2.1844273281420157</v>
      </c>
      <c r="N7" s="179">
        <f>M7+L7</f>
        <v>10.98779779049937</v>
      </c>
      <c r="O7" s="179">
        <f t="shared" si="4"/>
        <v>30.063323314920382</v>
      </c>
    </row>
    <row r="8" spans="1:21" x14ac:dyDescent="0.25">
      <c r="A8" t="s">
        <v>310</v>
      </c>
      <c r="B8" s="178">
        <f>3600/(1700/4)</f>
        <v>8.4705882352941178</v>
      </c>
      <c r="D8">
        <v>5</v>
      </c>
      <c r="E8" s="177">
        <f t="shared" si="0"/>
        <v>2.6523757509672008E-2</v>
      </c>
      <c r="F8" s="177">
        <f t="shared" si="1"/>
        <v>4.5831700747430044E-2</v>
      </c>
      <c r="J8" s="177">
        <f t="shared" ref="J8:J68" si="6">J7+F8</f>
        <v>0.7770752809986613</v>
      </c>
      <c r="K8" s="177">
        <f t="shared" si="2"/>
        <v>1.7469965931961571</v>
      </c>
      <c r="L8" s="177">
        <f>L7+K8</f>
        <v>10.55036705555351</v>
      </c>
      <c r="M8" s="177">
        <f t="shared" si="3"/>
        <v>1.3324968907191985</v>
      </c>
      <c r="N8" s="179">
        <f t="shared" ref="N8:N68" si="7">M8+L8</f>
        <v>11.882863946272709</v>
      </c>
      <c r="O8" s="179">
        <f t="shared" si="4"/>
        <v>33.142816798835739</v>
      </c>
    </row>
    <row r="9" spans="1:21" x14ac:dyDescent="0.25">
      <c r="A9" t="s">
        <v>330</v>
      </c>
      <c r="B9" s="178">
        <f>1-EXP(-8*B5/2)</f>
        <v>0.61110443601077713</v>
      </c>
      <c r="D9">
        <v>6</v>
      </c>
      <c r="E9" s="177">
        <f t="shared" si="0"/>
        <v>1.3261878754836004E-2</v>
      </c>
      <c r="F9" s="177">
        <f t="shared" si="1"/>
        <v>2.7957258158946147E-2</v>
      </c>
      <c r="J9" s="177">
        <f t="shared" si="6"/>
        <v>0.80503253915760742</v>
      </c>
      <c r="K9" s="177">
        <f t="shared" si="2"/>
        <v>1.3024793212873733</v>
      </c>
      <c r="L9" s="177">
        <f>L8+K9</f>
        <v>11.852846376840883</v>
      </c>
      <c r="M9" s="177">
        <f t="shared" si="3"/>
        <v>0.81282079788231776</v>
      </c>
      <c r="N9" s="179">
        <f t="shared" si="7"/>
        <v>12.6656671747232</v>
      </c>
      <c r="O9" s="179">
        <f t="shared" si="4"/>
        <v>35.258116918005427</v>
      </c>
    </row>
    <row r="10" spans="1:21" x14ac:dyDescent="0.25">
      <c r="A10" t="s">
        <v>313</v>
      </c>
      <c r="B10" s="178">
        <f>1-(1-B9)^B7</f>
        <v>0.84876024030950425</v>
      </c>
      <c r="D10">
        <v>7</v>
      </c>
      <c r="E10" s="177">
        <f t="shared" si="0"/>
        <v>6.630939377418002E-3</v>
      </c>
      <c r="F10" s="177">
        <f t="shared" si="1"/>
        <v>1.7053879105932788E-2</v>
      </c>
      <c r="J10" s="177">
        <f t="shared" si="6"/>
        <v>0.82208641826354023</v>
      </c>
      <c r="K10" s="177">
        <f t="shared" si="2"/>
        <v>0.93896652018547588</v>
      </c>
      <c r="L10" s="177">
        <f t="shared" si="5"/>
        <v>12.791812897026359</v>
      </c>
      <c r="M10" s="177">
        <f t="shared" si="3"/>
        <v>0.49581928038380191</v>
      </c>
      <c r="N10" s="179">
        <f t="shared" si="7"/>
        <v>13.287632177410162</v>
      </c>
      <c r="O10" s="179">
        <f t="shared" si="4"/>
        <v>36.6929027185747</v>
      </c>
    </row>
    <row r="11" spans="1:21" x14ac:dyDescent="0.25">
      <c r="A11" t="s">
        <v>314</v>
      </c>
      <c r="B11" s="178">
        <v>0.5</v>
      </c>
      <c r="D11">
        <v>8</v>
      </c>
      <c r="E11" s="177">
        <f t="shared" si="0"/>
        <v>3.315469688709001E-3</v>
      </c>
      <c r="F11" s="177">
        <f t="shared" si="1"/>
        <v>1.0402836748377813E-2</v>
      </c>
      <c r="J11" s="177">
        <f t="shared" si="6"/>
        <v>0.83248925501191806</v>
      </c>
      <c r="K11" s="177">
        <f t="shared" ref="K11:K68" si="8">$B$8*(D11-0.5)*F11</f>
        <v>0.66088609930870812</v>
      </c>
      <c r="L11" s="177">
        <f t="shared" si="5"/>
        <v>13.452698996335068</v>
      </c>
      <c r="M11" s="177">
        <f t="shared" si="3"/>
        <v>0.30244890317866102</v>
      </c>
      <c r="N11" s="179">
        <f t="shared" si="7"/>
        <v>13.755147899513728</v>
      </c>
      <c r="O11" s="179">
        <f t="shared" si="4"/>
        <v>37.65623772106207</v>
      </c>
      <c r="U11">
        <v>9.8000000000000007</v>
      </c>
    </row>
    <row r="12" spans="1:21" x14ac:dyDescent="0.25">
      <c r="A12" t="s">
        <v>311</v>
      </c>
      <c r="B12" s="178">
        <f>15.8/0.85</f>
        <v>18.588235294117649</v>
      </c>
      <c r="D12">
        <v>9</v>
      </c>
      <c r="E12" s="177">
        <f t="shared" si="0"/>
        <v>1.6577348443545005E-3</v>
      </c>
      <c r="F12" s="177">
        <f t="shared" si="1"/>
        <v>6.3457124177543909E-3</v>
      </c>
      <c r="J12" s="177">
        <f t="shared" si="6"/>
        <v>0.83883496742967245</v>
      </c>
      <c r="K12" s="177">
        <f t="shared" si="8"/>
        <v>0.45689129407831613</v>
      </c>
      <c r="L12" s="177">
        <f t="shared" si="5"/>
        <v>13.909590290413384</v>
      </c>
      <c r="M12" s="177">
        <f t="shared" si="3"/>
        <v>0.18449330764863825</v>
      </c>
      <c r="N12" s="179">
        <f t="shared" si="7"/>
        <v>14.094083598062022</v>
      </c>
      <c r="O12" s="179">
        <f t="shared" si="4"/>
        <v>38.297622322789024</v>
      </c>
    </row>
    <row r="13" spans="1:21" x14ac:dyDescent="0.25">
      <c r="A13" t="s">
        <v>331</v>
      </c>
      <c r="B13" s="178">
        <f>1-(1-B9)^B7</f>
        <v>0.84876024030950425</v>
      </c>
      <c r="D13">
        <v>10</v>
      </c>
      <c r="E13" s="177">
        <f t="shared" si="0"/>
        <v>8.2886742217725025E-4</v>
      </c>
      <c r="F13" s="177">
        <f t="shared" si="1"/>
        <v>3.8708735956201191E-3</v>
      </c>
      <c r="J13" s="177">
        <f t="shared" si="6"/>
        <v>0.84270584102529256</v>
      </c>
      <c r="K13" s="177">
        <f t="shared" si="8"/>
        <v>0.31149147522401899</v>
      </c>
      <c r="L13" s="177">
        <f t="shared" si="5"/>
        <v>14.221081765637402</v>
      </c>
      <c r="M13" s="177">
        <f t="shared" si="3"/>
        <v>0.11254059845946451</v>
      </c>
      <c r="N13" s="179">
        <f t="shared" si="7"/>
        <v>14.333622364096867</v>
      </c>
      <c r="O13" s="179">
        <f t="shared" si="4"/>
        <v>38.721654396472509</v>
      </c>
      <c r="Q13" s="178">
        <v>1</v>
      </c>
      <c r="R13" s="178">
        <v>2</v>
      </c>
      <c r="S13" s="178">
        <v>3</v>
      </c>
      <c r="T13" s="178">
        <v>4</v>
      </c>
    </row>
    <row r="14" spans="1:21" x14ac:dyDescent="0.25">
      <c r="D14">
        <v>11</v>
      </c>
      <c r="E14" s="177">
        <f t="shared" si="0"/>
        <v>4.1443371108862512E-4</v>
      </c>
      <c r="F14" s="177">
        <f t="shared" si="1"/>
        <v>2.3612261960291375E-3</v>
      </c>
      <c r="J14" s="177">
        <f t="shared" si="6"/>
        <v>0.84506706722132174</v>
      </c>
      <c r="K14" s="177">
        <f t="shared" si="8"/>
        <v>0.21001023578800329</v>
      </c>
      <c r="L14" s="177">
        <f t="shared" si="5"/>
        <v>14.431092001425405</v>
      </c>
      <c r="M14" s="177">
        <f t="shared" si="3"/>
        <v>6.8649570345039615E-2</v>
      </c>
      <c r="N14" s="179">
        <f t="shared" si="7"/>
        <v>14.499741571770445</v>
      </c>
      <c r="O14" s="179">
        <f t="shared" si="4"/>
        <v>39.000314202605551</v>
      </c>
      <c r="Q14" s="180"/>
      <c r="R14" s="177"/>
    </row>
    <row r="15" spans="1:21" x14ac:dyDescent="0.25">
      <c r="D15">
        <v>12</v>
      </c>
      <c r="E15" s="177">
        <f t="shared" si="0"/>
        <v>2.0721685554431256E-4</v>
      </c>
      <c r="F15" s="177">
        <f t="shared" si="1"/>
        <v>1.4403438942368662E-3</v>
      </c>
      <c r="J15" s="177">
        <f t="shared" si="6"/>
        <v>0.84650741111555861</v>
      </c>
      <c r="K15" s="177">
        <f t="shared" si="8"/>
        <v>0.14030644052095589</v>
      </c>
      <c r="L15" s="177">
        <f t="shared" si="5"/>
        <v>14.571398441946361</v>
      </c>
      <c r="M15" s="177">
        <f t="shared" si="3"/>
        <v>4.1876119134519128E-2</v>
      </c>
      <c r="N15" s="179">
        <f t="shared" si="7"/>
        <v>14.61327456108088</v>
      </c>
      <c r="O15" s="179">
        <f t="shared" si="4"/>
        <v>39.182496762261032</v>
      </c>
      <c r="Q15" s="180">
        <f>TWSC_PED_DELAY(B6,B7,B8,B9,B10,B11,B12)</f>
        <v>9.8381067488610086</v>
      </c>
      <c r="R15" s="177"/>
    </row>
    <row r="16" spans="1:21" x14ac:dyDescent="0.25">
      <c r="D16">
        <v>13</v>
      </c>
      <c r="E16" s="177">
        <f t="shared" si="0"/>
        <v>1.0360842777215628E-4</v>
      </c>
      <c r="F16" s="177">
        <f t="shared" si="1"/>
        <v>8.7860728343361664E-4</v>
      </c>
      <c r="J16" s="177">
        <f t="shared" si="6"/>
        <v>0.84738601839899219</v>
      </c>
      <c r="K16" s="177">
        <f t="shared" si="8"/>
        <v>9.3029006481206475E-2</v>
      </c>
      <c r="L16" s="177">
        <f t="shared" si="5"/>
        <v>14.664427448427567</v>
      </c>
      <c r="M16" s="177">
        <f t="shared" si="3"/>
        <v>2.5544360218930123E-2</v>
      </c>
      <c r="N16" s="179">
        <f t="shared" si="7"/>
        <v>14.689971808646497</v>
      </c>
      <c r="O16" s="179">
        <f t="shared" si="4"/>
        <v>39.301070128961172</v>
      </c>
      <c r="Q16" s="180">
        <f>PYFunc(2,B9,B10,B11,2)</f>
        <v>0.20192038423841754</v>
      </c>
      <c r="R16" s="177"/>
    </row>
    <row r="17" spans="1:18" x14ac:dyDescent="0.25">
      <c r="D17">
        <v>14</v>
      </c>
      <c r="E17" s="177">
        <f t="shared" si="0"/>
        <v>5.1804213886078141E-5</v>
      </c>
      <c r="F17" s="177">
        <f t="shared" si="1"/>
        <v>5.3594892274779708E-4</v>
      </c>
      <c r="J17" s="177">
        <f t="shared" si="6"/>
        <v>0.84792196732173997</v>
      </c>
      <c r="K17" s="177">
        <f t="shared" si="8"/>
        <v>6.128733563657162E-2</v>
      </c>
      <c r="L17" s="177">
        <f t="shared" si="5"/>
        <v>14.725714784064138</v>
      </c>
      <c r="M17" s="177">
        <f t="shared" si="3"/>
        <v>1.5582015537265591E-2</v>
      </c>
      <c r="N17" s="179">
        <f t="shared" si="7"/>
        <v>14.741296799601404</v>
      </c>
      <c r="O17" s="179">
        <f t="shared" si="4"/>
        <v>39.377939480135005</v>
      </c>
      <c r="R17" s="177"/>
    </row>
    <row r="18" spans="1:18" x14ac:dyDescent="0.25">
      <c r="D18">
        <v>15</v>
      </c>
      <c r="E18" s="177">
        <f t="shared" si="0"/>
        <v>2.590210694303907E-5</v>
      </c>
      <c r="F18" s="177">
        <f t="shared" si="1"/>
        <v>3.2692791558929489E-4</v>
      </c>
      <c r="J18" s="177">
        <f t="shared" si="6"/>
        <v>0.84824889523732927</v>
      </c>
      <c r="K18" s="177">
        <f t="shared" si="8"/>
        <v>4.0154440455908692E-2</v>
      </c>
      <c r="L18" s="177">
        <f t="shared" si="5"/>
        <v>14.765869224520047</v>
      </c>
      <c r="M18" s="177">
        <f t="shared" si="3"/>
        <v>9.5050025180761846E-3</v>
      </c>
      <c r="N18" s="179">
        <f t="shared" si="7"/>
        <v>14.775374227038123</v>
      </c>
      <c r="O18" s="179">
        <f t="shared" si="4"/>
        <v>39.427598923108988</v>
      </c>
    </row>
    <row r="19" spans="1:18" x14ac:dyDescent="0.25">
      <c r="D19">
        <v>16</v>
      </c>
      <c r="E19" s="177">
        <f t="shared" si="0"/>
        <v>1.2951053471519535E-5</v>
      </c>
      <c r="F19" s="177">
        <f t="shared" si="1"/>
        <v>1.9942546286608035E-4</v>
      </c>
      <c r="J19" s="177">
        <f t="shared" si="6"/>
        <v>0.84844832070019538</v>
      </c>
      <c r="K19" s="177">
        <f t="shared" si="8"/>
        <v>2.6183390183358312E-2</v>
      </c>
      <c r="L19" s="177">
        <f t="shared" si="5"/>
        <v>14.792052614703406</v>
      </c>
      <c r="M19" s="177">
        <f t="shared" si="3"/>
        <v>5.7980350906826177E-3</v>
      </c>
      <c r="N19" s="179">
        <f t="shared" si="7"/>
        <v>14.797850649794089</v>
      </c>
      <c r="O19" s="179">
        <f t="shared" si="4"/>
        <v>39.459580348383028</v>
      </c>
    </row>
    <row r="20" spans="1:18" x14ac:dyDescent="0.25">
      <c r="A20" t="s">
        <v>325</v>
      </c>
      <c r="B20">
        <v>1</v>
      </c>
      <c r="D20">
        <v>17</v>
      </c>
      <c r="E20" s="177">
        <f t="shared" si="0"/>
        <v>6.4755267357597676E-6</v>
      </c>
      <c r="F20" s="177">
        <f t="shared" si="1"/>
        <v>1.2164918730681071E-4</v>
      </c>
      <c r="J20" s="177">
        <f t="shared" si="6"/>
        <v>0.84856996988750222</v>
      </c>
      <c r="K20" s="177">
        <f t="shared" si="8"/>
        <v>1.7002262884763662E-2</v>
      </c>
      <c r="L20" s="177">
        <f t="shared" si="5"/>
        <v>14.809054877588171</v>
      </c>
      <c r="M20" s="177">
        <f t="shared" si="3"/>
        <v>3.5367913736849199E-3</v>
      </c>
      <c r="N20" s="179">
        <f t="shared" si="7"/>
        <v>14.812591668961856</v>
      </c>
      <c r="O20" s="179">
        <f t="shared" si="4"/>
        <v>39.480119402641478</v>
      </c>
      <c r="R20" s="177"/>
    </row>
    <row r="21" spans="1:18" x14ac:dyDescent="0.25">
      <c r="A21" t="s">
        <v>326</v>
      </c>
      <c r="B21">
        <v>2</v>
      </c>
      <c r="D21">
        <v>18</v>
      </c>
      <c r="E21" s="177">
        <f t="shared" si="0"/>
        <v>3.2377633678798838E-6</v>
      </c>
      <c r="F21" s="177">
        <f t="shared" si="1"/>
        <v>7.4205793782433798E-5</v>
      </c>
      <c r="J21" s="177">
        <f t="shared" si="6"/>
        <v>0.8486441756812847</v>
      </c>
      <c r="K21" s="177">
        <f t="shared" si="8"/>
        <v>1.099991766657254E-2</v>
      </c>
      <c r="L21" s="177">
        <f t="shared" si="5"/>
        <v>14.820054795254743</v>
      </c>
      <c r="M21" s="177">
        <f t="shared" si="3"/>
        <v>2.1574366186694455E-3</v>
      </c>
      <c r="N21" s="179">
        <f t="shared" si="7"/>
        <v>14.822212231873412</v>
      </c>
      <c r="O21" s="179">
        <f t="shared" si="4"/>
        <v>39.493276756926718</v>
      </c>
      <c r="R21" s="177"/>
    </row>
    <row r="22" spans="1:18" x14ac:dyDescent="0.25">
      <c r="D22">
        <v>19</v>
      </c>
      <c r="E22" s="177">
        <f t="shared" si="0"/>
        <v>1.6188816839399419E-6</v>
      </c>
      <c r="F22" s="177">
        <f t="shared" si="1"/>
        <v>4.5265405818058399E-5</v>
      </c>
      <c r="J22" s="177">
        <f t="shared" si="6"/>
        <v>0.84868944108710276</v>
      </c>
      <c r="K22" s="177">
        <f t="shared" si="8"/>
        <v>7.0933553587827986E-3</v>
      </c>
      <c r="L22" s="177">
        <f t="shared" si="5"/>
        <v>14.827148150613526</v>
      </c>
      <c r="M22" s="177">
        <f t="shared" si="3"/>
        <v>1.3160326046395799E-3</v>
      </c>
      <c r="N22" s="179">
        <f t="shared" si="7"/>
        <v>14.828464183218166</v>
      </c>
      <c r="O22" s="179">
        <f t="shared" si="4"/>
        <v>39.501686144890144</v>
      </c>
      <c r="R22" s="177"/>
    </row>
    <row r="23" spans="1:18" x14ac:dyDescent="0.25">
      <c r="D23">
        <v>20</v>
      </c>
      <c r="E23" s="177">
        <f t="shared" si="0"/>
        <v>8.0944084196997095E-7</v>
      </c>
      <c r="F23" s="177">
        <f t="shared" si="1"/>
        <v>2.7611819231818746E-5</v>
      </c>
      <c r="J23" s="177">
        <f t="shared" si="6"/>
        <v>0.84871705290633459</v>
      </c>
      <c r="K23" s="177">
        <f t="shared" si="8"/>
        <v>4.5608228472321793E-3</v>
      </c>
      <c r="L23" s="177">
        <f t="shared" si="5"/>
        <v>14.831708973460758</v>
      </c>
      <c r="M23" s="177">
        <f t="shared" si="3"/>
        <v>8.0277761185964429E-4</v>
      </c>
      <c r="N23" s="179">
        <f t="shared" si="7"/>
        <v>14.832511751072618</v>
      </c>
      <c r="O23" s="179">
        <f t="shared" si="4"/>
        <v>39.507049745349235</v>
      </c>
      <c r="R23" s="177"/>
    </row>
    <row r="24" spans="1:18" x14ac:dyDescent="0.25">
      <c r="D24">
        <v>21</v>
      </c>
      <c r="E24" s="177">
        <f t="shared" si="0"/>
        <v>4.0472042098498547E-7</v>
      </c>
      <c r="F24" s="177">
        <f t="shared" si="1"/>
        <v>1.6843161958050623E-5</v>
      </c>
      <c r="J24" s="177">
        <f t="shared" si="6"/>
        <v>0.84873389606829264</v>
      </c>
      <c r="K24" s="177">
        <f t="shared" si="8"/>
        <v>2.9247655353038496E-3</v>
      </c>
      <c r="L24" s="177">
        <f t="shared" si="5"/>
        <v>14.834633738996063</v>
      </c>
      <c r="M24" s="177">
        <f t="shared" si="3"/>
        <v>4.8969295428654108E-4</v>
      </c>
      <c r="N24" s="179">
        <f t="shared" si="7"/>
        <v>14.835123431950349</v>
      </c>
      <c r="O24" s="179">
        <f t="shared" si="4"/>
        <v>39.510464203838829</v>
      </c>
      <c r="R24" s="177"/>
    </row>
    <row r="25" spans="1:18" x14ac:dyDescent="0.25">
      <c r="D25">
        <v>22</v>
      </c>
      <c r="E25" s="177">
        <f t="shared" si="0"/>
        <v>2.0236021049249274E-7</v>
      </c>
      <c r="F25" s="177">
        <f t="shared" si="1"/>
        <v>1.0274299652749344E-5</v>
      </c>
      <c r="J25" s="177">
        <f t="shared" si="6"/>
        <v>0.84874417036794536</v>
      </c>
      <c r="K25" s="177">
        <f t="shared" si="8"/>
        <v>1.8711312779359983E-3</v>
      </c>
      <c r="L25" s="177">
        <f t="shared" si="5"/>
        <v>14.836504870273998</v>
      </c>
      <c r="M25" s="177">
        <f t="shared" si="3"/>
        <v>2.9871185485943867E-4</v>
      </c>
      <c r="N25" s="179">
        <f t="shared" si="7"/>
        <v>14.836803582128859</v>
      </c>
      <c r="O25" s="179">
        <f t="shared" si="4"/>
        <v>39.512634046971627</v>
      </c>
      <c r="R25" s="177"/>
    </row>
    <row r="26" spans="1:18" x14ac:dyDescent="0.25">
      <c r="D26">
        <v>23</v>
      </c>
      <c r="E26" s="177">
        <f t="shared" si="0"/>
        <v>1.0118010524624637E-7</v>
      </c>
      <c r="F26" s="177">
        <f t="shared" si="1"/>
        <v>6.2673050118229871E-6</v>
      </c>
      <c r="J26" s="177">
        <f t="shared" si="6"/>
        <v>0.84875043767295721</v>
      </c>
      <c r="K26" s="177">
        <f t="shared" si="8"/>
        <v>1.1944746022533224E-3</v>
      </c>
      <c r="L26" s="177">
        <f t="shared" si="5"/>
        <v>14.837699344876251</v>
      </c>
      <c r="M26" s="177">
        <f t="shared" si="3"/>
        <v>1.8221371463910578E-4</v>
      </c>
      <c r="N26" s="179">
        <f t="shared" si="7"/>
        <v>14.83788155859089</v>
      </c>
      <c r="O26" s="179">
        <f t="shared" si="4"/>
        <v>39.514010735288515</v>
      </c>
      <c r="R26" s="177"/>
    </row>
    <row r="27" spans="1:18" x14ac:dyDescent="0.25">
      <c r="D27">
        <v>24</v>
      </c>
      <c r="E27" s="177">
        <f t="shared" si="0"/>
        <v>5.0590052623123184E-8</v>
      </c>
      <c r="F27" s="177">
        <f t="shared" si="1"/>
        <v>3.8230452136488637E-6</v>
      </c>
      <c r="J27" s="177">
        <f t="shared" si="6"/>
        <v>0.84875426071817084</v>
      </c>
      <c r="K27" s="177">
        <f t="shared" si="8"/>
        <v>7.6101088252869152E-4</v>
      </c>
      <c r="L27" s="177">
        <f t="shared" si="5"/>
        <v>14.83846035575878</v>
      </c>
      <c r="M27" s="177">
        <f t="shared" si="3"/>
        <v>1.1115005066820271E-4</v>
      </c>
      <c r="N27" s="179">
        <f t="shared" si="7"/>
        <v>14.838571505809448</v>
      </c>
      <c r="O27" s="179">
        <f t="shared" si="4"/>
        <v>39.514882896221714</v>
      </c>
      <c r="R27" s="177"/>
    </row>
    <row r="28" spans="1:18" x14ac:dyDescent="0.25">
      <c r="D28">
        <v>25</v>
      </c>
      <c r="E28" s="177">
        <f t="shared" si="0"/>
        <v>2.5295026311561592E-8</v>
      </c>
      <c r="F28" s="177">
        <f t="shared" si="1"/>
        <v>2.332050965787755E-6</v>
      </c>
      <c r="J28" s="177">
        <f t="shared" si="6"/>
        <v>0.84875659276913662</v>
      </c>
      <c r="K28" s="177">
        <f t="shared" si="8"/>
        <v>4.8396916513524706E-4</v>
      </c>
      <c r="L28" s="177">
        <f t="shared" si="5"/>
        <v>14.838944324923915</v>
      </c>
      <c r="M28" s="177">
        <f t="shared" si="3"/>
        <v>6.7801338598392485E-5</v>
      </c>
      <c r="N28" s="179">
        <f t="shared" si="7"/>
        <v>14.839012126262514</v>
      </c>
      <c r="O28" s="179">
        <f t="shared" si="4"/>
        <v>39.515434666725447</v>
      </c>
    </row>
    <row r="29" spans="1:18" x14ac:dyDescent="0.25">
      <c r="D29">
        <v>26</v>
      </c>
      <c r="E29" s="177">
        <f t="shared" si="0"/>
        <v>1.2647513155780796E-8</v>
      </c>
      <c r="F29" s="177">
        <f t="shared" si="1"/>
        <v>1.4225470542706367E-6</v>
      </c>
      <c r="J29" s="177">
        <f t="shared" si="6"/>
        <v>0.84875801531619088</v>
      </c>
      <c r="K29" s="177">
        <f t="shared" si="8"/>
        <v>3.0727016372245752E-4</v>
      </c>
      <c r="L29" s="177">
        <f t="shared" si="5"/>
        <v>14.839251595087637</v>
      </c>
      <c r="M29" s="177">
        <f t="shared" si="3"/>
        <v>4.1358699236780733E-5</v>
      </c>
      <c r="N29" s="179">
        <f t="shared" si="7"/>
        <v>14.839292953786874</v>
      </c>
      <c r="O29" s="179">
        <f t="shared" si="4"/>
        <v>39.515783295588406</v>
      </c>
    </row>
    <row r="30" spans="1:18" x14ac:dyDescent="0.25">
      <c r="D30">
        <v>27</v>
      </c>
      <c r="E30" s="177">
        <f t="shared" si="0"/>
        <v>6.323756577890398E-9</v>
      </c>
      <c r="F30" s="177">
        <f t="shared" si="1"/>
        <v>8.6775124184852883E-7</v>
      </c>
      <c r="J30" s="177">
        <f t="shared" si="6"/>
        <v>0.84875888306743275</v>
      </c>
      <c r="K30" s="177">
        <f t="shared" si="8"/>
        <v>1.9478463169964624E-4</v>
      </c>
      <c r="L30" s="177">
        <f t="shared" si="5"/>
        <v>14.839446379719337</v>
      </c>
      <c r="M30" s="177">
        <f t="shared" si="3"/>
        <v>2.5228734976287038E-5</v>
      </c>
      <c r="N30" s="179">
        <f t="shared" si="7"/>
        <v>14.839471608454314</v>
      </c>
      <c r="O30" s="179">
        <f t="shared" si="4"/>
        <v>39.516003308955085</v>
      </c>
    </row>
    <row r="31" spans="1:18" x14ac:dyDescent="0.25">
      <c r="D31">
        <v>28</v>
      </c>
      <c r="E31" s="177">
        <f t="shared" si="0"/>
        <v>3.161878288945199E-9</v>
      </c>
      <c r="F31" s="177">
        <f t="shared" si="1"/>
        <v>5.2932675615850763E-7</v>
      </c>
      <c r="J31" s="177">
        <f t="shared" si="6"/>
        <v>0.84875941239418895</v>
      </c>
      <c r="K31" s="177">
        <f t="shared" si="8"/>
        <v>1.2330199731692295E-4</v>
      </c>
      <c r="L31" s="177">
        <f t="shared" si="5"/>
        <v>14.839569681716654</v>
      </c>
      <c r="M31" s="177">
        <f t="shared" si="3"/>
        <v>1.5389484684484999E-5</v>
      </c>
      <c r="N31" s="179">
        <f t="shared" si="7"/>
        <v>14.839585071201338</v>
      </c>
      <c r="O31" s="179">
        <f t="shared" si="4"/>
        <v>39.516142000437092</v>
      </c>
    </row>
    <row r="32" spans="1:18" x14ac:dyDescent="0.25">
      <c r="D32">
        <v>29</v>
      </c>
      <c r="E32" s="177">
        <f t="shared" si="0"/>
        <v>1.5809391444725995E-9</v>
      </c>
      <c r="F32" s="177">
        <f t="shared" si="1"/>
        <v>3.2288840540939208E-7</v>
      </c>
      <c r="J32" s="177">
        <f t="shared" si="6"/>
        <v>0.84875973528259441</v>
      </c>
      <c r="K32" s="177">
        <f t="shared" si="8"/>
        <v>7.7949059752949708E-5</v>
      </c>
      <c r="L32" s="177">
        <f t="shared" si="5"/>
        <v>14.839647630776406</v>
      </c>
      <c r="M32" s="177">
        <f t="shared" si="3"/>
        <v>9.3875590301012123E-6</v>
      </c>
      <c r="N32" s="179">
        <f t="shared" si="7"/>
        <v>14.839657018335437</v>
      </c>
      <c r="O32" s="179">
        <f t="shared" si="4"/>
        <v>39.516229337055876</v>
      </c>
    </row>
    <row r="33" spans="4:15" x14ac:dyDescent="0.25">
      <c r="D33">
        <v>30</v>
      </c>
      <c r="E33" s="177">
        <f t="shared" si="0"/>
        <v>7.9046957223629975E-10</v>
      </c>
      <c r="F33" s="177">
        <f t="shared" si="1"/>
        <v>1.9696136862670755E-7</v>
      </c>
      <c r="J33" s="177">
        <f t="shared" si="6"/>
        <v>0.84875993224396307</v>
      </c>
      <c r="K33" s="177">
        <f t="shared" si="8"/>
        <v>4.9217170230956094E-5</v>
      </c>
      <c r="L33" s="177">
        <f t="shared" si="5"/>
        <v>14.839696847946637</v>
      </c>
      <c r="M33" s="177">
        <f t="shared" si="3"/>
        <v>5.7263947656123721E-6</v>
      </c>
      <c r="N33" s="179">
        <f t="shared" si="7"/>
        <v>14.839702574341404</v>
      </c>
      <c r="O33" s="179">
        <f t="shared" si="4"/>
        <v>39.516284280620873</v>
      </c>
    </row>
    <row r="34" spans="4:15" x14ac:dyDescent="0.25">
      <c r="D34">
        <v>31</v>
      </c>
      <c r="E34" s="177">
        <f t="shared" si="0"/>
        <v>3.9523478611814988E-10</v>
      </c>
      <c r="F34" s="177">
        <f t="shared" si="1"/>
        <v>1.2014609407144966E-7</v>
      </c>
      <c r="J34" s="177">
        <f t="shared" si="6"/>
        <v>0.84876005239005714</v>
      </c>
      <c r="K34" s="177">
        <f t="shared" si="8"/>
        <v>3.1040096774223937E-5</v>
      </c>
      <c r="L34" s="177">
        <f t="shared" si="5"/>
        <v>14.839727888043411</v>
      </c>
      <c r="M34" s="177">
        <f t="shared" si="3"/>
        <v>3.4930908993026285E-6</v>
      </c>
      <c r="N34" s="179">
        <f t="shared" si="7"/>
        <v>14.83973138113431</v>
      </c>
      <c r="O34" s="179">
        <f t="shared" si="4"/>
        <v>39.516318813808546</v>
      </c>
    </row>
    <row r="35" spans="4:15" x14ac:dyDescent="0.25">
      <c r="D35">
        <v>32</v>
      </c>
      <c r="E35" s="177">
        <f t="shared" si="0"/>
        <v>1.9761739305907494E-10</v>
      </c>
      <c r="F35" s="177">
        <f t="shared" si="1"/>
        <v>7.3288909508644082E-8</v>
      </c>
      <c r="J35" s="177">
        <f t="shared" si="6"/>
        <v>0.84876012567896664</v>
      </c>
      <c r="K35" s="177">
        <f t="shared" si="8"/>
        <v>1.9555205501835856E-5</v>
      </c>
      <c r="L35" s="177">
        <f t="shared" si="5"/>
        <v>14.839747443248912</v>
      </c>
      <c r="M35" s="177">
        <f t="shared" si="3"/>
        <v>2.1307794051275536E-6</v>
      </c>
      <c r="N35" s="179">
        <f t="shared" si="7"/>
        <v>14.839749574028318</v>
      </c>
      <c r="O35" s="179">
        <f t="shared" si="4"/>
        <v>39.516340499793458</v>
      </c>
    </row>
    <row r="36" spans="4:15" x14ac:dyDescent="0.25">
      <c r="D36">
        <v>33</v>
      </c>
      <c r="E36" s="177">
        <f t="shared" si="0"/>
        <v>9.8808696529537469E-11</v>
      </c>
      <c r="F36" s="177">
        <f t="shared" si="1"/>
        <v>4.4706108002071318E-8</v>
      </c>
      <c r="J36" s="177">
        <f t="shared" si="6"/>
        <v>0.84876017038507467</v>
      </c>
      <c r="K36" s="177">
        <f t="shared" si="8"/>
        <v>1.230732855586434E-5</v>
      </c>
      <c r="L36" s="177">
        <f t="shared" si="5"/>
        <v>14.839759750577468</v>
      </c>
      <c r="M36" s="177">
        <f t="shared" si="3"/>
        <v>1.2997717498375959E-6</v>
      </c>
      <c r="N36" s="179">
        <f t="shared" si="7"/>
        <v>14.839761050349217</v>
      </c>
      <c r="O36" s="179">
        <f t="shared" si="4"/>
        <v>39.516354106893765</v>
      </c>
    </row>
    <row r="37" spans="4:15" x14ac:dyDescent="0.25">
      <c r="D37">
        <v>34</v>
      </c>
      <c r="E37" s="177">
        <f t="shared" si="0"/>
        <v>4.9404348264768734E-11</v>
      </c>
      <c r="F37" s="177">
        <f t="shared" si="1"/>
        <v>2.7270648517837685E-8</v>
      </c>
      <c r="J37" s="177">
        <f t="shared" si="6"/>
        <v>0.84876019765572319</v>
      </c>
      <c r="K37" s="177">
        <f t="shared" si="8"/>
        <v>7.7384475558852351E-6</v>
      </c>
      <c r="L37" s="177">
        <f t="shared" si="5"/>
        <v>14.839767489025023</v>
      </c>
      <c r="M37" s="177">
        <f t="shared" si="3"/>
        <v>7.9285851857758376E-7</v>
      </c>
      <c r="N37" s="179">
        <f t="shared" si="7"/>
        <v>14.839768281883542</v>
      </c>
      <c r="O37" s="179">
        <f t="shared" si="4"/>
        <v>39.516362638199844</v>
      </c>
    </row>
    <row r="38" spans="4:15" x14ac:dyDescent="0.25">
      <c r="D38">
        <v>35</v>
      </c>
      <c r="E38" s="177">
        <f t="shared" si="0"/>
        <v>2.4702174132384367E-11</v>
      </c>
      <c r="F38" s="177">
        <f t="shared" si="1"/>
        <v>1.6635048413080503E-8</v>
      </c>
      <c r="J38" s="177">
        <f t="shared" si="6"/>
        <v>0.84876021429077164</v>
      </c>
      <c r="K38" s="177">
        <f t="shared" si="8"/>
        <v>4.8613482656578791E-6</v>
      </c>
      <c r="L38" s="177">
        <f t="shared" si="5"/>
        <v>14.839772350373289</v>
      </c>
      <c r="M38" s="177">
        <f t="shared" si="3"/>
        <v>4.8364232386286772E-7</v>
      </c>
      <c r="N38" s="179">
        <f t="shared" si="7"/>
        <v>14.839772834015614</v>
      </c>
      <c r="O38" s="179">
        <f t="shared" si="4"/>
        <v>39.516367983190435</v>
      </c>
    </row>
    <row r="39" spans="4:15" x14ac:dyDescent="0.25">
      <c r="D39">
        <v>36</v>
      </c>
      <c r="E39" s="177">
        <f t="shared" si="0"/>
        <v>1.2351087066192184E-11</v>
      </c>
      <c r="F39" s="177">
        <f t="shared" si="1"/>
        <v>1.0147350736052281E-8</v>
      </c>
      <c r="J39" s="177">
        <f t="shared" si="6"/>
        <v>0.84876022443812238</v>
      </c>
      <c r="K39" s="177">
        <f t="shared" si="8"/>
        <v>3.0513680566293678E-6</v>
      </c>
      <c r="L39" s="177">
        <f t="shared" si="5"/>
        <v>14.839775401741345</v>
      </c>
      <c r="M39" s="177">
        <f t="shared" si="3"/>
        <v>2.9502098074311626E-7</v>
      </c>
      <c r="N39" s="179">
        <f t="shared" si="7"/>
        <v>14.839775696762326</v>
      </c>
      <c r="O39" s="179">
        <f t="shared" si="4"/>
        <v>39.516371329579471</v>
      </c>
    </row>
    <row r="40" spans="4:15" x14ac:dyDescent="0.25">
      <c r="D40">
        <v>37</v>
      </c>
      <c r="E40" s="177">
        <f t="shared" si="0"/>
        <v>6.1755435330960918E-12</v>
      </c>
      <c r="F40" s="177">
        <f t="shared" si="1"/>
        <v>6.1898663917249653E-9</v>
      </c>
      <c r="J40" s="177">
        <f t="shared" si="6"/>
        <v>0.84876023062798878</v>
      </c>
      <c r="K40" s="177">
        <f t="shared" si="8"/>
        <v>1.9137610444062598E-6</v>
      </c>
      <c r="L40" s="177">
        <f t="shared" si="5"/>
        <v>14.83977731550239</v>
      </c>
      <c r="M40" s="177">
        <f t="shared" si="3"/>
        <v>1.7996228771241028E-7</v>
      </c>
      <c r="N40" s="179">
        <f t="shared" si="7"/>
        <v>14.839777495464677</v>
      </c>
      <c r="O40" s="179">
        <f t="shared" si="4"/>
        <v>39.516373423302802</v>
      </c>
    </row>
    <row r="41" spans="4:15" x14ac:dyDescent="0.25">
      <c r="D41">
        <v>38</v>
      </c>
      <c r="E41" s="177">
        <f t="shared" si="0"/>
        <v>3.0877717665480459E-12</v>
      </c>
      <c r="F41" s="177">
        <f t="shared" si="1"/>
        <v>3.7758077872398194E-9</v>
      </c>
      <c r="J41" s="177">
        <f t="shared" si="6"/>
        <v>0.84876023440379655</v>
      </c>
      <c r="K41" s="177">
        <f t="shared" si="8"/>
        <v>1.1993742382997072E-6</v>
      </c>
      <c r="L41" s="177">
        <f t="shared" si="5"/>
        <v>14.839778514876629</v>
      </c>
      <c r="M41" s="177">
        <f t="shared" si="3"/>
        <v>1.0977668431793826E-7</v>
      </c>
      <c r="N41" s="179">
        <f t="shared" si="7"/>
        <v>14.839778624653313</v>
      </c>
      <c r="O41" s="179">
        <f t="shared" si="4"/>
        <v>39.516374732453727</v>
      </c>
    </row>
    <row r="42" spans="4:15" x14ac:dyDescent="0.25">
      <c r="D42">
        <v>39</v>
      </c>
      <c r="E42" s="177">
        <f t="shared" si="0"/>
        <v>1.543885883274023E-12</v>
      </c>
      <c r="F42" s="177">
        <f t="shared" si="1"/>
        <v>2.3032362211766596E-9</v>
      </c>
      <c r="J42" s="177">
        <f t="shared" si="6"/>
        <v>0.84876023670703282</v>
      </c>
      <c r="K42" s="177">
        <f t="shared" si="8"/>
        <v>7.5112597707078834E-7</v>
      </c>
      <c r="L42" s="177">
        <f t="shared" si="5"/>
        <v>14.839779266002607</v>
      </c>
      <c r="M42" s="177">
        <f t="shared" si="3"/>
        <v>6.6963586623437687E-8</v>
      </c>
      <c r="N42" s="179">
        <f t="shared" si="7"/>
        <v>14.839779332966193</v>
      </c>
      <c r="O42" s="179">
        <f t="shared" si="4"/>
        <v>39.516375550543287</v>
      </c>
    </row>
    <row r="43" spans="4:15" x14ac:dyDescent="0.25">
      <c r="D43">
        <v>40</v>
      </c>
      <c r="E43" s="177">
        <f t="shared" si="0"/>
        <v>7.7194294163701148E-13</v>
      </c>
      <c r="F43" s="177">
        <f t="shared" si="1"/>
        <v>1.4049700915023884E-9</v>
      </c>
      <c r="J43" s="177">
        <f t="shared" si="6"/>
        <v>0.84876023811200296</v>
      </c>
      <c r="K43" s="177">
        <f t="shared" si="8"/>
        <v>4.700864635567991E-7</v>
      </c>
      <c r="L43" s="177">
        <f t="shared" si="5"/>
        <v>14.839779736089071</v>
      </c>
      <c r="M43" s="177">
        <f t="shared" si="3"/>
        <v>4.0847671075659816E-8</v>
      </c>
      <c r="N43" s="179">
        <f t="shared" si="7"/>
        <v>14.839779776936743</v>
      </c>
      <c r="O43" s="179">
        <f t="shared" si="4"/>
        <v>39.516376061477423</v>
      </c>
    </row>
    <row r="44" spans="4:15" x14ac:dyDescent="0.25">
      <c r="D44">
        <v>41</v>
      </c>
      <c r="E44" s="177">
        <f t="shared" si="0"/>
        <v>3.8597147081850574E-13</v>
      </c>
      <c r="F44" s="177">
        <f t="shared" si="1"/>
        <v>8.5702930596525804E-10</v>
      </c>
      <c r="J44" s="177">
        <f t="shared" si="6"/>
        <v>0.8487602389690323</v>
      </c>
      <c r="K44" s="177">
        <f t="shared" si="8"/>
        <v>2.9401146543466972E-7</v>
      </c>
      <c r="L44" s="177">
        <f t="shared" si="5"/>
        <v>14.839780030100536</v>
      </c>
      <c r="M44" s="177">
        <f t="shared" si="3"/>
        <v>2.4917008116928815E-8</v>
      </c>
      <c r="N44" s="179">
        <f t="shared" si="7"/>
        <v>14.839780055017545</v>
      </c>
      <c r="O44" s="179">
        <f t="shared" si="4"/>
        <v>39.516376380405895</v>
      </c>
    </row>
    <row r="45" spans="4:15" x14ac:dyDescent="0.25">
      <c r="D45">
        <v>42</v>
      </c>
      <c r="E45" s="177">
        <f t="shared" si="0"/>
        <v>1.9298573540925287E-13</v>
      </c>
      <c r="F45" s="177">
        <f t="shared" si="1"/>
        <v>5.2278638196112293E-10</v>
      </c>
      <c r="J45" s="177">
        <f t="shared" si="6"/>
        <v>0.84876023949181867</v>
      </c>
      <c r="K45" s="177">
        <f t="shared" si="8"/>
        <v>1.8377478932939242E-7</v>
      </c>
      <c r="L45" s="177">
        <f t="shared" si="5"/>
        <v>14.839780213875326</v>
      </c>
      <c r="M45" s="177">
        <f t="shared" si="3"/>
        <v>1.5199332067460185E-8</v>
      </c>
      <c r="N45" s="179">
        <f t="shared" si="7"/>
        <v>14.839780229074657</v>
      </c>
      <c r="O45" s="179">
        <f t="shared" si="4"/>
        <v>39.516376579380015</v>
      </c>
    </row>
    <row r="46" spans="4:15" x14ac:dyDescent="0.25">
      <c r="D46">
        <v>43</v>
      </c>
      <c r="E46" s="177">
        <f t="shared" si="0"/>
        <v>9.6492867704626435E-14</v>
      </c>
      <c r="F46" s="177">
        <f t="shared" si="1"/>
        <v>3.1889879324534971E-10</v>
      </c>
      <c r="J46" s="177">
        <f t="shared" si="6"/>
        <v>0.84876023981071747</v>
      </c>
      <c r="K46" s="177">
        <f t="shared" si="8"/>
        <v>1.148035655683259E-7</v>
      </c>
      <c r="L46" s="177">
        <f t="shared" si="5"/>
        <v>14.839780328678891</v>
      </c>
      <c r="M46" s="177">
        <f t="shared" si="3"/>
        <v>9.2715662075908554E-9</v>
      </c>
      <c r="N46" s="179">
        <f t="shared" si="7"/>
        <v>14.839780337950458</v>
      </c>
      <c r="O46" s="179">
        <f t="shared" si="4"/>
        <v>39.516376703455144</v>
      </c>
    </row>
    <row r="47" spans="4:15" x14ac:dyDescent="0.25">
      <c r="D47">
        <v>44</v>
      </c>
      <c r="E47" s="177">
        <f t="shared" si="0"/>
        <v>4.8246433852313217E-14</v>
      </c>
      <c r="F47" s="177">
        <f t="shared" si="1"/>
        <v>1.9452771095283742E-10</v>
      </c>
      <c r="J47" s="177">
        <f t="shared" si="6"/>
        <v>0.84876024000524519</v>
      </c>
      <c r="K47" s="177">
        <f t="shared" si="8"/>
        <v>7.1677740082857277E-8</v>
      </c>
      <c r="L47" s="177">
        <f t="shared" si="5"/>
        <v>14.839780400356631</v>
      </c>
      <c r="M47" s="177">
        <f t="shared" si="3"/>
        <v>5.6556390420576684E-9</v>
      </c>
      <c r="N47" s="179">
        <f t="shared" si="7"/>
        <v>14.83978040601227</v>
      </c>
      <c r="O47" s="179">
        <f t="shared" si="4"/>
        <v>39.516376780788519</v>
      </c>
    </row>
    <row r="48" spans="4:15" x14ac:dyDescent="0.25">
      <c r="D48">
        <v>45</v>
      </c>
      <c r="E48" s="177">
        <f t="shared" si="0"/>
        <v>2.4123216926156609E-14</v>
      </c>
      <c r="F48" s="177">
        <f t="shared" si="1"/>
        <v>1.1866156075402163E-10</v>
      </c>
      <c r="J48" s="177">
        <f t="shared" si="6"/>
        <v>0.84876024012390672</v>
      </c>
      <c r="K48" s="177">
        <f t="shared" si="8"/>
        <v>4.4728428312457093E-8</v>
      </c>
      <c r="L48" s="177">
        <f t="shared" si="5"/>
        <v>14.83978044508506</v>
      </c>
      <c r="M48" s="177">
        <f t="shared" si="3"/>
        <v>3.449930694062807E-9</v>
      </c>
      <c r="N48" s="179">
        <f t="shared" si="7"/>
        <v>14.83978044853499</v>
      </c>
      <c r="O48" s="179">
        <f t="shared" si="4"/>
        <v>39.516376828966884</v>
      </c>
    </row>
    <row r="49" spans="4:15" x14ac:dyDescent="0.25">
      <c r="D49">
        <v>46</v>
      </c>
      <c r="E49" s="177">
        <f t="shared" si="0"/>
        <v>1.2061608463078304E-14</v>
      </c>
      <c r="F49" s="177">
        <f t="shared" si="1"/>
        <v>7.2383360678859181E-11</v>
      </c>
      <c r="J49" s="177">
        <f t="shared" si="6"/>
        <v>0.84876024019629004</v>
      </c>
      <c r="K49" s="177">
        <f t="shared" si="8"/>
        <v>2.7897398774581494E-8</v>
      </c>
      <c r="L49" s="177">
        <f t="shared" si="5"/>
        <v>14.839780472982458</v>
      </c>
      <c r="M49" s="177">
        <f t="shared" si="3"/>
        <v>2.1044524815582627E-9</v>
      </c>
      <c r="N49" s="179">
        <f t="shared" si="7"/>
        <v>14.83978047508691</v>
      </c>
      <c r="O49" s="179">
        <f t="shared" si="4"/>
        <v>39.516376858968734</v>
      </c>
    </row>
    <row r="50" spans="4:15" x14ac:dyDescent="0.25">
      <c r="D50">
        <v>47</v>
      </c>
      <c r="E50" s="177">
        <f t="shared" si="0"/>
        <v>6.0308042315391522E-15</v>
      </c>
      <c r="F50" s="177">
        <f t="shared" si="1"/>
        <v>4.4153740034923376E-11</v>
      </c>
      <c r="J50" s="177">
        <f t="shared" si="6"/>
        <v>0.84876024024044383</v>
      </c>
      <c r="K50" s="177">
        <f t="shared" si="8"/>
        <v>1.7391379016108643E-8</v>
      </c>
      <c r="L50" s="177">
        <f t="shared" si="5"/>
        <v>14.839780490373837</v>
      </c>
      <c r="M50" s="177">
        <f t="shared" si="3"/>
        <v>1.2837114116801814E-9</v>
      </c>
      <c r="N50" s="179">
        <f t="shared" si="7"/>
        <v>14.839780491657548</v>
      </c>
      <c r="O50" s="179">
        <f t="shared" si="4"/>
        <v>39.516376877643822</v>
      </c>
    </row>
    <row r="51" spans="4:15" x14ac:dyDescent="0.25">
      <c r="D51">
        <v>48</v>
      </c>
      <c r="E51" s="177">
        <f t="shared" si="0"/>
        <v>3.0154021157695761E-15</v>
      </c>
      <c r="F51" s="177">
        <f t="shared" si="1"/>
        <v>2.6933684864778451E-11</v>
      </c>
      <c r="J51" s="177">
        <f t="shared" si="6"/>
        <v>0.84876024026737751</v>
      </c>
      <c r="K51" s="177">
        <f t="shared" si="8"/>
        <v>1.0836847322063801E-8</v>
      </c>
      <c r="L51" s="177">
        <f t="shared" si="5"/>
        <v>14.839780501210685</v>
      </c>
      <c r="M51" s="177">
        <f t="shared" si="3"/>
        <v>7.8306187677914272E-10</v>
      </c>
      <c r="N51" s="179">
        <f t="shared" si="7"/>
        <v>14.839780501993747</v>
      </c>
      <c r="O51" s="179">
        <f t="shared" si="4"/>
        <v>39.516376889263732</v>
      </c>
    </row>
    <row r="52" spans="4:15" x14ac:dyDescent="0.25">
      <c r="D52">
        <v>49</v>
      </c>
      <c r="E52" s="177">
        <f t="shared" si="0"/>
        <v>1.507701057884788E-15</v>
      </c>
      <c r="F52" s="177">
        <f t="shared" si="1"/>
        <v>1.6429504035635907E-11</v>
      </c>
      <c r="J52" s="177">
        <f t="shared" si="6"/>
        <v>0.84876024028380703</v>
      </c>
      <c r="K52" s="177">
        <f t="shared" si="8"/>
        <v>6.7496268344047745E-9</v>
      </c>
      <c r="L52" s="177">
        <f t="shared" si="5"/>
        <v>14.839780507960311</v>
      </c>
      <c r="M52" s="177">
        <f t="shared" si="3"/>
        <v>4.7766601131998502E-10</v>
      </c>
      <c r="N52" s="179">
        <f t="shared" si="7"/>
        <v>14.839780508437977</v>
      </c>
      <c r="O52" s="179">
        <f t="shared" si="4"/>
        <v>39.516376896491032</v>
      </c>
    </row>
    <row r="53" spans="4:15" x14ac:dyDescent="0.25">
      <c r="D53">
        <v>50</v>
      </c>
      <c r="E53" s="177">
        <f t="shared" si="0"/>
        <v>7.5385052894239402E-16</v>
      </c>
      <c r="F53" s="177">
        <f t="shared" si="1"/>
        <v>1.0021961090670261E-11</v>
      </c>
      <c r="J53" s="177">
        <f t="shared" si="6"/>
        <v>0.84876024029382902</v>
      </c>
      <c r="K53" s="177">
        <f t="shared" si="8"/>
        <v>4.2021493326057431E-9</v>
      </c>
      <c r="L53" s="177">
        <f t="shared" si="5"/>
        <v>14.839780512162461</v>
      </c>
      <c r="M53" s="177">
        <f t="shared" si="3"/>
        <v>2.913750286799822E-10</v>
      </c>
      <c r="N53" s="179">
        <f t="shared" si="7"/>
        <v>14.839780512453837</v>
      </c>
      <c r="O53" s="179">
        <f t="shared" si="4"/>
        <v>39.516376900984554</v>
      </c>
    </row>
    <row r="54" spans="4:15" x14ac:dyDescent="0.25">
      <c r="D54">
        <v>51</v>
      </c>
      <c r="E54" s="177">
        <f t="shared" si="0"/>
        <v>3.7692526447119701E-16</v>
      </c>
      <c r="F54" s="177">
        <f t="shared" si="1"/>
        <v>6.1133702859748312E-12</v>
      </c>
      <c r="J54" s="177">
        <f t="shared" si="6"/>
        <v>0.84876024029994235</v>
      </c>
      <c r="K54" s="177">
        <f t="shared" si="8"/>
        <v>2.6150840423299393E-9</v>
      </c>
      <c r="L54" s="177">
        <f t="shared" si="5"/>
        <v>14.839780514777544</v>
      </c>
      <c r="M54" s="177">
        <f t="shared" si="3"/>
        <v>1.7773897386565725E-10</v>
      </c>
      <c r="N54" s="179">
        <f t="shared" si="7"/>
        <v>14.839780514955283</v>
      </c>
      <c r="O54" s="179">
        <f t="shared" si="4"/>
        <v>39.516376903777378</v>
      </c>
    </row>
    <row r="55" spans="4:15" x14ac:dyDescent="0.25">
      <c r="D55">
        <v>52</v>
      </c>
      <c r="E55" s="177">
        <f t="shared" si="0"/>
        <v>1.8846263223559851E-16</v>
      </c>
      <c r="F55" s="177">
        <f t="shared" si="1"/>
        <v>3.7291602043336521E-12</v>
      </c>
      <c r="J55" s="177">
        <f t="shared" si="6"/>
        <v>0.84876024030367148</v>
      </c>
      <c r="K55" s="177">
        <f t="shared" si="8"/>
        <v>1.6267912985493156E-9</v>
      </c>
      <c r="L55" s="177">
        <f t="shared" si="5"/>
        <v>14.839780516404335</v>
      </c>
      <c r="M55" s="177">
        <f t="shared" si="3"/>
        <v>1.0842106297726627E-10</v>
      </c>
      <c r="N55" s="179">
        <f t="shared" si="7"/>
        <v>14.839780516512757</v>
      </c>
      <c r="O55" s="179">
        <f t="shared" si="4"/>
        <v>39.516376905512594</v>
      </c>
    </row>
    <row r="56" spans="4:15" x14ac:dyDescent="0.25">
      <c r="D56">
        <v>53</v>
      </c>
      <c r="E56" s="177">
        <f t="shared" si="0"/>
        <v>9.4231316117799253E-17</v>
      </c>
      <c r="F56" s="177">
        <f t="shared" si="1"/>
        <v>2.2747937864881344E-12</v>
      </c>
      <c r="J56" s="177">
        <f t="shared" si="6"/>
        <v>0.84876024030594632</v>
      </c>
      <c r="K56" s="177">
        <f t="shared" si="8"/>
        <v>1.0116141779911937E-9</v>
      </c>
      <c r="L56" s="177">
        <f t="shared" si="5"/>
        <v>14.839780517415949</v>
      </c>
      <c r="M56" s="177">
        <f t="shared" si="3"/>
        <v>6.6135672102184219E-11</v>
      </c>
      <c r="N56" s="179">
        <f t="shared" si="7"/>
        <v>14.839780517482085</v>
      </c>
      <c r="O56" s="179">
        <f t="shared" si="4"/>
        <v>39.516376906590345</v>
      </c>
    </row>
    <row r="57" spans="4:15" x14ac:dyDescent="0.25">
      <c r="D57">
        <v>54</v>
      </c>
      <c r="E57" s="177">
        <f t="shared" si="0"/>
        <v>4.7115658058899626E-17</v>
      </c>
      <c r="F57" s="177">
        <f t="shared" si="1"/>
        <v>1.3875995293904342E-12</v>
      </c>
      <c r="J57" s="177">
        <f t="shared" si="6"/>
        <v>0.84876024030733388</v>
      </c>
      <c r="K57" s="177">
        <f t="shared" si="8"/>
        <v>6.2882745731905319E-10</v>
      </c>
      <c r="L57" s="177">
        <f t="shared" si="5"/>
        <v>14.839780518044776</v>
      </c>
      <c r="M57" s="177">
        <f t="shared" si="3"/>
        <v>4.0343441006197123E-11</v>
      </c>
      <c r="N57" s="179">
        <f t="shared" si="7"/>
        <v>14.839780518085119</v>
      </c>
      <c r="O57" s="179">
        <f t="shared" si="4"/>
        <v>39.51637690725952</v>
      </c>
    </row>
    <row r="58" spans="4:15" x14ac:dyDescent="0.25">
      <c r="D58">
        <v>55</v>
      </c>
      <c r="E58" s="177">
        <f t="shared" si="0"/>
        <v>2.3557829029449813E-17</v>
      </c>
      <c r="F58" s="177">
        <f t="shared" si="1"/>
        <v>8.4645000156188097E-13</v>
      </c>
      <c r="J58" s="177">
        <f t="shared" si="6"/>
        <v>0.84876024030818031</v>
      </c>
      <c r="K58" s="177">
        <f t="shared" si="8"/>
        <v>3.9076115366221422E-10</v>
      </c>
      <c r="L58" s="177">
        <f t="shared" si="5"/>
        <v>14.839780518435537</v>
      </c>
      <c r="M58" s="177">
        <f t="shared" si="3"/>
        <v>2.4609726021735162E-11</v>
      </c>
      <c r="N58" s="179">
        <f t="shared" si="7"/>
        <v>14.839780518460147</v>
      </c>
      <c r="O58" s="179">
        <f t="shared" si="4"/>
        <v>39.516376907674896</v>
      </c>
    </row>
    <row r="59" spans="4:15" x14ac:dyDescent="0.25">
      <c r="D59">
        <v>56</v>
      </c>
      <c r="E59" s="177">
        <f t="shared" si="0"/>
        <v>1.1778914514724907E-17</v>
      </c>
      <c r="F59" s="177">
        <f t="shared" si="1"/>
        <v>5.1633926383065277E-13</v>
      </c>
      <c r="J59" s="177">
        <f t="shared" si="6"/>
        <v>0.84876024030869668</v>
      </c>
      <c r="K59" s="177">
        <f t="shared" si="8"/>
        <v>2.4274019979615157E-10</v>
      </c>
      <c r="L59" s="177">
        <f t="shared" si="5"/>
        <v>14.839780518678278</v>
      </c>
      <c r="M59" s="177">
        <f t="shared" si="3"/>
        <v>1.5011416946088183E-11</v>
      </c>
      <c r="N59" s="179">
        <f t="shared" si="7"/>
        <v>14.83978051869329</v>
      </c>
      <c r="O59" s="179">
        <f t="shared" si="4"/>
        <v>39.516376907932653</v>
      </c>
    </row>
    <row r="60" spans="4:15" x14ac:dyDescent="0.25">
      <c r="D60">
        <v>57</v>
      </c>
      <c r="E60" s="177">
        <f t="shared" si="0"/>
        <v>5.8894572573624533E-18</v>
      </c>
      <c r="F60" s="177">
        <f t="shared" si="1"/>
        <v>3.1495612621418602E-13</v>
      </c>
      <c r="J60" s="177">
        <f t="shared" si="6"/>
        <v>0.84876024030901165</v>
      </c>
      <c r="K60" s="177">
        <f t="shared" si="8"/>
        <v>1.5073429663991869E-10</v>
      </c>
      <c r="L60" s="177">
        <f t="shared" si="5"/>
        <v>14.839780518829013</v>
      </c>
      <c r="M60" s="177">
        <f t="shared" si="3"/>
        <v>9.1566754178984411E-12</v>
      </c>
      <c r="N60" s="179">
        <f t="shared" si="7"/>
        <v>14.83978051883817</v>
      </c>
      <c r="O60" s="179">
        <f t="shared" si="4"/>
        <v>39.516376908092546</v>
      </c>
    </row>
    <row r="61" spans="4:15" x14ac:dyDescent="0.25">
      <c r="D61">
        <v>58</v>
      </c>
      <c r="E61" s="177">
        <f t="shared" si="0"/>
        <v>2.9447286286812266E-18</v>
      </c>
      <c r="F61" s="177">
        <f t="shared" si="1"/>
        <v>1.9211717514604663E-13</v>
      </c>
      <c r="J61" s="177">
        <f t="shared" si="6"/>
        <v>0.84876024030920372</v>
      </c>
      <c r="K61" s="177">
        <f t="shared" si="8"/>
        <v>9.3572365306427424E-11</v>
      </c>
      <c r="L61" s="177">
        <f t="shared" si="5"/>
        <v>14.839780518922586</v>
      </c>
      <c r="M61" s="177">
        <f t="shared" si="3"/>
        <v>5.5864593996509088E-12</v>
      </c>
      <c r="N61" s="179">
        <f t="shared" si="7"/>
        <v>14.839780518928173</v>
      </c>
      <c r="O61" s="179">
        <f t="shared" si="4"/>
        <v>39.516376908191702</v>
      </c>
    </row>
    <row r="62" spans="4:15" x14ac:dyDescent="0.25">
      <c r="D62">
        <v>59</v>
      </c>
      <c r="E62" s="177">
        <f t="shared" si="0"/>
        <v>1.4723643143406133E-18</v>
      </c>
      <c r="F62" s="177">
        <f t="shared" si="1"/>
        <v>1.1721009536180938E-13</v>
      </c>
      <c r="J62" s="177">
        <f t="shared" si="6"/>
        <v>0.84876024030932096</v>
      </c>
      <c r="K62" s="177">
        <f t="shared" si="8"/>
        <v>5.8081049607522484E-11</v>
      </c>
      <c r="L62" s="177">
        <f t="shared" si="5"/>
        <v>14.839780518980668</v>
      </c>
      <c r="M62" s="177">
        <f t="shared" si="3"/>
        <v>3.407183032443166E-12</v>
      </c>
      <c r="N62" s="179">
        <f t="shared" si="7"/>
        <v>14.839780518984075</v>
      </c>
      <c r="O62" s="179">
        <f t="shared" si="4"/>
        <v>39.516376908253193</v>
      </c>
    </row>
    <row r="63" spans="4:15" x14ac:dyDescent="0.25">
      <c r="D63">
        <v>60</v>
      </c>
      <c r="E63" s="177">
        <f t="shared" si="0"/>
        <v>7.3618215717030666E-19</v>
      </c>
      <c r="F63" s="177">
        <f t="shared" si="1"/>
        <v>7.1486467470390581E-14</v>
      </c>
      <c r="J63" s="177">
        <f t="shared" si="6"/>
        <v>0.84876024030939246</v>
      </c>
      <c r="K63" s="177">
        <f t="shared" si="8"/>
        <v>3.6029179605076855E-11</v>
      </c>
      <c r="L63" s="177">
        <f t="shared" si="5"/>
        <v>14.839780519016697</v>
      </c>
      <c r="M63" s="177">
        <f t="shared" si="3"/>
        <v>2.0781546418354138E-12</v>
      </c>
      <c r="N63" s="179">
        <f t="shared" si="7"/>
        <v>14.839780519018776</v>
      </c>
      <c r="O63" s="179">
        <f t="shared" si="4"/>
        <v>39.516376908291299</v>
      </c>
    </row>
    <row r="64" spans="4:15" x14ac:dyDescent="0.25">
      <c r="D64">
        <v>61</v>
      </c>
      <c r="E64" s="177">
        <f t="shared" si="0"/>
        <v>3.6809107858515333E-19</v>
      </c>
      <c r="F64" s="177">
        <f t="shared" si="1"/>
        <v>4.3601982279032896E-14</v>
      </c>
      <c r="J64" s="177">
        <f t="shared" si="6"/>
        <v>0.84876024030943609</v>
      </c>
      <c r="K64" s="177">
        <f t="shared" si="8"/>
        <v>2.234473350676086E-11</v>
      </c>
      <c r="L64" s="177">
        <f t="shared" si="5"/>
        <v>14.839780519039042</v>
      </c>
      <c r="M64" s="177">
        <f t="shared" si="3"/>
        <v>1.267117130175714E-12</v>
      </c>
      <c r="N64" s="179">
        <f t="shared" si="7"/>
        <v>14.839780519040309</v>
      </c>
      <c r="O64" s="179">
        <f t="shared" si="4"/>
        <v>39.516376908314911</v>
      </c>
    </row>
    <row r="65" spans="4:15" x14ac:dyDescent="0.25">
      <c r="D65">
        <v>62</v>
      </c>
      <c r="E65" s="177">
        <f t="shared" si="0"/>
        <v>1.8404553929257667E-19</v>
      </c>
      <c r="F65" s="177">
        <f t="shared" si="1"/>
        <v>2.6585518489896919E-14</v>
      </c>
      <c r="J65" s="177">
        <f t="shared" si="6"/>
        <v>0.84876024030946262</v>
      </c>
      <c r="K65" s="177">
        <f t="shared" si="8"/>
        <v>1.3849491279207479E-11</v>
      </c>
      <c r="L65" s="177">
        <f t="shared" si="5"/>
        <v>14.839780519052892</v>
      </c>
      <c r="M65" s="177">
        <f t="shared" si="3"/>
        <v>7.7389075540047681E-13</v>
      </c>
      <c r="N65" s="179">
        <f t="shared" si="7"/>
        <v>14.839780519053667</v>
      </c>
      <c r="O65" s="179">
        <f t="shared" si="4"/>
        <v>39.516376908329534</v>
      </c>
    </row>
    <row r="66" spans="4:15" x14ac:dyDescent="0.25">
      <c r="D66">
        <v>63</v>
      </c>
      <c r="E66" s="177">
        <f t="shared" si="0"/>
        <v>9.2022769646288333E-20</v>
      </c>
      <c r="F66" s="177">
        <f t="shared" si="1"/>
        <v>1.6237083768259519E-14</v>
      </c>
      <c r="J66" s="177">
        <f t="shared" si="6"/>
        <v>0.84876024030947883</v>
      </c>
      <c r="K66" s="177">
        <f t="shared" si="8"/>
        <v>8.5961031714315088E-12</v>
      </c>
      <c r="L66" s="177">
        <f t="shared" si="5"/>
        <v>14.839780519061488</v>
      </c>
      <c r="M66" s="177">
        <f t="shared" si="3"/>
        <v>4.7258928796455784E-13</v>
      </c>
      <c r="N66" s="179">
        <f t="shared" si="7"/>
        <v>14.839780519061961</v>
      </c>
      <c r="O66" s="179">
        <f t="shared" si="4"/>
        <v>39.516376908338607</v>
      </c>
    </row>
    <row r="67" spans="4:15" x14ac:dyDescent="0.25">
      <c r="D67">
        <v>64</v>
      </c>
      <c r="E67" s="177">
        <f t="shared" si="0"/>
        <v>4.6011384823144166E-20</v>
      </c>
      <c r="F67" s="177">
        <f t="shared" si="1"/>
        <v>9.9154458211504808E-15</v>
      </c>
      <c r="J67" s="177">
        <f t="shared" si="6"/>
        <v>0.84876024030948871</v>
      </c>
      <c r="K67" s="177">
        <f t="shared" si="8"/>
        <v>5.3333433287411758E-12</v>
      </c>
      <c r="L67" s="177">
        <f t="shared" si="5"/>
        <v>14.839780519066821</v>
      </c>
      <c r="M67" s="177">
        <f t="shared" si="3"/>
        <v>2.8891921534951134E-13</v>
      </c>
      <c r="N67" s="179">
        <f t="shared" si="7"/>
        <v>14.83978051906711</v>
      </c>
      <c r="O67" s="179">
        <f t="shared" si="4"/>
        <v>39.516376908344235</v>
      </c>
    </row>
    <row r="68" spans="4:15" x14ac:dyDescent="0.25">
      <c r="D68">
        <v>65</v>
      </c>
      <c r="E68" s="177">
        <f t="shared" ref="E68:E131" si="9">$B$10*$B$11*(1-$B$11)^(D68-1)</f>
        <v>2.3005692411572083E-20</v>
      </c>
      <c r="F68" s="177">
        <f t="shared" ref="F68:F131" si="10">($B$10-J67)*(2*$B$9*(1-$B$9)*$B$11+($B$9^2)*($B$11^2))/$B$10</f>
        <v>6.061844606816887E-15</v>
      </c>
      <c r="J68" s="177">
        <f t="shared" si="6"/>
        <v>0.84876024030949482</v>
      </c>
      <c r="K68" s="177">
        <f t="shared" si="8"/>
        <v>3.3119066298891324E-12</v>
      </c>
      <c r="L68" s="177">
        <f t="shared" si="5"/>
        <v>14.839780519070132</v>
      </c>
      <c r="M68" s="177">
        <f t="shared" ref="M68:M131" si="11">($B$10-J68)*$B$12</f>
        <v>1.7541523789077476E-13</v>
      </c>
      <c r="N68" s="179">
        <f t="shared" si="7"/>
        <v>14.839780519070308</v>
      </c>
      <c r="O68" s="179">
        <f t="shared" si="4"/>
        <v>39.516376908347723</v>
      </c>
    </row>
    <row r="69" spans="4:15" x14ac:dyDescent="0.25">
      <c r="D69">
        <v>66</v>
      </c>
      <c r="E69" s="177">
        <f t="shared" si="9"/>
        <v>1.1502846205786042E-20</v>
      </c>
      <c r="F69" s="177">
        <f t="shared" si="10"/>
        <v>3.6804056541388244E-15</v>
      </c>
      <c r="J69" s="177">
        <f t="shared" ref="J69:J132" si="12">J68+F69</f>
        <v>0.84876024030949848</v>
      </c>
      <c r="K69" s="177">
        <f t="shared" ref="K69:K132" si="13">$B$8*(D69-0.5)*F69</f>
        <v>2.0419756546963172E-12</v>
      </c>
      <c r="L69" s="177">
        <f t="shared" ref="L69:L132" si="14">L68+K69</f>
        <v>14.839780519072175</v>
      </c>
      <c r="M69" s="177">
        <f t="shared" si="11"/>
        <v>1.0731285141553278E-13</v>
      </c>
      <c r="N69" s="179">
        <f t="shared" ref="N69:N132" si="15">M69+L69</f>
        <v>14.839780519072281</v>
      </c>
      <c r="O69" s="179">
        <f t="shared" ref="O69:O132" si="16">O68+K69+M69</f>
        <v>39.516376908349869</v>
      </c>
    </row>
    <row r="70" spans="4:15" x14ac:dyDescent="0.25">
      <c r="D70">
        <v>67</v>
      </c>
      <c r="E70" s="177">
        <f t="shared" si="9"/>
        <v>5.7514231028930208E-21</v>
      </c>
      <c r="F70" s="177">
        <f t="shared" si="10"/>
        <v>2.2515422825319866E-15</v>
      </c>
      <c r="J70" s="177">
        <f t="shared" si="12"/>
        <v>0.8487602403095007</v>
      </c>
      <c r="K70" s="177">
        <f t="shared" si="13"/>
        <v>1.2682805233839001E-12</v>
      </c>
      <c r="L70" s="177">
        <f t="shared" si="14"/>
        <v>14.839780519073443</v>
      </c>
      <c r="M70" s="177">
        <f t="shared" si="11"/>
        <v>6.6038677794174022E-14</v>
      </c>
      <c r="N70" s="179">
        <f t="shared" si="15"/>
        <v>14.839780519073509</v>
      </c>
      <c r="O70" s="179">
        <f t="shared" si="16"/>
        <v>39.516376908351198</v>
      </c>
    </row>
    <row r="71" spans="4:15" x14ac:dyDescent="0.25">
      <c r="D71">
        <v>68</v>
      </c>
      <c r="E71" s="177">
        <f t="shared" si="9"/>
        <v>2.8757115514465104E-21</v>
      </c>
      <c r="F71" s="177">
        <f t="shared" si="10"/>
        <v>1.3855644815581456E-15</v>
      </c>
      <c r="J71" s="177">
        <f t="shared" si="12"/>
        <v>0.84876024030950203</v>
      </c>
      <c r="K71" s="177">
        <f t="shared" si="13"/>
        <v>7.9221686827912798E-13</v>
      </c>
      <c r="L71" s="177">
        <f t="shared" si="14"/>
        <v>14.839780519074235</v>
      </c>
      <c r="M71" s="177">
        <f t="shared" si="11"/>
        <v>4.1274173621358766E-14</v>
      </c>
      <c r="N71" s="179">
        <f t="shared" si="15"/>
        <v>14.839780519074276</v>
      </c>
      <c r="O71" s="179">
        <f t="shared" si="16"/>
        <v>39.516376908352029</v>
      </c>
    </row>
    <row r="72" spans="4:15" x14ac:dyDescent="0.25">
      <c r="D72">
        <v>69</v>
      </c>
      <c r="E72" s="177">
        <f t="shared" si="9"/>
        <v>1.4378557757232552E-21</v>
      </c>
      <c r="F72" s="177">
        <f t="shared" si="10"/>
        <v>8.6597780097384112E-16</v>
      </c>
      <c r="J72" s="177">
        <f t="shared" si="12"/>
        <v>0.84876024030950292</v>
      </c>
      <c r="K72" s="177">
        <f t="shared" si="13"/>
        <v>5.0247088404740991E-13</v>
      </c>
      <c r="L72" s="177">
        <f t="shared" si="14"/>
        <v>14.839780519074738</v>
      </c>
      <c r="M72" s="177">
        <f t="shared" si="11"/>
        <v>2.4764504172815257E-14</v>
      </c>
      <c r="N72" s="179">
        <f t="shared" si="15"/>
        <v>14.839780519074763</v>
      </c>
      <c r="O72" s="179">
        <f t="shared" si="16"/>
        <v>39.516376908352555</v>
      </c>
    </row>
    <row r="73" spans="4:15" x14ac:dyDescent="0.25">
      <c r="D73">
        <v>70</v>
      </c>
      <c r="E73" s="177">
        <f t="shared" si="9"/>
        <v>7.189278878616276E-22</v>
      </c>
      <c r="F73" s="177">
        <f t="shared" si="10"/>
        <v>5.1958668058430467E-16</v>
      </c>
      <c r="J73" s="177">
        <f t="shared" si="12"/>
        <v>0.84876024030950348</v>
      </c>
      <c r="K73" s="177">
        <f t="shared" si="13"/>
        <v>3.0588373525221892E-13</v>
      </c>
      <c r="L73" s="177">
        <f t="shared" si="14"/>
        <v>14.839780519075044</v>
      </c>
      <c r="M73" s="177">
        <f t="shared" si="11"/>
        <v>1.4445960767475567E-14</v>
      </c>
      <c r="N73" s="179">
        <f t="shared" si="15"/>
        <v>14.839780519075058</v>
      </c>
      <c r="O73" s="179">
        <f t="shared" si="16"/>
        <v>39.516376908352875</v>
      </c>
    </row>
    <row r="74" spans="4:15" x14ac:dyDescent="0.25">
      <c r="D74">
        <v>71</v>
      </c>
      <c r="E74" s="177">
        <f t="shared" si="9"/>
        <v>3.594639439308138E-22</v>
      </c>
      <c r="F74" s="177">
        <f t="shared" si="10"/>
        <v>3.0309223034084437E-16</v>
      </c>
      <c r="J74" s="177">
        <f t="shared" si="12"/>
        <v>0.84876024030950381</v>
      </c>
      <c r="K74" s="177">
        <f t="shared" si="13"/>
        <v>1.8099954837766186E-13</v>
      </c>
      <c r="L74" s="177">
        <f t="shared" si="14"/>
        <v>14.839780519075225</v>
      </c>
      <c r="M74" s="177">
        <f t="shared" si="11"/>
        <v>8.2548347242717528E-15</v>
      </c>
      <c r="N74" s="179">
        <f t="shared" si="15"/>
        <v>14.839780519075234</v>
      </c>
      <c r="O74" s="179">
        <f t="shared" si="16"/>
        <v>39.51637690835306</v>
      </c>
    </row>
    <row r="75" spans="4:15" x14ac:dyDescent="0.25">
      <c r="D75">
        <v>72</v>
      </c>
      <c r="E75" s="177">
        <f t="shared" si="9"/>
        <v>1.797319719654069E-22</v>
      </c>
      <c r="F75" s="177">
        <f t="shared" si="10"/>
        <v>1.731955601947682E-16</v>
      </c>
      <c r="J75" s="177">
        <f t="shared" si="12"/>
        <v>0.84876024030950403</v>
      </c>
      <c r="K75" s="177">
        <f t="shared" si="13"/>
        <v>1.048953816332549E-13</v>
      </c>
      <c r="L75" s="177">
        <f t="shared" si="14"/>
        <v>14.83978051907533</v>
      </c>
      <c r="M75" s="177">
        <f t="shared" si="11"/>
        <v>4.1274173621358764E-15</v>
      </c>
      <c r="N75" s="179">
        <f t="shared" si="15"/>
        <v>14.839780519075333</v>
      </c>
      <c r="O75" s="179">
        <f t="shared" si="16"/>
        <v>39.516376908353173</v>
      </c>
    </row>
    <row r="76" spans="4:15" x14ac:dyDescent="0.25">
      <c r="D76">
        <v>73</v>
      </c>
      <c r="E76" s="177">
        <f t="shared" si="9"/>
        <v>8.986598598270345E-23</v>
      </c>
      <c r="F76" s="177">
        <f t="shared" si="10"/>
        <v>8.65977800973841E-17</v>
      </c>
      <c r="J76" s="177">
        <f t="shared" si="12"/>
        <v>0.84876024030950414</v>
      </c>
      <c r="K76" s="177">
        <f t="shared" si="13"/>
        <v>5.3181224953922944E-14</v>
      </c>
      <c r="L76" s="177">
        <f t="shared" si="14"/>
        <v>14.839780519075383</v>
      </c>
      <c r="M76" s="177">
        <f t="shared" si="11"/>
        <v>2.0637086810679382E-15</v>
      </c>
      <c r="N76" s="179">
        <f t="shared" si="15"/>
        <v>14.839780519075385</v>
      </c>
      <c r="O76" s="179">
        <f t="shared" si="16"/>
        <v>39.516376908353223</v>
      </c>
    </row>
    <row r="77" spans="4:15" x14ac:dyDescent="0.25">
      <c r="D77">
        <v>74</v>
      </c>
      <c r="E77" s="177">
        <f t="shared" si="9"/>
        <v>4.4932992991351725E-23</v>
      </c>
      <c r="F77" s="177">
        <f t="shared" si="10"/>
        <v>4.329889004869205E-17</v>
      </c>
      <c r="J77" s="177">
        <f t="shared" si="12"/>
        <v>0.84876024030950414</v>
      </c>
      <c r="K77" s="177">
        <f t="shared" si="13"/>
        <v>2.6957379545609216E-14</v>
      </c>
      <c r="L77" s="177">
        <f t="shared" si="14"/>
        <v>14.83978051907541</v>
      </c>
      <c r="M77" s="177">
        <f t="shared" si="11"/>
        <v>2.0637086810679382E-15</v>
      </c>
      <c r="N77" s="179">
        <f t="shared" si="15"/>
        <v>14.839780519075411</v>
      </c>
      <c r="O77" s="179">
        <f t="shared" si="16"/>
        <v>39.516376908353251</v>
      </c>
    </row>
    <row r="78" spans="4:15" x14ac:dyDescent="0.25">
      <c r="D78">
        <v>75</v>
      </c>
      <c r="E78" s="177">
        <f t="shared" si="9"/>
        <v>2.2466496495675862E-23</v>
      </c>
      <c r="F78" s="177">
        <f t="shared" si="10"/>
        <v>4.329889004869205E-17</v>
      </c>
      <c r="J78" s="177">
        <f t="shared" si="12"/>
        <v>0.84876024030950414</v>
      </c>
      <c r="K78" s="177">
        <f t="shared" si="13"/>
        <v>2.7324146614256962E-14</v>
      </c>
      <c r="L78" s="177">
        <f t="shared" si="14"/>
        <v>14.839780519075436</v>
      </c>
      <c r="M78" s="177">
        <f t="shared" si="11"/>
        <v>2.0637086810679382E-15</v>
      </c>
      <c r="N78" s="179">
        <f t="shared" si="15"/>
        <v>14.839780519075438</v>
      </c>
      <c r="O78" s="179">
        <f t="shared" si="16"/>
        <v>39.51637690835328</v>
      </c>
    </row>
    <row r="79" spans="4:15" x14ac:dyDescent="0.25">
      <c r="D79">
        <v>76</v>
      </c>
      <c r="E79" s="177">
        <f t="shared" si="9"/>
        <v>1.1233248247837931E-23</v>
      </c>
      <c r="F79" s="177">
        <f t="shared" si="10"/>
        <v>4.329889004869205E-17</v>
      </c>
      <c r="J79" s="177">
        <f t="shared" si="12"/>
        <v>0.84876024030950414</v>
      </c>
      <c r="K79" s="177">
        <f t="shared" si="13"/>
        <v>2.7690913682904702E-14</v>
      </c>
      <c r="L79" s="177">
        <f t="shared" si="14"/>
        <v>14.839780519075465</v>
      </c>
      <c r="M79" s="177">
        <f t="shared" si="11"/>
        <v>2.0637086810679382E-15</v>
      </c>
      <c r="N79" s="179">
        <f t="shared" si="15"/>
        <v>14.839780519075466</v>
      </c>
      <c r="O79" s="179">
        <f t="shared" si="16"/>
        <v>39.516376908353308</v>
      </c>
    </row>
    <row r="80" spans="4:15" x14ac:dyDescent="0.25">
      <c r="D80">
        <v>77</v>
      </c>
      <c r="E80" s="177">
        <f t="shared" si="9"/>
        <v>5.6166241239189656E-24</v>
      </c>
      <c r="F80" s="177">
        <f t="shared" si="10"/>
        <v>4.329889004869205E-17</v>
      </c>
      <c r="J80" s="177">
        <f t="shared" si="12"/>
        <v>0.84876024030950414</v>
      </c>
      <c r="K80" s="177">
        <f t="shared" si="13"/>
        <v>2.8057680751552449E-14</v>
      </c>
      <c r="L80" s="177">
        <f t="shared" si="14"/>
        <v>14.839780519075493</v>
      </c>
      <c r="M80" s="177">
        <f t="shared" si="11"/>
        <v>2.0637086810679382E-15</v>
      </c>
      <c r="N80" s="179">
        <f t="shared" si="15"/>
        <v>14.839780519075495</v>
      </c>
      <c r="O80" s="179">
        <f t="shared" si="16"/>
        <v>39.516376908353337</v>
      </c>
    </row>
    <row r="81" spans="4:15" x14ac:dyDescent="0.25">
      <c r="D81">
        <v>78</v>
      </c>
      <c r="E81" s="177">
        <f t="shared" si="9"/>
        <v>2.8083120619594828E-24</v>
      </c>
      <c r="F81" s="177">
        <f t="shared" si="10"/>
        <v>4.329889004869205E-17</v>
      </c>
      <c r="J81" s="177">
        <f t="shared" si="12"/>
        <v>0.84876024030950414</v>
      </c>
      <c r="K81" s="177">
        <f t="shared" si="13"/>
        <v>2.8424447820200192E-14</v>
      </c>
      <c r="L81" s="177">
        <f t="shared" si="14"/>
        <v>14.839780519075521</v>
      </c>
      <c r="M81" s="177">
        <f t="shared" si="11"/>
        <v>2.0637086810679382E-15</v>
      </c>
      <c r="N81" s="179">
        <f t="shared" si="15"/>
        <v>14.839780519075523</v>
      </c>
      <c r="O81" s="179">
        <f t="shared" si="16"/>
        <v>39.516376908353365</v>
      </c>
    </row>
    <row r="82" spans="4:15" x14ac:dyDescent="0.25">
      <c r="D82">
        <v>79</v>
      </c>
      <c r="E82" s="177">
        <f t="shared" si="9"/>
        <v>1.4041560309797414E-24</v>
      </c>
      <c r="F82" s="177">
        <f t="shared" si="10"/>
        <v>4.329889004869205E-17</v>
      </c>
      <c r="J82" s="177">
        <f t="shared" si="12"/>
        <v>0.84876024030950414</v>
      </c>
      <c r="K82" s="177">
        <f t="shared" si="13"/>
        <v>2.8791214888847938E-14</v>
      </c>
      <c r="L82" s="177">
        <f t="shared" si="14"/>
        <v>14.83978051907555</v>
      </c>
      <c r="M82" s="177">
        <f t="shared" si="11"/>
        <v>2.0637086810679382E-15</v>
      </c>
      <c r="N82" s="179">
        <f t="shared" si="15"/>
        <v>14.839780519075552</v>
      </c>
      <c r="O82" s="179">
        <f t="shared" si="16"/>
        <v>39.516376908353394</v>
      </c>
    </row>
    <row r="83" spans="4:15" x14ac:dyDescent="0.25">
      <c r="D83">
        <v>80</v>
      </c>
      <c r="E83" s="177">
        <f t="shared" si="9"/>
        <v>7.020780154898707E-25</v>
      </c>
      <c r="F83" s="177">
        <f t="shared" si="10"/>
        <v>4.329889004869205E-17</v>
      </c>
      <c r="J83" s="177">
        <f t="shared" si="12"/>
        <v>0.84876024030950414</v>
      </c>
      <c r="K83" s="177">
        <f t="shared" si="13"/>
        <v>2.9157981957495678E-14</v>
      </c>
      <c r="L83" s="177">
        <f t="shared" si="14"/>
        <v>14.839780519075578</v>
      </c>
      <c r="M83" s="177">
        <f t="shared" si="11"/>
        <v>2.0637086810679382E-15</v>
      </c>
      <c r="N83" s="179">
        <f t="shared" si="15"/>
        <v>14.83978051907558</v>
      </c>
      <c r="O83" s="179">
        <f t="shared" si="16"/>
        <v>39.516376908353422</v>
      </c>
    </row>
    <row r="84" spans="4:15" x14ac:dyDescent="0.25">
      <c r="D84">
        <v>81</v>
      </c>
      <c r="E84" s="177">
        <f t="shared" si="9"/>
        <v>3.5103900774493535E-25</v>
      </c>
      <c r="F84" s="177">
        <f t="shared" si="10"/>
        <v>4.329889004869205E-17</v>
      </c>
      <c r="J84" s="177">
        <f t="shared" si="12"/>
        <v>0.84876024030950414</v>
      </c>
      <c r="K84" s="177">
        <f t="shared" si="13"/>
        <v>2.9524749026143425E-14</v>
      </c>
      <c r="L84" s="177">
        <f t="shared" si="14"/>
        <v>14.839780519075608</v>
      </c>
      <c r="M84" s="177">
        <f t="shared" si="11"/>
        <v>2.0637086810679382E-15</v>
      </c>
      <c r="N84" s="179">
        <f t="shared" si="15"/>
        <v>14.83978051907561</v>
      </c>
      <c r="O84" s="179">
        <f t="shared" si="16"/>
        <v>39.51637690835345</v>
      </c>
    </row>
    <row r="85" spans="4:15" x14ac:dyDescent="0.25">
      <c r="D85">
        <v>82</v>
      </c>
      <c r="E85" s="177">
        <f t="shared" si="9"/>
        <v>1.7551950387246768E-25</v>
      </c>
      <c r="F85" s="177">
        <f t="shared" si="10"/>
        <v>4.329889004869205E-17</v>
      </c>
      <c r="J85" s="177">
        <f t="shared" si="12"/>
        <v>0.84876024030950414</v>
      </c>
      <c r="K85" s="177">
        <f t="shared" si="13"/>
        <v>2.9891516094791171E-14</v>
      </c>
      <c r="L85" s="177">
        <f t="shared" si="14"/>
        <v>14.839780519075639</v>
      </c>
      <c r="M85" s="177">
        <f t="shared" si="11"/>
        <v>2.0637086810679382E-15</v>
      </c>
      <c r="N85" s="179">
        <f t="shared" si="15"/>
        <v>14.83978051907564</v>
      </c>
      <c r="O85" s="179">
        <f t="shared" si="16"/>
        <v>39.516376908353479</v>
      </c>
    </row>
    <row r="86" spans="4:15" x14ac:dyDescent="0.25">
      <c r="D86">
        <v>83</v>
      </c>
      <c r="E86" s="177">
        <f t="shared" si="9"/>
        <v>8.7759751936233838E-26</v>
      </c>
      <c r="F86" s="177">
        <f t="shared" si="10"/>
        <v>4.329889004869205E-17</v>
      </c>
      <c r="J86" s="177">
        <f t="shared" si="12"/>
        <v>0.84876024030950414</v>
      </c>
      <c r="K86" s="177">
        <f t="shared" si="13"/>
        <v>3.0258283163438918E-14</v>
      </c>
      <c r="L86" s="177">
        <f t="shared" si="14"/>
        <v>14.839780519075669</v>
      </c>
      <c r="M86" s="177">
        <f t="shared" si="11"/>
        <v>2.0637086810679382E-15</v>
      </c>
      <c r="N86" s="179">
        <f t="shared" si="15"/>
        <v>14.839780519075671</v>
      </c>
      <c r="O86" s="179">
        <f t="shared" si="16"/>
        <v>39.516376908353507</v>
      </c>
    </row>
    <row r="87" spans="4:15" x14ac:dyDescent="0.25">
      <c r="D87">
        <v>84</v>
      </c>
      <c r="E87" s="177">
        <f t="shared" si="9"/>
        <v>4.3879875968116919E-26</v>
      </c>
      <c r="F87" s="177">
        <f t="shared" si="10"/>
        <v>4.329889004869205E-17</v>
      </c>
      <c r="J87" s="177">
        <f t="shared" si="12"/>
        <v>0.84876024030950414</v>
      </c>
      <c r="K87" s="177">
        <f t="shared" si="13"/>
        <v>3.0625050232086658E-14</v>
      </c>
      <c r="L87" s="177">
        <f t="shared" si="14"/>
        <v>14.839780519075699</v>
      </c>
      <c r="M87" s="177">
        <f t="shared" si="11"/>
        <v>2.0637086810679382E-15</v>
      </c>
      <c r="N87" s="179">
        <f t="shared" si="15"/>
        <v>14.839780519075701</v>
      </c>
      <c r="O87" s="179">
        <f t="shared" si="16"/>
        <v>39.516376908353536</v>
      </c>
    </row>
    <row r="88" spans="4:15" x14ac:dyDescent="0.25">
      <c r="D88">
        <v>85</v>
      </c>
      <c r="E88" s="177">
        <f t="shared" si="9"/>
        <v>2.1939937984058459E-26</v>
      </c>
      <c r="F88" s="177">
        <f t="shared" si="10"/>
        <v>4.329889004869205E-17</v>
      </c>
      <c r="J88" s="177">
        <f t="shared" si="12"/>
        <v>0.84876024030950414</v>
      </c>
      <c r="K88" s="177">
        <f t="shared" si="13"/>
        <v>3.0991817300734404E-14</v>
      </c>
      <c r="L88" s="177">
        <f t="shared" si="14"/>
        <v>14.839780519075729</v>
      </c>
      <c r="M88" s="177">
        <f t="shared" si="11"/>
        <v>2.0637086810679382E-15</v>
      </c>
      <c r="N88" s="179">
        <f t="shared" si="15"/>
        <v>14.839780519075731</v>
      </c>
      <c r="O88" s="179">
        <f t="shared" si="16"/>
        <v>39.516376908353564</v>
      </c>
    </row>
    <row r="89" spans="4:15" x14ac:dyDescent="0.25">
      <c r="D89">
        <v>86</v>
      </c>
      <c r="E89" s="177">
        <f t="shared" si="9"/>
        <v>1.096996899202923E-26</v>
      </c>
      <c r="F89" s="177">
        <f t="shared" si="10"/>
        <v>4.329889004869205E-17</v>
      </c>
      <c r="J89" s="177">
        <f t="shared" si="12"/>
        <v>0.84876024030950414</v>
      </c>
      <c r="K89" s="177">
        <f t="shared" si="13"/>
        <v>3.1358584369382151E-14</v>
      </c>
      <c r="L89" s="177">
        <f t="shared" si="14"/>
        <v>14.839780519075761</v>
      </c>
      <c r="M89" s="177">
        <f t="shared" si="11"/>
        <v>2.0637086810679382E-15</v>
      </c>
      <c r="N89" s="179">
        <f t="shared" si="15"/>
        <v>14.839780519075763</v>
      </c>
      <c r="O89" s="179">
        <f t="shared" si="16"/>
        <v>39.516376908353593</v>
      </c>
    </row>
    <row r="90" spans="4:15" x14ac:dyDescent="0.25">
      <c r="D90">
        <v>87</v>
      </c>
      <c r="E90" s="177">
        <f t="shared" si="9"/>
        <v>5.4849844960146149E-27</v>
      </c>
      <c r="F90" s="177">
        <f t="shared" si="10"/>
        <v>4.329889004869205E-17</v>
      </c>
      <c r="J90" s="177">
        <f t="shared" si="12"/>
        <v>0.84876024030950414</v>
      </c>
      <c r="K90" s="177">
        <f t="shared" si="13"/>
        <v>3.1725351438029897E-14</v>
      </c>
      <c r="L90" s="177">
        <f t="shared" si="14"/>
        <v>14.839780519075793</v>
      </c>
      <c r="M90" s="177">
        <f t="shared" si="11"/>
        <v>2.0637086810679382E-15</v>
      </c>
      <c r="N90" s="179">
        <f t="shared" si="15"/>
        <v>14.839780519075795</v>
      </c>
      <c r="O90" s="179">
        <f t="shared" si="16"/>
        <v>39.516376908353621</v>
      </c>
    </row>
    <row r="91" spans="4:15" x14ac:dyDescent="0.25">
      <c r="D91">
        <v>88</v>
      </c>
      <c r="E91" s="177">
        <f t="shared" si="9"/>
        <v>2.7424922480073074E-27</v>
      </c>
      <c r="F91" s="177">
        <f t="shared" si="10"/>
        <v>4.329889004869205E-17</v>
      </c>
      <c r="J91" s="177">
        <f t="shared" si="12"/>
        <v>0.84876024030950414</v>
      </c>
      <c r="K91" s="177">
        <f t="shared" si="13"/>
        <v>3.2092118506677637E-14</v>
      </c>
      <c r="L91" s="177">
        <f t="shared" si="14"/>
        <v>14.839780519075825</v>
      </c>
      <c r="M91" s="177">
        <f t="shared" si="11"/>
        <v>2.0637086810679382E-15</v>
      </c>
      <c r="N91" s="179">
        <f t="shared" si="15"/>
        <v>14.839780519075827</v>
      </c>
      <c r="O91" s="179">
        <f t="shared" si="16"/>
        <v>39.516376908353656</v>
      </c>
    </row>
    <row r="92" spans="4:15" x14ac:dyDescent="0.25">
      <c r="D92">
        <v>89</v>
      </c>
      <c r="E92" s="177">
        <f t="shared" si="9"/>
        <v>1.3712461240036537E-27</v>
      </c>
      <c r="F92" s="177">
        <f t="shared" si="10"/>
        <v>4.329889004869205E-17</v>
      </c>
      <c r="J92" s="177">
        <f t="shared" si="12"/>
        <v>0.84876024030950414</v>
      </c>
      <c r="K92" s="177">
        <f t="shared" si="13"/>
        <v>3.2458885575325377E-14</v>
      </c>
      <c r="L92" s="177">
        <f t="shared" si="14"/>
        <v>14.839780519075857</v>
      </c>
      <c r="M92" s="177">
        <f t="shared" si="11"/>
        <v>2.0637086810679382E-15</v>
      </c>
      <c r="N92" s="179">
        <f t="shared" si="15"/>
        <v>14.839780519075859</v>
      </c>
      <c r="O92" s="179">
        <f t="shared" si="16"/>
        <v>39.516376908353692</v>
      </c>
    </row>
    <row r="93" spans="4:15" x14ac:dyDescent="0.25">
      <c r="D93">
        <v>90</v>
      </c>
      <c r="E93" s="177">
        <f t="shared" si="9"/>
        <v>6.8562306200182686E-28</v>
      </c>
      <c r="F93" s="177">
        <f t="shared" si="10"/>
        <v>4.329889004869205E-17</v>
      </c>
      <c r="J93" s="177">
        <f t="shared" si="12"/>
        <v>0.84876024030950414</v>
      </c>
      <c r="K93" s="177">
        <f t="shared" si="13"/>
        <v>3.2825652643973124E-14</v>
      </c>
      <c r="L93" s="177">
        <f t="shared" si="14"/>
        <v>14.839780519075889</v>
      </c>
      <c r="M93" s="177">
        <f t="shared" si="11"/>
        <v>2.0637086810679382E-15</v>
      </c>
      <c r="N93" s="179">
        <f t="shared" si="15"/>
        <v>14.839780519075891</v>
      </c>
      <c r="O93" s="179">
        <f t="shared" si="16"/>
        <v>39.516376908353728</v>
      </c>
    </row>
    <row r="94" spans="4:15" x14ac:dyDescent="0.25">
      <c r="D94">
        <v>91</v>
      </c>
      <c r="E94" s="177">
        <f t="shared" si="9"/>
        <v>3.4281153100091343E-28</v>
      </c>
      <c r="F94" s="177">
        <f t="shared" si="10"/>
        <v>4.329889004869205E-17</v>
      </c>
      <c r="J94" s="177">
        <f t="shared" si="12"/>
        <v>0.84876024030950414</v>
      </c>
      <c r="K94" s="177">
        <f t="shared" si="13"/>
        <v>3.319241971262087E-14</v>
      </c>
      <c r="L94" s="177">
        <f t="shared" si="14"/>
        <v>14.839780519075923</v>
      </c>
      <c r="M94" s="177">
        <f t="shared" si="11"/>
        <v>2.0637086810679382E-15</v>
      </c>
      <c r="N94" s="179">
        <f t="shared" si="15"/>
        <v>14.839780519075925</v>
      </c>
      <c r="O94" s="179">
        <f t="shared" si="16"/>
        <v>39.516376908353763</v>
      </c>
    </row>
    <row r="95" spans="4:15" x14ac:dyDescent="0.25">
      <c r="D95">
        <v>92</v>
      </c>
      <c r="E95" s="177">
        <f t="shared" si="9"/>
        <v>1.7140576550045671E-28</v>
      </c>
      <c r="F95" s="177">
        <f t="shared" si="10"/>
        <v>4.329889004869205E-17</v>
      </c>
      <c r="J95" s="177">
        <f t="shared" si="12"/>
        <v>0.84876024030950414</v>
      </c>
      <c r="K95" s="177">
        <f t="shared" si="13"/>
        <v>3.3559186781268617E-14</v>
      </c>
      <c r="L95" s="177">
        <f t="shared" si="14"/>
        <v>14.839780519075957</v>
      </c>
      <c r="M95" s="177">
        <f t="shared" si="11"/>
        <v>2.0637086810679382E-15</v>
      </c>
      <c r="N95" s="179">
        <f t="shared" si="15"/>
        <v>14.839780519075958</v>
      </c>
      <c r="O95" s="179">
        <f t="shared" si="16"/>
        <v>39.516376908353799</v>
      </c>
    </row>
    <row r="96" spans="4:15" x14ac:dyDescent="0.25">
      <c r="D96">
        <v>93</v>
      </c>
      <c r="E96" s="177">
        <f t="shared" si="9"/>
        <v>8.5702882750228357E-29</v>
      </c>
      <c r="F96" s="177">
        <f t="shared" si="10"/>
        <v>4.329889004869205E-17</v>
      </c>
      <c r="J96" s="177">
        <f t="shared" si="12"/>
        <v>0.84876024030950414</v>
      </c>
      <c r="K96" s="177">
        <f t="shared" si="13"/>
        <v>3.3925953849916357E-14</v>
      </c>
      <c r="L96" s="177">
        <f t="shared" si="14"/>
        <v>14.83978051907599</v>
      </c>
      <c r="M96" s="177">
        <f t="shared" si="11"/>
        <v>2.0637086810679382E-15</v>
      </c>
      <c r="N96" s="179">
        <f t="shared" si="15"/>
        <v>14.839780519075992</v>
      </c>
      <c r="O96" s="179">
        <f t="shared" si="16"/>
        <v>39.516376908353834</v>
      </c>
    </row>
    <row r="97" spans="4:15" x14ac:dyDescent="0.25">
      <c r="D97">
        <v>94</v>
      </c>
      <c r="E97" s="177">
        <f t="shared" si="9"/>
        <v>4.2851441375114179E-29</v>
      </c>
      <c r="F97" s="177">
        <f t="shared" si="10"/>
        <v>4.329889004869205E-17</v>
      </c>
      <c r="J97" s="177">
        <f t="shared" si="12"/>
        <v>0.84876024030950414</v>
      </c>
      <c r="K97" s="177">
        <f t="shared" si="13"/>
        <v>3.4292720918564103E-14</v>
      </c>
      <c r="L97" s="177">
        <f t="shared" si="14"/>
        <v>14.839780519076024</v>
      </c>
      <c r="M97" s="177">
        <f t="shared" si="11"/>
        <v>2.0637086810679382E-15</v>
      </c>
      <c r="N97" s="179">
        <f t="shared" si="15"/>
        <v>14.839780519076026</v>
      </c>
      <c r="O97" s="179">
        <f t="shared" si="16"/>
        <v>39.51637690835387</v>
      </c>
    </row>
    <row r="98" spans="4:15" x14ac:dyDescent="0.25">
      <c r="D98">
        <v>95</v>
      </c>
      <c r="E98" s="177">
        <f t="shared" si="9"/>
        <v>2.1425720687557089E-29</v>
      </c>
      <c r="F98" s="177">
        <f t="shared" si="10"/>
        <v>4.329889004869205E-17</v>
      </c>
      <c r="J98" s="177">
        <f t="shared" si="12"/>
        <v>0.84876024030950414</v>
      </c>
      <c r="K98" s="177">
        <f t="shared" si="13"/>
        <v>3.465948798721185E-14</v>
      </c>
      <c r="L98" s="177">
        <f t="shared" si="14"/>
        <v>14.83978051907606</v>
      </c>
      <c r="M98" s="177">
        <f t="shared" si="11"/>
        <v>2.0637086810679382E-15</v>
      </c>
      <c r="N98" s="179">
        <f t="shared" si="15"/>
        <v>14.839780519076061</v>
      </c>
      <c r="O98" s="179">
        <f t="shared" si="16"/>
        <v>39.516376908353905</v>
      </c>
    </row>
    <row r="99" spans="4:15" x14ac:dyDescent="0.25">
      <c r="D99">
        <v>96</v>
      </c>
      <c r="E99" s="177">
        <f t="shared" si="9"/>
        <v>1.0712860343778545E-29</v>
      </c>
      <c r="F99" s="177">
        <f t="shared" si="10"/>
        <v>4.329889004869205E-17</v>
      </c>
      <c r="J99" s="177">
        <f t="shared" si="12"/>
        <v>0.84876024030950414</v>
      </c>
      <c r="K99" s="177">
        <f t="shared" si="13"/>
        <v>3.5026255055859596E-14</v>
      </c>
      <c r="L99" s="177">
        <f t="shared" si="14"/>
        <v>14.839780519076095</v>
      </c>
      <c r="M99" s="177">
        <f t="shared" si="11"/>
        <v>2.0637086810679382E-15</v>
      </c>
      <c r="N99" s="179">
        <f t="shared" si="15"/>
        <v>14.839780519076097</v>
      </c>
      <c r="O99" s="179">
        <f t="shared" si="16"/>
        <v>39.516376908353941</v>
      </c>
    </row>
    <row r="100" spans="4:15" x14ac:dyDescent="0.25">
      <c r="D100">
        <v>97</v>
      </c>
      <c r="E100" s="177">
        <f t="shared" si="9"/>
        <v>5.3564301718892723E-30</v>
      </c>
      <c r="F100" s="177">
        <f t="shared" si="10"/>
        <v>4.329889004869205E-17</v>
      </c>
      <c r="J100" s="177">
        <f t="shared" si="12"/>
        <v>0.84876024030950414</v>
      </c>
      <c r="K100" s="177">
        <f t="shared" si="13"/>
        <v>3.5393022124507336E-14</v>
      </c>
      <c r="L100" s="177">
        <f t="shared" si="14"/>
        <v>14.839780519076131</v>
      </c>
      <c r="M100" s="177">
        <f t="shared" si="11"/>
        <v>2.0637086810679382E-15</v>
      </c>
      <c r="N100" s="179">
        <f t="shared" si="15"/>
        <v>14.839780519076132</v>
      </c>
      <c r="O100" s="179">
        <f t="shared" si="16"/>
        <v>39.516376908353976</v>
      </c>
    </row>
    <row r="101" spans="4:15" x14ac:dyDescent="0.25">
      <c r="D101">
        <v>98</v>
      </c>
      <c r="E101" s="177">
        <f t="shared" si="9"/>
        <v>2.6782150859446362E-30</v>
      </c>
      <c r="F101" s="177">
        <f t="shared" si="10"/>
        <v>4.329889004869205E-17</v>
      </c>
      <c r="J101" s="177">
        <f t="shared" si="12"/>
        <v>0.84876024030950414</v>
      </c>
      <c r="K101" s="177">
        <f t="shared" si="13"/>
        <v>3.5759789193155083E-14</v>
      </c>
      <c r="L101" s="177">
        <f t="shared" si="14"/>
        <v>14.839780519076166</v>
      </c>
      <c r="M101" s="177">
        <f t="shared" si="11"/>
        <v>2.0637086810679382E-15</v>
      </c>
      <c r="N101" s="179">
        <f t="shared" si="15"/>
        <v>14.839780519076168</v>
      </c>
      <c r="O101" s="179">
        <f t="shared" si="16"/>
        <v>39.516376908354012</v>
      </c>
    </row>
    <row r="102" spans="4:15" x14ac:dyDescent="0.25">
      <c r="D102">
        <v>99</v>
      </c>
      <c r="E102" s="177">
        <f t="shared" si="9"/>
        <v>1.3391075429723181E-30</v>
      </c>
      <c r="F102" s="177">
        <f t="shared" si="10"/>
        <v>4.329889004869205E-17</v>
      </c>
      <c r="J102" s="177">
        <f t="shared" si="12"/>
        <v>0.84876024030950414</v>
      </c>
      <c r="K102" s="177">
        <f t="shared" si="13"/>
        <v>3.6126556261802829E-14</v>
      </c>
      <c r="L102" s="177">
        <f t="shared" si="14"/>
        <v>14.839780519076202</v>
      </c>
      <c r="M102" s="177">
        <f t="shared" si="11"/>
        <v>2.0637086810679382E-15</v>
      </c>
      <c r="N102" s="179">
        <f t="shared" si="15"/>
        <v>14.839780519076204</v>
      </c>
      <c r="O102" s="179">
        <f t="shared" si="16"/>
        <v>39.516376908354047</v>
      </c>
    </row>
    <row r="103" spans="4:15" x14ac:dyDescent="0.25">
      <c r="D103">
        <v>100</v>
      </c>
      <c r="E103" s="177">
        <f t="shared" si="9"/>
        <v>6.6955377148615904E-31</v>
      </c>
      <c r="F103" s="177">
        <f t="shared" si="10"/>
        <v>4.329889004869205E-17</v>
      </c>
      <c r="J103" s="177">
        <f t="shared" si="12"/>
        <v>0.84876024030950414</v>
      </c>
      <c r="K103" s="177">
        <f t="shared" si="13"/>
        <v>3.6493323330450569E-14</v>
      </c>
      <c r="L103" s="177">
        <f t="shared" si="14"/>
        <v>14.839780519076239</v>
      </c>
      <c r="M103" s="177">
        <f t="shared" si="11"/>
        <v>2.0637086810679382E-15</v>
      </c>
      <c r="N103" s="179">
        <f t="shared" si="15"/>
        <v>14.839780519076241</v>
      </c>
      <c r="O103" s="179">
        <f t="shared" si="16"/>
        <v>39.516376908354083</v>
      </c>
    </row>
    <row r="104" spans="4:15" x14ac:dyDescent="0.25">
      <c r="D104">
        <v>101</v>
      </c>
      <c r="E104" s="177">
        <f t="shared" si="9"/>
        <v>3.3477688574307952E-31</v>
      </c>
      <c r="F104" s="177">
        <f t="shared" si="10"/>
        <v>4.329889004869205E-17</v>
      </c>
      <c r="J104" s="177">
        <f t="shared" si="12"/>
        <v>0.84876024030950414</v>
      </c>
      <c r="K104" s="177">
        <f t="shared" si="13"/>
        <v>3.686009039909831E-14</v>
      </c>
      <c r="L104" s="177">
        <f t="shared" si="14"/>
        <v>14.839780519076276</v>
      </c>
      <c r="M104" s="177">
        <f t="shared" si="11"/>
        <v>2.0637086810679382E-15</v>
      </c>
      <c r="N104" s="179">
        <f t="shared" si="15"/>
        <v>14.839780519076278</v>
      </c>
      <c r="O104" s="179">
        <f t="shared" si="16"/>
        <v>39.516376908354118</v>
      </c>
    </row>
    <row r="105" spans="4:15" x14ac:dyDescent="0.25">
      <c r="D105">
        <v>102</v>
      </c>
      <c r="E105" s="177">
        <f t="shared" si="9"/>
        <v>1.6738844287153976E-31</v>
      </c>
      <c r="F105" s="177">
        <f t="shared" si="10"/>
        <v>4.329889004869205E-17</v>
      </c>
      <c r="J105" s="177">
        <f t="shared" si="12"/>
        <v>0.84876024030950414</v>
      </c>
      <c r="K105" s="177">
        <f t="shared" si="13"/>
        <v>3.7226857467746056E-14</v>
      </c>
      <c r="L105" s="177">
        <f t="shared" si="14"/>
        <v>14.839780519076314</v>
      </c>
      <c r="M105" s="177">
        <f t="shared" si="11"/>
        <v>2.0637086810679382E-15</v>
      </c>
      <c r="N105" s="179">
        <f t="shared" si="15"/>
        <v>14.839780519076315</v>
      </c>
      <c r="O105" s="179">
        <f t="shared" si="16"/>
        <v>39.516376908354154</v>
      </c>
    </row>
    <row r="106" spans="4:15" x14ac:dyDescent="0.25">
      <c r="D106">
        <v>103</v>
      </c>
      <c r="E106" s="177">
        <f t="shared" si="9"/>
        <v>8.369422143576988E-32</v>
      </c>
      <c r="F106" s="177">
        <f t="shared" si="10"/>
        <v>4.329889004869205E-17</v>
      </c>
      <c r="J106" s="177">
        <f t="shared" si="12"/>
        <v>0.84876024030950414</v>
      </c>
      <c r="K106" s="177">
        <f t="shared" si="13"/>
        <v>3.7593624536393802E-14</v>
      </c>
      <c r="L106" s="177">
        <f t="shared" si="14"/>
        <v>14.839780519076351</v>
      </c>
      <c r="M106" s="177">
        <f t="shared" si="11"/>
        <v>2.0637086810679382E-15</v>
      </c>
      <c r="N106" s="179">
        <f t="shared" si="15"/>
        <v>14.839780519076353</v>
      </c>
      <c r="O106" s="179">
        <f t="shared" si="16"/>
        <v>39.516376908354189</v>
      </c>
    </row>
    <row r="107" spans="4:15" x14ac:dyDescent="0.25">
      <c r="D107">
        <v>104</v>
      </c>
      <c r="E107" s="177">
        <f t="shared" si="9"/>
        <v>4.184711071788494E-32</v>
      </c>
      <c r="F107" s="177">
        <f t="shared" si="10"/>
        <v>4.329889004869205E-17</v>
      </c>
      <c r="J107" s="177">
        <f t="shared" si="12"/>
        <v>0.84876024030950414</v>
      </c>
      <c r="K107" s="177">
        <f t="shared" si="13"/>
        <v>3.7960391605041549E-14</v>
      </c>
      <c r="L107" s="177">
        <f t="shared" si="14"/>
        <v>14.839780519076388</v>
      </c>
      <c r="M107" s="177">
        <f t="shared" si="11"/>
        <v>2.0637086810679382E-15</v>
      </c>
      <c r="N107" s="179">
        <f t="shared" si="15"/>
        <v>14.83978051907639</v>
      </c>
      <c r="O107" s="179">
        <f t="shared" si="16"/>
        <v>39.516376908354225</v>
      </c>
    </row>
    <row r="108" spans="4:15" x14ac:dyDescent="0.25">
      <c r="D108">
        <v>105</v>
      </c>
      <c r="E108" s="177">
        <f t="shared" si="9"/>
        <v>2.092355535894247E-32</v>
      </c>
      <c r="F108" s="177">
        <f t="shared" si="10"/>
        <v>4.329889004869205E-17</v>
      </c>
      <c r="J108" s="177">
        <f t="shared" si="12"/>
        <v>0.84876024030950414</v>
      </c>
      <c r="K108" s="177">
        <f t="shared" si="13"/>
        <v>3.8327158673689295E-14</v>
      </c>
      <c r="L108" s="177">
        <f t="shared" si="14"/>
        <v>14.839780519076427</v>
      </c>
      <c r="M108" s="177">
        <f t="shared" si="11"/>
        <v>2.0637086810679382E-15</v>
      </c>
      <c r="N108" s="179">
        <f t="shared" si="15"/>
        <v>14.839780519076429</v>
      </c>
      <c r="O108" s="179">
        <f t="shared" si="16"/>
        <v>39.51637690835426</v>
      </c>
    </row>
    <row r="109" spans="4:15" x14ac:dyDescent="0.25">
      <c r="D109">
        <v>106</v>
      </c>
      <c r="E109" s="177">
        <f t="shared" si="9"/>
        <v>1.0461777679471235E-32</v>
      </c>
      <c r="F109" s="177">
        <f t="shared" si="10"/>
        <v>4.329889004869205E-17</v>
      </c>
      <c r="J109" s="177">
        <f t="shared" si="12"/>
        <v>0.84876024030950414</v>
      </c>
      <c r="K109" s="177">
        <f t="shared" si="13"/>
        <v>3.8693925742337036E-14</v>
      </c>
      <c r="L109" s="177">
        <f t="shared" si="14"/>
        <v>14.839780519076466</v>
      </c>
      <c r="M109" s="177">
        <f t="shared" si="11"/>
        <v>2.0637086810679382E-15</v>
      </c>
      <c r="N109" s="179">
        <f t="shared" si="15"/>
        <v>14.839780519076468</v>
      </c>
      <c r="O109" s="179">
        <f t="shared" si="16"/>
        <v>39.516376908354296</v>
      </c>
    </row>
    <row r="110" spans="4:15" x14ac:dyDescent="0.25">
      <c r="D110">
        <v>107</v>
      </c>
      <c r="E110" s="177">
        <f t="shared" si="9"/>
        <v>5.2308888397356175E-33</v>
      </c>
      <c r="F110" s="177">
        <f t="shared" si="10"/>
        <v>4.329889004869205E-17</v>
      </c>
      <c r="J110" s="177">
        <f t="shared" si="12"/>
        <v>0.84876024030950414</v>
      </c>
      <c r="K110" s="177">
        <f t="shared" si="13"/>
        <v>3.9060692810984782E-14</v>
      </c>
      <c r="L110" s="177">
        <f t="shared" si="14"/>
        <v>14.839780519076506</v>
      </c>
      <c r="M110" s="177">
        <f t="shared" si="11"/>
        <v>2.0637086810679382E-15</v>
      </c>
      <c r="N110" s="179">
        <f t="shared" si="15"/>
        <v>14.839780519076507</v>
      </c>
      <c r="O110" s="179">
        <f t="shared" si="16"/>
        <v>39.516376908354331</v>
      </c>
    </row>
    <row r="111" spans="4:15" x14ac:dyDescent="0.25">
      <c r="D111">
        <v>108</v>
      </c>
      <c r="E111" s="177">
        <f t="shared" si="9"/>
        <v>2.6154444198678087E-33</v>
      </c>
      <c r="F111" s="177">
        <f t="shared" si="10"/>
        <v>4.329889004869205E-17</v>
      </c>
      <c r="J111" s="177">
        <f t="shared" si="12"/>
        <v>0.84876024030950414</v>
      </c>
      <c r="K111" s="177">
        <f t="shared" si="13"/>
        <v>3.9427459879632528E-14</v>
      </c>
      <c r="L111" s="177">
        <f t="shared" si="14"/>
        <v>14.839780519076545</v>
      </c>
      <c r="M111" s="177">
        <f t="shared" si="11"/>
        <v>2.0637086810679382E-15</v>
      </c>
      <c r="N111" s="179">
        <f t="shared" si="15"/>
        <v>14.839780519076546</v>
      </c>
      <c r="O111" s="179">
        <f t="shared" si="16"/>
        <v>39.516376908354374</v>
      </c>
    </row>
    <row r="112" spans="4:15" x14ac:dyDescent="0.25">
      <c r="D112">
        <v>109</v>
      </c>
      <c r="E112" s="177">
        <f t="shared" si="9"/>
        <v>1.3077222099339044E-33</v>
      </c>
      <c r="F112" s="177">
        <f t="shared" si="10"/>
        <v>4.329889004869205E-17</v>
      </c>
      <c r="J112" s="177">
        <f t="shared" si="12"/>
        <v>0.84876024030950414</v>
      </c>
      <c r="K112" s="177">
        <f t="shared" si="13"/>
        <v>3.9794226948280275E-14</v>
      </c>
      <c r="L112" s="177">
        <f t="shared" si="14"/>
        <v>14.839780519076584</v>
      </c>
      <c r="M112" s="177">
        <f t="shared" si="11"/>
        <v>2.0637086810679382E-15</v>
      </c>
      <c r="N112" s="179">
        <f t="shared" si="15"/>
        <v>14.839780519076585</v>
      </c>
      <c r="O112" s="179">
        <f t="shared" si="16"/>
        <v>39.516376908354417</v>
      </c>
    </row>
    <row r="113" spans="4:15" x14ac:dyDescent="0.25">
      <c r="D113">
        <v>110</v>
      </c>
      <c r="E113" s="177">
        <f t="shared" si="9"/>
        <v>6.5386110496695219E-34</v>
      </c>
      <c r="F113" s="177">
        <f t="shared" si="10"/>
        <v>4.329889004869205E-17</v>
      </c>
      <c r="J113" s="177">
        <f t="shared" si="12"/>
        <v>0.84876024030950414</v>
      </c>
      <c r="K113" s="177">
        <f t="shared" si="13"/>
        <v>4.0160994016928015E-14</v>
      </c>
      <c r="L113" s="177">
        <f t="shared" si="14"/>
        <v>14.839780519076625</v>
      </c>
      <c r="M113" s="177">
        <f t="shared" si="11"/>
        <v>2.0637086810679382E-15</v>
      </c>
      <c r="N113" s="179">
        <f t="shared" si="15"/>
        <v>14.839780519076626</v>
      </c>
      <c r="O113" s="179">
        <f t="shared" si="16"/>
        <v>39.516376908354459</v>
      </c>
    </row>
    <row r="114" spans="4:15" x14ac:dyDescent="0.25">
      <c r="D114">
        <v>111</v>
      </c>
      <c r="E114" s="177">
        <f t="shared" si="9"/>
        <v>3.2693055248347609E-34</v>
      </c>
      <c r="F114" s="177">
        <f t="shared" si="10"/>
        <v>4.329889004869205E-17</v>
      </c>
      <c r="J114" s="177">
        <f t="shared" si="12"/>
        <v>0.84876024030950414</v>
      </c>
      <c r="K114" s="177">
        <f t="shared" si="13"/>
        <v>4.0527761085575761E-14</v>
      </c>
      <c r="L114" s="177">
        <f t="shared" si="14"/>
        <v>14.839780519076665</v>
      </c>
      <c r="M114" s="177">
        <f t="shared" si="11"/>
        <v>2.0637086810679382E-15</v>
      </c>
      <c r="N114" s="179">
        <f t="shared" si="15"/>
        <v>14.839780519076667</v>
      </c>
      <c r="O114" s="179">
        <f t="shared" si="16"/>
        <v>39.516376908354502</v>
      </c>
    </row>
    <row r="115" spans="4:15" x14ac:dyDescent="0.25">
      <c r="D115">
        <v>112</v>
      </c>
      <c r="E115" s="177">
        <f t="shared" si="9"/>
        <v>1.6346527624173805E-34</v>
      </c>
      <c r="F115" s="177">
        <f t="shared" si="10"/>
        <v>4.329889004869205E-17</v>
      </c>
      <c r="J115" s="177">
        <f t="shared" si="12"/>
        <v>0.84876024030950414</v>
      </c>
      <c r="K115" s="177">
        <f t="shared" si="13"/>
        <v>4.0894528154223502E-14</v>
      </c>
      <c r="L115" s="177">
        <f t="shared" si="14"/>
        <v>14.839780519076706</v>
      </c>
      <c r="M115" s="177">
        <f t="shared" si="11"/>
        <v>2.0637086810679382E-15</v>
      </c>
      <c r="N115" s="179">
        <f t="shared" si="15"/>
        <v>14.839780519076708</v>
      </c>
      <c r="O115" s="179">
        <f t="shared" si="16"/>
        <v>39.516376908354545</v>
      </c>
    </row>
    <row r="116" spans="4:15" x14ac:dyDescent="0.25">
      <c r="D116">
        <v>113</v>
      </c>
      <c r="E116" s="177">
        <f t="shared" si="9"/>
        <v>8.1732638120869023E-35</v>
      </c>
      <c r="F116" s="177">
        <f t="shared" si="10"/>
        <v>4.329889004869205E-17</v>
      </c>
      <c r="J116" s="177">
        <f t="shared" si="12"/>
        <v>0.84876024030950414</v>
      </c>
      <c r="K116" s="177">
        <f t="shared" si="13"/>
        <v>4.1261295222871248E-14</v>
      </c>
      <c r="L116" s="177">
        <f t="shared" si="14"/>
        <v>14.839780519076747</v>
      </c>
      <c r="M116" s="177">
        <f t="shared" si="11"/>
        <v>2.0637086810679382E-15</v>
      </c>
      <c r="N116" s="179">
        <f t="shared" si="15"/>
        <v>14.839780519076749</v>
      </c>
      <c r="O116" s="179">
        <f t="shared" si="16"/>
        <v>39.516376908354587</v>
      </c>
    </row>
    <row r="117" spans="4:15" x14ac:dyDescent="0.25">
      <c r="D117">
        <v>114</v>
      </c>
      <c r="E117" s="177">
        <f t="shared" si="9"/>
        <v>4.0866319060434512E-35</v>
      </c>
      <c r="F117" s="177">
        <f t="shared" si="10"/>
        <v>4.329889004869205E-17</v>
      </c>
      <c r="J117" s="177">
        <f t="shared" si="12"/>
        <v>0.84876024030950414</v>
      </c>
      <c r="K117" s="177">
        <f t="shared" si="13"/>
        <v>4.1628062291518988E-14</v>
      </c>
      <c r="L117" s="177">
        <f t="shared" si="14"/>
        <v>14.839780519076788</v>
      </c>
      <c r="M117" s="177">
        <f t="shared" si="11"/>
        <v>2.0637086810679382E-15</v>
      </c>
      <c r="N117" s="179">
        <f t="shared" si="15"/>
        <v>14.83978051907679</v>
      </c>
      <c r="O117" s="179">
        <f t="shared" si="16"/>
        <v>39.51637690835463</v>
      </c>
    </row>
    <row r="118" spans="4:15" x14ac:dyDescent="0.25">
      <c r="D118">
        <v>115</v>
      </c>
      <c r="E118" s="177">
        <f t="shared" si="9"/>
        <v>2.0433159530217256E-35</v>
      </c>
      <c r="F118" s="177">
        <f t="shared" si="10"/>
        <v>4.329889004869205E-17</v>
      </c>
      <c r="J118" s="177">
        <f t="shared" si="12"/>
        <v>0.84876024030950414</v>
      </c>
      <c r="K118" s="177">
        <f t="shared" si="13"/>
        <v>4.1994829360166735E-14</v>
      </c>
      <c r="L118" s="177">
        <f t="shared" si="14"/>
        <v>14.839780519076831</v>
      </c>
      <c r="M118" s="177">
        <f t="shared" si="11"/>
        <v>2.0637086810679382E-15</v>
      </c>
      <c r="N118" s="179">
        <f t="shared" si="15"/>
        <v>14.839780519076832</v>
      </c>
      <c r="O118" s="179">
        <f t="shared" si="16"/>
        <v>39.516376908354673</v>
      </c>
    </row>
    <row r="119" spans="4:15" x14ac:dyDescent="0.25">
      <c r="D119">
        <v>116</v>
      </c>
      <c r="E119" s="177">
        <f t="shared" si="9"/>
        <v>1.0216579765108628E-35</v>
      </c>
      <c r="F119" s="177">
        <f t="shared" si="10"/>
        <v>4.329889004869205E-17</v>
      </c>
      <c r="J119" s="177">
        <f t="shared" si="12"/>
        <v>0.84876024030950414</v>
      </c>
      <c r="K119" s="177">
        <f t="shared" si="13"/>
        <v>4.2361596428814481E-14</v>
      </c>
      <c r="L119" s="177">
        <f t="shared" si="14"/>
        <v>14.839780519076873</v>
      </c>
      <c r="M119" s="177">
        <f t="shared" si="11"/>
        <v>2.0637086810679382E-15</v>
      </c>
      <c r="N119" s="179">
        <f t="shared" si="15"/>
        <v>14.839780519076875</v>
      </c>
      <c r="O119" s="179">
        <f t="shared" si="16"/>
        <v>39.516376908354715</v>
      </c>
    </row>
    <row r="120" spans="4:15" x14ac:dyDescent="0.25">
      <c r="D120">
        <v>117</v>
      </c>
      <c r="E120" s="177">
        <f t="shared" si="9"/>
        <v>5.108289882554314E-36</v>
      </c>
      <c r="F120" s="177">
        <f t="shared" si="10"/>
        <v>4.329889004869205E-17</v>
      </c>
      <c r="J120" s="177">
        <f t="shared" si="12"/>
        <v>0.84876024030950414</v>
      </c>
      <c r="K120" s="177">
        <f t="shared" si="13"/>
        <v>4.2728363497462228E-14</v>
      </c>
      <c r="L120" s="177">
        <f t="shared" si="14"/>
        <v>14.839780519076916</v>
      </c>
      <c r="M120" s="177">
        <f t="shared" si="11"/>
        <v>2.0637086810679382E-15</v>
      </c>
      <c r="N120" s="179">
        <f t="shared" si="15"/>
        <v>14.839780519076918</v>
      </c>
      <c r="O120" s="179">
        <f t="shared" si="16"/>
        <v>39.516376908354758</v>
      </c>
    </row>
    <row r="121" spans="4:15" x14ac:dyDescent="0.25">
      <c r="D121">
        <v>118</v>
      </c>
      <c r="E121" s="177">
        <f t="shared" si="9"/>
        <v>2.554144941277157E-36</v>
      </c>
      <c r="F121" s="177">
        <f t="shared" si="10"/>
        <v>4.329889004869205E-17</v>
      </c>
      <c r="J121" s="177">
        <f t="shared" si="12"/>
        <v>0.84876024030950414</v>
      </c>
      <c r="K121" s="177">
        <f t="shared" si="13"/>
        <v>4.3095130566109968E-14</v>
      </c>
      <c r="L121" s="177">
        <f t="shared" si="14"/>
        <v>14.839780519076958</v>
      </c>
      <c r="M121" s="177">
        <f t="shared" si="11"/>
        <v>2.0637086810679382E-15</v>
      </c>
      <c r="N121" s="179">
        <f t="shared" si="15"/>
        <v>14.83978051907696</v>
      </c>
      <c r="O121" s="179">
        <f t="shared" si="16"/>
        <v>39.5163769083548</v>
      </c>
    </row>
    <row r="122" spans="4:15" x14ac:dyDescent="0.25">
      <c r="D122">
        <v>119</v>
      </c>
      <c r="E122" s="177">
        <f t="shared" si="9"/>
        <v>1.2770724706385785E-36</v>
      </c>
      <c r="F122" s="177">
        <f t="shared" si="10"/>
        <v>4.329889004869205E-17</v>
      </c>
      <c r="J122" s="177">
        <f t="shared" si="12"/>
        <v>0.84876024030950414</v>
      </c>
      <c r="K122" s="177">
        <f t="shared" si="13"/>
        <v>4.3461897634757714E-14</v>
      </c>
      <c r="L122" s="177">
        <f t="shared" si="14"/>
        <v>14.839780519077001</v>
      </c>
      <c r="M122" s="177">
        <f t="shared" si="11"/>
        <v>2.0637086810679382E-15</v>
      </c>
      <c r="N122" s="179">
        <f t="shared" si="15"/>
        <v>14.839780519077003</v>
      </c>
      <c r="O122" s="179">
        <f t="shared" si="16"/>
        <v>39.516376908354843</v>
      </c>
    </row>
    <row r="123" spans="4:15" x14ac:dyDescent="0.25">
      <c r="D123">
        <v>120</v>
      </c>
      <c r="E123" s="177">
        <f t="shared" si="9"/>
        <v>6.3853623531928925E-37</v>
      </c>
      <c r="F123" s="177">
        <f t="shared" si="10"/>
        <v>4.329889004869205E-17</v>
      </c>
      <c r="J123" s="177">
        <f t="shared" si="12"/>
        <v>0.84876024030950414</v>
      </c>
      <c r="K123" s="177">
        <f t="shared" si="13"/>
        <v>4.3828664703405461E-14</v>
      </c>
      <c r="L123" s="177">
        <f t="shared" si="14"/>
        <v>14.839780519077046</v>
      </c>
      <c r="M123" s="177">
        <f t="shared" si="11"/>
        <v>2.0637086810679382E-15</v>
      </c>
      <c r="N123" s="179">
        <f t="shared" si="15"/>
        <v>14.839780519077047</v>
      </c>
      <c r="O123" s="179">
        <f t="shared" si="16"/>
        <v>39.516376908354886</v>
      </c>
    </row>
    <row r="124" spans="4:15" x14ac:dyDescent="0.25">
      <c r="D124">
        <v>121</v>
      </c>
      <c r="E124" s="177">
        <f t="shared" si="9"/>
        <v>3.1926811765964462E-37</v>
      </c>
      <c r="F124" s="177">
        <f t="shared" si="10"/>
        <v>4.329889004869205E-17</v>
      </c>
      <c r="J124" s="177">
        <f t="shared" si="12"/>
        <v>0.84876024030950414</v>
      </c>
      <c r="K124" s="177">
        <f t="shared" si="13"/>
        <v>4.4195431772053207E-14</v>
      </c>
      <c r="L124" s="177">
        <f t="shared" si="14"/>
        <v>14.83978051907709</v>
      </c>
      <c r="M124" s="177">
        <f t="shared" si="11"/>
        <v>2.0637086810679382E-15</v>
      </c>
      <c r="N124" s="179">
        <f t="shared" si="15"/>
        <v>14.839780519077092</v>
      </c>
      <c r="O124" s="179">
        <f t="shared" si="16"/>
        <v>39.516376908354928</v>
      </c>
    </row>
    <row r="125" spans="4:15" x14ac:dyDescent="0.25">
      <c r="D125">
        <v>122</v>
      </c>
      <c r="E125" s="177">
        <f t="shared" si="9"/>
        <v>1.5963405882982231E-37</v>
      </c>
      <c r="F125" s="177">
        <f t="shared" si="10"/>
        <v>4.329889004869205E-17</v>
      </c>
      <c r="J125" s="177">
        <f t="shared" si="12"/>
        <v>0.84876024030950414</v>
      </c>
      <c r="K125" s="177">
        <f t="shared" si="13"/>
        <v>4.4562198840700947E-14</v>
      </c>
      <c r="L125" s="177">
        <f t="shared" si="14"/>
        <v>14.839780519077134</v>
      </c>
      <c r="M125" s="177">
        <f t="shared" si="11"/>
        <v>2.0637086810679382E-15</v>
      </c>
      <c r="N125" s="179">
        <f t="shared" si="15"/>
        <v>14.839780519077136</v>
      </c>
      <c r="O125" s="179">
        <f t="shared" si="16"/>
        <v>39.516376908354971</v>
      </c>
    </row>
    <row r="126" spans="4:15" x14ac:dyDescent="0.25">
      <c r="D126">
        <v>123</v>
      </c>
      <c r="E126" s="177">
        <f t="shared" si="9"/>
        <v>7.9817029414911156E-38</v>
      </c>
      <c r="F126" s="177">
        <f t="shared" si="10"/>
        <v>4.329889004869205E-17</v>
      </c>
      <c r="J126" s="177">
        <f t="shared" si="12"/>
        <v>0.84876024030950414</v>
      </c>
      <c r="K126" s="177">
        <f t="shared" si="13"/>
        <v>4.4928965909348694E-14</v>
      </c>
      <c r="L126" s="177">
        <f t="shared" si="14"/>
        <v>14.839780519077179</v>
      </c>
      <c r="M126" s="177">
        <f t="shared" si="11"/>
        <v>2.0637086810679382E-15</v>
      </c>
      <c r="N126" s="179">
        <f t="shared" si="15"/>
        <v>14.839780519077181</v>
      </c>
      <c r="O126" s="179">
        <f t="shared" si="16"/>
        <v>39.516376908355014</v>
      </c>
    </row>
    <row r="127" spans="4:15" x14ac:dyDescent="0.25">
      <c r="D127">
        <v>124</v>
      </c>
      <c r="E127" s="177">
        <f t="shared" si="9"/>
        <v>3.9908514707455578E-38</v>
      </c>
      <c r="F127" s="177">
        <f t="shared" si="10"/>
        <v>4.329889004869205E-17</v>
      </c>
      <c r="J127" s="177">
        <f t="shared" si="12"/>
        <v>0.84876024030950414</v>
      </c>
      <c r="K127" s="177">
        <f t="shared" si="13"/>
        <v>4.529573297799644E-14</v>
      </c>
      <c r="L127" s="177">
        <f t="shared" si="14"/>
        <v>14.839780519077223</v>
      </c>
      <c r="M127" s="177">
        <f t="shared" si="11"/>
        <v>2.0637086810679382E-15</v>
      </c>
      <c r="N127" s="179">
        <f t="shared" si="15"/>
        <v>14.839780519077225</v>
      </c>
      <c r="O127" s="179">
        <f t="shared" si="16"/>
        <v>39.516376908355056</v>
      </c>
    </row>
    <row r="128" spans="4:15" x14ac:dyDescent="0.25">
      <c r="D128">
        <v>125</v>
      </c>
      <c r="E128" s="177">
        <f t="shared" si="9"/>
        <v>1.9954257353727789E-38</v>
      </c>
      <c r="F128" s="177">
        <f t="shared" si="10"/>
        <v>4.329889004869205E-17</v>
      </c>
      <c r="J128" s="177">
        <f t="shared" si="12"/>
        <v>0.84876024030950414</v>
      </c>
      <c r="K128" s="177">
        <f t="shared" si="13"/>
        <v>4.566250004664418E-14</v>
      </c>
      <c r="L128" s="177">
        <f t="shared" si="14"/>
        <v>14.839780519077269</v>
      </c>
      <c r="M128" s="177">
        <f t="shared" si="11"/>
        <v>2.0637086810679382E-15</v>
      </c>
      <c r="N128" s="179">
        <f t="shared" si="15"/>
        <v>14.839780519077271</v>
      </c>
      <c r="O128" s="179">
        <f t="shared" si="16"/>
        <v>39.516376908355099</v>
      </c>
    </row>
    <row r="129" spans="4:15" x14ac:dyDescent="0.25">
      <c r="D129">
        <v>126</v>
      </c>
      <c r="E129" s="177">
        <f t="shared" si="9"/>
        <v>9.9771286768638945E-39</v>
      </c>
      <c r="F129" s="177">
        <f t="shared" si="10"/>
        <v>4.329889004869205E-17</v>
      </c>
      <c r="J129" s="177">
        <f t="shared" si="12"/>
        <v>0.84876024030950414</v>
      </c>
      <c r="K129" s="177">
        <f t="shared" si="13"/>
        <v>4.602926711529192E-14</v>
      </c>
      <c r="L129" s="177">
        <f t="shared" si="14"/>
        <v>14.839780519077316</v>
      </c>
      <c r="M129" s="177">
        <f t="shared" si="11"/>
        <v>2.0637086810679382E-15</v>
      </c>
      <c r="N129" s="179">
        <f t="shared" si="15"/>
        <v>14.839780519077317</v>
      </c>
      <c r="O129" s="179">
        <f t="shared" si="16"/>
        <v>39.516376908355141</v>
      </c>
    </row>
    <row r="130" spans="4:15" x14ac:dyDescent="0.25">
      <c r="D130">
        <v>127</v>
      </c>
      <c r="E130" s="177">
        <f t="shared" si="9"/>
        <v>4.9885643384319472E-39</v>
      </c>
      <c r="F130" s="177">
        <f t="shared" si="10"/>
        <v>4.329889004869205E-17</v>
      </c>
      <c r="J130" s="177">
        <f t="shared" si="12"/>
        <v>0.84876024030950414</v>
      </c>
      <c r="K130" s="177">
        <f t="shared" si="13"/>
        <v>4.6396034183939667E-14</v>
      </c>
      <c r="L130" s="177">
        <f t="shared" si="14"/>
        <v>14.839780519077362</v>
      </c>
      <c r="M130" s="177">
        <f t="shared" si="11"/>
        <v>2.0637086810679382E-15</v>
      </c>
      <c r="N130" s="179">
        <f t="shared" si="15"/>
        <v>14.839780519077364</v>
      </c>
      <c r="O130" s="179">
        <f t="shared" si="16"/>
        <v>39.516376908355191</v>
      </c>
    </row>
    <row r="131" spans="4:15" x14ac:dyDescent="0.25">
      <c r="D131">
        <v>128</v>
      </c>
      <c r="E131" s="177">
        <f t="shared" si="9"/>
        <v>2.4942821692159736E-39</v>
      </c>
      <c r="F131" s="177">
        <f t="shared" si="10"/>
        <v>4.329889004869205E-17</v>
      </c>
      <c r="J131" s="177">
        <f t="shared" si="12"/>
        <v>0.84876024030950414</v>
      </c>
      <c r="K131" s="177">
        <f t="shared" si="13"/>
        <v>4.6762801252587413E-14</v>
      </c>
      <c r="L131" s="177">
        <f t="shared" si="14"/>
        <v>14.839780519077408</v>
      </c>
      <c r="M131" s="177">
        <f t="shared" si="11"/>
        <v>2.0637086810679382E-15</v>
      </c>
      <c r="N131" s="179">
        <f t="shared" si="15"/>
        <v>14.83978051907741</v>
      </c>
      <c r="O131" s="179">
        <f t="shared" si="16"/>
        <v>39.516376908355241</v>
      </c>
    </row>
    <row r="132" spans="4:15" x14ac:dyDescent="0.25">
      <c r="D132">
        <v>129</v>
      </c>
      <c r="E132" s="177">
        <f t="shared" ref="E132:E195" si="17">$B$10*$B$11*(1-$B$11)^(D132-1)</f>
        <v>1.2471410846079868E-39</v>
      </c>
      <c r="F132" s="177">
        <f t="shared" ref="F132:F195" si="18">($B$10-J131)*(2*$B$9*(1-$B$9)*$B$11+($B$9^2)*($B$11^2))/$B$10</f>
        <v>4.329889004869205E-17</v>
      </c>
      <c r="J132" s="177">
        <f t="shared" si="12"/>
        <v>0.84876024030950414</v>
      </c>
      <c r="K132" s="177">
        <f t="shared" si="13"/>
        <v>4.712956832123516E-14</v>
      </c>
      <c r="L132" s="177">
        <f t="shared" si="14"/>
        <v>14.839780519077456</v>
      </c>
      <c r="M132" s="177">
        <f t="shared" ref="M132:M195" si="19">($B$10-J132)*$B$12</f>
        <v>2.0637086810679382E-15</v>
      </c>
      <c r="N132" s="179">
        <f t="shared" si="15"/>
        <v>14.839780519077458</v>
      </c>
      <c r="O132" s="179">
        <f t="shared" si="16"/>
        <v>39.516376908355291</v>
      </c>
    </row>
    <row r="133" spans="4:15" x14ac:dyDescent="0.25">
      <c r="D133">
        <v>130</v>
      </c>
      <c r="E133" s="177">
        <f t="shared" si="17"/>
        <v>6.235705423039934E-40</v>
      </c>
      <c r="F133" s="177">
        <f t="shared" si="18"/>
        <v>4.329889004869205E-17</v>
      </c>
      <c r="J133" s="177">
        <f t="shared" ref="J133:J196" si="20">J132+F133</f>
        <v>0.84876024030950414</v>
      </c>
      <c r="K133" s="177">
        <f t="shared" ref="K133:K196" si="21">$B$8*(D133-0.5)*F133</f>
        <v>4.7496335389882906E-14</v>
      </c>
      <c r="L133" s="177">
        <f t="shared" ref="L133:L196" si="22">L132+K133</f>
        <v>14.839780519077504</v>
      </c>
      <c r="M133" s="177">
        <f t="shared" si="19"/>
        <v>2.0637086810679382E-15</v>
      </c>
      <c r="N133" s="179">
        <f t="shared" ref="N133:N196" si="23">M133+L133</f>
        <v>14.839780519077506</v>
      </c>
      <c r="O133" s="179">
        <f t="shared" ref="O133:O196" si="24">O132+K133+M133</f>
        <v>39.51637690835534</v>
      </c>
    </row>
    <row r="134" spans="4:15" x14ac:dyDescent="0.25">
      <c r="D134">
        <v>131</v>
      </c>
      <c r="E134" s="177">
        <f t="shared" si="17"/>
        <v>3.117852711519967E-40</v>
      </c>
      <c r="F134" s="177">
        <f t="shared" si="18"/>
        <v>4.329889004869205E-17</v>
      </c>
      <c r="J134" s="177">
        <f t="shared" si="20"/>
        <v>0.84876024030950414</v>
      </c>
      <c r="K134" s="177">
        <f t="shared" si="21"/>
        <v>4.7863102458530653E-14</v>
      </c>
      <c r="L134" s="177">
        <f t="shared" si="22"/>
        <v>14.839780519077552</v>
      </c>
      <c r="M134" s="177">
        <f t="shared" si="19"/>
        <v>2.0637086810679382E-15</v>
      </c>
      <c r="N134" s="179">
        <f t="shared" si="23"/>
        <v>14.839780519077554</v>
      </c>
      <c r="O134" s="179">
        <f t="shared" si="24"/>
        <v>39.51637690835539</v>
      </c>
    </row>
    <row r="135" spans="4:15" x14ac:dyDescent="0.25">
      <c r="D135">
        <v>132</v>
      </c>
      <c r="E135" s="177">
        <f t="shared" si="17"/>
        <v>1.5589263557599835E-40</v>
      </c>
      <c r="F135" s="177">
        <f t="shared" si="18"/>
        <v>4.329889004869205E-17</v>
      </c>
      <c r="J135" s="177">
        <f t="shared" si="20"/>
        <v>0.84876024030950414</v>
      </c>
      <c r="K135" s="177">
        <f t="shared" si="21"/>
        <v>4.8229869527178399E-14</v>
      </c>
      <c r="L135" s="177">
        <f t="shared" si="22"/>
        <v>14.8397805190776</v>
      </c>
      <c r="M135" s="177">
        <f t="shared" si="19"/>
        <v>2.0637086810679382E-15</v>
      </c>
      <c r="N135" s="179">
        <f t="shared" si="23"/>
        <v>14.839780519077602</v>
      </c>
      <c r="O135" s="179">
        <f t="shared" si="24"/>
        <v>39.51637690835544</v>
      </c>
    </row>
    <row r="136" spans="4:15" x14ac:dyDescent="0.25">
      <c r="D136">
        <v>133</v>
      </c>
      <c r="E136" s="177">
        <f t="shared" si="17"/>
        <v>7.7946317787999175E-41</v>
      </c>
      <c r="F136" s="177">
        <f t="shared" si="18"/>
        <v>4.329889004869205E-17</v>
      </c>
      <c r="J136" s="177">
        <f t="shared" si="20"/>
        <v>0.84876024030950414</v>
      </c>
      <c r="K136" s="177">
        <f t="shared" si="21"/>
        <v>4.8596636595826133E-14</v>
      </c>
      <c r="L136" s="177">
        <f t="shared" si="22"/>
        <v>14.839780519077648</v>
      </c>
      <c r="M136" s="177">
        <f t="shared" si="19"/>
        <v>2.0637086810679382E-15</v>
      </c>
      <c r="N136" s="179">
        <f t="shared" si="23"/>
        <v>14.83978051907765</v>
      </c>
      <c r="O136" s="179">
        <f t="shared" si="24"/>
        <v>39.51637690835549</v>
      </c>
    </row>
    <row r="137" spans="4:15" x14ac:dyDescent="0.25">
      <c r="D137">
        <v>134</v>
      </c>
      <c r="E137" s="177">
        <f t="shared" si="17"/>
        <v>3.8973158893999588E-41</v>
      </c>
      <c r="F137" s="177">
        <f t="shared" si="18"/>
        <v>4.329889004869205E-17</v>
      </c>
      <c r="J137" s="177">
        <f t="shared" si="20"/>
        <v>0.84876024030950414</v>
      </c>
      <c r="K137" s="177">
        <f t="shared" si="21"/>
        <v>4.8963403664473879E-14</v>
      </c>
      <c r="L137" s="177">
        <f t="shared" si="22"/>
        <v>14.839780519077697</v>
      </c>
      <c r="M137" s="177">
        <f t="shared" si="19"/>
        <v>2.0637086810679382E-15</v>
      </c>
      <c r="N137" s="179">
        <f t="shared" si="23"/>
        <v>14.839780519077699</v>
      </c>
      <c r="O137" s="179">
        <f t="shared" si="24"/>
        <v>39.516376908355539</v>
      </c>
    </row>
    <row r="138" spans="4:15" x14ac:dyDescent="0.25">
      <c r="D138">
        <v>135</v>
      </c>
      <c r="E138" s="177">
        <f t="shared" si="17"/>
        <v>1.9486579446999794E-41</v>
      </c>
      <c r="F138" s="177">
        <f t="shared" si="18"/>
        <v>4.329889004869205E-17</v>
      </c>
      <c r="J138" s="177">
        <f t="shared" si="20"/>
        <v>0.84876024030950414</v>
      </c>
      <c r="K138" s="177">
        <f t="shared" si="21"/>
        <v>4.9330170733121626E-14</v>
      </c>
      <c r="L138" s="177">
        <f t="shared" si="22"/>
        <v>14.839780519077747</v>
      </c>
      <c r="M138" s="177">
        <f t="shared" si="19"/>
        <v>2.0637086810679382E-15</v>
      </c>
      <c r="N138" s="179">
        <f t="shared" si="23"/>
        <v>14.839780519077749</v>
      </c>
      <c r="O138" s="179">
        <f t="shared" si="24"/>
        <v>39.516376908355589</v>
      </c>
    </row>
    <row r="139" spans="4:15" x14ac:dyDescent="0.25">
      <c r="D139">
        <v>136</v>
      </c>
      <c r="E139" s="177">
        <f t="shared" si="17"/>
        <v>9.7432897234998969E-42</v>
      </c>
      <c r="F139" s="177">
        <f t="shared" si="18"/>
        <v>4.329889004869205E-17</v>
      </c>
      <c r="J139" s="177">
        <f t="shared" si="20"/>
        <v>0.84876024030950414</v>
      </c>
      <c r="K139" s="177">
        <f t="shared" si="21"/>
        <v>4.9696937801769366E-14</v>
      </c>
      <c r="L139" s="177">
        <f t="shared" si="22"/>
        <v>14.839780519077797</v>
      </c>
      <c r="M139" s="177">
        <f t="shared" si="19"/>
        <v>2.0637086810679382E-15</v>
      </c>
      <c r="N139" s="179">
        <f t="shared" si="23"/>
        <v>14.839780519077799</v>
      </c>
      <c r="O139" s="179">
        <f t="shared" si="24"/>
        <v>39.516376908355639</v>
      </c>
    </row>
    <row r="140" spans="4:15" x14ac:dyDescent="0.25">
      <c r="D140">
        <v>137</v>
      </c>
      <c r="E140" s="177">
        <f t="shared" si="17"/>
        <v>4.8716448617499485E-42</v>
      </c>
      <c r="F140" s="177">
        <f t="shared" si="18"/>
        <v>4.329889004869205E-17</v>
      </c>
      <c r="J140" s="177">
        <f t="shared" si="20"/>
        <v>0.84876024030950414</v>
      </c>
      <c r="K140" s="177">
        <f t="shared" si="21"/>
        <v>5.0063704870417112E-14</v>
      </c>
      <c r="L140" s="177">
        <f t="shared" si="22"/>
        <v>14.839780519077847</v>
      </c>
      <c r="M140" s="177">
        <f t="shared" si="19"/>
        <v>2.0637086810679382E-15</v>
      </c>
      <c r="N140" s="179">
        <f t="shared" si="23"/>
        <v>14.839780519077848</v>
      </c>
      <c r="O140" s="179">
        <f t="shared" si="24"/>
        <v>39.516376908355689</v>
      </c>
    </row>
    <row r="141" spans="4:15" x14ac:dyDescent="0.25">
      <c r="D141">
        <v>138</v>
      </c>
      <c r="E141" s="177">
        <f t="shared" si="17"/>
        <v>2.4358224308749742E-42</v>
      </c>
      <c r="F141" s="177">
        <f t="shared" si="18"/>
        <v>4.329889004869205E-17</v>
      </c>
      <c r="J141" s="177">
        <f t="shared" si="20"/>
        <v>0.84876024030950414</v>
      </c>
      <c r="K141" s="177">
        <f t="shared" si="21"/>
        <v>5.0430471939064859E-14</v>
      </c>
      <c r="L141" s="177">
        <f t="shared" si="22"/>
        <v>14.839780519077896</v>
      </c>
      <c r="M141" s="177">
        <f t="shared" si="19"/>
        <v>2.0637086810679382E-15</v>
      </c>
      <c r="N141" s="179">
        <f t="shared" si="23"/>
        <v>14.839780519077898</v>
      </c>
      <c r="O141" s="179">
        <f t="shared" si="24"/>
        <v>39.516376908355738</v>
      </c>
    </row>
    <row r="142" spans="4:15" x14ac:dyDescent="0.25">
      <c r="D142">
        <v>139</v>
      </c>
      <c r="E142" s="177">
        <f t="shared" si="17"/>
        <v>1.2179112154374871E-42</v>
      </c>
      <c r="F142" s="177">
        <f t="shared" si="18"/>
        <v>4.329889004869205E-17</v>
      </c>
      <c r="J142" s="177">
        <f t="shared" si="20"/>
        <v>0.84876024030950414</v>
      </c>
      <c r="K142" s="177">
        <f t="shared" si="21"/>
        <v>5.0797239007712605E-14</v>
      </c>
      <c r="L142" s="177">
        <f t="shared" si="22"/>
        <v>14.839780519077948</v>
      </c>
      <c r="M142" s="177">
        <f t="shared" si="19"/>
        <v>2.0637086810679382E-15</v>
      </c>
      <c r="N142" s="179">
        <f t="shared" si="23"/>
        <v>14.83978051907795</v>
      </c>
      <c r="O142" s="179">
        <f t="shared" si="24"/>
        <v>39.516376908355788</v>
      </c>
    </row>
    <row r="143" spans="4:15" x14ac:dyDescent="0.25">
      <c r="D143">
        <v>140</v>
      </c>
      <c r="E143" s="177">
        <f t="shared" si="17"/>
        <v>6.0895560771874356E-43</v>
      </c>
      <c r="F143" s="177">
        <f t="shared" si="18"/>
        <v>4.329889004869205E-17</v>
      </c>
      <c r="J143" s="177">
        <f t="shared" si="20"/>
        <v>0.84876024030950414</v>
      </c>
      <c r="K143" s="177">
        <f t="shared" si="21"/>
        <v>5.1164006076360352E-14</v>
      </c>
      <c r="L143" s="177">
        <f t="shared" si="22"/>
        <v>14.839780519077999</v>
      </c>
      <c r="M143" s="177">
        <f t="shared" si="19"/>
        <v>2.0637086810679382E-15</v>
      </c>
      <c r="N143" s="179">
        <f t="shared" si="23"/>
        <v>14.839780519078001</v>
      </c>
      <c r="O143" s="179">
        <f t="shared" si="24"/>
        <v>39.516376908355838</v>
      </c>
    </row>
    <row r="144" spans="4:15" x14ac:dyDescent="0.25">
      <c r="D144">
        <v>141</v>
      </c>
      <c r="E144" s="177">
        <f t="shared" si="17"/>
        <v>3.0447780385937178E-43</v>
      </c>
      <c r="F144" s="177">
        <f t="shared" si="18"/>
        <v>4.329889004869205E-17</v>
      </c>
      <c r="J144" s="177">
        <f t="shared" si="20"/>
        <v>0.84876024030950414</v>
      </c>
      <c r="K144" s="177">
        <f t="shared" si="21"/>
        <v>5.1530773145008098E-14</v>
      </c>
      <c r="L144" s="177">
        <f t="shared" si="22"/>
        <v>14.839780519078051</v>
      </c>
      <c r="M144" s="177">
        <f t="shared" si="19"/>
        <v>2.0637086810679382E-15</v>
      </c>
      <c r="N144" s="179">
        <f t="shared" si="23"/>
        <v>14.839780519078053</v>
      </c>
      <c r="O144" s="179">
        <f t="shared" si="24"/>
        <v>39.516376908355888</v>
      </c>
    </row>
    <row r="145" spans="4:15" x14ac:dyDescent="0.25">
      <c r="D145">
        <v>142</v>
      </c>
      <c r="E145" s="177">
        <f t="shared" si="17"/>
        <v>1.5223890192968589E-43</v>
      </c>
      <c r="F145" s="177">
        <f t="shared" si="18"/>
        <v>4.329889004869205E-17</v>
      </c>
      <c r="J145" s="177">
        <f t="shared" si="20"/>
        <v>0.84876024030950414</v>
      </c>
      <c r="K145" s="177">
        <f t="shared" si="21"/>
        <v>5.1897540213655832E-14</v>
      </c>
      <c r="L145" s="177">
        <f t="shared" si="22"/>
        <v>14.839780519078102</v>
      </c>
      <c r="M145" s="177">
        <f t="shared" si="19"/>
        <v>2.0637086810679382E-15</v>
      </c>
      <c r="N145" s="179">
        <f t="shared" si="23"/>
        <v>14.839780519078104</v>
      </c>
      <c r="O145" s="179">
        <f t="shared" si="24"/>
        <v>39.516376908355937</v>
      </c>
    </row>
    <row r="146" spans="4:15" x14ac:dyDescent="0.25">
      <c r="D146">
        <v>143</v>
      </c>
      <c r="E146" s="177">
        <f t="shared" si="17"/>
        <v>7.6119450964842945E-44</v>
      </c>
      <c r="F146" s="177">
        <f t="shared" si="18"/>
        <v>4.329889004869205E-17</v>
      </c>
      <c r="J146" s="177">
        <f t="shared" si="20"/>
        <v>0.84876024030950414</v>
      </c>
      <c r="K146" s="177">
        <f t="shared" si="21"/>
        <v>5.2264307282303578E-14</v>
      </c>
      <c r="L146" s="177">
        <f t="shared" si="22"/>
        <v>14.839780519078154</v>
      </c>
      <c r="M146" s="177">
        <f t="shared" si="19"/>
        <v>2.0637086810679382E-15</v>
      </c>
      <c r="N146" s="179">
        <f t="shared" si="23"/>
        <v>14.839780519078156</v>
      </c>
      <c r="O146" s="179">
        <f t="shared" si="24"/>
        <v>39.516376908355987</v>
      </c>
    </row>
    <row r="147" spans="4:15" x14ac:dyDescent="0.25">
      <c r="D147">
        <v>144</v>
      </c>
      <c r="E147" s="177">
        <f t="shared" si="17"/>
        <v>3.8059725482421472E-44</v>
      </c>
      <c r="F147" s="177">
        <f t="shared" si="18"/>
        <v>4.329889004869205E-17</v>
      </c>
      <c r="J147" s="177">
        <f t="shared" si="20"/>
        <v>0.84876024030950414</v>
      </c>
      <c r="K147" s="177">
        <f t="shared" si="21"/>
        <v>5.2631074350951325E-14</v>
      </c>
      <c r="L147" s="177">
        <f t="shared" si="22"/>
        <v>14.839780519078207</v>
      </c>
      <c r="M147" s="177">
        <f t="shared" si="19"/>
        <v>2.0637086810679382E-15</v>
      </c>
      <c r="N147" s="179">
        <f t="shared" si="23"/>
        <v>14.839780519078209</v>
      </c>
      <c r="O147" s="179">
        <f t="shared" si="24"/>
        <v>39.516376908356037</v>
      </c>
    </row>
    <row r="148" spans="4:15" x14ac:dyDescent="0.25">
      <c r="D148">
        <v>145</v>
      </c>
      <c r="E148" s="177">
        <f t="shared" si="17"/>
        <v>1.9029862741210736E-44</v>
      </c>
      <c r="F148" s="177">
        <f t="shared" si="18"/>
        <v>4.329889004869205E-17</v>
      </c>
      <c r="J148" s="177">
        <f t="shared" si="20"/>
        <v>0.84876024030950414</v>
      </c>
      <c r="K148" s="177">
        <f t="shared" si="21"/>
        <v>5.2997841419599071E-14</v>
      </c>
      <c r="L148" s="177">
        <f t="shared" si="22"/>
        <v>14.839780519078261</v>
      </c>
      <c r="M148" s="177">
        <f t="shared" si="19"/>
        <v>2.0637086810679382E-15</v>
      </c>
      <c r="N148" s="179">
        <f t="shared" si="23"/>
        <v>14.839780519078262</v>
      </c>
      <c r="O148" s="179">
        <f t="shared" si="24"/>
        <v>39.516376908356087</v>
      </c>
    </row>
    <row r="149" spans="4:15" x14ac:dyDescent="0.25">
      <c r="D149">
        <v>146</v>
      </c>
      <c r="E149" s="177">
        <f t="shared" si="17"/>
        <v>9.5149313706053681E-45</v>
      </c>
      <c r="F149" s="177">
        <f t="shared" si="18"/>
        <v>4.329889004869205E-17</v>
      </c>
      <c r="J149" s="177">
        <f t="shared" si="20"/>
        <v>0.84876024030950414</v>
      </c>
      <c r="K149" s="177">
        <f t="shared" si="21"/>
        <v>5.3364608488246818E-14</v>
      </c>
      <c r="L149" s="177">
        <f t="shared" si="22"/>
        <v>14.839780519078314</v>
      </c>
      <c r="M149" s="177">
        <f t="shared" si="19"/>
        <v>2.0637086810679382E-15</v>
      </c>
      <c r="N149" s="179">
        <f t="shared" si="23"/>
        <v>14.839780519078316</v>
      </c>
      <c r="O149" s="179">
        <f t="shared" si="24"/>
        <v>39.516376908356143</v>
      </c>
    </row>
    <row r="150" spans="4:15" x14ac:dyDescent="0.25">
      <c r="D150">
        <v>147</v>
      </c>
      <c r="E150" s="177">
        <f t="shared" si="17"/>
        <v>4.757465685302684E-45</v>
      </c>
      <c r="F150" s="177">
        <f t="shared" si="18"/>
        <v>4.329889004869205E-17</v>
      </c>
      <c r="J150" s="177">
        <f t="shared" si="20"/>
        <v>0.84876024030950414</v>
      </c>
      <c r="K150" s="177">
        <f t="shared" si="21"/>
        <v>5.3731375556894558E-14</v>
      </c>
      <c r="L150" s="177">
        <f t="shared" si="22"/>
        <v>14.839780519078367</v>
      </c>
      <c r="M150" s="177">
        <f t="shared" si="19"/>
        <v>2.0637086810679382E-15</v>
      </c>
      <c r="N150" s="179">
        <f t="shared" si="23"/>
        <v>14.839780519078369</v>
      </c>
      <c r="O150" s="179">
        <f t="shared" si="24"/>
        <v>39.5163769083562</v>
      </c>
    </row>
    <row r="151" spans="4:15" x14ac:dyDescent="0.25">
      <c r="D151">
        <v>148</v>
      </c>
      <c r="E151" s="177">
        <f t="shared" si="17"/>
        <v>2.378732842651342E-45</v>
      </c>
      <c r="F151" s="177">
        <f t="shared" si="18"/>
        <v>4.329889004869205E-17</v>
      </c>
      <c r="J151" s="177">
        <f t="shared" si="20"/>
        <v>0.84876024030950414</v>
      </c>
      <c r="K151" s="177">
        <f t="shared" si="21"/>
        <v>5.4098142625542304E-14</v>
      </c>
      <c r="L151" s="177">
        <f t="shared" si="22"/>
        <v>14.83978051907842</v>
      </c>
      <c r="M151" s="177">
        <f t="shared" si="19"/>
        <v>2.0637086810679382E-15</v>
      </c>
      <c r="N151" s="179">
        <f t="shared" si="23"/>
        <v>14.839780519078422</v>
      </c>
      <c r="O151" s="179">
        <f t="shared" si="24"/>
        <v>39.516376908356257</v>
      </c>
    </row>
    <row r="152" spans="4:15" x14ac:dyDescent="0.25">
      <c r="D152">
        <v>149</v>
      </c>
      <c r="E152" s="177">
        <f t="shared" si="17"/>
        <v>1.189366421325671E-45</v>
      </c>
      <c r="F152" s="177">
        <f t="shared" si="18"/>
        <v>4.329889004869205E-17</v>
      </c>
      <c r="J152" s="177">
        <f t="shared" si="20"/>
        <v>0.84876024030950414</v>
      </c>
      <c r="K152" s="177">
        <f t="shared" si="21"/>
        <v>5.4464909694190051E-14</v>
      </c>
      <c r="L152" s="177">
        <f t="shared" si="22"/>
        <v>14.839780519078476</v>
      </c>
      <c r="M152" s="177">
        <f t="shared" si="19"/>
        <v>2.0637086810679382E-15</v>
      </c>
      <c r="N152" s="179">
        <f t="shared" si="23"/>
        <v>14.839780519078477</v>
      </c>
      <c r="O152" s="179">
        <f t="shared" si="24"/>
        <v>39.516376908356314</v>
      </c>
    </row>
    <row r="153" spans="4:15" x14ac:dyDescent="0.25">
      <c r="D153">
        <v>150</v>
      </c>
      <c r="E153" s="177">
        <f t="shared" si="17"/>
        <v>5.9468321066283551E-46</v>
      </c>
      <c r="F153" s="177">
        <f t="shared" si="18"/>
        <v>4.329889004869205E-17</v>
      </c>
      <c r="J153" s="177">
        <f t="shared" si="20"/>
        <v>0.84876024030950414</v>
      </c>
      <c r="K153" s="177">
        <f t="shared" si="21"/>
        <v>5.4831676762837785E-14</v>
      </c>
      <c r="L153" s="177">
        <f t="shared" si="22"/>
        <v>14.839780519078531</v>
      </c>
      <c r="M153" s="177">
        <f t="shared" si="19"/>
        <v>2.0637086810679382E-15</v>
      </c>
      <c r="N153" s="179">
        <f t="shared" si="23"/>
        <v>14.839780519078532</v>
      </c>
      <c r="O153" s="179">
        <f t="shared" si="24"/>
        <v>39.516376908356371</v>
      </c>
    </row>
    <row r="154" spans="4:15" x14ac:dyDescent="0.25">
      <c r="D154">
        <v>151</v>
      </c>
      <c r="E154" s="177">
        <f t="shared" si="17"/>
        <v>2.9734160533141775E-46</v>
      </c>
      <c r="F154" s="177">
        <f t="shared" si="18"/>
        <v>4.329889004869205E-17</v>
      </c>
      <c r="J154" s="177">
        <f t="shared" si="20"/>
        <v>0.84876024030950414</v>
      </c>
      <c r="K154" s="177">
        <f t="shared" si="21"/>
        <v>5.5198443831485531E-14</v>
      </c>
      <c r="L154" s="177">
        <f t="shared" si="22"/>
        <v>14.839780519078586</v>
      </c>
      <c r="M154" s="177">
        <f t="shared" si="19"/>
        <v>2.0637086810679382E-15</v>
      </c>
      <c r="N154" s="179">
        <f t="shared" si="23"/>
        <v>14.839780519078587</v>
      </c>
      <c r="O154" s="179">
        <f t="shared" si="24"/>
        <v>39.516376908356428</v>
      </c>
    </row>
    <row r="155" spans="4:15" x14ac:dyDescent="0.25">
      <c r="D155">
        <v>152</v>
      </c>
      <c r="E155" s="177">
        <f t="shared" si="17"/>
        <v>1.4867080266570888E-46</v>
      </c>
      <c r="F155" s="177">
        <f t="shared" si="18"/>
        <v>4.329889004869205E-17</v>
      </c>
      <c r="J155" s="177">
        <f t="shared" si="20"/>
        <v>0.84876024030950414</v>
      </c>
      <c r="K155" s="177">
        <f t="shared" si="21"/>
        <v>5.5565210900133277E-14</v>
      </c>
      <c r="L155" s="177">
        <f t="shared" si="22"/>
        <v>14.839780519078641</v>
      </c>
      <c r="M155" s="177">
        <f t="shared" si="19"/>
        <v>2.0637086810679382E-15</v>
      </c>
      <c r="N155" s="179">
        <f t="shared" si="23"/>
        <v>14.839780519078642</v>
      </c>
      <c r="O155" s="179">
        <f t="shared" si="24"/>
        <v>39.516376908356484</v>
      </c>
    </row>
    <row r="156" spans="4:15" x14ac:dyDescent="0.25">
      <c r="D156">
        <v>153</v>
      </c>
      <c r="E156" s="177">
        <f t="shared" si="17"/>
        <v>7.4335401332854438E-47</v>
      </c>
      <c r="F156" s="177">
        <f t="shared" si="18"/>
        <v>4.329889004869205E-17</v>
      </c>
      <c r="J156" s="177">
        <f t="shared" si="20"/>
        <v>0.84876024030950414</v>
      </c>
      <c r="K156" s="177">
        <f t="shared" si="21"/>
        <v>5.5931977968781024E-14</v>
      </c>
      <c r="L156" s="177">
        <f t="shared" si="22"/>
        <v>14.839780519078696</v>
      </c>
      <c r="M156" s="177">
        <f t="shared" si="19"/>
        <v>2.0637086810679382E-15</v>
      </c>
      <c r="N156" s="179">
        <f t="shared" si="23"/>
        <v>14.839780519078698</v>
      </c>
      <c r="O156" s="179">
        <f t="shared" si="24"/>
        <v>39.516376908356541</v>
      </c>
    </row>
    <row r="157" spans="4:15" x14ac:dyDescent="0.25">
      <c r="D157">
        <v>154</v>
      </c>
      <c r="E157" s="177">
        <f t="shared" si="17"/>
        <v>3.7167700666427219E-47</v>
      </c>
      <c r="F157" s="177">
        <f t="shared" si="18"/>
        <v>4.329889004869205E-17</v>
      </c>
      <c r="J157" s="177">
        <f t="shared" si="20"/>
        <v>0.84876024030950414</v>
      </c>
      <c r="K157" s="177">
        <f t="shared" si="21"/>
        <v>5.629874503742877E-14</v>
      </c>
      <c r="L157" s="177">
        <f t="shared" si="22"/>
        <v>14.839780519078753</v>
      </c>
      <c r="M157" s="177">
        <f t="shared" si="19"/>
        <v>2.0637086810679382E-15</v>
      </c>
      <c r="N157" s="179">
        <f t="shared" si="23"/>
        <v>14.839780519078754</v>
      </c>
      <c r="O157" s="179">
        <f t="shared" si="24"/>
        <v>39.516376908356598</v>
      </c>
    </row>
    <row r="158" spans="4:15" x14ac:dyDescent="0.25">
      <c r="D158">
        <v>155</v>
      </c>
      <c r="E158" s="177">
        <f t="shared" si="17"/>
        <v>1.858385033321361E-47</v>
      </c>
      <c r="F158" s="177">
        <f t="shared" si="18"/>
        <v>4.329889004869205E-17</v>
      </c>
      <c r="J158" s="177">
        <f t="shared" si="20"/>
        <v>0.84876024030950414</v>
      </c>
      <c r="K158" s="177">
        <f t="shared" si="21"/>
        <v>5.6665512106076517E-14</v>
      </c>
      <c r="L158" s="177">
        <f t="shared" si="22"/>
        <v>14.839780519078809</v>
      </c>
      <c r="M158" s="177">
        <f t="shared" si="19"/>
        <v>2.0637086810679382E-15</v>
      </c>
      <c r="N158" s="179">
        <f t="shared" si="23"/>
        <v>14.839780519078811</v>
      </c>
      <c r="O158" s="179">
        <f t="shared" si="24"/>
        <v>39.516376908356655</v>
      </c>
    </row>
    <row r="159" spans="4:15" x14ac:dyDescent="0.25">
      <c r="D159">
        <v>156</v>
      </c>
      <c r="E159" s="177">
        <f t="shared" si="17"/>
        <v>9.2919251666068048E-48</v>
      </c>
      <c r="F159" s="177">
        <f t="shared" si="18"/>
        <v>4.329889004869205E-17</v>
      </c>
      <c r="J159" s="177">
        <f t="shared" si="20"/>
        <v>0.84876024030950414</v>
      </c>
      <c r="K159" s="177">
        <f t="shared" si="21"/>
        <v>5.7032279174724257E-14</v>
      </c>
      <c r="L159" s="177">
        <f t="shared" si="22"/>
        <v>14.839780519078866</v>
      </c>
      <c r="M159" s="177">
        <f t="shared" si="19"/>
        <v>2.0637086810679382E-15</v>
      </c>
      <c r="N159" s="179">
        <f t="shared" si="23"/>
        <v>14.839780519078868</v>
      </c>
      <c r="O159" s="179">
        <f t="shared" si="24"/>
        <v>39.516376908356712</v>
      </c>
    </row>
    <row r="160" spans="4:15" x14ac:dyDescent="0.25">
      <c r="D160">
        <v>157</v>
      </c>
      <c r="E160" s="177">
        <f t="shared" si="17"/>
        <v>4.6459625833034024E-48</v>
      </c>
      <c r="F160" s="177">
        <f t="shared" si="18"/>
        <v>4.329889004869205E-17</v>
      </c>
      <c r="J160" s="177">
        <f t="shared" si="20"/>
        <v>0.84876024030950414</v>
      </c>
      <c r="K160" s="177">
        <f t="shared" si="21"/>
        <v>5.7399046243372003E-14</v>
      </c>
      <c r="L160" s="177">
        <f t="shared" si="22"/>
        <v>14.839780519078923</v>
      </c>
      <c r="M160" s="177">
        <f t="shared" si="19"/>
        <v>2.0637086810679382E-15</v>
      </c>
      <c r="N160" s="179">
        <f t="shared" si="23"/>
        <v>14.839780519078925</v>
      </c>
      <c r="O160" s="179">
        <f t="shared" si="24"/>
        <v>39.516376908356769</v>
      </c>
    </row>
    <row r="161" spans="4:15" x14ac:dyDescent="0.25">
      <c r="D161">
        <v>158</v>
      </c>
      <c r="E161" s="177">
        <f t="shared" si="17"/>
        <v>2.3229812916517012E-48</v>
      </c>
      <c r="F161" s="177">
        <f t="shared" si="18"/>
        <v>4.329889004869205E-17</v>
      </c>
      <c r="J161" s="177">
        <f t="shared" si="20"/>
        <v>0.84876024030950414</v>
      </c>
      <c r="K161" s="177">
        <f t="shared" si="21"/>
        <v>5.776581331201975E-14</v>
      </c>
      <c r="L161" s="177">
        <f t="shared" si="22"/>
        <v>14.839780519078982</v>
      </c>
      <c r="M161" s="177">
        <f t="shared" si="19"/>
        <v>2.0637086810679382E-15</v>
      </c>
      <c r="N161" s="179">
        <f t="shared" si="23"/>
        <v>14.839780519078984</v>
      </c>
      <c r="O161" s="179">
        <f t="shared" si="24"/>
        <v>39.516376908356825</v>
      </c>
    </row>
    <row r="162" spans="4:15" x14ac:dyDescent="0.25">
      <c r="D162">
        <v>159</v>
      </c>
      <c r="E162" s="177">
        <f t="shared" si="17"/>
        <v>1.1614906458258506E-48</v>
      </c>
      <c r="F162" s="177">
        <f t="shared" si="18"/>
        <v>4.329889004869205E-17</v>
      </c>
      <c r="J162" s="177">
        <f t="shared" si="20"/>
        <v>0.84876024030950414</v>
      </c>
      <c r="K162" s="177">
        <f t="shared" si="21"/>
        <v>5.8132580380667484E-14</v>
      </c>
      <c r="L162" s="177">
        <f t="shared" si="22"/>
        <v>14.83978051907904</v>
      </c>
      <c r="M162" s="177">
        <f t="shared" si="19"/>
        <v>2.0637086810679382E-15</v>
      </c>
      <c r="N162" s="179">
        <f t="shared" si="23"/>
        <v>14.839780519079042</v>
      </c>
      <c r="O162" s="179">
        <f t="shared" si="24"/>
        <v>39.516376908356882</v>
      </c>
    </row>
    <row r="163" spans="4:15" x14ac:dyDescent="0.25">
      <c r="D163">
        <v>160</v>
      </c>
      <c r="E163" s="177">
        <f t="shared" si="17"/>
        <v>5.807453229129253E-49</v>
      </c>
      <c r="F163" s="177">
        <f t="shared" si="18"/>
        <v>4.329889004869205E-17</v>
      </c>
      <c r="J163" s="177">
        <f t="shared" si="20"/>
        <v>0.84876024030950414</v>
      </c>
      <c r="K163" s="177">
        <f t="shared" si="21"/>
        <v>5.849934744931523E-14</v>
      </c>
      <c r="L163" s="177">
        <f t="shared" si="22"/>
        <v>14.839780519079099</v>
      </c>
      <c r="M163" s="177">
        <f t="shared" si="19"/>
        <v>2.0637086810679382E-15</v>
      </c>
      <c r="N163" s="179">
        <f t="shared" si="23"/>
        <v>14.839780519079101</v>
      </c>
      <c r="O163" s="179">
        <f t="shared" si="24"/>
        <v>39.516376908356939</v>
      </c>
    </row>
    <row r="164" spans="4:15" x14ac:dyDescent="0.25">
      <c r="D164">
        <v>161</v>
      </c>
      <c r="E164" s="177">
        <f t="shared" si="17"/>
        <v>2.9037266145646265E-49</v>
      </c>
      <c r="F164" s="177">
        <f t="shared" si="18"/>
        <v>4.329889004869205E-17</v>
      </c>
      <c r="J164" s="177">
        <f t="shared" si="20"/>
        <v>0.84876024030950414</v>
      </c>
      <c r="K164" s="177">
        <f t="shared" si="21"/>
        <v>5.8866114517962976E-14</v>
      </c>
      <c r="L164" s="177">
        <f t="shared" si="22"/>
        <v>14.839780519079158</v>
      </c>
      <c r="M164" s="177">
        <f t="shared" si="19"/>
        <v>2.0637086810679382E-15</v>
      </c>
      <c r="N164" s="179">
        <f t="shared" si="23"/>
        <v>14.839780519079159</v>
      </c>
      <c r="O164" s="179">
        <f t="shared" si="24"/>
        <v>39.516376908356996</v>
      </c>
    </row>
    <row r="165" spans="4:15" x14ac:dyDescent="0.25">
      <c r="D165">
        <v>162</v>
      </c>
      <c r="E165" s="177">
        <f t="shared" si="17"/>
        <v>1.4518633072823132E-49</v>
      </c>
      <c r="F165" s="177">
        <f t="shared" si="18"/>
        <v>4.329889004869205E-17</v>
      </c>
      <c r="J165" s="177">
        <f t="shared" si="20"/>
        <v>0.84876024030950414</v>
      </c>
      <c r="K165" s="177">
        <f t="shared" si="21"/>
        <v>5.9232881586610723E-14</v>
      </c>
      <c r="L165" s="177">
        <f t="shared" si="22"/>
        <v>14.839780519079216</v>
      </c>
      <c r="M165" s="177">
        <f t="shared" si="19"/>
        <v>2.0637086810679382E-15</v>
      </c>
      <c r="N165" s="179">
        <f t="shared" si="23"/>
        <v>14.839780519079218</v>
      </c>
      <c r="O165" s="179">
        <f t="shared" si="24"/>
        <v>39.516376908357053</v>
      </c>
    </row>
    <row r="166" spans="4:15" x14ac:dyDescent="0.25">
      <c r="D166">
        <v>163</v>
      </c>
      <c r="E166" s="177">
        <f t="shared" si="17"/>
        <v>7.2593165364115662E-50</v>
      </c>
      <c r="F166" s="177">
        <f t="shared" si="18"/>
        <v>4.329889004869205E-17</v>
      </c>
      <c r="J166" s="177">
        <f t="shared" si="20"/>
        <v>0.84876024030950414</v>
      </c>
      <c r="K166" s="177">
        <f t="shared" si="21"/>
        <v>5.9599648655258469E-14</v>
      </c>
      <c r="L166" s="177">
        <f t="shared" si="22"/>
        <v>14.839780519079277</v>
      </c>
      <c r="M166" s="177">
        <f t="shared" si="19"/>
        <v>2.0637086810679382E-15</v>
      </c>
      <c r="N166" s="179">
        <f t="shared" si="23"/>
        <v>14.839780519079278</v>
      </c>
      <c r="O166" s="179">
        <f t="shared" si="24"/>
        <v>39.51637690835711</v>
      </c>
    </row>
    <row r="167" spans="4:15" x14ac:dyDescent="0.25">
      <c r="D167">
        <v>164</v>
      </c>
      <c r="E167" s="177">
        <f t="shared" si="17"/>
        <v>3.6296582682057831E-50</v>
      </c>
      <c r="F167" s="177">
        <f t="shared" si="18"/>
        <v>4.329889004869205E-17</v>
      </c>
      <c r="J167" s="177">
        <f t="shared" si="20"/>
        <v>0.84876024030950414</v>
      </c>
      <c r="K167" s="177">
        <f t="shared" si="21"/>
        <v>5.9966415723906216E-14</v>
      </c>
      <c r="L167" s="177">
        <f t="shared" si="22"/>
        <v>14.839780519079337</v>
      </c>
      <c r="M167" s="177">
        <f t="shared" si="19"/>
        <v>2.0637086810679382E-15</v>
      </c>
      <c r="N167" s="179">
        <f t="shared" si="23"/>
        <v>14.839780519079339</v>
      </c>
      <c r="O167" s="179">
        <f t="shared" si="24"/>
        <v>39.516376908357167</v>
      </c>
    </row>
    <row r="168" spans="4:15" x14ac:dyDescent="0.25">
      <c r="D168">
        <v>165</v>
      </c>
      <c r="E168" s="177">
        <f t="shared" si="17"/>
        <v>1.8148291341028916E-50</v>
      </c>
      <c r="F168" s="177">
        <f t="shared" si="18"/>
        <v>4.329889004869205E-17</v>
      </c>
      <c r="J168" s="177">
        <f t="shared" si="20"/>
        <v>0.84876024030950414</v>
      </c>
      <c r="K168" s="177">
        <f t="shared" si="21"/>
        <v>6.0333182792553962E-14</v>
      </c>
      <c r="L168" s="177">
        <f t="shared" si="22"/>
        <v>14.839780519079397</v>
      </c>
      <c r="M168" s="177">
        <f t="shared" si="19"/>
        <v>2.0637086810679382E-15</v>
      </c>
      <c r="N168" s="179">
        <f t="shared" si="23"/>
        <v>14.839780519079399</v>
      </c>
      <c r="O168" s="179">
        <f t="shared" si="24"/>
        <v>39.516376908357223</v>
      </c>
    </row>
    <row r="169" spans="4:15" x14ac:dyDescent="0.25">
      <c r="D169">
        <v>166</v>
      </c>
      <c r="E169" s="177">
        <f t="shared" si="17"/>
        <v>9.0741456705144578E-51</v>
      </c>
      <c r="F169" s="177">
        <f t="shared" si="18"/>
        <v>4.329889004869205E-17</v>
      </c>
      <c r="J169" s="177">
        <f t="shared" si="20"/>
        <v>0.84876024030950414</v>
      </c>
      <c r="K169" s="177">
        <f t="shared" si="21"/>
        <v>6.0699949861201709E-14</v>
      </c>
      <c r="L169" s="177">
        <f t="shared" si="22"/>
        <v>14.839780519079458</v>
      </c>
      <c r="M169" s="177">
        <f t="shared" si="19"/>
        <v>2.0637086810679382E-15</v>
      </c>
      <c r="N169" s="179">
        <f t="shared" si="23"/>
        <v>14.83978051907946</v>
      </c>
      <c r="O169" s="179">
        <f t="shared" si="24"/>
        <v>39.516376908357287</v>
      </c>
    </row>
    <row r="170" spans="4:15" x14ac:dyDescent="0.25">
      <c r="D170">
        <v>167</v>
      </c>
      <c r="E170" s="177">
        <f t="shared" si="17"/>
        <v>4.5370728352572289E-51</v>
      </c>
      <c r="F170" s="177">
        <f t="shared" si="18"/>
        <v>4.329889004869205E-17</v>
      </c>
      <c r="J170" s="177">
        <f t="shared" si="20"/>
        <v>0.84876024030950414</v>
      </c>
      <c r="K170" s="177">
        <f t="shared" si="21"/>
        <v>6.1066716929849443E-14</v>
      </c>
      <c r="L170" s="177">
        <f t="shared" si="22"/>
        <v>14.839780519079518</v>
      </c>
      <c r="M170" s="177">
        <f t="shared" si="19"/>
        <v>2.0637086810679382E-15</v>
      </c>
      <c r="N170" s="179">
        <f t="shared" si="23"/>
        <v>14.83978051907952</v>
      </c>
      <c r="O170" s="179">
        <f t="shared" si="24"/>
        <v>39.516376908357351</v>
      </c>
    </row>
    <row r="171" spans="4:15" x14ac:dyDescent="0.25">
      <c r="D171">
        <v>168</v>
      </c>
      <c r="E171" s="177">
        <f t="shared" si="17"/>
        <v>2.2685364176286144E-51</v>
      </c>
      <c r="F171" s="177">
        <f t="shared" si="18"/>
        <v>4.329889004869205E-17</v>
      </c>
      <c r="J171" s="177">
        <f t="shared" si="20"/>
        <v>0.84876024030950414</v>
      </c>
      <c r="K171" s="177">
        <f t="shared" si="21"/>
        <v>6.1433483998497189E-14</v>
      </c>
      <c r="L171" s="177">
        <f t="shared" si="22"/>
        <v>14.83978051907958</v>
      </c>
      <c r="M171" s="177">
        <f t="shared" si="19"/>
        <v>2.0637086810679382E-15</v>
      </c>
      <c r="N171" s="179">
        <f t="shared" si="23"/>
        <v>14.839780519079582</v>
      </c>
      <c r="O171" s="179">
        <f t="shared" si="24"/>
        <v>39.516376908357415</v>
      </c>
    </row>
    <row r="172" spans="4:15" x14ac:dyDescent="0.25">
      <c r="D172">
        <v>169</v>
      </c>
      <c r="E172" s="177">
        <f t="shared" si="17"/>
        <v>1.1342682088143072E-51</v>
      </c>
      <c r="F172" s="177">
        <f t="shared" si="18"/>
        <v>4.329889004869205E-17</v>
      </c>
      <c r="J172" s="177">
        <f t="shared" si="20"/>
        <v>0.84876024030950414</v>
      </c>
      <c r="K172" s="177">
        <f t="shared" si="21"/>
        <v>6.1800251067144935E-14</v>
      </c>
      <c r="L172" s="177">
        <f t="shared" si="22"/>
        <v>14.839780519079643</v>
      </c>
      <c r="M172" s="177">
        <f t="shared" si="19"/>
        <v>2.0637086810679382E-15</v>
      </c>
      <c r="N172" s="179">
        <f t="shared" si="23"/>
        <v>14.839780519079644</v>
      </c>
      <c r="O172" s="179">
        <f t="shared" si="24"/>
        <v>39.516376908357479</v>
      </c>
    </row>
    <row r="173" spans="4:15" x14ac:dyDescent="0.25">
      <c r="D173">
        <v>170</v>
      </c>
      <c r="E173" s="177">
        <f t="shared" si="17"/>
        <v>5.6713410440715361E-52</v>
      </c>
      <c r="F173" s="177">
        <f t="shared" si="18"/>
        <v>4.329889004869205E-17</v>
      </c>
      <c r="J173" s="177">
        <f t="shared" si="20"/>
        <v>0.84876024030950414</v>
      </c>
      <c r="K173" s="177">
        <f t="shared" si="21"/>
        <v>6.2167018135792682E-14</v>
      </c>
      <c r="L173" s="177">
        <f t="shared" si="22"/>
        <v>14.839780519079705</v>
      </c>
      <c r="M173" s="177">
        <f t="shared" si="19"/>
        <v>2.0637086810679382E-15</v>
      </c>
      <c r="N173" s="179">
        <f t="shared" si="23"/>
        <v>14.839780519079707</v>
      </c>
      <c r="O173" s="179">
        <f t="shared" si="24"/>
        <v>39.516376908357543</v>
      </c>
    </row>
    <row r="174" spans="4:15" x14ac:dyDescent="0.25">
      <c r="D174">
        <v>171</v>
      </c>
      <c r="E174" s="177">
        <f t="shared" si="17"/>
        <v>2.8356705220357681E-52</v>
      </c>
      <c r="F174" s="177">
        <f t="shared" si="18"/>
        <v>4.329889004869205E-17</v>
      </c>
      <c r="J174" s="177">
        <f t="shared" si="20"/>
        <v>0.84876024030950414</v>
      </c>
      <c r="K174" s="177">
        <f t="shared" si="21"/>
        <v>6.2533785204440428E-14</v>
      </c>
      <c r="L174" s="177">
        <f t="shared" si="22"/>
        <v>14.839780519079767</v>
      </c>
      <c r="M174" s="177">
        <f t="shared" si="19"/>
        <v>2.0637086810679382E-15</v>
      </c>
      <c r="N174" s="179">
        <f t="shared" si="23"/>
        <v>14.839780519079769</v>
      </c>
      <c r="O174" s="179">
        <f t="shared" si="24"/>
        <v>39.516376908357607</v>
      </c>
    </row>
    <row r="175" spans="4:15" x14ac:dyDescent="0.25">
      <c r="D175">
        <v>172</v>
      </c>
      <c r="E175" s="177">
        <f t="shared" si="17"/>
        <v>1.417835261017884E-52</v>
      </c>
      <c r="F175" s="177">
        <f t="shared" si="18"/>
        <v>4.329889004869205E-17</v>
      </c>
      <c r="J175" s="177">
        <f t="shared" si="20"/>
        <v>0.84876024030950414</v>
      </c>
      <c r="K175" s="177">
        <f t="shared" si="21"/>
        <v>6.2900552273088175E-14</v>
      </c>
      <c r="L175" s="177">
        <f t="shared" si="22"/>
        <v>14.839780519079829</v>
      </c>
      <c r="M175" s="177">
        <f t="shared" si="19"/>
        <v>2.0637086810679382E-15</v>
      </c>
      <c r="N175" s="179">
        <f t="shared" si="23"/>
        <v>14.839780519079831</v>
      </c>
      <c r="O175" s="179">
        <f t="shared" si="24"/>
        <v>39.516376908357671</v>
      </c>
    </row>
    <row r="176" spans="4:15" x14ac:dyDescent="0.25">
      <c r="D176">
        <v>173</v>
      </c>
      <c r="E176" s="177">
        <f t="shared" si="17"/>
        <v>7.0891763050894202E-53</v>
      </c>
      <c r="F176" s="177">
        <f t="shared" si="18"/>
        <v>4.329889004869205E-17</v>
      </c>
      <c r="J176" s="177">
        <f t="shared" si="20"/>
        <v>0.84876024030950414</v>
      </c>
      <c r="K176" s="177">
        <f t="shared" si="21"/>
        <v>6.3267319341735921E-14</v>
      </c>
      <c r="L176" s="177">
        <f t="shared" si="22"/>
        <v>14.839780519079893</v>
      </c>
      <c r="M176" s="177">
        <f t="shared" si="19"/>
        <v>2.0637086810679382E-15</v>
      </c>
      <c r="N176" s="179">
        <f t="shared" si="23"/>
        <v>14.839780519079895</v>
      </c>
      <c r="O176" s="179">
        <f t="shared" si="24"/>
        <v>39.516376908357735</v>
      </c>
    </row>
    <row r="177" spans="4:15" x14ac:dyDescent="0.25">
      <c r="D177">
        <v>174</v>
      </c>
      <c r="E177" s="177">
        <f t="shared" si="17"/>
        <v>3.5445881525447101E-53</v>
      </c>
      <c r="F177" s="177">
        <f t="shared" si="18"/>
        <v>4.329889004869205E-17</v>
      </c>
      <c r="J177" s="177">
        <f t="shared" si="20"/>
        <v>0.84876024030950414</v>
      </c>
      <c r="K177" s="177">
        <f t="shared" si="21"/>
        <v>6.3634086410383655E-14</v>
      </c>
      <c r="L177" s="177">
        <f t="shared" si="22"/>
        <v>14.839780519079957</v>
      </c>
      <c r="M177" s="177">
        <f t="shared" si="19"/>
        <v>2.0637086810679382E-15</v>
      </c>
      <c r="N177" s="179">
        <f t="shared" si="23"/>
        <v>14.839780519079959</v>
      </c>
      <c r="O177" s="179">
        <f t="shared" si="24"/>
        <v>39.516376908357799</v>
      </c>
    </row>
    <row r="178" spans="4:15" x14ac:dyDescent="0.25">
      <c r="D178">
        <v>175</v>
      </c>
      <c r="E178" s="177">
        <f t="shared" si="17"/>
        <v>1.772294076272355E-53</v>
      </c>
      <c r="F178" s="177">
        <f t="shared" si="18"/>
        <v>4.329889004869205E-17</v>
      </c>
      <c r="J178" s="177">
        <f t="shared" si="20"/>
        <v>0.84876024030950414</v>
      </c>
      <c r="K178" s="177">
        <f t="shared" si="21"/>
        <v>6.4000853479031401E-14</v>
      </c>
      <c r="L178" s="177">
        <f t="shared" si="22"/>
        <v>14.839780519080021</v>
      </c>
      <c r="M178" s="177">
        <f t="shared" si="19"/>
        <v>2.0637086810679382E-15</v>
      </c>
      <c r="N178" s="179">
        <f t="shared" si="23"/>
        <v>14.839780519080023</v>
      </c>
      <c r="O178" s="179">
        <f t="shared" si="24"/>
        <v>39.516376908357863</v>
      </c>
    </row>
    <row r="179" spans="4:15" x14ac:dyDescent="0.25">
      <c r="D179">
        <v>176</v>
      </c>
      <c r="E179" s="177">
        <f t="shared" si="17"/>
        <v>8.8614703813617752E-54</v>
      </c>
      <c r="F179" s="177">
        <f t="shared" si="18"/>
        <v>4.329889004869205E-17</v>
      </c>
      <c r="J179" s="177">
        <f t="shared" si="20"/>
        <v>0.84876024030950414</v>
      </c>
      <c r="K179" s="177">
        <f t="shared" si="21"/>
        <v>6.4367620547679148E-14</v>
      </c>
      <c r="L179" s="177">
        <f t="shared" si="22"/>
        <v>14.839780519080085</v>
      </c>
      <c r="M179" s="177">
        <f t="shared" si="19"/>
        <v>2.0637086810679382E-15</v>
      </c>
      <c r="N179" s="179">
        <f t="shared" si="23"/>
        <v>14.839780519080087</v>
      </c>
      <c r="O179" s="179">
        <f t="shared" si="24"/>
        <v>39.516376908357927</v>
      </c>
    </row>
    <row r="180" spans="4:15" x14ac:dyDescent="0.25">
      <c r="D180">
        <v>177</v>
      </c>
      <c r="E180" s="177">
        <f t="shared" si="17"/>
        <v>4.4307351906808876E-54</v>
      </c>
      <c r="F180" s="177">
        <f t="shared" si="18"/>
        <v>4.329889004869205E-17</v>
      </c>
      <c r="J180" s="177">
        <f t="shared" si="20"/>
        <v>0.84876024030950414</v>
      </c>
      <c r="K180" s="177">
        <f t="shared" si="21"/>
        <v>6.4734387616326894E-14</v>
      </c>
      <c r="L180" s="177">
        <f t="shared" si="22"/>
        <v>14.839780519080149</v>
      </c>
      <c r="M180" s="177">
        <f t="shared" si="19"/>
        <v>2.0637086810679382E-15</v>
      </c>
      <c r="N180" s="179">
        <f t="shared" si="23"/>
        <v>14.839780519080151</v>
      </c>
      <c r="O180" s="179">
        <f t="shared" si="24"/>
        <v>39.516376908357991</v>
      </c>
    </row>
    <row r="181" spans="4:15" x14ac:dyDescent="0.25">
      <c r="D181">
        <v>178</v>
      </c>
      <c r="E181" s="177">
        <f t="shared" si="17"/>
        <v>2.2153675953404438E-54</v>
      </c>
      <c r="F181" s="177">
        <f t="shared" si="18"/>
        <v>4.329889004869205E-17</v>
      </c>
      <c r="J181" s="177">
        <f t="shared" si="20"/>
        <v>0.84876024030950414</v>
      </c>
      <c r="K181" s="177">
        <f t="shared" si="21"/>
        <v>6.5101154684974628E-14</v>
      </c>
      <c r="L181" s="177">
        <f t="shared" si="22"/>
        <v>14.839780519080215</v>
      </c>
      <c r="M181" s="177">
        <f t="shared" si="19"/>
        <v>2.0637086810679382E-15</v>
      </c>
      <c r="N181" s="179">
        <f t="shared" si="23"/>
        <v>14.839780519080216</v>
      </c>
      <c r="O181" s="179">
        <f t="shared" si="24"/>
        <v>39.516376908358055</v>
      </c>
    </row>
    <row r="182" spans="4:15" x14ac:dyDescent="0.25">
      <c r="D182">
        <v>179</v>
      </c>
      <c r="E182" s="177">
        <f t="shared" si="17"/>
        <v>1.1076837976702219E-54</v>
      </c>
      <c r="F182" s="177">
        <f t="shared" si="18"/>
        <v>4.329889004869205E-17</v>
      </c>
      <c r="J182" s="177">
        <f t="shared" si="20"/>
        <v>0.84876024030950414</v>
      </c>
      <c r="K182" s="177">
        <f t="shared" si="21"/>
        <v>6.5467921753622375E-14</v>
      </c>
      <c r="L182" s="177">
        <f t="shared" si="22"/>
        <v>14.83978051908028</v>
      </c>
      <c r="M182" s="177">
        <f t="shared" si="19"/>
        <v>2.0637086810679382E-15</v>
      </c>
      <c r="N182" s="179">
        <f t="shared" si="23"/>
        <v>14.839780519080282</v>
      </c>
      <c r="O182" s="179">
        <f t="shared" si="24"/>
        <v>39.516376908358119</v>
      </c>
    </row>
    <row r="183" spans="4:15" x14ac:dyDescent="0.25">
      <c r="D183">
        <v>180</v>
      </c>
      <c r="E183" s="177">
        <f t="shared" si="17"/>
        <v>5.5384189883511095E-55</v>
      </c>
      <c r="F183" s="177">
        <f t="shared" si="18"/>
        <v>4.329889004869205E-17</v>
      </c>
      <c r="J183" s="177">
        <f t="shared" si="20"/>
        <v>0.84876024030950414</v>
      </c>
      <c r="K183" s="177">
        <f t="shared" si="21"/>
        <v>6.5834688822270121E-14</v>
      </c>
      <c r="L183" s="177">
        <f t="shared" si="22"/>
        <v>14.839780519080346</v>
      </c>
      <c r="M183" s="177">
        <f t="shared" si="19"/>
        <v>2.0637086810679382E-15</v>
      </c>
      <c r="N183" s="179">
        <f t="shared" si="23"/>
        <v>14.839780519080348</v>
      </c>
      <c r="O183" s="179">
        <f t="shared" si="24"/>
        <v>39.516376908358183</v>
      </c>
    </row>
    <row r="184" spans="4:15" x14ac:dyDescent="0.25">
      <c r="D184">
        <v>181</v>
      </c>
      <c r="E184" s="177">
        <f t="shared" si="17"/>
        <v>2.7692094941755547E-55</v>
      </c>
      <c r="F184" s="177">
        <f t="shared" si="18"/>
        <v>4.329889004869205E-17</v>
      </c>
      <c r="J184" s="177">
        <f t="shared" si="20"/>
        <v>0.84876024030950414</v>
      </c>
      <c r="K184" s="177">
        <f t="shared" si="21"/>
        <v>6.6201455890917868E-14</v>
      </c>
      <c r="L184" s="177">
        <f t="shared" si="22"/>
        <v>14.839780519080412</v>
      </c>
      <c r="M184" s="177">
        <f t="shared" si="19"/>
        <v>2.0637086810679382E-15</v>
      </c>
      <c r="N184" s="179">
        <f t="shared" si="23"/>
        <v>14.839780519080414</v>
      </c>
      <c r="O184" s="179">
        <f t="shared" si="24"/>
        <v>39.516376908358247</v>
      </c>
    </row>
    <row r="185" spans="4:15" x14ac:dyDescent="0.25">
      <c r="D185">
        <v>182</v>
      </c>
      <c r="E185" s="177">
        <f t="shared" si="17"/>
        <v>1.3846047470877774E-55</v>
      </c>
      <c r="F185" s="177">
        <f t="shared" si="18"/>
        <v>4.329889004869205E-17</v>
      </c>
      <c r="J185" s="177">
        <f t="shared" si="20"/>
        <v>0.84876024030950414</v>
      </c>
      <c r="K185" s="177">
        <f t="shared" si="21"/>
        <v>6.6568222959565614E-14</v>
      </c>
      <c r="L185" s="177">
        <f t="shared" si="22"/>
        <v>14.839780519080477</v>
      </c>
      <c r="M185" s="177">
        <f t="shared" si="19"/>
        <v>2.0637086810679382E-15</v>
      </c>
      <c r="N185" s="179">
        <f t="shared" si="23"/>
        <v>14.839780519080479</v>
      </c>
      <c r="O185" s="179">
        <f t="shared" si="24"/>
        <v>39.516376908358311</v>
      </c>
    </row>
    <row r="186" spans="4:15" x14ac:dyDescent="0.25">
      <c r="D186">
        <v>183</v>
      </c>
      <c r="E186" s="177">
        <f t="shared" si="17"/>
        <v>6.9230237354388869E-56</v>
      </c>
      <c r="F186" s="177">
        <f t="shared" si="18"/>
        <v>4.329889004869205E-17</v>
      </c>
      <c r="J186" s="177">
        <f t="shared" si="20"/>
        <v>0.84876024030950414</v>
      </c>
      <c r="K186" s="177">
        <f t="shared" si="21"/>
        <v>6.693499002821336E-14</v>
      </c>
      <c r="L186" s="177">
        <f t="shared" si="22"/>
        <v>14.839780519080545</v>
      </c>
      <c r="M186" s="177">
        <f t="shared" si="19"/>
        <v>2.0637086810679382E-15</v>
      </c>
      <c r="N186" s="179">
        <f t="shared" si="23"/>
        <v>14.839780519080547</v>
      </c>
      <c r="O186" s="179">
        <f t="shared" si="24"/>
        <v>39.516376908358374</v>
      </c>
    </row>
    <row r="187" spans="4:15" x14ac:dyDescent="0.25">
      <c r="D187">
        <v>184</v>
      </c>
      <c r="E187" s="177">
        <f t="shared" si="17"/>
        <v>3.4615118677194434E-56</v>
      </c>
      <c r="F187" s="177">
        <f t="shared" si="18"/>
        <v>4.329889004869205E-17</v>
      </c>
      <c r="J187" s="177">
        <f t="shared" si="20"/>
        <v>0.84876024030950414</v>
      </c>
      <c r="K187" s="177">
        <f t="shared" si="21"/>
        <v>6.7301757096861094E-14</v>
      </c>
      <c r="L187" s="177">
        <f t="shared" si="22"/>
        <v>14.839780519080612</v>
      </c>
      <c r="M187" s="177">
        <f t="shared" si="19"/>
        <v>2.0637086810679382E-15</v>
      </c>
      <c r="N187" s="179">
        <f t="shared" si="23"/>
        <v>14.839780519080614</v>
      </c>
      <c r="O187" s="179">
        <f t="shared" si="24"/>
        <v>39.516376908358438</v>
      </c>
    </row>
    <row r="188" spans="4:15" x14ac:dyDescent="0.25">
      <c r="D188">
        <v>185</v>
      </c>
      <c r="E188" s="177">
        <f t="shared" si="17"/>
        <v>1.7307559338597217E-56</v>
      </c>
      <c r="F188" s="177">
        <f t="shared" si="18"/>
        <v>4.329889004869205E-17</v>
      </c>
      <c r="J188" s="177">
        <f t="shared" si="20"/>
        <v>0.84876024030950414</v>
      </c>
      <c r="K188" s="177">
        <f t="shared" si="21"/>
        <v>6.7668524165508841E-14</v>
      </c>
      <c r="L188" s="177">
        <f t="shared" si="22"/>
        <v>14.83978051908068</v>
      </c>
      <c r="M188" s="177">
        <f t="shared" si="19"/>
        <v>2.0637086810679382E-15</v>
      </c>
      <c r="N188" s="179">
        <f t="shared" si="23"/>
        <v>14.839780519080682</v>
      </c>
      <c r="O188" s="179">
        <f t="shared" si="24"/>
        <v>39.516376908358509</v>
      </c>
    </row>
    <row r="189" spans="4:15" x14ac:dyDescent="0.25">
      <c r="D189">
        <v>186</v>
      </c>
      <c r="E189" s="177">
        <f t="shared" si="17"/>
        <v>8.6537796692986086E-57</v>
      </c>
      <c r="F189" s="177">
        <f t="shared" si="18"/>
        <v>4.329889004869205E-17</v>
      </c>
      <c r="J189" s="177">
        <f t="shared" si="20"/>
        <v>0.84876024030950414</v>
      </c>
      <c r="K189" s="177">
        <f t="shared" si="21"/>
        <v>6.8035291234156587E-14</v>
      </c>
      <c r="L189" s="177">
        <f t="shared" si="22"/>
        <v>14.839780519080747</v>
      </c>
      <c r="M189" s="177">
        <f t="shared" si="19"/>
        <v>2.0637086810679382E-15</v>
      </c>
      <c r="N189" s="179">
        <f t="shared" si="23"/>
        <v>14.839780519080749</v>
      </c>
      <c r="O189" s="179">
        <f t="shared" si="24"/>
        <v>39.516376908358581</v>
      </c>
    </row>
    <row r="190" spans="4:15" x14ac:dyDescent="0.25">
      <c r="D190">
        <v>187</v>
      </c>
      <c r="E190" s="177">
        <f t="shared" si="17"/>
        <v>4.3268898346493043E-57</v>
      </c>
      <c r="F190" s="177">
        <f t="shared" si="18"/>
        <v>4.329889004869205E-17</v>
      </c>
      <c r="J190" s="177">
        <f t="shared" si="20"/>
        <v>0.84876024030950414</v>
      </c>
      <c r="K190" s="177">
        <f t="shared" si="21"/>
        <v>6.8402058302804334E-14</v>
      </c>
      <c r="L190" s="177">
        <f t="shared" si="22"/>
        <v>14.839780519080817</v>
      </c>
      <c r="M190" s="177">
        <f t="shared" si="19"/>
        <v>2.0637086810679382E-15</v>
      </c>
      <c r="N190" s="179">
        <f t="shared" si="23"/>
        <v>14.839780519080819</v>
      </c>
      <c r="O190" s="179">
        <f t="shared" si="24"/>
        <v>39.516376908358652</v>
      </c>
    </row>
    <row r="191" spans="4:15" x14ac:dyDescent="0.25">
      <c r="D191">
        <v>188</v>
      </c>
      <c r="E191" s="177">
        <f t="shared" si="17"/>
        <v>2.1634449173246521E-57</v>
      </c>
      <c r="F191" s="177">
        <f t="shared" si="18"/>
        <v>4.329889004869205E-17</v>
      </c>
      <c r="J191" s="177">
        <f t="shared" si="20"/>
        <v>0.84876024030950414</v>
      </c>
      <c r="K191" s="177">
        <f t="shared" si="21"/>
        <v>6.876882537145208E-14</v>
      </c>
      <c r="L191" s="177">
        <f t="shared" si="22"/>
        <v>14.839780519080886</v>
      </c>
      <c r="M191" s="177">
        <f t="shared" si="19"/>
        <v>2.0637086810679382E-15</v>
      </c>
      <c r="N191" s="179">
        <f t="shared" si="23"/>
        <v>14.839780519080888</v>
      </c>
      <c r="O191" s="179">
        <f t="shared" si="24"/>
        <v>39.516376908358723</v>
      </c>
    </row>
    <row r="192" spans="4:15" x14ac:dyDescent="0.25">
      <c r="D192">
        <v>189</v>
      </c>
      <c r="E192" s="177">
        <f t="shared" si="17"/>
        <v>1.0817224586623261E-57</v>
      </c>
      <c r="F192" s="177">
        <f t="shared" si="18"/>
        <v>4.329889004869205E-17</v>
      </c>
      <c r="J192" s="177">
        <f t="shared" si="20"/>
        <v>0.84876024030950414</v>
      </c>
      <c r="K192" s="177">
        <f t="shared" si="21"/>
        <v>6.9135592440099826E-14</v>
      </c>
      <c r="L192" s="177">
        <f t="shared" si="22"/>
        <v>14.839780519080955</v>
      </c>
      <c r="M192" s="177">
        <f t="shared" si="19"/>
        <v>2.0637086810679382E-15</v>
      </c>
      <c r="N192" s="179">
        <f t="shared" si="23"/>
        <v>14.839780519080957</v>
      </c>
      <c r="O192" s="179">
        <f t="shared" si="24"/>
        <v>39.516376908358794</v>
      </c>
    </row>
    <row r="193" spans="4:15" x14ac:dyDescent="0.25">
      <c r="D193">
        <v>190</v>
      </c>
      <c r="E193" s="177">
        <f t="shared" si="17"/>
        <v>5.4086122933116304E-58</v>
      </c>
      <c r="F193" s="177">
        <f t="shared" si="18"/>
        <v>4.329889004869205E-17</v>
      </c>
      <c r="J193" s="177">
        <f t="shared" si="20"/>
        <v>0.84876024030950414</v>
      </c>
      <c r="K193" s="177">
        <f t="shared" si="21"/>
        <v>6.9502359508747573E-14</v>
      </c>
      <c r="L193" s="177">
        <f t="shared" si="22"/>
        <v>14.839780519081025</v>
      </c>
      <c r="M193" s="177">
        <f t="shared" si="19"/>
        <v>2.0637086810679382E-15</v>
      </c>
      <c r="N193" s="179">
        <f t="shared" si="23"/>
        <v>14.839780519081026</v>
      </c>
      <c r="O193" s="179">
        <f t="shared" si="24"/>
        <v>39.516376908358865</v>
      </c>
    </row>
    <row r="194" spans="4:15" x14ac:dyDescent="0.25">
      <c r="D194">
        <v>191</v>
      </c>
      <c r="E194" s="177">
        <f t="shared" si="17"/>
        <v>2.7043061466558152E-58</v>
      </c>
      <c r="F194" s="177">
        <f t="shared" si="18"/>
        <v>4.329889004869205E-17</v>
      </c>
      <c r="J194" s="177">
        <f t="shared" si="20"/>
        <v>0.84876024030950414</v>
      </c>
      <c r="K194" s="177">
        <f t="shared" si="21"/>
        <v>6.9869126577395319E-14</v>
      </c>
      <c r="L194" s="177">
        <f t="shared" si="22"/>
        <v>14.839780519081094</v>
      </c>
      <c r="M194" s="177">
        <f t="shared" si="19"/>
        <v>2.0637086810679382E-15</v>
      </c>
      <c r="N194" s="179">
        <f t="shared" si="23"/>
        <v>14.839780519081096</v>
      </c>
      <c r="O194" s="179">
        <f t="shared" si="24"/>
        <v>39.516376908358936</v>
      </c>
    </row>
    <row r="195" spans="4:15" x14ac:dyDescent="0.25">
      <c r="D195">
        <v>192</v>
      </c>
      <c r="E195" s="177">
        <f t="shared" si="17"/>
        <v>1.3521530733279076E-58</v>
      </c>
      <c r="F195" s="177">
        <f t="shared" si="18"/>
        <v>4.329889004869205E-17</v>
      </c>
      <c r="J195" s="177">
        <f t="shared" si="20"/>
        <v>0.84876024030950414</v>
      </c>
      <c r="K195" s="177">
        <f t="shared" si="21"/>
        <v>7.0235893646043066E-14</v>
      </c>
      <c r="L195" s="177">
        <f t="shared" si="22"/>
        <v>14.839780519081165</v>
      </c>
      <c r="M195" s="177">
        <f t="shared" si="19"/>
        <v>2.0637086810679382E-15</v>
      </c>
      <c r="N195" s="179">
        <f t="shared" si="23"/>
        <v>14.839780519081167</v>
      </c>
      <c r="O195" s="179">
        <f t="shared" si="24"/>
        <v>39.516376908359007</v>
      </c>
    </row>
    <row r="196" spans="4:15" x14ac:dyDescent="0.25">
      <c r="D196">
        <v>193</v>
      </c>
      <c r="E196" s="177">
        <f t="shared" ref="E196:E259" si="25">$B$10*$B$11*(1-$B$11)^(D196-1)</f>
        <v>6.760765366639538E-59</v>
      </c>
      <c r="F196" s="177">
        <f t="shared" ref="F196:F259" si="26">($B$10-J195)*(2*$B$9*(1-$B$9)*$B$11+($B$9^2)*($B$11^2))/$B$10</f>
        <v>4.329889004869205E-17</v>
      </c>
      <c r="J196" s="177">
        <f t="shared" si="20"/>
        <v>0.84876024030950414</v>
      </c>
      <c r="K196" s="177">
        <f t="shared" si="21"/>
        <v>7.06026607146908E-14</v>
      </c>
      <c r="L196" s="177">
        <f t="shared" si="22"/>
        <v>14.839780519081236</v>
      </c>
      <c r="M196" s="177">
        <f t="shared" ref="M196:M259" si="27">($B$10-J196)*$B$12</f>
        <v>2.0637086810679382E-15</v>
      </c>
      <c r="N196" s="179">
        <f t="shared" si="23"/>
        <v>14.839780519081238</v>
      </c>
      <c r="O196" s="179">
        <f t="shared" si="24"/>
        <v>39.516376908359078</v>
      </c>
    </row>
    <row r="197" spans="4:15" x14ac:dyDescent="0.25">
      <c r="D197">
        <v>194</v>
      </c>
      <c r="E197" s="177">
        <f t="shared" si="25"/>
        <v>3.380382683319769E-59</v>
      </c>
      <c r="F197" s="177">
        <f t="shared" si="26"/>
        <v>4.329889004869205E-17</v>
      </c>
      <c r="J197" s="177">
        <f t="shared" ref="J197:J260" si="28">J196+F197</f>
        <v>0.84876024030950414</v>
      </c>
      <c r="K197" s="177">
        <f t="shared" ref="K197:K260" si="29">$B$8*(D197-0.5)*F197</f>
        <v>7.0969427783338546E-14</v>
      </c>
      <c r="L197" s="177">
        <f t="shared" ref="L197:L260" si="30">L196+K197</f>
        <v>14.839780519081307</v>
      </c>
      <c r="M197" s="177">
        <f t="shared" si="27"/>
        <v>2.0637086810679382E-15</v>
      </c>
      <c r="N197" s="179">
        <f t="shared" ref="N197:N260" si="31">M197+L197</f>
        <v>14.839780519081309</v>
      </c>
      <c r="O197" s="179">
        <f t="shared" ref="O197:O260" si="32">O196+K197+M197</f>
        <v>39.516376908359149</v>
      </c>
    </row>
    <row r="198" spans="4:15" x14ac:dyDescent="0.25">
      <c r="D198">
        <v>195</v>
      </c>
      <c r="E198" s="177">
        <f t="shared" si="25"/>
        <v>1.6901913416598845E-59</v>
      </c>
      <c r="F198" s="177">
        <f t="shared" si="26"/>
        <v>4.329889004869205E-17</v>
      </c>
      <c r="J198" s="177">
        <f t="shared" si="28"/>
        <v>0.84876024030950414</v>
      </c>
      <c r="K198" s="177">
        <f t="shared" si="29"/>
        <v>7.1336194851986293E-14</v>
      </c>
      <c r="L198" s="177">
        <f t="shared" si="30"/>
        <v>14.839780519081378</v>
      </c>
      <c r="M198" s="177">
        <f t="shared" si="27"/>
        <v>2.0637086810679382E-15</v>
      </c>
      <c r="N198" s="179">
        <f t="shared" si="31"/>
        <v>14.83978051908138</v>
      </c>
      <c r="O198" s="179">
        <f t="shared" si="32"/>
        <v>39.51637690835922</v>
      </c>
    </row>
    <row r="199" spans="4:15" x14ac:dyDescent="0.25">
      <c r="D199">
        <v>196</v>
      </c>
      <c r="E199" s="177">
        <f t="shared" si="25"/>
        <v>8.4509567082994224E-60</v>
      </c>
      <c r="F199" s="177">
        <f t="shared" si="26"/>
        <v>4.329889004869205E-17</v>
      </c>
      <c r="J199" s="177">
        <f t="shared" si="28"/>
        <v>0.84876024030950414</v>
      </c>
      <c r="K199" s="177">
        <f t="shared" si="29"/>
        <v>7.1702961920634039E-14</v>
      </c>
      <c r="L199" s="177">
        <f t="shared" si="30"/>
        <v>14.839780519081449</v>
      </c>
      <c r="M199" s="177">
        <f t="shared" si="27"/>
        <v>2.0637086810679382E-15</v>
      </c>
      <c r="N199" s="179">
        <f t="shared" si="31"/>
        <v>14.839780519081451</v>
      </c>
      <c r="O199" s="179">
        <f t="shared" si="32"/>
        <v>39.516376908359291</v>
      </c>
    </row>
    <row r="200" spans="4:15" x14ac:dyDescent="0.25">
      <c r="D200">
        <v>197</v>
      </c>
      <c r="E200" s="177">
        <f t="shared" si="25"/>
        <v>4.2254783541497112E-60</v>
      </c>
      <c r="F200" s="177">
        <f t="shared" si="26"/>
        <v>4.329889004869205E-17</v>
      </c>
      <c r="J200" s="177">
        <f t="shared" si="28"/>
        <v>0.84876024030950414</v>
      </c>
      <c r="K200" s="177">
        <f t="shared" si="29"/>
        <v>7.2069728989281785E-14</v>
      </c>
      <c r="L200" s="177">
        <f t="shared" si="30"/>
        <v>14.839780519081522</v>
      </c>
      <c r="M200" s="177">
        <f t="shared" si="27"/>
        <v>2.0637086810679382E-15</v>
      </c>
      <c r="N200" s="179">
        <f t="shared" si="31"/>
        <v>14.839780519081524</v>
      </c>
      <c r="O200" s="179">
        <f t="shared" si="32"/>
        <v>39.516376908359362</v>
      </c>
    </row>
    <row r="201" spans="4:15" x14ac:dyDescent="0.25">
      <c r="D201">
        <v>198</v>
      </c>
      <c r="E201" s="177">
        <f t="shared" si="25"/>
        <v>2.1127391770748556E-60</v>
      </c>
      <c r="F201" s="177">
        <f t="shared" si="26"/>
        <v>4.329889004869205E-17</v>
      </c>
      <c r="J201" s="177">
        <f t="shared" si="28"/>
        <v>0.84876024030950414</v>
      </c>
      <c r="K201" s="177">
        <f t="shared" si="29"/>
        <v>7.2436496057929532E-14</v>
      </c>
      <c r="L201" s="177">
        <f t="shared" si="30"/>
        <v>14.839780519081595</v>
      </c>
      <c r="M201" s="177">
        <f t="shared" si="27"/>
        <v>2.0637086810679382E-15</v>
      </c>
      <c r="N201" s="179">
        <f t="shared" si="31"/>
        <v>14.839780519081597</v>
      </c>
      <c r="O201" s="179">
        <f t="shared" si="32"/>
        <v>39.516376908359433</v>
      </c>
    </row>
    <row r="202" spans="4:15" x14ac:dyDescent="0.25">
      <c r="D202">
        <v>199</v>
      </c>
      <c r="E202" s="177">
        <f t="shared" si="25"/>
        <v>1.0563695885374278E-60</v>
      </c>
      <c r="F202" s="177">
        <f t="shared" si="26"/>
        <v>4.329889004869205E-17</v>
      </c>
      <c r="J202" s="177">
        <f t="shared" si="28"/>
        <v>0.84876024030950414</v>
      </c>
      <c r="K202" s="177">
        <f t="shared" si="29"/>
        <v>7.2803263126577266E-14</v>
      </c>
      <c r="L202" s="177">
        <f t="shared" si="30"/>
        <v>14.839780519081668</v>
      </c>
      <c r="M202" s="177">
        <f t="shared" si="27"/>
        <v>2.0637086810679382E-15</v>
      </c>
      <c r="N202" s="179">
        <f t="shared" si="31"/>
        <v>14.839780519081669</v>
      </c>
      <c r="O202" s="179">
        <f t="shared" si="32"/>
        <v>39.516376908359504</v>
      </c>
    </row>
    <row r="203" spans="4:15" x14ac:dyDescent="0.25">
      <c r="D203">
        <v>200</v>
      </c>
      <c r="E203" s="177">
        <f t="shared" si="25"/>
        <v>5.281847942687139E-61</v>
      </c>
      <c r="F203" s="177">
        <f t="shared" si="26"/>
        <v>4.329889004869205E-17</v>
      </c>
      <c r="J203" s="177">
        <f t="shared" si="28"/>
        <v>0.84876024030950414</v>
      </c>
      <c r="K203" s="177">
        <f t="shared" si="29"/>
        <v>7.3170030195225012E-14</v>
      </c>
      <c r="L203" s="177">
        <f t="shared" si="30"/>
        <v>14.83978051908174</v>
      </c>
      <c r="M203" s="177">
        <f t="shared" si="27"/>
        <v>2.0637086810679382E-15</v>
      </c>
      <c r="N203" s="179">
        <f t="shared" si="31"/>
        <v>14.839780519081742</v>
      </c>
      <c r="O203" s="179">
        <f t="shared" si="32"/>
        <v>39.516376908359575</v>
      </c>
    </row>
    <row r="204" spans="4:15" x14ac:dyDescent="0.25">
      <c r="D204">
        <v>201</v>
      </c>
      <c r="E204" s="177">
        <f t="shared" si="25"/>
        <v>2.6409239713435695E-61</v>
      </c>
      <c r="F204" s="177">
        <f t="shared" si="26"/>
        <v>4.329889004869205E-17</v>
      </c>
      <c r="J204" s="177">
        <f t="shared" si="28"/>
        <v>0.84876024030950414</v>
      </c>
      <c r="K204" s="177">
        <f t="shared" si="29"/>
        <v>7.3536797263872759E-14</v>
      </c>
      <c r="L204" s="177">
        <f t="shared" si="30"/>
        <v>14.839780519081813</v>
      </c>
      <c r="M204" s="177">
        <f t="shared" si="27"/>
        <v>2.0637086810679382E-15</v>
      </c>
      <c r="N204" s="179">
        <f t="shared" si="31"/>
        <v>14.839780519081815</v>
      </c>
      <c r="O204" s="179">
        <f t="shared" si="32"/>
        <v>39.516376908359646</v>
      </c>
    </row>
    <row r="205" spans="4:15" x14ac:dyDescent="0.25">
      <c r="D205">
        <v>202</v>
      </c>
      <c r="E205" s="177">
        <f t="shared" si="25"/>
        <v>1.3204619856717848E-61</v>
      </c>
      <c r="F205" s="177">
        <f t="shared" si="26"/>
        <v>4.329889004869205E-17</v>
      </c>
      <c r="J205" s="177">
        <f t="shared" si="28"/>
        <v>0.84876024030950414</v>
      </c>
      <c r="K205" s="177">
        <f t="shared" si="29"/>
        <v>7.3903564332520492E-14</v>
      </c>
      <c r="L205" s="177">
        <f t="shared" si="30"/>
        <v>14.839780519081888</v>
      </c>
      <c r="M205" s="177">
        <f t="shared" si="27"/>
        <v>2.0637086810679382E-15</v>
      </c>
      <c r="N205" s="179">
        <f t="shared" si="31"/>
        <v>14.83978051908189</v>
      </c>
      <c r="O205" s="179">
        <f t="shared" si="32"/>
        <v>39.516376908359717</v>
      </c>
    </row>
    <row r="206" spans="4:15" x14ac:dyDescent="0.25">
      <c r="D206">
        <v>203</v>
      </c>
      <c r="E206" s="177">
        <f t="shared" si="25"/>
        <v>6.6023099283589238E-62</v>
      </c>
      <c r="F206" s="177">
        <f t="shared" si="26"/>
        <v>4.329889004869205E-17</v>
      </c>
      <c r="J206" s="177">
        <f t="shared" si="28"/>
        <v>0.84876024030950414</v>
      </c>
      <c r="K206" s="177">
        <f t="shared" si="29"/>
        <v>7.4270331401168239E-14</v>
      </c>
      <c r="L206" s="177">
        <f t="shared" si="30"/>
        <v>14.839780519081962</v>
      </c>
      <c r="M206" s="177">
        <f t="shared" si="27"/>
        <v>2.0637086810679382E-15</v>
      </c>
      <c r="N206" s="179">
        <f t="shared" si="31"/>
        <v>14.839780519081964</v>
      </c>
      <c r="O206" s="179">
        <f t="shared" si="32"/>
        <v>39.516376908359788</v>
      </c>
    </row>
    <row r="207" spans="4:15" x14ac:dyDescent="0.25">
      <c r="D207">
        <v>204</v>
      </c>
      <c r="E207" s="177">
        <f t="shared" si="25"/>
        <v>3.3011549641794619E-62</v>
      </c>
      <c r="F207" s="177">
        <f t="shared" si="26"/>
        <v>4.329889004869205E-17</v>
      </c>
      <c r="J207" s="177">
        <f t="shared" si="28"/>
        <v>0.84876024030950414</v>
      </c>
      <c r="K207" s="177">
        <f t="shared" si="29"/>
        <v>7.4637098469815985E-14</v>
      </c>
      <c r="L207" s="177">
        <f t="shared" si="30"/>
        <v>14.839780519082037</v>
      </c>
      <c r="M207" s="177">
        <f t="shared" si="27"/>
        <v>2.0637086810679382E-15</v>
      </c>
      <c r="N207" s="179">
        <f t="shared" si="31"/>
        <v>14.839780519082039</v>
      </c>
      <c r="O207" s="179">
        <f t="shared" si="32"/>
        <v>39.516376908359867</v>
      </c>
    </row>
    <row r="208" spans="4:15" x14ac:dyDescent="0.25">
      <c r="D208">
        <v>205</v>
      </c>
      <c r="E208" s="177">
        <f t="shared" si="25"/>
        <v>1.6505774820897309E-62</v>
      </c>
      <c r="F208" s="177">
        <f t="shared" si="26"/>
        <v>4.329889004869205E-17</v>
      </c>
      <c r="J208" s="177">
        <f t="shared" si="28"/>
        <v>0.84876024030950414</v>
      </c>
      <c r="K208" s="177">
        <f t="shared" si="29"/>
        <v>7.5003865538463732E-14</v>
      </c>
      <c r="L208" s="177">
        <f t="shared" si="30"/>
        <v>14.839780519082112</v>
      </c>
      <c r="M208" s="177">
        <f t="shared" si="27"/>
        <v>2.0637086810679382E-15</v>
      </c>
      <c r="N208" s="179">
        <f t="shared" si="31"/>
        <v>14.839780519082113</v>
      </c>
      <c r="O208" s="179">
        <f t="shared" si="32"/>
        <v>39.516376908359945</v>
      </c>
    </row>
    <row r="209" spans="4:15" x14ac:dyDescent="0.25">
      <c r="D209">
        <v>206</v>
      </c>
      <c r="E209" s="177">
        <f t="shared" si="25"/>
        <v>8.2528874104486547E-63</v>
      </c>
      <c r="F209" s="177">
        <f t="shared" si="26"/>
        <v>4.329889004869205E-17</v>
      </c>
      <c r="J209" s="177">
        <f t="shared" si="28"/>
        <v>0.84876024030950414</v>
      </c>
      <c r="K209" s="177">
        <f t="shared" si="29"/>
        <v>7.5370632607111478E-14</v>
      </c>
      <c r="L209" s="177">
        <f t="shared" si="30"/>
        <v>14.839780519082186</v>
      </c>
      <c r="M209" s="177">
        <f t="shared" si="27"/>
        <v>2.0637086810679382E-15</v>
      </c>
      <c r="N209" s="179">
        <f t="shared" si="31"/>
        <v>14.839780519082188</v>
      </c>
      <c r="O209" s="179">
        <f t="shared" si="32"/>
        <v>39.516376908360023</v>
      </c>
    </row>
    <row r="210" spans="4:15" x14ac:dyDescent="0.25">
      <c r="D210">
        <v>207</v>
      </c>
      <c r="E210" s="177">
        <f t="shared" si="25"/>
        <v>4.1264437052243274E-63</v>
      </c>
      <c r="F210" s="177">
        <f t="shared" si="26"/>
        <v>4.329889004869205E-17</v>
      </c>
      <c r="J210" s="177">
        <f t="shared" si="28"/>
        <v>0.84876024030950414</v>
      </c>
      <c r="K210" s="177">
        <f t="shared" si="29"/>
        <v>7.5737399675759225E-14</v>
      </c>
      <c r="L210" s="177">
        <f t="shared" si="30"/>
        <v>14.839780519082263</v>
      </c>
      <c r="M210" s="177">
        <f t="shared" si="27"/>
        <v>2.0637086810679382E-15</v>
      </c>
      <c r="N210" s="179">
        <f t="shared" si="31"/>
        <v>14.839780519082264</v>
      </c>
      <c r="O210" s="179">
        <f t="shared" si="32"/>
        <v>39.516376908360101</v>
      </c>
    </row>
    <row r="211" spans="4:15" x14ac:dyDescent="0.25">
      <c r="D211">
        <v>208</v>
      </c>
      <c r="E211" s="177">
        <f t="shared" si="25"/>
        <v>2.0632218526121637E-63</v>
      </c>
      <c r="F211" s="177">
        <f t="shared" si="26"/>
        <v>4.329889004869205E-17</v>
      </c>
      <c r="J211" s="177">
        <f t="shared" si="28"/>
        <v>0.84876024030950414</v>
      </c>
      <c r="K211" s="177">
        <f t="shared" si="29"/>
        <v>7.6104166744406971E-14</v>
      </c>
      <c r="L211" s="177">
        <f t="shared" si="30"/>
        <v>14.839780519082339</v>
      </c>
      <c r="M211" s="177">
        <f t="shared" si="27"/>
        <v>2.0637086810679382E-15</v>
      </c>
      <c r="N211" s="179">
        <f t="shared" si="31"/>
        <v>14.839780519082341</v>
      </c>
      <c r="O211" s="179">
        <f t="shared" si="32"/>
        <v>39.516376908360179</v>
      </c>
    </row>
    <row r="212" spans="4:15" x14ac:dyDescent="0.25">
      <c r="D212">
        <v>209</v>
      </c>
      <c r="E212" s="177">
        <f t="shared" si="25"/>
        <v>1.0316109263060818E-63</v>
      </c>
      <c r="F212" s="177">
        <f t="shared" si="26"/>
        <v>4.329889004869205E-17</v>
      </c>
      <c r="J212" s="177">
        <f t="shared" si="28"/>
        <v>0.84876024030950414</v>
      </c>
      <c r="K212" s="177">
        <f t="shared" si="29"/>
        <v>7.6470933813054718E-14</v>
      </c>
      <c r="L212" s="177">
        <f t="shared" si="30"/>
        <v>14.839780519082415</v>
      </c>
      <c r="M212" s="177">
        <f t="shared" si="27"/>
        <v>2.0637086810679382E-15</v>
      </c>
      <c r="N212" s="179">
        <f t="shared" si="31"/>
        <v>14.839780519082417</v>
      </c>
      <c r="O212" s="179">
        <f t="shared" si="32"/>
        <v>39.516376908360257</v>
      </c>
    </row>
    <row r="213" spans="4:15" x14ac:dyDescent="0.25">
      <c r="D213">
        <v>210</v>
      </c>
      <c r="E213" s="177">
        <f t="shared" si="25"/>
        <v>5.1580546315304092E-64</v>
      </c>
      <c r="F213" s="177">
        <f t="shared" si="26"/>
        <v>4.329889004869205E-17</v>
      </c>
      <c r="J213" s="177">
        <f t="shared" si="28"/>
        <v>0.84876024030950414</v>
      </c>
      <c r="K213" s="177">
        <f t="shared" si="29"/>
        <v>7.6837700881702451E-14</v>
      </c>
      <c r="L213" s="177">
        <f t="shared" si="30"/>
        <v>14.839780519082492</v>
      </c>
      <c r="M213" s="177">
        <f t="shared" si="27"/>
        <v>2.0637086810679382E-15</v>
      </c>
      <c r="N213" s="179">
        <f t="shared" si="31"/>
        <v>14.839780519082494</v>
      </c>
      <c r="O213" s="179">
        <f t="shared" si="32"/>
        <v>39.516376908360336</v>
      </c>
    </row>
    <row r="214" spans="4:15" x14ac:dyDescent="0.25">
      <c r="D214">
        <v>211</v>
      </c>
      <c r="E214" s="177">
        <f t="shared" si="25"/>
        <v>2.5790273157652046E-64</v>
      </c>
      <c r="F214" s="177">
        <f t="shared" si="26"/>
        <v>4.329889004869205E-17</v>
      </c>
      <c r="J214" s="177">
        <f t="shared" si="28"/>
        <v>0.84876024030950414</v>
      </c>
      <c r="K214" s="177">
        <f t="shared" si="29"/>
        <v>7.7204467950350198E-14</v>
      </c>
      <c r="L214" s="177">
        <f t="shared" si="30"/>
        <v>14.839780519082568</v>
      </c>
      <c r="M214" s="177">
        <f t="shared" si="27"/>
        <v>2.0637086810679382E-15</v>
      </c>
      <c r="N214" s="179">
        <f t="shared" si="31"/>
        <v>14.83978051908257</v>
      </c>
      <c r="O214" s="179">
        <f t="shared" si="32"/>
        <v>39.516376908360414</v>
      </c>
    </row>
    <row r="215" spans="4:15" x14ac:dyDescent="0.25">
      <c r="D215">
        <v>212</v>
      </c>
      <c r="E215" s="177">
        <f t="shared" si="25"/>
        <v>1.2895136578826023E-64</v>
      </c>
      <c r="F215" s="177">
        <f t="shared" si="26"/>
        <v>4.329889004869205E-17</v>
      </c>
      <c r="J215" s="177">
        <f t="shared" si="28"/>
        <v>0.84876024030950414</v>
      </c>
      <c r="K215" s="177">
        <f t="shared" si="29"/>
        <v>7.7571235018997944E-14</v>
      </c>
      <c r="L215" s="177">
        <f t="shared" si="30"/>
        <v>14.839780519082646</v>
      </c>
      <c r="M215" s="177">
        <f t="shared" si="27"/>
        <v>2.0637086810679382E-15</v>
      </c>
      <c r="N215" s="179">
        <f t="shared" si="31"/>
        <v>14.839780519082648</v>
      </c>
      <c r="O215" s="179">
        <f t="shared" si="32"/>
        <v>39.516376908360492</v>
      </c>
    </row>
    <row r="216" spans="4:15" x14ac:dyDescent="0.25">
      <c r="D216">
        <v>213</v>
      </c>
      <c r="E216" s="177">
        <f t="shared" si="25"/>
        <v>6.4475682894130115E-65</v>
      </c>
      <c r="F216" s="177">
        <f t="shared" si="26"/>
        <v>4.329889004869205E-17</v>
      </c>
      <c r="J216" s="177">
        <f t="shared" si="28"/>
        <v>0.84876024030950414</v>
      </c>
      <c r="K216" s="177">
        <f t="shared" si="29"/>
        <v>7.7938002087645691E-14</v>
      </c>
      <c r="L216" s="177">
        <f t="shared" si="30"/>
        <v>14.839780519082725</v>
      </c>
      <c r="M216" s="177">
        <f t="shared" si="27"/>
        <v>2.0637086810679382E-15</v>
      </c>
      <c r="N216" s="179">
        <f t="shared" si="31"/>
        <v>14.839780519082726</v>
      </c>
      <c r="O216" s="179">
        <f t="shared" si="32"/>
        <v>39.51637690836057</v>
      </c>
    </row>
    <row r="217" spans="4:15" x14ac:dyDescent="0.25">
      <c r="D217">
        <v>214</v>
      </c>
      <c r="E217" s="177">
        <f t="shared" si="25"/>
        <v>3.2237841447065058E-65</v>
      </c>
      <c r="F217" s="177">
        <f t="shared" si="26"/>
        <v>4.329889004869205E-17</v>
      </c>
      <c r="J217" s="177">
        <f t="shared" si="28"/>
        <v>0.84876024030950414</v>
      </c>
      <c r="K217" s="177">
        <f t="shared" si="29"/>
        <v>7.8304769156293437E-14</v>
      </c>
      <c r="L217" s="177">
        <f t="shared" si="30"/>
        <v>14.839780519082803</v>
      </c>
      <c r="M217" s="177">
        <f t="shared" si="27"/>
        <v>2.0637086810679382E-15</v>
      </c>
      <c r="N217" s="179">
        <f t="shared" si="31"/>
        <v>14.839780519082804</v>
      </c>
      <c r="O217" s="179">
        <f t="shared" si="32"/>
        <v>39.516376908360648</v>
      </c>
    </row>
    <row r="218" spans="4:15" x14ac:dyDescent="0.25">
      <c r="D218">
        <v>215</v>
      </c>
      <c r="E218" s="177">
        <f t="shared" si="25"/>
        <v>1.6118920723532529E-65</v>
      </c>
      <c r="F218" s="177">
        <f t="shared" si="26"/>
        <v>4.329889004869205E-17</v>
      </c>
      <c r="J218" s="177">
        <f t="shared" si="28"/>
        <v>0.84876024030950414</v>
      </c>
      <c r="K218" s="177">
        <f t="shared" si="29"/>
        <v>7.8671536224941184E-14</v>
      </c>
      <c r="L218" s="177">
        <f t="shared" si="30"/>
        <v>14.839780519082881</v>
      </c>
      <c r="M218" s="177">
        <f t="shared" si="27"/>
        <v>2.0637086810679382E-15</v>
      </c>
      <c r="N218" s="179">
        <f t="shared" si="31"/>
        <v>14.839780519082883</v>
      </c>
      <c r="O218" s="179">
        <f t="shared" si="32"/>
        <v>39.516376908360726</v>
      </c>
    </row>
    <row r="219" spans="4:15" x14ac:dyDescent="0.25">
      <c r="D219">
        <v>216</v>
      </c>
      <c r="E219" s="177">
        <f t="shared" si="25"/>
        <v>8.0594603617662644E-66</v>
      </c>
      <c r="F219" s="177">
        <f t="shared" si="26"/>
        <v>4.329889004869205E-17</v>
      </c>
      <c r="J219" s="177">
        <f t="shared" si="28"/>
        <v>0.84876024030950414</v>
      </c>
      <c r="K219" s="177">
        <f t="shared" si="29"/>
        <v>7.903830329358893E-14</v>
      </c>
      <c r="L219" s="177">
        <f t="shared" si="30"/>
        <v>14.839780519082959</v>
      </c>
      <c r="M219" s="177">
        <f t="shared" si="27"/>
        <v>2.0637086810679382E-15</v>
      </c>
      <c r="N219" s="179">
        <f t="shared" si="31"/>
        <v>14.839780519082961</v>
      </c>
      <c r="O219" s="179">
        <f t="shared" si="32"/>
        <v>39.516376908360805</v>
      </c>
    </row>
    <row r="220" spans="4:15" x14ac:dyDescent="0.25">
      <c r="D220">
        <v>217</v>
      </c>
      <c r="E220" s="177">
        <f t="shared" si="25"/>
        <v>4.0297301808831322E-66</v>
      </c>
      <c r="F220" s="177">
        <f t="shared" si="26"/>
        <v>4.329889004869205E-17</v>
      </c>
      <c r="J220" s="177">
        <f t="shared" si="28"/>
        <v>0.84876024030950414</v>
      </c>
      <c r="K220" s="177">
        <f t="shared" si="29"/>
        <v>7.9405070362236677E-14</v>
      </c>
      <c r="L220" s="177">
        <f t="shared" si="30"/>
        <v>14.839780519083039</v>
      </c>
      <c r="M220" s="177">
        <f t="shared" si="27"/>
        <v>2.0637086810679382E-15</v>
      </c>
      <c r="N220" s="179">
        <f t="shared" si="31"/>
        <v>14.839780519083041</v>
      </c>
      <c r="O220" s="179">
        <f t="shared" si="32"/>
        <v>39.516376908360883</v>
      </c>
    </row>
    <row r="221" spans="4:15" x14ac:dyDescent="0.25">
      <c r="D221">
        <v>218</v>
      </c>
      <c r="E221" s="177">
        <f t="shared" si="25"/>
        <v>2.0148650904415661E-66</v>
      </c>
      <c r="F221" s="177">
        <f t="shared" si="26"/>
        <v>4.329889004869205E-17</v>
      </c>
      <c r="J221" s="177">
        <f t="shared" si="28"/>
        <v>0.84876024030950414</v>
      </c>
      <c r="K221" s="177">
        <f t="shared" si="29"/>
        <v>7.9771837430884423E-14</v>
      </c>
      <c r="L221" s="177">
        <f t="shared" si="30"/>
        <v>14.839780519083119</v>
      </c>
      <c r="M221" s="177">
        <f t="shared" si="27"/>
        <v>2.0637086810679382E-15</v>
      </c>
      <c r="N221" s="179">
        <f t="shared" si="31"/>
        <v>14.839780519083121</v>
      </c>
      <c r="O221" s="179">
        <f t="shared" si="32"/>
        <v>39.516376908360961</v>
      </c>
    </row>
    <row r="222" spans="4:15" x14ac:dyDescent="0.25">
      <c r="D222">
        <v>219</v>
      </c>
      <c r="E222" s="177">
        <f t="shared" si="25"/>
        <v>1.007432545220783E-66</v>
      </c>
      <c r="F222" s="177">
        <f t="shared" si="26"/>
        <v>4.329889004869205E-17</v>
      </c>
      <c r="J222" s="177">
        <f t="shared" si="28"/>
        <v>0.84876024030950414</v>
      </c>
      <c r="K222" s="177">
        <f t="shared" si="29"/>
        <v>8.0138604499532157E-14</v>
      </c>
      <c r="L222" s="177">
        <f t="shared" si="30"/>
        <v>14.839780519083199</v>
      </c>
      <c r="M222" s="177">
        <f t="shared" si="27"/>
        <v>2.0637086810679382E-15</v>
      </c>
      <c r="N222" s="179">
        <f t="shared" si="31"/>
        <v>14.839780519083201</v>
      </c>
      <c r="O222" s="179">
        <f t="shared" si="32"/>
        <v>39.516376908361039</v>
      </c>
    </row>
    <row r="223" spans="4:15" x14ac:dyDescent="0.25">
      <c r="D223">
        <v>220</v>
      </c>
      <c r="E223" s="177">
        <f t="shared" si="25"/>
        <v>5.0371627261039152E-67</v>
      </c>
      <c r="F223" s="177">
        <f t="shared" si="26"/>
        <v>4.329889004869205E-17</v>
      </c>
      <c r="J223" s="177">
        <f t="shared" si="28"/>
        <v>0.84876024030950414</v>
      </c>
      <c r="K223" s="177">
        <f t="shared" si="29"/>
        <v>8.0505371568179903E-14</v>
      </c>
      <c r="L223" s="177">
        <f t="shared" si="30"/>
        <v>14.839780519083279</v>
      </c>
      <c r="M223" s="177">
        <f t="shared" si="27"/>
        <v>2.0637086810679382E-15</v>
      </c>
      <c r="N223" s="179">
        <f t="shared" si="31"/>
        <v>14.839780519083281</v>
      </c>
      <c r="O223" s="179">
        <f t="shared" si="32"/>
        <v>39.516376908361117</v>
      </c>
    </row>
    <row r="224" spans="4:15" x14ac:dyDescent="0.25">
      <c r="D224">
        <v>221</v>
      </c>
      <c r="E224" s="177">
        <f t="shared" si="25"/>
        <v>2.5185813630519576E-67</v>
      </c>
      <c r="F224" s="177">
        <f t="shared" si="26"/>
        <v>4.329889004869205E-17</v>
      </c>
      <c r="J224" s="177">
        <f t="shared" si="28"/>
        <v>0.84876024030950414</v>
      </c>
      <c r="K224" s="177">
        <f t="shared" si="29"/>
        <v>8.087213863682765E-14</v>
      </c>
      <c r="L224" s="177">
        <f t="shared" si="30"/>
        <v>14.83978051908336</v>
      </c>
      <c r="M224" s="177">
        <f t="shared" si="27"/>
        <v>2.0637086810679382E-15</v>
      </c>
      <c r="N224" s="179">
        <f t="shared" si="31"/>
        <v>14.839780519083362</v>
      </c>
      <c r="O224" s="179">
        <f t="shared" si="32"/>
        <v>39.516376908361195</v>
      </c>
    </row>
    <row r="225" spans="4:15" x14ac:dyDescent="0.25">
      <c r="D225">
        <v>222</v>
      </c>
      <c r="E225" s="177">
        <f t="shared" si="25"/>
        <v>1.2592906815259788E-67</v>
      </c>
      <c r="F225" s="177">
        <f t="shared" si="26"/>
        <v>4.329889004869205E-17</v>
      </c>
      <c r="J225" s="177">
        <f t="shared" si="28"/>
        <v>0.84876024030950414</v>
      </c>
      <c r="K225" s="177">
        <f t="shared" si="29"/>
        <v>8.1238905705475396E-14</v>
      </c>
      <c r="L225" s="177">
        <f t="shared" si="30"/>
        <v>14.839780519083442</v>
      </c>
      <c r="M225" s="177">
        <f t="shared" si="27"/>
        <v>2.0637086810679382E-15</v>
      </c>
      <c r="N225" s="179">
        <f t="shared" si="31"/>
        <v>14.839780519083444</v>
      </c>
      <c r="O225" s="179">
        <f t="shared" si="32"/>
        <v>39.516376908361273</v>
      </c>
    </row>
    <row r="226" spans="4:15" x14ac:dyDescent="0.25">
      <c r="D226">
        <v>223</v>
      </c>
      <c r="E226" s="177">
        <f t="shared" si="25"/>
        <v>6.2964534076298941E-68</v>
      </c>
      <c r="F226" s="177">
        <f t="shared" si="26"/>
        <v>4.329889004869205E-17</v>
      </c>
      <c r="J226" s="177">
        <f t="shared" si="28"/>
        <v>0.84876024030950414</v>
      </c>
      <c r="K226" s="177">
        <f t="shared" si="29"/>
        <v>8.160567277412313E-14</v>
      </c>
      <c r="L226" s="177">
        <f t="shared" si="30"/>
        <v>14.839780519083524</v>
      </c>
      <c r="M226" s="177">
        <f t="shared" si="27"/>
        <v>2.0637086810679382E-15</v>
      </c>
      <c r="N226" s="179">
        <f t="shared" si="31"/>
        <v>14.839780519083526</v>
      </c>
      <c r="O226" s="179">
        <f t="shared" si="32"/>
        <v>39.516376908361352</v>
      </c>
    </row>
    <row r="227" spans="4:15" x14ac:dyDescent="0.25">
      <c r="D227">
        <v>224</v>
      </c>
      <c r="E227" s="177">
        <f t="shared" si="25"/>
        <v>3.148226703814947E-68</v>
      </c>
      <c r="F227" s="177">
        <f t="shared" si="26"/>
        <v>4.329889004869205E-17</v>
      </c>
      <c r="J227" s="177">
        <f t="shared" si="28"/>
        <v>0.84876024030950414</v>
      </c>
      <c r="K227" s="177">
        <f t="shared" si="29"/>
        <v>8.1972439842770876E-14</v>
      </c>
      <c r="L227" s="177">
        <f t="shared" si="30"/>
        <v>14.839780519083606</v>
      </c>
      <c r="M227" s="177">
        <f t="shared" si="27"/>
        <v>2.0637086810679382E-15</v>
      </c>
      <c r="N227" s="179">
        <f t="shared" si="31"/>
        <v>14.839780519083607</v>
      </c>
      <c r="O227" s="179">
        <f t="shared" si="32"/>
        <v>39.516376908361437</v>
      </c>
    </row>
    <row r="228" spans="4:15" x14ac:dyDescent="0.25">
      <c r="D228">
        <v>225</v>
      </c>
      <c r="E228" s="177">
        <f t="shared" si="25"/>
        <v>1.5741133519074735E-68</v>
      </c>
      <c r="F228" s="177">
        <f t="shared" si="26"/>
        <v>4.329889004869205E-17</v>
      </c>
      <c r="J228" s="177">
        <f t="shared" si="28"/>
        <v>0.84876024030950414</v>
      </c>
      <c r="K228" s="177">
        <f t="shared" si="29"/>
        <v>8.2339206911418623E-14</v>
      </c>
      <c r="L228" s="177">
        <f t="shared" si="30"/>
        <v>14.839780519083687</v>
      </c>
      <c r="M228" s="177">
        <f t="shared" si="27"/>
        <v>2.0637086810679382E-15</v>
      </c>
      <c r="N228" s="179">
        <f t="shared" si="31"/>
        <v>14.839780519083689</v>
      </c>
      <c r="O228" s="179">
        <f t="shared" si="32"/>
        <v>39.516376908361522</v>
      </c>
    </row>
    <row r="229" spans="4:15" x14ac:dyDescent="0.25">
      <c r="D229">
        <v>226</v>
      </c>
      <c r="E229" s="177">
        <f t="shared" si="25"/>
        <v>7.8705667595373676E-69</v>
      </c>
      <c r="F229" s="177">
        <f t="shared" si="26"/>
        <v>4.329889004869205E-17</v>
      </c>
      <c r="J229" s="177">
        <f t="shared" si="28"/>
        <v>0.84876024030950414</v>
      </c>
      <c r="K229" s="177">
        <f t="shared" si="29"/>
        <v>8.2705973980066369E-14</v>
      </c>
      <c r="L229" s="177">
        <f t="shared" si="30"/>
        <v>14.839780519083771</v>
      </c>
      <c r="M229" s="177">
        <f t="shared" si="27"/>
        <v>2.0637086810679382E-15</v>
      </c>
      <c r="N229" s="179">
        <f t="shared" si="31"/>
        <v>14.839780519083773</v>
      </c>
      <c r="O229" s="179">
        <f t="shared" si="32"/>
        <v>39.516376908361607</v>
      </c>
    </row>
    <row r="230" spans="4:15" x14ac:dyDescent="0.25">
      <c r="D230">
        <v>227</v>
      </c>
      <c r="E230" s="177">
        <f t="shared" si="25"/>
        <v>3.9352833797686838E-69</v>
      </c>
      <c r="F230" s="177">
        <f t="shared" si="26"/>
        <v>4.329889004869205E-17</v>
      </c>
      <c r="J230" s="177">
        <f t="shared" si="28"/>
        <v>0.84876024030950414</v>
      </c>
      <c r="K230" s="177">
        <f t="shared" si="29"/>
        <v>8.3072741048714103E-14</v>
      </c>
      <c r="L230" s="177">
        <f t="shared" si="30"/>
        <v>14.839780519083854</v>
      </c>
      <c r="M230" s="177">
        <f t="shared" si="27"/>
        <v>2.0637086810679382E-15</v>
      </c>
      <c r="N230" s="179">
        <f t="shared" si="31"/>
        <v>14.839780519083856</v>
      </c>
      <c r="O230" s="179">
        <f t="shared" si="32"/>
        <v>39.516376908361693</v>
      </c>
    </row>
    <row r="231" spans="4:15" x14ac:dyDescent="0.25">
      <c r="D231">
        <v>228</v>
      </c>
      <c r="E231" s="177">
        <f t="shared" si="25"/>
        <v>1.9676416898843419E-69</v>
      </c>
      <c r="F231" s="177">
        <f t="shared" si="26"/>
        <v>4.329889004869205E-17</v>
      </c>
      <c r="J231" s="177">
        <f t="shared" si="28"/>
        <v>0.84876024030950414</v>
      </c>
      <c r="K231" s="177">
        <f t="shared" si="29"/>
        <v>8.343950811736185E-14</v>
      </c>
      <c r="L231" s="177">
        <f t="shared" si="30"/>
        <v>14.839780519083938</v>
      </c>
      <c r="M231" s="177">
        <f t="shared" si="27"/>
        <v>2.0637086810679382E-15</v>
      </c>
      <c r="N231" s="179">
        <f t="shared" si="31"/>
        <v>14.83978051908394</v>
      </c>
      <c r="O231" s="179">
        <f t="shared" si="32"/>
        <v>39.516376908361778</v>
      </c>
    </row>
    <row r="232" spans="4:15" x14ac:dyDescent="0.25">
      <c r="D232">
        <v>229</v>
      </c>
      <c r="E232" s="177">
        <f t="shared" si="25"/>
        <v>9.8382084494217095E-70</v>
      </c>
      <c r="F232" s="177">
        <f t="shared" si="26"/>
        <v>4.329889004869205E-17</v>
      </c>
      <c r="J232" s="177">
        <f t="shared" si="28"/>
        <v>0.84876024030950414</v>
      </c>
      <c r="K232" s="177">
        <f t="shared" si="29"/>
        <v>8.3806275186009596E-14</v>
      </c>
      <c r="L232" s="177">
        <f t="shared" si="30"/>
        <v>14.839780519084021</v>
      </c>
      <c r="M232" s="177">
        <f t="shared" si="27"/>
        <v>2.0637086810679382E-15</v>
      </c>
      <c r="N232" s="179">
        <f t="shared" si="31"/>
        <v>14.839780519084023</v>
      </c>
      <c r="O232" s="179">
        <f t="shared" si="32"/>
        <v>39.516376908361863</v>
      </c>
    </row>
    <row r="233" spans="4:15" x14ac:dyDescent="0.25">
      <c r="D233">
        <v>230</v>
      </c>
      <c r="E233" s="177">
        <f t="shared" si="25"/>
        <v>4.9191042247108547E-70</v>
      </c>
      <c r="F233" s="177">
        <f t="shared" si="26"/>
        <v>4.329889004869205E-17</v>
      </c>
      <c r="J233" s="177">
        <f t="shared" si="28"/>
        <v>0.84876024030950414</v>
      </c>
      <c r="K233" s="177">
        <f t="shared" si="29"/>
        <v>8.4173042254657342E-14</v>
      </c>
      <c r="L233" s="177">
        <f t="shared" si="30"/>
        <v>14.839780519084105</v>
      </c>
      <c r="M233" s="177">
        <f t="shared" si="27"/>
        <v>2.0637086810679382E-15</v>
      </c>
      <c r="N233" s="179">
        <f t="shared" si="31"/>
        <v>14.839780519084107</v>
      </c>
      <c r="O233" s="179">
        <f t="shared" si="32"/>
        <v>39.516376908361948</v>
      </c>
    </row>
    <row r="234" spans="4:15" x14ac:dyDescent="0.25">
      <c r="D234">
        <v>231</v>
      </c>
      <c r="E234" s="177">
        <f t="shared" si="25"/>
        <v>2.4595521123554274E-70</v>
      </c>
      <c r="F234" s="177">
        <f t="shared" si="26"/>
        <v>4.329889004869205E-17</v>
      </c>
      <c r="J234" s="177">
        <f t="shared" si="28"/>
        <v>0.84876024030950414</v>
      </c>
      <c r="K234" s="177">
        <f t="shared" si="29"/>
        <v>8.4539809323305089E-14</v>
      </c>
      <c r="L234" s="177">
        <f t="shared" si="30"/>
        <v>14.83978051908419</v>
      </c>
      <c r="M234" s="177">
        <f t="shared" si="27"/>
        <v>2.0637086810679382E-15</v>
      </c>
      <c r="N234" s="179">
        <f t="shared" si="31"/>
        <v>14.839780519084192</v>
      </c>
      <c r="O234" s="179">
        <f t="shared" si="32"/>
        <v>39.516376908362034</v>
      </c>
    </row>
    <row r="235" spans="4:15" x14ac:dyDescent="0.25">
      <c r="D235">
        <v>232</v>
      </c>
      <c r="E235" s="177">
        <f t="shared" si="25"/>
        <v>1.2297760561777137E-70</v>
      </c>
      <c r="F235" s="177">
        <f t="shared" si="26"/>
        <v>4.329889004869205E-17</v>
      </c>
      <c r="J235" s="177">
        <f t="shared" si="28"/>
        <v>0.84876024030950414</v>
      </c>
      <c r="K235" s="177">
        <f t="shared" si="29"/>
        <v>8.4906576391952835E-14</v>
      </c>
      <c r="L235" s="177">
        <f t="shared" si="30"/>
        <v>14.839780519084275</v>
      </c>
      <c r="M235" s="177">
        <f t="shared" si="27"/>
        <v>2.0637086810679382E-15</v>
      </c>
      <c r="N235" s="179">
        <f t="shared" si="31"/>
        <v>14.839780519084277</v>
      </c>
      <c r="O235" s="179">
        <f t="shared" si="32"/>
        <v>39.516376908362119</v>
      </c>
    </row>
    <row r="236" spans="4:15" x14ac:dyDescent="0.25">
      <c r="D236">
        <v>233</v>
      </c>
      <c r="E236" s="177">
        <f t="shared" si="25"/>
        <v>6.1488802808885684E-71</v>
      </c>
      <c r="F236" s="177">
        <f t="shared" si="26"/>
        <v>4.329889004869205E-17</v>
      </c>
      <c r="J236" s="177">
        <f t="shared" si="28"/>
        <v>0.84876024030950414</v>
      </c>
      <c r="K236" s="177">
        <f t="shared" si="29"/>
        <v>8.5273343460600582E-14</v>
      </c>
      <c r="L236" s="177">
        <f t="shared" si="30"/>
        <v>14.839780519084361</v>
      </c>
      <c r="M236" s="177">
        <f t="shared" si="27"/>
        <v>2.0637086810679382E-15</v>
      </c>
      <c r="N236" s="179">
        <f t="shared" si="31"/>
        <v>14.839780519084362</v>
      </c>
      <c r="O236" s="179">
        <f t="shared" si="32"/>
        <v>39.516376908362204</v>
      </c>
    </row>
    <row r="237" spans="4:15" x14ac:dyDescent="0.25">
      <c r="D237">
        <v>234</v>
      </c>
      <c r="E237" s="177">
        <f t="shared" si="25"/>
        <v>3.0744401404442842E-71</v>
      </c>
      <c r="F237" s="177">
        <f t="shared" si="26"/>
        <v>4.329889004869205E-17</v>
      </c>
      <c r="J237" s="177">
        <f t="shared" si="28"/>
        <v>0.84876024030950414</v>
      </c>
      <c r="K237" s="177">
        <f t="shared" si="29"/>
        <v>8.5640110529248328E-14</v>
      </c>
      <c r="L237" s="177">
        <f t="shared" si="30"/>
        <v>14.839780519084446</v>
      </c>
      <c r="M237" s="177">
        <f t="shared" si="27"/>
        <v>2.0637086810679382E-15</v>
      </c>
      <c r="N237" s="179">
        <f t="shared" si="31"/>
        <v>14.839780519084448</v>
      </c>
      <c r="O237" s="179">
        <f t="shared" si="32"/>
        <v>39.51637690836229</v>
      </c>
    </row>
    <row r="238" spans="4:15" x14ac:dyDescent="0.25">
      <c r="D238">
        <v>235</v>
      </c>
      <c r="E238" s="177">
        <f t="shared" si="25"/>
        <v>1.5372200702221421E-71</v>
      </c>
      <c r="F238" s="177">
        <f t="shared" si="26"/>
        <v>4.329889004869205E-17</v>
      </c>
      <c r="J238" s="177">
        <f t="shared" si="28"/>
        <v>0.84876024030950414</v>
      </c>
      <c r="K238" s="177">
        <f t="shared" si="29"/>
        <v>8.6006877597896075E-14</v>
      </c>
      <c r="L238" s="177">
        <f t="shared" si="30"/>
        <v>14.839780519084531</v>
      </c>
      <c r="M238" s="177">
        <f t="shared" si="27"/>
        <v>2.0637086810679382E-15</v>
      </c>
      <c r="N238" s="179">
        <f t="shared" si="31"/>
        <v>14.839780519084533</v>
      </c>
      <c r="O238" s="179">
        <f t="shared" si="32"/>
        <v>39.516376908362375</v>
      </c>
    </row>
    <row r="239" spans="4:15" x14ac:dyDescent="0.25">
      <c r="D239">
        <v>236</v>
      </c>
      <c r="E239" s="177">
        <f t="shared" si="25"/>
        <v>7.6861003511107105E-72</v>
      </c>
      <c r="F239" s="177">
        <f t="shared" si="26"/>
        <v>4.329889004869205E-17</v>
      </c>
      <c r="J239" s="177">
        <f t="shared" si="28"/>
        <v>0.84876024030950414</v>
      </c>
      <c r="K239" s="177">
        <f t="shared" si="29"/>
        <v>8.6373644666543809E-14</v>
      </c>
      <c r="L239" s="177">
        <f t="shared" si="30"/>
        <v>14.839780519084618</v>
      </c>
      <c r="M239" s="177">
        <f t="shared" si="27"/>
        <v>2.0637086810679382E-15</v>
      </c>
      <c r="N239" s="179">
        <f t="shared" si="31"/>
        <v>14.83978051908462</v>
      </c>
      <c r="O239" s="179">
        <f t="shared" si="32"/>
        <v>39.51637690836246</v>
      </c>
    </row>
    <row r="240" spans="4:15" x14ac:dyDescent="0.25">
      <c r="D240">
        <v>237</v>
      </c>
      <c r="E240" s="177">
        <f t="shared" si="25"/>
        <v>3.8430501755553553E-72</v>
      </c>
      <c r="F240" s="177">
        <f t="shared" si="26"/>
        <v>4.329889004869205E-17</v>
      </c>
      <c r="J240" s="177">
        <f t="shared" si="28"/>
        <v>0.84876024030950414</v>
      </c>
      <c r="K240" s="177">
        <f t="shared" si="29"/>
        <v>8.6740411735191555E-14</v>
      </c>
      <c r="L240" s="177">
        <f t="shared" si="30"/>
        <v>14.839780519084705</v>
      </c>
      <c r="M240" s="177">
        <f t="shared" si="27"/>
        <v>2.0637086810679382E-15</v>
      </c>
      <c r="N240" s="179">
        <f t="shared" si="31"/>
        <v>14.839780519084707</v>
      </c>
      <c r="O240" s="179">
        <f t="shared" si="32"/>
        <v>39.516376908362545</v>
      </c>
    </row>
    <row r="241" spans="4:15" x14ac:dyDescent="0.25">
      <c r="D241">
        <v>238</v>
      </c>
      <c r="E241" s="177">
        <f t="shared" si="25"/>
        <v>1.9215250877776776E-72</v>
      </c>
      <c r="F241" s="177">
        <f t="shared" si="26"/>
        <v>4.329889004869205E-17</v>
      </c>
      <c r="J241" s="177">
        <f t="shared" si="28"/>
        <v>0.84876024030950414</v>
      </c>
      <c r="K241" s="177">
        <f t="shared" si="29"/>
        <v>8.7107178803839301E-14</v>
      </c>
      <c r="L241" s="177">
        <f t="shared" si="30"/>
        <v>14.839780519084792</v>
      </c>
      <c r="M241" s="177">
        <f t="shared" si="27"/>
        <v>2.0637086810679382E-15</v>
      </c>
      <c r="N241" s="179">
        <f t="shared" si="31"/>
        <v>14.839780519084794</v>
      </c>
      <c r="O241" s="179">
        <f t="shared" si="32"/>
        <v>39.516376908362631</v>
      </c>
    </row>
    <row r="242" spans="4:15" x14ac:dyDescent="0.25">
      <c r="D242">
        <v>239</v>
      </c>
      <c r="E242" s="177">
        <f t="shared" si="25"/>
        <v>9.6076254388883881E-73</v>
      </c>
      <c r="F242" s="177">
        <f t="shared" si="26"/>
        <v>4.329889004869205E-17</v>
      </c>
      <c r="J242" s="177">
        <f t="shared" si="28"/>
        <v>0.84876024030950414</v>
      </c>
      <c r="K242" s="177">
        <f t="shared" si="29"/>
        <v>8.7473945872487048E-14</v>
      </c>
      <c r="L242" s="177">
        <f t="shared" si="30"/>
        <v>14.839780519084879</v>
      </c>
      <c r="M242" s="177">
        <f t="shared" si="27"/>
        <v>2.0637086810679382E-15</v>
      </c>
      <c r="N242" s="179">
        <f t="shared" si="31"/>
        <v>14.839780519084881</v>
      </c>
      <c r="O242" s="179">
        <f t="shared" si="32"/>
        <v>39.516376908362716</v>
      </c>
    </row>
    <row r="243" spans="4:15" x14ac:dyDescent="0.25">
      <c r="D243">
        <v>240</v>
      </c>
      <c r="E243" s="177">
        <f t="shared" si="25"/>
        <v>4.8038127194441941E-73</v>
      </c>
      <c r="F243" s="177">
        <f t="shared" si="26"/>
        <v>4.329889004869205E-17</v>
      </c>
      <c r="J243" s="177">
        <f t="shared" si="28"/>
        <v>0.84876024030950414</v>
      </c>
      <c r="K243" s="177">
        <f t="shared" si="29"/>
        <v>8.7840712941134794E-14</v>
      </c>
      <c r="L243" s="177">
        <f t="shared" si="30"/>
        <v>14.839780519084966</v>
      </c>
      <c r="M243" s="177">
        <f t="shared" si="27"/>
        <v>2.0637086810679382E-15</v>
      </c>
      <c r="N243" s="179">
        <f t="shared" si="31"/>
        <v>14.839780519084968</v>
      </c>
      <c r="O243" s="179">
        <f t="shared" si="32"/>
        <v>39.516376908362801</v>
      </c>
    </row>
    <row r="244" spans="4:15" x14ac:dyDescent="0.25">
      <c r="D244">
        <v>241</v>
      </c>
      <c r="E244" s="177">
        <f t="shared" si="25"/>
        <v>2.401906359722097E-73</v>
      </c>
      <c r="F244" s="177">
        <f t="shared" si="26"/>
        <v>4.329889004869205E-17</v>
      </c>
      <c r="J244" s="177">
        <f t="shared" si="28"/>
        <v>0.84876024030950414</v>
      </c>
      <c r="K244" s="177">
        <f t="shared" si="29"/>
        <v>8.8207480009782541E-14</v>
      </c>
      <c r="L244" s="177">
        <f t="shared" si="30"/>
        <v>14.839780519085055</v>
      </c>
      <c r="M244" s="177">
        <f t="shared" si="27"/>
        <v>2.0637086810679382E-15</v>
      </c>
      <c r="N244" s="179">
        <f t="shared" si="31"/>
        <v>14.839780519085057</v>
      </c>
      <c r="O244" s="179">
        <f t="shared" si="32"/>
        <v>39.516376908362886</v>
      </c>
    </row>
    <row r="245" spans="4:15" x14ac:dyDescent="0.25">
      <c r="D245">
        <v>242</v>
      </c>
      <c r="E245" s="177">
        <f t="shared" si="25"/>
        <v>1.2009531798610485E-73</v>
      </c>
      <c r="F245" s="177">
        <f t="shared" si="26"/>
        <v>4.329889004869205E-17</v>
      </c>
      <c r="J245" s="177">
        <f t="shared" si="28"/>
        <v>0.84876024030950414</v>
      </c>
      <c r="K245" s="177">
        <f t="shared" si="29"/>
        <v>8.8574247078430287E-14</v>
      </c>
      <c r="L245" s="177">
        <f t="shared" si="30"/>
        <v>14.839780519085144</v>
      </c>
      <c r="M245" s="177">
        <f t="shared" si="27"/>
        <v>2.0637086810679382E-15</v>
      </c>
      <c r="N245" s="179">
        <f t="shared" si="31"/>
        <v>14.839780519085146</v>
      </c>
      <c r="O245" s="179">
        <f t="shared" si="32"/>
        <v>39.516376908362972</v>
      </c>
    </row>
    <row r="246" spans="4:15" x14ac:dyDescent="0.25">
      <c r="D246">
        <v>243</v>
      </c>
      <c r="E246" s="177">
        <f t="shared" si="25"/>
        <v>6.0047658993052426E-74</v>
      </c>
      <c r="F246" s="177">
        <f t="shared" si="26"/>
        <v>4.329889004869205E-17</v>
      </c>
      <c r="J246" s="177">
        <f t="shared" si="28"/>
        <v>0.84876024030950414</v>
      </c>
      <c r="K246" s="177">
        <f t="shared" si="29"/>
        <v>8.8941014147078021E-14</v>
      </c>
      <c r="L246" s="177">
        <f t="shared" si="30"/>
        <v>14.839780519085233</v>
      </c>
      <c r="M246" s="177">
        <f t="shared" si="27"/>
        <v>2.0637086810679382E-15</v>
      </c>
      <c r="N246" s="179">
        <f t="shared" si="31"/>
        <v>14.839780519085235</v>
      </c>
      <c r="O246" s="179">
        <f t="shared" si="32"/>
        <v>39.516376908363064</v>
      </c>
    </row>
    <row r="247" spans="4:15" x14ac:dyDescent="0.25">
      <c r="D247">
        <v>244</v>
      </c>
      <c r="E247" s="177">
        <f t="shared" si="25"/>
        <v>3.0023829496526213E-74</v>
      </c>
      <c r="F247" s="177">
        <f t="shared" si="26"/>
        <v>4.329889004869205E-17</v>
      </c>
      <c r="J247" s="177">
        <f t="shared" si="28"/>
        <v>0.84876024030950414</v>
      </c>
      <c r="K247" s="177">
        <f t="shared" si="29"/>
        <v>8.9307781215725767E-14</v>
      </c>
      <c r="L247" s="177">
        <f t="shared" si="30"/>
        <v>14.839780519085322</v>
      </c>
      <c r="M247" s="177">
        <f t="shared" si="27"/>
        <v>2.0637086810679382E-15</v>
      </c>
      <c r="N247" s="179">
        <f t="shared" si="31"/>
        <v>14.839780519085323</v>
      </c>
      <c r="O247" s="179">
        <f t="shared" si="32"/>
        <v>39.516376908363156</v>
      </c>
    </row>
    <row r="248" spans="4:15" x14ac:dyDescent="0.25">
      <c r="D248">
        <v>245</v>
      </c>
      <c r="E248" s="177">
        <f t="shared" si="25"/>
        <v>1.5011914748263106E-74</v>
      </c>
      <c r="F248" s="177">
        <f t="shared" si="26"/>
        <v>4.329889004869205E-17</v>
      </c>
      <c r="J248" s="177">
        <f t="shared" si="28"/>
        <v>0.84876024030950414</v>
      </c>
      <c r="K248" s="177">
        <f t="shared" si="29"/>
        <v>8.9674548284373514E-14</v>
      </c>
      <c r="L248" s="177">
        <f t="shared" si="30"/>
        <v>14.83978051908541</v>
      </c>
      <c r="M248" s="177">
        <f t="shared" si="27"/>
        <v>2.0637086810679382E-15</v>
      </c>
      <c r="N248" s="179">
        <f t="shared" si="31"/>
        <v>14.839780519085412</v>
      </c>
      <c r="O248" s="179">
        <f t="shared" si="32"/>
        <v>39.516376908363249</v>
      </c>
    </row>
    <row r="249" spans="4:15" x14ac:dyDescent="0.25">
      <c r="D249">
        <v>246</v>
      </c>
      <c r="E249" s="177">
        <f t="shared" si="25"/>
        <v>7.5059573741315532E-75</v>
      </c>
      <c r="F249" s="177">
        <f t="shared" si="26"/>
        <v>4.329889004869205E-17</v>
      </c>
      <c r="J249" s="177">
        <f t="shared" si="28"/>
        <v>0.84876024030950414</v>
      </c>
      <c r="K249" s="177">
        <f t="shared" si="29"/>
        <v>9.004131535302126E-14</v>
      </c>
      <c r="L249" s="177">
        <f t="shared" si="30"/>
        <v>14.839780519085501</v>
      </c>
      <c r="M249" s="177">
        <f t="shared" si="27"/>
        <v>2.0637086810679382E-15</v>
      </c>
      <c r="N249" s="179">
        <f t="shared" si="31"/>
        <v>14.839780519085503</v>
      </c>
      <c r="O249" s="179">
        <f t="shared" si="32"/>
        <v>39.516376908363341</v>
      </c>
    </row>
    <row r="250" spans="4:15" x14ac:dyDescent="0.25">
      <c r="D250">
        <v>247</v>
      </c>
      <c r="E250" s="177">
        <f t="shared" si="25"/>
        <v>3.7529786870657766E-75</v>
      </c>
      <c r="F250" s="177">
        <f t="shared" si="26"/>
        <v>4.329889004869205E-17</v>
      </c>
      <c r="J250" s="177">
        <f t="shared" si="28"/>
        <v>0.84876024030950414</v>
      </c>
      <c r="K250" s="177">
        <f t="shared" si="29"/>
        <v>9.0408082421668994E-14</v>
      </c>
      <c r="L250" s="177">
        <f t="shared" si="30"/>
        <v>14.839780519085592</v>
      </c>
      <c r="M250" s="177">
        <f t="shared" si="27"/>
        <v>2.0637086810679382E-15</v>
      </c>
      <c r="N250" s="179">
        <f t="shared" si="31"/>
        <v>14.839780519085593</v>
      </c>
      <c r="O250" s="179">
        <f t="shared" si="32"/>
        <v>39.516376908363434</v>
      </c>
    </row>
    <row r="251" spans="4:15" x14ac:dyDescent="0.25">
      <c r="D251">
        <v>248</v>
      </c>
      <c r="E251" s="177">
        <f t="shared" si="25"/>
        <v>1.8764893435328883E-75</v>
      </c>
      <c r="F251" s="177">
        <f t="shared" si="26"/>
        <v>4.329889004869205E-17</v>
      </c>
      <c r="J251" s="177">
        <f t="shared" si="28"/>
        <v>0.84876024030950414</v>
      </c>
      <c r="K251" s="177">
        <f t="shared" si="29"/>
        <v>9.0774849490316741E-14</v>
      </c>
      <c r="L251" s="177">
        <f t="shared" si="30"/>
        <v>14.839780519085682</v>
      </c>
      <c r="M251" s="177">
        <f t="shared" si="27"/>
        <v>2.0637086810679382E-15</v>
      </c>
      <c r="N251" s="179">
        <f t="shared" si="31"/>
        <v>14.839780519085684</v>
      </c>
      <c r="O251" s="179">
        <f t="shared" si="32"/>
        <v>39.516376908363526</v>
      </c>
    </row>
    <row r="252" spans="4:15" x14ac:dyDescent="0.25">
      <c r="D252">
        <v>249</v>
      </c>
      <c r="E252" s="177">
        <f t="shared" si="25"/>
        <v>9.3824467176644415E-76</v>
      </c>
      <c r="F252" s="177">
        <f t="shared" si="26"/>
        <v>4.329889004869205E-17</v>
      </c>
      <c r="J252" s="177">
        <f t="shared" si="28"/>
        <v>0.84876024030950414</v>
      </c>
      <c r="K252" s="177">
        <f t="shared" si="29"/>
        <v>9.1141616558964487E-14</v>
      </c>
      <c r="L252" s="177">
        <f t="shared" si="30"/>
        <v>14.839780519085773</v>
      </c>
      <c r="M252" s="177">
        <f t="shared" si="27"/>
        <v>2.0637086810679382E-15</v>
      </c>
      <c r="N252" s="179">
        <f t="shared" si="31"/>
        <v>14.839780519085775</v>
      </c>
      <c r="O252" s="179">
        <f t="shared" si="32"/>
        <v>39.516376908363618</v>
      </c>
    </row>
    <row r="253" spans="4:15" x14ac:dyDescent="0.25">
      <c r="D253">
        <v>250</v>
      </c>
      <c r="E253" s="177">
        <f t="shared" si="25"/>
        <v>4.6912233588322208E-76</v>
      </c>
      <c r="F253" s="177">
        <f t="shared" si="26"/>
        <v>4.329889004869205E-17</v>
      </c>
      <c r="J253" s="177">
        <f t="shared" si="28"/>
        <v>0.84876024030950414</v>
      </c>
      <c r="K253" s="177">
        <f t="shared" si="29"/>
        <v>9.1508383627612234E-14</v>
      </c>
      <c r="L253" s="177">
        <f t="shared" si="30"/>
        <v>14.839780519085865</v>
      </c>
      <c r="M253" s="177">
        <f t="shared" si="27"/>
        <v>2.0637086810679382E-15</v>
      </c>
      <c r="N253" s="179">
        <f t="shared" si="31"/>
        <v>14.839780519085867</v>
      </c>
      <c r="O253" s="179">
        <f t="shared" si="32"/>
        <v>39.516376908363711</v>
      </c>
    </row>
    <row r="254" spans="4:15" x14ac:dyDescent="0.25">
      <c r="D254">
        <v>251</v>
      </c>
      <c r="E254" s="177">
        <f t="shared" si="25"/>
        <v>2.3456116794161104E-76</v>
      </c>
      <c r="F254" s="177">
        <f t="shared" si="26"/>
        <v>4.329889004869205E-17</v>
      </c>
      <c r="J254" s="177">
        <f t="shared" si="28"/>
        <v>0.84876024030950414</v>
      </c>
      <c r="K254" s="177">
        <f t="shared" si="29"/>
        <v>9.187515069625998E-14</v>
      </c>
      <c r="L254" s="177">
        <f t="shared" si="30"/>
        <v>14.839780519085958</v>
      </c>
      <c r="M254" s="177">
        <f t="shared" si="27"/>
        <v>2.0637086810679382E-15</v>
      </c>
      <c r="N254" s="179">
        <f t="shared" si="31"/>
        <v>14.839780519085959</v>
      </c>
      <c r="O254" s="179">
        <f t="shared" si="32"/>
        <v>39.516376908363803</v>
      </c>
    </row>
    <row r="255" spans="4:15" x14ac:dyDescent="0.25">
      <c r="D255">
        <v>252</v>
      </c>
      <c r="E255" s="177">
        <f t="shared" si="25"/>
        <v>1.1728058397080552E-76</v>
      </c>
      <c r="F255" s="177">
        <f t="shared" si="26"/>
        <v>4.329889004869205E-17</v>
      </c>
      <c r="J255" s="177">
        <f t="shared" si="28"/>
        <v>0.84876024030950414</v>
      </c>
      <c r="K255" s="177">
        <f t="shared" si="29"/>
        <v>9.2241917764907726E-14</v>
      </c>
      <c r="L255" s="177">
        <f t="shared" si="30"/>
        <v>14.83978051908605</v>
      </c>
      <c r="M255" s="177">
        <f t="shared" si="27"/>
        <v>2.0637086810679382E-15</v>
      </c>
      <c r="N255" s="179">
        <f t="shared" si="31"/>
        <v>14.839780519086052</v>
      </c>
      <c r="O255" s="179">
        <f t="shared" si="32"/>
        <v>39.516376908363895</v>
      </c>
    </row>
    <row r="256" spans="4:15" x14ac:dyDescent="0.25">
      <c r="D256">
        <v>253</v>
      </c>
      <c r="E256" s="177">
        <f t="shared" si="25"/>
        <v>5.864029198540276E-77</v>
      </c>
      <c r="F256" s="177">
        <f t="shared" si="26"/>
        <v>4.329889004869205E-17</v>
      </c>
      <c r="J256" s="177">
        <f t="shared" si="28"/>
        <v>0.84876024030950414</v>
      </c>
      <c r="K256" s="177">
        <f t="shared" si="29"/>
        <v>9.2608684833555473E-14</v>
      </c>
      <c r="L256" s="177">
        <f t="shared" si="30"/>
        <v>14.839780519086142</v>
      </c>
      <c r="M256" s="177">
        <f t="shared" si="27"/>
        <v>2.0637086810679382E-15</v>
      </c>
      <c r="N256" s="179">
        <f t="shared" si="31"/>
        <v>14.839780519086144</v>
      </c>
      <c r="O256" s="179">
        <f t="shared" si="32"/>
        <v>39.516376908363988</v>
      </c>
    </row>
    <row r="257" spans="4:15" x14ac:dyDescent="0.25">
      <c r="D257">
        <v>254</v>
      </c>
      <c r="E257" s="177">
        <f t="shared" si="25"/>
        <v>2.932014599270138E-77</v>
      </c>
      <c r="F257" s="177">
        <f t="shared" si="26"/>
        <v>4.329889004869205E-17</v>
      </c>
      <c r="J257" s="177">
        <f t="shared" si="28"/>
        <v>0.84876024030950414</v>
      </c>
      <c r="K257" s="177">
        <f t="shared" si="29"/>
        <v>9.2975451902203219E-14</v>
      </c>
      <c r="L257" s="177">
        <f t="shared" si="30"/>
        <v>14.839780519086235</v>
      </c>
      <c r="M257" s="177">
        <f t="shared" si="27"/>
        <v>2.0637086810679382E-15</v>
      </c>
      <c r="N257" s="179">
        <f t="shared" si="31"/>
        <v>14.839780519086236</v>
      </c>
      <c r="O257" s="179">
        <f t="shared" si="32"/>
        <v>39.51637690836408</v>
      </c>
    </row>
    <row r="258" spans="4:15" x14ac:dyDescent="0.25">
      <c r="D258">
        <v>255</v>
      </c>
      <c r="E258" s="177">
        <f t="shared" si="25"/>
        <v>1.466007299635069E-77</v>
      </c>
      <c r="F258" s="177">
        <f t="shared" si="26"/>
        <v>4.329889004869205E-17</v>
      </c>
      <c r="J258" s="177">
        <f t="shared" si="28"/>
        <v>0.84876024030950414</v>
      </c>
      <c r="K258" s="177">
        <f t="shared" si="29"/>
        <v>9.3342218970850966E-14</v>
      </c>
      <c r="L258" s="177">
        <f t="shared" si="30"/>
        <v>14.839780519086329</v>
      </c>
      <c r="M258" s="177">
        <f t="shared" si="27"/>
        <v>2.0637086810679382E-15</v>
      </c>
      <c r="N258" s="179">
        <f t="shared" si="31"/>
        <v>14.839780519086331</v>
      </c>
      <c r="O258" s="179">
        <f t="shared" si="32"/>
        <v>39.516376908364172</v>
      </c>
    </row>
    <row r="259" spans="4:15" x14ac:dyDescent="0.25">
      <c r="D259">
        <v>256</v>
      </c>
      <c r="E259" s="177">
        <f t="shared" si="25"/>
        <v>7.330036498175345E-78</v>
      </c>
      <c r="F259" s="177">
        <f t="shared" si="26"/>
        <v>4.329889004869205E-17</v>
      </c>
      <c r="J259" s="177">
        <f t="shared" si="28"/>
        <v>0.84876024030950414</v>
      </c>
      <c r="K259" s="177">
        <f t="shared" si="29"/>
        <v>9.3708986039498712E-14</v>
      </c>
      <c r="L259" s="177">
        <f t="shared" si="30"/>
        <v>14.839780519086423</v>
      </c>
      <c r="M259" s="177">
        <f t="shared" si="27"/>
        <v>2.0637086810679382E-15</v>
      </c>
      <c r="N259" s="179">
        <f t="shared" si="31"/>
        <v>14.839780519086425</v>
      </c>
      <c r="O259" s="179">
        <f t="shared" si="32"/>
        <v>39.516376908364265</v>
      </c>
    </row>
    <row r="260" spans="4:15" x14ac:dyDescent="0.25">
      <c r="D260">
        <v>257</v>
      </c>
      <c r="E260" s="177">
        <f t="shared" ref="E260:E323" si="33">$B$10*$B$11*(1-$B$11)^(D260-1)</f>
        <v>3.6650182490876725E-78</v>
      </c>
      <c r="F260" s="177">
        <f t="shared" ref="F260:F328" si="34">($B$10-J259)*(2*$B$9*(1-$B$9)*$B$11+($B$9^2)*($B$11^2))/$B$10</f>
        <v>4.329889004869205E-17</v>
      </c>
      <c r="J260" s="177">
        <f t="shared" si="28"/>
        <v>0.84876024030950414</v>
      </c>
      <c r="K260" s="177">
        <f t="shared" si="29"/>
        <v>9.4075753108146433E-14</v>
      </c>
      <c r="L260" s="177">
        <f t="shared" si="30"/>
        <v>14.839780519086517</v>
      </c>
      <c r="M260" s="177">
        <f t="shared" ref="M260:M328" si="35">($B$10-J260)*$B$12</f>
        <v>2.0637086810679382E-15</v>
      </c>
      <c r="N260" s="179">
        <f t="shared" si="31"/>
        <v>14.839780519086519</v>
      </c>
      <c r="O260" s="179">
        <f t="shared" si="32"/>
        <v>39.516376908364357</v>
      </c>
    </row>
    <row r="261" spans="4:15" x14ac:dyDescent="0.25">
      <c r="D261">
        <v>258</v>
      </c>
      <c r="E261" s="177">
        <f t="shared" si="33"/>
        <v>1.8325091245438362E-78</v>
      </c>
      <c r="F261" s="177">
        <f t="shared" si="34"/>
        <v>4.329889004869205E-17</v>
      </c>
      <c r="J261" s="177">
        <f t="shared" ref="J261:J324" si="36">J260+F261</f>
        <v>0.84876024030950414</v>
      </c>
      <c r="K261" s="177">
        <f t="shared" ref="K261:K324" si="37">$B$8*(D261-0.5)*F261</f>
        <v>9.444252017679418E-14</v>
      </c>
      <c r="L261" s="177">
        <f t="shared" ref="L261:L324" si="38">L260+K261</f>
        <v>14.839780519086611</v>
      </c>
      <c r="M261" s="177">
        <f t="shared" si="35"/>
        <v>2.0637086810679382E-15</v>
      </c>
      <c r="N261" s="179">
        <f t="shared" ref="N261:N324" si="39">M261+L261</f>
        <v>14.839780519086613</v>
      </c>
      <c r="O261" s="179">
        <f t="shared" ref="O261:O324" si="40">O260+K261+M261</f>
        <v>39.51637690836445</v>
      </c>
    </row>
    <row r="262" spans="4:15" x14ac:dyDescent="0.25">
      <c r="D262">
        <v>259</v>
      </c>
      <c r="E262" s="177">
        <f t="shared" si="33"/>
        <v>9.1625456227191812E-79</v>
      </c>
      <c r="F262" s="177">
        <f t="shared" si="34"/>
        <v>4.329889004869205E-17</v>
      </c>
      <c r="J262" s="177">
        <f t="shared" si="36"/>
        <v>0.84876024030950414</v>
      </c>
      <c r="K262" s="177">
        <f t="shared" si="37"/>
        <v>9.4809287245441926E-14</v>
      </c>
      <c r="L262" s="177">
        <f t="shared" si="38"/>
        <v>14.839780519086705</v>
      </c>
      <c r="M262" s="177">
        <f t="shared" si="35"/>
        <v>2.0637086810679382E-15</v>
      </c>
      <c r="N262" s="179">
        <f t="shared" si="39"/>
        <v>14.839780519086707</v>
      </c>
      <c r="O262" s="179">
        <f t="shared" si="40"/>
        <v>39.516376908364542</v>
      </c>
    </row>
    <row r="263" spans="4:15" x14ac:dyDescent="0.25">
      <c r="D263">
        <v>260</v>
      </c>
      <c r="E263" s="177">
        <f t="shared" si="33"/>
        <v>4.5812728113595906E-79</v>
      </c>
      <c r="F263" s="177">
        <f t="shared" si="34"/>
        <v>4.329889004869205E-17</v>
      </c>
      <c r="J263" s="177">
        <f t="shared" si="36"/>
        <v>0.84876024030950414</v>
      </c>
      <c r="K263" s="177">
        <f t="shared" si="37"/>
        <v>9.5176054314089673E-14</v>
      </c>
      <c r="L263" s="177">
        <f t="shared" si="38"/>
        <v>14.839780519086801</v>
      </c>
      <c r="M263" s="177">
        <f t="shared" si="35"/>
        <v>2.0637086810679382E-15</v>
      </c>
      <c r="N263" s="179">
        <f t="shared" si="39"/>
        <v>14.839780519086803</v>
      </c>
      <c r="O263" s="179">
        <f t="shared" si="40"/>
        <v>39.516376908364634</v>
      </c>
    </row>
    <row r="264" spans="4:15" x14ac:dyDescent="0.25">
      <c r="D264">
        <v>261</v>
      </c>
      <c r="E264" s="177">
        <f t="shared" si="33"/>
        <v>2.2906364056797953E-79</v>
      </c>
      <c r="F264" s="177">
        <f t="shared" si="34"/>
        <v>4.329889004869205E-17</v>
      </c>
      <c r="J264" s="177">
        <f t="shared" si="36"/>
        <v>0.84876024030950414</v>
      </c>
      <c r="K264" s="177">
        <f t="shared" si="37"/>
        <v>9.5542821382737419E-14</v>
      </c>
      <c r="L264" s="177">
        <f t="shared" si="38"/>
        <v>14.839780519086897</v>
      </c>
      <c r="M264" s="177">
        <f t="shared" si="35"/>
        <v>2.0637086810679382E-15</v>
      </c>
      <c r="N264" s="179">
        <f t="shared" si="39"/>
        <v>14.839780519086899</v>
      </c>
      <c r="O264" s="179">
        <f t="shared" si="40"/>
        <v>39.516376908364727</v>
      </c>
    </row>
    <row r="265" spans="4:15" x14ac:dyDescent="0.25">
      <c r="D265">
        <v>262</v>
      </c>
      <c r="E265" s="177">
        <f t="shared" si="33"/>
        <v>1.1453182028398976E-79</v>
      </c>
      <c r="F265" s="177">
        <f t="shared" si="34"/>
        <v>4.329889004869205E-17</v>
      </c>
      <c r="J265" s="177">
        <f t="shared" si="36"/>
        <v>0.84876024030950414</v>
      </c>
      <c r="K265" s="177">
        <f t="shared" si="37"/>
        <v>9.5909588451385166E-14</v>
      </c>
      <c r="L265" s="177">
        <f t="shared" si="38"/>
        <v>14.839780519086993</v>
      </c>
      <c r="M265" s="177">
        <f t="shared" si="35"/>
        <v>2.0637086810679382E-15</v>
      </c>
      <c r="N265" s="179">
        <f t="shared" si="39"/>
        <v>14.839780519086995</v>
      </c>
      <c r="O265" s="179">
        <f t="shared" si="40"/>
        <v>39.516376908364819</v>
      </c>
    </row>
    <row r="266" spans="4:15" x14ac:dyDescent="0.25">
      <c r="D266">
        <v>263</v>
      </c>
      <c r="E266" s="177">
        <f t="shared" si="33"/>
        <v>5.7265910141994882E-80</v>
      </c>
      <c r="F266" s="177">
        <f t="shared" si="34"/>
        <v>4.329889004869205E-17</v>
      </c>
      <c r="J266" s="177">
        <f t="shared" si="36"/>
        <v>0.84876024030950414</v>
      </c>
      <c r="K266" s="177">
        <f t="shared" si="37"/>
        <v>9.6276355520032912E-14</v>
      </c>
      <c r="L266" s="177">
        <f t="shared" si="38"/>
        <v>14.839780519087089</v>
      </c>
      <c r="M266" s="177">
        <f t="shared" si="35"/>
        <v>2.0637086810679382E-15</v>
      </c>
      <c r="N266" s="179">
        <f t="shared" si="39"/>
        <v>14.839780519087091</v>
      </c>
      <c r="O266" s="179">
        <f t="shared" si="40"/>
        <v>39.516376908364919</v>
      </c>
    </row>
    <row r="267" spans="4:15" x14ac:dyDescent="0.25">
      <c r="D267">
        <v>264</v>
      </c>
      <c r="E267" s="177">
        <f t="shared" si="33"/>
        <v>2.8632955070997441E-80</v>
      </c>
      <c r="F267" s="177">
        <f t="shared" si="34"/>
        <v>4.329889004869205E-17</v>
      </c>
      <c r="J267" s="177">
        <f t="shared" si="36"/>
        <v>0.84876024030950414</v>
      </c>
      <c r="K267" s="177">
        <f t="shared" si="37"/>
        <v>9.6643122588680659E-14</v>
      </c>
      <c r="L267" s="177">
        <f t="shared" si="38"/>
        <v>14.839780519087185</v>
      </c>
      <c r="M267" s="177">
        <f t="shared" si="35"/>
        <v>2.0637086810679382E-15</v>
      </c>
      <c r="N267" s="179">
        <f t="shared" si="39"/>
        <v>14.839780519087187</v>
      </c>
      <c r="O267" s="179">
        <f t="shared" si="40"/>
        <v>39.516376908365018</v>
      </c>
    </row>
    <row r="268" spans="4:15" x14ac:dyDescent="0.25">
      <c r="D268">
        <v>265</v>
      </c>
      <c r="E268" s="177">
        <f t="shared" si="33"/>
        <v>1.4316477535498721E-80</v>
      </c>
      <c r="F268" s="177">
        <f t="shared" si="34"/>
        <v>4.329889004869205E-17</v>
      </c>
      <c r="J268" s="177">
        <f t="shared" si="36"/>
        <v>0.84876024030950414</v>
      </c>
      <c r="K268" s="177">
        <f t="shared" si="37"/>
        <v>9.7009889657328405E-14</v>
      </c>
      <c r="L268" s="177">
        <f t="shared" si="38"/>
        <v>14.839780519087283</v>
      </c>
      <c r="M268" s="177">
        <f t="shared" si="35"/>
        <v>2.0637086810679382E-15</v>
      </c>
      <c r="N268" s="179">
        <f t="shared" si="39"/>
        <v>14.839780519087284</v>
      </c>
      <c r="O268" s="179">
        <f t="shared" si="40"/>
        <v>39.516376908365118</v>
      </c>
    </row>
    <row r="269" spans="4:15" x14ac:dyDescent="0.25">
      <c r="D269">
        <v>266</v>
      </c>
      <c r="E269" s="177">
        <f t="shared" si="33"/>
        <v>7.1582387677493603E-81</v>
      </c>
      <c r="F269" s="177">
        <f t="shared" si="34"/>
        <v>4.329889004869205E-17</v>
      </c>
      <c r="J269" s="177">
        <f t="shared" si="36"/>
        <v>0.84876024030950414</v>
      </c>
      <c r="K269" s="177">
        <f t="shared" si="37"/>
        <v>9.7376656725976151E-14</v>
      </c>
      <c r="L269" s="177">
        <f t="shared" si="38"/>
        <v>14.83978051908738</v>
      </c>
      <c r="M269" s="177">
        <f t="shared" si="35"/>
        <v>2.0637086810679382E-15</v>
      </c>
      <c r="N269" s="179">
        <f t="shared" si="39"/>
        <v>14.839780519087382</v>
      </c>
      <c r="O269" s="179">
        <f t="shared" si="40"/>
        <v>39.516376908365217</v>
      </c>
    </row>
    <row r="270" spans="4:15" x14ac:dyDescent="0.25">
      <c r="D270">
        <v>267</v>
      </c>
      <c r="E270" s="177">
        <f t="shared" si="33"/>
        <v>3.5791193838746802E-81</v>
      </c>
      <c r="F270" s="177">
        <f t="shared" si="34"/>
        <v>4.329889004869205E-17</v>
      </c>
      <c r="J270" s="177">
        <f t="shared" si="36"/>
        <v>0.84876024030950414</v>
      </c>
      <c r="K270" s="177">
        <f t="shared" si="37"/>
        <v>9.7743423794623898E-14</v>
      </c>
      <c r="L270" s="177">
        <f t="shared" si="38"/>
        <v>14.839780519087478</v>
      </c>
      <c r="M270" s="177">
        <f t="shared" si="35"/>
        <v>2.0637086810679382E-15</v>
      </c>
      <c r="N270" s="179">
        <f t="shared" si="39"/>
        <v>14.83978051908748</v>
      </c>
      <c r="O270" s="179">
        <f t="shared" si="40"/>
        <v>39.516376908365316</v>
      </c>
    </row>
    <row r="271" spans="4:15" x14ac:dyDescent="0.25">
      <c r="D271">
        <v>268</v>
      </c>
      <c r="E271" s="177">
        <f t="shared" si="33"/>
        <v>1.7895596919373401E-81</v>
      </c>
      <c r="F271" s="177">
        <f t="shared" si="34"/>
        <v>4.329889004869205E-17</v>
      </c>
      <c r="J271" s="177">
        <f t="shared" si="36"/>
        <v>0.84876024030950414</v>
      </c>
      <c r="K271" s="177">
        <f t="shared" si="37"/>
        <v>9.8110190863271632E-14</v>
      </c>
      <c r="L271" s="177">
        <f t="shared" si="38"/>
        <v>14.839780519087576</v>
      </c>
      <c r="M271" s="177">
        <f t="shared" si="35"/>
        <v>2.0637086810679382E-15</v>
      </c>
      <c r="N271" s="179">
        <f t="shared" si="39"/>
        <v>14.839780519087578</v>
      </c>
      <c r="O271" s="179">
        <f t="shared" si="40"/>
        <v>39.516376908365416</v>
      </c>
    </row>
    <row r="272" spans="4:15" x14ac:dyDescent="0.25">
      <c r="D272">
        <v>269</v>
      </c>
      <c r="E272" s="177">
        <f t="shared" si="33"/>
        <v>8.9477984596867004E-82</v>
      </c>
      <c r="F272" s="177">
        <f t="shared" si="34"/>
        <v>4.329889004869205E-17</v>
      </c>
      <c r="J272" s="177">
        <f t="shared" si="36"/>
        <v>0.84876024030950414</v>
      </c>
      <c r="K272" s="177">
        <f t="shared" si="37"/>
        <v>9.8476957931919378E-14</v>
      </c>
      <c r="L272" s="177">
        <f t="shared" si="38"/>
        <v>14.839780519087673</v>
      </c>
      <c r="M272" s="177">
        <f t="shared" si="35"/>
        <v>2.0637086810679382E-15</v>
      </c>
      <c r="N272" s="179">
        <f t="shared" si="39"/>
        <v>14.839780519087675</v>
      </c>
      <c r="O272" s="179">
        <f t="shared" si="40"/>
        <v>39.516376908365515</v>
      </c>
    </row>
    <row r="273" spans="4:15" x14ac:dyDescent="0.25">
      <c r="D273">
        <v>270</v>
      </c>
      <c r="E273" s="177">
        <f t="shared" si="33"/>
        <v>4.4738992298433502E-82</v>
      </c>
      <c r="F273" s="177">
        <f t="shared" si="34"/>
        <v>4.329889004869205E-17</v>
      </c>
      <c r="J273" s="177">
        <f t="shared" si="36"/>
        <v>0.84876024030950414</v>
      </c>
      <c r="K273" s="177">
        <f t="shared" si="37"/>
        <v>9.8843725000567125E-14</v>
      </c>
      <c r="L273" s="177">
        <f t="shared" si="38"/>
        <v>14.839780519087773</v>
      </c>
      <c r="M273" s="177">
        <f t="shared" si="35"/>
        <v>2.0637086810679382E-15</v>
      </c>
      <c r="N273" s="179">
        <f t="shared" si="39"/>
        <v>14.839780519087775</v>
      </c>
      <c r="O273" s="179">
        <f t="shared" si="40"/>
        <v>39.516376908365615</v>
      </c>
    </row>
    <row r="274" spans="4:15" x14ac:dyDescent="0.25">
      <c r="D274">
        <v>271</v>
      </c>
      <c r="E274" s="177">
        <f t="shared" si="33"/>
        <v>2.2369496149216751E-82</v>
      </c>
      <c r="F274" s="177">
        <f t="shared" si="34"/>
        <v>4.329889004869205E-17</v>
      </c>
      <c r="J274" s="177">
        <f t="shared" si="36"/>
        <v>0.84876024030950414</v>
      </c>
      <c r="K274" s="177">
        <f t="shared" si="37"/>
        <v>9.9210492069214871E-14</v>
      </c>
      <c r="L274" s="177">
        <f t="shared" si="38"/>
        <v>14.839780519087872</v>
      </c>
      <c r="M274" s="177">
        <f t="shared" si="35"/>
        <v>2.0637086810679382E-15</v>
      </c>
      <c r="N274" s="179">
        <f t="shared" si="39"/>
        <v>14.839780519087874</v>
      </c>
      <c r="O274" s="179">
        <f t="shared" si="40"/>
        <v>39.516376908365714</v>
      </c>
    </row>
    <row r="275" spans="4:15" x14ac:dyDescent="0.25">
      <c r="D275">
        <v>272</v>
      </c>
      <c r="E275" s="177">
        <f t="shared" si="33"/>
        <v>1.1184748074608375E-82</v>
      </c>
      <c r="F275" s="177">
        <f t="shared" si="34"/>
        <v>4.329889004869205E-17</v>
      </c>
      <c r="J275" s="177">
        <f t="shared" si="36"/>
        <v>0.84876024030950414</v>
      </c>
      <c r="K275" s="177">
        <f t="shared" si="37"/>
        <v>9.9577259137862617E-14</v>
      </c>
      <c r="L275" s="177">
        <f t="shared" si="38"/>
        <v>14.839780519087972</v>
      </c>
      <c r="M275" s="177">
        <f t="shared" si="35"/>
        <v>2.0637086810679382E-15</v>
      </c>
      <c r="N275" s="179">
        <f t="shared" si="39"/>
        <v>14.839780519087974</v>
      </c>
      <c r="O275" s="179">
        <f t="shared" si="40"/>
        <v>39.516376908365814</v>
      </c>
    </row>
    <row r="276" spans="4:15" x14ac:dyDescent="0.25">
      <c r="D276">
        <v>273</v>
      </c>
      <c r="E276" s="177">
        <f t="shared" si="33"/>
        <v>5.5923740373041877E-83</v>
      </c>
      <c r="F276" s="177">
        <f t="shared" si="34"/>
        <v>4.329889004869205E-17</v>
      </c>
      <c r="J276" s="177">
        <f t="shared" si="36"/>
        <v>0.84876024030950414</v>
      </c>
      <c r="K276" s="177">
        <f t="shared" si="37"/>
        <v>9.9944026206510364E-14</v>
      </c>
      <c r="L276" s="177">
        <f t="shared" si="38"/>
        <v>14.839780519088071</v>
      </c>
      <c r="M276" s="177">
        <f t="shared" si="35"/>
        <v>2.0637086810679382E-15</v>
      </c>
      <c r="N276" s="179">
        <f t="shared" si="39"/>
        <v>14.839780519088073</v>
      </c>
      <c r="O276" s="179">
        <f t="shared" si="40"/>
        <v>39.516376908365913</v>
      </c>
    </row>
    <row r="277" spans="4:15" x14ac:dyDescent="0.25">
      <c r="D277">
        <v>274</v>
      </c>
      <c r="E277" s="177">
        <f t="shared" si="33"/>
        <v>2.7961870186520939E-83</v>
      </c>
      <c r="F277" s="177">
        <f t="shared" si="34"/>
        <v>4.329889004869205E-17</v>
      </c>
      <c r="J277" s="177">
        <f t="shared" si="36"/>
        <v>0.84876024030950414</v>
      </c>
      <c r="K277" s="177">
        <f t="shared" si="37"/>
        <v>1.0031079327515809E-13</v>
      </c>
      <c r="L277" s="177">
        <f t="shared" si="38"/>
        <v>14.839780519088171</v>
      </c>
      <c r="M277" s="177">
        <f t="shared" si="35"/>
        <v>2.0637086810679382E-15</v>
      </c>
      <c r="N277" s="179">
        <f t="shared" si="39"/>
        <v>14.839780519088173</v>
      </c>
      <c r="O277" s="179">
        <f t="shared" si="40"/>
        <v>39.516376908366013</v>
      </c>
    </row>
    <row r="278" spans="4:15" x14ac:dyDescent="0.25">
      <c r="D278">
        <v>275</v>
      </c>
      <c r="E278" s="177">
        <f t="shared" si="33"/>
        <v>1.3980935093260469E-83</v>
      </c>
      <c r="F278" s="177">
        <f t="shared" si="34"/>
        <v>4.329889004869205E-17</v>
      </c>
      <c r="J278" s="177">
        <f t="shared" si="36"/>
        <v>0.84876024030950414</v>
      </c>
      <c r="K278" s="177">
        <f t="shared" si="37"/>
        <v>1.0067756034380583E-13</v>
      </c>
      <c r="L278" s="177">
        <f t="shared" si="38"/>
        <v>14.839780519088272</v>
      </c>
      <c r="M278" s="177">
        <f t="shared" si="35"/>
        <v>2.0637086810679382E-15</v>
      </c>
      <c r="N278" s="179">
        <f t="shared" si="39"/>
        <v>14.839780519088274</v>
      </c>
      <c r="O278" s="179">
        <f t="shared" si="40"/>
        <v>39.516376908366112</v>
      </c>
    </row>
    <row r="279" spans="4:15" x14ac:dyDescent="0.25">
      <c r="D279">
        <v>276</v>
      </c>
      <c r="E279" s="177">
        <f t="shared" si="33"/>
        <v>6.9904675466302347E-84</v>
      </c>
      <c r="F279" s="177">
        <f t="shared" si="34"/>
        <v>4.329889004869205E-17</v>
      </c>
      <c r="J279" s="177">
        <f t="shared" si="36"/>
        <v>0.84876024030950414</v>
      </c>
      <c r="K279" s="177">
        <f t="shared" si="37"/>
        <v>1.0104432741245358E-13</v>
      </c>
      <c r="L279" s="177">
        <f t="shared" si="38"/>
        <v>14.839780519088373</v>
      </c>
      <c r="M279" s="177">
        <f t="shared" si="35"/>
        <v>2.0637086810679382E-15</v>
      </c>
      <c r="N279" s="179">
        <f t="shared" si="39"/>
        <v>14.839780519088375</v>
      </c>
      <c r="O279" s="179">
        <f t="shared" si="40"/>
        <v>39.516376908366212</v>
      </c>
    </row>
    <row r="280" spans="4:15" x14ac:dyDescent="0.25">
      <c r="D280">
        <v>277</v>
      </c>
      <c r="E280" s="177">
        <f t="shared" si="33"/>
        <v>3.4952337733151173E-84</v>
      </c>
      <c r="F280" s="177">
        <f t="shared" si="34"/>
        <v>4.329889004869205E-17</v>
      </c>
      <c r="J280" s="177">
        <f t="shared" si="36"/>
        <v>0.84876024030950414</v>
      </c>
      <c r="K280" s="177">
        <f t="shared" si="37"/>
        <v>1.0141109448110132E-13</v>
      </c>
      <c r="L280" s="177">
        <f t="shared" si="38"/>
        <v>14.839780519088475</v>
      </c>
      <c r="M280" s="177">
        <f t="shared" si="35"/>
        <v>2.0637086810679382E-15</v>
      </c>
      <c r="N280" s="179">
        <f t="shared" si="39"/>
        <v>14.839780519088476</v>
      </c>
      <c r="O280" s="179">
        <f t="shared" si="40"/>
        <v>39.516376908366311</v>
      </c>
    </row>
    <row r="281" spans="4:15" x14ac:dyDescent="0.25">
      <c r="D281">
        <v>278</v>
      </c>
      <c r="E281" s="177">
        <f t="shared" si="33"/>
        <v>1.7476168866575587E-84</v>
      </c>
      <c r="F281" s="177">
        <f t="shared" si="34"/>
        <v>4.329889004869205E-17</v>
      </c>
      <c r="J281" s="177">
        <f t="shared" si="36"/>
        <v>0.84876024030950414</v>
      </c>
      <c r="K281" s="177">
        <f t="shared" si="37"/>
        <v>1.0177786154974907E-13</v>
      </c>
      <c r="L281" s="177">
        <f t="shared" si="38"/>
        <v>14.839780519088576</v>
      </c>
      <c r="M281" s="177">
        <f t="shared" si="35"/>
        <v>2.0637086810679382E-15</v>
      </c>
      <c r="N281" s="179">
        <f t="shared" si="39"/>
        <v>14.839780519088578</v>
      </c>
      <c r="O281" s="179">
        <f t="shared" si="40"/>
        <v>39.516376908366411</v>
      </c>
    </row>
    <row r="282" spans="4:15" x14ac:dyDescent="0.25">
      <c r="D282">
        <v>279</v>
      </c>
      <c r="E282" s="177">
        <f t="shared" si="33"/>
        <v>8.7380844332877933E-85</v>
      </c>
      <c r="F282" s="177">
        <f t="shared" si="34"/>
        <v>4.329889004869205E-17</v>
      </c>
      <c r="J282" s="177">
        <f t="shared" si="36"/>
        <v>0.84876024030950414</v>
      </c>
      <c r="K282" s="177">
        <f t="shared" si="37"/>
        <v>1.0214462861839682E-13</v>
      </c>
      <c r="L282" s="177">
        <f t="shared" si="38"/>
        <v>14.839780519088679</v>
      </c>
      <c r="M282" s="177">
        <f t="shared" si="35"/>
        <v>2.0637086810679382E-15</v>
      </c>
      <c r="N282" s="179">
        <f t="shared" si="39"/>
        <v>14.839780519088681</v>
      </c>
      <c r="O282" s="179">
        <f t="shared" si="40"/>
        <v>39.51637690836651</v>
      </c>
    </row>
    <row r="283" spans="4:15" x14ac:dyDescent="0.25">
      <c r="D283">
        <v>280</v>
      </c>
      <c r="E283" s="177">
        <f t="shared" si="33"/>
        <v>4.3690422166438967E-85</v>
      </c>
      <c r="F283" s="177">
        <f t="shared" si="34"/>
        <v>4.329889004869205E-17</v>
      </c>
      <c r="J283" s="177">
        <f t="shared" si="36"/>
        <v>0.84876024030950414</v>
      </c>
      <c r="K283" s="177">
        <f t="shared" si="37"/>
        <v>1.0251139568704456E-13</v>
      </c>
      <c r="L283" s="177">
        <f t="shared" si="38"/>
        <v>14.839780519088782</v>
      </c>
      <c r="M283" s="177">
        <f t="shared" si="35"/>
        <v>2.0637086810679382E-15</v>
      </c>
      <c r="N283" s="179">
        <f t="shared" si="39"/>
        <v>14.839780519088784</v>
      </c>
      <c r="O283" s="179">
        <f t="shared" si="40"/>
        <v>39.51637690836661</v>
      </c>
    </row>
    <row r="284" spans="4:15" x14ac:dyDescent="0.25">
      <c r="D284">
        <v>281</v>
      </c>
      <c r="E284" s="177">
        <f t="shared" si="33"/>
        <v>2.1845211083219483E-85</v>
      </c>
      <c r="F284" s="177">
        <f t="shared" si="34"/>
        <v>4.329889004869205E-17</v>
      </c>
      <c r="J284" s="177">
        <f t="shared" si="36"/>
        <v>0.84876024030950414</v>
      </c>
      <c r="K284" s="177">
        <f t="shared" si="37"/>
        <v>1.0287816275569231E-13</v>
      </c>
      <c r="L284" s="177">
        <f t="shared" si="38"/>
        <v>14.839780519088885</v>
      </c>
      <c r="M284" s="177">
        <f t="shared" si="35"/>
        <v>2.0637086810679382E-15</v>
      </c>
      <c r="N284" s="179">
        <f t="shared" si="39"/>
        <v>14.839780519088887</v>
      </c>
      <c r="O284" s="179">
        <f t="shared" si="40"/>
        <v>39.516376908366709</v>
      </c>
    </row>
    <row r="285" spans="4:15" x14ac:dyDescent="0.25">
      <c r="D285">
        <v>282</v>
      </c>
      <c r="E285" s="177">
        <f t="shared" si="33"/>
        <v>1.0922605541609742E-85</v>
      </c>
      <c r="F285" s="177">
        <f t="shared" si="34"/>
        <v>4.329889004869205E-17</v>
      </c>
      <c r="J285" s="177">
        <f t="shared" si="36"/>
        <v>0.84876024030950414</v>
      </c>
      <c r="K285" s="177">
        <f t="shared" si="37"/>
        <v>1.0324492982434006E-13</v>
      </c>
      <c r="L285" s="177">
        <f t="shared" si="38"/>
        <v>14.839780519088988</v>
      </c>
      <c r="M285" s="177">
        <f t="shared" si="35"/>
        <v>2.0637086810679382E-15</v>
      </c>
      <c r="N285" s="179">
        <f t="shared" si="39"/>
        <v>14.83978051908899</v>
      </c>
      <c r="O285" s="179">
        <f t="shared" si="40"/>
        <v>39.516376908366816</v>
      </c>
    </row>
    <row r="286" spans="4:15" x14ac:dyDescent="0.25">
      <c r="D286">
        <v>283</v>
      </c>
      <c r="E286" s="177">
        <f t="shared" si="33"/>
        <v>5.4613027708048708E-86</v>
      </c>
      <c r="F286" s="177">
        <f t="shared" si="34"/>
        <v>4.329889004869205E-17</v>
      </c>
      <c r="J286" s="177">
        <f t="shared" si="36"/>
        <v>0.84876024030950414</v>
      </c>
      <c r="K286" s="177">
        <f t="shared" si="37"/>
        <v>1.036116968929878E-13</v>
      </c>
      <c r="L286" s="177">
        <f t="shared" si="38"/>
        <v>14.839780519089091</v>
      </c>
      <c r="M286" s="177">
        <f t="shared" si="35"/>
        <v>2.0637086810679382E-15</v>
      </c>
      <c r="N286" s="179">
        <f t="shared" si="39"/>
        <v>14.839780519089093</v>
      </c>
      <c r="O286" s="179">
        <f t="shared" si="40"/>
        <v>39.516376908366922</v>
      </c>
    </row>
    <row r="287" spans="4:15" x14ac:dyDescent="0.25">
      <c r="D287">
        <v>284</v>
      </c>
      <c r="E287" s="177">
        <f t="shared" si="33"/>
        <v>2.7306513854024354E-86</v>
      </c>
      <c r="F287" s="177">
        <f t="shared" si="34"/>
        <v>4.329889004869205E-17</v>
      </c>
      <c r="J287" s="177">
        <f t="shared" si="36"/>
        <v>0.84876024030950414</v>
      </c>
      <c r="K287" s="177">
        <f t="shared" si="37"/>
        <v>1.0397846396163555E-13</v>
      </c>
      <c r="L287" s="177">
        <f t="shared" si="38"/>
        <v>14.839780519089196</v>
      </c>
      <c r="M287" s="177">
        <f t="shared" si="35"/>
        <v>2.0637086810679382E-15</v>
      </c>
      <c r="N287" s="179">
        <f t="shared" si="39"/>
        <v>14.839780519089198</v>
      </c>
      <c r="O287" s="179">
        <f t="shared" si="40"/>
        <v>39.516376908367029</v>
      </c>
    </row>
    <row r="288" spans="4:15" x14ac:dyDescent="0.25">
      <c r="D288">
        <v>285</v>
      </c>
      <c r="E288" s="177">
        <f t="shared" si="33"/>
        <v>1.3653256927012177E-86</v>
      </c>
      <c r="F288" s="177">
        <f t="shared" si="34"/>
        <v>4.329889004869205E-17</v>
      </c>
      <c r="J288" s="177">
        <f t="shared" si="36"/>
        <v>0.84876024030950414</v>
      </c>
      <c r="K288" s="177">
        <f t="shared" si="37"/>
        <v>1.043452310302833E-13</v>
      </c>
      <c r="L288" s="177">
        <f t="shared" si="38"/>
        <v>14.839780519089301</v>
      </c>
      <c r="M288" s="177">
        <f t="shared" si="35"/>
        <v>2.0637086810679382E-15</v>
      </c>
      <c r="N288" s="179">
        <f t="shared" si="39"/>
        <v>14.839780519089302</v>
      </c>
      <c r="O288" s="179">
        <f t="shared" si="40"/>
        <v>39.516376908367135</v>
      </c>
    </row>
    <row r="289" spans="4:15" x14ac:dyDescent="0.25">
      <c r="D289">
        <v>286</v>
      </c>
      <c r="E289" s="177">
        <f t="shared" si="33"/>
        <v>6.8266284635060886E-87</v>
      </c>
      <c r="F289" s="177">
        <f t="shared" si="34"/>
        <v>4.329889004869205E-17</v>
      </c>
      <c r="J289" s="177">
        <f t="shared" si="36"/>
        <v>0.84876024030950414</v>
      </c>
      <c r="K289" s="177">
        <f t="shared" si="37"/>
        <v>1.0471199809893104E-13</v>
      </c>
      <c r="L289" s="177">
        <f t="shared" si="38"/>
        <v>14.839780519089405</v>
      </c>
      <c r="M289" s="177">
        <f t="shared" si="35"/>
        <v>2.0637086810679382E-15</v>
      </c>
      <c r="N289" s="179">
        <f t="shared" si="39"/>
        <v>14.839780519089407</v>
      </c>
      <c r="O289" s="179">
        <f t="shared" si="40"/>
        <v>39.516376908367242</v>
      </c>
    </row>
    <row r="290" spans="4:15" x14ac:dyDescent="0.25">
      <c r="D290">
        <v>287</v>
      </c>
      <c r="E290" s="177">
        <f t="shared" si="33"/>
        <v>3.4133142317530443E-87</v>
      </c>
      <c r="F290" s="177">
        <f t="shared" si="34"/>
        <v>4.329889004869205E-17</v>
      </c>
      <c r="J290" s="177">
        <f t="shared" si="36"/>
        <v>0.84876024030950414</v>
      </c>
      <c r="K290" s="177">
        <f t="shared" si="37"/>
        <v>1.0507876516757879E-13</v>
      </c>
      <c r="L290" s="177">
        <f t="shared" si="38"/>
        <v>14.83978051908951</v>
      </c>
      <c r="M290" s="177">
        <f t="shared" si="35"/>
        <v>2.0637086810679382E-15</v>
      </c>
      <c r="N290" s="179">
        <f t="shared" si="39"/>
        <v>14.839780519089512</v>
      </c>
      <c r="O290" s="179">
        <f t="shared" si="40"/>
        <v>39.516376908367349</v>
      </c>
    </row>
    <row r="291" spans="4:15" x14ac:dyDescent="0.25">
      <c r="D291">
        <v>288</v>
      </c>
      <c r="E291" s="177">
        <f t="shared" si="33"/>
        <v>1.7066571158765221E-87</v>
      </c>
      <c r="F291" s="177">
        <f t="shared" si="34"/>
        <v>4.329889004869205E-17</v>
      </c>
      <c r="J291" s="177">
        <f t="shared" si="36"/>
        <v>0.84876024030950414</v>
      </c>
      <c r="K291" s="177">
        <f t="shared" si="37"/>
        <v>1.0544553223622654E-13</v>
      </c>
      <c r="L291" s="177">
        <f t="shared" si="38"/>
        <v>14.839780519089615</v>
      </c>
      <c r="M291" s="177">
        <f t="shared" si="35"/>
        <v>2.0637086810679382E-15</v>
      </c>
      <c r="N291" s="179">
        <f t="shared" si="39"/>
        <v>14.839780519089617</v>
      </c>
      <c r="O291" s="179">
        <f t="shared" si="40"/>
        <v>39.516376908367455</v>
      </c>
    </row>
    <row r="292" spans="4:15" x14ac:dyDescent="0.25">
      <c r="D292">
        <v>289</v>
      </c>
      <c r="E292" s="177">
        <f t="shared" si="33"/>
        <v>8.5332855793826107E-88</v>
      </c>
      <c r="F292" s="177">
        <f t="shared" si="34"/>
        <v>4.329889004869205E-17</v>
      </c>
      <c r="J292" s="177">
        <f t="shared" si="36"/>
        <v>0.84876024030950414</v>
      </c>
      <c r="K292" s="177">
        <f t="shared" si="37"/>
        <v>1.0581229930487427E-13</v>
      </c>
      <c r="L292" s="177">
        <f t="shared" si="38"/>
        <v>14.839780519089722</v>
      </c>
      <c r="M292" s="177">
        <f t="shared" si="35"/>
        <v>2.0637086810679382E-15</v>
      </c>
      <c r="N292" s="179">
        <f t="shared" si="39"/>
        <v>14.839780519089723</v>
      </c>
      <c r="O292" s="179">
        <f t="shared" si="40"/>
        <v>39.516376908367562</v>
      </c>
    </row>
    <row r="293" spans="4:15" x14ac:dyDescent="0.25">
      <c r="D293">
        <v>290</v>
      </c>
      <c r="E293" s="177">
        <f t="shared" si="33"/>
        <v>4.2666427896913053E-88</v>
      </c>
      <c r="F293" s="177">
        <f t="shared" si="34"/>
        <v>4.329889004869205E-17</v>
      </c>
      <c r="J293" s="177">
        <f t="shared" si="36"/>
        <v>0.84876024030950414</v>
      </c>
      <c r="K293" s="177">
        <f t="shared" si="37"/>
        <v>1.0617906637352202E-13</v>
      </c>
      <c r="L293" s="177">
        <f t="shared" si="38"/>
        <v>14.839780519089828</v>
      </c>
      <c r="M293" s="177">
        <f t="shared" si="35"/>
        <v>2.0637086810679382E-15</v>
      </c>
      <c r="N293" s="179">
        <f t="shared" si="39"/>
        <v>14.83978051908983</v>
      </c>
      <c r="O293" s="179">
        <f t="shared" si="40"/>
        <v>39.516376908367668</v>
      </c>
    </row>
    <row r="294" spans="4:15" x14ac:dyDescent="0.25">
      <c r="D294">
        <v>291</v>
      </c>
      <c r="E294" s="177">
        <f t="shared" si="33"/>
        <v>2.1333213948456527E-88</v>
      </c>
      <c r="F294" s="177">
        <f t="shared" si="34"/>
        <v>4.329889004869205E-17</v>
      </c>
      <c r="J294" s="177">
        <f t="shared" si="36"/>
        <v>0.84876024030950414</v>
      </c>
      <c r="K294" s="177">
        <f t="shared" si="37"/>
        <v>1.0654583344216975E-13</v>
      </c>
      <c r="L294" s="177">
        <f t="shared" si="38"/>
        <v>14.839780519089935</v>
      </c>
      <c r="M294" s="177">
        <f t="shared" si="35"/>
        <v>2.0637086810679382E-15</v>
      </c>
      <c r="N294" s="179">
        <f t="shared" si="39"/>
        <v>14.839780519089937</v>
      </c>
      <c r="O294" s="179">
        <f t="shared" si="40"/>
        <v>39.516376908367775</v>
      </c>
    </row>
    <row r="295" spans="4:15" x14ac:dyDescent="0.25">
      <c r="D295">
        <v>292</v>
      </c>
      <c r="E295" s="177">
        <f t="shared" si="33"/>
        <v>1.0666606974228263E-88</v>
      </c>
      <c r="F295" s="177">
        <f t="shared" si="34"/>
        <v>4.329889004869205E-17</v>
      </c>
      <c r="J295" s="177">
        <f t="shared" si="36"/>
        <v>0.84876024030950414</v>
      </c>
      <c r="K295" s="177">
        <f t="shared" si="37"/>
        <v>1.069126005108175E-13</v>
      </c>
      <c r="L295" s="177">
        <f t="shared" si="38"/>
        <v>14.839780519090041</v>
      </c>
      <c r="M295" s="177">
        <f t="shared" si="35"/>
        <v>2.0637086810679382E-15</v>
      </c>
      <c r="N295" s="179">
        <f t="shared" si="39"/>
        <v>14.839780519090043</v>
      </c>
      <c r="O295" s="179">
        <f t="shared" si="40"/>
        <v>39.516376908367882</v>
      </c>
    </row>
    <row r="296" spans="4:15" x14ac:dyDescent="0.25">
      <c r="D296">
        <v>293</v>
      </c>
      <c r="E296" s="177">
        <f t="shared" si="33"/>
        <v>5.3333034871141317E-89</v>
      </c>
      <c r="F296" s="177">
        <f t="shared" si="34"/>
        <v>4.329889004869205E-17</v>
      </c>
      <c r="J296" s="177">
        <f t="shared" si="36"/>
        <v>0.84876024030950414</v>
      </c>
      <c r="K296" s="177">
        <f t="shared" si="37"/>
        <v>1.0727936757946524E-13</v>
      </c>
      <c r="L296" s="177">
        <f t="shared" si="38"/>
        <v>14.839780519090148</v>
      </c>
      <c r="M296" s="177">
        <f t="shared" si="35"/>
        <v>2.0637086810679382E-15</v>
      </c>
      <c r="N296" s="179">
        <f t="shared" si="39"/>
        <v>14.83978051909015</v>
      </c>
      <c r="O296" s="179">
        <f t="shared" si="40"/>
        <v>39.516376908367988</v>
      </c>
    </row>
    <row r="297" spans="4:15" x14ac:dyDescent="0.25">
      <c r="D297">
        <v>294</v>
      </c>
      <c r="E297" s="177">
        <f t="shared" si="33"/>
        <v>2.6666517435570658E-89</v>
      </c>
      <c r="F297" s="177">
        <f t="shared" si="34"/>
        <v>4.329889004869205E-17</v>
      </c>
      <c r="J297" s="177">
        <f t="shared" si="36"/>
        <v>0.84876024030950414</v>
      </c>
      <c r="K297" s="177">
        <f t="shared" si="37"/>
        <v>1.0764613464811299E-13</v>
      </c>
      <c r="L297" s="177">
        <f t="shared" si="38"/>
        <v>14.839780519090256</v>
      </c>
      <c r="M297" s="177">
        <f t="shared" si="35"/>
        <v>2.0637086810679382E-15</v>
      </c>
      <c r="N297" s="179">
        <f t="shared" si="39"/>
        <v>14.839780519090258</v>
      </c>
      <c r="O297" s="179">
        <f t="shared" si="40"/>
        <v>39.516376908368095</v>
      </c>
    </row>
    <row r="298" spans="4:15" x14ac:dyDescent="0.25">
      <c r="D298">
        <v>295</v>
      </c>
      <c r="E298" s="177">
        <f t="shared" si="33"/>
        <v>1.3333258717785329E-89</v>
      </c>
      <c r="F298" s="177">
        <f t="shared" si="34"/>
        <v>4.329889004869205E-17</v>
      </c>
      <c r="J298" s="177">
        <f t="shared" si="36"/>
        <v>0.84876024030950414</v>
      </c>
      <c r="K298" s="177">
        <f t="shared" si="37"/>
        <v>1.0801290171676072E-13</v>
      </c>
      <c r="L298" s="177">
        <f t="shared" si="38"/>
        <v>14.839780519090365</v>
      </c>
      <c r="M298" s="177">
        <f t="shared" si="35"/>
        <v>2.0637086810679382E-15</v>
      </c>
      <c r="N298" s="179">
        <f t="shared" si="39"/>
        <v>14.839780519090366</v>
      </c>
      <c r="O298" s="179">
        <f t="shared" si="40"/>
        <v>39.516376908368201</v>
      </c>
    </row>
    <row r="299" spans="4:15" x14ac:dyDescent="0.25">
      <c r="D299">
        <v>296</v>
      </c>
      <c r="E299" s="177">
        <f t="shared" si="33"/>
        <v>6.6666293588926646E-90</v>
      </c>
      <c r="F299" s="177">
        <f t="shared" si="34"/>
        <v>4.329889004869205E-17</v>
      </c>
      <c r="J299" s="177">
        <f t="shared" si="36"/>
        <v>0.84876024030950414</v>
      </c>
      <c r="K299" s="177">
        <f t="shared" si="37"/>
        <v>1.0837966878540847E-13</v>
      </c>
      <c r="L299" s="177">
        <f t="shared" si="38"/>
        <v>14.839780519090473</v>
      </c>
      <c r="M299" s="177">
        <f t="shared" si="35"/>
        <v>2.0637086810679382E-15</v>
      </c>
      <c r="N299" s="179">
        <f t="shared" si="39"/>
        <v>14.839780519090475</v>
      </c>
      <c r="O299" s="179">
        <f t="shared" si="40"/>
        <v>39.516376908368308</v>
      </c>
    </row>
    <row r="300" spans="4:15" x14ac:dyDescent="0.25">
      <c r="D300">
        <v>297</v>
      </c>
      <c r="E300" s="177">
        <f t="shared" si="33"/>
        <v>3.3333146794463323E-90</v>
      </c>
      <c r="F300" s="177">
        <f t="shared" si="34"/>
        <v>4.329889004869205E-17</v>
      </c>
      <c r="J300" s="177">
        <f t="shared" si="36"/>
        <v>0.84876024030950414</v>
      </c>
      <c r="K300" s="177">
        <f t="shared" si="37"/>
        <v>1.0874643585405622E-13</v>
      </c>
      <c r="L300" s="177">
        <f t="shared" si="38"/>
        <v>14.839780519090581</v>
      </c>
      <c r="M300" s="177">
        <f t="shared" si="35"/>
        <v>2.0637086810679382E-15</v>
      </c>
      <c r="N300" s="179">
        <f t="shared" si="39"/>
        <v>14.839780519090583</v>
      </c>
      <c r="O300" s="179">
        <f t="shared" si="40"/>
        <v>39.516376908368414</v>
      </c>
    </row>
    <row r="301" spans="4:15" x14ac:dyDescent="0.25">
      <c r="D301">
        <v>298</v>
      </c>
      <c r="E301" s="177">
        <f t="shared" si="33"/>
        <v>1.6666573397231661E-90</v>
      </c>
      <c r="F301" s="177">
        <f t="shared" si="34"/>
        <v>4.329889004869205E-17</v>
      </c>
      <c r="J301" s="177">
        <f t="shared" si="36"/>
        <v>0.84876024030950414</v>
      </c>
      <c r="K301" s="177">
        <f t="shared" si="37"/>
        <v>1.0911320292270396E-13</v>
      </c>
      <c r="L301" s="177">
        <f t="shared" si="38"/>
        <v>14.83978051909069</v>
      </c>
      <c r="M301" s="177">
        <f t="shared" si="35"/>
        <v>2.0637086810679382E-15</v>
      </c>
      <c r="N301" s="179">
        <f t="shared" si="39"/>
        <v>14.839780519090692</v>
      </c>
      <c r="O301" s="179">
        <f t="shared" si="40"/>
        <v>39.516376908368521</v>
      </c>
    </row>
    <row r="302" spans="4:15" x14ac:dyDescent="0.25">
      <c r="D302">
        <v>299</v>
      </c>
      <c r="E302" s="177">
        <f t="shared" si="33"/>
        <v>8.3332866986158307E-91</v>
      </c>
      <c r="F302" s="177">
        <f t="shared" si="34"/>
        <v>4.329889004869205E-17</v>
      </c>
      <c r="J302" s="177">
        <f t="shared" si="36"/>
        <v>0.84876024030950414</v>
      </c>
      <c r="K302" s="177">
        <f t="shared" si="37"/>
        <v>1.0947996999135171E-13</v>
      </c>
      <c r="L302" s="177">
        <f t="shared" si="38"/>
        <v>14.8397805190908</v>
      </c>
      <c r="M302" s="177">
        <f t="shared" si="35"/>
        <v>2.0637086810679382E-15</v>
      </c>
      <c r="N302" s="179">
        <f t="shared" si="39"/>
        <v>14.839780519090802</v>
      </c>
      <c r="O302" s="179">
        <f t="shared" si="40"/>
        <v>39.516376908368628</v>
      </c>
    </row>
    <row r="303" spans="4:15" x14ac:dyDescent="0.25">
      <c r="D303">
        <v>300</v>
      </c>
      <c r="E303" s="177">
        <f t="shared" si="33"/>
        <v>4.1666433493079154E-91</v>
      </c>
      <c r="F303" s="177">
        <f t="shared" si="34"/>
        <v>4.329889004869205E-17</v>
      </c>
      <c r="J303" s="177">
        <f t="shared" si="36"/>
        <v>0.84876024030950414</v>
      </c>
      <c r="K303" s="177">
        <f t="shared" si="37"/>
        <v>1.0984673705999945E-13</v>
      </c>
      <c r="L303" s="177">
        <f t="shared" si="38"/>
        <v>14.83978051909091</v>
      </c>
      <c r="M303" s="177">
        <f t="shared" si="35"/>
        <v>2.0637086810679382E-15</v>
      </c>
      <c r="N303" s="179">
        <f t="shared" si="39"/>
        <v>14.839780519090912</v>
      </c>
      <c r="O303" s="179">
        <f t="shared" si="40"/>
        <v>39.516376908368734</v>
      </c>
    </row>
    <row r="304" spans="4:15" x14ac:dyDescent="0.25">
      <c r="D304">
        <v>301</v>
      </c>
      <c r="E304" s="177">
        <f t="shared" si="33"/>
        <v>2.0833216746539577E-91</v>
      </c>
      <c r="F304" s="177">
        <f t="shared" si="34"/>
        <v>4.329889004869205E-17</v>
      </c>
      <c r="J304" s="177">
        <f t="shared" si="36"/>
        <v>0.84876024030950414</v>
      </c>
      <c r="K304" s="177">
        <f t="shared" si="37"/>
        <v>1.102135041286472E-13</v>
      </c>
      <c r="L304" s="177">
        <f t="shared" si="38"/>
        <v>14.83978051909102</v>
      </c>
      <c r="M304" s="177">
        <f t="shared" si="35"/>
        <v>2.0637086810679382E-15</v>
      </c>
      <c r="N304" s="179">
        <f t="shared" si="39"/>
        <v>14.839780519091022</v>
      </c>
      <c r="O304" s="179">
        <f t="shared" si="40"/>
        <v>39.516376908368848</v>
      </c>
    </row>
    <row r="305" spans="4:15" x14ac:dyDescent="0.25">
      <c r="D305">
        <v>302</v>
      </c>
      <c r="E305" s="177">
        <f t="shared" si="33"/>
        <v>1.0416608373269788E-91</v>
      </c>
      <c r="F305" s="177">
        <f t="shared" si="34"/>
        <v>4.329889004869205E-17</v>
      </c>
      <c r="J305" s="177">
        <f t="shared" si="36"/>
        <v>0.84876024030950414</v>
      </c>
      <c r="K305" s="177">
        <f t="shared" si="37"/>
        <v>1.1058027119729495E-13</v>
      </c>
      <c r="L305" s="177">
        <f t="shared" si="38"/>
        <v>14.83978051909113</v>
      </c>
      <c r="M305" s="177">
        <f t="shared" si="35"/>
        <v>2.0637086810679382E-15</v>
      </c>
      <c r="N305" s="179">
        <f t="shared" si="39"/>
        <v>14.839780519091132</v>
      </c>
      <c r="O305" s="179">
        <f t="shared" si="40"/>
        <v>39.516376908368962</v>
      </c>
    </row>
    <row r="306" spans="4:15" x14ac:dyDescent="0.25">
      <c r="D306">
        <v>303</v>
      </c>
      <c r="E306" s="177">
        <f t="shared" si="33"/>
        <v>5.2083041866348942E-92</v>
      </c>
      <c r="F306" s="177">
        <f t="shared" si="34"/>
        <v>4.329889004869205E-17</v>
      </c>
      <c r="J306" s="177">
        <f t="shared" si="36"/>
        <v>0.84876024030950414</v>
      </c>
      <c r="K306" s="177">
        <f t="shared" si="37"/>
        <v>1.1094703826594269E-13</v>
      </c>
      <c r="L306" s="177">
        <f t="shared" si="38"/>
        <v>14.83978051909124</v>
      </c>
      <c r="M306" s="177">
        <f t="shared" si="35"/>
        <v>2.0637086810679382E-15</v>
      </c>
      <c r="N306" s="179">
        <f t="shared" si="39"/>
        <v>14.839780519091242</v>
      </c>
      <c r="O306" s="179">
        <f t="shared" si="40"/>
        <v>39.516376908369075</v>
      </c>
    </row>
    <row r="307" spans="4:15" x14ac:dyDescent="0.25">
      <c r="D307">
        <v>304</v>
      </c>
      <c r="E307" s="177">
        <f t="shared" si="33"/>
        <v>2.6041520933174471E-92</v>
      </c>
      <c r="F307" s="177">
        <f t="shared" si="34"/>
        <v>4.329889004869205E-17</v>
      </c>
      <c r="J307" s="177">
        <f t="shared" si="36"/>
        <v>0.84876024030950414</v>
      </c>
      <c r="K307" s="177">
        <f t="shared" si="37"/>
        <v>1.1131380533459044E-13</v>
      </c>
      <c r="L307" s="177">
        <f t="shared" si="38"/>
        <v>14.839780519091352</v>
      </c>
      <c r="M307" s="177">
        <f t="shared" si="35"/>
        <v>2.0637086810679382E-15</v>
      </c>
      <c r="N307" s="179">
        <f t="shared" si="39"/>
        <v>14.839780519091354</v>
      </c>
      <c r="O307" s="179">
        <f t="shared" si="40"/>
        <v>39.516376908369189</v>
      </c>
    </row>
    <row r="308" spans="4:15" x14ac:dyDescent="0.25">
      <c r="D308">
        <v>305</v>
      </c>
      <c r="E308" s="177">
        <f t="shared" si="33"/>
        <v>1.3020760466587236E-92</v>
      </c>
      <c r="F308" s="177">
        <f t="shared" si="34"/>
        <v>4.329889004869205E-17</v>
      </c>
      <c r="J308" s="177">
        <f t="shared" si="36"/>
        <v>0.84876024030950414</v>
      </c>
      <c r="K308" s="177">
        <f t="shared" si="37"/>
        <v>1.1168057240323819E-13</v>
      </c>
      <c r="L308" s="177">
        <f t="shared" si="38"/>
        <v>14.839780519091464</v>
      </c>
      <c r="M308" s="177">
        <f t="shared" si="35"/>
        <v>2.0637086810679382E-15</v>
      </c>
      <c r="N308" s="179">
        <f t="shared" si="39"/>
        <v>14.839780519091466</v>
      </c>
      <c r="O308" s="179">
        <f t="shared" si="40"/>
        <v>39.516376908369303</v>
      </c>
    </row>
    <row r="309" spans="4:15" x14ac:dyDescent="0.25">
      <c r="D309">
        <v>306</v>
      </c>
      <c r="E309" s="177">
        <f t="shared" si="33"/>
        <v>6.5103802332936178E-93</v>
      </c>
      <c r="F309" s="177">
        <f t="shared" si="34"/>
        <v>4.329889004869205E-17</v>
      </c>
      <c r="J309" s="177">
        <f t="shared" si="36"/>
        <v>0.84876024030950414</v>
      </c>
      <c r="K309" s="177">
        <f t="shared" si="37"/>
        <v>1.1204733947188593E-13</v>
      </c>
      <c r="L309" s="177">
        <f t="shared" si="38"/>
        <v>14.839780519091576</v>
      </c>
      <c r="M309" s="177">
        <f t="shared" si="35"/>
        <v>2.0637086810679382E-15</v>
      </c>
      <c r="N309" s="179">
        <f t="shared" si="39"/>
        <v>14.839780519091578</v>
      </c>
      <c r="O309" s="179">
        <f t="shared" si="40"/>
        <v>39.516376908369416</v>
      </c>
    </row>
    <row r="310" spans="4:15" x14ac:dyDescent="0.25">
      <c r="D310">
        <v>307</v>
      </c>
      <c r="E310" s="177">
        <f t="shared" si="33"/>
        <v>3.2551901166468089E-93</v>
      </c>
      <c r="F310" s="177">
        <f t="shared" si="34"/>
        <v>4.329889004869205E-17</v>
      </c>
      <c r="J310" s="177">
        <f t="shared" si="36"/>
        <v>0.84876024030950414</v>
      </c>
      <c r="K310" s="177">
        <f t="shared" si="37"/>
        <v>1.1241410654053368E-13</v>
      </c>
      <c r="L310" s="177">
        <f t="shared" si="38"/>
        <v>14.839780519091688</v>
      </c>
      <c r="M310" s="177">
        <f t="shared" si="35"/>
        <v>2.0637086810679382E-15</v>
      </c>
      <c r="N310" s="179">
        <f t="shared" si="39"/>
        <v>14.83978051909169</v>
      </c>
      <c r="O310" s="179">
        <f t="shared" si="40"/>
        <v>39.51637690836953</v>
      </c>
    </row>
    <row r="311" spans="4:15" x14ac:dyDescent="0.25">
      <c r="D311">
        <v>308</v>
      </c>
      <c r="E311" s="177">
        <f t="shared" si="33"/>
        <v>1.6275950583234044E-93</v>
      </c>
      <c r="F311" s="177">
        <f t="shared" si="34"/>
        <v>4.329889004869205E-17</v>
      </c>
      <c r="J311" s="177">
        <f t="shared" si="36"/>
        <v>0.84876024030950414</v>
      </c>
      <c r="K311" s="177">
        <f t="shared" si="37"/>
        <v>1.127808736091814E-13</v>
      </c>
      <c r="L311" s="177">
        <f t="shared" si="38"/>
        <v>14.8397805190918</v>
      </c>
      <c r="M311" s="177">
        <f t="shared" si="35"/>
        <v>2.0637086810679382E-15</v>
      </c>
      <c r="N311" s="179">
        <f t="shared" si="39"/>
        <v>14.839780519091802</v>
      </c>
      <c r="O311" s="179">
        <f t="shared" si="40"/>
        <v>39.516376908369644</v>
      </c>
    </row>
    <row r="312" spans="4:15" x14ac:dyDescent="0.25">
      <c r="D312">
        <v>309</v>
      </c>
      <c r="E312" s="177">
        <f t="shared" si="33"/>
        <v>8.1379752916170222E-94</v>
      </c>
      <c r="F312" s="177">
        <f t="shared" si="34"/>
        <v>4.329889004869205E-17</v>
      </c>
      <c r="J312" s="177">
        <f t="shared" si="36"/>
        <v>0.84876024030950414</v>
      </c>
      <c r="K312" s="177">
        <f t="shared" si="37"/>
        <v>1.1314764067782915E-13</v>
      </c>
      <c r="L312" s="177">
        <f t="shared" si="38"/>
        <v>14.839780519091914</v>
      </c>
      <c r="M312" s="177">
        <f t="shared" si="35"/>
        <v>2.0637086810679382E-15</v>
      </c>
      <c r="N312" s="179">
        <f t="shared" si="39"/>
        <v>14.839780519091915</v>
      </c>
      <c r="O312" s="179">
        <f t="shared" si="40"/>
        <v>39.516376908369757</v>
      </c>
    </row>
    <row r="313" spans="4:15" x14ac:dyDescent="0.25">
      <c r="D313">
        <v>310</v>
      </c>
      <c r="E313" s="177">
        <f t="shared" si="33"/>
        <v>4.0689876458085111E-94</v>
      </c>
      <c r="F313" s="177">
        <f t="shared" si="34"/>
        <v>4.329889004869205E-17</v>
      </c>
      <c r="J313" s="177">
        <f t="shared" si="36"/>
        <v>0.84876024030950414</v>
      </c>
      <c r="K313" s="177">
        <f t="shared" si="37"/>
        <v>1.1351440774647689E-13</v>
      </c>
      <c r="L313" s="177">
        <f t="shared" si="38"/>
        <v>14.839780519092027</v>
      </c>
      <c r="M313" s="177">
        <f t="shared" si="35"/>
        <v>2.0637086810679382E-15</v>
      </c>
      <c r="N313" s="179">
        <f t="shared" si="39"/>
        <v>14.839780519092029</v>
      </c>
      <c r="O313" s="179">
        <f t="shared" si="40"/>
        <v>39.516376908369871</v>
      </c>
    </row>
    <row r="314" spans="4:15" x14ac:dyDescent="0.25">
      <c r="D314">
        <v>311</v>
      </c>
      <c r="E314" s="177">
        <f t="shared" si="33"/>
        <v>2.0344938229042556E-94</v>
      </c>
      <c r="F314" s="177">
        <f t="shared" si="34"/>
        <v>4.329889004869205E-17</v>
      </c>
      <c r="J314" s="177">
        <f t="shared" si="36"/>
        <v>0.84876024030950414</v>
      </c>
      <c r="K314" s="177">
        <f t="shared" si="37"/>
        <v>1.1388117481512464E-13</v>
      </c>
      <c r="L314" s="177">
        <f t="shared" si="38"/>
        <v>14.839780519092141</v>
      </c>
      <c r="M314" s="177">
        <f t="shared" si="35"/>
        <v>2.0637086810679382E-15</v>
      </c>
      <c r="N314" s="179">
        <f t="shared" si="39"/>
        <v>14.839780519092143</v>
      </c>
      <c r="O314" s="179">
        <f t="shared" si="40"/>
        <v>39.516376908369985</v>
      </c>
    </row>
    <row r="315" spans="4:15" x14ac:dyDescent="0.25">
      <c r="D315">
        <v>312</v>
      </c>
      <c r="E315" s="177">
        <f t="shared" si="33"/>
        <v>1.0172469114521278E-94</v>
      </c>
      <c r="F315" s="177">
        <f t="shared" si="34"/>
        <v>4.329889004869205E-17</v>
      </c>
      <c r="J315" s="177">
        <f t="shared" si="36"/>
        <v>0.84876024030950414</v>
      </c>
      <c r="K315" s="177">
        <f t="shared" si="37"/>
        <v>1.1424794188377239E-13</v>
      </c>
      <c r="L315" s="177">
        <f t="shared" si="38"/>
        <v>14.839780519092255</v>
      </c>
      <c r="M315" s="177">
        <f t="shared" si="35"/>
        <v>2.0637086810679382E-15</v>
      </c>
      <c r="N315" s="179">
        <f t="shared" si="39"/>
        <v>14.839780519092256</v>
      </c>
      <c r="O315" s="179">
        <f t="shared" si="40"/>
        <v>39.516376908370098</v>
      </c>
    </row>
    <row r="316" spans="4:15" x14ac:dyDescent="0.25">
      <c r="D316">
        <v>313</v>
      </c>
      <c r="E316" s="177">
        <f t="shared" si="33"/>
        <v>5.0862345572606389E-95</v>
      </c>
      <c r="F316" s="177">
        <f t="shared" si="34"/>
        <v>4.329889004869205E-17</v>
      </c>
      <c r="J316" s="177">
        <f t="shared" si="36"/>
        <v>0.84876024030950414</v>
      </c>
      <c r="K316" s="177">
        <f t="shared" si="37"/>
        <v>1.1461470895242013E-13</v>
      </c>
      <c r="L316" s="177">
        <f t="shared" si="38"/>
        <v>14.83978051909237</v>
      </c>
      <c r="M316" s="177">
        <f t="shared" si="35"/>
        <v>2.0637086810679382E-15</v>
      </c>
      <c r="N316" s="179">
        <f t="shared" si="39"/>
        <v>14.839780519092372</v>
      </c>
      <c r="O316" s="179">
        <f t="shared" si="40"/>
        <v>39.516376908370212</v>
      </c>
    </row>
    <row r="317" spans="4:15" x14ac:dyDescent="0.25">
      <c r="D317">
        <v>314</v>
      </c>
      <c r="E317" s="177">
        <f t="shared" si="33"/>
        <v>2.5431172786303194E-95</v>
      </c>
      <c r="F317" s="177">
        <f t="shared" si="34"/>
        <v>4.329889004869205E-17</v>
      </c>
      <c r="J317" s="177">
        <f t="shared" si="36"/>
        <v>0.84876024030950414</v>
      </c>
      <c r="K317" s="177">
        <f t="shared" si="37"/>
        <v>1.1498147602106788E-13</v>
      </c>
      <c r="L317" s="177">
        <f t="shared" si="38"/>
        <v>14.839780519092486</v>
      </c>
      <c r="M317" s="177">
        <f t="shared" si="35"/>
        <v>2.0637086810679382E-15</v>
      </c>
      <c r="N317" s="179">
        <f t="shared" si="39"/>
        <v>14.839780519092487</v>
      </c>
      <c r="O317" s="179">
        <f t="shared" si="40"/>
        <v>39.516376908370326</v>
      </c>
    </row>
    <row r="318" spans="4:15" x14ac:dyDescent="0.25">
      <c r="D318">
        <v>315</v>
      </c>
      <c r="E318" s="177">
        <f t="shared" si="33"/>
        <v>1.2715586393151597E-95</v>
      </c>
      <c r="F318" s="177">
        <f t="shared" si="34"/>
        <v>4.329889004869205E-17</v>
      </c>
      <c r="J318" s="177">
        <f t="shared" si="36"/>
        <v>0.84876024030950414</v>
      </c>
      <c r="K318" s="177">
        <f t="shared" si="37"/>
        <v>1.1534824308971563E-13</v>
      </c>
      <c r="L318" s="177">
        <f t="shared" si="38"/>
        <v>14.839780519092601</v>
      </c>
      <c r="M318" s="177">
        <f t="shared" si="35"/>
        <v>2.0637086810679382E-15</v>
      </c>
      <c r="N318" s="179">
        <f t="shared" si="39"/>
        <v>14.839780519092603</v>
      </c>
      <c r="O318" s="179">
        <f t="shared" si="40"/>
        <v>39.516376908370439</v>
      </c>
    </row>
    <row r="319" spans="4:15" x14ac:dyDescent="0.25">
      <c r="D319">
        <v>316</v>
      </c>
      <c r="E319" s="177">
        <f t="shared" si="33"/>
        <v>6.3577931965757986E-96</v>
      </c>
      <c r="F319" s="177">
        <f t="shared" si="34"/>
        <v>4.329889004869205E-17</v>
      </c>
      <c r="J319" s="177">
        <f t="shared" si="36"/>
        <v>0.84876024030950414</v>
      </c>
      <c r="K319" s="177">
        <f t="shared" si="37"/>
        <v>1.1571501015836337E-13</v>
      </c>
      <c r="L319" s="177">
        <f t="shared" si="38"/>
        <v>14.839780519092717</v>
      </c>
      <c r="M319" s="177">
        <f t="shared" si="35"/>
        <v>2.0637086810679382E-15</v>
      </c>
      <c r="N319" s="179">
        <f t="shared" si="39"/>
        <v>14.839780519092718</v>
      </c>
      <c r="O319" s="179">
        <f t="shared" si="40"/>
        <v>39.516376908370553</v>
      </c>
    </row>
    <row r="320" spans="4:15" x14ac:dyDescent="0.25">
      <c r="D320">
        <v>317</v>
      </c>
      <c r="E320" s="177">
        <f t="shared" si="33"/>
        <v>3.1788965982878993E-96</v>
      </c>
      <c r="F320" s="177">
        <f t="shared" si="34"/>
        <v>4.329889004869205E-17</v>
      </c>
      <c r="J320" s="177">
        <f t="shared" si="36"/>
        <v>0.84876024030950414</v>
      </c>
      <c r="K320" s="177">
        <f t="shared" si="37"/>
        <v>1.1608177722701112E-13</v>
      </c>
      <c r="L320" s="177">
        <f t="shared" si="38"/>
        <v>14.839780519092832</v>
      </c>
      <c r="M320" s="177">
        <f t="shared" si="35"/>
        <v>2.0637086810679382E-15</v>
      </c>
      <c r="N320" s="179">
        <f t="shared" si="39"/>
        <v>14.839780519092834</v>
      </c>
      <c r="O320" s="179">
        <f t="shared" si="40"/>
        <v>39.516376908370667</v>
      </c>
    </row>
    <row r="321" spans="4:15" x14ac:dyDescent="0.25">
      <c r="D321">
        <v>318</v>
      </c>
      <c r="E321" s="177">
        <f t="shared" si="33"/>
        <v>1.5894482991439497E-96</v>
      </c>
      <c r="F321" s="177">
        <f t="shared" si="34"/>
        <v>4.329889004869205E-17</v>
      </c>
      <c r="J321" s="177">
        <f t="shared" si="36"/>
        <v>0.84876024030950414</v>
      </c>
      <c r="K321" s="177">
        <f t="shared" si="37"/>
        <v>1.1644854429565887E-13</v>
      </c>
      <c r="L321" s="177">
        <f t="shared" si="38"/>
        <v>14.839780519092949</v>
      </c>
      <c r="M321" s="177">
        <f t="shared" si="35"/>
        <v>2.0637086810679382E-15</v>
      </c>
      <c r="N321" s="179">
        <f t="shared" si="39"/>
        <v>14.839780519092951</v>
      </c>
      <c r="O321" s="179">
        <f t="shared" si="40"/>
        <v>39.516376908370781</v>
      </c>
    </row>
    <row r="322" spans="4:15" x14ac:dyDescent="0.25">
      <c r="D322">
        <v>319</v>
      </c>
      <c r="E322" s="177">
        <f t="shared" si="33"/>
        <v>7.9472414957197483E-97</v>
      </c>
      <c r="F322" s="177">
        <f t="shared" si="34"/>
        <v>4.329889004869205E-17</v>
      </c>
      <c r="J322" s="177">
        <f t="shared" si="36"/>
        <v>0.84876024030950414</v>
      </c>
      <c r="K322" s="177">
        <f t="shared" si="37"/>
        <v>1.1681531136430661E-13</v>
      </c>
      <c r="L322" s="177">
        <f t="shared" si="38"/>
        <v>14.839780519093067</v>
      </c>
      <c r="M322" s="177">
        <f t="shared" si="35"/>
        <v>2.0637086810679382E-15</v>
      </c>
      <c r="N322" s="179">
        <f t="shared" si="39"/>
        <v>14.839780519093068</v>
      </c>
      <c r="O322" s="179">
        <f t="shared" si="40"/>
        <v>39.516376908370894</v>
      </c>
    </row>
    <row r="323" spans="4:15" x14ac:dyDescent="0.25">
      <c r="D323">
        <v>320</v>
      </c>
      <c r="E323" s="177">
        <f t="shared" si="33"/>
        <v>3.9736207478598741E-97</v>
      </c>
      <c r="F323" s="177">
        <f t="shared" si="34"/>
        <v>4.329889004869205E-17</v>
      </c>
      <c r="J323" s="177">
        <f t="shared" si="36"/>
        <v>0.84876024030950414</v>
      </c>
      <c r="K323" s="177">
        <f t="shared" si="37"/>
        <v>1.1718207843295436E-13</v>
      </c>
      <c r="L323" s="177">
        <f t="shared" si="38"/>
        <v>14.839780519093184</v>
      </c>
      <c r="M323" s="177">
        <f t="shared" si="35"/>
        <v>2.0637086810679382E-15</v>
      </c>
      <c r="N323" s="179">
        <f t="shared" si="39"/>
        <v>14.839780519093186</v>
      </c>
      <c r="O323" s="179">
        <f t="shared" si="40"/>
        <v>39.516376908371008</v>
      </c>
    </row>
    <row r="324" spans="4:15" x14ac:dyDescent="0.25">
      <c r="D324">
        <v>321</v>
      </c>
      <c r="E324" s="177">
        <f t="shared" ref="E324:E387" si="41">$B$10*$B$11*(1-$B$11)^(D324-1)</f>
        <v>1.9868103739299371E-97</v>
      </c>
      <c r="F324" s="177">
        <f t="shared" si="34"/>
        <v>4.329889004869205E-17</v>
      </c>
      <c r="J324" s="177">
        <f t="shared" si="36"/>
        <v>0.84876024030950414</v>
      </c>
      <c r="K324" s="177">
        <f t="shared" si="37"/>
        <v>1.175488455016021E-13</v>
      </c>
      <c r="L324" s="177">
        <f t="shared" si="38"/>
        <v>14.839780519093301</v>
      </c>
      <c r="M324" s="177">
        <f t="shared" si="35"/>
        <v>2.0637086810679382E-15</v>
      </c>
      <c r="N324" s="179">
        <f t="shared" si="39"/>
        <v>14.839780519093303</v>
      </c>
      <c r="O324" s="179">
        <f t="shared" si="40"/>
        <v>39.516376908371129</v>
      </c>
    </row>
    <row r="325" spans="4:15" x14ac:dyDescent="0.25">
      <c r="D325">
        <v>322</v>
      </c>
      <c r="E325" s="177">
        <f t="shared" si="41"/>
        <v>9.9340518696496853E-98</v>
      </c>
      <c r="F325" s="177">
        <f t="shared" si="34"/>
        <v>4.329889004869205E-17</v>
      </c>
      <c r="J325" s="177">
        <f t="shared" ref="J325:J328" si="42">J324+F325</f>
        <v>0.84876024030950414</v>
      </c>
      <c r="K325" s="177">
        <f t="shared" ref="K325:K328" si="43">$B$8*(D325-0.5)*F325</f>
        <v>1.1791561257024985E-13</v>
      </c>
      <c r="L325" s="177">
        <f t="shared" ref="L325:L328" si="44">L324+K325</f>
        <v>14.839780519093418</v>
      </c>
      <c r="M325" s="177">
        <f t="shared" si="35"/>
        <v>2.0637086810679382E-15</v>
      </c>
      <c r="N325" s="179">
        <f t="shared" ref="N325:N328" si="45">M325+L325</f>
        <v>14.83978051909342</v>
      </c>
      <c r="O325" s="179">
        <f t="shared" ref="O325:O328" si="46">O324+K325+M325</f>
        <v>39.516376908371249</v>
      </c>
    </row>
    <row r="326" spans="4:15" x14ac:dyDescent="0.25">
      <c r="D326">
        <v>323</v>
      </c>
      <c r="E326" s="177">
        <f t="shared" si="41"/>
        <v>4.9670259348248427E-98</v>
      </c>
      <c r="F326" s="177">
        <f t="shared" si="34"/>
        <v>4.329889004869205E-17</v>
      </c>
      <c r="J326" s="177">
        <f t="shared" si="42"/>
        <v>0.84876024030950414</v>
      </c>
      <c r="K326" s="177">
        <f t="shared" si="43"/>
        <v>1.182823796388976E-13</v>
      </c>
      <c r="L326" s="177">
        <f t="shared" si="44"/>
        <v>14.839780519093537</v>
      </c>
      <c r="M326" s="177">
        <f t="shared" si="35"/>
        <v>2.0637086810679382E-15</v>
      </c>
      <c r="N326" s="179">
        <f t="shared" si="45"/>
        <v>14.839780519093539</v>
      </c>
      <c r="O326" s="179">
        <f t="shared" si="46"/>
        <v>39.51637690837137</v>
      </c>
    </row>
    <row r="327" spans="4:15" x14ac:dyDescent="0.25">
      <c r="D327">
        <v>324</v>
      </c>
      <c r="E327" s="177">
        <f t="shared" si="41"/>
        <v>2.4835129674124213E-98</v>
      </c>
      <c r="F327" s="177">
        <f t="shared" si="34"/>
        <v>4.329889004869205E-17</v>
      </c>
      <c r="J327" s="177">
        <f t="shared" si="42"/>
        <v>0.84876024030950414</v>
      </c>
      <c r="K327" s="177">
        <f t="shared" si="43"/>
        <v>1.1864914670754532E-13</v>
      </c>
      <c r="L327" s="177">
        <f t="shared" si="44"/>
        <v>14.839780519093656</v>
      </c>
      <c r="M327" s="177">
        <f t="shared" si="35"/>
        <v>2.0637086810679382E-15</v>
      </c>
      <c r="N327" s="179">
        <f t="shared" si="45"/>
        <v>14.839780519093658</v>
      </c>
      <c r="O327" s="179">
        <f t="shared" si="46"/>
        <v>39.516376908371491</v>
      </c>
    </row>
    <row r="328" spans="4:15" x14ac:dyDescent="0.25">
      <c r="D328">
        <v>325</v>
      </c>
      <c r="E328" s="177">
        <f t="shared" si="41"/>
        <v>1.2417564837062107E-98</v>
      </c>
      <c r="F328" s="177">
        <f t="shared" si="34"/>
        <v>4.329889004869205E-17</v>
      </c>
      <c r="J328" s="177">
        <f t="shared" si="42"/>
        <v>0.84876024030950414</v>
      </c>
      <c r="K328" s="177">
        <f t="shared" si="43"/>
        <v>1.1901591377619307E-13</v>
      </c>
      <c r="L328" s="177">
        <f t="shared" si="44"/>
        <v>14.839780519093775</v>
      </c>
      <c r="M328" s="177">
        <f t="shared" si="35"/>
        <v>2.0637086810679382E-15</v>
      </c>
      <c r="N328" s="179">
        <f t="shared" si="45"/>
        <v>14.839780519093777</v>
      </c>
      <c r="O328" s="179">
        <f t="shared" si="46"/>
        <v>39.516376908371612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5" customWidth="1"/>
    <col min="2" max="2" width="4.125" style="155" bestFit="1" customWidth="1"/>
    <col min="3" max="3" width="50" style="155" bestFit="1" customWidth="1"/>
    <col min="4" max="4" width="5.875" style="155" bestFit="1" customWidth="1"/>
    <col min="5" max="5" width="59.125" style="155" bestFit="1" customWidth="1"/>
    <col min="6" max="16384" width="10.875" style="155"/>
  </cols>
  <sheetData>
    <row r="2" spans="2:5" s="154" customFormat="1" x14ac:dyDescent="0.25">
      <c r="B2" s="204" t="s">
        <v>250</v>
      </c>
      <c r="C2" s="205"/>
      <c r="D2" s="204" t="s">
        <v>251</v>
      </c>
      <c r="E2" s="205"/>
    </row>
    <row r="3" spans="2:5" x14ac:dyDescent="0.25">
      <c r="B3" s="4"/>
      <c r="C3" s="8" t="s">
        <v>115</v>
      </c>
      <c r="D3" s="4"/>
      <c r="E3" s="8" t="s">
        <v>115</v>
      </c>
    </row>
    <row r="4" spans="2:5" x14ac:dyDescent="0.25">
      <c r="B4" s="156"/>
      <c r="C4" s="157" t="s">
        <v>88</v>
      </c>
      <c r="D4" s="158" t="s">
        <v>146</v>
      </c>
      <c r="E4" s="157" t="s">
        <v>147</v>
      </c>
    </row>
    <row r="5" spans="2:5" x14ac:dyDescent="0.25">
      <c r="B5" s="158" t="s">
        <v>122</v>
      </c>
      <c r="C5" s="157" t="s">
        <v>17</v>
      </c>
      <c r="D5" s="158" t="s">
        <v>117</v>
      </c>
      <c r="E5" s="157" t="s">
        <v>174</v>
      </c>
    </row>
    <row r="6" spans="2:5" x14ac:dyDescent="0.25">
      <c r="B6" s="158" t="s">
        <v>108</v>
      </c>
      <c r="C6" s="157" t="s">
        <v>90</v>
      </c>
      <c r="D6" s="158" t="s">
        <v>148</v>
      </c>
      <c r="E6" s="157" t="s">
        <v>149</v>
      </c>
    </row>
    <row r="7" spans="2:5" x14ac:dyDescent="0.25">
      <c r="B7" s="158" t="s">
        <v>31</v>
      </c>
      <c r="C7" s="157" t="s">
        <v>18</v>
      </c>
      <c r="D7" s="158" t="s">
        <v>153</v>
      </c>
      <c r="E7" s="157" t="s">
        <v>252</v>
      </c>
    </row>
    <row r="8" spans="2:5" x14ac:dyDescent="0.25">
      <c r="B8" s="158" t="s">
        <v>117</v>
      </c>
      <c r="C8" s="157" t="s">
        <v>118</v>
      </c>
      <c r="D8" s="158" t="s">
        <v>152</v>
      </c>
      <c r="E8" s="157" t="s">
        <v>157</v>
      </c>
    </row>
    <row r="9" spans="2:5" x14ac:dyDescent="0.25">
      <c r="B9" s="158" t="s">
        <v>25</v>
      </c>
      <c r="C9" s="157" t="s">
        <v>253</v>
      </c>
      <c r="D9" s="158" t="s">
        <v>170</v>
      </c>
      <c r="E9" s="157" t="s">
        <v>158</v>
      </c>
    </row>
    <row r="10" spans="2:5" x14ac:dyDescent="0.25">
      <c r="B10" s="158" t="s">
        <v>26</v>
      </c>
      <c r="C10" s="157" t="s">
        <v>11</v>
      </c>
      <c r="D10" s="158" t="s">
        <v>254</v>
      </c>
      <c r="E10" s="157" t="s">
        <v>154</v>
      </c>
    </row>
    <row r="11" spans="2:5" x14ac:dyDescent="0.25">
      <c r="B11" s="158" t="s">
        <v>28</v>
      </c>
      <c r="C11" s="157" t="s">
        <v>15</v>
      </c>
      <c r="D11" s="158" t="s">
        <v>155</v>
      </c>
      <c r="E11" s="157" t="s">
        <v>156</v>
      </c>
    </row>
    <row r="12" spans="2:5" x14ac:dyDescent="0.25">
      <c r="B12" s="158" t="s">
        <v>29</v>
      </c>
      <c r="C12" s="157" t="s">
        <v>22</v>
      </c>
      <c r="D12" s="158" t="s">
        <v>159</v>
      </c>
      <c r="E12" s="157" t="s">
        <v>160</v>
      </c>
    </row>
    <row r="13" spans="2:5" x14ac:dyDescent="0.25">
      <c r="B13" s="158" t="s">
        <v>30</v>
      </c>
      <c r="C13" s="157" t="s">
        <v>16</v>
      </c>
      <c r="D13" s="158" t="s">
        <v>161</v>
      </c>
      <c r="E13" s="157" t="s">
        <v>162</v>
      </c>
    </row>
    <row r="14" spans="2:5" x14ac:dyDescent="0.25">
      <c r="B14" s="158" t="s">
        <v>27</v>
      </c>
      <c r="C14" s="157" t="s">
        <v>14</v>
      </c>
      <c r="D14" s="158" t="s">
        <v>163</v>
      </c>
      <c r="E14" s="157" t="s">
        <v>165</v>
      </c>
    </row>
    <row r="15" spans="2:5" x14ac:dyDescent="0.25">
      <c r="B15" s="158" t="s">
        <v>121</v>
      </c>
      <c r="C15" s="157" t="s">
        <v>23</v>
      </c>
      <c r="D15" s="158" t="s">
        <v>171</v>
      </c>
      <c r="E15" s="157" t="s">
        <v>172</v>
      </c>
    </row>
    <row r="16" spans="2:5" x14ac:dyDescent="0.25">
      <c r="B16" s="158" t="s">
        <v>116</v>
      </c>
      <c r="C16" s="157" t="s">
        <v>91</v>
      </c>
      <c r="D16" s="158" t="s">
        <v>28</v>
      </c>
      <c r="E16" s="157" t="s">
        <v>15</v>
      </c>
    </row>
    <row r="17" spans="2:5" x14ac:dyDescent="0.25">
      <c r="B17" s="158"/>
      <c r="C17" s="157" t="s">
        <v>255</v>
      </c>
      <c r="D17" s="158" t="s">
        <v>30</v>
      </c>
      <c r="E17" s="157" t="s">
        <v>16</v>
      </c>
    </row>
    <row r="18" spans="2:5" x14ac:dyDescent="0.25">
      <c r="B18" s="158"/>
      <c r="C18" s="157" t="s">
        <v>12</v>
      </c>
      <c r="D18" s="158" t="s">
        <v>27</v>
      </c>
      <c r="E18" s="157" t="s">
        <v>14</v>
      </c>
    </row>
    <row r="19" spans="2:5" x14ac:dyDescent="0.25">
      <c r="B19" s="158"/>
      <c r="C19" s="157" t="s">
        <v>13</v>
      </c>
      <c r="D19" s="158" t="s">
        <v>121</v>
      </c>
      <c r="E19" s="157" t="s">
        <v>23</v>
      </c>
    </row>
    <row r="20" spans="2:5" x14ac:dyDescent="0.25">
      <c r="B20" s="158"/>
      <c r="C20" s="157" t="s">
        <v>173</v>
      </c>
      <c r="D20" s="158" t="s">
        <v>29</v>
      </c>
      <c r="E20" s="157" t="s">
        <v>22</v>
      </c>
    </row>
    <row r="21" spans="2:5" x14ac:dyDescent="0.25">
      <c r="B21" s="4"/>
      <c r="C21" s="8" t="s">
        <v>21</v>
      </c>
      <c r="D21" s="159"/>
      <c r="E21" s="160" t="s">
        <v>173</v>
      </c>
    </row>
    <row r="22" spans="2:5" x14ac:dyDescent="0.25">
      <c r="B22" s="158"/>
      <c r="C22" s="157" t="s">
        <v>1</v>
      </c>
    </row>
    <row r="23" spans="2:5" x14ac:dyDescent="0.25">
      <c r="B23" s="158"/>
      <c r="C23" s="157" t="s">
        <v>2</v>
      </c>
    </row>
    <row r="24" spans="2:5" x14ac:dyDescent="0.25">
      <c r="B24" s="158" t="s">
        <v>75</v>
      </c>
      <c r="C24" s="157" t="s">
        <v>3</v>
      </c>
    </row>
    <row r="25" spans="2:5" x14ac:dyDescent="0.25">
      <c r="B25" s="158" t="s">
        <v>76</v>
      </c>
      <c r="C25" s="157" t="s">
        <v>4</v>
      </c>
    </row>
    <row r="26" spans="2:5" x14ac:dyDescent="0.25">
      <c r="B26" s="158" t="s">
        <v>5</v>
      </c>
      <c r="C26" s="157" t="s">
        <v>6</v>
      </c>
    </row>
    <row r="27" spans="2:5" x14ac:dyDescent="0.25">
      <c r="B27" s="158" t="s">
        <v>77</v>
      </c>
      <c r="C27" s="157" t="s">
        <v>7</v>
      </c>
    </row>
    <row r="28" spans="2:5" x14ac:dyDescent="0.25">
      <c r="B28" s="158"/>
      <c r="C28" s="157" t="s">
        <v>8</v>
      </c>
    </row>
    <row r="29" spans="2:5" x14ac:dyDescent="0.25">
      <c r="B29" s="158" t="s">
        <v>78</v>
      </c>
      <c r="C29" s="157" t="s">
        <v>9</v>
      </c>
    </row>
    <row r="30" spans="2:5" x14ac:dyDescent="0.25">
      <c r="B30" s="159" t="s">
        <v>79</v>
      </c>
      <c r="C30" s="160" t="s">
        <v>10</v>
      </c>
    </row>
    <row r="37" spans="2:3" x14ac:dyDescent="0.25">
      <c r="C37" s="161"/>
    </row>
    <row r="40" spans="2:3" x14ac:dyDescent="0.25">
      <c r="B40" s="161"/>
    </row>
    <row r="43" spans="2:3" x14ac:dyDescent="0.25">
      <c r="B43" s="161"/>
    </row>
    <row r="51" spans="2:2" x14ac:dyDescent="0.25">
      <c r="B51" s="161"/>
    </row>
  </sheetData>
  <mergeCells count="2">
    <mergeCell ref="B2:C2"/>
    <mergeCell ref="D2:E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D11" sqref="D11"/>
    </sheetView>
  </sheetViews>
  <sheetFormatPr defaultColWidth="10.875" defaultRowHeight="15.75" x14ac:dyDescent="0.25"/>
  <cols>
    <col min="1" max="1" width="2.5" style="163" customWidth="1"/>
    <col min="2" max="2" width="18.125" style="163" customWidth="1"/>
    <col min="3" max="3" width="37.5" style="163" customWidth="1"/>
    <col min="4" max="4" width="29" style="163" customWidth="1"/>
    <col min="5" max="16384" width="10.875" style="163"/>
  </cols>
  <sheetData>
    <row r="2" spans="2:4" ht="25.5" x14ac:dyDescent="0.25">
      <c r="B2" s="162" t="s">
        <v>256</v>
      </c>
      <c r="C2" s="162" t="s">
        <v>257</v>
      </c>
      <c r="D2" s="162" t="s">
        <v>258</v>
      </c>
    </row>
    <row r="3" spans="2:4" ht="25.5" x14ac:dyDescent="0.25">
      <c r="B3" s="164" t="s">
        <v>259</v>
      </c>
      <c r="C3" s="165" t="s">
        <v>260</v>
      </c>
      <c r="D3" s="166" t="s">
        <v>261</v>
      </c>
    </row>
    <row r="4" spans="2:4" ht="38.25" x14ac:dyDescent="0.25">
      <c r="B4" s="164" t="s">
        <v>262</v>
      </c>
      <c r="C4" s="165" t="s">
        <v>263</v>
      </c>
      <c r="D4" s="166" t="s">
        <v>261</v>
      </c>
    </row>
    <row r="5" spans="2:4" ht="38.25" x14ac:dyDescent="0.25">
      <c r="B5" s="164" t="s">
        <v>264</v>
      </c>
      <c r="C5" s="165" t="s">
        <v>265</v>
      </c>
      <c r="D5" s="165" t="s">
        <v>266</v>
      </c>
    </row>
    <row r="6" spans="2:4" ht="51" x14ac:dyDescent="0.25">
      <c r="B6" s="164" t="s">
        <v>267</v>
      </c>
      <c r="C6" s="165" t="s">
        <v>268</v>
      </c>
      <c r="D6" s="165" t="s">
        <v>269</v>
      </c>
    </row>
    <row r="7" spans="2:4" ht="38.1" customHeight="1" x14ac:dyDescent="0.25">
      <c r="B7" s="164" t="s">
        <v>270</v>
      </c>
      <c r="C7" s="165" t="s">
        <v>271</v>
      </c>
      <c r="D7" s="165" t="s">
        <v>272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Detailed Report</vt:lpstr>
      <vt:lpstr>Report</vt:lpstr>
      <vt:lpstr>Links</vt:lpstr>
      <vt:lpstr>Intersections</vt:lpstr>
      <vt:lpstr>Sheet1</vt:lpstr>
      <vt:lpstr>Variables</vt:lpstr>
      <vt:lpstr>Pavement Condition Rating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cp:lastModifiedBy>
  <cp:lastPrinted>2020-02-12T21:46:59Z</cp:lastPrinted>
  <dcterms:created xsi:type="dcterms:W3CDTF">2017-08-08T18:05:20Z</dcterms:created>
  <dcterms:modified xsi:type="dcterms:W3CDTF">2020-02-13T00:29:48Z</dcterms:modified>
</cp:coreProperties>
</file>