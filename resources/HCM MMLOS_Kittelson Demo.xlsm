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
    </mc:Choice>
  </mc:AlternateContent>
  <xr:revisionPtr revIDLastSave="0" documentId="13_ncr:1_{BA2F9907-9D14-4E45-A7E0-69EF51CD92F5}" xr6:coauthVersionLast="44" xr6:coauthVersionMax="44" xr10:uidLastSave="{00000000-0000-0000-0000-000000000000}"/>
  <bookViews>
    <workbookView xWindow="29355" yWindow="225" windowWidth="21630" windowHeight="14715" activeTab="2" xr2:uid="{00000000-000D-0000-FFFF-FFFF00000000}"/>
  </bookViews>
  <sheets>
    <sheet name="Overview" sheetId="5" r:id="rId1"/>
    <sheet name="Existing" sheetId="9" r:id="rId2"/>
    <sheet name="Current" sheetId="6" r:id="rId3"/>
    <sheet name="Refs" sheetId="8" r:id="rId4"/>
  </sheets>
  <functionGroups builtInGroupCount="19"/>
  <definedNames>
    <definedName name="Bench">Refs!$D$2:$D$3</definedName>
    <definedName name="BusStop">Refs!$B$2:$B$3</definedName>
    <definedName name="Load">Refs!$E$2:$E$5</definedName>
    <definedName name="Median">Refs!$G$2:$G$3</definedName>
    <definedName name="Metro">Refs!$H$2:$H$3</definedName>
    <definedName name="Pavement">Refs!$F$2:$F$6</definedName>
    <definedName name="_xlnm.Print_Area" localSheetId="2">Current!$A$1:$H$83</definedName>
    <definedName name="_xlnm.Print_Area" localSheetId="1">Existing!$A$1:$H$83</definedName>
    <definedName name="Shelter">Refs!$C$2:$C$3</definedName>
    <definedName name="StreetTrees">Refs!$A$2:$A$3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63" i="9" l="1"/>
  <c r="J78" i="9" s="1"/>
  <c r="I63" i="9"/>
  <c r="I78" i="9" s="1"/>
  <c r="H63" i="9"/>
  <c r="H76" i="9" s="1"/>
  <c r="G63" i="9"/>
  <c r="G71" i="9" s="1"/>
  <c r="F63" i="9"/>
  <c r="F78" i="9" s="1"/>
  <c r="E63" i="9"/>
  <c r="D63" i="9"/>
  <c r="D78" i="9" s="1"/>
  <c r="C63" i="9"/>
  <c r="C76" i="9" s="1"/>
  <c r="J62" i="9"/>
  <c r="I62" i="9"/>
  <c r="H62" i="9"/>
  <c r="G62" i="9"/>
  <c r="F62" i="9"/>
  <c r="E62" i="9"/>
  <c r="D62" i="9"/>
  <c r="C62" i="9"/>
  <c r="C68" i="9" s="1"/>
  <c r="J61" i="9"/>
  <c r="I61" i="9"/>
  <c r="H61" i="9"/>
  <c r="G61" i="9"/>
  <c r="F61" i="9"/>
  <c r="E61" i="9"/>
  <c r="D61" i="9"/>
  <c r="C61" i="9"/>
  <c r="J55" i="9"/>
  <c r="I55" i="9"/>
  <c r="H55" i="9"/>
  <c r="G55" i="9"/>
  <c r="F55" i="9"/>
  <c r="E55" i="9"/>
  <c r="D55" i="9"/>
  <c r="C55" i="9"/>
  <c r="J54" i="9"/>
  <c r="I54" i="9"/>
  <c r="H54" i="9"/>
  <c r="G54" i="9"/>
  <c r="F54" i="9"/>
  <c r="E54" i="9"/>
  <c r="D54" i="9"/>
  <c r="C54" i="9"/>
  <c r="J53" i="9"/>
  <c r="I53" i="9"/>
  <c r="H53" i="9"/>
  <c r="G53" i="9"/>
  <c r="F53" i="9"/>
  <c r="E53" i="9"/>
  <c r="D53" i="9"/>
  <c r="C53" i="9"/>
  <c r="C56" i="9" s="1"/>
  <c r="J52" i="9"/>
  <c r="I52" i="9"/>
  <c r="H52" i="9"/>
  <c r="G52" i="9"/>
  <c r="F52" i="9"/>
  <c r="E52" i="9"/>
  <c r="D52" i="9"/>
  <c r="C52" i="9"/>
  <c r="J51" i="9"/>
  <c r="I51" i="9"/>
  <c r="H51" i="9"/>
  <c r="G51" i="9"/>
  <c r="F51" i="9"/>
  <c r="E51" i="9"/>
  <c r="D51" i="9"/>
  <c r="C51" i="9"/>
  <c r="J49" i="9"/>
  <c r="J50" i="9" s="1"/>
  <c r="I49" i="9"/>
  <c r="I50" i="9" s="1"/>
  <c r="H49" i="9"/>
  <c r="H50" i="9" s="1"/>
  <c r="G49" i="9"/>
  <c r="G50" i="9" s="1"/>
  <c r="F49" i="9"/>
  <c r="F50" i="9" s="1"/>
  <c r="E49" i="9"/>
  <c r="E50" i="9" s="1"/>
  <c r="D49" i="9"/>
  <c r="D50" i="9" s="1"/>
  <c r="C49" i="9"/>
  <c r="C50" i="9" s="1"/>
  <c r="J48" i="9"/>
  <c r="I48" i="9"/>
  <c r="H48" i="9"/>
  <c r="G48" i="9"/>
  <c r="F48" i="9"/>
  <c r="E48" i="9"/>
  <c r="D48" i="9"/>
  <c r="C48" i="9"/>
  <c r="J47" i="9"/>
  <c r="I47" i="9"/>
  <c r="H47" i="9"/>
  <c r="G47" i="9"/>
  <c r="F47" i="9"/>
  <c r="E47" i="9"/>
  <c r="D47" i="9"/>
  <c r="C47" i="9"/>
  <c r="J46" i="9"/>
  <c r="I46" i="9"/>
  <c r="H46" i="9"/>
  <c r="G46" i="9"/>
  <c r="F46" i="9"/>
  <c r="E46" i="9"/>
  <c r="D46" i="9"/>
  <c r="C46" i="9"/>
  <c r="J42" i="9"/>
  <c r="I42" i="9"/>
  <c r="H42" i="9"/>
  <c r="G42" i="9"/>
  <c r="F42" i="9"/>
  <c r="E42" i="9"/>
  <c r="D42" i="9"/>
  <c r="C42" i="9"/>
  <c r="J41" i="9"/>
  <c r="I41" i="9"/>
  <c r="H41" i="9"/>
  <c r="G41" i="9"/>
  <c r="F41" i="9"/>
  <c r="E41" i="9"/>
  <c r="D41" i="9"/>
  <c r="C41" i="9"/>
  <c r="J39" i="9"/>
  <c r="J40" i="9" s="1"/>
  <c r="I39" i="9"/>
  <c r="I40" i="9" s="1"/>
  <c r="H39" i="9"/>
  <c r="H40" i="9" s="1"/>
  <c r="G39" i="9"/>
  <c r="G40" i="9" s="1"/>
  <c r="F39" i="9"/>
  <c r="F40" i="9" s="1"/>
  <c r="E39" i="9"/>
  <c r="E40" i="9" s="1"/>
  <c r="D39" i="9"/>
  <c r="D40" i="9" s="1"/>
  <c r="C39" i="9"/>
  <c r="C40" i="9" s="1"/>
  <c r="J38" i="9"/>
  <c r="I38" i="9"/>
  <c r="H38" i="9"/>
  <c r="G38" i="9"/>
  <c r="F38" i="9"/>
  <c r="E38" i="9"/>
  <c r="D38" i="9"/>
  <c r="C38" i="9"/>
  <c r="J37" i="9"/>
  <c r="I37" i="9"/>
  <c r="H37" i="9"/>
  <c r="G37" i="9"/>
  <c r="F37" i="9"/>
  <c r="E37" i="9"/>
  <c r="D37" i="9"/>
  <c r="C37" i="9"/>
  <c r="J36" i="9"/>
  <c r="I36" i="9"/>
  <c r="H36" i="9"/>
  <c r="G36" i="9"/>
  <c r="F36" i="9"/>
  <c r="E36" i="9"/>
  <c r="D36" i="9"/>
  <c r="C36" i="9"/>
  <c r="J35" i="9"/>
  <c r="I35" i="9"/>
  <c r="H35" i="9"/>
  <c r="G35" i="9"/>
  <c r="F35" i="9"/>
  <c r="E35" i="9"/>
  <c r="D35" i="9"/>
  <c r="C35" i="9"/>
  <c r="J34" i="9"/>
  <c r="I34" i="9"/>
  <c r="H34" i="9"/>
  <c r="G34" i="9"/>
  <c r="F34" i="9"/>
  <c r="E34" i="9"/>
  <c r="D34" i="9"/>
  <c r="C34" i="9"/>
  <c r="J33" i="9"/>
  <c r="J43" i="9" s="1"/>
  <c r="J44" i="9" s="1"/>
  <c r="I33" i="9"/>
  <c r="I43" i="9" s="1"/>
  <c r="I44" i="9" s="1"/>
  <c r="H33" i="9"/>
  <c r="G33" i="9"/>
  <c r="G43" i="9" s="1"/>
  <c r="G44" i="9" s="1"/>
  <c r="F33" i="9"/>
  <c r="F43" i="9" s="1"/>
  <c r="F44" i="9" s="1"/>
  <c r="E33" i="9"/>
  <c r="E43" i="9" s="1"/>
  <c r="E44" i="9" s="1"/>
  <c r="D33" i="9"/>
  <c r="C33" i="9"/>
  <c r="C43" i="9" s="1"/>
  <c r="C44" i="9" s="1"/>
  <c r="J32" i="9"/>
  <c r="I32" i="9"/>
  <c r="H32" i="9"/>
  <c r="G32" i="9"/>
  <c r="F32" i="9"/>
  <c r="E32" i="9"/>
  <c r="D32" i="9"/>
  <c r="C32" i="9"/>
  <c r="J31" i="9"/>
  <c r="I31" i="9"/>
  <c r="H31" i="9"/>
  <c r="G31" i="9"/>
  <c r="F31" i="9"/>
  <c r="E31" i="9"/>
  <c r="D31" i="9"/>
  <c r="C31" i="9"/>
  <c r="J76" i="6"/>
  <c r="J69" i="6"/>
  <c r="J68" i="6"/>
  <c r="J64" i="6"/>
  <c r="J63" i="6"/>
  <c r="J71" i="6" s="1"/>
  <c r="J62" i="6"/>
  <c r="J61" i="6"/>
  <c r="J55" i="6"/>
  <c r="J54" i="6" s="1"/>
  <c r="J52" i="6"/>
  <c r="J51" i="6"/>
  <c r="J50" i="6"/>
  <c r="J49" i="6"/>
  <c r="J48" i="6"/>
  <c r="J47" i="6"/>
  <c r="J46" i="6"/>
  <c r="J42" i="6"/>
  <c r="J41" i="6"/>
  <c r="J39" i="6"/>
  <c r="J40" i="6" s="1"/>
  <c r="J38" i="6"/>
  <c r="J37" i="6"/>
  <c r="J36" i="6"/>
  <c r="J35" i="6"/>
  <c r="J34" i="6"/>
  <c r="J43" i="6" s="1"/>
  <c r="J44" i="6" s="1"/>
  <c r="J33" i="6"/>
  <c r="J32" i="6"/>
  <c r="J31" i="6"/>
  <c r="I76" i="6"/>
  <c r="I69" i="6"/>
  <c r="I68" i="6"/>
  <c r="I64" i="6"/>
  <c r="I63" i="6"/>
  <c r="I71" i="6" s="1"/>
  <c r="I62" i="6"/>
  <c r="I61" i="6"/>
  <c r="I55" i="6"/>
  <c r="I54" i="6" s="1"/>
  <c r="I52" i="6"/>
  <c r="I51" i="6"/>
  <c r="I50" i="6"/>
  <c r="I49" i="6"/>
  <c r="I48" i="6"/>
  <c r="I47" i="6"/>
  <c r="I46" i="6"/>
  <c r="I42" i="6"/>
  <c r="I41" i="6"/>
  <c r="I39" i="6"/>
  <c r="I40" i="6" s="1"/>
  <c r="I38" i="6"/>
  <c r="I37" i="6"/>
  <c r="I36" i="6"/>
  <c r="I35" i="6"/>
  <c r="I34" i="6"/>
  <c r="I33" i="6"/>
  <c r="I43" i="6" s="1"/>
  <c r="I44" i="6" s="1"/>
  <c r="I32" i="6"/>
  <c r="I31" i="6"/>
  <c r="C57" i="9" l="1"/>
  <c r="C58" i="9" s="1"/>
  <c r="C59" i="9" s="1"/>
  <c r="G57" i="9"/>
  <c r="G58" i="9" s="1"/>
  <c r="G59" i="9" s="1"/>
  <c r="C78" i="9"/>
  <c r="D43" i="9"/>
  <c r="D44" i="9" s="1"/>
  <c r="H43" i="9"/>
  <c r="H44" i="9" s="1"/>
  <c r="D57" i="9"/>
  <c r="D58" i="9" s="1"/>
  <c r="D59" i="9" s="1"/>
  <c r="H57" i="9"/>
  <c r="H58" i="9" s="1"/>
  <c r="H59" i="9" s="1"/>
  <c r="G56" i="9"/>
  <c r="G64" i="9"/>
  <c r="G66" i="9"/>
  <c r="G68" i="9"/>
  <c r="G70" i="9"/>
  <c r="G76" i="9"/>
  <c r="G78" i="9"/>
  <c r="C66" i="9"/>
  <c r="C70" i="9"/>
  <c r="C67" i="9"/>
  <c r="C69" i="9"/>
  <c r="C71" i="9"/>
  <c r="C64" i="9"/>
  <c r="F57" i="9"/>
  <c r="F58" i="9" s="1"/>
  <c r="F59" i="9" s="1"/>
  <c r="J57" i="9"/>
  <c r="J58" i="9" s="1"/>
  <c r="J59" i="9" s="1"/>
  <c r="G67" i="9"/>
  <c r="G69" i="9"/>
  <c r="H56" i="9"/>
  <c r="D64" i="9"/>
  <c r="D66" i="9"/>
  <c r="D67" i="9"/>
  <c r="D68" i="9"/>
  <c r="D69" i="9"/>
  <c r="D70" i="9"/>
  <c r="H71" i="9"/>
  <c r="D76" i="9"/>
  <c r="H78" i="9"/>
  <c r="E56" i="9"/>
  <c r="E57" i="9" s="1"/>
  <c r="E58" i="9" s="1"/>
  <c r="E59" i="9" s="1"/>
  <c r="I56" i="9"/>
  <c r="I57" i="9" s="1"/>
  <c r="I58" i="9" s="1"/>
  <c r="I59" i="9" s="1"/>
  <c r="E64" i="9"/>
  <c r="I64" i="9"/>
  <c r="E66" i="9"/>
  <c r="I66" i="9"/>
  <c r="E67" i="9"/>
  <c r="I67" i="9"/>
  <c r="E68" i="9"/>
  <c r="I68" i="9"/>
  <c r="I70" i="9" s="1"/>
  <c r="E69" i="9"/>
  <c r="I69" i="9"/>
  <c r="E70" i="9"/>
  <c r="E71" i="9"/>
  <c r="I71" i="9"/>
  <c r="I76" i="9"/>
  <c r="D56" i="9"/>
  <c r="H64" i="9"/>
  <c r="H66" i="9"/>
  <c r="H67" i="9"/>
  <c r="H68" i="9"/>
  <c r="H69" i="9"/>
  <c r="H70" i="9"/>
  <c r="D71" i="9"/>
  <c r="F56" i="9"/>
  <c r="J56" i="9"/>
  <c r="F64" i="9"/>
  <c r="J64" i="9"/>
  <c r="F66" i="9"/>
  <c r="J66" i="9"/>
  <c r="F67" i="9"/>
  <c r="J67" i="9"/>
  <c r="F68" i="9"/>
  <c r="F70" i="9" s="1"/>
  <c r="J68" i="9"/>
  <c r="F69" i="9"/>
  <c r="J69" i="9"/>
  <c r="J70" i="9"/>
  <c r="F71" i="9"/>
  <c r="J71" i="9"/>
  <c r="F76" i="9"/>
  <c r="J76" i="9"/>
  <c r="J65" i="6"/>
  <c r="J73" i="6"/>
  <c r="J81" i="6"/>
  <c r="J53" i="6"/>
  <c r="J56" i="6" s="1"/>
  <c r="J57" i="6" s="1"/>
  <c r="J58" i="6" s="1"/>
  <c r="J59" i="6" s="1"/>
  <c r="J66" i="6"/>
  <c r="J75" i="6" s="1"/>
  <c r="J70" i="6"/>
  <c r="J74" i="6"/>
  <c r="J78" i="6"/>
  <c r="J72" i="6"/>
  <c r="J67" i="6"/>
  <c r="I72" i="6"/>
  <c r="I56" i="6"/>
  <c r="I57" i="6" s="1"/>
  <c r="I58" i="6" s="1"/>
  <c r="I59" i="6" s="1"/>
  <c r="I65" i="6"/>
  <c r="I73" i="6"/>
  <c r="I81" i="6"/>
  <c r="I53" i="6"/>
  <c r="I66" i="6"/>
  <c r="I70" i="6"/>
  <c r="I75" i="6" s="1"/>
  <c r="I74" i="6"/>
  <c r="I78" i="6"/>
  <c r="I67" i="6"/>
  <c r="H61" i="6"/>
  <c r="G61" i="6"/>
  <c r="F61" i="6"/>
  <c r="E61" i="6"/>
  <c r="D61" i="6"/>
  <c r="I75" i="9" l="1"/>
  <c r="E81" i="9"/>
  <c r="E74" i="9"/>
  <c r="E73" i="9"/>
  <c r="E72" i="9"/>
  <c r="E75" i="9" s="1"/>
  <c r="E65" i="9"/>
  <c r="G81" i="9"/>
  <c r="G73" i="9"/>
  <c r="G65" i="9"/>
  <c r="G74" i="9"/>
  <c r="G72" i="9"/>
  <c r="G75" i="9" s="1"/>
  <c r="H65" i="9"/>
  <c r="H81" i="9"/>
  <c r="H74" i="9"/>
  <c r="H73" i="9"/>
  <c r="H72" i="9"/>
  <c r="H75" i="9" s="1"/>
  <c r="F81" i="9"/>
  <c r="F74" i="9"/>
  <c r="F73" i="9"/>
  <c r="F72" i="9"/>
  <c r="F75" i="9" s="1"/>
  <c r="F65" i="9"/>
  <c r="C72" i="9"/>
  <c r="C75" i="9" s="1"/>
  <c r="C81" i="9"/>
  <c r="C73" i="9"/>
  <c r="C65" i="9"/>
  <c r="C74" i="9"/>
  <c r="D81" i="9"/>
  <c r="D74" i="9"/>
  <c r="D73" i="9"/>
  <c r="D72" i="9"/>
  <c r="D75" i="9" s="1"/>
  <c r="D65" i="9"/>
  <c r="J81" i="9"/>
  <c r="J74" i="9"/>
  <c r="J73" i="9"/>
  <c r="J72" i="9"/>
  <c r="J75" i="9" s="1"/>
  <c r="J65" i="9"/>
  <c r="I81" i="9"/>
  <c r="I74" i="9"/>
  <c r="I73" i="9"/>
  <c r="I72" i="9"/>
  <c r="I65" i="9"/>
  <c r="J77" i="6"/>
  <c r="J79" i="6" s="1"/>
  <c r="J80" i="6" s="1"/>
  <c r="J82" i="6" s="1"/>
  <c r="J83" i="6" s="1"/>
  <c r="I77" i="6"/>
  <c r="I79" i="6" s="1"/>
  <c r="I80" i="6" s="1"/>
  <c r="I82" i="6" s="1"/>
  <c r="I83" i="6" s="1"/>
  <c r="H34" i="6"/>
  <c r="G34" i="6"/>
  <c r="F34" i="6"/>
  <c r="E34" i="6"/>
  <c r="D34" i="6"/>
  <c r="C34" i="6"/>
  <c r="H35" i="6"/>
  <c r="G35" i="6"/>
  <c r="F35" i="6"/>
  <c r="E35" i="6"/>
  <c r="D35" i="6"/>
  <c r="C35" i="6"/>
  <c r="E76" i="9" l="1"/>
  <c r="E78" i="9"/>
  <c r="E77" i="9"/>
  <c r="J77" i="9"/>
  <c r="J79" i="9" s="1"/>
  <c r="J80" i="9" s="1"/>
  <c r="J82" i="9" s="1"/>
  <c r="J83" i="9" s="1"/>
  <c r="I77" i="9"/>
  <c r="I79" i="9" s="1"/>
  <c r="I80" i="9" s="1"/>
  <c r="I82" i="9" s="1"/>
  <c r="I83" i="9" s="1"/>
  <c r="D77" i="9"/>
  <c r="D79" i="9" s="1"/>
  <c r="D80" i="9" s="1"/>
  <c r="D82" i="9" s="1"/>
  <c r="D83" i="9" s="1"/>
  <c r="C77" i="9"/>
  <c r="C79" i="9" s="1"/>
  <c r="C80" i="9" s="1"/>
  <c r="C82" i="9" s="1"/>
  <c r="C83" i="9" s="1"/>
  <c r="F77" i="9"/>
  <c r="F79" i="9" s="1"/>
  <c r="F80" i="9" s="1"/>
  <c r="F82" i="9" s="1"/>
  <c r="F83" i="9" s="1"/>
  <c r="H77" i="9"/>
  <c r="H79" i="9" s="1"/>
  <c r="H80" i="9" s="1"/>
  <c r="H82" i="9" s="1"/>
  <c r="H83" i="9" s="1"/>
  <c r="G77" i="9"/>
  <c r="G79" i="9" s="1"/>
  <c r="G80" i="9" s="1"/>
  <c r="G82" i="9" s="1"/>
  <c r="G83" i="9" s="1"/>
  <c r="H63" i="6"/>
  <c r="G63" i="6"/>
  <c r="F63" i="6"/>
  <c r="E63" i="6"/>
  <c r="E67" i="6" s="1"/>
  <c r="D63" i="6"/>
  <c r="H62" i="6"/>
  <c r="H66" i="6" s="1"/>
  <c r="G62" i="6"/>
  <c r="G66" i="6" s="1"/>
  <c r="F62" i="6"/>
  <c r="F66" i="6" s="1"/>
  <c r="E62" i="6"/>
  <c r="E66" i="6" s="1"/>
  <c r="D62" i="6"/>
  <c r="C63" i="6"/>
  <c r="C62" i="6"/>
  <c r="C66" i="6" s="1"/>
  <c r="E79" i="9" l="1"/>
  <c r="E80" i="9" s="1"/>
  <c r="E82" i="9" s="1"/>
  <c r="E83" i="9" s="1"/>
  <c r="C78" i="6"/>
  <c r="C67" i="6"/>
  <c r="C76" i="6"/>
  <c r="F67" i="6"/>
  <c r="F78" i="6"/>
  <c r="F76" i="6"/>
  <c r="G78" i="6"/>
  <c r="G67" i="6"/>
  <c r="G76" i="6"/>
  <c r="D76" i="6"/>
  <c r="D67" i="6"/>
  <c r="D78" i="6"/>
  <c r="H76" i="6"/>
  <c r="H78" i="6"/>
  <c r="H67" i="6"/>
  <c r="D68" i="6"/>
  <c r="D70" i="6" s="1"/>
  <c r="D66" i="6"/>
  <c r="C71" i="6"/>
  <c r="D69" i="6"/>
  <c r="H69" i="6"/>
  <c r="E69" i="6"/>
  <c r="E71" i="6" s="1"/>
  <c r="F69" i="6"/>
  <c r="E68" i="6"/>
  <c r="E70" i="6" s="1"/>
  <c r="G69" i="6"/>
  <c r="D71" i="6"/>
  <c r="H71" i="6"/>
  <c r="C69" i="6"/>
  <c r="F68" i="6"/>
  <c r="F70" i="6" s="1"/>
  <c r="C68" i="6"/>
  <c r="C70" i="6" s="1"/>
  <c r="G68" i="6"/>
  <c r="G70" i="6" s="1"/>
  <c r="F71" i="6"/>
  <c r="C64" i="6"/>
  <c r="H68" i="6"/>
  <c r="H70" i="6" s="1"/>
  <c r="G71" i="6"/>
  <c r="E64" i="6"/>
  <c r="F64" i="6"/>
  <c r="G64" i="6"/>
  <c r="D64" i="6"/>
  <c r="H64" i="6"/>
  <c r="C61" i="6"/>
  <c r="H55" i="6"/>
  <c r="H53" i="6" s="1"/>
  <c r="G55" i="6"/>
  <c r="G54" i="6" s="1"/>
  <c r="F55" i="6"/>
  <c r="F54" i="6" s="1"/>
  <c r="E55" i="6"/>
  <c r="E54" i="6" s="1"/>
  <c r="D55" i="6"/>
  <c r="D54" i="6" s="1"/>
  <c r="C55" i="6"/>
  <c r="C54" i="6" s="1"/>
  <c r="H52" i="6"/>
  <c r="G52" i="6"/>
  <c r="F52" i="6"/>
  <c r="E52" i="6"/>
  <c r="D52" i="6"/>
  <c r="C52" i="6"/>
  <c r="H51" i="6"/>
  <c r="G51" i="6"/>
  <c r="F51" i="6"/>
  <c r="E51" i="6"/>
  <c r="D51" i="6"/>
  <c r="C51" i="6"/>
  <c r="H49" i="6"/>
  <c r="H50" i="6" s="1"/>
  <c r="G49" i="6"/>
  <c r="G50" i="6" s="1"/>
  <c r="F49" i="6"/>
  <c r="F50" i="6" s="1"/>
  <c r="E49" i="6"/>
  <c r="E50" i="6" s="1"/>
  <c r="D49" i="6"/>
  <c r="D50" i="6" s="1"/>
  <c r="C49" i="6"/>
  <c r="C50" i="6" s="1"/>
  <c r="H48" i="6"/>
  <c r="G48" i="6"/>
  <c r="F48" i="6"/>
  <c r="E48" i="6"/>
  <c r="D48" i="6"/>
  <c r="C48" i="6"/>
  <c r="G73" i="6" l="1"/>
  <c r="G72" i="6"/>
  <c r="G75" i="6" s="1"/>
  <c r="G74" i="6"/>
  <c r="F72" i="6"/>
  <c r="F75" i="6" s="1"/>
  <c r="F77" i="6" s="1"/>
  <c r="F79" i="6" s="1"/>
  <c r="F80" i="6" s="1"/>
  <c r="F73" i="6"/>
  <c r="F74" i="6"/>
  <c r="C72" i="6"/>
  <c r="C73" i="6"/>
  <c r="D73" i="6"/>
  <c r="D72" i="6"/>
  <c r="H73" i="6"/>
  <c r="H72" i="6"/>
  <c r="H75" i="6" s="1"/>
  <c r="H77" i="6" s="1"/>
  <c r="H79" i="6" s="1"/>
  <c r="H74" i="6"/>
  <c r="E72" i="6"/>
  <c r="E73" i="6"/>
  <c r="E74" i="6"/>
  <c r="D74" i="6"/>
  <c r="C74" i="6"/>
  <c r="C65" i="6"/>
  <c r="D65" i="6"/>
  <c r="G65" i="6"/>
  <c r="F65" i="6"/>
  <c r="H65" i="6"/>
  <c r="E65" i="6"/>
  <c r="E53" i="6"/>
  <c r="G53" i="6"/>
  <c r="C53" i="6"/>
  <c r="H54" i="6"/>
  <c r="F53" i="6"/>
  <c r="D53" i="6"/>
  <c r="H47" i="6"/>
  <c r="H56" i="6" s="1"/>
  <c r="G47" i="6"/>
  <c r="F47" i="6"/>
  <c r="E47" i="6"/>
  <c r="D47" i="6"/>
  <c r="C47" i="6"/>
  <c r="H31" i="6"/>
  <c r="G31" i="6"/>
  <c r="F31" i="6"/>
  <c r="E31" i="6"/>
  <c r="D31" i="6"/>
  <c r="C31" i="6"/>
  <c r="H46" i="6"/>
  <c r="G46" i="6"/>
  <c r="F46" i="6"/>
  <c r="E46" i="6"/>
  <c r="D46" i="6"/>
  <c r="C46" i="6"/>
  <c r="H32" i="6"/>
  <c r="G32" i="6"/>
  <c r="F32" i="6"/>
  <c r="E32" i="6"/>
  <c r="D32" i="6"/>
  <c r="C32" i="6"/>
  <c r="H42" i="6"/>
  <c r="G42" i="6"/>
  <c r="F42" i="6"/>
  <c r="E42" i="6"/>
  <c r="D42" i="6"/>
  <c r="C42" i="6"/>
  <c r="H41" i="6"/>
  <c r="G41" i="6"/>
  <c r="F41" i="6"/>
  <c r="E41" i="6"/>
  <c r="D41" i="6"/>
  <c r="C41" i="6"/>
  <c r="H39" i="6"/>
  <c r="H40" i="6" s="1"/>
  <c r="G39" i="6"/>
  <c r="G40" i="6" s="1"/>
  <c r="F39" i="6"/>
  <c r="F40" i="6" s="1"/>
  <c r="E39" i="6"/>
  <c r="E40" i="6" s="1"/>
  <c r="D39" i="6"/>
  <c r="D40" i="6" s="1"/>
  <c r="C39" i="6"/>
  <c r="C40" i="6" s="1"/>
  <c r="H38" i="6"/>
  <c r="G38" i="6"/>
  <c r="F38" i="6"/>
  <c r="E38" i="6"/>
  <c r="D38" i="6"/>
  <c r="C38" i="6"/>
  <c r="H37" i="6"/>
  <c r="G37" i="6"/>
  <c r="F37" i="6"/>
  <c r="E37" i="6"/>
  <c r="D37" i="6"/>
  <c r="C37" i="6"/>
  <c r="H36" i="6"/>
  <c r="G36" i="6"/>
  <c r="F36" i="6"/>
  <c r="E36" i="6"/>
  <c r="D36" i="6"/>
  <c r="C36" i="6"/>
  <c r="H33" i="6"/>
  <c r="G33" i="6"/>
  <c r="F33" i="6"/>
  <c r="E33" i="6"/>
  <c r="D33" i="6"/>
  <c r="C33" i="6"/>
  <c r="G77" i="6" l="1"/>
  <c r="G79" i="6" s="1"/>
  <c r="H80" i="6"/>
  <c r="D75" i="6"/>
  <c r="D77" i="6"/>
  <c r="D79" i="6" s="1"/>
  <c r="D80" i="6" s="1"/>
  <c r="G80" i="6"/>
  <c r="E76" i="6"/>
  <c r="E78" i="6" s="1"/>
  <c r="E56" i="6"/>
  <c r="E57" i="6" s="1"/>
  <c r="E58" i="6" s="1"/>
  <c r="E59" i="6" s="1"/>
  <c r="E75" i="6"/>
  <c r="C75" i="6"/>
  <c r="H57" i="6"/>
  <c r="H58" i="6" s="1"/>
  <c r="H59" i="6" s="1"/>
  <c r="E43" i="6"/>
  <c r="E81" i="6" s="1"/>
  <c r="C43" i="6"/>
  <c r="C81" i="6" s="1"/>
  <c r="C56" i="6"/>
  <c r="C57" i="6" s="1"/>
  <c r="C58" i="6" s="1"/>
  <c r="D43" i="6"/>
  <c r="D81" i="6" s="1"/>
  <c r="H43" i="6"/>
  <c r="H81" i="6" s="1"/>
  <c r="H82" i="6" s="1"/>
  <c r="H83" i="6" s="1"/>
  <c r="F43" i="6"/>
  <c r="F81" i="6" s="1"/>
  <c r="F82" i="6" s="1"/>
  <c r="F83" i="6" s="1"/>
  <c r="D56" i="6"/>
  <c r="D57" i="6" s="1"/>
  <c r="D58" i="6" s="1"/>
  <c r="D59" i="6" s="1"/>
  <c r="F56" i="6"/>
  <c r="F57" i="6" s="1"/>
  <c r="F58" i="6" s="1"/>
  <c r="F59" i="6" s="1"/>
  <c r="G56" i="6"/>
  <c r="G57" i="6" s="1"/>
  <c r="G58" i="6" s="1"/>
  <c r="G59" i="6" s="1"/>
  <c r="G43" i="6"/>
  <c r="G81" i="6" s="1"/>
  <c r="G82" i="6" l="1"/>
  <c r="G83" i="6" s="1"/>
  <c r="D82" i="6"/>
  <c r="D83" i="6" s="1"/>
  <c r="C59" i="6"/>
  <c r="E44" i="6"/>
  <c r="E77" i="6"/>
  <c r="E79" i="6" s="1"/>
  <c r="E80" i="6" s="1"/>
  <c r="E82" i="6" s="1"/>
  <c r="E83" i="6" s="1"/>
  <c r="C77" i="6"/>
  <c r="C79" i="6" s="1"/>
  <c r="C80" i="6" s="1"/>
  <c r="C82" i="6" s="1"/>
  <c r="C83" i="6" s="1"/>
  <c r="H44" i="6"/>
  <c r="G44" i="6"/>
  <c r="D44" i="6"/>
  <c r="F44" i="6"/>
  <c r="C44" i="6"/>
</calcChain>
</file>

<file path=xl/sharedStrings.xml><?xml version="1.0" encoding="utf-8"?>
<sst xmlns="http://schemas.openxmlformats.org/spreadsheetml/2006/main" count="339" uniqueCount="114">
  <si>
    <t>FOREWORD</t>
  </si>
  <si>
    <t>ACKNOWLEDGMENT OF SPONSORSHIP</t>
  </si>
  <si>
    <t>DISCLAIMER</t>
  </si>
  <si>
    <t>HANDLING OF COMMENTS AND REVISIONS</t>
  </si>
  <si>
    <t>Planning &amp; Preliminary Engineering Applications Guide to the HCM</t>
  </si>
  <si>
    <t xml:space="preserve">This work was sponsored by the American Association of State Highway and Transportation Officials, in cooperation with the Federal Highway Administration, and was conducted in the National Cooperative Highway Research Program (NCHRP), which is administered by the Transportation Research Board of the National Academies of Sciences, Engineering, and Medicine.  </t>
  </si>
  <si>
    <t>This is unedited material as submitted by the contractor for NCHRP Project 07-22, Planning and Preliminary Applications Guide to the Highway Capacity Manual. The opinions and conclusions expressed or implied in the material are those of the research agency. They are not necessarily those of the Transportation Research Board; the National Academies of Sciences, Engineering, and Medicine; or the program sponsors.</t>
  </si>
  <si>
    <t>No warranty is made by the developers or their employer as to the accuracy, completeness, or reliability of this software and its associated equations and documentation. No responsibility is assumed by the developers for incorrect results or damages resulting from the use of this software.</t>
  </si>
  <si>
    <t xml:space="preserve">This material and the copyrights therein are owned by the National Academies of Sciences, Engineering, and Medicine.  </t>
  </si>
  <si>
    <t>COPYRIGHT</t>
  </si>
  <si>
    <t>VERSION HISTORY</t>
  </si>
  <si>
    <t>Initial computational engine release</t>
  </si>
  <si>
    <t xml:space="preserve">Comments should be directed to the Highway Capacity Manual Volume 4 website (http://www.hcmvolume4.org). General questions on the use of the spreadsheet should be posted in the site's Discussion Forum section. Reports of potential errors in the spreadsheet or underlying methods should be sent using the link in the site's Interpretations &amp; Errata section. Comments and questions should be specific and refer to specific spreadsheet cells.  </t>
  </si>
  <si>
    <t>Multimodal Urban Steet LOS Planning Method</t>
  </si>
  <si>
    <r>
      <t xml:space="preserve">This software automates the multimodal level of service (LOS) planning methods for urban streets in </t>
    </r>
    <r>
      <rPr>
        <i/>
        <sz val="10"/>
        <rFont val="Arial"/>
        <family val="2"/>
      </rPr>
      <t>NCHRP Report 825: Planning and Preliminary Engineering Applications Guide to the Highway Capacity Manual.</t>
    </r>
    <r>
      <rPr>
        <sz val="10"/>
        <rFont val="Arial"/>
        <family val="2"/>
      </rPr>
      <t xml:space="preserve"> </t>
    </r>
    <r>
      <rPr>
        <sz val="10"/>
        <color theme="1"/>
        <rFont val="Arial"/>
        <family val="2"/>
      </rPr>
      <t>This is a research-grade software tool that does not provide the enhanced user interface and extensive error checking that commercial software would provide.</t>
    </r>
  </si>
  <si>
    <t>Traffic Characteristics</t>
  </si>
  <si>
    <t>Bicycle lane width (ft)</t>
  </si>
  <si>
    <t>Yes</t>
  </si>
  <si>
    <t>No</t>
  </si>
  <si>
    <t>Sidewalk width (ft)</t>
  </si>
  <si>
    <t>Street Name and Direction</t>
  </si>
  <si>
    <t>Cross street at end of section</t>
  </si>
  <si>
    <t>PART 1: INPUT DATA</t>
  </si>
  <si>
    <t>% heavy vehicles</t>
  </si>
  <si>
    <t>% segment with occupied on-street parking</t>
  </si>
  <si>
    <t>Midblock vehicle speed or speed limit (mph)</t>
  </si>
  <si>
    <t>Gutter width (ft)</t>
  </si>
  <si>
    <t>Outside travel lane width (ft)</t>
  </si>
  <si>
    <t>Parking lane/shoulder width (ft)</t>
  </si>
  <si>
    <t>Street tree/barrier presence</t>
  </si>
  <si>
    <t>StreetTrees</t>
  </si>
  <si>
    <t>Number of through lanes in direction of travel</t>
  </si>
  <si>
    <t>Traffic volume in direction of travel (veh/h)</t>
  </si>
  <si>
    <t>Transit Service</t>
  </si>
  <si>
    <t>Bus stop presence</t>
  </si>
  <si>
    <t>BusStop</t>
  </si>
  <si>
    <t>Shelter provided</t>
  </si>
  <si>
    <t>Shelter</t>
  </si>
  <si>
    <t>Bench</t>
  </si>
  <si>
    <t>Bench provided</t>
  </si>
  <si>
    <t>Load</t>
  </si>
  <si>
    <t>All seats full</t>
  </si>
  <si>
    <t>Many seats avail.</t>
  </si>
  <si>
    <t>PART 2: PEDESTRIAN LOS</t>
  </si>
  <si>
    <t>Low-volume factor</t>
  </si>
  <si>
    <t>On-street parking percentage</t>
  </si>
  <si>
    <t>Buffer area coefficient</t>
  </si>
  <si>
    <t>Buffer width (ft)</t>
  </si>
  <si>
    <t>Sidewalk presence coefficient</t>
  </si>
  <si>
    <t>Adjusted sidewalk width (ft)</t>
  </si>
  <si>
    <t>Number of through lanes in travel direction</t>
  </si>
  <si>
    <t>Average midblock vehicle speed (mph)</t>
  </si>
  <si>
    <t>Landscape strip/furnishing zone width (ft)</t>
  </si>
  <si>
    <t>Pedestrian LOS score</t>
  </si>
  <si>
    <t>Pedestrian LOS</t>
  </si>
  <si>
    <t>PART 3: BICYCLE LOS</t>
  </si>
  <si>
    <t>Effective speed factor</t>
  </si>
  <si>
    <t>Heavy vehicle percentage</t>
  </si>
  <si>
    <t>Pavement</t>
  </si>
  <si>
    <t>Pavement condition rating (5 = excellent, 1 = poor)</t>
  </si>
  <si>
    <t>Roadway Geometry and Condition</t>
  </si>
  <si>
    <t>Pavement condition</t>
  </si>
  <si>
    <t>Width of travel lane, bike lane, and shoulder (ft)</t>
  </si>
  <si>
    <t>Width of bike lane and shoulder (ft)</t>
  </si>
  <si>
    <t>Effective width of outside through lane (ft)</t>
  </si>
  <si>
    <t>Effective width of outside through lane as a function of traffic (ft)</t>
  </si>
  <si>
    <t>Median presence</t>
  </si>
  <si>
    <t>Median</t>
  </si>
  <si>
    <t>Bicycle LOS score</t>
  </si>
  <si>
    <t>Bicycle LOS</t>
  </si>
  <si>
    <t>PART 4: TRANSIT LOS</t>
  </si>
  <si>
    <t>Headway factor</t>
  </si>
  <si>
    <t>Excess wait time rate (min/mi)</t>
  </si>
  <si>
    <t>Amenity time rate (min/mi)</t>
  </si>
  <si>
    <t>Metropolitan area &gt;5 million people</t>
  </si>
  <si>
    <t>Metro</t>
  </si>
  <si>
    <t>Baseline travel time rate (min/mi)</t>
  </si>
  <si>
    <t>Transit wait-ride score</t>
  </si>
  <si>
    <t>Transit LOS score</t>
  </si>
  <si>
    <t>Transit LOS</t>
  </si>
  <si>
    <t>Local bus frequency serving section (bus/h)</t>
  </si>
  <si>
    <t>Express bus frequency serving section (bus/h)</t>
  </si>
  <si>
    <t>Total bus frequency serving section (bus/h)</t>
  </si>
  <si>
    <t>In-vehicle travel time rate - local (min/mi)</t>
  </si>
  <si>
    <t>In-vehicle travel time rate - express (min/mi)</t>
  </si>
  <si>
    <t>Perceived travel time rate - local (min/mi)</t>
  </si>
  <si>
    <t>Perceived travel time rate - express (min/mi)</t>
  </si>
  <si>
    <t>Actual or scheduled bus speed - local (mph)</t>
  </si>
  <si>
    <t>Actual or scheduled bus speed - express (mph)</t>
  </si>
  <si>
    <t>Passenger load - local</t>
  </si>
  <si>
    <t>Passenger load - express</t>
  </si>
  <si>
    <t>Perceived travel time factor - local</t>
  </si>
  <si>
    <t>Perceived travel time factor - weighted</t>
  </si>
  <si>
    <t>Perceived travel time factor - express</t>
  </si>
  <si>
    <t>Bus frequency - local (bus/h)</t>
  </si>
  <si>
    <t>Bus frequency - express (bus/h)</t>
  </si>
  <si>
    <t>Some standees</t>
  </si>
  <si>
    <t>Many standees</t>
  </si>
  <si>
    <t>Passenger load perceived TT coefficient - local</t>
  </si>
  <si>
    <t>Passenger load perceived TT coefficient - express</t>
  </si>
  <si>
    <t>Average bus speed - local (mph)</t>
  </si>
  <si>
    <t>Average bus speed - express (mph)</t>
  </si>
  <si>
    <t>Distance from inner edge of travel lane to gutter (ft)</t>
  </si>
  <si>
    <t>Distance from outer edge of travel lane to gutter (ft)</t>
  </si>
  <si>
    <t>Build: 2018-06-21</t>
  </si>
  <si>
    <t>2018-06-21</t>
  </si>
  <si>
    <t>Shattuck Ave</t>
  </si>
  <si>
    <t>Walnut St</t>
  </si>
  <si>
    <t>Oxford Street</t>
  </si>
  <si>
    <t>Euclid Ave</t>
  </si>
  <si>
    <t>LeRoy Ave</t>
  </si>
  <si>
    <t>La Loma Ave</t>
  </si>
  <si>
    <t>Spruce St</t>
  </si>
  <si>
    <t>Arch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</si>
</sst>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4" x14ac:knownFonts="1">
    <font>
      <sz val="11"/>
      <color theme="1"/>
      <name val="Calibri"/>
      <family val="2"/>
      <scheme val="minor"/>
    </font>
    <font>
      <b/>
      <sz val="11"/>
      <color theme="1"/>
      <name val="Calibri"/>
      <family val="2"/>
      <scheme val="minor"/>
    </font>
    <font>
      <b/>
      <sz val="14"/>
      <color theme="1"/>
      <name val="Calibri"/>
      <family val="2"/>
      <scheme val="minor"/>
    </font>
    <font>
      <sz val="10"/>
      <name val="Arial"/>
      <family val="2"/>
    </font>
    <font>
      <b/>
      <sz val="10"/>
      <name val="Arial"/>
      <family val="2"/>
    </font>
    <font>
      <i/>
      <sz val="10"/>
      <name val="Arial"/>
      <family val="2"/>
    </font>
    <font>
      <sz val="22"/>
      <name val="Arial"/>
      <family val="2"/>
    </font>
    <font>
      <b/>
      <u/>
      <sz val="14"/>
      <name val="Arial"/>
      <family val="2"/>
    </font>
    <font>
      <sz val="10"/>
      <color theme="1"/>
      <name val="Arial"/>
      <family val="2"/>
    </font>
    <font>
      <sz val="9"/>
      <name val="Arial"/>
      <family val="2"/>
    </font>
    <font>
      <sz val="11"/>
      <color theme="0"/>
      <name val="Calibri"/>
      <family val="2"/>
      <scheme val="minor"/>
    </font>
    <font>
      <i/>
      <sz val="11"/>
      <color theme="1"/>
      <name val="Calibri"/>
      <family val="2"/>
      <scheme val="minor"/>
    </font>
    <font>
      <b/>
      <i/>
      <sz val="11"/>
      <name val="Calibri"/>
      <family val="2"/>
      <scheme val="minor"/>
    </font>
    <font>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s>
  <borders count="14">
    <border>
      <left/>
      <right/>
      <top/>
      <bottom/>
      <diagonal/>
    </border>
    <border>
      <left style="thin">
        <color auto="1"/>
      </left>
      <right style="thin">
        <color auto="1"/>
      </right>
      <top style="thin">
        <color auto="1"/>
      </top>
      <bottom style="thin">
        <color auto="1"/>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3" fillId="0" borderId="0"/>
  </cellStyleXfs>
  <cellXfs count="59">
    <xf numFmtId="0" fontId="0" fillId="0" borderId="0" xfId="0"/>
    <xf numFmtId="164" fontId="0" fillId="0" borderId="0" xfId="0" applyNumberFormat="1" applyAlignment="1">
      <alignment horizontal="center"/>
    </xf>
    <xf numFmtId="0" fontId="3" fillId="0" borderId="0" xfId="1"/>
    <xf numFmtId="0" fontId="3" fillId="0" borderId="2" xfId="1" applyBorder="1"/>
    <xf numFmtId="0" fontId="3" fillId="0" borderId="3" xfId="1" applyBorder="1"/>
    <xf numFmtId="0" fontId="3" fillId="0" borderId="4" xfId="1" applyBorder="1"/>
    <xf numFmtId="0" fontId="3" fillId="0" borderId="5" xfId="1" applyBorder="1"/>
    <xf numFmtId="0" fontId="3" fillId="0" borderId="6" xfId="1" applyBorder="1"/>
    <xf numFmtId="0" fontId="3" fillId="0" borderId="7" xfId="1" applyBorder="1"/>
    <xf numFmtId="0" fontId="3" fillId="0" borderId="8" xfId="1" applyBorder="1"/>
    <xf numFmtId="0" fontId="3" fillId="0" borderId="9" xfId="1" applyBorder="1"/>
    <xf numFmtId="0" fontId="4" fillId="0" borderId="0" xfId="1" applyFont="1"/>
    <xf numFmtId="0" fontId="3" fillId="0" borderId="0" xfId="1" applyAlignment="1">
      <alignment vertical="top" wrapText="1"/>
    </xf>
    <xf numFmtId="0" fontId="3" fillId="0" borderId="0" xfId="1" applyNumberFormat="1" applyAlignment="1">
      <alignment horizontal="left" vertical="top" wrapText="1"/>
    </xf>
    <xf numFmtId="0" fontId="3" fillId="0" borderId="0" xfId="1" applyAlignment="1">
      <alignment horizontal="left" vertical="top" wrapText="1"/>
    </xf>
    <xf numFmtId="0" fontId="9" fillId="0" borderId="0" xfId="1" applyFont="1"/>
    <xf numFmtId="14" fontId="3" fillId="0" borderId="0" xfId="1" quotePrefix="1" applyNumberFormat="1"/>
    <xf numFmtId="0" fontId="0" fillId="4" borderId="1" xfId="0" applyFill="1" applyBorder="1" applyAlignment="1" applyProtection="1">
      <alignment horizontal="center"/>
      <protection locked="0"/>
    </xf>
    <xf numFmtId="0" fontId="0" fillId="0" borderId="0" xfId="0" applyAlignment="1">
      <alignment horizontal="left"/>
    </xf>
    <xf numFmtId="9" fontId="0" fillId="4" borderId="1" xfId="0" applyNumberFormat="1" applyFill="1" applyBorder="1" applyAlignment="1" applyProtection="1">
      <alignment horizontal="center"/>
      <protection locked="0"/>
    </xf>
    <xf numFmtId="1" fontId="0" fillId="0" borderId="0" xfId="0" applyNumberFormat="1" applyAlignment="1">
      <alignment horizontal="center"/>
    </xf>
    <xf numFmtId="0" fontId="1" fillId="0" borderId="0" xfId="0" applyFont="1" applyAlignment="1">
      <alignment horizontal="left"/>
    </xf>
    <xf numFmtId="1" fontId="0" fillId="2" borderId="0" xfId="0" applyNumberFormat="1" applyFont="1" applyFill="1" applyBorder="1" applyAlignment="1">
      <alignment horizontal="center"/>
    </xf>
    <xf numFmtId="164" fontId="0" fillId="2" borderId="0" xfId="0" applyNumberFormat="1" applyFont="1" applyFill="1" applyBorder="1" applyAlignment="1">
      <alignment horizontal="center"/>
    </xf>
    <xf numFmtId="164" fontId="0" fillId="4" borderId="1" xfId="0" applyNumberFormat="1" applyFill="1" applyBorder="1" applyAlignment="1" applyProtection="1">
      <alignment horizontal="center"/>
      <protection locked="0"/>
    </xf>
    <xf numFmtId="2" fontId="0" fillId="0" borderId="0" xfId="0" applyNumberFormat="1" applyAlignment="1">
      <alignment horizontal="center"/>
    </xf>
    <xf numFmtId="1" fontId="0" fillId="4" borderId="1" xfId="0" applyNumberFormat="1" applyFill="1" applyBorder="1" applyAlignment="1" applyProtection="1">
      <alignment horizontal="center"/>
      <protection locked="0"/>
    </xf>
    <xf numFmtId="164" fontId="10" fillId="0" borderId="1" xfId="0" applyNumberFormat="1" applyFont="1" applyFill="1" applyBorder="1" applyAlignment="1" applyProtection="1">
      <alignment horizontal="center"/>
      <protection locked="0"/>
    </xf>
    <xf numFmtId="1" fontId="10" fillId="0" borderId="1" xfId="0" applyNumberFormat="1" applyFont="1" applyFill="1" applyBorder="1" applyAlignment="1" applyProtection="1">
      <alignment horizontal="center"/>
      <protection locked="0"/>
    </xf>
    <xf numFmtId="0" fontId="0" fillId="5" borderId="0" xfId="0" applyFill="1" applyAlignment="1">
      <alignment horizontal="left"/>
    </xf>
    <xf numFmtId="0" fontId="2" fillId="5" borderId="0" xfId="0" applyFont="1" applyFill="1" applyAlignment="1">
      <alignment horizontal="left"/>
    </xf>
    <xf numFmtId="2" fontId="0" fillId="2" borderId="0" xfId="0" applyNumberFormat="1" applyFont="1" applyFill="1" applyBorder="1" applyAlignment="1">
      <alignment horizontal="center"/>
    </xf>
    <xf numFmtId="2" fontId="1" fillId="2" borderId="0" xfId="0" applyNumberFormat="1" applyFont="1" applyFill="1" applyBorder="1" applyAlignment="1">
      <alignment horizontal="center"/>
    </xf>
    <xf numFmtId="165" fontId="1" fillId="0" borderId="0" xfId="0" applyNumberFormat="1" applyFont="1" applyAlignment="1">
      <alignment horizontal="center"/>
    </xf>
    <xf numFmtId="0" fontId="0" fillId="0" borderId="0" xfId="0" applyFill="1" applyBorder="1" applyAlignment="1" applyProtection="1">
      <alignment horizontal="center"/>
      <protection locked="0"/>
    </xf>
    <xf numFmtId="164" fontId="0" fillId="2" borderId="0" xfId="0" applyNumberFormat="1" applyFont="1" applyFill="1" applyBorder="1" applyAlignment="1">
      <alignment horizontal="center" vertical="center"/>
    </xf>
    <xf numFmtId="0" fontId="1" fillId="0" borderId="0" xfId="0" applyFont="1"/>
    <xf numFmtId="2" fontId="1" fillId="0" borderId="0" xfId="0" applyNumberFormat="1" applyFont="1" applyAlignment="1">
      <alignment horizontal="center"/>
    </xf>
    <xf numFmtId="0" fontId="3" fillId="0" borderId="0" xfId="1" applyFont="1"/>
    <xf numFmtId="14" fontId="3" fillId="0" borderId="0" xfId="1" quotePrefix="1" applyNumberFormat="1" applyFont="1"/>
    <xf numFmtId="0" fontId="0" fillId="0" borderId="0" xfId="0" applyAlignment="1">
      <alignment horizontal="left"/>
    </xf>
    <xf numFmtId="0" fontId="3" fillId="0" borderId="0" xfId="1" applyAlignment="1"/>
    <xf numFmtId="0" fontId="3" fillId="0" borderId="0" xfId="1" applyAlignment="1">
      <alignment vertical="top" wrapText="1"/>
    </xf>
    <xf numFmtId="0" fontId="7" fillId="0" borderId="0" xfId="1" applyFont="1" applyBorder="1" applyAlignment="1">
      <alignment horizontal="center"/>
    </xf>
    <xf numFmtId="0" fontId="6" fillId="0" borderId="5" xfId="1" applyFont="1" applyBorder="1" applyAlignment="1">
      <alignment horizontal="center"/>
    </xf>
    <xf numFmtId="0" fontId="6" fillId="0" borderId="0" xfId="1" applyFont="1" applyAlignment="1"/>
    <xf numFmtId="0" fontId="6" fillId="0" borderId="6" xfId="1" applyFont="1" applyBorder="1" applyAlignment="1"/>
    <xf numFmtId="0" fontId="3" fillId="0" borderId="0" xfId="1" applyAlignment="1">
      <alignment horizontal="center" wrapText="1"/>
    </xf>
    <xf numFmtId="0" fontId="3" fillId="0" borderId="0" xfId="1" applyFont="1" applyAlignment="1">
      <alignment vertical="top" wrapText="1"/>
    </xf>
    <xf numFmtId="1" fontId="12" fillId="5" borderId="0" xfId="0" applyNumberFormat="1" applyFont="1" applyFill="1" applyBorder="1" applyAlignment="1">
      <alignment horizontal="center"/>
    </xf>
    <xf numFmtId="0" fontId="0" fillId="0" borderId="0" xfId="0" applyAlignment="1">
      <alignment horizontal="left"/>
    </xf>
    <xf numFmtId="164" fontId="13" fillId="4" borderId="11" xfId="0" applyNumberFormat="1" applyFont="1" applyFill="1" applyBorder="1" applyAlignment="1" applyProtection="1">
      <alignment horizontal="center"/>
      <protection locked="0"/>
    </xf>
    <xf numFmtId="164" fontId="13" fillId="4" borderId="12" xfId="0" applyNumberFormat="1" applyFont="1" applyFill="1" applyBorder="1" applyAlignment="1" applyProtection="1">
      <alignment horizontal="center"/>
      <protection locked="0"/>
    </xf>
    <xf numFmtId="164" fontId="13" fillId="4" borderId="13" xfId="0" applyNumberFormat="1" applyFont="1" applyFill="1" applyBorder="1" applyAlignment="1" applyProtection="1">
      <alignment horizontal="center"/>
      <protection locked="0"/>
    </xf>
    <xf numFmtId="0" fontId="0" fillId="0" borderId="0" xfId="0" applyBorder="1" applyAlignment="1">
      <alignment horizontal="left"/>
    </xf>
    <xf numFmtId="0" fontId="0" fillId="0" borderId="0" xfId="0" applyAlignment="1">
      <alignment horizontal="left" wrapText="1"/>
    </xf>
    <xf numFmtId="0" fontId="11" fillId="3" borderId="0" xfId="0" applyFont="1" applyFill="1" applyAlignment="1">
      <alignment horizontal="center"/>
    </xf>
    <xf numFmtId="0" fontId="2" fillId="3" borderId="0" xfId="0" applyFont="1" applyFill="1" applyAlignment="1">
      <alignment horizontal="left"/>
    </xf>
    <xf numFmtId="0" fontId="2" fillId="3" borderId="10" xfId="0" applyFont="1" applyFill="1" applyBorder="1" applyAlignment="1"/>
  </cellXfs>
  <cellStyles count="2">
    <cellStyle name="Normal" xfId="0" builtinId="0"/>
    <cellStyle name="Normal 2" xfId="1" xr:uid="{00000000-0005-0000-0000-000001000000}"/>
  </cellStyles>
  <dxfs count="228">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
      <font>
        <color auto="1"/>
      </font>
      <fill>
        <patternFill>
          <bgColor theme="3"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fill>
        <patternFill>
          <bgColor theme="3"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M29"/>
  <sheetViews>
    <sheetView workbookViewId="0">
      <selection activeCell="B27" sqref="B27"/>
    </sheetView>
  </sheetViews>
  <sheetFormatPr defaultRowHeight="12.75" x14ac:dyDescent="0.2"/>
  <cols>
    <col min="1" max="1" width="3.42578125" style="2" customWidth="1"/>
    <col min="2" max="2" width="12" style="2" customWidth="1"/>
    <col min="3" max="256" width="8.85546875" style="2"/>
    <col min="257" max="257" width="3.42578125" style="2" customWidth="1"/>
    <col min="258" max="512" width="8.85546875" style="2"/>
    <col min="513" max="513" width="3.42578125" style="2" customWidth="1"/>
    <col min="514" max="768" width="8.85546875" style="2"/>
    <col min="769" max="769" width="3.42578125" style="2" customWidth="1"/>
    <col min="770" max="1024" width="8.85546875" style="2"/>
    <col min="1025" max="1025" width="3.42578125" style="2" customWidth="1"/>
    <col min="1026" max="1280" width="8.85546875" style="2"/>
    <col min="1281" max="1281" width="3.42578125" style="2" customWidth="1"/>
    <col min="1282" max="1536" width="8.85546875" style="2"/>
    <col min="1537" max="1537" width="3.42578125" style="2" customWidth="1"/>
    <col min="1538" max="1792" width="8.85546875" style="2"/>
    <col min="1793" max="1793" width="3.42578125" style="2" customWidth="1"/>
    <col min="1794" max="2048" width="8.85546875" style="2"/>
    <col min="2049" max="2049" width="3.42578125" style="2" customWidth="1"/>
    <col min="2050" max="2304" width="8.85546875" style="2"/>
    <col min="2305" max="2305" width="3.42578125" style="2" customWidth="1"/>
    <col min="2306" max="2560" width="8.85546875" style="2"/>
    <col min="2561" max="2561" width="3.42578125" style="2" customWidth="1"/>
    <col min="2562" max="2816" width="8.85546875" style="2"/>
    <col min="2817" max="2817" width="3.42578125" style="2" customWidth="1"/>
    <col min="2818" max="3072" width="8.85546875" style="2"/>
    <col min="3073" max="3073" width="3.42578125" style="2" customWidth="1"/>
    <col min="3074" max="3328" width="8.85546875" style="2"/>
    <col min="3329" max="3329" width="3.42578125" style="2" customWidth="1"/>
    <col min="3330" max="3584" width="8.85546875" style="2"/>
    <col min="3585" max="3585" width="3.42578125" style="2" customWidth="1"/>
    <col min="3586" max="3840" width="8.85546875" style="2"/>
    <col min="3841" max="3841" width="3.42578125" style="2" customWidth="1"/>
    <col min="3842" max="4096" width="8.85546875" style="2"/>
    <col min="4097" max="4097" width="3.42578125" style="2" customWidth="1"/>
    <col min="4098" max="4352" width="8.85546875" style="2"/>
    <col min="4353" max="4353" width="3.42578125" style="2" customWidth="1"/>
    <col min="4354" max="4608" width="8.85546875" style="2"/>
    <col min="4609" max="4609" width="3.42578125" style="2" customWidth="1"/>
    <col min="4610" max="4864" width="8.85546875" style="2"/>
    <col min="4865" max="4865" width="3.42578125" style="2" customWidth="1"/>
    <col min="4866" max="5120" width="8.85546875" style="2"/>
    <col min="5121" max="5121" width="3.42578125" style="2" customWidth="1"/>
    <col min="5122" max="5376" width="8.85546875" style="2"/>
    <col min="5377" max="5377" width="3.42578125" style="2" customWidth="1"/>
    <col min="5378" max="5632" width="8.85546875" style="2"/>
    <col min="5633" max="5633" width="3.42578125" style="2" customWidth="1"/>
    <col min="5634" max="5888" width="8.85546875" style="2"/>
    <col min="5889" max="5889" width="3.42578125" style="2" customWidth="1"/>
    <col min="5890" max="6144" width="8.85546875" style="2"/>
    <col min="6145" max="6145" width="3.42578125" style="2" customWidth="1"/>
    <col min="6146" max="6400" width="8.85546875" style="2"/>
    <col min="6401" max="6401" width="3.42578125" style="2" customWidth="1"/>
    <col min="6402" max="6656" width="8.85546875" style="2"/>
    <col min="6657" max="6657" width="3.42578125" style="2" customWidth="1"/>
    <col min="6658" max="6912" width="8.85546875" style="2"/>
    <col min="6913" max="6913" width="3.42578125" style="2" customWidth="1"/>
    <col min="6914" max="7168" width="8.85546875" style="2"/>
    <col min="7169" max="7169" width="3.42578125" style="2" customWidth="1"/>
    <col min="7170" max="7424" width="8.85546875" style="2"/>
    <col min="7425" max="7425" width="3.42578125" style="2" customWidth="1"/>
    <col min="7426" max="7680" width="8.85546875" style="2"/>
    <col min="7681" max="7681" width="3.42578125" style="2" customWidth="1"/>
    <col min="7682" max="7936" width="8.85546875" style="2"/>
    <col min="7937" max="7937" width="3.42578125" style="2" customWidth="1"/>
    <col min="7938" max="8192" width="8.85546875" style="2"/>
    <col min="8193" max="8193" width="3.42578125" style="2" customWidth="1"/>
    <col min="8194" max="8448" width="8.85546875" style="2"/>
    <col min="8449" max="8449" width="3.42578125" style="2" customWidth="1"/>
    <col min="8450" max="8704" width="8.85546875" style="2"/>
    <col min="8705" max="8705" width="3.42578125" style="2" customWidth="1"/>
    <col min="8706" max="8960" width="8.85546875" style="2"/>
    <col min="8961" max="8961" width="3.42578125" style="2" customWidth="1"/>
    <col min="8962" max="9216" width="8.85546875" style="2"/>
    <col min="9217" max="9217" width="3.42578125" style="2" customWidth="1"/>
    <col min="9218" max="9472" width="8.85546875" style="2"/>
    <col min="9473" max="9473" width="3.42578125" style="2" customWidth="1"/>
    <col min="9474" max="9728" width="8.85546875" style="2"/>
    <col min="9729" max="9729" width="3.42578125" style="2" customWidth="1"/>
    <col min="9730" max="9984" width="8.85546875" style="2"/>
    <col min="9985" max="9985" width="3.42578125" style="2" customWidth="1"/>
    <col min="9986" max="10240" width="8.85546875" style="2"/>
    <col min="10241" max="10241" width="3.42578125" style="2" customWidth="1"/>
    <col min="10242" max="10496" width="8.85546875" style="2"/>
    <col min="10497" max="10497" width="3.42578125" style="2" customWidth="1"/>
    <col min="10498" max="10752" width="8.85546875" style="2"/>
    <col min="10753" max="10753" width="3.42578125" style="2" customWidth="1"/>
    <col min="10754" max="11008" width="8.85546875" style="2"/>
    <col min="11009" max="11009" width="3.42578125" style="2" customWidth="1"/>
    <col min="11010" max="11264" width="8.85546875" style="2"/>
    <col min="11265" max="11265" width="3.42578125" style="2" customWidth="1"/>
    <col min="11266" max="11520" width="8.85546875" style="2"/>
    <col min="11521" max="11521" width="3.42578125" style="2" customWidth="1"/>
    <col min="11522" max="11776" width="8.85546875" style="2"/>
    <col min="11777" max="11777" width="3.42578125" style="2" customWidth="1"/>
    <col min="11778" max="12032" width="8.85546875" style="2"/>
    <col min="12033" max="12033" width="3.42578125" style="2" customWidth="1"/>
    <col min="12034" max="12288" width="8.85546875" style="2"/>
    <col min="12289" max="12289" width="3.42578125" style="2" customWidth="1"/>
    <col min="12290" max="12544" width="8.85546875" style="2"/>
    <col min="12545" max="12545" width="3.42578125" style="2" customWidth="1"/>
    <col min="12546" max="12800" width="8.85546875" style="2"/>
    <col min="12801" max="12801" width="3.42578125" style="2" customWidth="1"/>
    <col min="12802" max="13056" width="8.85546875" style="2"/>
    <col min="13057" max="13057" width="3.42578125" style="2" customWidth="1"/>
    <col min="13058" max="13312" width="8.85546875" style="2"/>
    <col min="13313" max="13313" width="3.42578125" style="2" customWidth="1"/>
    <col min="13314" max="13568" width="8.85546875" style="2"/>
    <col min="13569" max="13569" width="3.42578125" style="2" customWidth="1"/>
    <col min="13570" max="13824" width="8.85546875" style="2"/>
    <col min="13825" max="13825" width="3.42578125" style="2" customWidth="1"/>
    <col min="13826" max="14080" width="8.85546875" style="2"/>
    <col min="14081" max="14081" width="3.42578125" style="2" customWidth="1"/>
    <col min="14082" max="14336" width="8.85546875" style="2"/>
    <col min="14337" max="14337" width="3.42578125" style="2" customWidth="1"/>
    <col min="14338" max="14592" width="8.85546875" style="2"/>
    <col min="14593" max="14593" width="3.42578125" style="2" customWidth="1"/>
    <col min="14594" max="14848" width="8.85546875" style="2"/>
    <col min="14849" max="14849" width="3.42578125" style="2" customWidth="1"/>
    <col min="14850" max="15104" width="8.85546875" style="2"/>
    <col min="15105" max="15105" width="3.42578125" style="2" customWidth="1"/>
    <col min="15106" max="15360" width="8.85546875" style="2"/>
    <col min="15361" max="15361" width="3.42578125" style="2" customWidth="1"/>
    <col min="15362" max="15616" width="8.85546875" style="2"/>
    <col min="15617" max="15617" width="3.42578125" style="2" customWidth="1"/>
    <col min="15618" max="15872" width="8.85546875" style="2"/>
    <col min="15873" max="15873" width="3.42578125" style="2" customWidth="1"/>
    <col min="15874" max="16128" width="8.85546875" style="2"/>
    <col min="16129" max="16129" width="3.42578125" style="2" customWidth="1"/>
    <col min="16130" max="16384" width="8.85546875" style="2"/>
  </cols>
  <sheetData>
    <row r="1" spans="2:13" ht="13.5" thickBot="1" x14ac:dyDescent="0.25"/>
    <row r="2" spans="2:13" ht="13.5" thickTop="1" x14ac:dyDescent="0.2">
      <c r="B2" s="3"/>
      <c r="C2" s="4"/>
      <c r="D2" s="4"/>
      <c r="E2" s="4"/>
      <c r="F2" s="4"/>
      <c r="G2" s="4"/>
      <c r="H2" s="4"/>
      <c r="I2" s="4"/>
      <c r="J2" s="4"/>
      <c r="K2" s="4"/>
      <c r="L2" s="4"/>
      <c r="M2" s="5"/>
    </row>
    <row r="3" spans="2:13" ht="26.25" customHeight="1" x14ac:dyDescent="0.25">
      <c r="B3" s="6"/>
      <c r="C3" s="43" t="s">
        <v>4</v>
      </c>
      <c r="D3" s="43"/>
      <c r="E3" s="43"/>
      <c r="F3" s="43"/>
      <c r="G3" s="43"/>
      <c r="H3" s="43"/>
      <c r="I3" s="43"/>
      <c r="J3" s="43"/>
      <c r="K3" s="43"/>
      <c r="L3" s="43"/>
      <c r="M3" s="7"/>
    </row>
    <row r="4" spans="2:13" ht="27" x14ac:dyDescent="0.35">
      <c r="B4" s="44" t="s">
        <v>13</v>
      </c>
      <c r="C4" s="45"/>
      <c r="D4" s="45"/>
      <c r="E4" s="45"/>
      <c r="F4" s="45"/>
      <c r="G4" s="45"/>
      <c r="H4" s="45"/>
      <c r="I4" s="45"/>
      <c r="J4" s="45"/>
      <c r="K4" s="45"/>
      <c r="L4" s="45"/>
      <c r="M4" s="46"/>
    </row>
    <row r="5" spans="2:13" ht="13.5" thickBot="1" x14ac:dyDescent="0.25">
      <c r="B5" s="8"/>
      <c r="C5" s="9"/>
      <c r="D5" s="9"/>
      <c r="E5" s="9"/>
      <c r="F5" s="9"/>
      <c r="G5" s="9"/>
      <c r="H5" s="9"/>
      <c r="I5" s="9"/>
      <c r="J5" s="9"/>
      <c r="K5" s="9"/>
      <c r="L5" s="9"/>
      <c r="M5" s="10"/>
    </row>
    <row r="6" spans="2:13" ht="13.5" thickTop="1" x14ac:dyDescent="0.2"/>
    <row r="7" spans="2:13" x14ac:dyDescent="0.2">
      <c r="B7" s="47" t="s">
        <v>104</v>
      </c>
      <c r="C7" s="47"/>
      <c r="D7" s="47"/>
      <c r="E7" s="47"/>
      <c r="F7" s="47"/>
      <c r="G7" s="47"/>
      <c r="H7" s="47"/>
      <c r="I7" s="47"/>
      <c r="J7" s="47"/>
      <c r="K7" s="47"/>
      <c r="L7" s="47"/>
      <c r="M7" s="47"/>
    </row>
    <row r="8" spans="2:13" x14ac:dyDescent="0.2">
      <c r="B8" s="11" t="s">
        <v>0</v>
      </c>
    </row>
    <row r="9" spans="2:13" ht="41.45" customHeight="1" x14ac:dyDescent="0.2">
      <c r="B9" s="48" t="s">
        <v>14</v>
      </c>
      <c r="C9" s="48"/>
      <c r="D9" s="48"/>
      <c r="E9" s="48"/>
      <c r="F9" s="48"/>
      <c r="G9" s="48"/>
      <c r="H9" s="48"/>
      <c r="I9" s="48"/>
      <c r="J9" s="48"/>
      <c r="K9" s="48"/>
      <c r="L9" s="48"/>
      <c r="M9" s="48"/>
    </row>
    <row r="11" spans="2:13" x14ac:dyDescent="0.2">
      <c r="B11" s="11" t="s">
        <v>1</v>
      </c>
    </row>
    <row r="12" spans="2:13" ht="42" customHeight="1" x14ac:dyDescent="0.2">
      <c r="B12" s="42" t="s">
        <v>5</v>
      </c>
      <c r="C12" s="42"/>
      <c r="D12" s="42"/>
      <c r="E12" s="42"/>
      <c r="F12" s="42"/>
      <c r="G12" s="42"/>
      <c r="H12" s="42"/>
      <c r="I12" s="42"/>
      <c r="J12" s="42"/>
      <c r="K12" s="42"/>
      <c r="L12" s="42"/>
      <c r="M12" s="42"/>
    </row>
    <row r="14" spans="2:13" x14ac:dyDescent="0.2">
      <c r="B14" s="11" t="s">
        <v>2</v>
      </c>
    </row>
    <row r="15" spans="2:13" ht="55.9" customHeight="1" x14ac:dyDescent="0.2">
      <c r="B15" s="42" t="s">
        <v>6</v>
      </c>
      <c r="C15" s="42"/>
      <c r="D15" s="42"/>
      <c r="E15" s="42"/>
      <c r="F15" s="42"/>
      <c r="G15" s="42"/>
      <c r="H15" s="42"/>
      <c r="I15" s="42"/>
      <c r="J15" s="42"/>
      <c r="K15" s="42"/>
      <c r="L15" s="42"/>
      <c r="M15" s="42"/>
    </row>
    <row r="17" spans="2:13" ht="42" customHeight="1" x14ac:dyDescent="0.2">
      <c r="B17" s="42" t="s">
        <v>7</v>
      </c>
      <c r="C17" s="42"/>
      <c r="D17" s="42"/>
      <c r="E17" s="42"/>
      <c r="F17" s="42"/>
      <c r="G17" s="42"/>
      <c r="H17" s="42"/>
      <c r="I17" s="42"/>
      <c r="J17" s="42"/>
      <c r="K17" s="42"/>
      <c r="L17" s="42"/>
      <c r="M17" s="42"/>
    </row>
    <row r="18" spans="2:13" x14ac:dyDescent="0.2">
      <c r="B18" s="13"/>
      <c r="C18" s="14"/>
      <c r="D18" s="14"/>
      <c r="E18" s="14"/>
      <c r="F18" s="14"/>
      <c r="G18" s="14"/>
      <c r="H18" s="14"/>
      <c r="I18" s="14"/>
      <c r="J18" s="14"/>
      <c r="K18" s="14"/>
      <c r="L18" s="14"/>
      <c r="M18" s="14"/>
    </row>
    <row r="19" spans="2:13" x14ac:dyDescent="0.2">
      <c r="B19" s="11" t="s">
        <v>9</v>
      </c>
    </row>
    <row r="20" spans="2:13" ht="15.6" customHeight="1" x14ac:dyDescent="0.2">
      <c r="B20" s="42" t="s">
        <v>8</v>
      </c>
      <c r="C20" s="42"/>
      <c r="D20" s="42"/>
      <c r="E20" s="42"/>
      <c r="F20" s="42"/>
      <c r="G20" s="42"/>
      <c r="H20" s="42"/>
      <c r="I20" s="42"/>
      <c r="J20" s="42"/>
      <c r="K20" s="42"/>
      <c r="L20" s="42"/>
      <c r="M20" s="42"/>
    </row>
    <row r="21" spans="2:13" ht="13.9" customHeight="1" x14ac:dyDescent="0.2">
      <c r="B21" s="12"/>
      <c r="C21" s="12"/>
      <c r="D21" s="12"/>
      <c r="E21" s="12"/>
      <c r="F21" s="12"/>
      <c r="G21" s="12"/>
      <c r="H21" s="12"/>
      <c r="I21" s="12"/>
      <c r="J21" s="12"/>
      <c r="K21" s="12"/>
      <c r="L21" s="12"/>
      <c r="M21" s="12"/>
    </row>
    <row r="22" spans="2:13" x14ac:dyDescent="0.2">
      <c r="B22" s="11" t="s">
        <v>3</v>
      </c>
    </row>
    <row r="23" spans="2:13" ht="52.9" customHeight="1" x14ac:dyDescent="0.2">
      <c r="B23" s="42" t="s">
        <v>12</v>
      </c>
      <c r="C23" s="42"/>
      <c r="D23" s="42"/>
      <c r="E23" s="42"/>
      <c r="F23" s="42"/>
      <c r="G23" s="42"/>
      <c r="H23" s="42"/>
      <c r="I23" s="42"/>
      <c r="J23" s="42"/>
      <c r="K23" s="42"/>
      <c r="L23" s="42"/>
      <c r="M23" s="42"/>
    </row>
    <row r="24" spans="2:13" x14ac:dyDescent="0.2">
      <c r="B24" s="41"/>
      <c r="C24" s="41"/>
      <c r="D24" s="41"/>
      <c r="E24" s="41"/>
      <c r="F24" s="41"/>
      <c r="G24" s="41"/>
      <c r="H24" s="41"/>
      <c r="I24" s="41"/>
      <c r="J24" s="41"/>
      <c r="K24" s="41"/>
      <c r="L24" s="41"/>
      <c r="M24" s="41"/>
    </row>
    <row r="25" spans="2:13" x14ac:dyDescent="0.2">
      <c r="B25" s="11" t="s">
        <v>10</v>
      </c>
    </row>
    <row r="26" spans="2:13" x14ac:dyDescent="0.2">
      <c r="B26" s="39" t="s">
        <v>105</v>
      </c>
      <c r="C26" s="38" t="s">
        <v>11</v>
      </c>
    </row>
    <row r="27" spans="2:13" x14ac:dyDescent="0.2">
      <c r="C27" s="15"/>
    </row>
    <row r="28" spans="2:13" x14ac:dyDescent="0.2">
      <c r="C28" s="15"/>
    </row>
    <row r="29" spans="2:13" x14ac:dyDescent="0.2">
      <c r="B29" s="16"/>
    </row>
  </sheetData>
  <mergeCells count="10">
    <mergeCell ref="C3:L3"/>
    <mergeCell ref="B4:M4"/>
    <mergeCell ref="B7:M7"/>
    <mergeCell ref="B9:M9"/>
    <mergeCell ref="B23:M23"/>
    <mergeCell ref="B24:M24"/>
    <mergeCell ref="B12:M12"/>
    <mergeCell ref="B15:M15"/>
    <mergeCell ref="B17:M17"/>
    <mergeCell ref="B20:M20"/>
  </mergeCells>
  <pageMargins left="0.75" right="0.75" top="1" bottom="1" header="0.5" footer="0.5"/>
  <pageSetup orientation="portrait" horizontalDpi="4294967293" vertic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4FAAB-0B3A-456A-86C7-31DAC42EC505}">
  <sheetPr codeName="Sheet4">
    <pageSetUpPr fitToPage="1"/>
  </sheetPr>
  <dimension ref="A1:J83"/>
  <sheetViews>
    <sheetView showGridLines="0" zoomScaleNormal="100" zoomScalePageLayoutView="125" workbookViewId="0">
      <selection activeCell="J8" sqref="J8"/>
    </sheetView>
  </sheetViews>
  <sheetFormatPr defaultColWidth="8.85546875" defaultRowHeight="15" x14ac:dyDescent="0.25"/>
  <cols>
    <col min="1" max="1" width="10.7109375" customWidth="1"/>
    <col min="2" max="2" width="36.7109375" customWidth="1"/>
    <col min="3" max="3" width="16.5703125" customWidth="1"/>
    <col min="4" max="4" width="16.42578125" customWidth="1"/>
    <col min="5" max="5" width="18.28515625" customWidth="1"/>
    <col min="6" max="6" width="16" customWidth="1"/>
    <col min="7" max="7" width="16.7109375" customWidth="1"/>
    <col min="8" max="10" width="16.140625" customWidth="1"/>
    <col min="26" max="26" width="11.28515625" customWidth="1"/>
  </cols>
  <sheetData>
    <row r="1" spans="1:10" ht="35.1" customHeight="1" x14ac:dyDescent="0.3">
      <c r="A1" s="57" t="s">
        <v>22</v>
      </c>
      <c r="B1" s="57"/>
      <c r="C1" s="57"/>
      <c r="D1" s="57"/>
      <c r="E1" s="57"/>
      <c r="F1" s="58" t="s">
        <v>20</v>
      </c>
      <c r="G1" s="58"/>
      <c r="H1" s="58"/>
      <c r="I1" s="58"/>
      <c r="J1" s="58"/>
    </row>
    <row r="2" spans="1:10" x14ac:dyDescent="0.25">
      <c r="A2" s="50" t="s">
        <v>21</v>
      </c>
      <c r="B2" s="50"/>
      <c r="C2" s="17" t="s">
        <v>106</v>
      </c>
      <c r="D2" s="17" t="s">
        <v>107</v>
      </c>
      <c r="E2" s="17" t="s">
        <v>108</v>
      </c>
      <c r="F2" s="17" t="s">
        <v>112</v>
      </c>
      <c r="G2" s="17" t="s">
        <v>113</v>
      </c>
      <c r="H2" s="17" t="s">
        <v>109</v>
      </c>
      <c r="I2" s="17" t="s">
        <v>110</v>
      </c>
      <c r="J2" s="17" t="s">
        <v>111</v>
      </c>
    </row>
    <row r="3" spans="1:10" x14ac:dyDescent="0.25">
      <c r="A3" s="56" t="s">
        <v>15</v>
      </c>
      <c r="B3" s="56"/>
      <c r="C3" s="56"/>
      <c r="D3" s="56"/>
      <c r="E3" s="56"/>
      <c r="F3" s="56"/>
      <c r="G3" s="56"/>
      <c r="H3" s="56"/>
      <c r="I3" s="56"/>
      <c r="J3" s="56"/>
    </row>
    <row r="4" spans="1:10" x14ac:dyDescent="0.25">
      <c r="A4" s="50" t="s">
        <v>32</v>
      </c>
      <c r="B4" s="50"/>
      <c r="C4" s="17">
        <v>500</v>
      </c>
      <c r="D4" s="17">
        <v>706</v>
      </c>
      <c r="E4" s="17">
        <v>809</v>
      </c>
      <c r="F4" s="17">
        <v>9</v>
      </c>
      <c r="G4" s="17">
        <v>978</v>
      </c>
      <c r="H4" s="17">
        <v>925</v>
      </c>
      <c r="I4" s="17">
        <v>925</v>
      </c>
      <c r="J4" s="17">
        <v>925</v>
      </c>
    </row>
    <row r="5" spans="1:10" x14ac:dyDescent="0.25">
      <c r="A5" s="40" t="s">
        <v>23</v>
      </c>
      <c r="B5" s="40"/>
      <c r="C5" s="19">
        <v>0.03</v>
      </c>
      <c r="D5" s="19">
        <v>0.05</v>
      </c>
      <c r="E5" s="19">
        <v>0.05</v>
      </c>
      <c r="F5" s="19">
        <v>0.02</v>
      </c>
      <c r="G5" s="19">
        <v>0.05</v>
      </c>
      <c r="H5" s="19">
        <v>0.05</v>
      </c>
      <c r="I5" s="19">
        <v>0.05</v>
      </c>
      <c r="J5" s="19">
        <v>0.05</v>
      </c>
    </row>
    <row r="6" spans="1:10" x14ac:dyDescent="0.25">
      <c r="A6" s="54" t="s">
        <v>24</v>
      </c>
      <c r="B6" s="54"/>
      <c r="C6" s="19">
        <v>0.5</v>
      </c>
      <c r="D6" s="19">
        <v>0.5</v>
      </c>
      <c r="E6" s="19">
        <v>0.5</v>
      </c>
      <c r="F6" s="19">
        <v>0</v>
      </c>
      <c r="G6" s="19">
        <v>0.5</v>
      </c>
      <c r="H6" s="19">
        <v>0.5</v>
      </c>
      <c r="I6" s="19">
        <v>0.5</v>
      </c>
      <c r="J6" s="19">
        <v>0.5</v>
      </c>
    </row>
    <row r="7" spans="1:10" x14ac:dyDescent="0.25">
      <c r="A7" s="54" t="s">
        <v>25</v>
      </c>
      <c r="B7" s="54"/>
      <c r="C7" s="26">
        <v>50</v>
      </c>
      <c r="D7" s="26">
        <v>35</v>
      </c>
      <c r="E7" s="26">
        <v>35</v>
      </c>
      <c r="F7" s="26">
        <v>30</v>
      </c>
      <c r="G7" s="26">
        <v>35</v>
      </c>
      <c r="H7" s="26">
        <v>35</v>
      </c>
      <c r="I7" s="26">
        <v>35</v>
      </c>
      <c r="J7" s="26">
        <v>35</v>
      </c>
    </row>
    <row r="8" spans="1:10" x14ac:dyDescent="0.25">
      <c r="A8" s="56" t="s">
        <v>60</v>
      </c>
      <c r="B8" s="56"/>
      <c r="C8" s="56"/>
      <c r="D8" s="56"/>
      <c r="E8" s="56"/>
      <c r="F8" s="56"/>
      <c r="G8" s="56"/>
      <c r="H8" s="56"/>
    </row>
    <row r="9" spans="1:10" x14ac:dyDescent="0.25">
      <c r="A9" s="50" t="s">
        <v>31</v>
      </c>
      <c r="B9" s="50"/>
      <c r="C9" s="26">
        <v>2</v>
      </c>
      <c r="D9" s="26">
        <v>2</v>
      </c>
      <c r="E9" s="26">
        <v>2</v>
      </c>
      <c r="F9" s="26">
        <v>1</v>
      </c>
      <c r="G9" s="26">
        <v>2</v>
      </c>
      <c r="H9" s="26">
        <v>2</v>
      </c>
      <c r="I9" s="26">
        <v>2</v>
      </c>
      <c r="J9" s="26">
        <v>2</v>
      </c>
    </row>
    <row r="10" spans="1:10" x14ac:dyDescent="0.25">
      <c r="A10" s="40" t="s">
        <v>66</v>
      </c>
      <c r="B10" s="40"/>
      <c r="C10" s="26" t="s">
        <v>17</v>
      </c>
      <c r="D10" s="26" t="s">
        <v>18</v>
      </c>
      <c r="E10" s="26" t="s">
        <v>18</v>
      </c>
      <c r="F10" s="26" t="s">
        <v>18</v>
      </c>
      <c r="G10" s="26" t="s">
        <v>18</v>
      </c>
      <c r="H10" s="26" t="s">
        <v>18</v>
      </c>
      <c r="I10" s="26" t="s">
        <v>18</v>
      </c>
      <c r="J10" s="26" t="s">
        <v>18</v>
      </c>
    </row>
    <row r="11" spans="1:10" x14ac:dyDescent="0.25">
      <c r="A11" s="40" t="s">
        <v>27</v>
      </c>
      <c r="B11" s="40"/>
      <c r="C11" s="24">
        <v>12</v>
      </c>
      <c r="D11" s="24">
        <v>12</v>
      </c>
      <c r="E11" s="24">
        <v>12</v>
      </c>
      <c r="F11" s="24">
        <v>12</v>
      </c>
      <c r="G11" s="24">
        <v>12</v>
      </c>
      <c r="H11" s="24">
        <v>12</v>
      </c>
      <c r="I11" s="24">
        <v>12</v>
      </c>
      <c r="J11" s="24">
        <v>12</v>
      </c>
    </row>
    <row r="12" spans="1:10" x14ac:dyDescent="0.25">
      <c r="A12" s="40" t="s">
        <v>16</v>
      </c>
      <c r="B12" s="40"/>
      <c r="C12" s="24">
        <v>6</v>
      </c>
      <c r="D12" s="24">
        <v>0</v>
      </c>
      <c r="E12" s="24">
        <v>0</v>
      </c>
      <c r="F12" s="24">
        <v>5</v>
      </c>
      <c r="G12" s="24">
        <v>0</v>
      </c>
      <c r="H12" s="24">
        <v>0</v>
      </c>
      <c r="I12" s="24">
        <v>0</v>
      </c>
      <c r="J12" s="24">
        <v>0</v>
      </c>
    </row>
    <row r="13" spans="1:10" x14ac:dyDescent="0.25">
      <c r="A13" s="40" t="s">
        <v>28</v>
      </c>
      <c r="B13" s="40"/>
      <c r="C13" s="24">
        <v>8</v>
      </c>
      <c r="D13" s="24">
        <v>8</v>
      </c>
      <c r="E13" s="24">
        <v>8</v>
      </c>
      <c r="F13" s="24">
        <v>0</v>
      </c>
      <c r="G13" s="24">
        <v>8</v>
      </c>
      <c r="H13" s="24">
        <v>8</v>
      </c>
      <c r="I13" s="24">
        <v>8</v>
      </c>
      <c r="J13" s="24">
        <v>8</v>
      </c>
    </row>
    <row r="14" spans="1:10" x14ac:dyDescent="0.25">
      <c r="A14" s="40" t="s">
        <v>26</v>
      </c>
      <c r="B14" s="40"/>
      <c r="C14" s="24">
        <v>1</v>
      </c>
      <c r="D14" s="24">
        <v>1</v>
      </c>
      <c r="E14" s="24">
        <v>1</v>
      </c>
      <c r="F14" s="24">
        <v>1</v>
      </c>
      <c r="G14" s="24">
        <v>1</v>
      </c>
      <c r="H14" s="24">
        <v>1</v>
      </c>
      <c r="I14" s="24">
        <v>1</v>
      </c>
      <c r="J14" s="24">
        <v>1</v>
      </c>
    </row>
    <row r="15" spans="1:10" x14ac:dyDescent="0.25">
      <c r="A15" s="40" t="s">
        <v>52</v>
      </c>
      <c r="B15" s="40"/>
      <c r="C15" s="24">
        <v>0</v>
      </c>
      <c r="D15" s="24">
        <v>0</v>
      </c>
      <c r="E15" s="24">
        <v>0</v>
      </c>
      <c r="F15" s="24">
        <v>5</v>
      </c>
      <c r="G15" s="24">
        <v>0</v>
      </c>
      <c r="H15" s="24">
        <v>0</v>
      </c>
      <c r="I15" s="24">
        <v>0</v>
      </c>
      <c r="J15" s="24">
        <v>0</v>
      </c>
    </row>
    <row r="16" spans="1:10" x14ac:dyDescent="0.25">
      <c r="A16" s="40" t="s">
        <v>19</v>
      </c>
      <c r="B16" s="40"/>
      <c r="C16" s="24">
        <v>14</v>
      </c>
      <c r="D16" s="24">
        <v>10</v>
      </c>
      <c r="E16" s="24">
        <v>10</v>
      </c>
      <c r="F16" s="24">
        <v>8</v>
      </c>
      <c r="G16" s="24">
        <v>7</v>
      </c>
      <c r="H16" s="24">
        <v>5</v>
      </c>
      <c r="I16" s="24">
        <v>5</v>
      </c>
      <c r="J16" s="24">
        <v>5</v>
      </c>
    </row>
    <row r="17" spans="1:10" x14ac:dyDescent="0.25">
      <c r="A17" s="40" t="s">
        <v>29</v>
      </c>
      <c r="B17" s="40"/>
      <c r="C17" s="24" t="s">
        <v>18</v>
      </c>
      <c r="D17" s="24" t="s">
        <v>18</v>
      </c>
      <c r="E17" s="24" t="s">
        <v>18</v>
      </c>
      <c r="F17" s="24" t="s">
        <v>17</v>
      </c>
      <c r="G17" s="24" t="s">
        <v>17</v>
      </c>
      <c r="H17" s="24" t="s">
        <v>18</v>
      </c>
      <c r="I17" s="24" t="s">
        <v>18</v>
      </c>
      <c r="J17" s="24" t="s">
        <v>18</v>
      </c>
    </row>
    <row r="18" spans="1:10" x14ac:dyDescent="0.25">
      <c r="A18" s="40" t="s">
        <v>59</v>
      </c>
      <c r="B18" s="40"/>
      <c r="C18" s="24">
        <v>3.5</v>
      </c>
      <c r="D18" s="24">
        <v>3.5</v>
      </c>
      <c r="E18" s="24">
        <v>3.5</v>
      </c>
      <c r="F18" s="24">
        <v>3.5</v>
      </c>
      <c r="G18" s="24">
        <v>3.5</v>
      </c>
      <c r="H18" s="24">
        <v>3.5</v>
      </c>
      <c r="I18" s="24">
        <v>3.5</v>
      </c>
      <c r="J18" s="24">
        <v>3.5</v>
      </c>
    </row>
    <row r="19" spans="1:10" x14ac:dyDescent="0.25">
      <c r="A19" s="56" t="s">
        <v>33</v>
      </c>
      <c r="B19" s="56"/>
      <c r="C19" s="56"/>
      <c r="D19" s="56"/>
      <c r="E19" s="56"/>
      <c r="F19" s="56"/>
      <c r="G19" s="56"/>
      <c r="H19" s="56"/>
    </row>
    <row r="20" spans="1:10" x14ac:dyDescent="0.25">
      <c r="A20" s="50" t="s">
        <v>34</v>
      </c>
      <c r="B20" s="50"/>
      <c r="C20" s="26" t="s">
        <v>17</v>
      </c>
      <c r="D20" s="26" t="s">
        <v>17</v>
      </c>
      <c r="E20" s="26" t="s">
        <v>17</v>
      </c>
      <c r="F20" s="26" t="s">
        <v>17</v>
      </c>
      <c r="G20" s="26" t="s">
        <v>17</v>
      </c>
      <c r="H20" s="26" t="s">
        <v>17</v>
      </c>
      <c r="I20" s="26" t="s">
        <v>17</v>
      </c>
      <c r="J20" s="26" t="s">
        <v>17</v>
      </c>
    </row>
    <row r="21" spans="1:10" x14ac:dyDescent="0.25">
      <c r="A21" s="40" t="s">
        <v>94</v>
      </c>
      <c r="B21" s="40"/>
      <c r="C21" s="28">
        <v>4</v>
      </c>
      <c r="D21" s="28">
        <v>2</v>
      </c>
      <c r="E21" s="28">
        <v>4</v>
      </c>
      <c r="F21" s="28">
        <v>4</v>
      </c>
      <c r="G21" s="28">
        <v>4</v>
      </c>
      <c r="H21" s="28">
        <v>4</v>
      </c>
      <c r="I21" s="28">
        <v>4</v>
      </c>
      <c r="J21" s="28">
        <v>4</v>
      </c>
    </row>
    <row r="22" spans="1:10" x14ac:dyDescent="0.25">
      <c r="A22" s="40" t="s">
        <v>95</v>
      </c>
      <c r="B22" s="40"/>
      <c r="C22" s="28">
        <v>0</v>
      </c>
      <c r="D22" s="28">
        <v>0</v>
      </c>
      <c r="E22" s="28">
        <v>5</v>
      </c>
      <c r="F22" s="28">
        <v>0</v>
      </c>
      <c r="G22" s="28">
        <v>0</v>
      </c>
      <c r="H22" s="28">
        <v>0</v>
      </c>
      <c r="I22" s="28">
        <v>0</v>
      </c>
      <c r="J22" s="28">
        <v>0</v>
      </c>
    </row>
    <row r="23" spans="1:10" x14ac:dyDescent="0.25">
      <c r="A23" s="40" t="s">
        <v>36</v>
      </c>
      <c r="B23" s="40"/>
      <c r="C23" s="27" t="s">
        <v>17</v>
      </c>
      <c r="D23" s="27" t="s">
        <v>18</v>
      </c>
      <c r="E23" s="27" t="s">
        <v>17</v>
      </c>
      <c r="F23" s="27" t="s">
        <v>18</v>
      </c>
      <c r="G23" s="27" t="s">
        <v>18</v>
      </c>
      <c r="H23" s="27" t="s">
        <v>18</v>
      </c>
      <c r="I23" s="27" t="s">
        <v>18</v>
      </c>
      <c r="J23" s="27" t="s">
        <v>18</v>
      </c>
    </row>
    <row r="24" spans="1:10" x14ac:dyDescent="0.25">
      <c r="A24" s="40" t="s">
        <v>39</v>
      </c>
      <c r="B24" s="40"/>
      <c r="C24" s="27" t="s">
        <v>17</v>
      </c>
      <c r="D24" s="27" t="s">
        <v>18</v>
      </c>
      <c r="E24" s="27" t="s">
        <v>17</v>
      </c>
      <c r="F24" s="27" t="s">
        <v>18</v>
      </c>
      <c r="G24" s="27" t="s">
        <v>18</v>
      </c>
      <c r="H24" s="27" t="s">
        <v>18</v>
      </c>
      <c r="I24" s="27" t="s">
        <v>18</v>
      </c>
      <c r="J24" s="27" t="s">
        <v>18</v>
      </c>
    </row>
    <row r="25" spans="1:10" x14ac:dyDescent="0.25">
      <c r="A25" s="40" t="s">
        <v>89</v>
      </c>
      <c r="B25" s="40"/>
      <c r="C25" s="27" t="s">
        <v>41</v>
      </c>
      <c r="D25" s="27" t="s">
        <v>42</v>
      </c>
      <c r="E25" s="27" t="s">
        <v>42</v>
      </c>
      <c r="F25" s="27" t="s">
        <v>42</v>
      </c>
      <c r="G25" s="27" t="s">
        <v>42</v>
      </c>
      <c r="H25" s="27" t="s">
        <v>42</v>
      </c>
      <c r="I25" s="27" t="s">
        <v>42</v>
      </c>
      <c r="J25" s="27" t="s">
        <v>42</v>
      </c>
    </row>
    <row r="26" spans="1:10" x14ac:dyDescent="0.25">
      <c r="A26" s="40" t="s">
        <v>90</v>
      </c>
      <c r="B26" s="40"/>
      <c r="C26" s="27" t="s">
        <v>42</v>
      </c>
      <c r="D26" s="27" t="s">
        <v>42</v>
      </c>
      <c r="E26" s="27" t="s">
        <v>96</v>
      </c>
      <c r="F26" s="27" t="s">
        <v>42</v>
      </c>
      <c r="G26" s="27" t="s">
        <v>42</v>
      </c>
      <c r="H26" s="27" t="s">
        <v>42</v>
      </c>
      <c r="I26" s="27" t="s">
        <v>42</v>
      </c>
      <c r="J26" s="27" t="s">
        <v>42</v>
      </c>
    </row>
    <row r="27" spans="1:10" x14ac:dyDescent="0.25">
      <c r="A27" s="40" t="s">
        <v>87</v>
      </c>
      <c r="B27" s="40"/>
      <c r="C27" s="27">
        <v>12.5</v>
      </c>
      <c r="D27" s="27">
        <v>17.5</v>
      </c>
      <c r="E27" s="27">
        <v>7.5</v>
      </c>
      <c r="F27" s="27">
        <v>7.5</v>
      </c>
      <c r="G27" s="27">
        <v>7.5</v>
      </c>
      <c r="H27" s="27">
        <v>7.5</v>
      </c>
      <c r="I27" s="27">
        <v>7.5</v>
      </c>
      <c r="J27" s="27">
        <v>7.5</v>
      </c>
    </row>
    <row r="28" spans="1:10" x14ac:dyDescent="0.25">
      <c r="A28" s="40" t="s">
        <v>88</v>
      </c>
      <c r="B28" s="40"/>
      <c r="C28" s="27">
        <v>0</v>
      </c>
      <c r="D28" s="27">
        <v>0</v>
      </c>
      <c r="E28" s="27">
        <v>15</v>
      </c>
      <c r="F28" s="27">
        <v>0</v>
      </c>
      <c r="G28" s="27">
        <v>0</v>
      </c>
      <c r="H28" s="27">
        <v>0</v>
      </c>
      <c r="I28" s="27">
        <v>0</v>
      </c>
      <c r="J28" s="27">
        <v>0</v>
      </c>
    </row>
    <row r="29" spans="1:10" x14ac:dyDescent="0.25">
      <c r="A29" s="40" t="s">
        <v>74</v>
      </c>
      <c r="B29" s="40"/>
      <c r="C29" s="51" t="s">
        <v>18</v>
      </c>
      <c r="D29" s="52"/>
      <c r="E29" s="52"/>
      <c r="F29" s="52"/>
      <c r="G29" s="52"/>
      <c r="H29" s="53"/>
    </row>
    <row r="30" spans="1:10" ht="27.75" customHeight="1" x14ac:dyDescent="0.3">
      <c r="A30" s="30" t="s">
        <v>43</v>
      </c>
      <c r="B30" s="29"/>
      <c r="C30" s="49"/>
      <c r="D30" s="49"/>
      <c r="E30" s="49"/>
      <c r="F30" s="49"/>
      <c r="G30" s="49"/>
      <c r="H30" s="49"/>
    </row>
    <row r="31" spans="1:10" x14ac:dyDescent="0.25">
      <c r="A31" s="50" t="s">
        <v>21</v>
      </c>
      <c r="B31" s="50"/>
      <c r="C31" s="34" t="str">
        <f t="shared" ref="C31:J31" si="0">C2</f>
        <v>Shattuck Ave</v>
      </c>
      <c r="D31" s="34" t="str">
        <f t="shared" si="0"/>
        <v>Walnut St</v>
      </c>
      <c r="E31" s="34" t="str">
        <f t="shared" si="0"/>
        <v>Oxford Street</v>
      </c>
      <c r="F31" s="34" t="str">
        <f t="shared" si="0"/>
        <v>Spruce St</v>
      </c>
      <c r="G31" s="34" t="str">
        <f t="shared" si="0"/>
        <v>Arch St</v>
      </c>
      <c r="H31" s="34" t="str">
        <f t="shared" si="0"/>
        <v>Euclid Ave</v>
      </c>
      <c r="I31" s="34" t="str">
        <f t="shared" si="0"/>
        <v>LeRoy Ave</v>
      </c>
      <c r="J31" s="34" t="str">
        <f t="shared" si="0"/>
        <v>La Loma Ave</v>
      </c>
    </row>
    <row r="32" spans="1:10" ht="15" customHeight="1" x14ac:dyDescent="0.25">
      <c r="A32" s="50" t="s">
        <v>32</v>
      </c>
      <c r="B32" s="50"/>
      <c r="C32" s="22">
        <f t="shared" ref="C32:J32" si="1">C4</f>
        <v>500</v>
      </c>
      <c r="D32" s="22">
        <f t="shared" si="1"/>
        <v>706</v>
      </c>
      <c r="E32" s="22">
        <f t="shared" si="1"/>
        <v>809</v>
      </c>
      <c r="F32" s="22">
        <f t="shared" si="1"/>
        <v>9</v>
      </c>
      <c r="G32" s="22">
        <f t="shared" si="1"/>
        <v>978</v>
      </c>
      <c r="H32" s="22">
        <f t="shared" si="1"/>
        <v>925</v>
      </c>
      <c r="I32" s="22">
        <f t="shared" si="1"/>
        <v>925</v>
      </c>
      <c r="J32" s="22">
        <f t="shared" si="1"/>
        <v>925</v>
      </c>
    </row>
    <row r="33" spans="1:10" ht="15" customHeight="1" x14ac:dyDescent="0.25">
      <c r="A33" s="50" t="s">
        <v>44</v>
      </c>
      <c r="B33" s="50"/>
      <c r="C33" s="31">
        <f t="shared" ref="C33:J33" si="2">IF(C4&gt;160,1,2-(0.005*C4))</f>
        <v>1</v>
      </c>
      <c r="D33" s="31">
        <f t="shared" si="2"/>
        <v>1</v>
      </c>
      <c r="E33" s="31">
        <f t="shared" si="2"/>
        <v>1</v>
      </c>
      <c r="F33" s="31">
        <f t="shared" si="2"/>
        <v>1.9550000000000001</v>
      </c>
      <c r="G33" s="31">
        <f t="shared" si="2"/>
        <v>1</v>
      </c>
      <c r="H33" s="31">
        <f t="shared" si="2"/>
        <v>1</v>
      </c>
      <c r="I33" s="31">
        <f t="shared" si="2"/>
        <v>1</v>
      </c>
      <c r="J33" s="31">
        <f t="shared" si="2"/>
        <v>1</v>
      </c>
    </row>
    <row r="34" spans="1:10" ht="15" customHeight="1" x14ac:dyDescent="0.25">
      <c r="A34" s="50" t="s">
        <v>102</v>
      </c>
      <c r="B34" s="50"/>
      <c r="C34" s="22">
        <f>SUM(C11:C13)</f>
        <v>26</v>
      </c>
      <c r="D34" s="22">
        <f t="shared" ref="D34:J34" si="3">SUM(D11:D13)</f>
        <v>20</v>
      </c>
      <c r="E34" s="22">
        <f t="shared" si="3"/>
        <v>20</v>
      </c>
      <c r="F34" s="22">
        <f t="shared" si="3"/>
        <v>17</v>
      </c>
      <c r="G34" s="22">
        <f t="shared" si="3"/>
        <v>20</v>
      </c>
      <c r="H34" s="22">
        <f t="shared" si="3"/>
        <v>20</v>
      </c>
      <c r="I34" s="22">
        <f t="shared" si="3"/>
        <v>20</v>
      </c>
      <c r="J34" s="22">
        <f t="shared" si="3"/>
        <v>20</v>
      </c>
    </row>
    <row r="35" spans="1:10" ht="15" customHeight="1" x14ac:dyDescent="0.25">
      <c r="A35" s="50" t="s">
        <v>103</v>
      </c>
      <c r="B35" s="50"/>
      <c r="C35" s="22">
        <f>SUM(C12:C13)</f>
        <v>14</v>
      </c>
      <c r="D35" s="22">
        <f t="shared" ref="D35:J35" si="4">SUM(D12:D13)</f>
        <v>8</v>
      </c>
      <c r="E35" s="22">
        <f t="shared" si="4"/>
        <v>8</v>
      </c>
      <c r="F35" s="22">
        <f t="shared" si="4"/>
        <v>5</v>
      </c>
      <c r="G35" s="22">
        <f t="shared" si="4"/>
        <v>8</v>
      </c>
      <c r="H35" s="22">
        <f t="shared" si="4"/>
        <v>8</v>
      </c>
      <c r="I35" s="22">
        <f t="shared" si="4"/>
        <v>8</v>
      </c>
      <c r="J35" s="22">
        <f t="shared" si="4"/>
        <v>8</v>
      </c>
    </row>
    <row r="36" spans="1:10" ht="15" customHeight="1" x14ac:dyDescent="0.25">
      <c r="A36" s="50" t="s">
        <v>45</v>
      </c>
      <c r="B36" s="50"/>
      <c r="C36" s="22">
        <f t="shared" ref="C36:J36" si="5">C6*100</f>
        <v>50</v>
      </c>
      <c r="D36" s="22">
        <f t="shared" si="5"/>
        <v>50</v>
      </c>
      <c r="E36" s="22">
        <f t="shared" si="5"/>
        <v>50</v>
      </c>
      <c r="F36" s="22">
        <f t="shared" si="5"/>
        <v>0</v>
      </c>
      <c r="G36" s="22">
        <f t="shared" si="5"/>
        <v>50</v>
      </c>
      <c r="H36" s="22">
        <f t="shared" si="5"/>
        <v>50</v>
      </c>
      <c r="I36" s="22">
        <f t="shared" si="5"/>
        <v>50</v>
      </c>
      <c r="J36" s="22">
        <f t="shared" si="5"/>
        <v>50</v>
      </c>
    </row>
    <row r="37" spans="1:10" ht="15" customHeight="1" x14ac:dyDescent="0.25">
      <c r="A37" s="50" t="s">
        <v>46</v>
      </c>
      <c r="B37" s="50"/>
      <c r="C37" s="31">
        <f t="shared" ref="C37:J37" si="6">IF(C17="Yes",5.37,1)</f>
        <v>1</v>
      </c>
      <c r="D37" s="31">
        <f t="shared" si="6"/>
        <v>1</v>
      </c>
      <c r="E37" s="31">
        <f t="shared" si="6"/>
        <v>1</v>
      </c>
      <c r="F37" s="31">
        <f t="shared" si="6"/>
        <v>5.37</v>
      </c>
      <c r="G37" s="31">
        <f t="shared" si="6"/>
        <v>5.37</v>
      </c>
      <c r="H37" s="31">
        <f t="shared" si="6"/>
        <v>1</v>
      </c>
      <c r="I37" s="31">
        <f t="shared" si="6"/>
        <v>1</v>
      </c>
      <c r="J37" s="31">
        <f t="shared" si="6"/>
        <v>1</v>
      </c>
    </row>
    <row r="38" spans="1:10" ht="15" customHeight="1" x14ac:dyDescent="0.25">
      <c r="A38" s="40" t="s">
        <v>47</v>
      </c>
      <c r="B38" s="40"/>
      <c r="C38" s="22">
        <f t="shared" ref="C38:J38" si="7">C15</f>
        <v>0</v>
      </c>
      <c r="D38" s="22">
        <f t="shared" si="7"/>
        <v>0</v>
      </c>
      <c r="E38" s="22">
        <f t="shared" si="7"/>
        <v>0</v>
      </c>
      <c r="F38" s="22">
        <f t="shared" si="7"/>
        <v>5</v>
      </c>
      <c r="G38" s="22">
        <f t="shared" si="7"/>
        <v>0</v>
      </c>
      <c r="H38" s="22">
        <f t="shared" si="7"/>
        <v>0</v>
      </c>
      <c r="I38" s="22">
        <f t="shared" si="7"/>
        <v>0</v>
      </c>
      <c r="J38" s="22">
        <f t="shared" si="7"/>
        <v>0</v>
      </c>
    </row>
    <row r="39" spans="1:10" ht="15" customHeight="1" x14ac:dyDescent="0.25">
      <c r="A39" s="40" t="s">
        <v>49</v>
      </c>
      <c r="B39" s="40"/>
      <c r="C39" s="22">
        <f t="shared" ref="C39:J39" si="8">MIN(10,C16)</f>
        <v>10</v>
      </c>
      <c r="D39" s="22">
        <f t="shared" si="8"/>
        <v>10</v>
      </c>
      <c r="E39" s="22">
        <f t="shared" si="8"/>
        <v>10</v>
      </c>
      <c r="F39" s="22">
        <f t="shared" si="8"/>
        <v>8</v>
      </c>
      <c r="G39" s="22">
        <f t="shared" si="8"/>
        <v>7</v>
      </c>
      <c r="H39" s="22">
        <f t="shared" si="8"/>
        <v>5</v>
      </c>
      <c r="I39" s="22">
        <f t="shared" si="8"/>
        <v>5</v>
      </c>
      <c r="J39" s="22">
        <f t="shared" si="8"/>
        <v>5</v>
      </c>
    </row>
    <row r="40" spans="1:10" ht="15" customHeight="1" x14ac:dyDescent="0.25">
      <c r="A40" s="40" t="s">
        <v>48</v>
      </c>
      <c r="B40" s="40"/>
      <c r="C40" s="23">
        <f>6-(0.3*C39)</f>
        <v>3</v>
      </c>
      <c r="D40" s="23">
        <f t="shared" ref="D40:J40" si="9">6-(0.3*D39)</f>
        <v>3</v>
      </c>
      <c r="E40" s="23">
        <f t="shared" si="9"/>
        <v>3</v>
      </c>
      <c r="F40" s="23">
        <f t="shared" si="9"/>
        <v>3.6</v>
      </c>
      <c r="G40" s="23">
        <f t="shared" si="9"/>
        <v>3.9</v>
      </c>
      <c r="H40" s="23">
        <f t="shared" si="9"/>
        <v>4.5</v>
      </c>
      <c r="I40" s="23">
        <f t="shared" si="9"/>
        <v>4.5</v>
      </c>
      <c r="J40" s="23">
        <f t="shared" si="9"/>
        <v>4.5</v>
      </c>
    </row>
    <row r="41" spans="1:10" ht="15" customHeight="1" x14ac:dyDescent="0.25">
      <c r="A41" s="40" t="s">
        <v>50</v>
      </c>
      <c r="B41" s="40"/>
      <c r="C41" s="22">
        <f t="shared" ref="C41:J41" si="10">C9</f>
        <v>2</v>
      </c>
      <c r="D41" s="22">
        <f t="shared" si="10"/>
        <v>2</v>
      </c>
      <c r="E41" s="22">
        <f t="shared" si="10"/>
        <v>2</v>
      </c>
      <c r="F41" s="22">
        <f t="shared" si="10"/>
        <v>1</v>
      </c>
      <c r="G41" s="22">
        <f t="shared" si="10"/>
        <v>2</v>
      </c>
      <c r="H41" s="22">
        <f t="shared" si="10"/>
        <v>2</v>
      </c>
      <c r="I41" s="22">
        <f t="shared" si="10"/>
        <v>2</v>
      </c>
      <c r="J41" s="22">
        <f t="shared" si="10"/>
        <v>2</v>
      </c>
    </row>
    <row r="42" spans="1:10" ht="15" customHeight="1" x14ac:dyDescent="0.25">
      <c r="A42" s="40" t="s">
        <v>51</v>
      </c>
      <c r="B42" s="40"/>
      <c r="C42" s="22">
        <f t="shared" ref="C42:J42" si="11">C7</f>
        <v>50</v>
      </c>
      <c r="D42" s="22">
        <f t="shared" si="11"/>
        <v>35</v>
      </c>
      <c r="E42" s="22">
        <f t="shared" si="11"/>
        <v>35</v>
      </c>
      <c r="F42" s="22">
        <f t="shared" si="11"/>
        <v>30</v>
      </c>
      <c r="G42" s="22">
        <f t="shared" si="11"/>
        <v>35</v>
      </c>
      <c r="H42" s="22">
        <f t="shared" si="11"/>
        <v>35</v>
      </c>
      <c r="I42" s="22">
        <f t="shared" si="11"/>
        <v>35</v>
      </c>
      <c r="J42" s="22">
        <f t="shared" si="11"/>
        <v>35</v>
      </c>
    </row>
    <row r="43" spans="1:10" ht="15" customHeight="1" x14ac:dyDescent="0.25">
      <c r="A43" s="21" t="s">
        <v>53</v>
      </c>
      <c r="B43" s="40"/>
      <c r="C43" s="32">
        <f>-1.2276*LN((C33*C34)+(0.5*C35)+(0.5*C36)+(C37*C38)+(C40*C39))+((0.0091*C32)/(4*C41))+(0.0004*C42*C42)+6.0468</f>
        <v>2.119171326546553</v>
      </c>
      <c r="D43" s="32">
        <f t="shared" ref="D43:J43" si="12">-1.2276*LN((D33*D34)+(0.5*D35)+(0.5*D36)+(D37*D38)+(D40*D39))+((0.0091*D32)/(4*D41))+(0.0004*D42*D42)+6.0468</f>
        <v>1.9759408163114847</v>
      </c>
      <c r="E43" s="32">
        <f t="shared" si="12"/>
        <v>2.0931033163114847</v>
      </c>
      <c r="F43" s="32">
        <f t="shared" si="12"/>
        <v>0.88456113325901686</v>
      </c>
      <c r="G43" s="32">
        <f t="shared" si="12"/>
        <v>2.328030500954692</v>
      </c>
      <c r="H43" s="32">
        <f t="shared" si="12"/>
        <v>2.3475069107483284</v>
      </c>
      <c r="I43" s="32">
        <f t="shared" si="12"/>
        <v>2.3475069107483284</v>
      </c>
      <c r="J43" s="32">
        <f t="shared" si="12"/>
        <v>2.3475069107483284</v>
      </c>
    </row>
    <row r="44" spans="1:10" ht="15" customHeight="1" x14ac:dyDescent="0.25">
      <c r="A44" s="21" t="s">
        <v>54</v>
      </c>
      <c r="B44" s="40"/>
      <c r="C44" s="33" t="str">
        <f>IF(C43&lt;=1.5,"A",IF(C43&lt;=2.5,"B",IF(C43&lt;=3.5,"C",IF(C43&lt;=4.5,"D",IF(C43&lt;=5.5,"E","F")))))</f>
        <v>B</v>
      </c>
      <c r="D44" s="33" t="str">
        <f t="shared" ref="D44:J44" si="13">IF(D43&lt;=1.5,"A",IF(D43&lt;=2.5,"B",IF(D43&lt;=3.5,"C",IF(D43&lt;=4.5,"D",IF(D43&lt;=5.5,"E","F")))))</f>
        <v>B</v>
      </c>
      <c r="E44" s="33" t="str">
        <f t="shared" si="13"/>
        <v>B</v>
      </c>
      <c r="F44" s="33" t="str">
        <f t="shared" si="13"/>
        <v>A</v>
      </c>
      <c r="G44" s="33" t="str">
        <f t="shared" si="13"/>
        <v>B</v>
      </c>
      <c r="H44" s="33" t="str">
        <f t="shared" si="13"/>
        <v>B</v>
      </c>
      <c r="I44" s="33" t="str">
        <f t="shared" si="13"/>
        <v>B</v>
      </c>
      <c r="J44" s="33" t="str">
        <f t="shared" si="13"/>
        <v>B</v>
      </c>
    </row>
    <row r="45" spans="1:10" ht="29.25" customHeight="1" x14ac:dyDescent="0.3">
      <c r="A45" s="30" t="s">
        <v>55</v>
      </c>
      <c r="B45" s="29"/>
      <c r="C45" s="49"/>
      <c r="D45" s="49"/>
      <c r="E45" s="49"/>
      <c r="F45" s="49"/>
      <c r="G45" s="49"/>
      <c r="H45" s="49"/>
    </row>
    <row r="46" spans="1:10" ht="15" customHeight="1" x14ac:dyDescent="0.25">
      <c r="A46" s="50" t="s">
        <v>21</v>
      </c>
      <c r="B46" s="50"/>
      <c r="C46" s="34" t="str">
        <f t="shared" ref="C46:J46" si="14">C2</f>
        <v>Shattuck Ave</v>
      </c>
      <c r="D46" s="34" t="str">
        <f t="shared" si="14"/>
        <v>Walnut St</v>
      </c>
      <c r="E46" s="34" t="str">
        <f t="shared" si="14"/>
        <v>Oxford Street</v>
      </c>
      <c r="F46" s="34" t="str">
        <f t="shared" si="14"/>
        <v>Spruce St</v>
      </c>
      <c r="G46" s="34" t="str">
        <f t="shared" si="14"/>
        <v>Arch St</v>
      </c>
      <c r="H46" s="34" t="str">
        <f t="shared" si="14"/>
        <v>Euclid Ave</v>
      </c>
      <c r="I46" s="34" t="str">
        <f t="shared" si="14"/>
        <v>LeRoy Ave</v>
      </c>
      <c r="J46" s="34" t="str">
        <f t="shared" si="14"/>
        <v>La Loma Ave</v>
      </c>
    </row>
    <row r="47" spans="1:10" ht="15" customHeight="1" x14ac:dyDescent="0.25">
      <c r="A47" s="50" t="s">
        <v>32</v>
      </c>
      <c r="B47" s="50"/>
      <c r="C47" s="22">
        <f t="shared" ref="C47:J47" si="15">C4</f>
        <v>500</v>
      </c>
      <c r="D47" s="22">
        <f t="shared" si="15"/>
        <v>706</v>
      </c>
      <c r="E47" s="22">
        <f t="shared" si="15"/>
        <v>809</v>
      </c>
      <c r="F47" s="22">
        <f t="shared" si="15"/>
        <v>9</v>
      </c>
      <c r="G47" s="22">
        <f t="shared" si="15"/>
        <v>978</v>
      </c>
      <c r="H47" s="22">
        <f t="shared" si="15"/>
        <v>925</v>
      </c>
      <c r="I47" s="22">
        <f t="shared" si="15"/>
        <v>925</v>
      </c>
      <c r="J47" s="22">
        <f t="shared" si="15"/>
        <v>925</v>
      </c>
    </row>
    <row r="48" spans="1:10" ht="15" customHeight="1" x14ac:dyDescent="0.25">
      <c r="A48" s="40" t="s">
        <v>50</v>
      </c>
      <c r="B48" s="40"/>
      <c r="C48" s="22">
        <f t="shared" ref="C48:J48" si="16">C9</f>
        <v>2</v>
      </c>
      <c r="D48" s="22">
        <f t="shared" si="16"/>
        <v>2</v>
      </c>
      <c r="E48" s="22">
        <f t="shared" si="16"/>
        <v>2</v>
      </c>
      <c r="F48" s="22">
        <f t="shared" si="16"/>
        <v>1</v>
      </c>
      <c r="G48" s="22">
        <f t="shared" si="16"/>
        <v>2</v>
      </c>
      <c r="H48" s="22">
        <f t="shared" si="16"/>
        <v>2</v>
      </c>
      <c r="I48" s="22">
        <f t="shared" si="16"/>
        <v>2</v>
      </c>
      <c r="J48" s="22">
        <f t="shared" si="16"/>
        <v>2</v>
      </c>
    </row>
    <row r="49" spans="1:10" ht="15" customHeight="1" x14ac:dyDescent="0.25">
      <c r="A49" s="40" t="s">
        <v>51</v>
      </c>
      <c r="B49" s="40"/>
      <c r="C49" s="22">
        <f t="shared" ref="C49:J49" si="17">C7</f>
        <v>50</v>
      </c>
      <c r="D49" s="22">
        <f t="shared" si="17"/>
        <v>35</v>
      </c>
      <c r="E49" s="22">
        <f t="shared" si="17"/>
        <v>35</v>
      </c>
      <c r="F49" s="22">
        <f t="shared" si="17"/>
        <v>30</v>
      </c>
      <c r="G49" s="22">
        <f t="shared" si="17"/>
        <v>35</v>
      </c>
      <c r="H49" s="22">
        <f t="shared" si="17"/>
        <v>35</v>
      </c>
      <c r="I49" s="22">
        <f t="shared" si="17"/>
        <v>35</v>
      </c>
      <c r="J49" s="22">
        <f t="shared" si="17"/>
        <v>35</v>
      </c>
    </row>
    <row r="50" spans="1:10" ht="15" customHeight="1" x14ac:dyDescent="0.25">
      <c r="A50" s="40" t="s">
        <v>56</v>
      </c>
      <c r="B50" s="40"/>
      <c r="C50" s="31">
        <f>1.1199*LN(MAX(21,C49)-20)+0.8103</f>
        <v>4.6193009477234472</v>
      </c>
      <c r="D50" s="31">
        <f t="shared" ref="D50:J50" si="18">1.1199*LN(MAX(21,D49)-20)+0.8103</f>
        <v>3.8430454202143647</v>
      </c>
      <c r="E50" s="31">
        <f t="shared" si="18"/>
        <v>3.8430454202143647</v>
      </c>
      <c r="F50" s="31">
        <f t="shared" si="18"/>
        <v>3.3889650456440314</v>
      </c>
      <c r="G50" s="31">
        <f t="shared" si="18"/>
        <v>3.8430454202143647</v>
      </c>
      <c r="H50" s="31">
        <f t="shared" si="18"/>
        <v>3.8430454202143647</v>
      </c>
      <c r="I50" s="31">
        <f t="shared" si="18"/>
        <v>3.8430454202143647</v>
      </c>
      <c r="J50" s="31">
        <f t="shared" si="18"/>
        <v>3.8430454202143647</v>
      </c>
    </row>
    <row r="51" spans="1:10" ht="15" customHeight="1" x14ac:dyDescent="0.25">
      <c r="A51" s="40" t="s">
        <v>57</v>
      </c>
      <c r="B51" s="40"/>
      <c r="C51" s="22">
        <f t="shared" ref="C51:J51" si="19">C5*100</f>
        <v>3</v>
      </c>
      <c r="D51" s="22">
        <f t="shared" si="19"/>
        <v>5</v>
      </c>
      <c r="E51" s="22">
        <f t="shared" si="19"/>
        <v>5</v>
      </c>
      <c r="F51" s="22">
        <f t="shared" si="19"/>
        <v>2</v>
      </c>
      <c r="G51" s="22">
        <f t="shared" si="19"/>
        <v>5</v>
      </c>
      <c r="H51" s="22">
        <f t="shared" si="19"/>
        <v>5</v>
      </c>
      <c r="I51" s="22">
        <f t="shared" si="19"/>
        <v>5</v>
      </c>
      <c r="J51" s="22">
        <f t="shared" si="19"/>
        <v>5</v>
      </c>
    </row>
    <row r="52" spans="1:10" ht="15" customHeight="1" x14ac:dyDescent="0.25">
      <c r="A52" s="40" t="s">
        <v>61</v>
      </c>
      <c r="B52" s="40"/>
      <c r="C52" s="22">
        <f t="shared" ref="C52:J52" si="20">C18</f>
        <v>3.5</v>
      </c>
      <c r="D52" s="22">
        <f t="shared" si="20"/>
        <v>3.5</v>
      </c>
      <c r="E52" s="22">
        <f t="shared" si="20"/>
        <v>3.5</v>
      </c>
      <c r="F52" s="22">
        <f t="shared" si="20"/>
        <v>3.5</v>
      </c>
      <c r="G52" s="22">
        <f t="shared" si="20"/>
        <v>3.5</v>
      </c>
      <c r="H52" s="22">
        <f t="shared" si="20"/>
        <v>3.5</v>
      </c>
      <c r="I52" s="22">
        <f t="shared" si="20"/>
        <v>3.5</v>
      </c>
      <c r="J52" s="22">
        <f t="shared" si="20"/>
        <v>3.5</v>
      </c>
    </row>
    <row r="53" spans="1:10" ht="15" customHeight="1" x14ac:dyDescent="0.25">
      <c r="A53" s="40" t="s">
        <v>62</v>
      </c>
      <c r="B53" s="40"/>
      <c r="C53" s="22">
        <f t="shared" ref="C53:J53" si="21">SUM(C11,C12,IF(C55=0,C13,0))</f>
        <v>18</v>
      </c>
      <c r="D53" s="22">
        <f t="shared" si="21"/>
        <v>12</v>
      </c>
      <c r="E53" s="22">
        <f t="shared" si="21"/>
        <v>12</v>
      </c>
      <c r="F53" s="22">
        <f t="shared" si="21"/>
        <v>17</v>
      </c>
      <c r="G53" s="22">
        <f t="shared" si="21"/>
        <v>12</v>
      </c>
      <c r="H53" s="22">
        <f t="shared" si="21"/>
        <v>12</v>
      </c>
      <c r="I53" s="22">
        <f t="shared" si="21"/>
        <v>12</v>
      </c>
      <c r="J53" s="22">
        <f t="shared" si="21"/>
        <v>12</v>
      </c>
    </row>
    <row r="54" spans="1:10" ht="15" customHeight="1" x14ac:dyDescent="0.25">
      <c r="A54" s="40" t="s">
        <v>63</v>
      </c>
      <c r="B54" s="40"/>
      <c r="C54" s="22">
        <f t="shared" ref="C54:J54" si="22">SUM(C12,IF(C55=0,C13,0))</f>
        <v>6</v>
      </c>
      <c r="D54" s="22">
        <f t="shared" si="22"/>
        <v>0</v>
      </c>
      <c r="E54" s="22">
        <f t="shared" si="22"/>
        <v>0</v>
      </c>
      <c r="F54" s="22">
        <f t="shared" si="22"/>
        <v>5</v>
      </c>
      <c r="G54" s="22">
        <f t="shared" si="22"/>
        <v>0</v>
      </c>
      <c r="H54" s="22">
        <f t="shared" si="22"/>
        <v>0</v>
      </c>
      <c r="I54" s="22">
        <f t="shared" si="22"/>
        <v>0</v>
      </c>
      <c r="J54" s="22">
        <f t="shared" si="22"/>
        <v>0</v>
      </c>
    </row>
    <row r="55" spans="1:10" ht="15" customHeight="1" x14ac:dyDescent="0.25">
      <c r="A55" s="50" t="s">
        <v>45</v>
      </c>
      <c r="B55" s="50"/>
      <c r="C55" s="22">
        <f t="shared" ref="C55:J55" si="23">C6*100</f>
        <v>50</v>
      </c>
      <c r="D55" s="22">
        <f t="shared" si="23"/>
        <v>50</v>
      </c>
      <c r="E55" s="22">
        <f t="shared" si="23"/>
        <v>50</v>
      </c>
      <c r="F55" s="22">
        <f t="shared" si="23"/>
        <v>0</v>
      </c>
      <c r="G55" s="22">
        <f t="shared" si="23"/>
        <v>50</v>
      </c>
      <c r="H55" s="22">
        <f t="shared" si="23"/>
        <v>50</v>
      </c>
      <c r="I55" s="22">
        <f t="shared" si="23"/>
        <v>50</v>
      </c>
      <c r="J55" s="22">
        <f t="shared" si="23"/>
        <v>50</v>
      </c>
    </row>
    <row r="56" spans="1:10" ht="29.25" customHeight="1" x14ac:dyDescent="0.25">
      <c r="A56" s="55" t="s">
        <v>65</v>
      </c>
      <c r="B56" s="50"/>
      <c r="C56" s="35">
        <f t="shared" ref="C56:J56" si="24">IF(OR(C47&gt;160,C10="Yes"),C53,C53*(2-(0.005*C47)))</f>
        <v>18</v>
      </c>
      <c r="D56" s="35">
        <f t="shared" si="24"/>
        <v>12</v>
      </c>
      <c r="E56" s="35">
        <f t="shared" si="24"/>
        <v>12</v>
      </c>
      <c r="F56" s="35">
        <f t="shared" si="24"/>
        <v>33.234999999999999</v>
      </c>
      <c r="G56" s="35">
        <f t="shared" si="24"/>
        <v>12</v>
      </c>
      <c r="H56" s="35">
        <f t="shared" si="24"/>
        <v>12</v>
      </c>
      <c r="I56" s="35">
        <f t="shared" si="24"/>
        <v>12</v>
      </c>
      <c r="J56" s="35">
        <f t="shared" si="24"/>
        <v>12</v>
      </c>
    </row>
    <row r="57" spans="1:10" ht="15" customHeight="1" x14ac:dyDescent="0.25">
      <c r="A57" s="40" t="s">
        <v>64</v>
      </c>
      <c r="B57" s="40"/>
      <c r="C57" s="23">
        <f>IF(C54&lt;4,C56-(0.1*C55),C56+C54-(0.2*C55))</f>
        <v>14</v>
      </c>
      <c r="D57" s="23">
        <f t="shared" ref="D57:J57" si="25">IF(D54&lt;4,D56-(0.1*D55),D56+D54-(0.2*D55))</f>
        <v>7</v>
      </c>
      <c r="E57" s="23">
        <f t="shared" si="25"/>
        <v>7</v>
      </c>
      <c r="F57" s="23">
        <f t="shared" si="25"/>
        <v>38.234999999999999</v>
      </c>
      <c r="G57" s="23">
        <f t="shared" si="25"/>
        <v>7</v>
      </c>
      <c r="H57" s="23">
        <f t="shared" si="25"/>
        <v>7</v>
      </c>
      <c r="I57" s="23">
        <f t="shared" si="25"/>
        <v>7</v>
      </c>
      <c r="J57" s="23">
        <f t="shared" si="25"/>
        <v>7</v>
      </c>
    </row>
    <row r="58" spans="1:10" ht="15" customHeight="1" x14ac:dyDescent="0.25">
      <c r="A58" s="21" t="s">
        <v>68</v>
      </c>
      <c r="B58" s="40"/>
      <c r="C58" s="32">
        <f>0.507*LN(C47/(4*C48))+(0.199*C50*((1+(0.1038*C51))^2))+(7.066*((1/C52)^2))-(0.005*C57*C57)+0.76</f>
        <v>4.034228637011755</v>
      </c>
      <c r="D58" s="32">
        <f t="shared" ref="D58:J58" si="26">0.507*LN(D47/(4*D48))+(0.199*D50*((1+(0.1038*D51))^2))+(7.066*((1/D52)^2))-(0.005*D57*D57)+0.76</f>
        <v>5.127855721950425</v>
      </c>
      <c r="E58" s="32">
        <f t="shared" si="26"/>
        <v>5.1969008474900065</v>
      </c>
      <c r="F58" s="32">
        <f t="shared" si="26"/>
        <v>-4.5781362720262928</v>
      </c>
      <c r="G58" s="32">
        <f t="shared" si="26"/>
        <v>5.2930841992490043</v>
      </c>
      <c r="H58" s="32">
        <f t="shared" si="26"/>
        <v>5.2648362214601514</v>
      </c>
      <c r="I58" s="32">
        <f t="shared" si="26"/>
        <v>5.2648362214601514</v>
      </c>
      <c r="J58" s="32">
        <f t="shared" si="26"/>
        <v>5.2648362214601514</v>
      </c>
    </row>
    <row r="59" spans="1:10" ht="15" customHeight="1" x14ac:dyDescent="0.25">
      <c r="A59" s="21" t="s">
        <v>69</v>
      </c>
      <c r="B59" s="40"/>
      <c r="C59" s="33" t="str">
        <f>IF(C58&lt;=1.5,"A",IF(C58&lt;=2.5,"B",IF(C58&lt;=3.5,"C",IF(C58&lt;=4.5,"D",IF(C58&lt;=5.5,"E","F")))))</f>
        <v>D</v>
      </c>
      <c r="D59" s="33" t="str">
        <f t="shared" ref="D59:J59" si="27">IF(D58&lt;=1.5,"A",IF(D58&lt;=2.5,"B",IF(D58&lt;=3.5,"C",IF(D58&lt;=4.5,"D",IF(D58&lt;=5.5,"E","F")))))</f>
        <v>E</v>
      </c>
      <c r="E59" s="33" t="str">
        <f t="shared" si="27"/>
        <v>E</v>
      </c>
      <c r="F59" s="33" t="str">
        <f t="shared" si="27"/>
        <v>A</v>
      </c>
      <c r="G59" s="33" t="str">
        <f t="shared" si="27"/>
        <v>E</v>
      </c>
      <c r="H59" s="33" t="str">
        <f t="shared" si="27"/>
        <v>E</v>
      </c>
      <c r="I59" s="33" t="str">
        <f t="shared" si="27"/>
        <v>E</v>
      </c>
      <c r="J59" s="33" t="str">
        <f t="shared" si="27"/>
        <v>E</v>
      </c>
    </row>
    <row r="60" spans="1:10" ht="27.75" customHeight="1" x14ac:dyDescent="0.3">
      <c r="A60" s="30" t="s">
        <v>70</v>
      </c>
      <c r="B60" s="29"/>
      <c r="C60" s="49"/>
      <c r="D60" s="49"/>
      <c r="E60" s="49"/>
      <c r="F60" s="49"/>
      <c r="G60" s="49"/>
      <c r="H60" s="49"/>
    </row>
    <row r="61" spans="1:10" ht="15" customHeight="1" x14ac:dyDescent="0.25">
      <c r="A61" s="50" t="s">
        <v>21</v>
      </c>
      <c r="B61" s="50"/>
      <c r="C61" s="34" t="str">
        <f>C2</f>
        <v>Shattuck Ave</v>
      </c>
      <c r="D61" s="34" t="str">
        <f t="shared" ref="D61:J61" si="28">D2</f>
        <v>Walnut St</v>
      </c>
      <c r="E61" s="34" t="str">
        <f t="shared" si="28"/>
        <v>Oxford Street</v>
      </c>
      <c r="F61" s="34" t="str">
        <f t="shared" si="28"/>
        <v>Spruce St</v>
      </c>
      <c r="G61" s="34" t="str">
        <f t="shared" si="28"/>
        <v>Arch St</v>
      </c>
      <c r="H61" s="34" t="str">
        <f t="shared" si="28"/>
        <v>Euclid Ave</v>
      </c>
      <c r="I61" s="34" t="str">
        <f t="shared" si="28"/>
        <v>LeRoy Ave</v>
      </c>
      <c r="J61" s="34" t="str">
        <f t="shared" si="28"/>
        <v>La Loma Ave</v>
      </c>
    </row>
    <row r="62" spans="1:10" x14ac:dyDescent="0.25">
      <c r="A62" t="s">
        <v>80</v>
      </c>
      <c r="C62" s="20">
        <f>IF(C20="No",0,C21)</f>
        <v>4</v>
      </c>
      <c r="D62" s="20">
        <f t="shared" ref="D62:J63" si="29">IF(D19="No",0,D21)</f>
        <v>2</v>
      </c>
      <c r="E62" s="20">
        <f t="shared" si="29"/>
        <v>4</v>
      </c>
      <c r="F62" s="20">
        <f t="shared" si="29"/>
        <v>4</v>
      </c>
      <c r="G62" s="20">
        <f t="shared" si="29"/>
        <v>4</v>
      </c>
      <c r="H62" s="20">
        <f t="shared" si="29"/>
        <v>4</v>
      </c>
      <c r="I62" s="20">
        <f t="shared" si="29"/>
        <v>4</v>
      </c>
      <c r="J62" s="20">
        <f t="shared" si="29"/>
        <v>4</v>
      </c>
    </row>
    <row r="63" spans="1:10" x14ac:dyDescent="0.25">
      <c r="A63" t="s">
        <v>81</v>
      </c>
      <c r="C63" s="20">
        <f t="shared" ref="C63:H63" si="30">IF(C20="No",0,C22)</f>
        <v>0</v>
      </c>
      <c r="D63" s="20">
        <f t="shared" si="30"/>
        <v>0</v>
      </c>
      <c r="E63" s="20">
        <f t="shared" si="30"/>
        <v>5</v>
      </c>
      <c r="F63" s="20">
        <f t="shared" si="30"/>
        <v>0</v>
      </c>
      <c r="G63" s="20">
        <f t="shared" si="30"/>
        <v>0</v>
      </c>
      <c r="H63" s="20">
        <f t="shared" si="30"/>
        <v>0</v>
      </c>
      <c r="I63" s="20">
        <f t="shared" si="29"/>
        <v>0</v>
      </c>
      <c r="J63" s="20">
        <f t="shared" si="29"/>
        <v>0</v>
      </c>
    </row>
    <row r="64" spans="1:10" x14ac:dyDescent="0.25">
      <c r="A64" t="s">
        <v>82</v>
      </c>
      <c r="C64" s="20">
        <f>IF(C20="No",0,C62+C63)</f>
        <v>4</v>
      </c>
      <c r="D64" s="20">
        <f t="shared" ref="D64:J64" si="31">IF(D20="No",0,D62+D63)</f>
        <v>2</v>
      </c>
      <c r="E64" s="20">
        <f t="shared" si="31"/>
        <v>9</v>
      </c>
      <c r="F64" s="20">
        <f t="shared" si="31"/>
        <v>4</v>
      </c>
      <c r="G64" s="20">
        <f t="shared" si="31"/>
        <v>4</v>
      </c>
      <c r="H64" s="20">
        <f t="shared" si="31"/>
        <v>4</v>
      </c>
      <c r="I64" s="20">
        <f t="shared" si="31"/>
        <v>4</v>
      </c>
      <c r="J64" s="20">
        <f t="shared" si="31"/>
        <v>4</v>
      </c>
    </row>
    <row r="65" spans="1:10" x14ac:dyDescent="0.25">
      <c r="A65" t="s">
        <v>71</v>
      </c>
      <c r="C65" s="25">
        <f>IF(C64=0,0,4*EXP(-0.0239*(60/C64)))</f>
        <v>2.7948945033543784</v>
      </c>
      <c r="D65" s="25">
        <f t="shared" ref="D65:J65" si="32">IF(D64=0,0,4*EXP(-0.0239*(60/D64)))</f>
        <v>1.952858821220129</v>
      </c>
      <c r="E65" s="25">
        <f t="shared" si="32"/>
        <v>3.410848296931587</v>
      </c>
      <c r="F65" s="25">
        <f t="shared" si="32"/>
        <v>2.7948945033543784</v>
      </c>
      <c r="G65" s="25">
        <f t="shared" si="32"/>
        <v>2.7948945033543784</v>
      </c>
      <c r="H65" s="25">
        <f t="shared" si="32"/>
        <v>2.7948945033543784</v>
      </c>
      <c r="I65" s="25">
        <f t="shared" si="32"/>
        <v>2.7948945033543784</v>
      </c>
      <c r="J65" s="25">
        <f t="shared" si="32"/>
        <v>2.7948945033543784</v>
      </c>
    </row>
    <row r="66" spans="1:10" x14ac:dyDescent="0.25">
      <c r="A66" t="s">
        <v>98</v>
      </c>
      <c r="C66" s="25">
        <f>IF(C62=0,0,IF(C25="Many seats avail.",1,IF(C25="All seats full", 1.19, IF(C25="Some standees",1.28,1.42))))</f>
        <v>1.19</v>
      </c>
      <c r="D66" s="25">
        <f t="shared" ref="D66:J67" si="33">IF(D62=0,0,IF(D25="Many seats avail.",1,IF(D25="All seats full", 1.19, IF(D25="Some standees",1.28,1.42))))</f>
        <v>1</v>
      </c>
      <c r="E66" s="25">
        <f t="shared" si="33"/>
        <v>1</v>
      </c>
      <c r="F66" s="25">
        <f t="shared" si="33"/>
        <v>1</v>
      </c>
      <c r="G66" s="25">
        <f t="shared" si="33"/>
        <v>1</v>
      </c>
      <c r="H66" s="25">
        <f t="shared" si="33"/>
        <v>1</v>
      </c>
      <c r="I66" s="25">
        <f t="shared" si="33"/>
        <v>1</v>
      </c>
      <c r="J66" s="25">
        <f t="shared" si="33"/>
        <v>1</v>
      </c>
    </row>
    <row r="67" spans="1:10" x14ac:dyDescent="0.25">
      <c r="A67" t="s">
        <v>99</v>
      </c>
      <c r="C67" s="25">
        <f>IF(C63=0,0,IF(C26="Many seats avail.",1,IF(C26="All seats full", 1.19, IF(C26="Some standees",1.28,1.42))))</f>
        <v>0</v>
      </c>
      <c r="D67" s="25">
        <f t="shared" si="33"/>
        <v>0</v>
      </c>
      <c r="E67" s="25">
        <f>IF(E63=0,0,IF(E26="Many seats avail.",1,IF(E26="All seats full", 1.19, IF(E26="Some standees",1.28,1.42))))</f>
        <v>1.28</v>
      </c>
      <c r="F67" s="25">
        <f t="shared" si="33"/>
        <v>0</v>
      </c>
      <c r="G67" s="25">
        <f t="shared" si="33"/>
        <v>0</v>
      </c>
      <c r="H67" s="25">
        <f t="shared" si="33"/>
        <v>0</v>
      </c>
      <c r="I67" s="25">
        <f t="shared" si="33"/>
        <v>0</v>
      </c>
      <c r="J67" s="25">
        <f t="shared" si="33"/>
        <v>0</v>
      </c>
    </row>
    <row r="68" spans="1:10" x14ac:dyDescent="0.25">
      <c r="A68" t="s">
        <v>100</v>
      </c>
      <c r="C68" s="1">
        <f>IF(C62=0,0,C27)</f>
        <v>12.5</v>
      </c>
      <c r="D68" s="1">
        <f t="shared" ref="D68:J69" si="34">IF(D62=0,0,D27)</f>
        <v>17.5</v>
      </c>
      <c r="E68" s="1">
        <f t="shared" si="34"/>
        <v>7.5</v>
      </c>
      <c r="F68" s="1">
        <f t="shared" si="34"/>
        <v>7.5</v>
      </c>
      <c r="G68" s="1">
        <f t="shared" si="34"/>
        <v>7.5</v>
      </c>
      <c r="H68" s="1">
        <f t="shared" si="34"/>
        <v>7.5</v>
      </c>
      <c r="I68" s="1">
        <f t="shared" si="34"/>
        <v>7.5</v>
      </c>
      <c r="J68" s="1">
        <f t="shared" si="34"/>
        <v>7.5</v>
      </c>
    </row>
    <row r="69" spans="1:10" x14ac:dyDescent="0.25">
      <c r="A69" t="s">
        <v>101</v>
      </c>
      <c r="C69" s="1">
        <f>IF(C63=0,0,C28)</f>
        <v>0</v>
      </c>
      <c r="D69" s="1">
        <f t="shared" si="34"/>
        <v>0</v>
      </c>
      <c r="E69" s="1">
        <f t="shared" si="34"/>
        <v>15</v>
      </c>
      <c r="F69" s="1">
        <f t="shared" si="34"/>
        <v>0</v>
      </c>
      <c r="G69" s="1">
        <f t="shared" si="34"/>
        <v>0</v>
      </c>
      <c r="H69" s="1">
        <f t="shared" si="34"/>
        <v>0</v>
      </c>
      <c r="I69" s="1">
        <f t="shared" si="34"/>
        <v>0</v>
      </c>
      <c r="J69" s="1">
        <f t="shared" si="34"/>
        <v>0</v>
      </c>
    </row>
    <row r="70" spans="1:10" x14ac:dyDescent="0.25">
      <c r="A70" t="s">
        <v>83</v>
      </c>
      <c r="C70" s="25">
        <f>IF(C62=0,0,60/C68)</f>
        <v>4.8</v>
      </c>
      <c r="D70" s="25">
        <f t="shared" ref="D70:J71" si="35">IF(D62=0,0,60/D68)</f>
        <v>3.4285714285714284</v>
      </c>
      <c r="E70" s="25">
        <f t="shared" si="35"/>
        <v>8</v>
      </c>
      <c r="F70" s="25">
        <f t="shared" si="35"/>
        <v>8</v>
      </c>
      <c r="G70" s="25">
        <f t="shared" si="35"/>
        <v>8</v>
      </c>
      <c r="H70" s="25">
        <f t="shared" si="35"/>
        <v>8</v>
      </c>
      <c r="I70" s="25">
        <f t="shared" si="35"/>
        <v>8</v>
      </c>
      <c r="J70" s="25">
        <f t="shared" si="35"/>
        <v>8</v>
      </c>
    </row>
    <row r="71" spans="1:10" x14ac:dyDescent="0.25">
      <c r="A71" t="s">
        <v>84</v>
      </c>
      <c r="C71" s="25">
        <f>IF(C63=0,0,60/C69)</f>
        <v>0</v>
      </c>
      <c r="D71" s="25">
        <f t="shared" si="35"/>
        <v>0</v>
      </c>
      <c r="E71" s="25">
        <f t="shared" si="35"/>
        <v>4</v>
      </c>
      <c r="F71" s="25">
        <f t="shared" si="35"/>
        <v>0</v>
      </c>
      <c r="G71" s="25">
        <f t="shared" si="35"/>
        <v>0</v>
      </c>
      <c r="H71" s="25">
        <f t="shared" si="35"/>
        <v>0</v>
      </c>
      <c r="I71" s="25">
        <f t="shared" si="35"/>
        <v>0</v>
      </c>
      <c r="J71" s="25">
        <f t="shared" si="35"/>
        <v>0</v>
      </c>
    </row>
    <row r="72" spans="1:10" x14ac:dyDescent="0.25">
      <c r="A72" t="s">
        <v>72</v>
      </c>
      <c r="C72" s="25">
        <f>IF(C64=0,0,0.81)</f>
        <v>0.81</v>
      </c>
      <c r="D72" s="25">
        <f t="shared" ref="D72:J72" si="36">IF(D64=0,0,0.81)</f>
        <v>0.81</v>
      </c>
      <c r="E72" s="25">
        <f t="shared" si="36"/>
        <v>0.81</v>
      </c>
      <c r="F72" s="25">
        <f t="shared" si="36"/>
        <v>0.81</v>
      </c>
      <c r="G72" s="25">
        <f t="shared" si="36"/>
        <v>0.81</v>
      </c>
      <c r="H72" s="25">
        <f t="shared" si="36"/>
        <v>0.81</v>
      </c>
      <c r="I72" s="25">
        <f t="shared" si="36"/>
        <v>0.81</v>
      </c>
      <c r="J72" s="25">
        <f t="shared" si="36"/>
        <v>0.81</v>
      </c>
    </row>
    <row r="73" spans="1:10" x14ac:dyDescent="0.25">
      <c r="A73" t="s">
        <v>73</v>
      </c>
      <c r="C73" s="25">
        <f>IF(C64=0,0,0.000001+(0.054*(C24="Yes"))+(0.351*(C23="Yes")))</f>
        <v>0.405001</v>
      </c>
      <c r="D73" s="25">
        <f t="shared" ref="D73:J73" si="37">IF(D64=0,0,0.000001+(0.054*(D24="Yes"))+(0.351*(D23="Yes")))</f>
        <v>9.9999999999999995E-7</v>
      </c>
      <c r="E73" s="25">
        <f t="shared" si="37"/>
        <v>0.405001</v>
      </c>
      <c r="F73" s="25">
        <f t="shared" si="37"/>
        <v>9.9999999999999995E-7</v>
      </c>
      <c r="G73" s="25">
        <f t="shared" si="37"/>
        <v>9.9999999999999995E-7</v>
      </c>
      <c r="H73" s="25">
        <f t="shared" si="37"/>
        <v>9.9999999999999995E-7</v>
      </c>
      <c r="I73" s="25">
        <f t="shared" si="37"/>
        <v>9.9999999999999995E-7</v>
      </c>
      <c r="J73" s="25">
        <f t="shared" si="37"/>
        <v>9.9999999999999995E-7</v>
      </c>
    </row>
    <row r="74" spans="1:10" x14ac:dyDescent="0.25">
      <c r="A74" t="s">
        <v>76</v>
      </c>
      <c r="C74" s="25">
        <f>IF(C64=0,0,IF($C$29="Yes",6,4))</f>
        <v>4</v>
      </c>
      <c r="D74" s="25">
        <f t="shared" ref="D74:J74" si="38">IF(D64=0,0,IF($C$29="Yes",6,4))</f>
        <v>4</v>
      </c>
      <c r="E74" s="25">
        <f t="shared" si="38"/>
        <v>4</v>
      </c>
      <c r="F74" s="25">
        <f t="shared" si="38"/>
        <v>4</v>
      </c>
      <c r="G74" s="25">
        <f t="shared" si="38"/>
        <v>4</v>
      </c>
      <c r="H74" s="25">
        <f t="shared" si="38"/>
        <v>4</v>
      </c>
      <c r="I74" s="25">
        <f t="shared" si="38"/>
        <v>4</v>
      </c>
      <c r="J74" s="25">
        <f t="shared" si="38"/>
        <v>4</v>
      </c>
    </row>
    <row r="75" spans="1:10" x14ac:dyDescent="0.25">
      <c r="A75" t="s">
        <v>85</v>
      </c>
      <c r="C75" s="25">
        <f>IF(C62=0,0,(C66*C70)+(2*C72)-C73)</f>
        <v>6.9269989999999995</v>
      </c>
      <c r="D75" s="25">
        <f t="shared" ref="D75:J75" si="39">IF(D62=0,0,(D66*D70)+(2*D72)-D73)</f>
        <v>5.0485704285714279</v>
      </c>
      <c r="E75" s="25">
        <f t="shared" si="39"/>
        <v>9.2149990000000006</v>
      </c>
      <c r="F75" s="25">
        <f t="shared" si="39"/>
        <v>9.6199990000000017</v>
      </c>
      <c r="G75" s="25">
        <f t="shared" si="39"/>
        <v>9.6199990000000017</v>
      </c>
      <c r="H75" s="25">
        <f t="shared" si="39"/>
        <v>9.6199990000000017</v>
      </c>
      <c r="I75" s="25">
        <f t="shared" si="39"/>
        <v>9.6199990000000017</v>
      </c>
      <c r="J75" s="25">
        <f t="shared" si="39"/>
        <v>9.6199990000000017</v>
      </c>
    </row>
    <row r="76" spans="1:10" x14ac:dyDescent="0.25">
      <c r="A76" t="s">
        <v>86</v>
      </c>
      <c r="C76" s="25">
        <f>IF(C63=0,0,(C67*C71)+(2*C72)-C73)</f>
        <v>0</v>
      </c>
      <c r="D76" s="25">
        <f t="shared" ref="D76:J76" si="40">IF(D63=0,0,(D67*D71)+(2*D72)-D73)</f>
        <v>0</v>
      </c>
      <c r="E76" s="25">
        <f t="shared" si="40"/>
        <v>6.3349989999999998</v>
      </c>
      <c r="F76" s="25">
        <f t="shared" si="40"/>
        <v>0</v>
      </c>
      <c r="G76" s="25">
        <f t="shared" si="40"/>
        <v>0</v>
      </c>
      <c r="H76" s="25">
        <f t="shared" si="40"/>
        <v>0</v>
      </c>
      <c r="I76" s="25">
        <f t="shared" si="40"/>
        <v>0</v>
      </c>
      <c r="J76" s="25">
        <f t="shared" si="40"/>
        <v>0</v>
      </c>
    </row>
    <row r="77" spans="1:10" x14ac:dyDescent="0.25">
      <c r="A77" t="s">
        <v>91</v>
      </c>
      <c r="B77" s="25"/>
      <c r="C77" s="25">
        <f>IF(C62=0,0,(((-0.4-1)*C74)-((-0.4+1)*C75))/(((-0.4-1)*C75)-((-0.4+1)*C74)))</f>
        <v>0.80644419059844497</v>
      </c>
      <c r="D77" s="25">
        <f t="shared" ref="D77:J77" si="41">IF(D62=0,0,(((-0.4-1)*D74)-((-0.4+1)*D75))/(((-0.4-1)*D75)-((-0.4+1)*D74)))</f>
        <v>0.91140088013351184</v>
      </c>
      <c r="E77" s="25">
        <f t="shared" si="41"/>
        <v>0.72733810981461033</v>
      </c>
      <c r="F77" s="25">
        <f t="shared" si="41"/>
        <v>0.71666249075671073</v>
      </c>
      <c r="G77" s="25">
        <f t="shared" si="41"/>
        <v>0.71666249075671073</v>
      </c>
      <c r="H77" s="25">
        <f t="shared" si="41"/>
        <v>0.71666249075671073</v>
      </c>
      <c r="I77" s="25">
        <f t="shared" si="41"/>
        <v>0.71666249075671073</v>
      </c>
      <c r="J77" s="25">
        <f t="shared" si="41"/>
        <v>0.71666249075671073</v>
      </c>
    </row>
    <row r="78" spans="1:10" x14ac:dyDescent="0.25">
      <c r="A78" t="s">
        <v>93</v>
      </c>
      <c r="B78" s="25"/>
      <c r="C78" s="25">
        <f>IF(C63=0,0,(((-0.4-1)*C74)-((-0.4+1)*C76))/(((-0.4-1)*C76)-((-0.4+1)*C74)))</f>
        <v>0</v>
      </c>
      <c r="D78" s="25">
        <f t="shared" ref="D78:J78" si="42">IF(D63=0,0,(((-0.4-1)*D74)-((-0.4+1)*D76))/(((-0.4-1)*D76)-((-0.4+1)*D74)))</f>
        <v>0</v>
      </c>
      <c r="E78" s="25">
        <f t="shared" si="42"/>
        <v>0.83423556375275443</v>
      </c>
      <c r="F78" s="25">
        <f t="shared" si="42"/>
        <v>0</v>
      </c>
      <c r="G78" s="25">
        <f t="shared" si="42"/>
        <v>0</v>
      </c>
      <c r="H78" s="25">
        <f t="shared" si="42"/>
        <v>0</v>
      </c>
      <c r="I78" s="25">
        <f t="shared" si="42"/>
        <v>0</v>
      </c>
      <c r="J78" s="25">
        <f t="shared" si="42"/>
        <v>0</v>
      </c>
    </row>
    <row r="79" spans="1:10" x14ac:dyDescent="0.25">
      <c r="A79" t="s">
        <v>92</v>
      </c>
      <c r="B79" s="25"/>
      <c r="C79" s="25">
        <f>IF(C64=0,0,((C77*C62)+(C78*C63))/C64)</f>
        <v>0.80644419059844497</v>
      </c>
      <c r="D79" s="25">
        <f t="shared" ref="D79:J79" si="43">IF(D64=0,0,((D77*D62)+(D78*D63))/D64)</f>
        <v>0.91140088013351184</v>
      </c>
      <c r="E79" s="25">
        <f t="shared" si="43"/>
        <v>0.78672558422469041</v>
      </c>
      <c r="F79" s="25">
        <f t="shared" si="43"/>
        <v>0.71666249075671073</v>
      </c>
      <c r="G79" s="25">
        <f t="shared" si="43"/>
        <v>0.71666249075671073</v>
      </c>
      <c r="H79" s="25">
        <f t="shared" si="43"/>
        <v>0.71666249075671073</v>
      </c>
      <c r="I79" s="25">
        <f t="shared" si="43"/>
        <v>0.71666249075671073</v>
      </c>
      <c r="J79" s="25">
        <f t="shared" si="43"/>
        <v>0.71666249075671073</v>
      </c>
    </row>
    <row r="80" spans="1:10" x14ac:dyDescent="0.25">
      <c r="A80" t="s">
        <v>77</v>
      </c>
      <c r="C80" s="25">
        <f>IF(C64=0,0,C65*C79)</f>
        <v>2.2539264355656643</v>
      </c>
      <c r="D80" s="25">
        <f t="shared" ref="D80:J80" si="44">IF(D64=0,0,D65*D79)</f>
        <v>1.7798372484365179</v>
      </c>
      <c r="E80" s="25">
        <f t="shared" si="44"/>
        <v>2.6834016191052932</v>
      </c>
      <c r="F80" s="25">
        <f t="shared" si="44"/>
        <v>2.002996056176189</v>
      </c>
      <c r="G80" s="25">
        <f t="shared" si="44"/>
        <v>2.002996056176189</v>
      </c>
      <c r="H80" s="25">
        <f t="shared" si="44"/>
        <v>2.002996056176189</v>
      </c>
      <c r="I80" s="25">
        <f t="shared" si="44"/>
        <v>2.002996056176189</v>
      </c>
      <c r="J80" s="25">
        <f t="shared" si="44"/>
        <v>2.002996056176189</v>
      </c>
    </row>
    <row r="81" spans="1:10" x14ac:dyDescent="0.25">
      <c r="A81" t="s">
        <v>53</v>
      </c>
      <c r="C81" s="25">
        <f>IF(C64=0,0,C43)</f>
        <v>2.119171326546553</v>
      </c>
      <c r="D81" s="25">
        <f t="shared" ref="D81:J81" si="45">IF(D64=0,0,D43)</f>
        <v>1.9759408163114847</v>
      </c>
      <c r="E81" s="25">
        <f t="shared" si="45"/>
        <v>2.0931033163114847</v>
      </c>
      <c r="F81" s="25">
        <f t="shared" si="45"/>
        <v>0.88456113325901686</v>
      </c>
      <c r="G81" s="25">
        <f t="shared" si="45"/>
        <v>2.328030500954692</v>
      </c>
      <c r="H81" s="25">
        <f t="shared" si="45"/>
        <v>2.3475069107483284</v>
      </c>
      <c r="I81" s="25">
        <f t="shared" si="45"/>
        <v>2.3475069107483284</v>
      </c>
      <c r="J81" s="25">
        <f t="shared" si="45"/>
        <v>2.3475069107483284</v>
      </c>
    </row>
    <row r="82" spans="1:10" x14ac:dyDescent="0.25">
      <c r="A82" s="36" t="s">
        <v>78</v>
      </c>
      <c r="C82" s="37">
        <f>IF(C64=0,0,6-(1.5*C80)+(0.15*C81))</f>
        <v>2.9369860456334864</v>
      </c>
      <c r="D82" s="37">
        <f t="shared" ref="D82:J82" si="46">IF(D64=0,0,6-(1.5*D80)+(0.15*D81))</f>
        <v>3.6266352497919461</v>
      </c>
      <c r="E82" s="37">
        <f t="shared" si="46"/>
        <v>2.2888630687887828</v>
      </c>
      <c r="F82" s="37">
        <f t="shared" si="46"/>
        <v>3.1281900857245688</v>
      </c>
      <c r="G82" s="37">
        <f t="shared" si="46"/>
        <v>3.3447104908789198</v>
      </c>
      <c r="H82" s="37">
        <f t="shared" si="46"/>
        <v>3.3476319523479656</v>
      </c>
      <c r="I82" s="37">
        <f t="shared" si="46"/>
        <v>3.3476319523479656</v>
      </c>
      <c r="J82" s="37">
        <f t="shared" si="46"/>
        <v>3.3476319523479656</v>
      </c>
    </row>
    <row r="83" spans="1:10" x14ac:dyDescent="0.25">
      <c r="A83" s="36" t="s">
        <v>79</v>
      </c>
      <c r="C83" s="33" t="str">
        <f>IF(C64=0,"No service",IF(C82&lt;=2,"A",IF(C82&lt;=2.75,"B",IF(C82&lt;=3.5,"C",IF(C82&lt;=4.25,"D",IF(C82&lt;=5,"E","F"))))))</f>
        <v>C</v>
      </c>
      <c r="D83" s="33" t="str">
        <f t="shared" ref="D83:J83" si="47">IF(D64=0,"No service",IF(D82&lt;=2,"A",IF(D82&lt;=2.75,"B",IF(D82&lt;=3.5,"C",IF(D82&lt;=4.25,"D",IF(D82&lt;=5,"E","F"))))))</f>
        <v>D</v>
      </c>
      <c r="E83" s="33" t="str">
        <f t="shared" si="47"/>
        <v>B</v>
      </c>
      <c r="F83" s="33" t="str">
        <f t="shared" si="47"/>
        <v>C</v>
      </c>
      <c r="G83" s="33" t="str">
        <f t="shared" si="47"/>
        <v>C</v>
      </c>
      <c r="H83" s="33" t="str">
        <f t="shared" si="47"/>
        <v>C</v>
      </c>
      <c r="I83" s="33" t="str">
        <f t="shared" si="47"/>
        <v>C</v>
      </c>
      <c r="J83" s="33" t="str">
        <f t="shared" si="47"/>
        <v>C</v>
      </c>
    </row>
  </sheetData>
  <mergeCells count="26">
    <mergeCell ref="C60:H60"/>
    <mergeCell ref="A61:B61"/>
    <mergeCell ref="A37:B37"/>
    <mergeCell ref="C45:H45"/>
    <mergeCell ref="A46:B46"/>
    <mergeCell ref="A47:B47"/>
    <mergeCell ref="A55:B55"/>
    <mergeCell ref="A56:B56"/>
    <mergeCell ref="A31:B31"/>
    <mergeCell ref="A32:B32"/>
    <mergeCell ref="A33:B33"/>
    <mergeCell ref="A34:B34"/>
    <mergeCell ref="A35:B35"/>
    <mergeCell ref="A36:B36"/>
    <mergeCell ref="A8:H8"/>
    <mergeCell ref="A9:B9"/>
    <mergeCell ref="A19:H19"/>
    <mergeCell ref="A20:B20"/>
    <mergeCell ref="C29:H29"/>
    <mergeCell ref="C30:H30"/>
    <mergeCell ref="A1:E1"/>
    <mergeCell ref="A2:B2"/>
    <mergeCell ref="A3:J3"/>
    <mergeCell ref="A4:B4"/>
    <mergeCell ref="A6:B6"/>
    <mergeCell ref="A7:B7"/>
  </mergeCells>
  <conditionalFormatting sqref="C25:H25 C27:H27">
    <cfRule type="expression" dxfId="80" priority="81">
      <formula>IF(AND(C$20="Yes",C25&gt;0),1,0)</formula>
    </cfRule>
  </conditionalFormatting>
  <conditionalFormatting sqref="C65">
    <cfRule type="cellIs" dxfId="79" priority="80" operator="equal">
      <formula>0</formula>
    </cfRule>
  </conditionalFormatting>
  <conditionalFormatting sqref="C72">
    <cfRule type="cellIs" dxfId="78" priority="77" operator="equal">
      <formula>0</formula>
    </cfRule>
  </conditionalFormatting>
  <conditionalFormatting sqref="C66:C68">
    <cfRule type="cellIs" dxfId="77" priority="79" operator="equal">
      <formula>0</formula>
    </cfRule>
  </conditionalFormatting>
  <conditionalFormatting sqref="C75">
    <cfRule type="cellIs" dxfId="76" priority="74" operator="equal">
      <formula>0</formula>
    </cfRule>
  </conditionalFormatting>
  <conditionalFormatting sqref="C70:C71">
    <cfRule type="cellIs" dxfId="75" priority="78" operator="equal">
      <formula>0</formula>
    </cfRule>
  </conditionalFormatting>
  <conditionalFormatting sqref="C80">
    <cfRule type="cellIs" dxfId="74" priority="71" operator="equal">
      <formula>0</formula>
    </cfRule>
  </conditionalFormatting>
  <conditionalFormatting sqref="C73">
    <cfRule type="cellIs" dxfId="73" priority="76" operator="equal">
      <formula>0</formula>
    </cfRule>
  </conditionalFormatting>
  <conditionalFormatting sqref="C74">
    <cfRule type="cellIs" dxfId="72" priority="75" operator="equal">
      <formula>0</formula>
    </cfRule>
  </conditionalFormatting>
  <conditionalFormatting sqref="B77:B79">
    <cfRule type="cellIs" dxfId="71" priority="73" operator="equal">
      <formula>0</formula>
    </cfRule>
  </conditionalFormatting>
  <conditionalFormatting sqref="C77:C79">
    <cfRule type="cellIs" dxfId="70" priority="72" operator="equal">
      <formula>0</formula>
    </cfRule>
  </conditionalFormatting>
  <conditionalFormatting sqref="C81">
    <cfRule type="cellIs" dxfId="69" priority="70" operator="equal">
      <formula>0</formula>
    </cfRule>
  </conditionalFormatting>
  <conditionalFormatting sqref="C82">
    <cfRule type="cellIs" dxfId="68" priority="69" operator="equal">
      <formula>0</formula>
    </cfRule>
  </conditionalFormatting>
  <conditionalFormatting sqref="C28">
    <cfRule type="expression" dxfId="67" priority="68" stopIfTrue="1">
      <formula>IF(C22=0,10,0)</formula>
    </cfRule>
  </conditionalFormatting>
  <conditionalFormatting sqref="D28:H28">
    <cfRule type="expression" dxfId="66" priority="67" stopIfTrue="1">
      <formula>IF(D22=0,10,0)</formula>
    </cfRule>
  </conditionalFormatting>
  <conditionalFormatting sqref="C69">
    <cfRule type="cellIs" dxfId="65" priority="66" operator="equal">
      <formula>0</formula>
    </cfRule>
  </conditionalFormatting>
  <conditionalFormatting sqref="D65:H65">
    <cfRule type="cellIs" dxfId="64" priority="65" operator="equal">
      <formula>0</formula>
    </cfRule>
  </conditionalFormatting>
  <conditionalFormatting sqref="D70:H70">
    <cfRule type="cellIs" dxfId="63" priority="62" operator="equal">
      <formula>0</formula>
    </cfRule>
  </conditionalFormatting>
  <conditionalFormatting sqref="D69:H69">
    <cfRule type="cellIs" dxfId="62" priority="63" operator="equal">
      <formula>0</formula>
    </cfRule>
  </conditionalFormatting>
  <conditionalFormatting sqref="D68:H68">
    <cfRule type="cellIs" dxfId="61" priority="64" operator="equal">
      <formula>0</formula>
    </cfRule>
  </conditionalFormatting>
  <conditionalFormatting sqref="D75:H75">
    <cfRule type="cellIs" dxfId="60" priority="59" operator="equal">
      <formula>0</formula>
    </cfRule>
  </conditionalFormatting>
  <conditionalFormatting sqref="D71:H71">
    <cfRule type="cellIs" dxfId="59" priority="61" operator="equal">
      <formula>0</formula>
    </cfRule>
  </conditionalFormatting>
  <conditionalFormatting sqref="C76">
    <cfRule type="cellIs" dxfId="58" priority="60" operator="equal">
      <formula>0</formula>
    </cfRule>
  </conditionalFormatting>
  <conditionalFormatting sqref="C26:H26 C28:H28">
    <cfRule type="expression" dxfId="57" priority="58">
      <formula>IF(AND(C$20="Yes",C$22&gt;0),1,0)</formula>
    </cfRule>
  </conditionalFormatting>
  <conditionalFormatting sqref="C21:H24">
    <cfRule type="expression" dxfId="56" priority="57">
      <formula>IF(C$20="Yes",1,0)</formula>
    </cfRule>
  </conditionalFormatting>
  <conditionalFormatting sqref="D77:H77">
    <cfRule type="cellIs" dxfId="55" priority="56" operator="equal">
      <formula>0</formula>
    </cfRule>
  </conditionalFormatting>
  <conditionalFormatting sqref="D78:H78">
    <cfRule type="cellIs" dxfId="54" priority="55" operator="equal">
      <formula>0</formula>
    </cfRule>
  </conditionalFormatting>
  <conditionalFormatting sqref="D66:H66">
    <cfRule type="cellIs" dxfId="53" priority="54" operator="equal">
      <formula>0</formula>
    </cfRule>
  </conditionalFormatting>
  <conditionalFormatting sqref="D67:H67">
    <cfRule type="cellIs" dxfId="52" priority="53" operator="equal">
      <formula>0</formula>
    </cfRule>
  </conditionalFormatting>
  <conditionalFormatting sqref="D76:H76">
    <cfRule type="cellIs" dxfId="51" priority="52" operator="equal">
      <formula>0</formula>
    </cfRule>
  </conditionalFormatting>
  <conditionalFormatting sqref="D79:H79">
    <cfRule type="cellIs" dxfId="50" priority="51" operator="equal">
      <formula>0</formula>
    </cfRule>
  </conditionalFormatting>
  <conditionalFormatting sqref="D80:H80">
    <cfRule type="cellIs" dxfId="49" priority="50" operator="equal">
      <formula>0</formula>
    </cfRule>
  </conditionalFormatting>
  <conditionalFormatting sqref="D81:H81">
    <cfRule type="cellIs" dxfId="48" priority="49" operator="equal">
      <formula>0</formula>
    </cfRule>
  </conditionalFormatting>
  <conditionalFormatting sqref="D82:H82">
    <cfRule type="cellIs" dxfId="47" priority="48" operator="equal">
      <formula>0</formula>
    </cfRule>
  </conditionalFormatting>
  <conditionalFormatting sqref="D74:H74">
    <cfRule type="cellIs" dxfId="46" priority="47" operator="equal">
      <formula>0</formula>
    </cfRule>
  </conditionalFormatting>
  <conditionalFormatting sqref="D72:H72">
    <cfRule type="cellIs" dxfId="45" priority="46" operator="equal">
      <formula>0</formula>
    </cfRule>
  </conditionalFormatting>
  <conditionalFormatting sqref="D73:H73">
    <cfRule type="cellIs" dxfId="44" priority="45" operator="equal">
      <formula>0</formula>
    </cfRule>
  </conditionalFormatting>
  <conditionalFormatting sqref="I25 I27">
    <cfRule type="expression" dxfId="43" priority="44">
      <formula>IF(AND(I$20="Yes",I25&gt;0),1,0)</formula>
    </cfRule>
  </conditionalFormatting>
  <conditionalFormatting sqref="I28">
    <cfRule type="expression" dxfId="42" priority="43" stopIfTrue="1">
      <formula>IF(I22=0,10,0)</formula>
    </cfRule>
  </conditionalFormatting>
  <conditionalFormatting sqref="I65">
    <cfRule type="cellIs" dxfId="41" priority="42" operator="equal">
      <formula>0</formula>
    </cfRule>
  </conditionalFormatting>
  <conditionalFormatting sqref="I70">
    <cfRule type="cellIs" dxfId="40" priority="39" operator="equal">
      <formula>0</formula>
    </cfRule>
  </conditionalFormatting>
  <conditionalFormatting sqref="I69">
    <cfRule type="cellIs" dxfId="39" priority="40" operator="equal">
      <formula>0</formula>
    </cfRule>
  </conditionalFormatting>
  <conditionalFormatting sqref="I68">
    <cfRule type="cellIs" dxfId="38" priority="41" operator="equal">
      <formula>0</formula>
    </cfRule>
  </conditionalFormatting>
  <conditionalFormatting sqref="I75">
    <cfRule type="cellIs" dxfId="37" priority="37" operator="equal">
      <formula>0</formula>
    </cfRule>
  </conditionalFormatting>
  <conditionalFormatting sqref="I71">
    <cfRule type="cellIs" dxfId="36" priority="38" operator="equal">
      <formula>0</formula>
    </cfRule>
  </conditionalFormatting>
  <conditionalFormatting sqref="I26 I28">
    <cfRule type="expression" dxfId="35" priority="36">
      <formula>IF(AND(I$20="Yes",I$22&gt;0),1,0)</formula>
    </cfRule>
  </conditionalFormatting>
  <conditionalFormatting sqref="I21:I24">
    <cfRule type="expression" dxfId="34" priority="35">
      <formula>IF(I$20="Yes",1,0)</formula>
    </cfRule>
  </conditionalFormatting>
  <conditionalFormatting sqref="I77">
    <cfRule type="cellIs" dxfId="33" priority="34" operator="equal">
      <formula>0</formula>
    </cfRule>
  </conditionalFormatting>
  <conditionalFormatting sqref="I78">
    <cfRule type="cellIs" dxfId="32" priority="33" operator="equal">
      <formula>0</formula>
    </cfRule>
  </conditionalFormatting>
  <conditionalFormatting sqref="I66">
    <cfRule type="cellIs" dxfId="31" priority="32" operator="equal">
      <formula>0</formula>
    </cfRule>
  </conditionalFormatting>
  <conditionalFormatting sqref="I67">
    <cfRule type="cellIs" dxfId="30" priority="31" operator="equal">
      <formula>0</formula>
    </cfRule>
  </conditionalFormatting>
  <conditionalFormatting sqref="I76">
    <cfRule type="cellIs" dxfId="29" priority="30" operator="equal">
      <formula>0</formula>
    </cfRule>
  </conditionalFormatting>
  <conditionalFormatting sqref="I79">
    <cfRule type="cellIs" dxfId="28" priority="29" operator="equal">
      <formula>0</formula>
    </cfRule>
  </conditionalFormatting>
  <conditionalFormatting sqref="I80">
    <cfRule type="cellIs" dxfId="27" priority="28" operator="equal">
      <formula>0</formula>
    </cfRule>
  </conditionalFormatting>
  <conditionalFormatting sqref="I81">
    <cfRule type="cellIs" dxfId="26" priority="27" operator="equal">
      <formula>0</formula>
    </cfRule>
  </conditionalFormatting>
  <conditionalFormatting sqref="I82">
    <cfRule type="cellIs" dxfId="25" priority="26" operator="equal">
      <formula>0</formula>
    </cfRule>
  </conditionalFormatting>
  <conditionalFormatting sqref="I74">
    <cfRule type="cellIs" dxfId="24" priority="25" operator="equal">
      <formula>0</formula>
    </cfRule>
  </conditionalFormatting>
  <conditionalFormatting sqref="I72">
    <cfRule type="cellIs" dxfId="23" priority="24" operator="equal">
      <formula>0</formula>
    </cfRule>
  </conditionalFormatting>
  <conditionalFormatting sqref="I73">
    <cfRule type="cellIs" dxfId="22" priority="23" operator="equal">
      <formula>0</formula>
    </cfRule>
  </conditionalFormatting>
  <conditionalFormatting sqref="J25 J27">
    <cfRule type="expression" dxfId="21" priority="22">
      <formula>IF(AND(J$20="Yes",J25&gt;0),1,0)</formula>
    </cfRule>
  </conditionalFormatting>
  <conditionalFormatting sqref="J28">
    <cfRule type="expression" dxfId="20" priority="21" stopIfTrue="1">
      <formula>IF(J22=0,10,0)</formula>
    </cfRule>
  </conditionalFormatting>
  <conditionalFormatting sqref="J65">
    <cfRule type="cellIs" dxfId="19" priority="20" operator="equal">
      <formula>0</formula>
    </cfRule>
  </conditionalFormatting>
  <conditionalFormatting sqref="J70">
    <cfRule type="cellIs" dxfId="18" priority="17" operator="equal">
      <formula>0</formula>
    </cfRule>
  </conditionalFormatting>
  <conditionalFormatting sqref="J69">
    <cfRule type="cellIs" dxfId="17" priority="18" operator="equal">
      <formula>0</formula>
    </cfRule>
  </conditionalFormatting>
  <conditionalFormatting sqref="J68">
    <cfRule type="cellIs" dxfId="16" priority="19" operator="equal">
      <formula>0</formula>
    </cfRule>
  </conditionalFormatting>
  <conditionalFormatting sqref="J75">
    <cfRule type="cellIs" dxfId="15" priority="15" operator="equal">
      <formula>0</formula>
    </cfRule>
  </conditionalFormatting>
  <conditionalFormatting sqref="J71">
    <cfRule type="cellIs" dxfId="14" priority="16" operator="equal">
      <formula>0</formula>
    </cfRule>
  </conditionalFormatting>
  <conditionalFormatting sqref="J26 J28">
    <cfRule type="expression" dxfId="13" priority="14">
      <formula>IF(AND(J$20="Yes",J$22&gt;0),1,0)</formula>
    </cfRule>
  </conditionalFormatting>
  <conditionalFormatting sqref="J21:J24">
    <cfRule type="expression" dxfId="12" priority="13">
      <formula>IF(J$20="Yes",1,0)</formula>
    </cfRule>
  </conditionalFormatting>
  <conditionalFormatting sqref="J77">
    <cfRule type="cellIs" dxfId="11" priority="12" operator="equal">
      <formula>0</formula>
    </cfRule>
  </conditionalFormatting>
  <conditionalFormatting sqref="J78">
    <cfRule type="cellIs" dxfId="10" priority="11" operator="equal">
      <formula>0</formula>
    </cfRule>
  </conditionalFormatting>
  <conditionalFormatting sqref="J66">
    <cfRule type="cellIs" dxfId="9" priority="10" operator="equal">
      <formula>0</formula>
    </cfRule>
  </conditionalFormatting>
  <conditionalFormatting sqref="J67">
    <cfRule type="cellIs" dxfId="8" priority="9" operator="equal">
      <formula>0</formula>
    </cfRule>
  </conditionalFormatting>
  <conditionalFormatting sqref="J76">
    <cfRule type="cellIs" dxfId="7" priority="8" operator="equal">
      <formula>0</formula>
    </cfRule>
  </conditionalFormatting>
  <conditionalFormatting sqref="J79">
    <cfRule type="cellIs" dxfId="6" priority="7" operator="equal">
      <formula>0</formula>
    </cfRule>
  </conditionalFormatting>
  <conditionalFormatting sqref="J80">
    <cfRule type="cellIs" dxfId="5" priority="6" operator="equal">
      <formula>0</formula>
    </cfRule>
  </conditionalFormatting>
  <conditionalFormatting sqref="J81">
    <cfRule type="cellIs" dxfId="4" priority="5" operator="equal">
      <formula>0</formula>
    </cfRule>
  </conditionalFormatting>
  <conditionalFormatting sqref="J82">
    <cfRule type="cellIs" dxfId="3" priority="4" operator="equal">
      <formula>0</formula>
    </cfRule>
  </conditionalFormatting>
  <conditionalFormatting sqref="J74">
    <cfRule type="cellIs" dxfId="2" priority="3" operator="equal">
      <formula>0</formula>
    </cfRule>
  </conditionalFormatting>
  <conditionalFormatting sqref="J72">
    <cfRule type="cellIs" dxfId="1" priority="2" operator="equal">
      <formula>0</formula>
    </cfRule>
  </conditionalFormatting>
  <conditionalFormatting sqref="J73">
    <cfRule type="cellIs" dxfId="0" priority="1" operator="equal">
      <formula>0</formula>
    </cfRule>
  </conditionalFormatting>
  <dataValidations count="7">
    <dataValidation type="list" allowBlank="1" showInputMessage="1" showErrorMessage="1" sqref="C29:J29" xr:uid="{A237F21A-69F8-4ABE-9961-30206CAE80CF}">
      <formula1>Metro</formula1>
    </dataValidation>
    <dataValidation type="list" allowBlank="1" showInputMessage="1" showErrorMessage="1" sqref="C10:J10" xr:uid="{645A9F1E-3917-42B4-82B3-2063640A3B12}">
      <formula1>Median</formula1>
    </dataValidation>
    <dataValidation type="list" allowBlank="1" showInputMessage="1" showErrorMessage="1" sqref="C25:J26" xr:uid="{1DC9E5A2-8B46-4D69-BB9E-7CEAF81502E6}">
      <formula1>Load</formula1>
    </dataValidation>
    <dataValidation type="list" allowBlank="1" showInputMessage="1" showErrorMessage="1" sqref="C24:J24" xr:uid="{2CFB2FCF-4899-4674-A696-F9DA3757C3CE}">
      <formula1>Bench</formula1>
    </dataValidation>
    <dataValidation type="list" allowBlank="1" showInputMessage="1" showErrorMessage="1" sqref="C23:J23" xr:uid="{8C9FC3A2-0BDE-4CE3-BD20-E6589DE5082C}">
      <formula1>Shelter</formula1>
    </dataValidation>
    <dataValidation type="list" allowBlank="1" showInputMessage="1" showErrorMessage="1" sqref="C20:J20" xr:uid="{47433CFE-A19A-4FE6-8C4F-F2A95FD4A629}">
      <formula1>BusStop</formula1>
    </dataValidation>
    <dataValidation type="list" allowBlank="1" showInputMessage="1" showErrorMessage="1" sqref="C17:J17" xr:uid="{4C46A644-E02E-4D96-8A52-BD2A4CA32998}">
      <formula1>StreetTrees</formula1>
    </dataValidation>
  </dataValidations>
  <pageMargins left="0.7" right="0.7" top="0.75" bottom="0.75" header="0.3" footer="0.3"/>
  <pageSetup scale="53" orientation="portrait" horizontalDpi="4294967293" verticalDpi="4294967293" r:id="rId1"/>
  <colBreaks count="1" manualBreakCount="1">
    <brk id="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J83"/>
  <sheetViews>
    <sheetView showGridLines="0" tabSelected="1" zoomScaleNormal="100" zoomScalePageLayoutView="125" workbookViewId="0">
      <selection activeCell="C7" sqref="C7"/>
    </sheetView>
  </sheetViews>
  <sheetFormatPr defaultColWidth="8.85546875" defaultRowHeight="15" x14ac:dyDescent="0.25"/>
  <cols>
    <col min="1" max="1" width="10.7109375" customWidth="1"/>
    <col min="2" max="2" width="36.7109375" customWidth="1"/>
    <col min="3" max="3" width="16.5703125" customWidth="1"/>
    <col min="4" max="4" width="16.42578125" customWidth="1"/>
    <col min="5" max="5" width="18.28515625" customWidth="1"/>
    <col min="6" max="6" width="16" customWidth="1"/>
    <col min="7" max="7" width="16.7109375" customWidth="1"/>
    <col min="8" max="10" width="16.140625" customWidth="1"/>
    <col min="26" max="26" width="11.28515625" customWidth="1"/>
  </cols>
  <sheetData>
    <row r="1" spans="1:10" ht="35.1" customHeight="1" x14ac:dyDescent="0.3">
      <c r="A1" s="57" t="s">
        <v>22</v>
      </c>
      <c r="B1" s="57"/>
      <c r="C1" s="57"/>
      <c r="D1" s="57"/>
      <c r="E1" s="57"/>
      <c r="F1" s="58" t="s">
        <v>20</v>
      </c>
      <c r="G1" s="58"/>
      <c r="H1" s="58"/>
      <c r="I1" s="58"/>
      <c r="J1" s="58"/>
    </row>
    <row r="2" spans="1:10" x14ac:dyDescent="0.25">
      <c r="A2" s="50" t="s">
        <v>21</v>
      </c>
      <c r="B2" s="50"/>
      <c r="C2" s="17" t="s">
        <v>106</v>
      </c>
      <c r="D2" s="17" t="s">
        <v>107</v>
      </c>
      <c r="E2" s="17" t="s">
        <v>108</v>
      </c>
      <c r="F2" s="17" t="s">
        <v>112</v>
      </c>
      <c r="G2" s="17" t="s">
        <v>113</v>
      </c>
      <c r="H2" s="17" t="s">
        <v>109</v>
      </c>
      <c r="I2" s="17" t="s">
        <v>110</v>
      </c>
      <c r="J2" s="17" t="s">
        <v>111</v>
      </c>
    </row>
    <row r="3" spans="1:10" x14ac:dyDescent="0.25">
      <c r="A3" s="56" t="s">
        <v>15</v>
      </c>
      <c r="B3" s="56"/>
      <c r="C3" s="56"/>
      <c r="D3" s="56"/>
      <c r="E3" s="56"/>
      <c r="F3" s="56"/>
      <c r="G3" s="56"/>
      <c r="H3" s="56"/>
      <c r="I3" s="56"/>
      <c r="J3" s="56"/>
    </row>
    <row r="4" spans="1:10" x14ac:dyDescent="0.25">
      <c r="A4" s="50" t="s">
        <v>32</v>
      </c>
      <c r="B4" s="50"/>
      <c r="C4" s="17">
        <v>500</v>
      </c>
      <c r="D4" s="17">
        <v>706</v>
      </c>
      <c r="E4" s="17">
        <v>809</v>
      </c>
      <c r="F4" s="17">
        <v>9</v>
      </c>
      <c r="G4" s="17">
        <v>978</v>
      </c>
      <c r="H4" s="17">
        <v>925</v>
      </c>
      <c r="I4" s="17">
        <v>925</v>
      </c>
      <c r="J4" s="17">
        <v>925</v>
      </c>
    </row>
    <row r="5" spans="1:10" x14ac:dyDescent="0.25">
      <c r="A5" s="18" t="s">
        <v>23</v>
      </c>
      <c r="B5" s="18"/>
      <c r="C5" s="19">
        <v>0.03</v>
      </c>
      <c r="D5" s="19">
        <v>0.05</v>
      </c>
      <c r="E5" s="19">
        <v>0.05</v>
      </c>
      <c r="F5" s="19">
        <v>0.02</v>
      </c>
      <c r="G5" s="19">
        <v>0.05</v>
      </c>
      <c r="H5" s="19">
        <v>0.05</v>
      </c>
      <c r="I5" s="19">
        <v>0.05</v>
      </c>
      <c r="J5" s="19">
        <v>0.05</v>
      </c>
    </row>
    <row r="6" spans="1:10" x14ac:dyDescent="0.25">
      <c r="A6" s="54" t="s">
        <v>24</v>
      </c>
      <c r="B6" s="54"/>
      <c r="C6" s="19">
        <v>0.5</v>
      </c>
      <c r="D6" s="19">
        <v>0.5</v>
      </c>
      <c r="E6" s="19">
        <v>0.5</v>
      </c>
      <c r="F6" s="19">
        <v>0</v>
      </c>
      <c r="G6" s="19">
        <v>0.5</v>
      </c>
      <c r="H6" s="19">
        <v>0.5</v>
      </c>
      <c r="I6" s="19">
        <v>0.5</v>
      </c>
      <c r="J6" s="19">
        <v>0.5</v>
      </c>
    </row>
    <row r="7" spans="1:10" x14ac:dyDescent="0.25">
      <c r="A7" s="54" t="s">
        <v>25</v>
      </c>
      <c r="B7" s="54"/>
      <c r="C7" s="26">
        <v>50</v>
      </c>
      <c r="D7" s="26">
        <v>35</v>
      </c>
      <c r="E7" s="26">
        <v>35</v>
      </c>
      <c r="F7" s="26">
        <v>30</v>
      </c>
      <c r="G7" s="26">
        <v>35</v>
      </c>
      <c r="H7" s="26">
        <v>35</v>
      </c>
      <c r="I7" s="26">
        <v>35</v>
      </c>
      <c r="J7" s="26">
        <v>35</v>
      </c>
    </row>
    <row r="8" spans="1:10" x14ac:dyDescent="0.25">
      <c r="A8" s="56" t="s">
        <v>60</v>
      </c>
      <c r="B8" s="56"/>
      <c r="C8" s="56"/>
      <c r="D8" s="56"/>
      <c r="E8" s="56"/>
      <c r="F8" s="56"/>
      <c r="G8" s="56"/>
      <c r="H8" s="56"/>
    </row>
    <row r="9" spans="1:10" x14ac:dyDescent="0.25">
      <c r="A9" s="50" t="s">
        <v>31</v>
      </c>
      <c r="B9" s="50"/>
      <c r="C9" s="26">
        <v>2</v>
      </c>
      <c r="D9" s="26">
        <v>2</v>
      </c>
      <c r="E9" s="26">
        <v>2</v>
      </c>
      <c r="F9" s="26">
        <v>1</v>
      </c>
      <c r="G9" s="26">
        <v>2</v>
      </c>
      <c r="H9" s="26">
        <v>2</v>
      </c>
      <c r="I9" s="26">
        <v>2</v>
      </c>
      <c r="J9" s="26">
        <v>2</v>
      </c>
    </row>
    <row r="10" spans="1:10" x14ac:dyDescent="0.25">
      <c r="A10" s="18" t="s">
        <v>66</v>
      </c>
      <c r="B10" s="18"/>
      <c r="C10" s="26" t="s">
        <v>17</v>
      </c>
      <c r="D10" s="26" t="s">
        <v>18</v>
      </c>
      <c r="E10" s="26" t="s">
        <v>18</v>
      </c>
      <c r="F10" s="26" t="s">
        <v>18</v>
      </c>
      <c r="G10" s="26" t="s">
        <v>18</v>
      </c>
      <c r="H10" s="26" t="s">
        <v>18</v>
      </c>
      <c r="I10" s="26" t="s">
        <v>18</v>
      </c>
      <c r="J10" s="26" t="s">
        <v>18</v>
      </c>
    </row>
    <row r="11" spans="1:10" x14ac:dyDescent="0.25">
      <c r="A11" s="18" t="s">
        <v>27</v>
      </c>
      <c r="B11" s="18"/>
      <c r="C11" s="24">
        <v>12</v>
      </c>
      <c r="D11" s="24">
        <v>12</v>
      </c>
      <c r="E11" s="24">
        <v>12</v>
      </c>
      <c r="F11" s="24">
        <v>12</v>
      </c>
      <c r="G11" s="24">
        <v>12</v>
      </c>
      <c r="H11" s="24">
        <v>12</v>
      </c>
      <c r="I11" s="24">
        <v>12</v>
      </c>
      <c r="J11" s="24">
        <v>12</v>
      </c>
    </row>
    <row r="12" spans="1:10" x14ac:dyDescent="0.25">
      <c r="A12" s="18" t="s">
        <v>16</v>
      </c>
      <c r="B12" s="18"/>
      <c r="C12" s="24">
        <v>6</v>
      </c>
      <c r="D12" s="24">
        <v>0</v>
      </c>
      <c r="E12" s="24">
        <v>0</v>
      </c>
      <c r="F12" s="24">
        <v>5</v>
      </c>
      <c r="G12" s="24">
        <v>0</v>
      </c>
      <c r="H12" s="24">
        <v>0</v>
      </c>
      <c r="I12" s="24">
        <v>0</v>
      </c>
      <c r="J12" s="24">
        <v>0</v>
      </c>
    </row>
    <row r="13" spans="1:10" x14ac:dyDescent="0.25">
      <c r="A13" s="18" t="s">
        <v>28</v>
      </c>
      <c r="B13" s="18"/>
      <c r="C13" s="24">
        <v>8</v>
      </c>
      <c r="D13" s="24">
        <v>8</v>
      </c>
      <c r="E13" s="24">
        <v>8</v>
      </c>
      <c r="F13" s="24">
        <v>0</v>
      </c>
      <c r="G13" s="24">
        <v>8</v>
      </c>
      <c r="H13" s="24">
        <v>8</v>
      </c>
      <c r="I13" s="24">
        <v>8</v>
      </c>
      <c r="J13" s="24">
        <v>8</v>
      </c>
    </row>
    <row r="14" spans="1:10" x14ac:dyDescent="0.25">
      <c r="A14" s="18" t="s">
        <v>26</v>
      </c>
      <c r="B14" s="18"/>
      <c r="C14" s="24">
        <v>1</v>
      </c>
      <c r="D14" s="24">
        <v>1</v>
      </c>
      <c r="E14" s="24">
        <v>1</v>
      </c>
      <c r="F14" s="24">
        <v>1</v>
      </c>
      <c r="G14" s="24">
        <v>1</v>
      </c>
      <c r="H14" s="24">
        <v>1</v>
      </c>
      <c r="I14" s="24">
        <v>1</v>
      </c>
      <c r="J14" s="24">
        <v>1</v>
      </c>
    </row>
    <row r="15" spans="1:10" x14ac:dyDescent="0.25">
      <c r="A15" s="18" t="s">
        <v>52</v>
      </c>
      <c r="B15" s="18"/>
      <c r="C15" s="24">
        <v>0</v>
      </c>
      <c r="D15" s="24">
        <v>0</v>
      </c>
      <c r="E15" s="24">
        <v>0</v>
      </c>
      <c r="F15" s="24">
        <v>5</v>
      </c>
      <c r="G15" s="24">
        <v>0</v>
      </c>
      <c r="H15" s="24">
        <v>0</v>
      </c>
      <c r="I15" s="24">
        <v>0</v>
      </c>
      <c r="J15" s="24">
        <v>0</v>
      </c>
    </row>
    <row r="16" spans="1:10" x14ac:dyDescent="0.25">
      <c r="A16" s="18" t="s">
        <v>19</v>
      </c>
      <c r="B16" s="18"/>
      <c r="C16" s="24">
        <v>14</v>
      </c>
      <c r="D16" s="24">
        <v>10</v>
      </c>
      <c r="E16" s="24">
        <v>10</v>
      </c>
      <c r="F16" s="24">
        <v>8</v>
      </c>
      <c r="G16" s="24">
        <v>7</v>
      </c>
      <c r="H16" s="24">
        <v>5</v>
      </c>
      <c r="I16" s="24">
        <v>5</v>
      </c>
      <c r="J16" s="24">
        <v>5</v>
      </c>
    </row>
    <row r="17" spans="1:10" x14ac:dyDescent="0.25">
      <c r="A17" s="18" t="s">
        <v>29</v>
      </c>
      <c r="B17" s="18"/>
      <c r="C17" s="24" t="s">
        <v>18</v>
      </c>
      <c r="D17" s="24" t="s">
        <v>18</v>
      </c>
      <c r="E17" s="24" t="s">
        <v>18</v>
      </c>
      <c r="F17" s="24" t="s">
        <v>17</v>
      </c>
      <c r="G17" s="24" t="s">
        <v>17</v>
      </c>
      <c r="H17" s="24" t="s">
        <v>18</v>
      </c>
      <c r="I17" s="24" t="s">
        <v>18</v>
      </c>
      <c r="J17" s="24" t="s">
        <v>18</v>
      </c>
    </row>
    <row r="18" spans="1:10" x14ac:dyDescent="0.25">
      <c r="A18" s="18" t="s">
        <v>59</v>
      </c>
      <c r="B18" s="18"/>
      <c r="C18" s="24">
        <v>3.5</v>
      </c>
      <c r="D18" s="24">
        <v>3.5</v>
      </c>
      <c r="E18" s="24">
        <v>3.5</v>
      </c>
      <c r="F18" s="24">
        <v>3.5</v>
      </c>
      <c r="G18" s="24">
        <v>3.5</v>
      </c>
      <c r="H18" s="24">
        <v>3.5</v>
      </c>
      <c r="I18" s="24">
        <v>3.5</v>
      </c>
      <c r="J18" s="24">
        <v>3.5</v>
      </c>
    </row>
    <row r="19" spans="1:10" x14ac:dyDescent="0.25">
      <c r="A19" s="56" t="s">
        <v>33</v>
      </c>
      <c r="B19" s="56"/>
      <c r="C19" s="56"/>
      <c r="D19" s="56"/>
      <c r="E19" s="56"/>
      <c r="F19" s="56"/>
      <c r="G19" s="56"/>
      <c r="H19" s="56"/>
    </row>
    <row r="20" spans="1:10" x14ac:dyDescent="0.25">
      <c r="A20" s="50" t="s">
        <v>34</v>
      </c>
      <c r="B20" s="50"/>
      <c r="C20" s="26" t="s">
        <v>17</v>
      </c>
      <c r="D20" s="26" t="s">
        <v>17</v>
      </c>
      <c r="E20" s="26" t="s">
        <v>17</v>
      </c>
      <c r="F20" s="26" t="s">
        <v>17</v>
      </c>
      <c r="G20" s="26" t="s">
        <v>17</v>
      </c>
      <c r="H20" s="26" t="s">
        <v>17</v>
      </c>
      <c r="I20" s="26" t="s">
        <v>17</v>
      </c>
      <c r="J20" s="26" t="s">
        <v>17</v>
      </c>
    </row>
    <row r="21" spans="1:10" x14ac:dyDescent="0.25">
      <c r="A21" s="18" t="s">
        <v>94</v>
      </c>
      <c r="B21" s="18"/>
      <c r="C21" s="28">
        <v>4</v>
      </c>
      <c r="D21" s="28">
        <v>2</v>
      </c>
      <c r="E21" s="28">
        <v>4</v>
      </c>
      <c r="F21" s="28">
        <v>4</v>
      </c>
      <c r="G21" s="28">
        <v>4</v>
      </c>
      <c r="H21" s="28">
        <v>4</v>
      </c>
      <c r="I21" s="28">
        <v>4</v>
      </c>
      <c r="J21" s="28">
        <v>4</v>
      </c>
    </row>
    <row r="22" spans="1:10" x14ac:dyDescent="0.25">
      <c r="A22" s="18" t="s">
        <v>95</v>
      </c>
      <c r="B22" s="18"/>
      <c r="C22" s="28">
        <v>0</v>
      </c>
      <c r="D22" s="28">
        <v>0</v>
      </c>
      <c r="E22" s="28">
        <v>5</v>
      </c>
      <c r="F22" s="28">
        <v>0</v>
      </c>
      <c r="G22" s="28">
        <v>0</v>
      </c>
      <c r="H22" s="28">
        <v>0</v>
      </c>
      <c r="I22" s="28">
        <v>0</v>
      </c>
      <c r="J22" s="28">
        <v>0</v>
      </c>
    </row>
    <row r="23" spans="1:10" x14ac:dyDescent="0.25">
      <c r="A23" s="18" t="s">
        <v>36</v>
      </c>
      <c r="B23" s="18"/>
      <c r="C23" s="27" t="s">
        <v>17</v>
      </c>
      <c r="D23" s="27" t="s">
        <v>18</v>
      </c>
      <c r="E23" s="27" t="s">
        <v>17</v>
      </c>
      <c r="F23" s="27" t="s">
        <v>18</v>
      </c>
      <c r="G23" s="27" t="s">
        <v>18</v>
      </c>
      <c r="H23" s="27" t="s">
        <v>18</v>
      </c>
      <c r="I23" s="27" t="s">
        <v>18</v>
      </c>
      <c r="J23" s="27" t="s">
        <v>18</v>
      </c>
    </row>
    <row r="24" spans="1:10" x14ac:dyDescent="0.25">
      <c r="A24" s="18" t="s">
        <v>39</v>
      </c>
      <c r="B24" s="18"/>
      <c r="C24" s="27" t="s">
        <v>17</v>
      </c>
      <c r="D24" s="27" t="s">
        <v>18</v>
      </c>
      <c r="E24" s="27" t="s">
        <v>17</v>
      </c>
      <c r="F24" s="27" t="s">
        <v>18</v>
      </c>
      <c r="G24" s="27" t="s">
        <v>18</v>
      </c>
      <c r="H24" s="27" t="s">
        <v>18</v>
      </c>
      <c r="I24" s="27" t="s">
        <v>18</v>
      </c>
      <c r="J24" s="27" t="s">
        <v>18</v>
      </c>
    </row>
    <row r="25" spans="1:10" x14ac:dyDescent="0.25">
      <c r="A25" s="18" t="s">
        <v>89</v>
      </c>
      <c r="B25" s="18"/>
      <c r="C25" s="27" t="s">
        <v>41</v>
      </c>
      <c r="D25" s="27" t="s">
        <v>42</v>
      </c>
      <c r="E25" s="27" t="s">
        <v>42</v>
      </c>
      <c r="F25" s="27" t="s">
        <v>42</v>
      </c>
      <c r="G25" s="27" t="s">
        <v>42</v>
      </c>
      <c r="H25" s="27" t="s">
        <v>42</v>
      </c>
      <c r="I25" s="27" t="s">
        <v>42</v>
      </c>
      <c r="J25" s="27" t="s">
        <v>42</v>
      </c>
    </row>
    <row r="26" spans="1:10" x14ac:dyDescent="0.25">
      <c r="A26" s="18" t="s">
        <v>90</v>
      </c>
      <c r="B26" s="18"/>
      <c r="C26" s="27" t="s">
        <v>42</v>
      </c>
      <c r="D26" s="27" t="s">
        <v>42</v>
      </c>
      <c r="E26" s="27" t="s">
        <v>96</v>
      </c>
      <c r="F26" s="27" t="s">
        <v>42</v>
      </c>
      <c r="G26" s="27" t="s">
        <v>42</v>
      </c>
      <c r="H26" s="27" t="s">
        <v>42</v>
      </c>
      <c r="I26" s="27" t="s">
        <v>42</v>
      </c>
      <c r="J26" s="27" t="s">
        <v>42</v>
      </c>
    </row>
    <row r="27" spans="1:10" x14ac:dyDescent="0.25">
      <c r="A27" s="18" t="s">
        <v>87</v>
      </c>
      <c r="B27" s="18"/>
      <c r="C27" s="27">
        <v>12.5</v>
      </c>
      <c r="D27" s="27">
        <v>17.5</v>
      </c>
      <c r="E27" s="27">
        <v>7.5</v>
      </c>
      <c r="F27" s="27">
        <v>7.5</v>
      </c>
      <c r="G27" s="27">
        <v>7.5</v>
      </c>
      <c r="H27" s="27">
        <v>7.5</v>
      </c>
      <c r="I27" s="27">
        <v>7.5</v>
      </c>
      <c r="J27" s="27">
        <v>7.5</v>
      </c>
    </row>
    <row r="28" spans="1:10" x14ac:dyDescent="0.25">
      <c r="A28" s="18" t="s">
        <v>88</v>
      </c>
      <c r="B28" s="18"/>
      <c r="C28" s="27">
        <v>0</v>
      </c>
      <c r="D28" s="27">
        <v>0</v>
      </c>
      <c r="E28" s="27">
        <v>15</v>
      </c>
      <c r="F28" s="27">
        <v>0</v>
      </c>
      <c r="G28" s="27">
        <v>0</v>
      </c>
      <c r="H28" s="27">
        <v>0</v>
      </c>
      <c r="I28" s="27">
        <v>0</v>
      </c>
      <c r="J28" s="27">
        <v>0</v>
      </c>
    </row>
    <row r="29" spans="1:10" x14ac:dyDescent="0.25">
      <c r="A29" s="18" t="s">
        <v>74</v>
      </c>
      <c r="B29" s="18"/>
      <c r="C29" s="51" t="s">
        <v>18</v>
      </c>
      <c r="D29" s="52"/>
      <c r="E29" s="52"/>
      <c r="F29" s="52"/>
      <c r="G29" s="52"/>
      <c r="H29" s="53"/>
    </row>
    <row r="30" spans="1:10" ht="27.75" customHeight="1" x14ac:dyDescent="0.3">
      <c r="A30" s="30" t="s">
        <v>43</v>
      </c>
      <c r="B30" s="29"/>
      <c r="C30" s="49"/>
      <c r="D30" s="49"/>
      <c r="E30" s="49"/>
      <c r="F30" s="49"/>
      <c r="G30" s="49"/>
      <c r="H30" s="49"/>
    </row>
    <row r="31" spans="1:10" x14ac:dyDescent="0.25">
      <c r="A31" s="50" t="s">
        <v>21</v>
      </c>
      <c r="B31" s="50"/>
      <c r="C31" s="34" t="str">
        <f t="shared" ref="C31:H31" si="0">C2</f>
        <v>Shattuck Ave</v>
      </c>
      <c r="D31" s="34" t="str">
        <f t="shared" si="0"/>
        <v>Walnut St</v>
      </c>
      <c r="E31" s="34" t="str">
        <f t="shared" si="0"/>
        <v>Oxford Street</v>
      </c>
      <c r="F31" s="34" t="str">
        <f t="shared" si="0"/>
        <v>Spruce St</v>
      </c>
      <c r="G31" s="34" t="str">
        <f t="shared" si="0"/>
        <v>Arch St</v>
      </c>
      <c r="H31" s="34" t="str">
        <f t="shared" si="0"/>
        <v>Euclid Ave</v>
      </c>
      <c r="I31" s="34" t="str">
        <f t="shared" ref="I31:J31" si="1">I2</f>
        <v>LeRoy Ave</v>
      </c>
      <c r="J31" s="34" t="str">
        <f t="shared" ref="J31" si="2">J2</f>
        <v>La Loma Ave</v>
      </c>
    </row>
    <row r="32" spans="1:10" ht="15" customHeight="1" x14ac:dyDescent="0.25">
      <c r="A32" s="50" t="s">
        <v>32</v>
      </c>
      <c r="B32" s="50"/>
      <c r="C32" s="22">
        <f t="shared" ref="C32:H32" si="3">C4</f>
        <v>500</v>
      </c>
      <c r="D32" s="22">
        <f t="shared" si="3"/>
        <v>706</v>
      </c>
      <c r="E32" s="22">
        <f t="shared" si="3"/>
        <v>809</v>
      </c>
      <c r="F32" s="22">
        <f t="shared" si="3"/>
        <v>9</v>
      </c>
      <c r="G32" s="22">
        <f t="shared" si="3"/>
        <v>978</v>
      </c>
      <c r="H32" s="22">
        <f t="shared" si="3"/>
        <v>925</v>
      </c>
      <c r="I32" s="22">
        <f t="shared" ref="I32:J32" si="4">I4</f>
        <v>925</v>
      </c>
      <c r="J32" s="22">
        <f t="shared" ref="J32" si="5">J4</f>
        <v>925</v>
      </c>
    </row>
    <row r="33" spans="1:10" ht="15" customHeight="1" x14ac:dyDescent="0.25">
      <c r="A33" s="50" t="s">
        <v>44</v>
      </c>
      <c r="B33" s="50"/>
      <c r="C33" s="31">
        <f t="shared" ref="C33:H33" si="6">IF(C4&gt;160,1,2-(0.005*C4))</f>
        <v>1</v>
      </c>
      <c r="D33" s="31">
        <f t="shared" si="6"/>
        <v>1</v>
      </c>
      <c r="E33" s="31">
        <f t="shared" si="6"/>
        <v>1</v>
      </c>
      <c r="F33" s="31">
        <f t="shared" si="6"/>
        <v>1.9550000000000001</v>
      </c>
      <c r="G33" s="31">
        <f t="shared" si="6"/>
        <v>1</v>
      </c>
      <c r="H33" s="31">
        <f t="shared" si="6"/>
        <v>1</v>
      </c>
      <c r="I33" s="31">
        <f t="shared" ref="I33:J33" si="7">IF(I4&gt;160,1,2-(0.005*I4))</f>
        <v>1</v>
      </c>
      <c r="J33" s="31">
        <f t="shared" ref="J33" si="8">IF(J4&gt;160,1,2-(0.005*J4))</f>
        <v>1</v>
      </c>
    </row>
    <row r="34" spans="1:10" ht="15" customHeight="1" x14ac:dyDescent="0.25">
      <c r="A34" s="50" t="s">
        <v>102</v>
      </c>
      <c r="B34" s="50"/>
      <c r="C34" s="22">
        <f>SUM(C11:C13)</f>
        <v>26</v>
      </c>
      <c r="D34" s="22">
        <f t="shared" ref="D34:H34" si="9">SUM(D11:D13)</f>
        <v>20</v>
      </c>
      <c r="E34" s="22">
        <f t="shared" si="9"/>
        <v>20</v>
      </c>
      <c r="F34" s="22">
        <f t="shared" si="9"/>
        <v>17</v>
      </c>
      <c r="G34" s="22">
        <f t="shared" si="9"/>
        <v>20</v>
      </c>
      <c r="H34" s="22">
        <f t="shared" si="9"/>
        <v>20</v>
      </c>
      <c r="I34" s="22">
        <f t="shared" ref="I34:J34" si="10">SUM(I11:I13)</f>
        <v>20</v>
      </c>
      <c r="J34" s="22">
        <f t="shared" ref="J34" si="11">SUM(J11:J13)</f>
        <v>20</v>
      </c>
    </row>
    <row r="35" spans="1:10" ht="15" customHeight="1" x14ac:dyDescent="0.25">
      <c r="A35" s="50" t="s">
        <v>103</v>
      </c>
      <c r="B35" s="50"/>
      <c r="C35" s="22">
        <f>SUM(C12:C13)</f>
        <v>14</v>
      </c>
      <c r="D35" s="22">
        <f t="shared" ref="D35:H35" si="12">SUM(D12:D13)</f>
        <v>8</v>
      </c>
      <c r="E35" s="22">
        <f t="shared" si="12"/>
        <v>8</v>
      </c>
      <c r="F35" s="22">
        <f t="shared" si="12"/>
        <v>5</v>
      </c>
      <c r="G35" s="22">
        <f t="shared" si="12"/>
        <v>8</v>
      </c>
      <c r="H35" s="22">
        <f t="shared" si="12"/>
        <v>8</v>
      </c>
      <c r="I35" s="22">
        <f t="shared" ref="I35:J35" si="13">SUM(I12:I13)</f>
        <v>8</v>
      </c>
      <c r="J35" s="22">
        <f t="shared" ref="J35" si="14">SUM(J12:J13)</f>
        <v>8</v>
      </c>
    </row>
    <row r="36" spans="1:10" ht="15" customHeight="1" x14ac:dyDescent="0.25">
      <c r="A36" s="50" t="s">
        <v>45</v>
      </c>
      <c r="B36" s="50"/>
      <c r="C36" s="22">
        <f t="shared" ref="C36:H36" si="15">C6*100</f>
        <v>50</v>
      </c>
      <c r="D36" s="22">
        <f t="shared" si="15"/>
        <v>50</v>
      </c>
      <c r="E36" s="22">
        <f t="shared" si="15"/>
        <v>50</v>
      </c>
      <c r="F36" s="22">
        <f t="shared" si="15"/>
        <v>0</v>
      </c>
      <c r="G36" s="22">
        <f t="shared" si="15"/>
        <v>50</v>
      </c>
      <c r="H36" s="22">
        <f t="shared" si="15"/>
        <v>50</v>
      </c>
      <c r="I36" s="22">
        <f t="shared" ref="I36:J36" si="16">I6*100</f>
        <v>50</v>
      </c>
      <c r="J36" s="22">
        <f t="shared" ref="J36" si="17">J6*100</f>
        <v>50</v>
      </c>
    </row>
    <row r="37" spans="1:10" ht="15" customHeight="1" x14ac:dyDescent="0.25">
      <c r="A37" s="50" t="s">
        <v>46</v>
      </c>
      <c r="B37" s="50"/>
      <c r="C37" s="31">
        <f t="shared" ref="C37:H37" si="18">IF(C17="Yes",5.37,1)</f>
        <v>1</v>
      </c>
      <c r="D37" s="31">
        <f t="shared" si="18"/>
        <v>1</v>
      </c>
      <c r="E37" s="31">
        <f t="shared" si="18"/>
        <v>1</v>
      </c>
      <c r="F37" s="31">
        <f t="shared" si="18"/>
        <v>5.37</v>
      </c>
      <c r="G37" s="31">
        <f t="shared" si="18"/>
        <v>5.37</v>
      </c>
      <c r="H37" s="31">
        <f t="shared" si="18"/>
        <v>1</v>
      </c>
      <c r="I37" s="31">
        <f t="shared" ref="I37:J37" si="19">IF(I17="Yes",5.37,1)</f>
        <v>1</v>
      </c>
      <c r="J37" s="31">
        <f t="shared" ref="J37" si="20">IF(J17="Yes",5.37,1)</f>
        <v>1</v>
      </c>
    </row>
    <row r="38" spans="1:10" ht="15" customHeight="1" x14ac:dyDescent="0.25">
      <c r="A38" s="18" t="s">
        <v>47</v>
      </c>
      <c r="B38" s="18"/>
      <c r="C38" s="22">
        <f t="shared" ref="C38:H38" si="21">C15</f>
        <v>0</v>
      </c>
      <c r="D38" s="22">
        <f t="shared" si="21"/>
        <v>0</v>
      </c>
      <c r="E38" s="22">
        <f t="shared" si="21"/>
        <v>0</v>
      </c>
      <c r="F38" s="22">
        <f t="shared" si="21"/>
        <v>5</v>
      </c>
      <c r="G38" s="22">
        <f t="shared" si="21"/>
        <v>0</v>
      </c>
      <c r="H38" s="22">
        <f t="shared" si="21"/>
        <v>0</v>
      </c>
      <c r="I38" s="22">
        <f t="shared" ref="I38:J38" si="22">I15</f>
        <v>0</v>
      </c>
      <c r="J38" s="22">
        <f t="shared" ref="J38" si="23">J15</f>
        <v>0</v>
      </c>
    </row>
    <row r="39" spans="1:10" ht="15" customHeight="1" x14ac:dyDescent="0.25">
      <c r="A39" s="18" t="s">
        <v>49</v>
      </c>
      <c r="B39" s="18"/>
      <c r="C39" s="22">
        <f t="shared" ref="C39:H39" si="24">MIN(10,C16)</f>
        <v>10</v>
      </c>
      <c r="D39" s="22">
        <f t="shared" si="24"/>
        <v>10</v>
      </c>
      <c r="E39" s="22">
        <f t="shared" si="24"/>
        <v>10</v>
      </c>
      <c r="F39" s="22">
        <f t="shared" si="24"/>
        <v>8</v>
      </c>
      <c r="G39" s="22">
        <f t="shared" si="24"/>
        <v>7</v>
      </c>
      <c r="H39" s="22">
        <f t="shared" si="24"/>
        <v>5</v>
      </c>
      <c r="I39" s="22">
        <f t="shared" ref="I39:J39" si="25">MIN(10,I16)</f>
        <v>5</v>
      </c>
      <c r="J39" s="22">
        <f t="shared" ref="J39" si="26">MIN(10,J16)</f>
        <v>5</v>
      </c>
    </row>
    <row r="40" spans="1:10" ht="15" customHeight="1" x14ac:dyDescent="0.25">
      <c r="A40" s="18" t="s">
        <v>48</v>
      </c>
      <c r="B40" s="18"/>
      <c r="C40" s="23">
        <f>6-(0.3*C39)</f>
        <v>3</v>
      </c>
      <c r="D40" s="23">
        <f t="shared" ref="D40:H40" si="27">6-(0.3*D39)</f>
        <v>3</v>
      </c>
      <c r="E40" s="23">
        <f t="shared" si="27"/>
        <v>3</v>
      </c>
      <c r="F40" s="23">
        <f t="shared" si="27"/>
        <v>3.6</v>
      </c>
      <c r="G40" s="23">
        <f t="shared" si="27"/>
        <v>3.9</v>
      </c>
      <c r="H40" s="23">
        <f t="shared" si="27"/>
        <v>4.5</v>
      </c>
      <c r="I40" s="23">
        <f t="shared" ref="I40:J40" si="28">6-(0.3*I39)</f>
        <v>4.5</v>
      </c>
      <c r="J40" s="23">
        <f t="shared" ref="J40" si="29">6-(0.3*J39)</f>
        <v>4.5</v>
      </c>
    </row>
    <row r="41" spans="1:10" ht="15" customHeight="1" x14ac:dyDescent="0.25">
      <c r="A41" s="18" t="s">
        <v>50</v>
      </c>
      <c r="B41" s="18"/>
      <c r="C41" s="22">
        <f t="shared" ref="C41:H41" si="30">C9</f>
        <v>2</v>
      </c>
      <c r="D41" s="22">
        <f t="shared" si="30"/>
        <v>2</v>
      </c>
      <c r="E41" s="22">
        <f t="shared" si="30"/>
        <v>2</v>
      </c>
      <c r="F41" s="22">
        <f t="shared" si="30"/>
        <v>1</v>
      </c>
      <c r="G41" s="22">
        <f t="shared" si="30"/>
        <v>2</v>
      </c>
      <c r="H41" s="22">
        <f t="shared" si="30"/>
        <v>2</v>
      </c>
      <c r="I41" s="22">
        <f t="shared" ref="I41:J41" si="31">I9</f>
        <v>2</v>
      </c>
      <c r="J41" s="22">
        <f t="shared" ref="J41" si="32">J9</f>
        <v>2</v>
      </c>
    </row>
    <row r="42" spans="1:10" ht="15" customHeight="1" x14ac:dyDescent="0.25">
      <c r="A42" s="18" t="s">
        <v>51</v>
      </c>
      <c r="B42" s="18"/>
      <c r="C42" s="22">
        <f t="shared" ref="C42:H42" si="33">C7</f>
        <v>50</v>
      </c>
      <c r="D42" s="22">
        <f t="shared" si="33"/>
        <v>35</v>
      </c>
      <c r="E42" s="22">
        <f t="shared" si="33"/>
        <v>35</v>
      </c>
      <c r="F42" s="22">
        <f t="shared" si="33"/>
        <v>30</v>
      </c>
      <c r="G42" s="22">
        <f t="shared" si="33"/>
        <v>35</v>
      </c>
      <c r="H42" s="22">
        <f t="shared" si="33"/>
        <v>35</v>
      </c>
      <c r="I42" s="22">
        <f t="shared" ref="I42:J42" si="34">I7</f>
        <v>35</v>
      </c>
      <c r="J42" s="22">
        <f t="shared" ref="J42" si="35">J7</f>
        <v>35</v>
      </c>
    </row>
    <row r="43" spans="1:10" ht="15" customHeight="1" x14ac:dyDescent="0.25">
      <c r="A43" s="21" t="s">
        <v>53</v>
      </c>
      <c r="B43" s="18"/>
      <c r="C43" s="32">
        <f>-1.2276*LN((C33*C34)+(0.5*C35)+(0.5*C36)+(C37*C38)+(C40*C39))+((0.0091*C32)/(4*C41))+(0.0004*C42*C42)+6.0468</f>
        <v>2.119171326546553</v>
      </c>
      <c r="D43" s="32">
        <f t="shared" ref="D43:H43" si="36">-1.2276*LN((D33*D34)+(0.5*D35)+(0.5*D36)+(D37*D38)+(D40*D39))+((0.0091*D32)/(4*D41))+(0.0004*D42*D42)+6.0468</f>
        <v>1.9759408163114847</v>
      </c>
      <c r="E43" s="32">
        <f t="shared" si="36"/>
        <v>2.0931033163114847</v>
      </c>
      <c r="F43" s="32">
        <f t="shared" si="36"/>
        <v>0.88456113325901686</v>
      </c>
      <c r="G43" s="32">
        <f t="shared" si="36"/>
        <v>2.328030500954692</v>
      </c>
      <c r="H43" s="32">
        <f t="shared" si="36"/>
        <v>2.3475069107483284</v>
      </c>
      <c r="I43" s="32">
        <f t="shared" ref="I43:J43" si="37">-1.2276*LN((I33*I34)+(0.5*I35)+(0.5*I36)+(I37*I38)+(I40*I39))+((0.0091*I32)/(4*I41))+(0.0004*I42*I42)+6.0468</f>
        <v>2.3475069107483284</v>
      </c>
      <c r="J43" s="32">
        <f t="shared" ref="J43" si="38">-1.2276*LN((J33*J34)+(0.5*J35)+(0.5*J36)+(J37*J38)+(J40*J39))+((0.0091*J32)/(4*J41))+(0.0004*J42*J42)+6.0468</f>
        <v>2.3475069107483284</v>
      </c>
    </row>
    <row r="44" spans="1:10" ht="15" customHeight="1" x14ac:dyDescent="0.25">
      <c r="A44" s="21" t="s">
        <v>54</v>
      </c>
      <c r="B44" s="18"/>
      <c r="C44" s="33" t="str">
        <f>IF(C43&lt;=1.5,"A",IF(C43&lt;=2.5,"B",IF(C43&lt;=3.5,"C",IF(C43&lt;=4.5,"D",IF(C43&lt;=5.5,"E","F")))))</f>
        <v>B</v>
      </c>
      <c r="D44" s="33" t="str">
        <f t="shared" ref="D44:H44" si="39">IF(D43&lt;=1.5,"A",IF(D43&lt;=2.5,"B",IF(D43&lt;=3.5,"C",IF(D43&lt;=4.5,"D",IF(D43&lt;=5.5,"E","F")))))</f>
        <v>B</v>
      </c>
      <c r="E44" s="33" t="str">
        <f t="shared" si="39"/>
        <v>B</v>
      </c>
      <c r="F44" s="33" t="str">
        <f t="shared" si="39"/>
        <v>A</v>
      </c>
      <c r="G44" s="33" t="str">
        <f t="shared" si="39"/>
        <v>B</v>
      </c>
      <c r="H44" s="33" t="str">
        <f t="shared" si="39"/>
        <v>B</v>
      </c>
      <c r="I44" s="33" t="str">
        <f t="shared" ref="I44:J44" si="40">IF(I43&lt;=1.5,"A",IF(I43&lt;=2.5,"B",IF(I43&lt;=3.5,"C",IF(I43&lt;=4.5,"D",IF(I43&lt;=5.5,"E","F")))))</f>
        <v>B</v>
      </c>
      <c r="J44" s="33" t="str">
        <f t="shared" ref="J44" si="41">IF(J43&lt;=1.5,"A",IF(J43&lt;=2.5,"B",IF(J43&lt;=3.5,"C",IF(J43&lt;=4.5,"D",IF(J43&lt;=5.5,"E","F")))))</f>
        <v>B</v>
      </c>
    </row>
    <row r="45" spans="1:10" ht="29.25" customHeight="1" x14ac:dyDescent="0.3">
      <c r="A45" s="30" t="s">
        <v>55</v>
      </c>
      <c r="B45" s="29"/>
      <c r="C45" s="49"/>
      <c r="D45" s="49"/>
      <c r="E45" s="49"/>
      <c r="F45" s="49"/>
      <c r="G45" s="49"/>
      <c r="H45" s="49"/>
    </row>
    <row r="46" spans="1:10" ht="15" customHeight="1" x14ac:dyDescent="0.25">
      <c r="A46" s="50" t="s">
        <v>21</v>
      </c>
      <c r="B46" s="50"/>
      <c r="C46" s="34" t="str">
        <f t="shared" ref="C46:H46" si="42">C2</f>
        <v>Shattuck Ave</v>
      </c>
      <c r="D46" s="34" t="str">
        <f t="shared" si="42"/>
        <v>Walnut St</v>
      </c>
      <c r="E46" s="34" t="str">
        <f t="shared" si="42"/>
        <v>Oxford Street</v>
      </c>
      <c r="F46" s="34" t="str">
        <f t="shared" si="42"/>
        <v>Spruce St</v>
      </c>
      <c r="G46" s="34" t="str">
        <f t="shared" si="42"/>
        <v>Arch St</v>
      </c>
      <c r="H46" s="34" t="str">
        <f t="shared" si="42"/>
        <v>Euclid Ave</v>
      </c>
      <c r="I46" s="34" t="str">
        <f t="shared" ref="I46:J46" si="43">I2</f>
        <v>LeRoy Ave</v>
      </c>
      <c r="J46" s="34" t="str">
        <f t="shared" ref="J46" si="44">J2</f>
        <v>La Loma Ave</v>
      </c>
    </row>
    <row r="47" spans="1:10" ht="15" customHeight="1" x14ac:dyDescent="0.25">
      <c r="A47" s="50" t="s">
        <v>32</v>
      </c>
      <c r="B47" s="50"/>
      <c r="C47" s="22">
        <f t="shared" ref="C47:H47" si="45">C4</f>
        <v>500</v>
      </c>
      <c r="D47" s="22">
        <f t="shared" si="45"/>
        <v>706</v>
      </c>
      <c r="E47" s="22">
        <f t="shared" si="45"/>
        <v>809</v>
      </c>
      <c r="F47" s="22">
        <f t="shared" si="45"/>
        <v>9</v>
      </c>
      <c r="G47" s="22">
        <f t="shared" si="45"/>
        <v>978</v>
      </c>
      <c r="H47" s="22">
        <f t="shared" si="45"/>
        <v>925</v>
      </c>
      <c r="I47" s="22">
        <f t="shared" ref="I47:J47" si="46">I4</f>
        <v>925</v>
      </c>
      <c r="J47" s="22">
        <f t="shared" ref="J47" si="47">J4</f>
        <v>925</v>
      </c>
    </row>
    <row r="48" spans="1:10" ht="15" customHeight="1" x14ac:dyDescent="0.25">
      <c r="A48" s="18" t="s">
        <v>50</v>
      </c>
      <c r="B48" s="18"/>
      <c r="C48" s="22">
        <f t="shared" ref="C48:H48" si="48">C9</f>
        <v>2</v>
      </c>
      <c r="D48" s="22">
        <f t="shared" si="48"/>
        <v>2</v>
      </c>
      <c r="E48" s="22">
        <f t="shared" si="48"/>
        <v>2</v>
      </c>
      <c r="F48" s="22">
        <f t="shared" si="48"/>
        <v>1</v>
      </c>
      <c r="G48" s="22">
        <f t="shared" si="48"/>
        <v>2</v>
      </c>
      <c r="H48" s="22">
        <f t="shared" si="48"/>
        <v>2</v>
      </c>
      <c r="I48" s="22">
        <f t="shared" ref="I48:J48" si="49">I9</f>
        <v>2</v>
      </c>
      <c r="J48" s="22">
        <f t="shared" ref="J48" si="50">J9</f>
        <v>2</v>
      </c>
    </row>
    <row r="49" spans="1:10" ht="15" customHeight="1" x14ac:dyDescent="0.25">
      <c r="A49" s="18" t="s">
        <v>51</v>
      </c>
      <c r="B49" s="18"/>
      <c r="C49" s="22">
        <f t="shared" ref="C49:H49" si="51">C7</f>
        <v>50</v>
      </c>
      <c r="D49" s="22">
        <f t="shared" si="51"/>
        <v>35</v>
      </c>
      <c r="E49" s="22">
        <f t="shared" si="51"/>
        <v>35</v>
      </c>
      <c r="F49" s="22">
        <f t="shared" si="51"/>
        <v>30</v>
      </c>
      <c r="G49" s="22">
        <f t="shared" si="51"/>
        <v>35</v>
      </c>
      <c r="H49" s="22">
        <f t="shared" si="51"/>
        <v>35</v>
      </c>
      <c r="I49" s="22">
        <f t="shared" ref="I49:J49" si="52">I7</f>
        <v>35</v>
      </c>
      <c r="J49" s="22">
        <f t="shared" ref="J49" si="53">J7</f>
        <v>35</v>
      </c>
    </row>
    <row r="50" spans="1:10" ht="15" customHeight="1" x14ac:dyDescent="0.25">
      <c r="A50" s="18" t="s">
        <v>56</v>
      </c>
      <c r="B50" s="18"/>
      <c r="C50" s="31">
        <f>1.1199*LN(MAX(21,C49)-20)+0.8103</f>
        <v>4.6193009477234472</v>
      </c>
      <c r="D50" s="31">
        <f t="shared" ref="D50:H50" si="54">1.1199*LN(MAX(21,D49)-20)+0.8103</f>
        <v>3.8430454202143647</v>
      </c>
      <c r="E50" s="31">
        <f t="shared" si="54"/>
        <v>3.8430454202143647</v>
      </c>
      <c r="F50" s="31">
        <f t="shared" si="54"/>
        <v>3.3889650456440314</v>
      </c>
      <c r="G50" s="31">
        <f t="shared" si="54"/>
        <v>3.8430454202143647</v>
      </c>
      <c r="H50" s="31">
        <f t="shared" si="54"/>
        <v>3.8430454202143647</v>
      </c>
      <c r="I50" s="31">
        <f t="shared" ref="I50:J50" si="55">1.1199*LN(MAX(21,I49)-20)+0.8103</f>
        <v>3.8430454202143647</v>
      </c>
      <c r="J50" s="31">
        <f t="shared" ref="J50" si="56">1.1199*LN(MAX(21,J49)-20)+0.8103</f>
        <v>3.8430454202143647</v>
      </c>
    </row>
    <row r="51" spans="1:10" ht="15" customHeight="1" x14ac:dyDescent="0.25">
      <c r="A51" s="18" t="s">
        <v>57</v>
      </c>
      <c r="B51" s="18"/>
      <c r="C51" s="22">
        <f t="shared" ref="C51:H51" si="57">C5*100</f>
        <v>3</v>
      </c>
      <c r="D51" s="22">
        <f t="shared" si="57"/>
        <v>5</v>
      </c>
      <c r="E51" s="22">
        <f t="shared" si="57"/>
        <v>5</v>
      </c>
      <c r="F51" s="22">
        <f t="shared" si="57"/>
        <v>2</v>
      </c>
      <c r="G51" s="22">
        <f t="shared" si="57"/>
        <v>5</v>
      </c>
      <c r="H51" s="22">
        <f t="shared" si="57"/>
        <v>5</v>
      </c>
      <c r="I51" s="22">
        <f t="shared" ref="I51:J51" si="58">I5*100</f>
        <v>5</v>
      </c>
      <c r="J51" s="22">
        <f t="shared" ref="J51" si="59">J5*100</f>
        <v>5</v>
      </c>
    </row>
    <row r="52" spans="1:10" ht="15" customHeight="1" x14ac:dyDescent="0.25">
      <c r="A52" s="18" t="s">
        <v>61</v>
      </c>
      <c r="B52" s="18"/>
      <c r="C52" s="22">
        <f t="shared" ref="C52:H52" si="60">C18</f>
        <v>3.5</v>
      </c>
      <c r="D52" s="22">
        <f t="shared" si="60"/>
        <v>3.5</v>
      </c>
      <c r="E52" s="22">
        <f t="shared" si="60"/>
        <v>3.5</v>
      </c>
      <c r="F52" s="22">
        <f t="shared" si="60"/>
        <v>3.5</v>
      </c>
      <c r="G52" s="22">
        <f t="shared" si="60"/>
        <v>3.5</v>
      </c>
      <c r="H52" s="22">
        <f t="shared" si="60"/>
        <v>3.5</v>
      </c>
      <c r="I52" s="22">
        <f t="shared" ref="I52:J52" si="61">I18</f>
        <v>3.5</v>
      </c>
      <c r="J52" s="22">
        <f t="shared" ref="J52" si="62">J18</f>
        <v>3.5</v>
      </c>
    </row>
    <row r="53" spans="1:10" ht="15" customHeight="1" x14ac:dyDescent="0.25">
      <c r="A53" s="18" t="s">
        <v>62</v>
      </c>
      <c r="B53" s="18"/>
      <c r="C53" s="22">
        <f t="shared" ref="C53:H53" si="63">SUM(C11,C12,IF(C55=0,C13,0))</f>
        <v>18</v>
      </c>
      <c r="D53" s="22">
        <f t="shared" si="63"/>
        <v>12</v>
      </c>
      <c r="E53" s="22">
        <f t="shared" si="63"/>
        <v>12</v>
      </c>
      <c r="F53" s="22">
        <f t="shared" si="63"/>
        <v>17</v>
      </c>
      <c r="G53" s="22">
        <f t="shared" si="63"/>
        <v>12</v>
      </c>
      <c r="H53" s="22">
        <f t="shared" si="63"/>
        <v>12</v>
      </c>
      <c r="I53" s="22">
        <f t="shared" ref="I53:J53" si="64">SUM(I11,I12,IF(I55=0,I13,0))</f>
        <v>12</v>
      </c>
      <c r="J53" s="22">
        <f t="shared" ref="J53" si="65">SUM(J11,J12,IF(J55=0,J13,0))</f>
        <v>12</v>
      </c>
    </row>
    <row r="54" spans="1:10" ht="15" customHeight="1" x14ac:dyDescent="0.25">
      <c r="A54" s="18" t="s">
        <v>63</v>
      </c>
      <c r="B54" s="18"/>
      <c r="C54" s="22">
        <f t="shared" ref="C54:H54" si="66">SUM(C12,IF(C55=0,C13,0))</f>
        <v>6</v>
      </c>
      <c r="D54" s="22">
        <f t="shared" si="66"/>
        <v>0</v>
      </c>
      <c r="E54" s="22">
        <f t="shared" si="66"/>
        <v>0</v>
      </c>
      <c r="F54" s="22">
        <f t="shared" si="66"/>
        <v>5</v>
      </c>
      <c r="G54" s="22">
        <f t="shared" si="66"/>
        <v>0</v>
      </c>
      <c r="H54" s="22">
        <f t="shared" si="66"/>
        <v>0</v>
      </c>
      <c r="I54" s="22">
        <f t="shared" ref="I54:J54" si="67">SUM(I12,IF(I55=0,I13,0))</f>
        <v>0</v>
      </c>
      <c r="J54" s="22">
        <f t="shared" ref="J54" si="68">SUM(J12,IF(J55=0,J13,0))</f>
        <v>0</v>
      </c>
    </row>
    <row r="55" spans="1:10" ht="15" customHeight="1" x14ac:dyDescent="0.25">
      <c r="A55" s="50" t="s">
        <v>45</v>
      </c>
      <c r="B55" s="50"/>
      <c r="C55" s="22">
        <f t="shared" ref="C55:H55" si="69">C6*100</f>
        <v>50</v>
      </c>
      <c r="D55" s="22">
        <f t="shared" si="69"/>
        <v>50</v>
      </c>
      <c r="E55" s="22">
        <f t="shared" si="69"/>
        <v>50</v>
      </c>
      <c r="F55" s="22">
        <f t="shared" si="69"/>
        <v>0</v>
      </c>
      <c r="G55" s="22">
        <f t="shared" si="69"/>
        <v>50</v>
      </c>
      <c r="H55" s="22">
        <f t="shared" si="69"/>
        <v>50</v>
      </c>
      <c r="I55" s="22">
        <f t="shared" ref="I55:J55" si="70">I6*100</f>
        <v>50</v>
      </c>
      <c r="J55" s="22">
        <f t="shared" ref="J55" si="71">J6*100</f>
        <v>50</v>
      </c>
    </row>
    <row r="56" spans="1:10" ht="29.25" customHeight="1" x14ac:dyDescent="0.25">
      <c r="A56" s="55" t="s">
        <v>65</v>
      </c>
      <c r="B56" s="50"/>
      <c r="C56" s="35">
        <f t="shared" ref="C56:H56" si="72">IF(OR(C47&gt;160,C10="Yes"),C53,C53*(2-(0.005*C47)))</f>
        <v>18</v>
      </c>
      <c r="D56" s="35">
        <f t="shared" si="72"/>
        <v>12</v>
      </c>
      <c r="E56" s="35">
        <f t="shared" si="72"/>
        <v>12</v>
      </c>
      <c r="F56" s="35">
        <f t="shared" si="72"/>
        <v>33.234999999999999</v>
      </c>
      <c r="G56" s="35">
        <f t="shared" si="72"/>
        <v>12</v>
      </c>
      <c r="H56" s="35">
        <f t="shared" si="72"/>
        <v>12</v>
      </c>
      <c r="I56" s="35">
        <f t="shared" ref="I56:J56" si="73">IF(OR(I47&gt;160,I10="Yes"),I53,I53*(2-(0.005*I47)))</f>
        <v>12</v>
      </c>
      <c r="J56" s="35">
        <f t="shared" ref="J56" si="74">IF(OR(J47&gt;160,J10="Yes"),J53,J53*(2-(0.005*J47)))</f>
        <v>12</v>
      </c>
    </row>
    <row r="57" spans="1:10" ht="15" customHeight="1" x14ac:dyDescent="0.25">
      <c r="A57" s="18" t="s">
        <v>64</v>
      </c>
      <c r="B57" s="18"/>
      <c r="C57" s="23">
        <f>IF(C54&lt;4,C56-(0.1*C55),C56+C54-(0.2*C55))</f>
        <v>14</v>
      </c>
      <c r="D57" s="23">
        <f t="shared" ref="D57:H57" si="75">IF(D54&lt;4,D56-(0.1*D55),D56+D54-(0.2*D55))</f>
        <v>7</v>
      </c>
      <c r="E57" s="23">
        <f t="shared" si="75"/>
        <v>7</v>
      </c>
      <c r="F57" s="23">
        <f t="shared" si="75"/>
        <v>38.234999999999999</v>
      </c>
      <c r="G57" s="23">
        <f t="shared" si="75"/>
        <v>7</v>
      </c>
      <c r="H57" s="23">
        <f t="shared" si="75"/>
        <v>7</v>
      </c>
      <c r="I57" s="23">
        <f t="shared" ref="I57:J57" si="76">IF(I54&lt;4,I56-(0.1*I55),I56+I54-(0.2*I55))</f>
        <v>7</v>
      </c>
      <c r="J57" s="23">
        <f t="shared" ref="J57" si="77">IF(J54&lt;4,J56-(0.1*J55),J56+J54-(0.2*J55))</f>
        <v>7</v>
      </c>
    </row>
    <row r="58" spans="1:10" ht="15" customHeight="1" x14ac:dyDescent="0.25">
      <c r="A58" s="21" t="s">
        <v>68</v>
      </c>
      <c r="B58" s="18"/>
      <c r="C58" s="32">
        <f>0.507*LN(C47/(4*C48))+(0.199*C50*((1+(0.1038*C51))^2))+(7.066*((1/C52)^2))-(0.005*C57*C57)+0.76</f>
        <v>4.034228637011755</v>
      </c>
      <c r="D58" s="32">
        <f t="shared" ref="D58:H58" si="78">0.507*LN(D47/(4*D48))+(0.199*D50*((1+(0.1038*D51))^2))+(7.066*((1/D52)^2))-(0.005*D57*D57)+0.76</f>
        <v>5.127855721950425</v>
      </c>
      <c r="E58" s="32">
        <f t="shared" si="78"/>
        <v>5.1969008474900065</v>
      </c>
      <c r="F58" s="32">
        <f t="shared" si="78"/>
        <v>-4.5781362720262928</v>
      </c>
      <c r="G58" s="32">
        <f t="shared" si="78"/>
        <v>5.2930841992490043</v>
      </c>
      <c r="H58" s="32">
        <f t="shared" si="78"/>
        <v>5.2648362214601514</v>
      </c>
      <c r="I58" s="32">
        <f t="shared" ref="I58:J58" si="79">0.507*LN(I47/(4*I48))+(0.199*I50*((1+(0.1038*I51))^2))+(7.066*((1/I52)^2))-(0.005*I57*I57)+0.76</f>
        <v>5.2648362214601514</v>
      </c>
      <c r="J58" s="32">
        <f t="shared" ref="J58" si="80">0.507*LN(J47/(4*J48))+(0.199*J50*((1+(0.1038*J51))^2))+(7.066*((1/J52)^2))-(0.005*J57*J57)+0.76</f>
        <v>5.2648362214601514</v>
      </c>
    </row>
    <row r="59" spans="1:10" ht="15" customHeight="1" x14ac:dyDescent="0.25">
      <c r="A59" s="21" t="s">
        <v>69</v>
      </c>
      <c r="B59" s="18"/>
      <c r="C59" s="33" t="str">
        <f>IF(C58&lt;=1.5,"A",IF(C58&lt;=2.5,"B",IF(C58&lt;=3.5,"C",IF(C58&lt;=4.5,"D",IF(C58&lt;=5.5,"E","F")))))</f>
        <v>D</v>
      </c>
      <c r="D59" s="33" t="str">
        <f t="shared" ref="D59" si="81">IF(D58&lt;=1.5,"A",IF(D58&lt;=2.5,"B",IF(D58&lt;=3.5,"C",IF(D58&lt;=4.5,"D",IF(D58&lt;=5.5,"E","F")))))</f>
        <v>E</v>
      </c>
      <c r="E59" s="33" t="str">
        <f t="shared" ref="E59" si="82">IF(E58&lt;=1.5,"A",IF(E58&lt;=2.5,"B",IF(E58&lt;=3.5,"C",IF(E58&lt;=4.5,"D",IF(E58&lt;=5.5,"E","F")))))</f>
        <v>E</v>
      </c>
      <c r="F59" s="33" t="str">
        <f t="shared" ref="F59" si="83">IF(F58&lt;=1.5,"A",IF(F58&lt;=2.5,"B",IF(F58&lt;=3.5,"C",IF(F58&lt;=4.5,"D",IF(F58&lt;=5.5,"E","F")))))</f>
        <v>A</v>
      </c>
      <c r="G59" s="33" t="str">
        <f t="shared" ref="G59" si="84">IF(G58&lt;=1.5,"A",IF(G58&lt;=2.5,"B",IF(G58&lt;=3.5,"C",IF(G58&lt;=4.5,"D",IF(G58&lt;=5.5,"E","F")))))</f>
        <v>E</v>
      </c>
      <c r="H59" s="33" t="str">
        <f t="shared" ref="H59:I59" si="85">IF(H58&lt;=1.5,"A",IF(H58&lt;=2.5,"B",IF(H58&lt;=3.5,"C",IF(H58&lt;=4.5,"D",IF(H58&lt;=5.5,"E","F")))))</f>
        <v>E</v>
      </c>
      <c r="I59" s="33" t="str">
        <f t="shared" ref="I59:J59" si="86">IF(I58&lt;=1.5,"A",IF(I58&lt;=2.5,"B",IF(I58&lt;=3.5,"C",IF(I58&lt;=4.5,"D",IF(I58&lt;=5.5,"E","F")))))</f>
        <v>E</v>
      </c>
      <c r="J59" s="33" t="str">
        <f t="shared" ref="J59" si="87">IF(J58&lt;=1.5,"A",IF(J58&lt;=2.5,"B",IF(J58&lt;=3.5,"C",IF(J58&lt;=4.5,"D",IF(J58&lt;=5.5,"E","F")))))</f>
        <v>E</v>
      </c>
    </row>
    <row r="60" spans="1:10" ht="27.75" customHeight="1" x14ac:dyDescent="0.3">
      <c r="A60" s="30" t="s">
        <v>70</v>
      </c>
      <c r="B60" s="29"/>
      <c r="C60" s="49"/>
      <c r="D60" s="49"/>
      <c r="E60" s="49"/>
      <c r="F60" s="49"/>
      <c r="G60" s="49"/>
      <c r="H60" s="49"/>
    </row>
    <row r="61" spans="1:10" ht="15" customHeight="1" x14ac:dyDescent="0.25">
      <c r="A61" s="50" t="s">
        <v>21</v>
      </c>
      <c r="B61" s="50"/>
      <c r="C61" s="34" t="str">
        <f>C2</f>
        <v>Shattuck Ave</v>
      </c>
      <c r="D61" s="34" t="str">
        <f t="shared" ref="D61:H61" si="88">D2</f>
        <v>Walnut St</v>
      </c>
      <c r="E61" s="34" t="str">
        <f t="shared" si="88"/>
        <v>Oxford Street</v>
      </c>
      <c r="F61" s="34" t="str">
        <f t="shared" si="88"/>
        <v>Spruce St</v>
      </c>
      <c r="G61" s="34" t="str">
        <f t="shared" si="88"/>
        <v>Arch St</v>
      </c>
      <c r="H61" s="34" t="str">
        <f t="shared" si="88"/>
        <v>Euclid Ave</v>
      </c>
      <c r="I61" s="34" t="str">
        <f t="shared" ref="I61:J61" si="89">I2</f>
        <v>LeRoy Ave</v>
      </c>
      <c r="J61" s="34" t="str">
        <f t="shared" ref="J61" si="90">J2</f>
        <v>La Loma Ave</v>
      </c>
    </row>
    <row r="62" spans="1:10" x14ac:dyDescent="0.25">
      <c r="A62" t="s">
        <v>80</v>
      </c>
      <c r="C62" s="20">
        <f>IF(C20="No",0,C21)</f>
        <v>4</v>
      </c>
      <c r="D62" s="20">
        <f t="shared" ref="D62:H62" si="91">IF(D19="No",0,D21)</f>
        <v>2</v>
      </c>
      <c r="E62" s="20">
        <f t="shared" si="91"/>
        <v>4</v>
      </c>
      <c r="F62" s="20">
        <f t="shared" si="91"/>
        <v>4</v>
      </c>
      <c r="G62" s="20">
        <f t="shared" si="91"/>
        <v>4</v>
      </c>
      <c r="H62" s="20">
        <f t="shared" si="91"/>
        <v>4</v>
      </c>
      <c r="I62" s="20">
        <f t="shared" ref="I62:J62" si="92">IF(I19="No",0,I21)</f>
        <v>4</v>
      </c>
      <c r="J62" s="20">
        <f t="shared" ref="J62" si="93">IF(J19="No",0,J21)</f>
        <v>4</v>
      </c>
    </row>
    <row r="63" spans="1:10" x14ac:dyDescent="0.25">
      <c r="A63" t="s">
        <v>81</v>
      </c>
      <c r="C63" s="20">
        <f t="shared" ref="C63:H63" si="94">IF(C20="No",0,C22)</f>
        <v>0</v>
      </c>
      <c r="D63" s="20">
        <f t="shared" si="94"/>
        <v>0</v>
      </c>
      <c r="E63" s="20">
        <f t="shared" si="94"/>
        <v>5</v>
      </c>
      <c r="F63" s="20">
        <f t="shared" si="94"/>
        <v>0</v>
      </c>
      <c r="G63" s="20">
        <f t="shared" si="94"/>
        <v>0</v>
      </c>
      <c r="H63" s="20">
        <f t="shared" si="94"/>
        <v>0</v>
      </c>
      <c r="I63" s="20">
        <f t="shared" ref="I63:J63" si="95">IF(I20="No",0,I22)</f>
        <v>0</v>
      </c>
      <c r="J63" s="20">
        <f t="shared" ref="J63" si="96">IF(J20="No",0,J22)</f>
        <v>0</v>
      </c>
    </row>
    <row r="64" spans="1:10" x14ac:dyDescent="0.25">
      <c r="A64" t="s">
        <v>82</v>
      </c>
      <c r="C64" s="20">
        <f>IF(C20="No",0,C62+C63)</f>
        <v>4</v>
      </c>
      <c r="D64" s="20">
        <f t="shared" ref="D64:H64" si="97">IF(D20="No",0,D62+D63)</f>
        <v>2</v>
      </c>
      <c r="E64" s="20">
        <f t="shared" si="97"/>
        <v>9</v>
      </c>
      <c r="F64" s="20">
        <f t="shared" si="97"/>
        <v>4</v>
      </c>
      <c r="G64" s="20">
        <f t="shared" si="97"/>
        <v>4</v>
      </c>
      <c r="H64" s="20">
        <f t="shared" si="97"/>
        <v>4</v>
      </c>
      <c r="I64" s="20">
        <f t="shared" ref="I64:J64" si="98">IF(I20="No",0,I62+I63)</f>
        <v>4</v>
      </c>
      <c r="J64" s="20">
        <f t="shared" ref="J64" si="99">IF(J20="No",0,J62+J63)</f>
        <v>4</v>
      </c>
    </row>
    <row r="65" spans="1:10" x14ac:dyDescent="0.25">
      <c r="A65" t="s">
        <v>71</v>
      </c>
      <c r="C65" s="25">
        <f>IF(C64=0,0,4*EXP(-0.0239*(60/C64)))</f>
        <v>2.7948945033543784</v>
      </c>
      <c r="D65" s="25">
        <f t="shared" ref="D65:H65" si="100">IF(D64=0,0,4*EXP(-0.0239*(60/D64)))</f>
        <v>1.952858821220129</v>
      </c>
      <c r="E65" s="25">
        <f t="shared" si="100"/>
        <v>3.410848296931587</v>
      </c>
      <c r="F65" s="25">
        <f t="shared" si="100"/>
        <v>2.7948945033543784</v>
      </c>
      <c r="G65" s="25">
        <f t="shared" si="100"/>
        <v>2.7948945033543784</v>
      </c>
      <c r="H65" s="25">
        <f t="shared" si="100"/>
        <v>2.7948945033543784</v>
      </c>
      <c r="I65" s="25">
        <f t="shared" ref="I65:J65" si="101">IF(I64=0,0,4*EXP(-0.0239*(60/I64)))</f>
        <v>2.7948945033543784</v>
      </c>
      <c r="J65" s="25">
        <f t="shared" ref="J65" si="102">IF(J64=0,0,4*EXP(-0.0239*(60/J64)))</f>
        <v>2.7948945033543784</v>
      </c>
    </row>
    <row r="66" spans="1:10" x14ac:dyDescent="0.25">
      <c r="A66" t="s">
        <v>98</v>
      </c>
      <c r="C66" s="25">
        <f>IF(C62=0,0,IF(C25="Many seats avail.",1,IF(C25="All seats full", 1.19, IF(C25="Some standees",1.28,1.42))))</f>
        <v>1.19</v>
      </c>
      <c r="D66" s="25">
        <f t="shared" ref="D66:H66" si="103">IF(D62=0,0,IF(D25="Many seats avail.",1,IF(D25="All seats full", 1.19, IF(D25="Some standees",1.28,1.42))))</f>
        <v>1</v>
      </c>
      <c r="E66" s="25">
        <f t="shared" si="103"/>
        <v>1</v>
      </c>
      <c r="F66" s="25">
        <f t="shared" si="103"/>
        <v>1</v>
      </c>
      <c r="G66" s="25">
        <f t="shared" si="103"/>
        <v>1</v>
      </c>
      <c r="H66" s="25">
        <f t="shared" si="103"/>
        <v>1</v>
      </c>
      <c r="I66" s="25">
        <f t="shared" ref="I66:J66" si="104">IF(I62=0,0,IF(I25="Many seats avail.",1,IF(I25="All seats full", 1.19, IF(I25="Some standees",1.28,1.42))))</f>
        <v>1</v>
      </c>
      <c r="J66" s="25">
        <f t="shared" ref="J66" si="105">IF(J62=0,0,IF(J25="Many seats avail.",1,IF(J25="All seats full", 1.19, IF(J25="Some standees",1.28,1.42))))</f>
        <v>1</v>
      </c>
    </row>
    <row r="67" spans="1:10" x14ac:dyDescent="0.25">
      <c r="A67" t="s">
        <v>99</v>
      </c>
      <c r="C67" s="25">
        <f>IF(C63=0,0,IF(C26="Many seats avail.",1,IF(C26="All seats full", 1.19, IF(C26="Some standees",1.28,1.42))))</f>
        <v>0</v>
      </c>
      <c r="D67" s="25">
        <f t="shared" ref="D67:H67" si="106">IF(D63=0,0,IF(D26="Many seats avail.",1,IF(D26="All seats full", 1.19, IF(D26="Some standees",1.28,1.42))))</f>
        <v>0</v>
      </c>
      <c r="E67" s="25">
        <f>IF(E63=0,0,IF(E26="Many seats avail.",1,IF(E26="All seats full", 1.19, IF(E26="Some standees",1.28,1.42))))</f>
        <v>1.28</v>
      </c>
      <c r="F67" s="25">
        <f t="shared" si="106"/>
        <v>0</v>
      </c>
      <c r="G67" s="25">
        <f t="shared" si="106"/>
        <v>0</v>
      </c>
      <c r="H67" s="25">
        <f t="shared" si="106"/>
        <v>0</v>
      </c>
      <c r="I67" s="25">
        <f t="shared" ref="I67:J67" si="107">IF(I63=0,0,IF(I26="Many seats avail.",1,IF(I26="All seats full", 1.19, IF(I26="Some standees",1.28,1.42))))</f>
        <v>0</v>
      </c>
      <c r="J67" s="25">
        <f t="shared" ref="J67" si="108">IF(J63=0,0,IF(J26="Many seats avail.",1,IF(J26="All seats full", 1.19, IF(J26="Some standees",1.28,1.42))))</f>
        <v>0</v>
      </c>
    </row>
    <row r="68" spans="1:10" x14ac:dyDescent="0.25">
      <c r="A68" t="s">
        <v>100</v>
      </c>
      <c r="C68" s="1">
        <f>IF(C62=0,0,C27)</f>
        <v>12.5</v>
      </c>
      <c r="D68" s="1">
        <f t="shared" ref="D68:H68" si="109">IF(D62=0,0,D27)</f>
        <v>17.5</v>
      </c>
      <c r="E68" s="1">
        <f t="shared" si="109"/>
        <v>7.5</v>
      </c>
      <c r="F68" s="1">
        <f t="shared" si="109"/>
        <v>7.5</v>
      </c>
      <c r="G68" s="1">
        <f t="shared" si="109"/>
        <v>7.5</v>
      </c>
      <c r="H68" s="1">
        <f t="shared" si="109"/>
        <v>7.5</v>
      </c>
      <c r="I68" s="1">
        <f t="shared" ref="I68:J68" si="110">IF(I62=0,0,I27)</f>
        <v>7.5</v>
      </c>
      <c r="J68" s="1">
        <f t="shared" ref="J68" si="111">IF(J62=0,0,J27)</f>
        <v>7.5</v>
      </c>
    </row>
    <row r="69" spans="1:10" x14ac:dyDescent="0.25">
      <c r="A69" t="s">
        <v>101</v>
      </c>
      <c r="C69" s="1">
        <f>IF(C63=0,0,C28)</f>
        <v>0</v>
      </c>
      <c r="D69" s="1">
        <f t="shared" ref="D69:H69" si="112">IF(D63=0,0,D28)</f>
        <v>0</v>
      </c>
      <c r="E69" s="1">
        <f t="shared" si="112"/>
        <v>15</v>
      </c>
      <c r="F69" s="1">
        <f t="shared" si="112"/>
        <v>0</v>
      </c>
      <c r="G69" s="1">
        <f t="shared" si="112"/>
        <v>0</v>
      </c>
      <c r="H69" s="1">
        <f t="shared" si="112"/>
        <v>0</v>
      </c>
      <c r="I69" s="1">
        <f t="shared" ref="I69:J69" si="113">IF(I63=0,0,I28)</f>
        <v>0</v>
      </c>
      <c r="J69" s="1">
        <f t="shared" ref="J69" si="114">IF(J63=0,0,J28)</f>
        <v>0</v>
      </c>
    </row>
    <row r="70" spans="1:10" x14ac:dyDescent="0.25">
      <c r="A70" t="s">
        <v>83</v>
      </c>
      <c r="C70" s="25">
        <f>IF(C62=0,0,60/C68)</f>
        <v>4.8</v>
      </c>
      <c r="D70" s="25">
        <f t="shared" ref="D70:H70" si="115">IF(D62=0,0,60/D68)</f>
        <v>3.4285714285714284</v>
      </c>
      <c r="E70" s="25">
        <f t="shared" si="115"/>
        <v>8</v>
      </c>
      <c r="F70" s="25">
        <f t="shared" si="115"/>
        <v>8</v>
      </c>
      <c r="G70" s="25">
        <f t="shared" si="115"/>
        <v>8</v>
      </c>
      <c r="H70" s="25">
        <f t="shared" si="115"/>
        <v>8</v>
      </c>
      <c r="I70" s="25">
        <f t="shared" ref="I70:J70" si="116">IF(I62=0,0,60/I68)</f>
        <v>8</v>
      </c>
      <c r="J70" s="25">
        <f t="shared" ref="J70" si="117">IF(J62=0,0,60/J68)</f>
        <v>8</v>
      </c>
    </row>
    <row r="71" spans="1:10" x14ac:dyDescent="0.25">
      <c r="A71" t="s">
        <v>84</v>
      </c>
      <c r="C71" s="25">
        <f>IF(C63=0,0,60/C69)</f>
        <v>0</v>
      </c>
      <c r="D71" s="25">
        <f t="shared" ref="D71:H71" si="118">IF(D63=0,0,60/D69)</f>
        <v>0</v>
      </c>
      <c r="E71" s="25">
        <f t="shared" si="118"/>
        <v>4</v>
      </c>
      <c r="F71" s="25">
        <f t="shared" si="118"/>
        <v>0</v>
      </c>
      <c r="G71" s="25">
        <f t="shared" si="118"/>
        <v>0</v>
      </c>
      <c r="H71" s="25">
        <f t="shared" si="118"/>
        <v>0</v>
      </c>
      <c r="I71" s="25">
        <f t="shared" ref="I71:J71" si="119">IF(I63=0,0,60/I69)</f>
        <v>0</v>
      </c>
      <c r="J71" s="25">
        <f t="shared" ref="J71" si="120">IF(J63=0,0,60/J69)</f>
        <v>0</v>
      </c>
    </row>
    <row r="72" spans="1:10" x14ac:dyDescent="0.25">
      <c r="A72" t="s">
        <v>72</v>
      </c>
      <c r="C72" s="25">
        <f>IF(C64=0,0,0.81)</f>
        <v>0.81</v>
      </c>
      <c r="D72" s="25">
        <f t="shared" ref="D72:H72" si="121">IF(D64=0,0,0.81)</f>
        <v>0.81</v>
      </c>
      <c r="E72" s="25">
        <f t="shared" si="121"/>
        <v>0.81</v>
      </c>
      <c r="F72" s="25">
        <f t="shared" si="121"/>
        <v>0.81</v>
      </c>
      <c r="G72" s="25">
        <f t="shared" si="121"/>
        <v>0.81</v>
      </c>
      <c r="H72" s="25">
        <f t="shared" si="121"/>
        <v>0.81</v>
      </c>
      <c r="I72" s="25">
        <f t="shared" ref="I72:J72" si="122">IF(I64=0,0,0.81)</f>
        <v>0.81</v>
      </c>
      <c r="J72" s="25">
        <f t="shared" ref="J72" si="123">IF(J64=0,0,0.81)</f>
        <v>0.81</v>
      </c>
    </row>
    <row r="73" spans="1:10" x14ac:dyDescent="0.25">
      <c r="A73" t="s">
        <v>73</v>
      </c>
      <c r="C73" s="25">
        <f>IF(C64=0,0,0.000001+(0.054*(C24="Yes"))+(0.351*(C23="Yes")))</f>
        <v>0.405001</v>
      </c>
      <c r="D73" s="25">
        <f t="shared" ref="D73:H73" si="124">IF(D64=0,0,0.000001+(0.054*(D24="Yes"))+(0.351*(D23="Yes")))</f>
        <v>9.9999999999999995E-7</v>
      </c>
      <c r="E73" s="25">
        <f t="shared" si="124"/>
        <v>0.405001</v>
      </c>
      <c r="F73" s="25">
        <f t="shared" si="124"/>
        <v>9.9999999999999995E-7</v>
      </c>
      <c r="G73" s="25">
        <f t="shared" si="124"/>
        <v>9.9999999999999995E-7</v>
      </c>
      <c r="H73" s="25">
        <f t="shared" si="124"/>
        <v>9.9999999999999995E-7</v>
      </c>
      <c r="I73" s="25">
        <f t="shared" ref="I73:J73" si="125">IF(I64=0,0,0.000001+(0.054*(I24="Yes"))+(0.351*(I23="Yes")))</f>
        <v>9.9999999999999995E-7</v>
      </c>
      <c r="J73" s="25">
        <f t="shared" ref="J73" si="126">IF(J64=0,0,0.000001+(0.054*(J24="Yes"))+(0.351*(J23="Yes")))</f>
        <v>9.9999999999999995E-7</v>
      </c>
    </row>
    <row r="74" spans="1:10" x14ac:dyDescent="0.25">
      <c r="A74" t="s">
        <v>76</v>
      </c>
      <c r="C74" s="25">
        <f>IF(C64=0,0,IF($C$29="Yes",6,4))</f>
        <v>4</v>
      </c>
      <c r="D74" s="25">
        <f t="shared" ref="D74:H74" si="127">IF(D64=0,0,IF($C$29="Yes",6,4))</f>
        <v>4</v>
      </c>
      <c r="E74" s="25">
        <f t="shared" si="127"/>
        <v>4</v>
      </c>
      <c r="F74" s="25">
        <f t="shared" si="127"/>
        <v>4</v>
      </c>
      <c r="G74" s="25">
        <f t="shared" si="127"/>
        <v>4</v>
      </c>
      <c r="H74" s="25">
        <f t="shared" si="127"/>
        <v>4</v>
      </c>
      <c r="I74" s="25">
        <f t="shared" ref="I74:J74" si="128">IF(I64=0,0,IF($C$29="Yes",6,4))</f>
        <v>4</v>
      </c>
      <c r="J74" s="25">
        <f t="shared" ref="J74" si="129">IF(J64=0,0,IF($C$29="Yes",6,4))</f>
        <v>4</v>
      </c>
    </row>
    <row r="75" spans="1:10" x14ac:dyDescent="0.25">
      <c r="A75" t="s">
        <v>85</v>
      </c>
      <c r="C75" s="25">
        <f>IF(C62=0,0,(C66*C70)+(2*C72)-C73)</f>
        <v>6.9269989999999995</v>
      </c>
      <c r="D75" s="25">
        <f t="shared" ref="D75:H75" si="130">IF(D62=0,0,(D66*D70)+(2*D72)-D73)</f>
        <v>5.0485704285714279</v>
      </c>
      <c r="E75" s="25">
        <f t="shared" si="130"/>
        <v>9.2149990000000006</v>
      </c>
      <c r="F75" s="25">
        <f t="shared" si="130"/>
        <v>9.6199990000000017</v>
      </c>
      <c r="G75" s="25">
        <f t="shared" si="130"/>
        <v>9.6199990000000017</v>
      </c>
      <c r="H75" s="25">
        <f t="shared" si="130"/>
        <v>9.6199990000000017</v>
      </c>
      <c r="I75" s="25">
        <f t="shared" ref="I75:J75" si="131">IF(I62=0,0,(I66*I70)+(2*I72)-I73)</f>
        <v>9.6199990000000017</v>
      </c>
      <c r="J75" s="25">
        <f t="shared" ref="J75" si="132">IF(J62=0,0,(J66*J70)+(2*J72)-J73)</f>
        <v>9.6199990000000017</v>
      </c>
    </row>
    <row r="76" spans="1:10" x14ac:dyDescent="0.25">
      <c r="A76" t="s">
        <v>86</v>
      </c>
      <c r="C76" s="25">
        <f>IF(C63=0,0,(C67*C71)+(2*C72)-C73)</f>
        <v>0</v>
      </c>
      <c r="D76" s="25">
        <f t="shared" ref="D76:H76" si="133">IF(D63=0,0,(D67*D71)+(2*D72)-D73)</f>
        <v>0</v>
      </c>
      <c r="E76" s="25">
        <f t="shared" si="133"/>
        <v>6.3349989999999998</v>
      </c>
      <c r="F76" s="25">
        <f t="shared" si="133"/>
        <v>0</v>
      </c>
      <c r="G76" s="25">
        <f t="shared" si="133"/>
        <v>0</v>
      </c>
      <c r="H76" s="25">
        <f t="shared" si="133"/>
        <v>0</v>
      </c>
      <c r="I76" s="25">
        <f t="shared" ref="I76:J76" si="134">IF(I63=0,0,(I67*I71)+(2*I72)-I73)</f>
        <v>0</v>
      </c>
      <c r="J76" s="25">
        <f t="shared" ref="J76" si="135">IF(J63=0,0,(J67*J71)+(2*J72)-J73)</f>
        <v>0</v>
      </c>
    </row>
    <row r="77" spans="1:10" x14ac:dyDescent="0.25">
      <c r="A77" t="s">
        <v>91</v>
      </c>
      <c r="B77" s="25"/>
      <c r="C77" s="25">
        <f>IF(C62=0,0,(((-0.4-1)*C74)-((-0.4+1)*C75))/(((-0.4-1)*C75)-((-0.4+1)*C74)))</f>
        <v>0.80644419059844497</v>
      </c>
      <c r="D77" s="25">
        <f t="shared" ref="D77:H77" si="136">IF(D62=0,0,(((-0.4-1)*D74)-((-0.4+1)*D75))/(((-0.4-1)*D75)-((-0.4+1)*D74)))</f>
        <v>0.91140088013351184</v>
      </c>
      <c r="E77" s="25">
        <f t="shared" si="136"/>
        <v>0.72733810981461033</v>
      </c>
      <c r="F77" s="25">
        <f t="shared" si="136"/>
        <v>0.71666249075671073</v>
      </c>
      <c r="G77" s="25">
        <f t="shared" si="136"/>
        <v>0.71666249075671073</v>
      </c>
      <c r="H77" s="25">
        <f t="shared" si="136"/>
        <v>0.71666249075671073</v>
      </c>
      <c r="I77" s="25">
        <f t="shared" ref="I77:J77" si="137">IF(I62=0,0,(((-0.4-1)*I74)-((-0.4+1)*I75))/(((-0.4-1)*I75)-((-0.4+1)*I74)))</f>
        <v>0.71666249075671073</v>
      </c>
      <c r="J77" s="25">
        <f t="shared" ref="J77" si="138">IF(J62=0,0,(((-0.4-1)*J74)-((-0.4+1)*J75))/(((-0.4-1)*J75)-((-0.4+1)*J74)))</f>
        <v>0.71666249075671073</v>
      </c>
    </row>
    <row r="78" spans="1:10" x14ac:dyDescent="0.25">
      <c r="A78" t="s">
        <v>93</v>
      </c>
      <c r="B78" s="25"/>
      <c r="C78" s="25">
        <f>IF(C63=0,0,(((-0.4-1)*C74)-((-0.4+1)*C76))/(((-0.4-1)*C76)-((-0.4+1)*C74)))</f>
        <v>0</v>
      </c>
      <c r="D78" s="25">
        <f t="shared" ref="D78:H78" si="139">IF(D63=0,0,(((-0.4-1)*D74)-((-0.4+1)*D76))/(((-0.4-1)*D76)-((-0.4+1)*D74)))</f>
        <v>0</v>
      </c>
      <c r="E78" s="25">
        <f t="shared" si="139"/>
        <v>0.83423556375275443</v>
      </c>
      <c r="F78" s="25">
        <f t="shared" si="139"/>
        <v>0</v>
      </c>
      <c r="G78" s="25">
        <f t="shared" si="139"/>
        <v>0</v>
      </c>
      <c r="H78" s="25">
        <f t="shared" si="139"/>
        <v>0</v>
      </c>
      <c r="I78" s="25">
        <f t="shared" ref="I78:J78" si="140">IF(I63=0,0,(((-0.4-1)*I74)-((-0.4+1)*I76))/(((-0.4-1)*I76)-((-0.4+1)*I74)))</f>
        <v>0</v>
      </c>
      <c r="J78" s="25">
        <f t="shared" ref="J78" si="141">IF(J63=0,0,(((-0.4-1)*J74)-((-0.4+1)*J76))/(((-0.4-1)*J76)-((-0.4+1)*J74)))</f>
        <v>0</v>
      </c>
    </row>
    <row r="79" spans="1:10" x14ac:dyDescent="0.25">
      <c r="A79" t="s">
        <v>92</v>
      </c>
      <c r="B79" s="25"/>
      <c r="C79" s="25">
        <f>IF(C64=0,0,((C77*C62)+(C78*C63))/C64)</f>
        <v>0.80644419059844497</v>
      </c>
      <c r="D79" s="25">
        <f t="shared" ref="D79:H79" si="142">IF(D64=0,0,((D77*D62)+(D78*D63))/D64)</f>
        <v>0.91140088013351184</v>
      </c>
      <c r="E79" s="25">
        <f t="shared" si="142"/>
        <v>0.78672558422469041</v>
      </c>
      <c r="F79" s="25">
        <f t="shared" si="142"/>
        <v>0.71666249075671073</v>
      </c>
      <c r="G79" s="25">
        <f t="shared" si="142"/>
        <v>0.71666249075671073</v>
      </c>
      <c r="H79" s="25">
        <f t="shared" si="142"/>
        <v>0.71666249075671073</v>
      </c>
      <c r="I79" s="25">
        <f t="shared" ref="I79:J79" si="143">IF(I64=0,0,((I77*I62)+(I78*I63))/I64)</f>
        <v>0.71666249075671073</v>
      </c>
      <c r="J79" s="25">
        <f t="shared" ref="J79" si="144">IF(J64=0,0,((J77*J62)+(J78*J63))/J64)</f>
        <v>0.71666249075671073</v>
      </c>
    </row>
    <row r="80" spans="1:10" x14ac:dyDescent="0.25">
      <c r="A80" t="s">
        <v>77</v>
      </c>
      <c r="C80" s="25">
        <f>IF(C64=0,0,C65*C79)</f>
        <v>2.2539264355656643</v>
      </c>
      <c r="D80" s="25">
        <f t="shared" ref="D80:H80" si="145">IF(D64=0,0,D65*D79)</f>
        <v>1.7798372484365179</v>
      </c>
      <c r="E80" s="25">
        <f t="shared" si="145"/>
        <v>2.6834016191052932</v>
      </c>
      <c r="F80" s="25">
        <f t="shared" si="145"/>
        <v>2.002996056176189</v>
      </c>
      <c r="G80" s="25">
        <f t="shared" si="145"/>
        <v>2.002996056176189</v>
      </c>
      <c r="H80" s="25">
        <f t="shared" si="145"/>
        <v>2.002996056176189</v>
      </c>
      <c r="I80" s="25">
        <f t="shared" ref="I80:J80" si="146">IF(I64=0,0,I65*I79)</f>
        <v>2.002996056176189</v>
      </c>
      <c r="J80" s="25">
        <f t="shared" ref="J80" si="147">IF(J64=0,0,J65*J79)</f>
        <v>2.002996056176189</v>
      </c>
    </row>
    <row r="81" spans="1:10" x14ac:dyDescent="0.25">
      <c r="A81" t="s">
        <v>53</v>
      </c>
      <c r="C81" s="25">
        <f>IF(C64=0,0,C43)</f>
        <v>2.119171326546553</v>
      </c>
      <c r="D81" s="25">
        <f t="shared" ref="D81:H81" si="148">IF(D64=0,0,D43)</f>
        <v>1.9759408163114847</v>
      </c>
      <c r="E81" s="25">
        <f t="shared" si="148"/>
        <v>2.0931033163114847</v>
      </c>
      <c r="F81" s="25">
        <f t="shared" si="148"/>
        <v>0.88456113325901686</v>
      </c>
      <c r="G81" s="25">
        <f t="shared" si="148"/>
        <v>2.328030500954692</v>
      </c>
      <c r="H81" s="25">
        <f t="shared" si="148"/>
        <v>2.3475069107483284</v>
      </c>
      <c r="I81" s="25">
        <f t="shared" ref="I81:J81" si="149">IF(I64=0,0,I43)</f>
        <v>2.3475069107483284</v>
      </c>
      <c r="J81" s="25">
        <f t="shared" ref="J81" si="150">IF(J64=0,0,J43)</f>
        <v>2.3475069107483284</v>
      </c>
    </row>
    <row r="82" spans="1:10" x14ac:dyDescent="0.25">
      <c r="A82" s="36" t="s">
        <v>78</v>
      </c>
      <c r="C82" s="37">
        <f>IF(C64=0,0,6-(1.5*C80)+(0.15*C81))</f>
        <v>2.9369860456334864</v>
      </c>
      <c r="D82" s="37">
        <f t="shared" ref="D82:H82" si="151">IF(D64=0,0,6-(1.5*D80)+(0.15*D81))</f>
        <v>3.6266352497919461</v>
      </c>
      <c r="E82" s="37">
        <f t="shared" si="151"/>
        <v>2.2888630687887828</v>
      </c>
      <c r="F82" s="37">
        <f t="shared" si="151"/>
        <v>3.1281900857245688</v>
      </c>
      <c r="G82" s="37">
        <f t="shared" si="151"/>
        <v>3.3447104908789198</v>
      </c>
      <c r="H82" s="37">
        <f t="shared" si="151"/>
        <v>3.3476319523479656</v>
      </c>
      <c r="I82" s="37">
        <f t="shared" ref="I82:J82" si="152">IF(I64=0,0,6-(1.5*I80)+(0.15*I81))</f>
        <v>3.3476319523479656</v>
      </c>
      <c r="J82" s="37">
        <f t="shared" ref="J82" si="153">IF(J64=0,0,6-(1.5*J80)+(0.15*J81))</f>
        <v>3.3476319523479656</v>
      </c>
    </row>
    <row r="83" spans="1:10" x14ac:dyDescent="0.25">
      <c r="A83" s="36" t="s">
        <v>79</v>
      </c>
      <c r="C83" s="33" t="str">
        <f>IF(C64=0,"No service",IF(C82&lt;=2,"A",IF(C82&lt;=2.75,"B",IF(C82&lt;=3.5,"C",IF(C82&lt;=4.25,"D",IF(C82&lt;=5,"E","F"))))))</f>
        <v>C</v>
      </c>
      <c r="D83" s="33" t="str">
        <f t="shared" ref="D83:H83" si="154">IF(D64=0,"No service",IF(D82&lt;=2,"A",IF(D82&lt;=2.75,"B",IF(D82&lt;=3.5,"C",IF(D82&lt;=4.25,"D",IF(D82&lt;=5,"E","F"))))))</f>
        <v>D</v>
      </c>
      <c r="E83" s="33" t="str">
        <f t="shared" si="154"/>
        <v>B</v>
      </c>
      <c r="F83" s="33" t="str">
        <f t="shared" si="154"/>
        <v>C</v>
      </c>
      <c r="G83" s="33" t="str">
        <f t="shared" si="154"/>
        <v>C</v>
      </c>
      <c r="H83" s="33" t="str">
        <f t="shared" si="154"/>
        <v>C</v>
      </c>
      <c r="I83" s="33" t="str">
        <f t="shared" ref="I83:J83" si="155">IF(I64=0,"No service",IF(I82&lt;=2,"A",IF(I82&lt;=2.75,"B",IF(I82&lt;=3.5,"C",IF(I82&lt;=4.25,"D",IF(I82&lt;=5,"E","F"))))))</f>
        <v>C</v>
      </c>
      <c r="J83" s="33" t="str">
        <f t="shared" ref="J83" si="156">IF(J64=0,"No service",IF(J82&lt;=2,"A",IF(J82&lt;=2.75,"B",IF(J82&lt;=3.5,"C",IF(J82&lt;=4.25,"D",IF(J82&lt;=5,"E","F"))))))</f>
        <v>C</v>
      </c>
    </row>
  </sheetData>
  <mergeCells count="26">
    <mergeCell ref="A2:B2"/>
    <mergeCell ref="A4:B4"/>
    <mergeCell ref="A1:E1"/>
    <mergeCell ref="A3:J3"/>
    <mergeCell ref="A35:B35"/>
    <mergeCell ref="A31:B31"/>
    <mergeCell ref="A19:H19"/>
    <mergeCell ref="A9:B9"/>
    <mergeCell ref="A6:B6"/>
    <mergeCell ref="A8:H8"/>
    <mergeCell ref="C60:H60"/>
    <mergeCell ref="A61:B61"/>
    <mergeCell ref="C29:H29"/>
    <mergeCell ref="A7:B7"/>
    <mergeCell ref="A20:B20"/>
    <mergeCell ref="A32:B32"/>
    <mergeCell ref="C45:H45"/>
    <mergeCell ref="A46:B46"/>
    <mergeCell ref="A47:B47"/>
    <mergeCell ref="A55:B55"/>
    <mergeCell ref="A33:B33"/>
    <mergeCell ref="A34:B34"/>
    <mergeCell ref="A36:B36"/>
    <mergeCell ref="A37:B37"/>
    <mergeCell ref="C30:H30"/>
    <mergeCell ref="A56:B56"/>
  </mergeCells>
  <conditionalFormatting sqref="C25:H25 C27:H27">
    <cfRule type="expression" dxfId="227" priority="129">
      <formula>IF(AND(C$20="Yes",C25&gt;0),1,0)</formula>
    </cfRule>
  </conditionalFormatting>
  <conditionalFormatting sqref="C65">
    <cfRule type="cellIs" dxfId="226" priority="128" operator="equal">
      <formula>0</formula>
    </cfRule>
  </conditionalFormatting>
  <conditionalFormatting sqref="C72">
    <cfRule type="cellIs" dxfId="225" priority="121" operator="equal">
      <formula>0</formula>
    </cfRule>
  </conditionalFormatting>
  <conditionalFormatting sqref="C66:C68">
    <cfRule type="cellIs" dxfId="224" priority="126" operator="equal">
      <formula>0</formula>
    </cfRule>
  </conditionalFormatting>
  <conditionalFormatting sqref="C75">
    <cfRule type="cellIs" dxfId="223" priority="114" operator="equal">
      <formula>0</formula>
    </cfRule>
  </conditionalFormatting>
  <conditionalFormatting sqref="C70:C71">
    <cfRule type="cellIs" dxfId="222" priority="124" operator="equal">
      <formula>0</formula>
    </cfRule>
  </conditionalFormatting>
  <conditionalFormatting sqref="C80">
    <cfRule type="cellIs" dxfId="221" priority="107" operator="equal">
      <formula>0</formula>
    </cfRule>
  </conditionalFormatting>
  <conditionalFormatting sqref="C73">
    <cfRule type="cellIs" dxfId="220" priority="119" operator="equal">
      <formula>0</formula>
    </cfRule>
  </conditionalFormatting>
  <conditionalFormatting sqref="C74">
    <cfRule type="cellIs" dxfId="219" priority="116" operator="equal">
      <formula>0</formula>
    </cfRule>
  </conditionalFormatting>
  <conditionalFormatting sqref="B77:B79">
    <cfRule type="cellIs" dxfId="218" priority="110" operator="equal">
      <formula>0</formula>
    </cfRule>
  </conditionalFormatting>
  <conditionalFormatting sqref="C77:C79">
    <cfRule type="cellIs" dxfId="217" priority="109" operator="equal">
      <formula>0</formula>
    </cfRule>
  </conditionalFormatting>
  <conditionalFormatting sqref="C81">
    <cfRule type="cellIs" dxfId="216" priority="105" operator="equal">
      <formula>0</formula>
    </cfRule>
  </conditionalFormatting>
  <conditionalFormatting sqref="C82">
    <cfRule type="cellIs" dxfId="215" priority="103" operator="equal">
      <formula>0</formula>
    </cfRule>
  </conditionalFormatting>
  <conditionalFormatting sqref="C28">
    <cfRule type="expression" dxfId="214" priority="100" stopIfTrue="1">
      <formula>IF(C22=0,10,0)</formula>
    </cfRule>
  </conditionalFormatting>
  <conditionalFormatting sqref="D28:H28">
    <cfRule type="expression" dxfId="213" priority="99" stopIfTrue="1">
      <formula>IF(D22=0,10,0)</formula>
    </cfRule>
  </conditionalFormatting>
  <conditionalFormatting sqref="C69">
    <cfRule type="cellIs" dxfId="212" priority="98" operator="equal">
      <formula>0</formula>
    </cfRule>
  </conditionalFormatting>
  <conditionalFormatting sqref="D65:H65">
    <cfRule type="cellIs" dxfId="211" priority="96" operator="equal">
      <formula>0</formula>
    </cfRule>
  </conditionalFormatting>
  <conditionalFormatting sqref="D70:H70">
    <cfRule type="cellIs" dxfId="210" priority="90" operator="equal">
      <formula>0</formula>
    </cfRule>
  </conditionalFormatting>
  <conditionalFormatting sqref="D69:H69">
    <cfRule type="cellIs" dxfId="209" priority="91" operator="equal">
      <formula>0</formula>
    </cfRule>
  </conditionalFormatting>
  <conditionalFormatting sqref="D68:H68">
    <cfRule type="cellIs" dxfId="208" priority="92" operator="equal">
      <formula>0</formula>
    </cfRule>
  </conditionalFormatting>
  <conditionalFormatting sqref="D75:H75">
    <cfRule type="cellIs" dxfId="207" priority="80" operator="equal">
      <formula>0</formula>
    </cfRule>
  </conditionalFormatting>
  <conditionalFormatting sqref="D71:H71">
    <cfRule type="cellIs" dxfId="206" priority="88" operator="equal">
      <formula>0</formula>
    </cfRule>
  </conditionalFormatting>
  <conditionalFormatting sqref="C76">
    <cfRule type="cellIs" dxfId="205" priority="84" operator="equal">
      <formula>0</formula>
    </cfRule>
  </conditionalFormatting>
  <conditionalFormatting sqref="C26:H26 C28:H28">
    <cfRule type="expression" dxfId="204" priority="64">
      <formula>IF(AND(C$20="Yes",C$22&gt;0),1,0)</formula>
    </cfRule>
  </conditionalFormatting>
  <conditionalFormatting sqref="C21:H24">
    <cfRule type="expression" dxfId="203" priority="63">
      <formula>IF(C$20="Yes",1,0)</formula>
    </cfRule>
  </conditionalFormatting>
  <conditionalFormatting sqref="D77:H77">
    <cfRule type="cellIs" dxfId="202" priority="59" operator="equal">
      <formula>0</formula>
    </cfRule>
  </conditionalFormatting>
  <conditionalFormatting sqref="D78:H78">
    <cfRule type="cellIs" dxfId="201" priority="58" operator="equal">
      <formula>0</formula>
    </cfRule>
  </conditionalFormatting>
  <conditionalFormatting sqref="D66:H66">
    <cfRule type="cellIs" dxfId="200" priority="56" operator="equal">
      <formula>0</formula>
    </cfRule>
  </conditionalFormatting>
  <conditionalFormatting sqref="D67:H67">
    <cfRule type="cellIs" dxfId="199" priority="55" operator="equal">
      <formula>0</formula>
    </cfRule>
  </conditionalFormatting>
  <conditionalFormatting sqref="D76:H76">
    <cfRule type="cellIs" dxfId="198" priority="54" operator="equal">
      <formula>0</formula>
    </cfRule>
  </conditionalFormatting>
  <conditionalFormatting sqref="D79:H79">
    <cfRule type="cellIs" dxfId="197" priority="53" operator="equal">
      <formula>0</formula>
    </cfRule>
  </conditionalFormatting>
  <conditionalFormatting sqref="D80:H80">
    <cfRule type="cellIs" dxfId="196" priority="52" operator="equal">
      <formula>0</formula>
    </cfRule>
  </conditionalFormatting>
  <conditionalFormatting sqref="D81:H81">
    <cfRule type="cellIs" dxfId="195" priority="51" operator="equal">
      <formula>0</formula>
    </cfRule>
  </conditionalFormatting>
  <conditionalFormatting sqref="D82:H82">
    <cfRule type="cellIs" dxfId="194" priority="50" operator="equal">
      <formula>0</formula>
    </cfRule>
  </conditionalFormatting>
  <conditionalFormatting sqref="D74:H74">
    <cfRule type="cellIs" dxfId="193" priority="49" operator="equal">
      <formula>0</formula>
    </cfRule>
  </conditionalFormatting>
  <conditionalFormatting sqref="D72:H72">
    <cfRule type="cellIs" dxfId="192" priority="46" operator="equal">
      <formula>0</formula>
    </cfRule>
  </conditionalFormatting>
  <conditionalFormatting sqref="D73:H73">
    <cfRule type="cellIs" dxfId="191" priority="45" operator="equal">
      <formula>0</formula>
    </cfRule>
  </conditionalFormatting>
  <conditionalFormatting sqref="I25 I27">
    <cfRule type="expression" dxfId="146" priority="44">
      <formula>IF(AND(I$20="Yes",I25&gt;0),1,0)</formula>
    </cfRule>
  </conditionalFormatting>
  <conditionalFormatting sqref="I28">
    <cfRule type="expression" dxfId="145" priority="43" stopIfTrue="1">
      <formula>IF(I22=0,10,0)</formula>
    </cfRule>
  </conditionalFormatting>
  <conditionalFormatting sqref="I65">
    <cfRule type="cellIs" dxfId="144" priority="42" operator="equal">
      <formula>0</formula>
    </cfRule>
  </conditionalFormatting>
  <conditionalFormatting sqref="I70">
    <cfRule type="cellIs" dxfId="143" priority="39" operator="equal">
      <formula>0</formula>
    </cfRule>
  </conditionalFormatting>
  <conditionalFormatting sqref="I69">
    <cfRule type="cellIs" dxfId="142" priority="40" operator="equal">
      <formula>0</formula>
    </cfRule>
  </conditionalFormatting>
  <conditionalFormatting sqref="I68">
    <cfRule type="cellIs" dxfId="141" priority="41" operator="equal">
      <formula>0</formula>
    </cfRule>
  </conditionalFormatting>
  <conditionalFormatting sqref="I75">
    <cfRule type="cellIs" dxfId="140" priority="37" operator="equal">
      <formula>0</formula>
    </cfRule>
  </conditionalFormatting>
  <conditionalFormatting sqref="I71">
    <cfRule type="cellIs" dxfId="139" priority="38" operator="equal">
      <formula>0</formula>
    </cfRule>
  </conditionalFormatting>
  <conditionalFormatting sqref="I26 I28">
    <cfRule type="expression" dxfId="138" priority="36">
      <formula>IF(AND(I$20="Yes",I$22&gt;0),1,0)</formula>
    </cfRule>
  </conditionalFormatting>
  <conditionalFormatting sqref="I21:I24">
    <cfRule type="expression" dxfId="137" priority="35">
      <formula>IF(I$20="Yes",1,0)</formula>
    </cfRule>
  </conditionalFormatting>
  <conditionalFormatting sqref="I77">
    <cfRule type="cellIs" dxfId="136" priority="34" operator="equal">
      <formula>0</formula>
    </cfRule>
  </conditionalFormatting>
  <conditionalFormatting sqref="I78">
    <cfRule type="cellIs" dxfId="135" priority="33" operator="equal">
      <formula>0</formula>
    </cfRule>
  </conditionalFormatting>
  <conditionalFormatting sqref="I66">
    <cfRule type="cellIs" dxfId="134" priority="32" operator="equal">
      <formula>0</formula>
    </cfRule>
  </conditionalFormatting>
  <conditionalFormatting sqref="I67">
    <cfRule type="cellIs" dxfId="133" priority="31" operator="equal">
      <formula>0</formula>
    </cfRule>
  </conditionalFormatting>
  <conditionalFormatting sqref="I76">
    <cfRule type="cellIs" dxfId="132" priority="30" operator="equal">
      <formula>0</formula>
    </cfRule>
  </conditionalFormatting>
  <conditionalFormatting sqref="I79">
    <cfRule type="cellIs" dxfId="131" priority="29" operator="equal">
      <formula>0</formula>
    </cfRule>
  </conditionalFormatting>
  <conditionalFormatting sqref="I80">
    <cfRule type="cellIs" dxfId="130" priority="28" operator="equal">
      <formula>0</formula>
    </cfRule>
  </conditionalFormatting>
  <conditionalFormatting sqref="I81">
    <cfRule type="cellIs" dxfId="129" priority="27" operator="equal">
      <formula>0</formula>
    </cfRule>
  </conditionalFormatting>
  <conditionalFormatting sqref="I82">
    <cfRule type="cellIs" dxfId="128" priority="26" operator="equal">
      <formula>0</formula>
    </cfRule>
  </conditionalFormatting>
  <conditionalFormatting sqref="I74">
    <cfRule type="cellIs" dxfId="127" priority="25" operator="equal">
      <formula>0</formula>
    </cfRule>
  </conditionalFormatting>
  <conditionalFormatting sqref="I72">
    <cfRule type="cellIs" dxfId="126" priority="24" operator="equal">
      <formula>0</formula>
    </cfRule>
  </conditionalFormatting>
  <conditionalFormatting sqref="I73">
    <cfRule type="cellIs" dxfId="125" priority="23" operator="equal">
      <formula>0</formula>
    </cfRule>
  </conditionalFormatting>
  <conditionalFormatting sqref="J25 J27">
    <cfRule type="expression" dxfId="102" priority="22">
      <formula>IF(AND(J$20="Yes",J25&gt;0),1,0)</formula>
    </cfRule>
  </conditionalFormatting>
  <conditionalFormatting sqref="J28">
    <cfRule type="expression" dxfId="101" priority="21" stopIfTrue="1">
      <formula>IF(J22=0,10,0)</formula>
    </cfRule>
  </conditionalFormatting>
  <conditionalFormatting sqref="J65">
    <cfRule type="cellIs" dxfId="100" priority="20" operator="equal">
      <formula>0</formula>
    </cfRule>
  </conditionalFormatting>
  <conditionalFormatting sqref="J70">
    <cfRule type="cellIs" dxfId="99" priority="17" operator="equal">
      <formula>0</formula>
    </cfRule>
  </conditionalFormatting>
  <conditionalFormatting sqref="J69">
    <cfRule type="cellIs" dxfId="98" priority="18" operator="equal">
      <formula>0</formula>
    </cfRule>
  </conditionalFormatting>
  <conditionalFormatting sqref="J68">
    <cfRule type="cellIs" dxfId="97" priority="19" operator="equal">
      <formula>0</formula>
    </cfRule>
  </conditionalFormatting>
  <conditionalFormatting sqref="J75">
    <cfRule type="cellIs" dxfId="96" priority="15" operator="equal">
      <formula>0</formula>
    </cfRule>
  </conditionalFormatting>
  <conditionalFormatting sqref="J71">
    <cfRule type="cellIs" dxfId="95" priority="16" operator="equal">
      <formula>0</formula>
    </cfRule>
  </conditionalFormatting>
  <conditionalFormatting sqref="J26 J28">
    <cfRule type="expression" dxfId="94" priority="14">
      <formula>IF(AND(J$20="Yes",J$22&gt;0),1,0)</formula>
    </cfRule>
  </conditionalFormatting>
  <conditionalFormatting sqref="J21:J24">
    <cfRule type="expression" dxfId="93" priority="13">
      <formula>IF(J$20="Yes",1,0)</formula>
    </cfRule>
  </conditionalFormatting>
  <conditionalFormatting sqref="J77">
    <cfRule type="cellIs" dxfId="92" priority="12" operator="equal">
      <formula>0</formula>
    </cfRule>
  </conditionalFormatting>
  <conditionalFormatting sqref="J78">
    <cfRule type="cellIs" dxfId="91" priority="11" operator="equal">
      <formula>0</formula>
    </cfRule>
  </conditionalFormatting>
  <conditionalFormatting sqref="J66">
    <cfRule type="cellIs" dxfId="90" priority="10" operator="equal">
      <formula>0</formula>
    </cfRule>
  </conditionalFormatting>
  <conditionalFormatting sqref="J67">
    <cfRule type="cellIs" dxfId="89" priority="9" operator="equal">
      <formula>0</formula>
    </cfRule>
  </conditionalFormatting>
  <conditionalFormatting sqref="J76">
    <cfRule type="cellIs" dxfId="88" priority="8" operator="equal">
      <formula>0</formula>
    </cfRule>
  </conditionalFormatting>
  <conditionalFormatting sqref="J79">
    <cfRule type="cellIs" dxfId="87" priority="7" operator="equal">
      <formula>0</formula>
    </cfRule>
  </conditionalFormatting>
  <conditionalFormatting sqref="J80">
    <cfRule type="cellIs" dxfId="86" priority="6" operator="equal">
      <formula>0</formula>
    </cfRule>
  </conditionalFormatting>
  <conditionalFormatting sqref="J81">
    <cfRule type="cellIs" dxfId="85" priority="5" operator="equal">
      <formula>0</formula>
    </cfRule>
  </conditionalFormatting>
  <conditionalFormatting sqref="J82">
    <cfRule type="cellIs" dxfId="84" priority="4" operator="equal">
      <formula>0</formula>
    </cfRule>
  </conditionalFormatting>
  <conditionalFormatting sqref="J74">
    <cfRule type="cellIs" dxfId="83" priority="3" operator="equal">
      <formula>0</formula>
    </cfRule>
  </conditionalFormatting>
  <conditionalFormatting sqref="J72">
    <cfRule type="cellIs" dxfId="82" priority="2" operator="equal">
      <formula>0</formula>
    </cfRule>
  </conditionalFormatting>
  <conditionalFormatting sqref="J73">
    <cfRule type="cellIs" dxfId="81" priority="1" operator="equal">
      <formula>0</formula>
    </cfRule>
  </conditionalFormatting>
  <dataValidations count="7">
    <dataValidation type="list" allowBlank="1" showInputMessage="1" showErrorMessage="1" sqref="C17:J17" xr:uid="{00000000-0002-0000-0100-000000000000}">
      <formula1>StreetTrees</formula1>
    </dataValidation>
    <dataValidation type="list" allowBlank="1" showInputMessage="1" showErrorMessage="1" sqref="C20:J20" xr:uid="{00000000-0002-0000-0100-000001000000}">
      <formula1>BusStop</formula1>
    </dataValidation>
    <dataValidation type="list" allowBlank="1" showInputMessage="1" showErrorMessage="1" sqref="C23:J23" xr:uid="{00000000-0002-0000-0100-000002000000}">
      <formula1>Shelter</formula1>
    </dataValidation>
    <dataValidation type="list" allowBlank="1" showInputMessage="1" showErrorMessage="1" sqref="C24:J24" xr:uid="{00000000-0002-0000-0100-000003000000}">
      <formula1>Bench</formula1>
    </dataValidation>
    <dataValidation type="list" allowBlank="1" showInputMessage="1" showErrorMessage="1" sqref="C25:J26" xr:uid="{00000000-0002-0000-0100-000004000000}">
      <formula1>Load</formula1>
    </dataValidation>
    <dataValidation type="list" allowBlank="1" showInputMessage="1" showErrorMessage="1" sqref="C10:J10" xr:uid="{00000000-0002-0000-0100-000005000000}">
      <formula1>Median</formula1>
    </dataValidation>
    <dataValidation type="list" allowBlank="1" showInputMessage="1" showErrorMessage="1" sqref="C29:J29" xr:uid="{00000000-0002-0000-0100-000006000000}">
      <formula1>Metro</formula1>
    </dataValidation>
  </dataValidations>
  <pageMargins left="0.7" right="0.7" top="0.75" bottom="0.75" header="0.3" footer="0.3"/>
  <pageSetup scale="53" orientation="portrait" horizontalDpi="4294967293" verticalDpi="4294967293" r:id="rId1"/>
  <colBreaks count="1" manualBreakCount="1">
    <brk id="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6"/>
  <sheetViews>
    <sheetView workbookViewId="0">
      <selection activeCell="E6" sqref="E6"/>
    </sheetView>
  </sheetViews>
  <sheetFormatPr defaultRowHeight="15" x14ac:dyDescent="0.25"/>
  <cols>
    <col min="1" max="1" width="12.7109375" customWidth="1"/>
    <col min="5" max="5" width="18.7109375" customWidth="1"/>
  </cols>
  <sheetData>
    <row r="1" spans="1:8" x14ac:dyDescent="0.25">
      <c r="A1" t="s">
        <v>30</v>
      </c>
      <c r="B1" t="s">
        <v>35</v>
      </c>
      <c r="C1" t="s">
        <v>37</v>
      </c>
      <c r="D1" t="s">
        <v>38</v>
      </c>
      <c r="E1" t="s">
        <v>40</v>
      </c>
      <c r="F1" t="s">
        <v>58</v>
      </c>
      <c r="G1" t="s">
        <v>67</v>
      </c>
      <c r="H1" t="s">
        <v>75</v>
      </c>
    </row>
    <row r="2" spans="1:8" x14ac:dyDescent="0.25">
      <c r="A2" t="s">
        <v>18</v>
      </c>
      <c r="B2" t="s">
        <v>17</v>
      </c>
      <c r="C2" t="s">
        <v>18</v>
      </c>
      <c r="D2" t="s">
        <v>18</v>
      </c>
      <c r="E2" t="s">
        <v>42</v>
      </c>
      <c r="F2">
        <v>5</v>
      </c>
      <c r="G2" t="s">
        <v>18</v>
      </c>
      <c r="H2" t="s">
        <v>18</v>
      </c>
    </row>
    <row r="3" spans="1:8" x14ac:dyDescent="0.25">
      <c r="A3" t="s">
        <v>17</v>
      </c>
      <c r="B3" t="s">
        <v>18</v>
      </c>
      <c r="C3" t="s">
        <v>17</v>
      </c>
      <c r="D3" t="s">
        <v>17</v>
      </c>
      <c r="E3" t="s">
        <v>41</v>
      </c>
      <c r="F3">
        <v>4</v>
      </c>
      <c r="G3" t="s">
        <v>17</v>
      </c>
      <c r="H3" t="s">
        <v>17</v>
      </c>
    </row>
    <row r="4" spans="1:8" x14ac:dyDescent="0.25">
      <c r="E4" t="s">
        <v>96</v>
      </c>
      <c r="F4">
        <v>3</v>
      </c>
    </row>
    <row r="5" spans="1:8" x14ac:dyDescent="0.25">
      <c r="E5" t="s">
        <v>97</v>
      </c>
      <c r="F5">
        <v>2</v>
      </c>
    </row>
    <row r="6" spans="1:8" x14ac:dyDescent="0.25">
      <c r="F6">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Overview</vt:lpstr>
      <vt:lpstr>Existing</vt:lpstr>
      <vt:lpstr>Current</vt:lpstr>
      <vt:lpstr>Refs</vt:lpstr>
      <vt:lpstr>Bench</vt:lpstr>
      <vt:lpstr>BusStop</vt:lpstr>
      <vt:lpstr>Load</vt:lpstr>
      <vt:lpstr>Median</vt:lpstr>
      <vt:lpstr>Metro</vt:lpstr>
      <vt:lpstr>Pavement</vt:lpstr>
      <vt:lpstr>Current!Print_Area</vt:lpstr>
      <vt:lpstr>Existing!Print_Area</vt:lpstr>
      <vt:lpstr>Shelter</vt:lpstr>
      <vt:lpstr>StreetTrees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Nick</cp:lastModifiedBy>
  <cp:lastPrinted>2017-09-26T17:19:05Z</cp:lastPrinted>
  <dcterms:created xsi:type="dcterms:W3CDTF">2014-05-11T02:08:01Z</dcterms:created>
  <dcterms:modified xsi:type="dcterms:W3CDTF">2020-02-06T21:58:50Z</dcterms:modified>
</cp:coreProperties>
</file>